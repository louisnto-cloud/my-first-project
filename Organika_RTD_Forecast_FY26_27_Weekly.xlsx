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Dashboard" sheetId="2" state="visible" r:id="rId4"/>
    <sheet name="Assumptions" sheetId="3" state="visible" r:id="rId5"/>
    <sheet name="Class Mix" sheetId="4" state="visible" r:id="rId6"/>
    <sheet name="Velocity" sheetId="5" state="visible" r:id="rId7"/>
    <sheet name="Doors" sheetId="6" state="visible" r:id="rId8"/>
    <sheet name="Pricing" sheetId="7" state="visible" r:id="rId9"/>
    <sheet name="Marketing and Sampling" sheetId="8" state="visible" r:id="rId10"/>
    <sheet name="Forecast Weekly" sheetId="9" state="visible" r:id="rId11"/>
    <sheet name="Production Plan" sheetId="10" state="visible" r:id="rId12"/>
    <sheet name="Revenue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<sst xmlns="http://schemas.openxmlformats.org/spreadsheetml/2006/main" count="3195" uniqueCount="311">
  <si>
    <t xml:space="preserve">Organika RTD National Forecast - FY26 to FY27 (Weekly, 9-channel, parametric build)</t>
  </si>
  <si>
    <t xml:space="preserve">Fiscal year</t>
  </si>
  <si>
    <t xml:space="preserve">September 1 2026 through August 31 2027</t>
  </si>
  <si>
    <t xml:space="preserve">Grain</t>
  </si>
  <si>
    <t xml:space="preserve">Weekly. 52 weeks, W01 starts Sep 1 2026.</t>
  </si>
  <si>
    <t xml:space="preserve">Portfolio</t>
  </si>
  <si>
    <t xml:space="preserve">MUV Sparkling (Raspberry Lemon, Lime, Passion Fruit Pineapple) and LCA Energy</t>
  </si>
  <si>
    <t xml:space="preserve">Currency</t>
  </si>
  <si>
    <t xml:space="preserve">CAD throughout</t>
  </si>
  <si>
    <t xml:space="preserve">Pack</t>
  </si>
  <si>
    <t xml:space="preserve">24 cans per case, 355ml format</t>
  </si>
  <si>
    <t xml:space="preserve">Channels</t>
  </si>
  <si>
    <t xml:space="preserve">9 total: Natural, Specialty, FDM, Costco, On-Premise (restaurants),</t>
  </si>
  <si>
    <t xml:space="preserve">Convenience, Gym &amp; Fitness (gyms + yoga), Private Liquor, RAS (rural agency stores).</t>
  </si>
  <si>
    <t xml:space="preserve">Colour key</t>
  </si>
  <si>
    <t xml:space="preserve">Blue text</t>
  </si>
  <si>
    <t xml:space="preserve">User input. Edit these to flex the model.</t>
  </si>
  <si>
    <t xml:space="preserve">Black text</t>
  </si>
  <si>
    <t xml:space="preserve">Calculated value. Do not edit.</t>
  </si>
  <si>
    <t xml:space="preserve">Green text</t>
  </si>
  <si>
    <t xml:space="preserve">Cross tab link. Pulls from another sheet.</t>
  </si>
  <si>
    <t xml:space="preserve">Yellow fill</t>
  </si>
  <si>
    <t xml:space="preserve">Key assumption that needs sign off before locking the model.</t>
  </si>
  <si>
    <t xml:space="preserve">Cream fill</t>
  </si>
  <si>
    <t xml:space="preserve">Monthly input strip. Edit one cell, all 4-5 weeks in that month update.</t>
  </si>
  <si>
    <t xml:space="preserve">How to edit</t>
  </si>
  <si>
    <t xml:space="preserve">Doors</t>
  </si>
  <si>
    <t xml:space="preserve">Edit the 12 monthly input columns (cream fill). Weekly columns are auto-filled.</t>
  </si>
  <si>
    <t xml:space="preserve">Rep samples</t>
  </si>
  <si>
    <t xml:space="preserve">Edit the 12 monthly input columns. Weekly columns are auto-filled.</t>
  </si>
  <si>
    <t xml:space="preserve">Marketing buffer</t>
  </si>
  <si>
    <t xml:space="preserve">Edit one 'Cases per week' cell per line item; all 52 weeks follow.</t>
  </si>
  <si>
    <t xml:space="preserve">Events</t>
  </si>
  <si>
    <t xml:space="preserve">Edit Total cases, Start week, End week. Cases spread evenly across that window.</t>
  </si>
  <si>
    <t xml:space="preserve">Account sampling</t>
  </si>
  <si>
    <t xml:space="preserve">Edit one 'Cases per door per week' rate per channel; all weeks recompute.</t>
  </si>
  <si>
    <t xml:space="preserve">How sales is calculated</t>
  </si>
  <si>
    <t xml:space="preserve">Sales cases (per week)</t>
  </si>
  <si>
    <t xml:space="preserve">Doors Active x Blended Velocity / Units per Case x Scenario Multiplier</t>
  </si>
  <si>
    <t xml:space="preserve">Blended Velocity</t>
  </si>
  <si>
    <t xml:space="preserve">Class A share x Vel A + Class B share x Vel B + Class C share x Vel C</t>
  </si>
  <si>
    <t xml:space="preserve">Production demand</t>
  </si>
  <si>
    <t xml:space="preserve">Total cases to produce</t>
  </si>
  <si>
    <t xml:space="preserve">Sales cases + Marketing and sampling cases</t>
  </si>
  <si>
    <t xml:space="preserve">Production with buffer</t>
  </si>
  <si>
    <t xml:space="preserve">Total cases to produce x (1 + Production buffer %)</t>
  </si>
  <si>
    <t xml:space="preserve">Scenario playbook</t>
  </si>
  <si>
    <t xml:space="preserve">Multiplier 1.00</t>
  </si>
  <si>
    <t xml:space="preserve">Base case.</t>
  </si>
  <si>
    <t xml:space="preserve">Multiplier 0.85</t>
  </si>
  <si>
    <t xml:space="preserve">Conservative. Bakes in ramp slippage.</t>
  </si>
  <si>
    <t xml:space="preserve">Multiplier 1.15</t>
  </si>
  <si>
    <t xml:space="preserve">Stretch. Assumes door plan lands early.</t>
  </si>
  <si>
    <t xml:space="preserve">Set on the Assumptions tab, cell B6.</t>
  </si>
  <si>
    <t xml:space="preserve">Tab guide</t>
  </si>
  <si>
    <t xml:space="preserve">Dashboard</t>
  </si>
  <si>
    <t xml:space="preserve">Headline metrics, monthly roll-ups, weekly totals. Read only.</t>
  </si>
  <si>
    <t xml:space="preserve">Assumptions</t>
  </si>
  <si>
    <t xml:space="preserve">Workbook toggles: units per case, buffer, multiplier, week index.</t>
  </si>
  <si>
    <t xml:space="preserve">Class Mix</t>
  </si>
  <si>
    <t xml:space="preserve">Channel by class share. Rows must sum to 100%.</t>
  </si>
  <si>
    <t xml:space="preserve">Velocity</t>
  </si>
  <si>
    <t xml:space="preserve">Per SKU per channel velocity (units per door per week) for class A/B/C.</t>
  </si>
  <si>
    <t xml:space="preserve">Province by Channel by Brand active door counts. Monthly inputs -&gt; weekly outputs.</t>
  </si>
  <si>
    <t xml:space="preserve">Pricing</t>
  </si>
  <si>
    <t xml:space="preserve">Per SKU net case price, landed cost, gross profit.</t>
  </si>
  <si>
    <t xml:space="preserve">Marketing and Sampling</t>
  </si>
  <si>
    <t xml:space="preserve">Account sampling, events, rep samples, buffer. All in cases per week.</t>
  </si>
  <si>
    <t xml:space="preserve">Forecast Weekly</t>
  </si>
  <si>
    <t xml:space="preserve">Calculation engine. 360 row grid (4 SKUs x 10 provinces x 9 channels).</t>
  </si>
  <si>
    <t xml:space="preserve">Production Plan</t>
  </si>
  <si>
    <t xml:space="preserve">Sales + marketing + buffer rolled to weekly production demand.</t>
  </si>
  <si>
    <t xml:space="preserve">Revenue</t>
  </si>
  <si>
    <t xml:space="preserve">Weekly revenue and gross profit by SKU.</t>
  </si>
  <si>
    <t xml:space="preserve">New-channel default inputs are placeholders flagged yellow. Sign off with Aaron, Teresa, Rijo before locking.</t>
  </si>
  <si>
    <t xml:space="preserve">Organika RTD national forecast dashboard - FY26 to FY27 (weekly, parametric)</t>
  </si>
  <si>
    <t xml:space="preserve">All figures reconcile to underlying tabs. Edit on input tabs only.</t>
  </si>
  <si>
    <t xml:space="preserve">Headline metrics</t>
  </si>
  <si>
    <t xml:space="preserve">Metric</t>
  </si>
  <si>
    <t xml:space="preserve">Value</t>
  </si>
  <si>
    <t xml:space="preserve">Source</t>
  </si>
  <si>
    <t xml:space="preserve">Total sales cases</t>
  </si>
  <si>
    <t xml:space="preserve">Total marketing and sampling cases</t>
  </si>
  <si>
    <t xml:space="preserve">Production Plan x (1 + buffer)</t>
  </si>
  <si>
    <t xml:space="preserve">Total revenue (CAD)</t>
  </si>
  <si>
    <t xml:space="preserve">Revenue tab</t>
  </si>
  <si>
    <t xml:space="preserve">Total gross profit (CAD)</t>
  </si>
  <si>
    <t xml:space="preserve">Gross profit %</t>
  </si>
  <si>
    <t xml:space="preserve">Calculated</t>
  </si>
  <si>
    <t xml:space="preserve">Active doors at year end (W52)</t>
  </si>
  <si>
    <t xml:space="preserve">Doors national total, W52</t>
  </si>
  <si>
    <t xml:space="preserve">Scenario multiplier in effect</t>
  </si>
  <si>
    <t xml:space="preserve">Assumptions tab</t>
  </si>
  <si>
    <t xml:space="preserve">Monthly sales cases by SKU</t>
  </si>
  <si>
    <t xml:space="preserve">SKU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</si>
  <si>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</si>
  <si>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</si>
  <si>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</si>
  <si>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</si>
  <si>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</si>
  <si>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</si>
  <si>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</si>
  <si>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</si>
  <si>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</si>
  <si>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</si>
  <si>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</si>
  <si>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</si>
  <si>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FY total</t>
  </si>
  <si>
    <t xml:space="preserve">MUV Raspberry Lemon</t>
  </si>
  <si>
    <t xml:space="preserve">MUV Lime</t>
  </si>
  <si>
    <t xml:space="preserve">MUV PFP</t>
  </si>
  <si>
    <t xml:space="preserve">LCA Energy</t>
  </si>
  <si>
    <t xml:space="preserve">Total</t>
  </si>
  <si>
    <t xml:space="preserve">Monthly sales cases by channel</t>
  </si>
  <si>
    <t xml:space="preserve">Channel</t>
  </si>
  <si>
    <t xml:space="preserve">Natural</t>
  </si>
  <si>
    <t xml:space="preserve">Specialty</t>
  </si>
  <si>
    <t xml:space="preserve">FDM</t>
  </si>
  <si>
    <t xml:space="preserve">Costco</t>
  </si>
  <si>
    <t xml:space="preserve">On-Premise</t>
  </si>
  <si>
    <t xml:space="preserve">Convenience</t>
  </si>
  <si>
    <t xml:space="preserve">Gym &amp; Fitness</t>
  </si>
  <si>
    <t xml:space="preserve">Private Liquor</t>
  </si>
  <si>
    <t xml:space="preserve">RAS</t>
  </si>
  <si>
    <t xml:space="preserve">Monthly sales cases by province</t>
  </si>
  <si>
    <t xml:space="preserve">Province</t>
  </si>
  <si>
    <t xml:space="preserve">BC</t>
  </si>
  <si>
    <t xml:space="preserve">AB</t>
  </si>
  <si>
    <t xml:space="preserve">SK</t>
  </si>
  <si>
    <t xml:space="preserve">MB</t>
  </si>
  <si>
    <t xml:space="preserve">ON</t>
  </si>
  <si>
    <t xml:space="preserve">QC</t>
  </si>
  <si>
    <t xml:space="preserve">NB</t>
  </si>
  <si>
    <t xml:space="preserve">NS</t>
  </si>
  <si>
    <t xml:space="preserve">PE</t>
  </si>
  <si>
    <t xml:space="preserve">NL</t>
  </si>
  <si>
    <t xml:space="preserve">Active doors by channel (monthly input)</t>
  </si>
  <si>
    <t xml:space="preserve">Total doors</t>
  </si>
  <si>
    <t xml:space="preserve">Weekly totals (sales cases, all SKUs)</t>
  </si>
  <si>
    <t xml:space="preserve">Week</t>
  </si>
  <si>
    <t xml:space="preserve">W01 (Sep 01)</t>
  </si>
  <si>
    <t xml:space="preserve">W02 (Sep 08)</t>
  </si>
  <si>
    <t xml:space="preserve">W03 (Sep 15)</t>
  </si>
  <si>
    <t xml:space="preserve">W04 (Sep 22)</t>
  </si>
  <si>
    <t xml:space="preserve">W05 (Sep 29)</t>
  </si>
  <si>
    <t xml:space="preserve">W06 (Oct 06)</t>
  </si>
  <si>
    <t xml:space="preserve">W07 (Oct 13)</t>
  </si>
  <si>
    <t xml:space="preserve">W08 (Oct 20)</t>
  </si>
  <si>
    <t xml:space="preserve">W09 (Oct 27)</t>
  </si>
  <si>
    <t xml:space="preserve">W10 (Nov 03)</t>
  </si>
  <si>
    <t xml:space="preserve">W11 (Nov 10)</t>
  </si>
  <si>
    <t xml:space="preserve">W12 (Nov 17)</t>
  </si>
  <si>
    <t xml:space="preserve">W13 (Nov 24)</t>
  </si>
  <si>
    <t xml:space="preserve">W14 (Dec 01)</t>
  </si>
  <si>
    <t xml:space="preserve">W15 (Dec 08)</t>
  </si>
  <si>
    <t xml:space="preserve">W16 (Dec 15)</t>
  </si>
  <si>
    <t xml:space="preserve">W17 (Dec 22)</t>
  </si>
  <si>
    <t xml:space="preserve">W18 (Dec 29)</t>
  </si>
  <si>
    <t xml:space="preserve">W19 (Jan 05)</t>
  </si>
  <si>
    <t xml:space="preserve">W20 (Jan 12)</t>
  </si>
  <si>
    <t xml:space="preserve">W21 (Jan 19)</t>
  </si>
  <si>
    <t xml:space="preserve">W22 (Jan 26)</t>
  </si>
  <si>
    <t xml:space="preserve">W23 (Feb 02)</t>
  </si>
  <si>
    <t xml:space="preserve">W24 (Feb 09)</t>
  </si>
  <si>
    <t xml:space="preserve">W25 (Feb 16)</t>
  </si>
  <si>
    <t xml:space="preserve">W26 (Feb 23)</t>
  </si>
  <si>
    <t xml:space="preserve">W27 (Mar 02)</t>
  </si>
  <si>
    <t xml:space="preserve">W28 (Mar 09)</t>
  </si>
  <si>
    <t xml:space="preserve">W29 (Mar 16)</t>
  </si>
  <si>
    <t xml:space="preserve">W30 (Mar 23)</t>
  </si>
  <si>
    <t xml:space="preserve">W31 (Mar 30)</t>
  </si>
  <si>
    <t xml:space="preserve">W32 (Apr 06)</t>
  </si>
  <si>
    <t xml:space="preserve">W33 (Apr 13)</t>
  </si>
  <si>
    <t xml:space="preserve">W34 (Apr 20)</t>
  </si>
  <si>
    <t xml:space="preserve">W35 (Apr 27)</t>
  </si>
  <si>
    <t xml:space="preserve">W36 (May 04)</t>
  </si>
  <si>
    <t xml:space="preserve">W37 (May 11)</t>
  </si>
  <si>
    <t xml:space="preserve">W38 (May 18)</t>
  </si>
  <si>
    <t xml:space="preserve">W39 (May 25)</t>
  </si>
  <si>
    <t xml:space="preserve">W40 (Jun 01)</t>
  </si>
  <si>
    <t xml:space="preserve">W41 (Jun 08)</t>
  </si>
  <si>
    <t xml:space="preserve">W42 (Jun 15)</t>
  </si>
  <si>
    <t xml:space="preserve">W43 (Jun 22)</t>
  </si>
  <si>
    <t xml:space="preserve">W44 (Jun 29)</t>
  </si>
  <si>
    <t xml:space="preserve">W45 (Jul 06)</t>
  </si>
  <si>
    <t xml:space="preserve">W46 (Jul 13)</t>
  </si>
  <si>
    <t xml:space="preserve">W47 (Jul 20)</t>
  </si>
  <si>
    <t xml:space="preserve">W48 (Jul 27)</t>
  </si>
  <si>
    <t xml:space="preserve">W49 (Aug 03)</t>
  </si>
  <si>
    <t xml:space="preserve">W50 (Aug 10)</t>
  </si>
  <si>
    <t xml:space="preserve">W51 (Aug 17)</t>
  </si>
  <si>
    <t xml:space="preserve">W52 (Aug 24)</t>
  </si>
  <si>
    <t xml:space="preserve">Sales cases</t>
  </si>
  <si>
    <t xml:space="preserve">Production w/ buffer</t>
  </si>
  <si>
    <t xml:space="preserve">Assumptions and toggles</t>
  </si>
  <si>
    <t xml:space="preserve">Workbook inputs</t>
  </si>
  <si>
    <t xml:space="preserve">Units per case</t>
  </si>
  <si>
    <t xml:space="preserve">Production buffer</t>
  </si>
  <si>
    <t xml:space="preserve">Scenario multiplier</t>
  </si>
  <si>
    <t xml:space="preserve">FY26 to FY27</t>
  </si>
  <si>
    <t xml:space="preserve">Period start</t>
  </si>
  <si>
    <t xml:space="preserve">September 1 2026</t>
  </si>
  <si>
    <t xml:space="preserve">Period end</t>
  </si>
  <si>
    <t xml:space="preserve">August 31 2027</t>
  </si>
  <si>
    <t xml:space="preserve">Number of weeks</t>
  </si>
  <si>
    <t xml:space="preserve">Week index</t>
  </si>
  <si>
    <t xml:space="preserve">Start date</t>
  </si>
  <si>
    <t xml:space="preserve">Month</t>
  </si>
  <si>
    <t xml:space="preserve">Notes</t>
  </si>
  <si>
    <t xml:space="preserve">Edit blue cells. Other cells calculate. Scenario multiplier (yellow) is toggled most often.</t>
  </si>
  <si>
    <t xml:space="preserve">Velocity is quoted per door per week, so the weekly grain doesn't need a weeks-in-period factor.</t>
  </si>
  <si>
    <t xml:space="preserve">Class mix by channel</t>
  </si>
  <si>
    <t xml:space="preserve">Share of doors in each class, per channel. Rows must sum to 100%.</t>
  </si>
  <si>
    <t xml:space="preserve">Class A %</t>
  </si>
  <si>
    <t xml:space="preserve">Class B %</t>
  </si>
  <si>
    <t xml:space="preserve">Class C %</t>
  </si>
  <si>
    <t xml:space="preserve">Sum check</t>
  </si>
  <si>
    <t xml:space="preserve">Class definitions</t>
  </si>
  <si>
    <t xml:space="preserve">Class A</t>
  </si>
  <si>
    <t xml:space="preserve">Top tier doors. Premium positioning, high foot traffic, strong velocity.</t>
  </si>
  <si>
    <t xml:space="preserve">Class B</t>
  </si>
  <si>
    <t xml:space="preserve">Mid tier doors. Steady velocity. Most of the door base sits here.</t>
  </si>
  <si>
    <t xml:space="preserve">Class C</t>
  </si>
  <si>
    <t xml:space="preserve">Lower tier doors. Velocity ramps slower. Often new accounts.</t>
  </si>
  <si>
    <t xml:space="preserve">Velocity by SKU, channel, and class</t>
  </si>
  <si>
    <t xml:space="preserve">Units per door per week. Blended velocity flows into Forecast Weekly.</t>
  </si>
  <si>
    <t xml:space="preserve">Vel A</t>
  </si>
  <si>
    <t xml:space="preserve">Vel B</t>
  </si>
  <si>
    <t xml:space="preserve">Vel C</t>
  </si>
  <si>
    <t xml:space="preserve">Blended</t>
  </si>
  <si>
    <t xml:space="preserve">Active doors by brand, province, and channel</t>
  </si>
  <si>
    <t xml:space="preserve">Main planning canvas. Edit the 12 monthly input columns (cream fill); the 52 weekly columns auto-fill. New-channel rows are yellow placeholders.</t>
  </si>
  <si>
    <t xml:space="preserve">Monthly inputs (edit these)</t>
  </si>
  <si>
    <t xml:space="preserve">Weekly outputs (formulas - do not edit)</t>
  </si>
  <si>
    <t xml:space="preserve">Brand</t>
  </si>
  <si>
    <t xml:space="preserve">MUV</t>
  </si>
  <si>
    <t xml:space="preserve">LCA</t>
  </si>
  <si>
    <t xml:space="preserve">National total</t>
  </si>
  <si>
    <t xml:space="preserve">Pricing and unit economics</t>
  </si>
  <si>
    <t xml:space="preserve">Net case price is what we invoice the retailer. Landed cost includes ingredients, co-man fees, freight to DC.</t>
  </si>
  <si>
    <t xml:space="preserve">Net case price</t>
  </si>
  <si>
    <t xml:space="preserve">Landed case cost</t>
  </si>
  <si>
    <t xml:space="preserve">Gross profit</t>
  </si>
  <si>
    <t xml:space="preserve">GP %</t>
  </si>
  <si>
    <t xml:space="preserve">Standard MUV price. Confirm with Rijo before locking.</t>
  </si>
  <si>
    <t xml:space="preserve">Same as Raspberry Lemon. Co-man pricing parity.</t>
  </si>
  <si>
    <t xml:space="preserve">Same as other MUV SKUs.</t>
  </si>
  <si>
    <t xml:space="preserve">Energy positioning, higher price point. Cost is placeholder, refine with Rijo.</t>
  </si>
  <si>
    <t xml:space="preserve">Marketing and sampling cases</t>
  </si>
  <si>
    <t xml:space="preserve">All figures in cases per week. Feeds into the production demand calculation. New-channel sampling rates are yellow placeholders.</t>
  </si>
  <si>
    <t xml:space="preserve">Bucket</t>
  </si>
  <si>
    <t xml:space="preserve">Account sampling subtotal</t>
  </si>
  <si>
    <t xml:space="preserve">Events subtotal</t>
  </si>
  <si>
    <t xml:space="preserve">Rep samples subtotal</t>
  </si>
  <si>
    <t xml:space="preserve">Buffer subtotal</t>
  </si>
  <si>
    <t xml:space="preserve">Total marketing and sampling</t>
  </si>
  <si>
    <t xml:space="preserve">Section 1: Account sampling (1 rate per channel drives 52 weeks)</t>
  </si>
  <si>
    <t xml:space="preserve">Cases per door per week</t>
  </si>
  <si>
    <t xml:space="preserve">Account sampling total</t>
  </si>
  <si>
    <t xml:space="preserve">Section 2: Events and activations (edit Total / Start / End)</t>
  </si>
  <si>
    <t xml:space="preserve">Event</t>
  </si>
  <si>
    <t xml:space="preserve">Total cases</t>
  </si>
  <si>
    <t xml:space="preserve">Start week</t>
  </si>
  <si>
    <t xml:space="preserve">End week</t>
  </si>
  <si>
    <t xml:space="preserve">CHFA West (Vancouver) - BC trade show</t>
  </si>
  <si>
    <t xml:space="preserve">Indie Alley demo days (recurring)</t>
  </si>
  <si>
    <t xml:space="preserve">Marche Tao launch event - QC</t>
  </si>
  <si>
    <t xml:space="preserve">Costco BC roadshow</t>
  </si>
  <si>
    <t xml:space="preserve">Costco AB roadshow</t>
  </si>
  <si>
    <t xml:space="preserve">CHFA East (Toronto) - ON trade show</t>
  </si>
  <si>
    <t xml:space="preserve">BCAA Wellness Tour - BC</t>
  </si>
  <si>
    <t xml:space="preserve">Toronto Vegfest - ON</t>
  </si>
  <si>
    <t xml:space="preserve">Calgary Stampede - AB</t>
  </si>
  <si>
    <t xml:space="preserve">Yoga &amp; fitness partners (recurring)</t>
  </si>
  <si>
    <t xml:space="preserve">Influencer seeding (recurring)</t>
  </si>
  <si>
    <t xml:space="preserve">Restaurant launch dinners (on-premise)</t>
  </si>
  <si>
    <t xml:space="preserve">Convenience sales blitz (recurring)</t>
  </si>
  <si>
    <t xml:space="preserve">Events total</t>
  </si>
  <si>
    <t xml:space="preserve">Section 3: Rep samples (edit monthly rep counts; weekly auto-fills)</t>
  </si>
  <si>
    <t xml:space="preserve">Cases per rep per week</t>
  </si>
  <si>
    <t xml:space="preserve">Total reps active</t>
  </si>
  <si>
    <t xml:space="preserve">Rep sample cases total</t>
  </si>
  <si>
    <t xml:space="preserve">(Rep samples link to standard week columns)</t>
  </si>
  <si>
    <t xml:space="preserve">Section 4: Buffer (edit one 'Cases per week' per item)</t>
  </si>
  <si>
    <t xml:space="preserve">Line item</t>
  </si>
  <si>
    <t xml:space="preserve">Cases per week</t>
  </si>
  <si>
    <t xml:space="preserve">Gifting</t>
  </si>
  <si>
    <t xml:space="preserve">Aaron and Teresa gifting allocation.</t>
  </si>
  <si>
    <t xml:space="preserve">R and D samples</t>
  </si>
  <si>
    <t xml:space="preserve">Formulation tests, internal taste panels.</t>
  </si>
  <si>
    <t xml:space="preserve">Photo and content</t>
  </si>
  <si>
    <t xml:space="preserve">Brand asset shoots, ongoing.</t>
  </si>
  <si>
    <t xml:space="preserve">Freight returns</t>
  </si>
  <si>
    <t xml:space="preserve">Damaged or returned cases.</t>
  </si>
  <si>
    <t xml:space="preserve">Unallocated</t>
  </si>
  <si>
    <t xml:space="preserve">Reserve for unplanned asks.</t>
  </si>
  <si>
    <t xml:space="preserve">Buffer total</t>
  </si>
  <si>
    <t xml:space="preserve">Forecast weekly sales cases</t>
  </si>
  <si>
    <t xml:space="preserve">Calculation engine. 360 row grid (4 SKUs x 10 provinces x 9 channels). Do not edit.</t>
  </si>
  <si>
    <t xml:space="preserve">Production plan (cases)</t>
  </si>
  <si>
    <t xml:space="preserve">Sales cases + marketing and sampling = total cases to produce. Buffer applied at the end. Weekly grain.</t>
  </si>
  <si>
    <t xml:space="preserve">Sales by SKU</t>
  </si>
  <si>
    <t xml:space="preserve">Marketing and sampling breakdown</t>
  </si>
  <si>
    <t xml:space="preserve">Events and activations</t>
  </si>
  <si>
    <t xml:space="preserve">Buffer</t>
  </si>
  <si>
    <t xml:space="preserve">Revenue and gross profit</t>
  </si>
  <si>
    <t xml:space="preserve">Revenue = sales cases x net case price. Gross profit = sales cases x (price minus cost). All CAD. Weekly grain.</t>
  </si>
  <si>
    <t xml:space="preserve">Revenue (CAD)</t>
  </si>
  <si>
    <t xml:space="preserve">Total revenue</t>
  </si>
  <si>
    <t xml:space="preserve">Gross profit (CAD)</t>
  </si>
  <si>
    <t xml:space="preserve">Total gross profit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</si>
</sst>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\$#,##0"/>
    <numFmt numFmtId="167" formatCode="0.0%"/>
    <numFmt numFmtId="168" formatCode="0%"/>
    <numFmt numFmtId="169" formatCode="yyyy\-mm\-dd"/>
    <numFmt numFmtId="170" formatCode="0.00"/>
    <numFmt numFmtId="171" formatCode="\$#,##0.00"/>
    <numFmt numFmtId="172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sz val="11"/>
      <color rgb="FF00703C"/>
      <name val="Cambria"/>
      <family val="0"/>
      <charset val="1"/>
    </font>
    <font>
      <sz val="11"/>
      <color rgb="FF1F4E79"/>
      <name val="Cambria"/>
      <family val="0"/>
      <charset val="1"/>
    </font>
    <font>
      <b val="true"/>
      <i val="true"/>
      <sz val="11"/>
      <color rgb="FF7F6000"/>
      <name val="Cambria"/>
      <family val="0"/>
      <charset val="1"/>
    </font>
    <font>
      <b val="true"/>
      <i val="true"/>
      <sz val="11"/>
      <color rgb="FF404040"/>
      <name val="Cambria"/>
      <family val="0"/>
      <charset val="1"/>
    </font>
    <font>
      <i val="true"/>
      <sz val="11"/>
      <color rgb="FF808080"/>
      <name val="Cambria"/>
      <family val="0"/>
      <charset val="1"/>
    </font>
    <font>
      <i val="true"/>
      <sz val="9"/>
      <color rgb="FF808080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  <fill>
      <patternFill patternType="solid">
        <fgColor rgb="FFFFF2CC"/>
        <bgColor rgb="FFFFF8E5"/>
      </patternFill>
    </fill>
    <fill>
      <patternFill patternType="solid">
        <fgColor rgb="FFFFF8E5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2CC"/>
      <rgbColor rgb="FFFF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8E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2" t="s">
        <v>11</v>
      </c>
      <c r="B9" s="3" t="s">
        <v>12</v>
      </c>
    </row>
    <row r="10" customFormat="false" ht="15" hidden="false" customHeight="false" outlineLevel="0" collapsed="false">
      <c r="A10" s="2"/>
      <c r="B10" s="3" t="s">
        <v>13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2" t="s">
        <v>14</v>
      </c>
    </row>
    <row r="13" customFormat="false" ht="15" hidden="false" customHeight="false" outlineLevel="0" collapsed="false">
      <c r="A13" s="2" t="s">
        <v>15</v>
      </c>
      <c r="B13" s="3" t="s">
        <v>16</v>
      </c>
    </row>
    <row r="14" customFormat="false" ht="15" hidden="false" customHeight="false" outlineLevel="0" collapsed="false">
      <c r="A14" s="2" t="s">
        <v>17</v>
      </c>
      <c r="B14" s="3" t="s">
        <v>18</v>
      </c>
    </row>
    <row r="15" customFormat="false" ht="15" hidden="false" customHeight="false" outlineLevel="0" collapsed="false">
      <c r="A15" s="2" t="s">
        <v>19</v>
      </c>
      <c r="B15" s="3" t="s">
        <v>20</v>
      </c>
    </row>
    <row r="16" customFormat="false" ht="15" hidden="false" customHeight="false" outlineLevel="0" collapsed="false">
      <c r="A16" s="2" t="s">
        <v>21</v>
      </c>
      <c r="B16" s="3" t="s">
        <v>22</v>
      </c>
    </row>
    <row r="17" customFormat="false" ht="15" hidden="false" customHeight="false" outlineLevel="0" collapsed="false">
      <c r="A17" s="4" t="s">
        <v>23</v>
      </c>
      <c r="B17" s="3" t="s">
        <v>24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2" t="s">
        <v>25</v>
      </c>
    </row>
    <row r="20" customFormat="false" ht="15" hidden="false" customHeight="false" outlineLevel="0" collapsed="false">
      <c r="A20" s="2" t="s">
        <v>26</v>
      </c>
      <c r="B20" s="3" t="s">
        <v>27</v>
      </c>
    </row>
    <row r="21" customFormat="false" ht="15" hidden="false" customHeight="false" outlineLevel="0" collapsed="false">
      <c r="A21" s="2" t="s">
        <v>28</v>
      </c>
      <c r="B21" s="3" t="s">
        <v>29</v>
      </c>
    </row>
    <row r="22" customFormat="false" ht="15" hidden="false" customHeight="false" outlineLevel="0" collapsed="false">
      <c r="A22" s="2" t="s">
        <v>30</v>
      </c>
      <c r="B22" s="3" t="s">
        <v>31</v>
      </c>
    </row>
    <row r="23" customFormat="false" ht="15" hidden="false" customHeight="false" outlineLevel="0" collapsed="false">
      <c r="A23" s="2" t="s">
        <v>32</v>
      </c>
      <c r="B23" s="3" t="s">
        <v>33</v>
      </c>
    </row>
    <row r="24" customFormat="false" ht="15" hidden="false" customHeight="false" outlineLevel="0" collapsed="false">
      <c r="A24" s="4" t="s">
        <v>34</v>
      </c>
      <c r="B24" s="3" t="s">
        <v>35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2" t="s">
        <v>36</v>
      </c>
    </row>
    <row r="27" customFormat="false" ht="15" hidden="false" customHeight="false" outlineLevel="0" collapsed="false">
      <c r="A27" s="2" t="s">
        <v>37</v>
      </c>
      <c r="B27" s="3" t="s">
        <v>38</v>
      </c>
    </row>
    <row r="28" customFormat="false" ht="15" hidden="false" customHeight="false" outlineLevel="0" collapsed="false">
      <c r="A28" s="4" t="s">
        <v>39</v>
      </c>
      <c r="B28" s="3" t="s">
        <v>40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2" t="s">
        <v>41</v>
      </c>
    </row>
    <row r="31" customFormat="false" ht="15" hidden="false" customHeight="false" outlineLevel="0" collapsed="false">
      <c r="A31" s="2" t="s">
        <v>42</v>
      </c>
      <c r="B31" s="3" t="s">
        <v>43</v>
      </c>
    </row>
    <row r="32" customFormat="false" ht="15" hidden="false" customHeight="false" outlineLevel="0" collapsed="false">
      <c r="A32" s="4" t="s">
        <v>44</v>
      </c>
      <c r="B32" s="3" t="s">
        <v>45</v>
      </c>
    </row>
    <row r="33" customFormat="false" ht="15" hidden="false" customHeight="false" outlineLevel="0" collapsed="false">
      <c r="A33" s="2"/>
    </row>
    <row r="34" customFormat="false" ht="15" hidden="false" customHeight="false" outlineLevel="0" collapsed="false">
      <c r="A34" s="2" t="s">
        <v>46</v>
      </c>
    </row>
    <row r="35" customFormat="false" ht="15" hidden="false" customHeight="false" outlineLevel="0" collapsed="false">
      <c r="A35" s="2" t="s">
        <v>47</v>
      </c>
      <c r="B35" s="3" t="s">
        <v>48</v>
      </c>
    </row>
    <row r="36" customFormat="false" ht="15" hidden="false" customHeight="false" outlineLevel="0" collapsed="false">
      <c r="A36" s="2" t="s">
        <v>49</v>
      </c>
      <c r="B36" s="3" t="s">
        <v>50</v>
      </c>
    </row>
    <row r="37" customFormat="false" ht="15" hidden="false" customHeight="false" outlineLevel="0" collapsed="false">
      <c r="A37" s="2" t="s">
        <v>51</v>
      </c>
      <c r="B37" s="3" t="s">
        <v>52</v>
      </c>
    </row>
    <row r="38" customFormat="false" ht="15" hidden="false" customHeight="false" outlineLevel="0" collapsed="false">
      <c r="A38" s="2"/>
      <c r="B38" s="3" t="s">
        <v>53</v>
      </c>
    </row>
    <row r="39" customFormat="false" ht="15" hidden="false" customHeight="false" outlineLevel="0" collapsed="false">
      <c r="A39" s="2"/>
    </row>
    <row r="40" customFormat="false" ht="15" hidden="false" customHeight="false" outlineLevel="0" collapsed="false">
      <c r="A40" s="2" t="s">
        <v>54</v>
      </c>
    </row>
    <row r="41" customFormat="false" ht="15" hidden="false" customHeight="false" outlineLevel="0" collapsed="false">
      <c r="A41" s="2" t="s">
        <v>55</v>
      </c>
      <c r="B41" s="3" t="s">
        <v>56</v>
      </c>
    </row>
    <row r="42" customFormat="false" ht="15" hidden="false" customHeight="false" outlineLevel="0" collapsed="false">
      <c r="A42" s="2" t="s">
        <v>57</v>
      </c>
      <c r="B42" s="3" t="s">
        <v>58</v>
      </c>
    </row>
    <row r="43" customFormat="false" ht="15" hidden="false" customHeight="false" outlineLevel="0" collapsed="false">
      <c r="A43" s="2" t="s">
        <v>59</v>
      </c>
      <c r="B43" s="3" t="s">
        <v>60</v>
      </c>
    </row>
    <row r="44" customFormat="false" ht="15" hidden="false" customHeight="false" outlineLevel="0" collapsed="false">
      <c r="A44" s="2" t="s">
        <v>61</v>
      </c>
      <c r="B44" s="3" t="s">
        <v>62</v>
      </c>
    </row>
    <row r="45" customFormat="false" ht="15" hidden="false" customHeight="false" outlineLevel="0" collapsed="false">
      <c r="A45" s="2" t="s">
        <v>26</v>
      </c>
      <c r="B45" s="3" t="s">
        <v>63</v>
      </c>
    </row>
    <row r="46" customFormat="false" ht="15" hidden="false" customHeight="false" outlineLevel="0" collapsed="false">
      <c r="A46" s="2" t="s">
        <v>64</v>
      </c>
      <c r="B46" s="3" t="s">
        <v>65</v>
      </c>
    </row>
    <row r="47" customFormat="false" ht="15" hidden="false" customHeight="false" outlineLevel="0" collapsed="false">
      <c r="A47" s="2" t="s">
        <v>66</v>
      </c>
      <c r="B47" s="3" t="s">
        <v>67</v>
      </c>
    </row>
    <row r="48" customFormat="false" ht="15" hidden="false" customHeight="false" outlineLevel="0" collapsed="false">
      <c r="A48" s="2" t="s">
        <v>68</v>
      </c>
      <c r="B48" s="3" t="s">
        <v>69</v>
      </c>
    </row>
    <row r="49" customFormat="false" ht="15" hidden="false" customHeight="false" outlineLevel="0" collapsed="false">
      <c r="A49" s="2" t="s">
        <v>70</v>
      </c>
      <c r="B49" s="3" t="s">
        <v>71</v>
      </c>
    </row>
    <row r="50" customFormat="false" ht="15" hidden="false" customHeight="false" outlineLevel="0" collapsed="false">
      <c r="A50" s="2" t="s">
        <v>72</v>
      </c>
      <c r="B50" s="3" t="s">
        <v>73</v>
      </c>
    </row>
    <row r="51" customFormat="false" ht="15" hidden="false" customHeight="false" outlineLevel="0" collapsed="false">
      <c r="A51" s="2"/>
    </row>
    <row r="52" customFormat="false" ht="15" hidden="false" customHeight="false" outlineLevel="0" collapsed="false">
      <c r="A52" s="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5" min="2" style="0" width="12"/>
  </cols>
  <sheetData>
    <row r="1" customFormat="false" ht="17.35" hidden="false" customHeight="false" outlineLevel="0" collapsed="false">
      <c r="A1" s="1" t="s">
        <v>75</v>
      </c>
    </row>
    <row r="3" customFormat="false" ht="15" hidden="false" customHeight="false" outlineLevel="0" collapsed="false">
      <c r="A3" s="0" t="s">
        <v>76</v>
      </c>
    </row>
    <row r="5" customFormat="false" ht="15" hidden="false" customHeight="false" outlineLevel="0" collapsed="false">
      <c r="A5" s="5" t="s">
        <v>77</v>
      </c>
    </row>
    <row r="6" customFormat="false" ht="15" hidden="false" customHeight="false" outlineLevel="0" collapsed="false">
      <c r="A6" s="6" t="s">
        <v>78</v>
      </c>
      <c r="B6" s="6" t="s">
        <v>79</v>
      </c>
      <c r="C6" s="6" t="s">
        <v>80</v>
      </c>
    </row>
    <row r="7" customFormat="false" ht="15" hidden="false" customHeight="false" outlineLevel="0" collapsed="false">
      <c r="A7" s="0" t="s">
        <v>81</v>
      </c>
      <c r="B7" s="7" t="n">
        <f aca="false">'Production Plan'!BE11</f>
        <v>121509.435416667</v>
      </c>
      <c r="C7" s="3" t="s">
        <v>70</v>
      </c>
    </row>
    <row r="8" customFormat="false" ht="15" hidden="false" customHeight="false" outlineLevel="0" collapsed="false">
      <c r="A8" s="0" t="s">
        <v>82</v>
      </c>
      <c r="B8" s="7" t="n">
        <f aca="false">'Production Plan'!BE18</f>
        <v>3566.3625</v>
      </c>
      <c r="C8" s="3" t="s">
        <v>70</v>
      </c>
    </row>
    <row r="9" customFormat="false" ht="15" hidden="false" customHeight="false" outlineLevel="0" collapsed="false">
      <c r="A9" s="0" t="s">
        <v>42</v>
      </c>
      <c r="B9" s="7" t="n">
        <f aca="false">'Production Plan'!BE20</f>
        <v>125075.797916667</v>
      </c>
      <c r="C9" s="3" t="s">
        <v>70</v>
      </c>
    </row>
    <row r="10" customFormat="false" ht="15" hidden="false" customHeight="false" outlineLevel="0" collapsed="false">
      <c r="A10" s="0" t="s">
        <v>44</v>
      </c>
      <c r="B10" s="7" t="n">
        <f aca="false">'Production Plan'!BE21</f>
        <v>137583.377708333</v>
      </c>
      <c r="C10" s="3" t="s">
        <v>83</v>
      </c>
    </row>
    <row r="11" customFormat="false" ht="15" hidden="false" customHeight="false" outlineLevel="0" collapsed="false">
      <c r="A11" s="0" t="s">
        <v>84</v>
      </c>
      <c r="B11" s="8" t="n">
        <f aca="false">Revenue!BE11</f>
        <v>3405167.29166667</v>
      </c>
      <c r="C11" s="3" t="s">
        <v>85</v>
      </c>
    </row>
    <row r="12" customFormat="false" ht="15" hidden="false" customHeight="false" outlineLevel="0" collapsed="false">
      <c r="A12" s="0" t="s">
        <v>86</v>
      </c>
      <c r="B12" s="8" t="n">
        <f aca="false">Revenue!BE19</f>
        <v>1642191.815625</v>
      </c>
      <c r="C12" s="3" t="s">
        <v>85</v>
      </c>
    </row>
    <row r="13" customFormat="false" ht="15" hidden="false" customHeight="false" outlineLevel="0" collapsed="false">
      <c r="A13" s="0" t="s">
        <v>87</v>
      </c>
      <c r="B13" s="9" t="n">
        <f aca="false">Revenue!BE19/Revenue!BE11</f>
        <v>0.482264651033114</v>
      </c>
      <c r="C13" s="3" t="s">
        <v>88</v>
      </c>
    </row>
    <row r="14" customFormat="false" ht="15" hidden="false" customHeight="false" outlineLevel="0" collapsed="false">
      <c r="A14" s="0" t="s">
        <v>89</v>
      </c>
      <c r="B14" s="7" t="n">
        <f aca="false">Doors!BP186</f>
        <v>2989</v>
      </c>
      <c r="C14" s="3" t="s">
        <v>90</v>
      </c>
    </row>
    <row r="15" customFormat="false" ht="15" hidden="false" customHeight="false" outlineLevel="0" collapsed="false">
      <c r="A15" s="0" t="s">
        <v>91</v>
      </c>
      <c r="B15" s="7" t="n">
        <f aca="false">Assumptions!B6</f>
        <v>1</v>
      </c>
      <c r="C15" s="3" t="s">
        <v>92</v>
      </c>
    </row>
    <row r="18" customFormat="false" ht="15" hidden="false" customHeight="false" outlineLevel="0" collapsed="false">
      <c r="A18" s="5" t="s">
        <v>93</v>
      </c>
    </row>
    <row r="19" customFormat="false" ht="15" hidden="false" customHeight="false" outlineLevel="0" collapsed="false">
      <c r="A19" s="4" t="s">
        <v>94</v>
      </c>
      <c r="B19" s="6" t="s">
        <v>95</v>
      </c>
      <c r="C19" s="6" t="s">
        <v>96</v>
      </c>
      <c r="D19" s="6" t="s">
        <v>97</v>
      </c>
      <c r="E19" s="6" t="s">
        <v>98</v>
      </c>
      <c r="F19" s="6" t="s">
        <v>99</v>
      </c>
      <c r="G19" s="6" t="s">
        <v>100</v>
      </c>
      <c r="H19" s="6" t="s">
        <v>101</v>
      </c>
      <c r="I19" s="6" t="s">
        <v>102</v>
      </c>
      <c r="J19" s="6" t="s">
        <v>103</v>
      </c>
      <c r="K19" s="6" t="s">
        <v>104</v>
      </c>
      <c r="L19" s="6" t="s">
        <v>105</v>
      </c>
      <c r="M19" s="6" t="s">
        <v>106</v>
      </c>
      <c r="N19" s="4" t="s">
        <v>107</v>
      </c>
    </row>
    <row r="20" customFormat="false" ht="15" hidden="false" customHeight="false" outlineLevel="0" collapsed="false">
      <c r="A20" s="0" t="s">
        <v>108</v>
      </c>
      <c r="B20" s="7" t="n">
        <f aca="false">SUMIFS('Forecast Weekly'!E:E,'Forecast Weekly'!$A:$A,$A20)+SUMIFS('Forecast Weekly'!F:F,'Forecast Weekly'!$A:$A,$A20)+SUMIFS('Forecast Weekly'!G:G,'Forecast Weekly'!$A:$A,$A20)+SUMIFS('Forecast Weekly'!H:H,'Forecast Weekly'!$A:$A,$A20)+SUMIFS('Forecast Weekly'!I:I,'Forecast Weekly'!$A:$A,$A20)</f>
        <v>602.177083333333</v>
      </c>
      <c r="C20" s="7" t="n">
        <f aca="false">SUMIFS('Forecast Weekly'!J:J,'Forecast Weekly'!$A:$A,$A20)+SUMIFS('Forecast Weekly'!K:K,'Forecast Weekly'!$A:$A,$A20)+SUMIFS('Forecast Weekly'!L:L,'Forecast Weekly'!$A:$A,$A20)+SUMIFS('Forecast Weekly'!M:M,'Forecast Weekly'!$A:$A,$A20)</f>
        <v>692.825</v>
      </c>
      <c r="D20" s="7" t="n">
        <f aca="false">SUMIFS('Forecast Weekly'!N:N,'Forecast Weekly'!$A:$A,$A20)+SUMIFS('Forecast Weekly'!O:O,'Forecast Weekly'!$A:$A,$A20)+SUMIFS('Forecast Weekly'!P:P,'Forecast Weekly'!$A:$A,$A20)+SUMIFS('Forecast Weekly'!Q:Q,'Forecast Weekly'!$A:$A,$A20)</f>
        <v>997.233333333333</v>
      </c>
      <c r="E20" s="7" t="n">
        <f aca="false">SUMIFS('Forecast Weekly'!R:R,'Forecast Weekly'!$A:$A,$A20)+SUMIFS('Forecast Weekly'!S:S,'Forecast Weekly'!$A:$A,$A20)+SUMIFS('Forecast Weekly'!T:T,'Forecast Weekly'!$A:$A,$A20)+SUMIFS('Forecast Weekly'!U:U,'Forecast Weekly'!$A:$A,$A20)+SUMIFS('Forecast Weekly'!V:V,'Forecast Weekly'!$A:$A,$A20)</f>
        <v>1667.19791666667</v>
      </c>
      <c r="F20" s="7" t="n">
        <f aca="false">SUMIFS('Forecast Weekly'!W:W,'Forecast Weekly'!$A:$A,$A20)+SUMIFS('Forecast Weekly'!X:X,'Forecast Weekly'!$A:$A,$A20)+SUMIFS('Forecast Weekly'!Y:Y,'Forecast Weekly'!$A:$A,$A20)+SUMIFS('Forecast Weekly'!Z:Z,'Forecast Weekly'!$A:$A,$A20)</f>
        <v>1650.58333333333</v>
      </c>
      <c r="G20" s="7" t="n">
        <f aca="false">SUMIFS('Forecast Weekly'!AA:AA,'Forecast Weekly'!$A:$A,$A20)+SUMIFS('Forecast Weekly'!AB:AB,'Forecast Weekly'!$A:$A,$A20)+SUMIFS('Forecast Weekly'!AC:AC,'Forecast Weekly'!$A:$A,$A20)+SUMIFS('Forecast Weekly'!AD:AD,'Forecast Weekly'!$A:$A,$A20)</f>
        <v>1965.34166666667</v>
      </c>
      <c r="H20" s="7" t="n">
        <f aca="false">SUMIFS('Forecast Weekly'!AE:AE,'Forecast Weekly'!$A:$A,$A20)+SUMIFS('Forecast Weekly'!AF:AF,'Forecast Weekly'!$A:$A,$A20)+SUMIFS('Forecast Weekly'!AG:AG,'Forecast Weekly'!$A:$A,$A20)+SUMIFS('Forecast Weekly'!AH:AH,'Forecast Weekly'!$A:$A,$A20)+SUMIFS('Forecast Weekly'!AI:AI,'Forecast Weekly'!$A:$A,$A20)</f>
        <v>6616.10416666667</v>
      </c>
      <c r="I20" s="7" t="n">
        <f aca="false">SUMIFS('Forecast Weekly'!AJ:AJ,'Forecast Weekly'!$A:$A,$A20)+SUMIFS('Forecast Weekly'!AK:AK,'Forecast Weekly'!$A:$A,$A20)+SUMIFS('Forecast Weekly'!AL:AL,'Forecast Weekly'!$A:$A,$A20)+SUMIFS('Forecast Weekly'!AM:AM,'Forecast Weekly'!$A:$A,$A20)</f>
        <v>2456.21666666667</v>
      </c>
      <c r="J20" s="7" t="n">
        <f aca="false">SUMIFS('Forecast Weekly'!AN:AN,'Forecast Weekly'!$A:$A,$A20)+SUMIFS('Forecast Weekly'!AO:AO,'Forecast Weekly'!$A:$A,$A20)+SUMIFS('Forecast Weekly'!AP:AP,'Forecast Weekly'!$A:$A,$A20)+SUMIFS('Forecast Weekly'!AQ:AQ,'Forecast Weekly'!$A:$A,$A20)</f>
        <v>2636.70833333333</v>
      </c>
      <c r="K20" s="7" t="n">
        <f aca="false">SUMIFS('Forecast Weekly'!AR:AR,'Forecast Weekly'!$A:$A,$A20)+SUMIFS('Forecast Weekly'!AS:AS,'Forecast Weekly'!$A:$A,$A20)+SUMIFS('Forecast Weekly'!AT:AT,'Forecast Weekly'!$A:$A,$A20)+SUMIFS('Forecast Weekly'!AU:AU,'Forecast Weekly'!$A:$A,$A20)+SUMIFS('Forecast Weekly'!AV:AV,'Forecast Weekly'!$A:$A,$A20)</f>
        <v>7694.20833333333</v>
      </c>
      <c r="L20" s="7" t="n">
        <f aca="false">SUMIFS('Forecast Weekly'!AW:AW,'Forecast Weekly'!$A:$A,$A20)+SUMIFS('Forecast Weekly'!AX:AX,'Forecast Weekly'!$A:$A,$A20)+SUMIFS('Forecast Weekly'!AY:AY,'Forecast Weekly'!$A:$A,$A20)+SUMIFS('Forecast Weekly'!AZ:AZ,'Forecast Weekly'!$A:$A,$A20)</f>
        <v>6567.05</v>
      </c>
      <c r="M20" s="7" t="n">
        <f aca="false">SUMIFS('Forecast Weekly'!BA:BA,'Forecast Weekly'!$A:$A,$A20)+SUMIFS('Forecast Weekly'!BB:BB,'Forecast Weekly'!$A:$A,$A20)+SUMIFS('Forecast Weekly'!BC:BC,'Forecast Weekly'!$A:$A,$A20)+SUMIFS('Forecast Weekly'!BD:BD,'Forecast Weekly'!$A:$A,$A20)</f>
        <v>6855.53333333333</v>
      </c>
      <c r="N20" s="3" t="n">
        <f aca="false">SUM(B20:M20)</f>
        <v>40401.1791666667</v>
      </c>
    </row>
    <row r="21" customFormat="false" ht="15" hidden="false" customHeight="false" outlineLevel="0" collapsed="false">
      <c r="A21" s="0" t="s">
        <v>109</v>
      </c>
      <c r="B21" s="7" t="n">
        <f aca="false">SUMIFS('Forecast Weekly'!E:E,'Forecast Weekly'!$A:$A,$A21)+SUMIFS('Forecast Weekly'!F:F,'Forecast Weekly'!$A:$A,$A21)+SUMIFS('Forecast Weekly'!G:G,'Forecast Weekly'!$A:$A,$A21)+SUMIFS('Forecast Weekly'!H:H,'Forecast Weekly'!$A:$A,$A21)+SUMIFS('Forecast Weekly'!I:I,'Forecast Weekly'!$A:$A,$A21)</f>
        <v>569.59375</v>
      </c>
      <c r="C21" s="7" t="n">
        <f aca="false">SUMIFS('Forecast Weekly'!J:J,'Forecast Weekly'!$A:$A,$A21)+SUMIFS('Forecast Weekly'!K:K,'Forecast Weekly'!$A:$A,$A21)+SUMIFS('Forecast Weekly'!L:L,'Forecast Weekly'!$A:$A,$A21)+SUMIFS('Forecast Weekly'!M:M,'Forecast Weekly'!$A:$A,$A21)</f>
        <v>658.425</v>
      </c>
      <c r="D21" s="7" t="n">
        <f aca="false">SUMIFS('Forecast Weekly'!N:N,'Forecast Weekly'!$A:$A,$A21)+SUMIFS('Forecast Weekly'!O:O,'Forecast Weekly'!$A:$A,$A21)+SUMIFS('Forecast Weekly'!P:P,'Forecast Weekly'!$A:$A,$A21)+SUMIFS('Forecast Weekly'!Q:Q,'Forecast Weekly'!$A:$A,$A21)</f>
        <v>948.516666666667</v>
      </c>
      <c r="E21" s="7" t="n">
        <f aca="false">SUMIFS('Forecast Weekly'!R:R,'Forecast Weekly'!$A:$A,$A21)+SUMIFS('Forecast Weekly'!S:S,'Forecast Weekly'!$A:$A,$A21)+SUMIFS('Forecast Weekly'!T:T,'Forecast Weekly'!$A:$A,$A21)+SUMIFS('Forecast Weekly'!U:U,'Forecast Weekly'!$A:$A,$A21)+SUMIFS('Forecast Weekly'!V:V,'Forecast Weekly'!$A:$A,$A21)</f>
        <v>1582.05208333333</v>
      </c>
      <c r="F21" s="7" t="n">
        <f aca="false">SUMIFS('Forecast Weekly'!W:W,'Forecast Weekly'!$A:$A,$A21)+SUMIFS('Forecast Weekly'!X:X,'Forecast Weekly'!$A:$A,$A21)+SUMIFS('Forecast Weekly'!Y:Y,'Forecast Weekly'!$A:$A,$A21)+SUMIFS('Forecast Weekly'!Z:Z,'Forecast Weekly'!$A:$A,$A21)</f>
        <v>1561.48333333333</v>
      </c>
      <c r="G21" s="7" t="n">
        <f aca="false">SUMIFS('Forecast Weekly'!AA:AA,'Forecast Weekly'!$A:$A,$A21)+SUMIFS('Forecast Weekly'!AB:AB,'Forecast Weekly'!$A:$A,$A21)+SUMIFS('Forecast Weekly'!AC:AC,'Forecast Weekly'!$A:$A,$A21)+SUMIFS('Forecast Weekly'!AD:AD,'Forecast Weekly'!$A:$A,$A21)</f>
        <v>1852.29166666667</v>
      </c>
      <c r="H21" s="7" t="n">
        <f aca="false">SUMIFS('Forecast Weekly'!AE:AE,'Forecast Weekly'!$A:$A,$A21)+SUMIFS('Forecast Weekly'!AF:AF,'Forecast Weekly'!$A:$A,$A21)+SUMIFS('Forecast Weekly'!AG:AG,'Forecast Weekly'!$A:$A,$A21)+SUMIFS('Forecast Weekly'!AH:AH,'Forecast Weekly'!$A:$A,$A21)+SUMIFS('Forecast Weekly'!AI:AI,'Forecast Weekly'!$A:$A,$A21)</f>
        <v>6072.625</v>
      </c>
      <c r="I21" s="7" t="n">
        <f aca="false">SUMIFS('Forecast Weekly'!AJ:AJ,'Forecast Weekly'!$A:$A,$A21)+SUMIFS('Forecast Weekly'!AK:AK,'Forecast Weekly'!$A:$A,$A21)+SUMIFS('Forecast Weekly'!AL:AL,'Forecast Weekly'!$A:$A,$A21)+SUMIFS('Forecast Weekly'!AM:AM,'Forecast Weekly'!$A:$A,$A21)</f>
        <v>2301.41666666667</v>
      </c>
      <c r="J21" s="7" t="n">
        <f aca="false">SUMIFS('Forecast Weekly'!AN:AN,'Forecast Weekly'!$A:$A,$A21)+SUMIFS('Forecast Weekly'!AO:AO,'Forecast Weekly'!$A:$A,$A21)+SUMIFS('Forecast Weekly'!AP:AP,'Forecast Weekly'!$A:$A,$A21)+SUMIFS('Forecast Weekly'!AQ:AQ,'Forecast Weekly'!$A:$A,$A21)</f>
        <v>2464.34166666667</v>
      </c>
      <c r="K21" s="7" t="n">
        <f aca="false">SUMIFS('Forecast Weekly'!AR:AR,'Forecast Weekly'!$A:$A,$A21)+SUMIFS('Forecast Weekly'!AS:AS,'Forecast Weekly'!$A:$A,$A21)+SUMIFS('Forecast Weekly'!AT:AT,'Forecast Weekly'!$A:$A,$A21)+SUMIFS('Forecast Weekly'!AU:AU,'Forecast Weekly'!$A:$A,$A21)+SUMIFS('Forecast Weekly'!AV:AV,'Forecast Weekly'!$A:$A,$A21)</f>
        <v>7049.22916666667</v>
      </c>
      <c r="L21" s="7" t="n">
        <f aca="false">SUMIFS('Forecast Weekly'!AW:AW,'Forecast Weekly'!$A:$A,$A21)+SUMIFS('Forecast Weekly'!AX:AX,'Forecast Weekly'!$A:$A,$A21)+SUMIFS('Forecast Weekly'!AY:AY,'Forecast Weekly'!$A:$A,$A21)+SUMIFS('Forecast Weekly'!AZ:AZ,'Forecast Weekly'!$A:$A,$A21)</f>
        <v>6009.86666666667</v>
      </c>
      <c r="M21" s="7" t="n">
        <f aca="false">SUMIFS('Forecast Weekly'!BA:BA,'Forecast Weekly'!$A:$A,$A21)+SUMIFS('Forecast Weekly'!BB:BB,'Forecast Weekly'!$A:$A,$A21)+SUMIFS('Forecast Weekly'!BC:BC,'Forecast Weekly'!$A:$A,$A21)+SUMIFS('Forecast Weekly'!BD:BD,'Forecast Weekly'!$A:$A,$A21)</f>
        <v>6269.36666666667</v>
      </c>
      <c r="N21" s="3" t="n">
        <f aca="false">SUM(B21:M21)</f>
        <v>37339.2083333333</v>
      </c>
    </row>
    <row r="22" customFormat="false" ht="15" hidden="false" customHeight="false" outlineLevel="0" collapsed="false">
      <c r="A22" s="0" t="s">
        <v>110</v>
      </c>
      <c r="B22" s="7" t="n">
        <f aca="false">SUMIFS('Forecast Weekly'!E:E,'Forecast Weekly'!$A:$A,$A22)+SUMIFS('Forecast Weekly'!F:F,'Forecast Weekly'!$A:$A,$A22)+SUMIFS('Forecast Weekly'!G:G,'Forecast Weekly'!$A:$A,$A22)+SUMIFS('Forecast Weekly'!H:H,'Forecast Weekly'!$A:$A,$A22)+SUMIFS('Forecast Weekly'!I:I,'Forecast Weekly'!$A:$A,$A22)</f>
        <v>625.177083333333</v>
      </c>
      <c r="C22" s="7" t="n">
        <f aca="false">SUMIFS('Forecast Weekly'!J:J,'Forecast Weekly'!$A:$A,$A22)+SUMIFS('Forecast Weekly'!K:K,'Forecast Weekly'!$A:$A,$A22)+SUMIFS('Forecast Weekly'!L:L,'Forecast Weekly'!$A:$A,$A22)+SUMIFS('Forecast Weekly'!M:M,'Forecast Weekly'!$A:$A,$A22)</f>
        <v>716.825</v>
      </c>
      <c r="D22" s="7" t="n">
        <f aca="false">SUMIFS('Forecast Weekly'!N:N,'Forecast Weekly'!$A:$A,$A22)+SUMIFS('Forecast Weekly'!O:O,'Forecast Weekly'!$A:$A,$A22)+SUMIFS('Forecast Weekly'!P:P,'Forecast Weekly'!$A:$A,$A22)+SUMIFS('Forecast Weekly'!Q:Q,'Forecast Weekly'!$A:$A,$A22)</f>
        <v>1031.60833333333</v>
      </c>
      <c r="E22" s="7" t="n">
        <f aca="false">SUMIFS('Forecast Weekly'!R:R,'Forecast Weekly'!$A:$A,$A22)+SUMIFS('Forecast Weekly'!S:S,'Forecast Weekly'!$A:$A,$A22)+SUMIFS('Forecast Weekly'!T:T,'Forecast Weekly'!$A:$A,$A22)+SUMIFS('Forecast Weekly'!U:U,'Forecast Weekly'!$A:$A,$A22)+SUMIFS('Forecast Weekly'!V:V,'Forecast Weekly'!$A:$A,$A22)</f>
        <v>1728.16666666667</v>
      </c>
      <c r="F22" s="7" t="n">
        <f aca="false">SUMIFS('Forecast Weekly'!W:W,'Forecast Weekly'!$A:$A,$A22)+SUMIFS('Forecast Weekly'!X:X,'Forecast Weekly'!$A:$A,$A22)+SUMIFS('Forecast Weekly'!Y:Y,'Forecast Weekly'!$A:$A,$A22)+SUMIFS('Forecast Weekly'!Z:Z,'Forecast Weekly'!$A:$A,$A22)</f>
        <v>1714.78333333333</v>
      </c>
      <c r="G22" s="7" t="n">
        <f aca="false">SUMIFS('Forecast Weekly'!AA:AA,'Forecast Weekly'!$A:$A,$A22)+SUMIFS('Forecast Weekly'!AB:AB,'Forecast Weekly'!$A:$A,$A22)+SUMIFS('Forecast Weekly'!AC:AC,'Forecast Weekly'!$A:$A,$A22)+SUMIFS('Forecast Weekly'!AD:AD,'Forecast Weekly'!$A:$A,$A22)</f>
        <v>2047.31666666667</v>
      </c>
      <c r="H22" s="7" t="n">
        <f aca="false">SUMIFS('Forecast Weekly'!AE:AE,'Forecast Weekly'!$A:$A,$A22)+SUMIFS('Forecast Weekly'!AF:AF,'Forecast Weekly'!$A:$A,$A22)+SUMIFS('Forecast Weekly'!AG:AG,'Forecast Weekly'!$A:$A,$A22)+SUMIFS('Forecast Weekly'!AH:AH,'Forecast Weekly'!$A:$A,$A22)+SUMIFS('Forecast Weekly'!AI:AI,'Forecast Weekly'!$A:$A,$A22)</f>
        <v>7113.51041666667</v>
      </c>
      <c r="I22" s="7" t="n">
        <f aca="false">SUMIFS('Forecast Weekly'!AJ:AJ,'Forecast Weekly'!$A:$A,$A22)+SUMIFS('Forecast Weekly'!AK:AK,'Forecast Weekly'!$A:$A,$A22)+SUMIFS('Forecast Weekly'!AL:AL,'Forecast Weekly'!$A:$A,$A22)+SUMIFS('Forecast Weekly'!AM:AM,'Forecast Weekly'!$A:$A,$A22)</f>
        <v>2569.01666666667</v>
      </c>
      <c r="J22" s="7" t="n">
        <f aca="false">SUMIFS('Forecast Weekly'!AN:AN,'Forecast Weekly'!$A:$A,$A22)+SUMIFS('Forecast Weekly'!AO:AO,'Forecast Weekly'!$A:$A,$A22)+SUMIFS('Forecast Weekly'!AP:AP,'Forecast Weekly'!$A:$A,$A22)+SUMIFS('Forecast Weekly'!AQ:AQ,'Forecast Weekly'!$A:$A,$A22)</f>
        <v>2762.50833333333</v>
      </c>
      <c r="K22" s="7" t="n">
        <f aca="false">SUMIFS('Forecast Weekly'!AR:AR,'Forecast Weekly'!$A:$A,$A22)+SUMIFS('Forecast Weekly'!AS:AS,'Forecast Weekly'!$A:$A,$A22)+SUMIFS('Forecast Weekly'!AT:AT,'Forecast Weekly'!$A:$A,$A22)+SUMIFS('Forecast Weekly'!AU:AU,'Forecast Weekly'!$A:$A,$A22)+SUMIFS('Forecast Weekly'!AV:AV,'Forecast Weekly'!$A:$A,$A22)</f>
        <v>8276.55208333333</v>
      </c>
      <c r="L22" s="7" t="n">
        <f aca="false">SUMIFS('Forecast Weekly'!AW:AW,'Forecast Weekly'!$A:$A,$A22)+SUMIFS('Forecast Weekly'!AX:AX,'Forecast Weekly'!$A:$A,$A22)+SUMIFS('Forecast Weekly'!AY:AY,'Forecast Weekly'!$A:$A,$A22)+SUMIFS('Forecast Weekly'!AZ:AZ,'Forecast Weekly'!$A:$A,$A22)</f>
        <v>7071.175</v>
      </c>
      <c r="M22" s="7" t="n">
        <f aca="false">SUMIFS('Forecast Weekly'!BA:BA,'Forecast Weekly'!$A:$A,$A22)+SUMIFS('Forecast Weekly'!BB:BB,'Forecast Weekly'!$A:$A,$A22)+SUMIFS('Forecast Weekly'!BC:BC,'Forecast Weekly'!$A:$A,$A22)+SUMIFS('Forecast Weekly'!BD:BD,'Forecast Weekly'!$A:$A,$A22)</f>
        <v>7386.63333333333</v>
      </c>
      <c r="N22" s="3" t="n">
        <f aca="false">SUM(B22:M22)</f>
        <v>43043.2729166667</v>
      </c>
    </row>
    <row r="23" customFormat="false" ht="15" hidden="false" customHeight="false" outlineLevel="0" collapsed="false">
      <c r="A23" s="0" t="s">
        <v>111</v>
      </c>
      <c r="B23" s="7" t="n">
        <f aca="false">SUMIFS('Forecast Weekly'!E:E,'Forecast Weekly'!$A:$A,$A23)+SUMIFS('Forecast Weekly'!F:F,'Forecast Weekly'!$A:$A,$A23)+SUMIFS('Forecast Weekly'!G:G,'Forecast Weekly'!$A:$A,$A23)+SUMIFS('Forecast Weekly'!H:H,'Forecast Weekly'!$A:$A,$A23)+SUMIFS('Forecast Weekly'!I:I,'Forecast Weekly'!$A:$A,$A23)</f>
        <v>0</v>
      </c>
      <c r="C23" s="7" t="n">
        <f aca="false">SUMIFS('Forecast Weekly'!J:J,'Forecast Weekly'!$A:$A,$A23)+SUMIFS('Forecast Weekly'!K:K,'Forecast Weekly'!$A:$A,$A23)+SUMIFS('Forecast Weekly'!L:L,'Forecast Weekly'!$A:$A,$A23)+SUMIFS('Forecast Weekly'!M:M,'Forecast Weekly'!$A:$A,$A23)</f>
        <v>0</v>
      </c>
      <c r="D23" s="7" t="n">
        <f aca="false">SUMIFS('Forecast Weekly'!N:N,'Forecast Weekly'!$A:$A,$A23)+SUMIFS('Forecast Weekly'!O:O,'Forecast Weekly'!$A:$A,$A23)+SUMIFS('Forecast Weekly'!P:P,'Forecast Weekly'!$A:$A,$A23)+SUMIFS('Forecast Weekly'!Q:Q,'Forecast Weekly'!$A:$A,$A23)</f>
        <v>0</v>
      </c>
      <c r="E23" s="7" t="n">
        <f aca="false">SUMIFS('Forecast Weekly'!R:R,'Forecast Weekly'!$A:$A,$A23)+SUMIFS('Forecast Weekly'!S:S,'Forecast Weekly'!$A:$A,$A23)+SUMIFS('Forecast Weekly'!T:T,'Forecast Weekly'!$A:$A,$A23)+SUMIFS('Forecast Weekly'!U:U,'Forecast Weekly'!$A:$A,$A23)+SUMIFS('Forecast Weekly'!V:V,'Forecast Weekly'!$A:$A,$A23)</f>
        <v>0</v>
      </c>
      <c r="F23" s="7" t="n">
        <f aca="false">SUMIFS('Forecast Weekly'!W:W,'Forecast Weekly'!$A:$A,$A23)+SUMIFS('Forecast Weekly'!X:X,'Forecast Weekly'!$A:$A,$A23)+SUMIFS('Forecast Weekly'!Y:Y,'Forecast Weekly'!$A:$A,$A23)+SUMIFS('Forecast Weekly'!Z:Z,'Forecast Weekly'!$A:$A,$A23)</f>
        <v>18.925</v>
      </c>
      <c r="G23" s="7" t="n">
        <f aca="false">SUMIFS('Forecast Weekly'!AA:AA,'Forecast Weekly'!$A:$A,$A23)+SUMIFS('Forecast Weekly'!AB:AB,'Forecast Weekly'!$A:$A,$A23)+SUMIFS('Forecast Weekly'!AC:AC,'Forecast Weekly'!$A:$A,$A23)+SUMIFS('Forecast Weekly'!AD:AD,'Forecast Weekly'!$A:$A,$A23)</f>
        <v>38.7666666666667</v>
      </c>
      <c r="H23" s="7" t="n">
        <f aca="false">SUMIFS('Forecast Weekly'!AE:AE,'Forecast Weekly'!$A:$A,$A23)+SUMIFS('Forecast Weekly'!AF:AF,'Forecast Weekly'!$A:$A,$A23)+SUMIFS('Forecast Weekly'!AG:AG,'Forecast Weekly'!$A:$A,$A23)+SUMIFS('Forecast Weekly'!AH:AH,'Forecast Weekly'!$A:$A,$A23)+SUMIFS('Forecast Weekly'!AI:AI,'Forecast Weekly'!$A:$A,$A23)</f>
        <v>76.1458333333333</v>
      </c>
      <c r="I23" s="7" t="n">
        <f aca="false">SUMIFS('Forecast Weekly'!AJ:AJ,'Forecast Weekly'!$A:$A,$A23)+SUMIFS('Forecast Weekly'!AK:AK,'Forecast Weekly'!$A:$A,$A23)+SUMIFS('Forecast Weekly'!AL:AL,'Forecast Weekly'!$A:$A,$A23)+SUMIFS('Forecast Weekly'!AM:AM,'Forecast Weekly'!$A:$A,$A23)</f>
        <v>82.55</v>
      </c>
      <c r="J23" s="7" t="n">
        <f aca="false">SUMIFS('Forecast Weekly'!AN:AN,'Forecast Weekly'!$A:$A,$A23)+SUMIFS('Forecast Weekly'!AO:AO,'Forecast Weekly'!$A:$A,$A23)+SUMIFS('Forecast Weekly'!AP:AP,'Forecast Weekly'!$A:$A,$A23)+SUMIFS('Forecast Weekly'!AQ:AQ,'Forecast Weekly'!$A:$A,$A23)</f>
        <v>103.266666666667</v>
      </c>
      <c r="K23" s="7" t="n">
        <f aca="false">SUMIFS('Forecast Weekly'!AR:AR,'Forecast Weekly'!$A:$A,$A23)+SUMIFS('Forecast Weekly'!AS:AS,'Forecast Weekly'!$A:$A,$A23)+SUMIFS('Forecast Weekly'!AT:AT,'Forecast Weekly'!$A:$A,$A23)+SUMIFS('Forecast Weekly'!AU:AU,'Forecast Weekly'!$A:$A,$A23)+SUMIFS('Forecast Weekly'!AV:AV,'Forecast Weekly'!$A:$A,$A23)</f>
        <v>144.770833333333</v>
      </c>
      <c r="L23" s="7" t="n">
        <f aca="false">SUMIFS('Forecast Weekly'!AW:AW,'Forecast Weekly'!$A:$A,$A23)+SUMIFS('Forecast Weekly'!AX:AX,'Forecast Weekly'!$A:$A,$A23)+SUMIFS('Forecast Weekly'!AY:AY,'Forecast Weekly'!$A:$A,$A23)+SUMIFS('Forecast Weekly'!AZ:AZ,'Forecast Weekly'!$A:$A,$A23)</f>
        <v>125.416666666667</v>
      </c>
      <c r="M23" s="7" t="n">
        <f aca="false">SUMIFS('Forecast Weekly'!BA:BA,'Forecast Weekly'!$A:$A,$A23)+SUMIFS('Forecast Weekly'!BB:BB,'Forecast Weekly'!$A:$A,$A23)+SUMIFS('Forecast Weekly'!BC:BC,'Forecast Weekly'!$A:$A,$A23)+SUMIFS('Forecast Weekly'!BD:BD,'Forecast Weekly'!$A:$A,$A23)</f>
        <v>135.933333333333</v>
      </c>
      <c r="N23" s="3" t="n">
        <f aca="false">SUM(B23:M23)</f>
        <v>725.775</v>
      </c>
    </row>
    <row r="24" customFormat="false" ht="15" hidden="false" customHeight="false" outlineLevel="0" collapsed="false">
      <c r="A24" s="4" t="s">
        <v>112</v>
      </c>
      <c r="B24" s="10" t="n">
        <f aca="false">SUM(B20:B23)</f>
        <v>1796.94791666667</v>
      </c>
      <c r="C24" s="10" t="n">
        <f aca="false">SUM(C20:C23)</f>
        <v>2068.075</v>
      </c>
      <c r="D24" s="10" t="n">
        <f aca="false">SUM(D20:D23)</f>
        <v>2977.35833333333</v>
      </c>
      <c r="E24" s="10" t="n">
        <f aca="false">SUM(E20:E23)</f>
        <v>4977.41666666667</v>
      </c>
      <c r="F24" s="10" t="n">
        <f aca="false">SUM(F20:F23)</f>
        <v>4945.775</v>
      </c>
      <c r="G24" s="10" t="n">
        <f aca="false">SUM(G20:G23)</f>
        <v>5903.71666666667</v>
      </c>
      <c r="H24" s="10" t="n">
        <f aca="false">SUM(H20:H23)</f>
        <v>19878.3854166667</v>
      </c>
      <c r="I24" s="10" t="n">
        <f aca="false">SUM(I20:I23)</f>
        <v>7409.2</v>
      </c>
      <c r="J24" s="10" t="n">
        <f aca="false">SUM(J20:J23)</f>
        <v>7966.825</v>
      </c>
      <c r="K24" s="10" t="n">
        <f aca="false">SUM(K20:K23)</f>
        <v>23164.7604166667</v>
      </c>
      <c r="L24" s="10" t="n">
        <f aca="false">SUM(L20:L23)</f>
        <v>19773.5083333333</v>
      </c>
      <c r="M24" s="10" t="n">
        <f aca="false">SUM(M20:M23)</f>
        <v>20647.4666666667</v>
      </c>
      <c r="N24" s="10" t="n">
        <f aca="false">SUM(N20:N23)</f>
        <v>121509.435416667</v>
      </c>
    </row>
    <row r="27" customFormat="false" ht="15" hidden="false" customHeight="false" outlineLevel="0" collapsed="false">
      <c r="A27" s="5" t="s">
        <v>113</v>
      </c>
    </row>
    <row r="28" customFormat="false" ht="15" hidden="false" customHeight="false" outlineLevel="0" collapsed="false">
      <c r="A28" s="4" t="s">
        <v>114</v>
      </c>
      <c r="B28" s="6" t="s">
        <v>95</v>
      </c>
      <c r="C28" s="6" t="s">
        <v>96</v>
      </c>
      <c r="D28" s="6" t="s">
        <v>97</v>
      </c>
      <c r="E28" s="6" t="s">
        <v>98</v>
      </c>
      <c r="F28" s="6" t="s">
        <v>99</v>
      </c>
      <c r="G28" s="6" t="s">
        <v>100</v>
      </c>
      <c r="H28" s="6" t="s">
        <v>101</v>
      </c>
      <c r="I28" s="6" t="s">
        <v>102</v>
      </c>
      <c r="J28" s="6" t="s">
        <v>103</v>
      </c>
      <c r="K28" s="6" t="s">
        <v>104</v>
      </c>
      <c r="L28" s="6" t="s">
        <v>105</v>
      </c>
      <c r="M28" s="6" t="s">
        <v>106</v>
      </c>
      <c r="N28" s="4" t="s">
        <v>107</v>
      </c>
    </row>
    <row r="29" customFormat="false" ht="15" hidden="false" customHeight="false" outlineLevel="0" collapsed="false">
      <c r="A29" s="0" t="s">
        <v>115</v>
      </c>
      <c r="B29" s="7" t="n">
        <f aca="false">SUMIFS('Forecast Weekly'!E:E,'Forecast Weekly'!$C:$C,$A29)+SUMIFS('Forecast Weekly'!F:F,'Forecast Weekly'!$C:$C,$A29)+SUMIFS('Forecast Weekly'!G:G,'Forecast Weekly'!$C:$C,$A29)+SUMIFS('Forecast Weekly'!H:H,'Forecast Weekly'!$C:$C,$A29)+SUMIFS('Forecast Weekly'!I:I,'Forecast Weekly'!$C:$C,$A29)</f>
        <v>560.625</v>
      </c>
      <c r="C29" s="7" t="n">
        <f aca="false">SUMIFS('Forecast Weekly'!J:J,'Forecast Weekly'!$C:$C,$A29)+SUMIFS('Forecast Weekly'!K:K,'Forecast Weekly'!$C:$C,$A29)+SUMIFS('Forecast Weekly'!L:L,'Forecast Weekly'!$C:$C,$A29)+SUMIFS('Forecast Weekly'!M:M,'Forecast Weekly'!$C:$C,$A29)</f>
        <v>577.2</v>
      </c>
      <c r="D29" s="7" t="n">
        <f aca="false">SUMIFS('Forecast Weekly'!N:N,'Forecast Weekly'!$C:$C,$A29)+SUMIFS('Forecast Weekly'!O:O,'Forecast Weekly'!$C:$C,$A29)+SUMIFS('Forecast Weekly'!P:P,'Forecast Weekly'!$C:$C,$A29)+SUMIFS('Forecast Weekly'!Q:Q,'Forecast Weekly'!$C:$C,$A29)</f>
        <v>748.8</v>
      </c>
      <c r="E29" s="7" t="n">
        <f aca="false">SUMIFS('Forecast Weekly'!R:R,'Forecast Weekly'!$C:$C,$A29)+SUMIFS('Forecast Weekly'!S:S,'Forecast Weekly'!$C:$C,$A29)+SUMIFS('Forecast Weekly'!T:T,'Forecast Weekly'!$C:$C,$A29)+SUMIFS('Forecast Weekly'!U:U,'Forecast Weekly'!$C:$C,$A29)+SUMIFS('Forecast Weekly'!V:V,'Forecast Weekly'!$C:$C,$A29)</f>
        <v>1194.375</v>
      </c>
      <c r="F29" s="7" t="n">
        <f aca="false">SUMIFS('Forecast Weekly'!W:W,'Forecast Weekly'!$C:$C,$A29)+SUMIFS('Forecast Weekly'!X:X,'Forecast Weekly'!$C:$C,$A29)+SUMIFS('Forecast Weekly'!Y:Y,'Forecast Weekly'!$C:$C,$A29)+SUMIFS('Forecast Weekly'!Z:Z,'Forecast Weekly'!$C:$C,$A29)</f>
        <v>1181.96666666667</v>
      </c>
      <c r="G29" s="7" t="n">
        <f aca="false">SUMIFS('Forecast Weekly'!AA:AA,'Forecast Weekly'!$C:$C,$A29)+SUMIFS('Forecast Weekly'!AB:AB,'Forecast Weekly'!$C:$C,$A29)+SUMIFS('Forecast Weekly'!AC:AC,'Forecast Weekly'!$C:$C,$A29)+SUMIFS('Forecast Weekly'!AD:AD,'Forecast Weekly'!$C:$C,$A29)</f>
        <v>1431.83333333333</v>
      </c>
      <c r="H29" s="7" t="n">
        <f aca="false">SUMIFS('Forecast Weekly'!AE:AE,'Forecast Weekly'!$C:$C,$A29)+SUMIFS('Forecast Weekly'!AF:AF,'Forecast Weekly'!$C:$C,$A29)+SUMIFS('Forecast Weekly'!AG:AG,'Forecast Weekly'!$C:$C,$A29)+SUMIFS('Forecast Weekly'!AH:AH,'Forecast Weekly'!$C:$C,$A29)+SUMIFS('Forecast Weekly'!AI:AI,'Forecast Weekly'!$C:$C,$A29)</f>
        <v>2097.25</v>
      </c>
      <c r="I29" s="7" t="n">
        <f aca="false">SUMIFS('Forecast Weekly'!AJ:AJ,'Forecast Weekly'!$C:$C,$A29)+SUMIFS('Forecast Weekly'!AK:AK,'Forecast Weekly'!$C:$C,$A29)+SUMIFS('Forecast Weekly'!AL:AL,'Forecast Weekly'!$C:$C,$A29)+SUMIFS('Forecast Weekly'!AM:AM,'Forecast Weekly'!$C:$C,$A29)</f>
        <v>1880.86666666667</v>
      </c>
      <c r="J29" s="7" t="n">
        <f aca="false">SUMIFS('Forecast Weekly'!AN:AN,'Forecast Weekly'!$C:$C,$A29)+SUMIFS('Forecast Weekly'!AO:AO,'Forecast Weekly'!$C:$C,$A29)+SUMIFS('Forecast Weekly'!AP:AP,'Forecast Weekly'!$C:$C,$A29)+SUMIFS('Forecast Weekly'!AQ:AQ,'Forecast Weekly'!$C:$C,$A29)</f>
        <v>2068.33333333333</v>
      </c>
      <c r="K29" s="7" t="n">
        <f aca="false">SUMIFS('Forecast Weekly'!AR:AR,'Forecast Weekly'!$C:$C,$A29)+SUMIFS('Forecast Weekly'!AS:AS,'Forecast Weekly'!$C:$C,$A29)+SUMIFS('Forecast Weekly'!AT:AT,'Forecast Weekly'!$C:$C,$A29)+SUMIFS('Forecast Weekly'!AU:AU,'Forecast Weekly'!$C:$C,$A29)+SUMIFS('Forecast Weekly'!AV:AV,'Forecast Weekly'!$C:$C,$A29)</f>
        <v>2749.41666666667</v>
      </c>
      <c r="L29" s="7" t="n">
        <f aca="false">SUMIFS('Forecast Weekly'!AW:AW,'Forecast Weekly'!$C:$C,$A29)+SUMIFS('Forecast Weekly'!AX:AX,'Forecast Weekly'!$C:$C,$A29)+SUMIFS('Forecast Weekly'!AY:AY,'Forecast Weekly'!$C:$C,$A29)+SUMIFS('Forecast Weekly'!AZ:AZ,'Forecast Weekly'!$C:$C,$A29)</f>
        <v>2329.9</v>
      </c>
      <c r="M29" s="7" t="n">
        <f aca="false">SUMIFS('Forecast Weekly'!BA:BA,'Forecast Weekly'!$C:$C,$A29)+SUMIFS('Forecast Weekly'!BB:BB,'Forecast Weekly'!$C:$C,$A29)+SUMIFS('Forecast Weekly'!BC:BC,'Forecast Weekly'!$C:$C,$A29)+SUMIFS('Forecast Weekly'!BD:BD,'Forecast Weekly'!$C:$C,$A29)</f>
        <v>2397.86666666667</v>
      </c>
      <c r="N29" s="3" t="n">
        <f aca="false">SUM(B29:M29)</f>
        <v>19218.4333333333</v>
      </c>
    </row>
    <row r="30" customFormat="false" ht="15" hidden="false" customHeight="false" outlineLevel="0" collapsed="false">
      <c r="A30" s="0" t="s">
        <v>116</v>
      </c>
      <c r="B30" s="7" t="n">
        <f aca="false">SUMIFS('Forecast Weekly'!E:E,'Forecast Weekly'!$C:$C,$A30)+SUMIFS('Forecast Weekly'!F:F,'Forecast Weekly'!$C:$C,$A30)+SUMIFS('Forecast Weekly'!G:G,'Forecast Weekly'!$C:$C,$A30)+SUMIFS('Forecast Weekly'!H:H,'Forecast Weekly'!$C:$C,$A30)+SUMIFS('Forecast Weekly'!I:I,'Forecast Weekly'!$C:$C,$A30)</f>
        <v>102.541666666667</v>
      </c>
      <c r="C30" s="7" t="n">
        <f aca="false">SUMIFS('Forecast Weekly'!J:J,'Forecast Weekly'!$C:$C,$A30)+SUMIFS('Forecast Weekly'!K:K,'Forecast Weekly'!$C:$C,$A30)+SUMIFS('Forecast Weekly'!L:L,'Forecast Weekly'!$C:$C,$A30)+SUMIFS('Forecast Weekly'!M:M,'Forecast Weekly'!$C:$C,$A30)</f>
        <v>128.4</v>
      </c>
      <c r="D30" s="7" t="n">
        <f aca="false">SUMIFS('Forecast Weekly'!N:N,'Forecast Weekly'!$C:$C,$A30)+SUMIFS('Forecast Weekly'!O:O,'Forecast Weekly'!$C:$C,$A30)+SUMIFS('Forecast Weekly'!P:P,'Forecast Weekly'!$C:$C,$A30)+SUMIFS('Forecast Weekly'!Q:Q,'Forecast Weekly'!$C:$C,$A30)</f>
        <v>189.033333333333</v>
      </c>
      <c r="E30" s="7" t="n">
        <f aca="false">SUMIFS('Forecast Weekly'!R:R,'Forecast Weekly'!$C:$C,$A30)+SUMIFS('Forecast Weekly'!S:S,'Forecast Weekly'!$C:$C,$A30)+SUMIFS('Forecast Weekly'!T:T,'Forecast Weekly'!$C:$C,$A30)+SUMIFS('Forecast Weekly'!U:U,'Forecast Weekly'!$C:$C,$A30)+SUMIFS('Forecast Weekly'!V:V,'Forecast Weekly'!$C:$C,$A30)</f>
        <v>329.916666666667</v>
      </c>
      <c r="F30" s="7" t="n">
        <f aca="false">SUMIFS('Forecast Weekly'!W:W,'Forecast Weekly'!$C:$C,$A30)+SUMIFS('Forecast Weekly'!X:X,'Forecast Weekly'!$C:$C,$A30)+SUMIFS('Forecast Weekly'!Y:Y,'Forecast Weekly'!$C:$C,$A30)+SUMIFS('Forecast Weekly'!Z:Z,'Forecast Weekly'!$C:$C,$A30)</f>
        <v>354.933333333333</v>
      </c>
      <c r="G30" s="7" t="n">
        <f aca="false">SUMIFS('Forecast Weekly'!AA:AA,'Forecast Weekly'!$C:$C,$A30)+SUMIFS('Forecast Weekly'!AB:AB,'Forecast Weekly'!$C:$C,$A30)+SUMIFS('Forecast Weekly'!AC:AC,'Forecast Weekly'!$C:$C,$A30)+SUMIFS('Forecast Weekly'!AD:AD,'Forecast Weekly'!$C:$C,$A30)</f>
        <v>453.983333333333</v>
      </c>
      <c r="H30" s="7" t="n">
        <f aca="false">SUMIFS('Forecast Weekly'!AE:AE,'Forecast Weekly'!$C:$C,$A30)+SUMIFS('Forecast Weekly'!AF:AF,'Forecast Weekly'!$C:$C,$A30)+SUMIFS('Forecast Weekly'!AG:AG,'Forecast Weekly'!$C:$C,$A30)+SUMIFS('Forecast Weekly'!AH:AH,'Forecast Weekly'!$C:$C,$A30)+SUMIFS('Forecast Weekly'!AI:AI,'Forecast Weekly'!$C:$C,$A30)</f>
        <v>682.375</v>
      </c>
      <c r="I30" s="7" t="n">
        <f aca="false">SUMIFS('Forecast Weekly'!AJ:AJ,'Forecast Weekly'!$C:$C,$A30)+SUMIFS('Forecast Weekly'!AK:AK,'Forecast Weekly'!$C:$C,$A30)+SUMIFS('Forecast Weekly'!AL:AL,'Forecast Weekly'!$C:$C,$A30)+SUMIFS('Forecast Weekly'!AM:AM,'Forecast Weekly'!$C:$C,$A30)</f>
        <v>631.6</v>
      </c>
      <c r="J30" s="7" t="n">
        <f aca="false">SUMIFS('Forecast Weekly'!AN:AN,'Forecast Weekly'!$C:$C,$A30)+SUMIFS('Forecast Weekly'!AO:AO,'Forecast Weekly'!$C:$C,$A30)+SUMIFS('Forecast Weekly'!AP:AP,'Forecast Weekly'!$C:$C,$A30)+SUMIFS('Forecast Weekly'!AQ:AQ,'Forecast Weekly'!$C:$C,$A30)</f>
        <v>705.683333333333</v>
      </c>
      <c r="K30" s="7" t="n">
        <f aca="false">SUMIFS('Forecast Weekly'!AR:AR,'Forecast Weekly'!$C:$C,$A30)+SUMIFS('Forecast Weekly'!AS:AS,'Forecast Weekly'!$C:$C,$A30)+SUMIFS('Forecast Weekly'!AT:AT,'Forecast Weekly'!$C:$C,$A30)+SUMIFS('Forecast Weekly'!AU:AU,'Forecast Weekly'!$C:$C,$A30)+SUMIFS('Forecast Weekly'!AV:AV,'Forecast Weekly'!$C:$C,$A30)</f>
        <v>960.1875</v>
      </c>
      <c r="L30" s="7" t="n">
        <f aca="false">SUMIFS('Forecast Weekly'!AW:AW,'Forecast Weekly'!$C:$C,$A30)+SUMIFS('Forecast Weekly'!AX:AX,'Forecast Weekly'!$C:$C,$A30)+SUMIFS('Forecast Weekly'!AY:AY,'Forecast Weekly'!$C:$C,$A30)+SUMIFS('Forecast Weekly'!AZ:AZ,'Forecast Weekly'!$C:$C,$A30)</f>
        <v>811.866666666667</v>
      </c>
      <c r="M30" s="7" t="n">
        <f aca="false">SUMIFS('Forecast Weekly'!BA:BA,'Forecast Weekly'!$C:$C,$A30)+SUMIFS('Forecast Weekly'!BB:BB,'Forecast Weekly'!$C:$C,$A30)+SUMIFS('Forecast Weekly'!BC:BC,'Forecast Weekly'!$C:$C,$A30)+SUMIFS('Forecast Weekly'!BD:BD,'Forecast Weekly'!$C:$C,$A30)</f>
        <v>849.366666666667</v>
      </c>
      <c r="N30" s="3" t="n">
        <f aca="false">SUM(B30:M30)</f>
        <v>6199.8875</v>
      </c>
    </row>
    <row r="31" customFormat="false" ht="15" hidden="false" customHeight="false" outlineLevel="0" collapsed="false">
      <c r="A31" s="0" t="s">
        <v>117</v>
      </c>
      <c r="B31" s="7" t="n">
        <f aca="false">SUMIFS('Forecast Weekly'!E:E,'Forecast Weekly'!$C:$C,$A31)+SUMIFS('Forecast Weekly'!F:F,'Forecast Weekly'!$C:$C,$A31)+SUMIFS('Forecast Weekly'!G:G,'Forecast Weekly'!$C:$C,$A31)+SUMIFS('Forecast Weekly'!H:H,'Forecast Weekly'!$C:$C,$A31)+SUMIFS('Forecast Weekly'!I:I,'Forecast Weekly'!$C:$C,$A31)</f>
        <v>0</v>
      </c>
      <c r="C31" s="7" t="n">
        <f aca="false">SUMIFS('Forecast Weekly'!J:J,'Forecast Weekly'!$C:$C,$A31)+SUMIFS('Forecast Weekly'!K:K,'Forecast Weekly'!$C:$C,$A31)+SUMIFS('Forecast Weekly'!L:L,'Forecast Weekly'!$C:$C,$A31)+SUMIFS('Forecast Weekly'!M:M,'Forecast Weekly'!$C:$C,$A31)</f>
        <v>0</v>
      </c>
      <c r="D31" s="7" t="n">
        <f aca="false">SUMIFS('Forecast Weekly'!N:N,'Forecast Weekly'!$C:$C,$A31)+SUMIFS('Forecast Weekly'!O:O,'Forecast Weekly'!$C:$C,$A31)+SUMIFS('Forecast Weekly'!P:P,'Forecast Weekly'!$C:$C,$A31)+SUMIFS('Forecast Weekly'!Q:Q,'Forecast Weekly'!$C:$C,$A31)</f>
        <v>97.825</v>
      </c>
      <c r="E31" s="7" t="n">
        <f aca="false">SUMIFS('Forecast Weekly'!R:R,'Forecast Weekly'!$C:$C,$A31)+SUMIFS('Forecast Weekly'!S:S,'Forecast Weekly'!$C:$C,$A31)+SUMIFS('Forecast Weekly'!T:T,'Forecast Weekly'!$C:$C,$A31)+SUMIFS('Forecast Weekly'!U:U,'Forecast Weekly'!$C:$C,$A31)+SUMIFS('Forecast Weekly'!V:V,'Forecast Weekly'!$C:$C,$A31)</f>
        <v>348.03125</v>
      </c>
      <c r="F31" s="7" t="n">
        <f aca="false">SUMIFS('Forecast Weekly'!W:W,'Forecast Weekly'!$C:$C,$A31)+SUMIFS('Forecast Weekly'!X:X,'Forecast Weekly'!$C:$C,$A31)+SUMIFS('Forecast Weekly'!Y:Y,'Forecast Weekly'!$C:$C,$A31)+SUMIFS('Forecast Weekly'!Z:Z,'Forecast Weekly'!$C:$C,$A31)</f>
        <v>466.55</v>
      </c>
      <c r="G31" s="7" t="n">
        <f aca="false">SUMIFS('Forecast Weekly'!AA:AA,'Forecast Weekly'!$C:$C,$A31)+SUMIFS('Forecast Weekly'!AB:AB,'Forecast Weekly'!$C:$C,$A31)+SUMIFS('Forecast Weekly'!AC:AC,'Forecast Weekly'!$C:$C,$A31)+SUMIFS('Forecast Weekly'!AD:AD,'Forecast Weekly'!$C:$C,$A31)</f>
        <v>699.825</v>
      </c>
      <c r="H31" s="7" t="n">
        <f aca="false">SUMIFS('Forecast Weekly'!AE:AE,'Forecast Weekly'!$C:$C,$A31)+SUMIFS('Forecast Weekly'!AF:AF,'Forecast Weekly'!$C:$C,$A31)+SUMIFS('Forecast Weekly'!AG:AG,'Forecast Weekly'!$C:$C,$A31)+SUMIFS('Forecast Weekly'!AH:AH,'Forecast Weekly'!$C:$C,$A31)+SUMIFS('Forecast Weekly'!AI:AI,'Forecast Weekly'!$C:$C,$A31)</f>
        <v>1100.53125</v>
      </c>
      <c r="I31" s="7" t="n">
        <f aca="false">SUMIFS('Forecast Weekly'!AJ:AJ,'Forecast Weekly'!$C:$C,$A31)+SUMIFS('Forecast Weekly'!AK:AK,'Forecast Weekly'!$C:$C,$A31)+SUMIFS('Forecast Weekly'!AL:AL,'Forecast Weekly'!$C:$C,$A31)+SUMIFS('Forecast Weekly'!AM:AM,'Forecast Weekly'!$C:$C,$A31)</f>
        <v>1083.6</v>
      </c>
      <c r="J31" s="7" t="n">
        <f aca="false">SUMIFS('Forecast Weekly'!AN:AN,'Forecast Weekly'!$C:$C,$A31)+SUMIFS('Forecast Weekly'!AO:AO,'Forecast Weekly'!$C:$C,$A31)+SUMIFS('Forecast Weekly'!AP:AP,'Forecast Weekly'!$C:$C,$A31)+SUMIFS('Forecast Weekly'!AQ:AQ,'Forecast Weekly'!$C:$C,$A31)</f>
        <v>1249.15</v>
      </c>
      <c r="K31" s="7" t="n">
        <f aca="false">SUMIFS('Forecast Weekly'!AR:AR,'Forecast Weekly'!$C:$C,$A31)+SUMIFS('Forecast Weekly'!AS:AS,'Forecast Weekly'!$C:$C,$A31)+SUMIFS('Forecast Weekly'!AT:AT,'Forecast Weekly'!$C:$C,$A31)+SUMIFS('Forecast Weekly'!AU:AU,'Forecast Weekly'!$C:$C,$A31)+SUMIFS('Forecast Weekly'!AV:AV,'Forecast Weekly'!$C:$C,$A31)</f>
        <v>1740.15625</v>
      </c>
      <c r="L31" s="7" t="n">
        <f aca="false">SUMIFS('Forecast Weekly'!AW:AW,'Forecast Weekly'!$C:$C,$A31)+SUMIFS('Forecast Weekly'!AX:AX,'Forecast Weekly'!$C:$C,$A31)+SUMIFS('Forecast Weekly'!AY:AY,'Forecast Weekly'!$C:$C,$A31)+SUMIFS('Forecast Weekly'!AZ:AZ,'Forecast Weekly'!$C:$C,$A31)</f>
        <v>1482.425</v>
      </c>
      <c r="M31" s="7" t="n">
        <f aca="false">SUMIFS('Forecast Weekly'!BA:BA,'Forecast Weekly'!$C:$C,$A31)+SUMIFS('Forecast Weekly'!BB:BB,'Forecast Weekly'!$C:$C,$A31)+SUMIFS('Forecast Weekly'!BC:BC,'Forecast Weekly'!$C:$C,$A31)+SUMIFS('Forecast Weekly'!BD:BD,'Forecast Weekly'!$C:$C,$A31)</f>
        <v>1580.25</v>
      </c>
      <c r="N31" s="3" t="n">
        <f aca="false">SUM(B31:M31)</f>
        <v>9848.34375</v>
      </c>
    </row>
    <row r="32" customFormat="false" ht="15" hidden="false" customHeight="false" outlineLevel="0" collapsed="false">
      <c r="A32" s="0" t="s">
        <v>118</v>
      </c>
      <c r="B32" s="7" t="n">
        <f aca="false">SUMIFS('Forecast Weekly'!E:E,'Forecast Weekly'!$C:$C,$A32)+SUMIFS('Forecast Weekly'!F:F,'Forecast Weekly'!$C:$C,$A32)+SUMIFS('Forecast Weekly'!G:G,'Forecast Weekly'!$C:$C,$A32)+SUMIFS('Forecast Weekly'!H:H,'Forecast Weekly'!$C:$C,$A32)+SUMIFS('Forecast Weekly'!I:I,'Forecast Weekly'!$C:$C,$A32)</f>
        <v>0</v>
      </c>
      <c r="C32" s="7" t="n">
        <f aca="false">SUMIFS('Forecast Weekly'!J:J,'Forecast Weekly'!$C:$C,$A32)+SUMIFS('Forecast Weekly'!K:K,'Forecast Weekly'!$C:$C,$A32)+SUMIFS('Forecast Weekly'!L:L,'Forecast Weekly'!$C:$C,$A32)+SUMIFS('Forecast Weekly'!M:M,'Forecast Weekly'!$C:$C,$A32)</f>
        <v>0</v>
      </c>
      <c r="D32" s="7" t="n">
        <f aca="false">SUMIFS('Forecast Weekly'!N:N,'Forecast Weekly'!$C:$C,$A32)+SUMIFS('Forecast Weekly'!O:O,'Forecast Weekly'!$C:$C,$A32)+SUMIFS('Forecast Weekly'!P:P,'Forecast Weekly'!$C:$C,$A32)+SUMIFS('Forecast Weekly'!Q:Q,'Forecast Weekly'!$C:$C,$A32)</f>
        <v>0</v>
      </c>
      <c r="E32" s="7" t="n">
        <f aca="false">SUMIFS('Forecast Weekly'!R:R,'Forecast Weekly'!$C:$C,$A32)+SUMIFS('Forecast Weekly'!S:S,'Forecast Weekly'!$C:$C,$A32)+SUMIFS('Forecast Weekly'!T:T,'Forecast Weekly'!$C:$C,$A32)+SUMIFS('Forecast Weekly'!U:U,'Forecast Weekly'!$C:$C,$A32)+SUMIFS('Forecast Weekly'!V:V,'Forecast Weekly'!$C:$C,$A32)</f>
        <v>0</v>
      </c>
      <c r="F32" s="7" t="n">
        <f aca="false">SUMIFS('Forecast Weekly'!W:W,'Forecast Weekly'!$C:$C,$A32)+SUMIFS('Forecast Weekly'!X:X,'Forecast Weekly'!$C:$C,$A32)+SUMIFS('Forecast Weekly'!Y:Y,'Forecast Weekly'!$C:$C,$A32)+SUMIFS('Forecast Weekly'!Z:Z,'Forecast Weekly'!$C:$C,$A32)</f>
        <v>0</v>
      </c>
      <c r="G32" s="7" t="n">
        <f aca="false">SUMIFS('Forecast Weekly'!AA:AA,'Forecast Weekly'!$C:$C,$A32)+SUMIFS('Forecast Weekly'!AB:AB,'Forecast Weekly'!$C:$C,$A32)+SUMIFS('Forecast Weekly'!AC:AC,'Forecast Weekly'!$C:$C,$A32)+SUMIFS('Forecast Weekly'!AD:AD,'Forecast Weekly'!$C:$C,$A32)</f>
        <v>0</v>
      </c>
      <c r="H32" s="7" t="n">
        <f aca="false">SUMIFS('Forecast Weekly'!AE:AE,'Forecast Weekly'!$C:$C,$A32)+SUMIFS('Forecast Weekly'!AF:AF,'Forecast Weekly'!$C:$C,$A32)+SUMIFS('Forecast Weekly'!AG:AG,'Forecast Weekly'!$C:$C,$A32)+SUMIFS('Forecast Weekly'!AH:AH,'Forecast Weekly'!$C:$C,$A32)+SUMIFS('Forecast Weekly'!AI:AI,'Forecast Weekly'!$C:$C,$A32)</f>
        <v>11500</v>
      </c>
      <c r="I32" s="7" t="n">
        <f aca="false">SUMIFS('Forecast Weekly'!AJ:AJ,'Forecast Weekly'!$C:$C,$A32)+SUMIFS('Forecast Weekly'!AK:AK,'Forecast Weekly'!$C:$C,$A32)+SUMIFS('Forecast Weekly'!AL:AL,'Forecast Weekly'!$C:$C,$A32)+SUMIFS('Forecast Weekly'!AM:AM,'Forecast Weekly'!$C:$C,$A32)</f>
        <v>0</v>
      </c>
      <c r="J32" s="7" t="n">
        <f aca="false">SUMIFS('Forecast Weekly'!AN:AN,'Forecast Weekly'!$C:$C,$A32)+SUMIFS('Forecast Weekly'!AO:AO,'Forecast Weekly'!$C:$C,$A32)+SUMIFS('Forecast Weekly'!AP:AP,'Forecast Weekly'!$C:$C,$A32)+SUMIFS('Forecast Weekly'!AQ:AQ,'Forecast Weekly'!$C:$C,$A32)</f>
        <v>0</v>
      </c>
      <c r="K32" s="7" t="n">
        <f aca="false">SUMIFS('Forecast Weekly'!AR:AR,'Forecast Weekly'!$C:$C,$A32)+SUMIFS('Forecast Weekly'!AS:AS,'Forecast Weekly'!$C:$C,$A32)+SUMIFS('Forecast Weekly'!AT:AT,'Forecast Weekly'!$C:$C,$A32)+SUMIFS('Forecast Weekly'!AU:AU,'Forecast Weekly'!$C:$C,$A32)+SUMIFS('Forecast Weekly'!AV:AV,'Forecast Weekly'!$C:$C,$A32)</f>
        <v>12650</v>
      </c>
      <c r="L32" s="7" t="n">
        <f aca="false">SUMIFS('Forecast Weekly'!AW:AW,'Forecast Weekly'!$C:$C,$A32)+SUMIFS('Forecast Weekly'!AX:AX,'Forecast Weekly'!$C:$C,$A32)+SUMIFS('Forecast Weekly'!AY:AY,'Forecast Weekly'!$C:$C,$A32)+SUMIFS('Forecast Weekly'!AZ:AZ,'Forecast Weekly'!$C:$C,$A32)</f>
        <v>11040</v>
      </c>
      <c r="M32" s="7" t="n">
        <f aca="false">SUMIFS('Forecast Weekly'!BA:BA,'Forecast Weekly'!$C:$C,$A32)+SUMIFS('Forecast Weekly'!BB:BB,'Forecast Weekly'!$C:$C,$A32)+SUMIFS('Forecast Weekly'!BC:BC,'Forecast Weekly'!$C:$C,$A32)+SUMIFS('Forecast Weekly'!BD:BD,'Forecast Weekly'!$C:$C,$A32)</f>
        <v>11684</v>
      </c>
      <c r="N32" s="3" t="n">
        <f aca="false">SUM(B32:M32)</f>
        <v>46874</v>
      </c>
    </row>
    <row r="33" customFormat="false" ht="15" hidden="false" customHeight="false" outlineLevel="0" collapsed="false">
      <c r="A33" s="0" t="s">
        <v>119</v>
      </c>
      <c r="B33" s="7" t="n">
        <f aca="false">SUMIFS('Forecast Weekly'!E:E,'Forecast Weekly'!$C:$C,$A33)+SUMIFS('Forecast Weekly'!F:F,'Forecast Weekly'!$C:$C,$A33)+SUMIFS('Forecast Weekly'!G:G,'Forecast Weekly'!$C:$C,$A33)+SUMIFS('Forecast Weekly'!H:H,'Forecast Weekly'!$C:$C,$A33)+SUMIFS('Forecast Weekly'!I:I,'Forecast Weekly'!$C:$C,$A33)</f>
        <v>345</v>
      </c>
      <c r="C33" s="7" t="n">
        <f aca="false">SUMIFS('Forecast Weekly'!J:J,'Forecast Weekly'!$C:$C,$A33)+SUMIFS('Forecast Weekly'!K:K,'Forecast Weekly'!$C:$C,$A33)+SUMIFS('Forecast Weekly'!L:L,'Forecast Weekly'!$C:$C,$A33)+SUMIFS('Forecast Weekly'!M:M,'Forecast Weekly'!$C:$C,$A33)</f>
        <v>392</v>
      </c>
      <c r="D33" s="7" t="n">
        <f aca="false">SUMIFS('Forecast Weekly'!N:N,'Forecast Weekly'!$C:$C,$A33)+SUMIFS('Forecast Weekly'!O:O,'Forecast Weekly'!$C:$C,$A33)+SUMIFS('Forecast Weekly'!P:P,'Forecast Weekly'!$C:$C,$A33)+SUMIFS('Forecast Weekly'!Q:Q,'Forecast Weekly'!$C:$C,$A33)</f>
        <v>540</v>
      </c>
      <c r="E33" s="7" t="n">
        <f aca="false">SUMIFS('Forecast Weekly'!R:R,'Forecast Weekly'!$C:$C,$A33)+SUMIFS('Forecast Weekly'!S:S,'Forecast Weekly'!$C:$C,$A33)+SUMIFS('Forecast Weekly'!T:T,'Forecast Weekly'!$C:$C,$A33)+SUMIFS('Forecast Weekly'!U:U,'Forecast Weekly'!$C:$C,$A33)+SUMIFS('Forecast Weekly'!V:V,'Forecast Weekly'!$C:$C,$A33)</f>
        <v>837.5</v>
      </c>
      <c r="F33" s="7" t="n">
        <f aca="false">SUMIFS('Forecast Weekly'!W:W,'Forecast Weekly'!$C:$C,$A33)+SUMIFS('Forecast Weekly'!X:X,'Forecast Weekly'!$C:$C,$A33)+SUMIFS('Forecast Weekly'!Y:Y,'Forecast Weekly'!$C:$C,$A33)+SUMIFS('Forecast Weekly'!Z:Z,'Forecast Weekly'!$C:$C,$A33)</f>
        <v>778.625</v>
      </c>
      <c r="G33" s="7" t="n">
        <f aca="false">SUMIFS('Forecast Weekly'!AA:AA,'Forecast Weekly'!$C:$C,$A33)+SUMIFS('Forecast Weekly'!AB:AB,'Forecast Weekly'!$C:$C,$A33)+SUMIFS('Forecast Weekly'!AC:AC,'Forecast Weekly'!$C:$C,$A33)+SUMIFS('Forecast Weekly'!AD:AD,'Forecast Weekly'!$C:$C,$A33)</f>
        <v>879.25</v>
      </c>
      <c r="H33" s="7" t="n">
        <f aca="false">SUMIFS('Forecast Weekly'!AE:AE,'Forecast Weekly'!$C:$C,$A33)+SUMIFS('Forecast Weekly'!AF:AF,'Forecast Weekly'!$C:$C,$A33)+SUMIFS('Forecast Weekly'!AG:AG,'Forecast Weekly'!$C:$C,$A33)+SUMIFS('Forecast Weekly'!AH:AH,'Forecast Weekly'!$C:$C,$A33)+SUMIFS('Forecast Weekly'!AI:AI,'Forecast Weekly'!$C:$C,$A33)</f>
        <v>1218.4375</v>
      </c>
      <c r="I33" s="7" t="n">
        <f aca="false">SUMIFS('Forecast Weekly'!AJ:AJ,'Forecast Weekly'!$C:$C,$A33)+SUMIFS('Forecast Weekly'!AK:AK,'Forecast Weekly'!$C:$C,$A33)+SUMIFS('Forecast Weekly'!AL:AL,'Forecast Weekly'!$C:$C,$A33)+SUMIFS('Forecast Weekly'!AM:AM,'Forecast Weekly'!$C:$C,$A33)</f>
        <v>1038.25</v>
      </c>
      <c r="J33" s="7" t="n">
        <f aca="false">SUMIFS('Forecast Weekly'!AN:AN,'Forecast Weekly'!$C:$C,$A33)+SUMIFS('Forecast Weekly'!AO:AO,'Forecast Weekly'!$C:$C,$A33)+SUMIFS('Forecast Weekly'!AP:AP,'Forecast Weekly'!$C:$C,$A33)+SUMIFS('Forecast Weekly'!AQ:AQ,'Forecast Weekly'!$C:$C,$A33)</f>
        <v>1089.75</v>
      </c>
      <c r="K33" s="7" t="n">
        <f aca="false">SUMIFS('Forecast Weekly'!AR:AR,'Forecast Weekly'!$C:$C,$A33)+SUMIFS('Forecast Weekly'!AS:AS,'Forecast Weekly'!$C:$C,$A33)+SUMIFS('Forecast Weekly'!AT:AT,'Forecast Weekly'!$C:$C,$A33)+SUMIFS('Forecast Weekly'!AU:AU,'Forecast Weekly'!$C:$C,$A33)+SUMIFS('Forecast Weekly'!AV:AV,'Forecast Weekly'!$C:$C,$A33)</f>
        <v>1414.375</v>
      </c>
      <c r="L33" s="7" t="n">
        <f aca="false">SUMIFS('Forecast Weekly'!AW:AW,'Forecast Weekly'!$C:$C,$A33)+SUMIFS('Forecast Weekly'!AX:AX,'Forecast Weekly'!$C:$C,$A33)+SUMIFS('Forecast Weekly'!AY:AY,'Forecast Weekly'!$C:$C,$A33)+SUMIFS('Forecast Weekly'!AZ:AZ,'Forecast Weekly'!$C:$C,$A33)</f>
        <v>1159.25</v>
      </c>
      <c r="M33" s="7" t="n">
        <f aca="false">SUMIFS('Forecast Weekly'!BA:BA,'Forecast Weekly'!$C:$C,$A33)+SUMIFS('Forecast Weekly'!BB:BB,'Forecast Weekly'!$C:$C,$A33)+SUMIFS('Forecast Weekly'!BC:BC,'Forecast Weekly'!$C:$C,$A33)+SUMIFS('Forecast Weekly'!BD:BD,'Forecast Weekly'!$C:$C,$A33)</f>
        <v>1179</v>
      </c>
      <c r="N33" s="3" t="n">
        <f aca="false">SUM(B33:M33)</f>
        <v>10871.4375</v>
      </c>
    </row>
    <row r="34" customFormat="false" ht="15" hidden="false" customHeight="false" outlineLevel="0" collapsed="false">
      <c r="A34" s="0" t="s">
        <v>120</v>
      </c>
      <c r="B34" s="7" t="n">
        <f aca="false">SUMIFS('Forecast Weekly'!E:E,'Forecast Weekly'!$C:$C,$A34)+SUMIFS('Forecast Weekly'!F:F,'Forecast Weekly'!$C:$C,$A34)+SUMIFS('Forecast Weekly'!G:G,'Forecast Weekly'!$C:$C,$A34)+SUMIFS('Forecast Weekly'!H:H,'Forecast Weekly'!$C:$C,$A34)+SUMIFS('Forecast Weekly'!I:I,'Forecast Weekly'!$C:$C,$A34)</f>
        <v>394.84375</v>
      </c>
      <c r="C34" s="7" t="n">
        <f aca="false">SUMIFS('Forecast Weekly'!J:J,'Forecast Weekly'!$C:$C,$A34)+SUMIFS('Forecast Weekly'!K:K,'Forecast Weekly'!$C:$C,$A34)+SUMIFS('Forecast Weekly'!L:L,'Forecast Weekly'!$C:$C,$A34)+SUMIFS('Forecast Weekly'!M:M,'Forecast Weekly'!$C:$C,$A34)</f>
        <v>491.625</v>
      </c>
      <c r="D34" s="7" t="n">
        <f aca="false">SUMIFS('Forecast Weekly'!N:N,'Forecast Weekly'!$C:$C,$A34)+SUMIFS('Forecast Weekly'!O:O,'Forecast Weekly'!$C:$C,$A34)+SUMIFS('Forecast Weekly'!P:P,'Forecast Weekly'!$C:$C,$A34)+SUMIFS('Forecast Weekly'!Q:Q,'Forecast Weekly'!$C:$C,$A34)</f>
        <v>698.25</v>
      </c>
      <c r="E34" s="7" t="n">
        <f aca="false">SUMIFS('Forecast Weekly'!R:R,'Forecast Weekly'!$C:$C,$A34)+SUMIFS('Forecast Weekly'!S:S,'Forecast Weekly'!$C:$C,$A34)+SUMIFS('Forecast Weekly'!T:T,'Forecast Weekly'!$C:$C,$A34)+SUMIFS('Forecast Weekly'!U:U,'Forecast Weekly'!$C:$C,$A34)+SUMIFS('Forecast Weekly'!V:V,'Forecast Weekly'!$C:$C,$A34)</f>
        <v>1131.09375</v>
      </c>
      <c r="F34" s="7" t="n">
        <f aca="false">SUMIFS('Forecast Weekly'!W:W,'Forecast Weekly'!$C:$C,$A34)+SUMIFS('Forecast Weekly'!X:X,'Forecast Weekly'!$C:$C,$A34)+SUMIFS('Forecast Weekly'!Y:Y,'Forecast Weekly'!$C:$C,$A34)+SUMIFS('Forecast Weekly'!Z:Z,'Forecast Weekly'!$C:$C,$A34)</f>
        <v>1070</v>
      </c>
      <c r="G34" s="7" t="n">
        <f aca="false">SUMIFS('Forecast Weekly'!AA:AA,'Forecast Weekly'!$C:$C,$A34)+SUMIFS('Forecast Weekly'!AB:AB,'Forecast Weekly'!$C:$C,$A34)+SUMIFS('Forecast Weekly'!AC:AC,'Forecast Weekly'!$C:$C,$A34)+SUMIFS('Forecast Weekly'!AD:AD,'Forecast Weekly'!$C:$C,$A34)</f>
        <v>1211.375</v>
      </c>
      <c r="H34" s="7" t="n">
        <f aca="false">SUMIFS('Forecast Weekly'!AE:AE,'Forecast Weekly'!$C:$C,$A34)+SUMIFS('Forecast Weekly'!AF:AF,'Forecast Weekly'!$C:$C,$A34)+SUMIFS('Forecast Weekly'!AG:AG,'Forecast Weekly'!$C:$C,$A34)+SUMIFS('Forecast Weekly'!AH:AH,'Forecast Weekly'!$C:$C,$A34)+SUMIFS('Forecast Weekly'!AI:AI,'Forecast Weekly'!$C:$C,$A34)</f>
        <v>1631.5625</v>
      </c>
      <c r="I34" s="7" t="n">
        <f aca="false">SUMIFS('Forecast Weekly'!AJ:AJ,'Forecast Weekly'!$C:$C,$A34)+SUMIFS('Forecast Weekly'!AK:AK,'Forecast Weekly'!$C:$C,$A34)+SUMIFS('Forecast Weekly'!AL:AL,'Forecast Weekly'!$C:$C,$A34)+SUMIFS('Forecast Weekly'!AM:AM,'Forecast Weekly'!$C:$C,$A34)</f>
        <v>1382.5</v>
      </c>
      <c r="J34" s="7" t="n">
        <f aca="false">SUMIFS('Forecast Weekly'!AN:AN,'Forecast Weekly'!$C:$C,$A34)+SUMIFS('Forecast Weekly'!AO:AO,'Forecast Weekly'!$C:$C,$A34)+SUMIFS('Forecast Weekly'!AP:AP,'Forecast Weekly'!$C:$C,$A34)+SUMIFS('Forecast Weekly'!AQ:AQ,'Forecast Weekly'!$C:$C,$A34)</f>
        <v>1424.125</v>
      </c>
      <c r="K34" s="7" t="n">
        <f aca="false">SUMIFS('Forecast Weekly'!AR:AR,'Forecast Weekly'!$C:$C,$A34)+SUMIFS('Forecast Weekly'!AS:AS,'Forecast Weekly'!$C:$C,$A34)+SUMIFS('Forecast Weekly'!AT:AT,'Forecast Weekly'!$C:$C,$A34)+SUMIFS('Forecast Weekly'!AU:AU,'Forecast Weekly'!$C:$C,$A34)+SUMIFS('Forecast Weekly'!AV:AV,'Forecast Weekly'!$C:$C,$A34)</f>
        <v>1829.1875</v>
      </c>
      <c r="L34" s="7" t="n">
        <f aca="false">SUMIFS('Forecast Weekly'!AW:AW,'Forecast Weekly'!$C:$C,$A34)+SUMIFS('Forecast Weekly'!AX:AX,'Forecast Weekly'!$C:$C,$A34)+SUMIFS('Forecast Weekly'!AY:AY,'Forecast Weekly'!$C:$C,$A34)+SUMIFS('Forecast Weekly'!AZ:AZ,'Forecast Weekly'!$C:$C,$A34)</f>
        <v>1484.75</v>
      </c>
      <c r="M34" s="7" t="n">
        <f aca="false">SUMIFS('Forecast Weekly'!BA:BA,'Forecast Weekly'!$C:$C,$A34)+SUMIFS('Forecast Weekly'!BB:BB,'Forecast Weekly'!$C:$C,$A34)+SUMIFS('Forecast Weekly'!BC:BC,'Forecast Weekly'!$C:$C,$A34)+SUMIFS('Forecast Weekly'!BD:BD,'Forecast Weekly'!$C:$C,$A34)</f>
        <v>1487.15</v>
      </c>
      <c r="N34" s="3" t="n">
        <f aca="false">SUM(B34:M34)</f>
        <v>14236.4625</v>
      </c>
    </row>
    <row r="35" customFormat="false" ht="15" hidden="false" customHeight="false" outlineLevel="0" collapsed="false">
      <c r="A35" s="0" t="s">
        <v>121</v>
      </c>
      <c r="B35" s="7" t="n">
        <f aca="false">SUMIFS('Forecast Weekly'!E:E,'Forecast Weekly'!$C:$C,$A35)+SUMIFS('Forecast Weekly'!F:F,'Forecast Weekly'!$C:$C,$A35)+SUMIFS('Forecast Weekly'!G:G,'Forecast Weekly'!$C:$C,$A35)+SUMIFS('Forecast Weekly'!H:H,'Forecast Weekly'!$C:$C,$A35)+SUMIFS('Forecast Weekly'!I:I,'Forecast Weekly'!$C:$C,$A35)</f>
        <v>342.1875</v>
      </c>
      <c r="C35" s="7" t="n">
        <f aca="false">SUMIFS('Forecast Weekly'!J:J,'Forecast Weekly'!$C:$C,$A35)+SUMIFS('Forecast Weekly'!K:K,'Forecast Weekly'!$C:$C,$A35)+SUMIFS('Forecast Weekly'!L:L,'Forecast Weekly'!$C:$C,$A35)+SUMIFS('Forecast Weekly'!M:M,'Forecast Weekly'!$C:$C,$A35)</f>
        <v>416.1</v>
      </c>
      <c r="D35" s="7" t="n">
        <f aca="false">SUMIFS('Forecast Weekly'!N:N,'Forecast Weekly'!$C:$C,$A35)+SUMIFS('Forecast Weekly'!O:O,'Forecast Weekly'!$C:$C,$A35)+SUMIFS('Forecast Weekly'!P:P,'Forecast Weekly'!$C:$C,$A35)+SUMIFS('Forecast Weekly'!Q:Q,'Forecast Weekly'!$C:$C,$A35)</f>
        <v>602.25</v>
      </c>
      <c r="E35" s="7" t="n">
        <f aca="false">SUMIFS('Forecast Weekly'!R:R,'Forecast Weekly'!$C:$C,$A35)+SUMIFS('Forecast Weekly'!S:S,'Forecast Weekly'!$C:$C,$A35)+SUMIFS('Forecast Weekly'!T:T,'Forecast Weekly'!$C:$C,$A35)+SUMIFS('Forecast Weekly'!U:U,'Forecast Weekly'!$C:$C,$A35)+SUMIFS('Forecast Weekly'!V:V,'Forecast Weekly'!$C:$C,$A35)</f>
        <v>967.25</v>
      </c>
      <c r="F35" s="7" t="n">
        <f aca="false">SUMIFS('Forecast Weekly'!W:W,'Forecast Weekly'!$C:$C,$A35)+SUMIFS('Forecast Weekly'!X:X,'Forecast Weekly'!$C:$C,$A35)+SUMIFS('Forecast Weekly'!Y:Y,'Forecast Weekly'!$C:$C,$A35)+SUMIFS('Forecast Weekly'!Z:Z,'Forecast Weekly'!$C:$C,$A35)</f>
        <v>924.1</v>
      </c>
      <c r="G35" s="7" t="n">
        <f aca="false">SUMIFS('Forecast Weekly'!AA:AA,'Forecast Weekly'!$C:$C,$A35)+SUMIFS('Forecast Weekly'!AB:AB,'Forecast Weekly'!$C:$C,$A35)+SUMIFS('Forecast Weekly'!AC:AC,'Forecast Weekly'!$C:$C,$A35)+SUMIFS('Forecast Weekly'!AD:AD,'Forecast Weekly'!$C:$C,$A35)</f>
        <v>1026.95</v>
      </c>
      <c r="H35" s="7" t="n">
        <f aca="false">SUMIFS('Forecast Weekly'!AE:AE,'Forecast Weekly'!$C:$C,$A35)+SUMIFS('Forecast Weekly'!AF:AF,'Forecast Weekly'!$C:$C,$A35)+SUMIFS('Forecast Weekly'!AG:AG,'Forecast Weekly'!$C:$C,$A35)+SUMIFS('Forecast Weekly'!AH:AH,'Forecast Weekly'!$C:$C,$A35)+SUMIFS('Forecast Weekly'!AI:AI,'Forecast Weekly'!$C:$C,$A35)</f>
        <v>1368.41666666667</v>
      </c>
      <c r="I35" s="7" t="n">
        <f aca="false">SUMIFS('Forecast Weekly'!AJ:AJ,'Forecast Weekly'!$C:$C,$A35)+SUMIFS('Forecast Weekly'!AK:AK,'Forecast Weekly'!$C:$C,$A35)+SUMIFS('Forecast Weekly'!AL:AL,'Forecast Weekly'!$C:$C,$A35)+SUMIFS('Forecast Weekly'!AM:AM,'Forecast Weekly'!$C:$C,$A35)</f>
        <v>1150.13333333333</v>
      </c>
      <c r="J35" s="7" t="n">
        <f aca="false">SUMIFS('Forecast Weekly'!AN:AN,'Forecast Weekly'!$C:$C,$A35)+SUMIFS('Forecast Weekly'!AO:AO,'Forecast Weekly'!$C:$C,$A35)+SUMIFS('Forecast Weekly'!AP:AP,'Forecast Weekly'!$C:$C,$A35)+SUMIFS('Forecast Weekly'!AQ:AQ,'Forecast Weekly'!$C:$C,$A35)</f>
        <v>1176.33333333333</v>
      </c>
      <c r="K35" s="7" t="n">
        <f aca="false">SUMIFS('Forecast Weekly'!AR:AR,'Forecast Weekly'!$C:$C,$A35)+SUMIFS('Forecast Weekly'!AS:AS,'Forecast Weekly'!$C:$C,$A35)+SUMIFS('Forecast Weekly'!AT:AT,'Forecast Weekly'!$C:$C,$A35)+SUMIFS('Forecast Weekly'!AU:AU,'Forecast Weekly'!$C:$C,$A35)+SUMIFS('Forecast Weekly'!AV:AV,'Forecast Weekly'!$C:$C,$A35)</f>
        <v>1496.8125</v>
      </c>
      <c r="L35" s="7" t="n">
        <f aca="false">SUMIFS('Forecast Weekly'!AW:AW,'Forecast Weekly'!$C:$C,$A35)+SUMIFS('Forecast Weekly'!AX:AX,'Forecast Weekly'!$C:$C,$A35)+SUMIFS('Forecast Weekly'!AY:AY,'Forecast Weekly'!$C:$C,$A35)+SUMIFS('Forecast Weekly'!AZ:AZ,'Forecast Weekly'!$C:$C,$A35)</f>
        <v>1203.96666666667</v>
      </c>
      <c r="M35" s="7" t="n">
        <f aca="false">SUMIFS('Forecast Weekly'!BA:BA,'Forecast Weekly'!$C:$C,$A35)+SUMIFS('Forecast Weekly'!BB:BB,'Forecast Weekly'!$C:$C,$A35)+SUMIFS('Forecast Weekly'!BC:BC,'Forecast Weekly'!$C:$C,$A35)+SUMIFS('Forecast Weekly'!BD:BD,'Forecast Weekly'!$C:$C,$A35)</f>
        <v>1206.83333333333</v>
      </c>
      <c r="N35" s="3" t="n">
        <f aca="false">SUM(B35:M35)</f>
        <v>11881.3333333333</v>
      </c>
    </row>
    <row r="36" customFormat="false" ht="15" hidden="false" customHeight="false" outlineLevel="0" collapsed="false">
      <c r="A36" s="0" t="s">
        <v>122</v>
      </c>
      <c r="B36" s="7" t="n">
        <f aca="false">SUMIFS('Forecast Weekly'!E:E,'Forecast Weekly'!$C:$C,$A36)+SUMIFS('Forecast Weekly'!F:F,'Forecast Weekly'!$C:$C,$A36)+SUMIFS('Forecast Weekly'!G:G,'Forecast Weekly'!$C:$C,$A36)+SUMIFS('Forecast Weekly'!H:H,'Forecast Weekly'!$C:$C,$A36)+SUMIFS('Forecast Weekly'!I:I,'Forecast Weekly'!$C:$C,$A36)</f>
        <v>37.125</v>
      </c>
      <c r="C36" s="7" t="n">
        <f aca="false">SUMIFS('Forecast Weekly'!J:J,'Forecast Weekly'!$C:$C,$A36)+SUMIFS('Forecast Weekly'!K:K,'Forecast Weekly'!$C:$C,$A36)+SUMIFS('Forecast Weekly'!L:L,'Forecast Weekly'!$C:$C,$A36)+SUMIFS('Forecast Weekly'!M:M,'Forecast Weekly'!$C:$C,$A36)</f>
        <v>44.55</v>
      </c>
      <c r="D36" s="7" t="n">
        <f aca="false">SUMIFS('Forecast Weekly'!N:N,'Forecast Weekly'!$C:$C,$A36)+SUMIFS('Forecast Weekly'!O:O,'Forecast Weekly'!$C:$C,$A36)+SUMIFS('Forecast Weekly'!P:P,'Forecast Weekly'!$C:$C,$A36)+SUMIFS('Forecast Weekly'!Q:Q,'Forecast Weekly'!$C:$C,$A36)</f>
        <v>72.6</v>
      </c>
      <c r="E36" s="7" t="n">
        <f aca="false">SUMIFS('Forecast Weekly'!R:R,'Forecast Weekly'!$C:$C,$A36)+SUMIFS('Forecast Weekly'!S:S,'Forecast Weekly'!$C:$C,$A36)+SUMIFS('Forecast Weekly'!T:T,'Forecast Weekly'!$C:$C,$A36)+SUMIFS('Forecast Weekly'!U:U,'Forecast Weekly'!$C:$C,$A36)+SUMIFS('Forecast Weekly'!V:V,'Forecast Weekly'!$C:$C,$A36)</f>
        <v>123.75</v>
      </c>
      <c r="F36" s="7" t="n">
        <f aca="false">SUMIFS('Forecast Weekly'!W:W,'Forecast Weekly'!$C:$C,$A36)+SUMIFS('Forecast Weekly'!X:X,'Forecast Weekly'!$C:$C,$A36)+SUMIFS('Forecast Weekly'!Y:Y,'Forecast Weekly'!$C:$C,$A36)+SUMIFS('Forecast Weekly'!Z:Z,'Forecast Weekly'!$C:$C,$A36)</f>
        <v>125.4</v>
      </c>
      <c r="G36" s="7" t="n">
        <f aca="false">SUMIFS('Forecast Weekly'!AA:AA,'Forecast Weekly'!$C:$C,$A36)+SUMIFS('Forecast Weekly'!AB:AB,'Forecast Weekly'!$C:$C,$A36)+SUMIFS('Forecast Weekly'!AC:AC,'Forecast Weekly'!$C:$C,$A36)+SUMIFS('Forecast Weekly'!AD:AD,'Forecast Weekly'!$C:$C,$A36)</f>
        <v>148.5</v>
      </c>
      <c r="H36" s="7" t="n">
        <f aca="false">SUMIFS('Forecast Weekly'!AE:AE,'Forecast Weekly'!$C:$C,$A36)+SUMIFS('Forecast Weekly'!AF:AF,'Forecast Weekly'!$C:$C,$A36)+SUMIFS('Forecast Weekly'!AG:AG,'Forecast Weekly'!$C:$C,$A36)+SUMIFS('Forecast Weekly'!AH:AH,'Forecast Weekly'!$C:$C,$A36)+SUMIFS('Forecast Weekly'!AI:AI,'Forecast Weekly'!$C:$C,$A36)</f>
        <v>208.3125</v>
      </c>
      <c r="I36" s="7" t="n">
        <f aca="false">SUMIFS('Forecast Weekly'!AJ:AJ,'Forecast Weekly'!$C:$C,$A36)+SUMIFS('Forecast Weekly'!AK:AK,'Forecast Weekly'!$C:$C,$A36)+SUMIFS('Forecast Weekly'!AL:AL,'Forecast Weekly'!$C:$C,$A36)+SUMIFS('Forecast Weekly'!AM:AM,'Forecast Weekly'!$C:$C,$A36)</f>
        <v>179.85</v>
      </c>
      <c r="J36" s="7" t="n">
        <f aca="false">SUMIFS('Forecast Weekly'!AN:AN,'Forecast Weekly'!$C:$C,$A36)+SUMIFS('Forecast Weekly'!AO:AO,'Forecast Weekly'!$C:$C,$A36)+SUMIFS('Forecast Weekly'!AP:AP,'Forecast Weekly'!$C:$C,$A36)+SUMIFS('Forecast Weekly'!AQ:AQ,'Forecast Weekly'!$C:$C,$A36)</f>
        <v>189.75</v>
      </c>
      <c r="K36" s="7" t="n">
        <f aca="false">SUMIFS('Forecast Weekly'!AR:AR,'Forecast Weekly'!$C:$C,$A36)+SUMIFS('Forecast Weekly'!AS:AS,'Forecast Weekly'!$C:$C,$A36)+SUMIFS('Forecast Weekly'!AT:AT,'Forecast Weekly'!$C:$C,$A36)+SUMIFS('Forecast Weekly'!AU:AU,'Forecast Weekly'!$C:$C,$A36)+SUMIFS('Forecast Weekly'!AV:AV,'Forecast Weekly'!$C:$C,$A36)</f>
        <v>243.375</v>
      </c>
      <c r="L36" s="7" t="n">
        <f aca="false">SUMIFS('Forecast Weekly'!AW:AW,'Forecast Weekly'!$C:$C,$A36)+SUMIFS('Forecast Weekly'!AX:AX,'Forecast Weekly'!$C:$C,$A36)+SUMIFS('Forecast Weekly'!AY:AY,'Forecast Weekly'!$C:$C,$A36)+SUMIFS('Forecast Weekly'!AZ:AZ,'Forecast Weekly'!$C:$C,$A36)</f>
        <v>196.35</v>
      </c>
      <c r="M36" s="7" t="n">
        <f aca="false">SUMIFS('Forecast Weekly'!BA:BA,'Forecast Weekly'!$C:$C,$A36)+SUMIFS('Forecast Weekly'!BB:BB,'Forecast Weekly'!$C:$C,$A36)+SUMIFS('Forecast Weekly'!BC:BC,'Forecast Weekly'!$C:$C,$A36)+SUMIFS('Forecast Weekly'!BD:BD,'Forecast Weekly'!$C:$C,$A36)</f>
        <v>198</v>
      </c>
      <c r="N36" s="3" t="n">
        <f aca="false">SUM(B36:M36)</f>
        <v>1767.5625</v>
      </c>
    </row>
    <row r="37" customFormat="false" ht="15" hidden="false" customHeight="false" outlineLevel="0" collapsed="false">
      <c r="A37" s="0" t="s">
        <v>123</v>
      </c>
      <c r="B37" s="7" t="n">
        <f aca="false">SUMIFS('Forecast Weekly'!E:E,'Forecast Weekly'!$C:$C,$A37)+SUMIFS('Forecast Weekly'!F:F,'Forecast Weekly'!$C:$C,$A37)+SUMIFS('Forecast Weekly'!G:G,'Forecast Weekly'!$C:$C,$A37)+SUMIFS('Forecast Weekly'!H:H,'Forecast Weekly'!$C:$C,$A37)+SUMIFS('Forecast Weekly'!I:I,'Forecast Weekly'!$C:$C,$A37)</f>
        <v>14.625</v>
      </c>
      <c r="C37" s="7" t="n">
        <f aca="false">SUMIFS('Forecast Weekly'!J:J,'Forecast Weekly'!$C:$C,$A37)+SUMIFS('Forecast Weekly'!K:K,'Forecast Weekly'!$C:$C,$A37)+SUMIFS('Forecast Weekly'!L:L,'Forecast Weekly'!$C:$C,$A37)+SUMIFS('Forecast Weekly'!M:M,'Forecast Weekly'!$C:$C,$A37)</f>
        <v>18.2</v>
      </c>
      <c r="D37" s="7" t="n">
        <f aca="false">SUMIFS('Forecast Weekly'!N:N,'Forecast Weekly'!$C:$C,$A37)+SUMIFS('Forecast Weekly'!O:O,'Forecast Weekly'!$C:$C,$A37)+SUMIFS('Forecast Weekly'!P:P,'Forecast Weekly'!$C:$C,$A37)+SUMIFS('Forecast Weekly'!Q:Q,'Forecast Weekly'!$C:$C,$A37)</f>
        <v>28.6</v>
      </c>
      <c r="E37" s="7" t="n">
        <f aca="false">SUMIFS('Forecast Weekly'!R:R,'Forecast Weekly'!$C:$C,$A37)+SUMIFS('Forecast Weekly'!S:S,'Forecast Weekly'!$C:$C,$A37)+SUMIFS('Forecast Weekly'!T:T,'Forecast Weekly'!$C:$C,$A37)+SUMIFS('Forecast Weekly'!U:U,'Forecast Weekly'!$C:$C,$A37)+SUMIFS('Forecast Weekly'!V:V,'Forecast Weekly'!$C:$C,$A37)</f>
        <v>45.5</v>
      </c>
      <c r="F37" s="7" t="n">
        <f aca="false">SUMIFS('Forecast Weekly'!W:W,'Forecast Weekly'!$C:$C,$A37)+SUMIFS('Forecast Weekly'!X:X,'Forecast Weekly'!$C:$C,$A37)+SUMIFS('Forecast Weekly'!Y:Y,'Forecast Weekly'!$C:$C,$A37)+SUMIFS('Forecast Weekly'!Z:Z,'Forecast Weekly'!$C:$C,$A37)</f>
        <v>44.2</v>
      </c>
      <c r="G37" s="7" t="n">
        <f aca="false">SUMIFS('Forecast Weekly'!AA:AA,'Forecast Weekly'!$C:$C,$A37)+SUMIFS('Forecast Weekly'!AB:AB,'Forecast Weekly'!$C:$C,$A37)+SUMIFS('Forecast Weekly'!AC:AC,'Forecast Weekly'!$C:$C,$A37)+SUMIFS('Forecast Weekly'!AD:AD,'Forecast Weekly'!$C:$C,$A37)</f>
        <v>52</v>
      </c>
      <c r="H37" s="7" t="n">
        <f aca="false">SUMIFS('Forecast Weekly'!AE:AE,'Forecast Weekly'!$C:$C,$A37)+SUMIFS('Forecast Weekly'!AF:AF,'Forecast Weekly'!$C:$C,$A37)+SUMIFS('Forecast Weekly'!AG:AG,'Forecast Weekly'!$C:$C,$A37)+SUMIFS('Forecast Weekly'!AH:AH,'Forecast Weekly'!$C:$C,$A37)+SUMIFS('Forecast Weekly'!AI:AI,'Forecast Weekly'!$C:$C,$A37)</f>
        <v>71.5</v>
      </c>
      <c r="I37" s="7" t="n">
        <f aca="false">SUMIFS('Forecast Weekly'!AJ:AJ,'Forecast Weekly'!$C:$C,$A37)+SUMIFS('Forecast Weekly'!AK:AK,'Forecast Weekly'!$C:$C,$A37)+SUMIFS('Forecast Weekly'!AL:AL,'Forecast Weekly'!$C:$C,$A37)+SUMIFS('Forecast Weekly'!AM:AM,'Forecast Weekly'!$C:$C,$A37)</f>
        <v>62.4</v>
      </c>
      <c r="J37" s="7" t="n">
        <f aca="false">SUMIFS('Forecast Weekly'!AN:AN,'Forecast Weekly'!$C:$C,$A37)+SUMIFS('Forecast Weekly'!AO:AO,'Forecast Weekly'!$C:$C,$A37)+SUMIFS('Forecast Weekly'!AP:AP,'Forecast Weekly'!$C:$C,$A37)+SUMIFS('Forecast Weekly'!AQ:AQ,'Forecast Weekly'!$C:$C,$A37)</f>
        <v>63.7</v>
      </c>
      <c r="K37" s="7" t="n">
        <f aca="false">SUMIFS('Forecast Weekly'!AR:AR,'Forecast Weekly'!$C:$C,$A37)+SUMIFS('Forecast Weekly'!AS:AS,'Forecast Weekly'!$C:$C,$A37)+SUMIFS('Forecast Weekly'!AT:AT,'Forecast Weekly'!$C:$C,$A37)+SUMIFS('Forecast Weekly'!AU:AU,'Forecast Weekly'!$C:$C,$A37)+SUMIFS('Forecast Weekly'!AV:AV,'Forecast Weekly'!$C:$C,$A37)</f>
        <v>81.25</v>
      </c>
      <c r="L37" s="7" t="n">
        <f aca="false">SUMIFS('Forecast Weekly'!AW:AW,'Forecast Weekly'!$C:$C,$A37)+SUMIFS('Forecast Weekly'!AX:AX,'Forecast Weekly'!$C:$C,$A37)+SUMIFS('Forecast Weekly'!AY:AY,'Forecast Weekly'!$C:$C,$A37)+SUMIFS('Forecast Weekly'!AZ:AZ,'Forecast Weekly'!$C:$C,$A37)</f>
        <v>65</v>
      </c>
      <c r="M37" s="7" t="n">
        <f aca="false">SUMIFS('Forecast Weekly'!BA:BA,'Forecast Weekly'!$C:$C,$A37)+SUMIFS('Forecast Weekly'!BB:BB,'Forecast Weekly'!$C:$C,$A37)+SUMIFS('Forecast Weekly'!BC:BC,'Forecast Weekly'!$C:$C,$A37)+SUMIFS('Forecast Weekly'!BD:BD,'Forecast Weekly'!$C:$C,$A37)</f>
        <v>65</v>
      </c>
      <c r="N37" s="3" t="n">
        <f aca="false">SUM(B37:M37)</f>
        <v>611.975</v>
      </c>
    </row>
    <row r="38" customFormat="false" ht="15" hidden="false" customHeight="false" outlineLevel="0" collapsed="false">
      <c r="A38" s="4" t="s">
        <v>112</v>
      </c>
      <c r="B38" s="10" t="n">
        <f aca="false">SUM(B29:B37)</f>
        <v>1796.94791666667</v>
      </c>
      <c r="C38" s="10" t="n">
        <f aca="false">SUM(C29:C37)</f>
        <v>2068.075</v>
      </c>
      <c r="D38" s="10" t="n">
        <f aca="false">SUM(D29:D37)</f>
        <v>2977.35833333333</v>
      </c>
      <c r="E38" s="10" t="n">
        <f aca="false">SUM(E29:E37)</f>
        <v>4977.41666666667</v>
      </c>
      <c r="F38" s="10" t="n">
        <f aca="false">SUM(F29:F37)</f>
        <v>4945.775</v>
      </c>
      <c r="G38" s="10" t="n">
        <f aca="false">SUM(G29:G37)</f>
        <v>5903.71666666667</v>
      </c>
      <c r="H38" s="10" t="n">
        <f aca="false">SUM(H29:H37)</f>
        <v>19878.3854166667</v>
      </c>
      <c r="I38" s="10" t="n">
        <f aca="false">SUM(I29:I37)</f>
        <v>7409.2</v>
      </c>
      <c r="J38" s="10" t="n">
        <f aca="false">SUM(J29:J37)</f>
        <v>7966.825</v>
      </c>
      <c r="K38" s="10" t="n">
        <f aca="false">SUM(K29:K37)</f>
        <v>23164.7604166667</v>
      </c>
      <c r="L38" s="10" t="n">
        <f aca="false">SUM(L29:L37)</f>
        <v>19773.5083333333</v>
      </c>
      <c r="M38" s="10" t="n">
        <f aca="false">SUM(M29:M37)</f>
        <v>20647.4666666667</v>
      </c>
      <c r="N38" s="10" t="n">
        <f aca="false">SUM(N29:N37)</f>
        <v>121509.435416667</v>
      </c>
    </row>
    <row r="41" customFormat="false" ht="15" hidden="false" customHeight="false" outlineLevel="0" collapsed="false">
      <c r="A41" s="5" t="s">
        <v>124</v>
      </c>
    </row>
    <row r="42" customFormat="false" ht="15" hidden="false" customHeight="false" outlineLevel="0" collapsed="false">
      <c r="A42" s="4" t="s">
        <v>125</v>
      </c>
      <c r="B42" s="6" t="s">
        <v>95</v>
      </c>
      <c r="C42" s="6" t="s">
        <v>96</v>
      </c>
      <c r="D42" s="6" t="s">
        <v>97</v>
      </c>
      <c r="E42" s="6" t="s">
        <v>98</v>
      </c>
      <c r="F42" s="6" t="s">
        <v>99</v>
      </c>
      <c r="G42" s="6" t="s">
        <v>100</v>
      </c>
      <c r="H42" s="6" t="s">
        <v>101</v>
      </c>
      <c r="I42" s="6" t="s">
        <v>102</v>
      </c>
      <c r="J42" s="6" t="s">
        <v>103</v>
      </c>
      <c r="K42" s="6" t="s">
        <v>104</v>
      </c>
      <c r="L42" s="6" t="s">
        <v>105</v>
      </c>
      <c r="M42" s="6" t="s">
        <v>106</v>
      </c>
      <c r="N42" s="4" t="s">
        <v>107</v>
      </c>
    </row>
    <row r="43" customFormat="false" ht="15" hidden="false" customHeight="false" outlineLevel="0" collapsed="false">
      <c r="A43" s="0" t="s">
        <v>126</v>
      </c>
      <c r="B43" s="7" t="n">
        <f aca="false">SUMIFS('Forecast Weekly'!E:E,'Forecast Weekly'!$B:$B,$A43)+SUMIFS('Forecast Weekly'!F:F,'Forecast Weekly'!$B:$B,$A43)+SUMIFS('Forecast Weekly'!G:G,'Forecast Weekly'!$B:$B,$A43)+SUMIFS('Forecast Weekly'!H:H,'Forecast Weekly'!$B:$B,$A43)+SUMIFS('Forecast Weekly'!I:I,'Forecast Weekly'!$B:$B,$A43)</f>
        <v>658.020833333333</v>
      </c>
      <c r="C43" s="7" t="n">
        <f aca="false">SUMIFS('Forecast Weekly'!J:J,'Forecast Weekly'!$B:$B,$A43)+SUMIFS('Forecast Weekly'!K:K,'Forecast Weekly'!$B:$B,$A43)+SUMIFS('Forecast Weekly'!L:L,'Forecast Weekly'!$B:$B,$A43)+SUMIFS('Forecast Weekly'!M:M,'Forecast Weekly'!$B:$B,$A43)</f>
        <v>680.3</v>
      </c>
      <c r="D43" s="7" t="n">
        <f aca="false">SUMIFS('Forecast Weekly'!N:N,'Forecast Weekly'!$B:$B,$A43)+SUMIFS('Forecast Weekly'!O:O,'Forecast Weekly'!$B:$B,$A43)+SUMIFS('Forecast Weekly'!P:P,'Forecast Weekly'!$B:$B,$A43)+SUMIFS('Forecast Weekly'!Q:Q,'Forecast Weekly'!$B:$B,$A43)</f>
        <v>923.208333333333</v>
      </c>
      <c r="E43" s="7" t="n">
        <f aca="false">SUMIFS('Forecast Weekly'!R:R,'Forecast Weekly'!$B:$B,$A43)+SUMIFS('Forecast Weekly'!S:S,'Forecast Weekly'!$B:$B,$A43)+SUMIFS('Forecast Weekly'!T:T,'Forecast Weekly'!$B:$B,$A43)+SUMIFS('Forecast Weekly'!U:U,'Forecast Weekly'!$B:$B,$A43)+SUMIFS('Forecast Weekly'!V:V,'Forecast Weekly'!$B:$B,$A43)</f>
        <v>1446.17708333333</v>
      </c>
      <c r="F43" s="7" t="n">
        <f aca="false">SUMIFS('Forecast Weekly'!W:W,'Forecast Weekly'!$B:$B,$A43)+SUMIFS('Forecast Weekly'!X:X,'Forecast Weekly'!$B:$B,$A43)+SUMIFS('Forecast Weekly'!Y:Y,'Forecast Weekly'!$B:$B,$A43)+SUMIFS('Forecast Weekly'!Z:Z,'Forecast Weekly'!$B:$B,$A43)</f>
        <v>1365.375</v>
      </c>
      <c r="G43" s="7" t="n">
        <f aca="false">SUMIFS('Forecast Weekly'!AA:AA,'Forecast Weekly'!$B:$B,$A43)+SUMIFS('Forecast Weekly'!AB:AB,'Forecast Weekly'!$B:$B,$A43)+SUMIFS('Forecast Weekly'!AC:AC,'Forecast Weekly'!$B:$B,$A43)+SUMIFS('Forecast Weekly'!AD:AD,'Forecast Weekly'!$B:$B,$A43)</f>
        <v>1574.725</v>
      </c>
      <c r="H43" s="7" t="n">
        <f aca="false">SUMIFS('Forecast Weekly'!AE:AE,'Forecast Weekly'!$B:$B,$A43)+SUMIFS('Forecast Weekly'!AF:AF,'Forecast Weekly'!$B:$B,$A43)+SUMIFS('Forecast Weekly'!AG:AG,'Forecast Weekly'!$B:$B,$A43)+SUMIFS('Forecast Weekly'!AH:AH,'Forecast Weekly'!$B:$B,$A43)+SUMIFS('Forecast Weekly'!AI:AI,'Forecast Weekly'!$B:$B,$A43)</f>
        <v>9103.89583333333</v>
      </c>
      <c r="I43" s="7" t="n">
        <f aca="false">SUMIFS('Forecast Weekly'!AJ:AJ,'Forecast Weekly'!$B:$B,$A43)+SUMIFS('Forecast Weekly'!AK:AK,'Forecast Weekly'!$B:$B,$A43)+SUMIFS('Forecast Weekly'!AL:AL,'Forecast Weekly'!$B:$B,$A43)+SUMIFS('Forecast Weekly'!AM:AM,'Forecast Weekly'!$B:$B,$A43)</f>
        <v>1891.95</v>
      </c>
      <c r="J43" s="7" t="n">
        <f aca="false">SUMIFS('Forecast Weekly'!AN:AN,'Forecast Weekly'!$B:$B,$A43)+SUMIFS('Forecast Weekly'!AO:AO,'Forecast Weekly'!$B:$B,$A43)+SUMIFS('Forecast Weekly'!AP:AP,'Forecast Weekly'!$B:$B,$A43)+SUMIFS('Forecast Weekly'!AQ:AQ,'Forecast Weekly'!$B:$B,$A43)</f>
        <v>2016.23333333333</v>
      </c>
      <c r="K43" s="7" t="n">
        <f aca="false">SUMIFS('Forecast Weekly'!AR:AR,'Forecast Weekly'!$B:$B,$A43)+SUMIFS('Forecast Weekly'!AS:AS,'Forecast Weekly'!$B:$B,$A43)+SUMIFS('Forecast Weekly'!AT:AT,'Forecast Weekly'!$B:$B,$A43)+SUMIFS('Forecast Weekly'!AU:AU,'Forecast Weekly'!$B:$B,$A43)+SUMIFS('Forecast Weekly'!AV:AV,'Forecast Weekly'!$B:$B,$A43)</f>
        <v>5509.4375</v>
      </c>
      <c r="L43" s="7" t="n">
        <f aca="false">SUMIFS('Forecast Weekly'!AW:AW,'Forecast Weekly'!$B:$B,$A43)+SUMIFS('Forecast Weekly'!AX:AX,'Forecast Weekly'!$B:$B,$A43)+SUMIFS('Forecast Weekly'!AY:AY,'Forecast Weekly'!$B:$B,$A43)+SUMIFS('Forecast Weekly'!AZ:AZ,'Forecast Weekly'!$B:$B,$A43)</f>
        <v>4473.23333333333</v>
      </c>
      <c r="M43" s="7" t="n">
        <f aca="false">SUMIFS('Forecast Weekly'!BA:BA,'Forecast Weekly'!$B:$B,$A43)+SUMIFS('Forecast Weekly'!BB:BB,'Forecast Weekly'!$B:$B,$A43)+SUMIFS('Forecast Weekly'!BC:BC,'Forecast Weekly'!$B:$B,$A43)+SUMIFS('Forecast Weekly'!BD:BD,'Forecast Weekly'!$B:$B,$A43)</f>
        <v>4509.93333333333</v>
      </c>
      <c r="N43" s="3" t="n">
        <f aca="false">SUM(B43:M43)</f>
        <v>34152.4895833333</v>
      </c>
    </row>
    <row r="44" customFormat="false" ht="15" hidden="false" customHeight="false" outlineLevel="0" collapsed="false">
      <c r="A44" s="0" t="s">
        <v>127</v>
      </c>
      <c r="B44" s="7" t="n">
        <f aca="false">SUMIFS('Forecast Weekly'!E:E,'Forecast Weekly'!$B:$B,$A44)+SUMIFS('Forecast Weekly'!F:F,'Forecast Weekly'!$B:$B,$A44)+SUMIFS('Forecast Weekly'!G:G,'Forecast Weekly'!$B:$B,$A44)+SUMIFS('Forecast Weekly'!H:H,'Forecast Weekly'!$B:$B,$A44)+SUMIFS('Forecast Weekly'!I:I,'Forecast Weekly'!$B:$B,$A44)</f>
        <v>194.40625</v>
      </c>
      <c r="C44" s="7" t="n">
        <f aca="false">SUMIFS('Forecast Weekly'!J:J,'Forecast Weekly'!$B:$B,$A44)+SUMIFS('Forecast Weekly'!K:K,'Forecast Weekly'!$B:$B,$A44)+SUMIFS('Forecast Weekly'!L:L,'Forecast Weekly'!$B:$B,$A44)+SUMIFS('Forecast Weekly'!M:M,'Forecast Weekly'!$B:$B,$A44)</f>
        <v>243.283333333333</v>
      </c>
      <c r="D44" s="7" t="n">
        <f aca="false">SUMIFS('Forecast Weekly'!N:N,'Forecast Weekly'!$B:$B,$A44)+SUMIFS('Forecast Weekly'!O:O,'Forecast Weekly'!$B:$B,$A44)+SUMIFS('Forecast Weekly'!P:P,'Forecast Weekly'!$B:$B,$A44)+SUMIFS('Forecast Weekly'!Q:Q,'Forecast Weekly'!$B:$B,$A44)</f>
        <v>368.033333333333</v>
      </c>
      <c r="E44" s="7" t="n">
        <f aca="false">SUMIFS('Forecast Weekly'!R:R,'Forecast Weekly'!$B:$B,$A44)+SUMIFS('Forecast Weekly'!S:S,'Forecast Weekly'!$B:$B,$A44)+SUMIFS('Forecast Weekly'!T:T,'Forecast Weekly'!$B:$B,$A44)+SUMIFS('Forecast Weekly'!U:U,'Forecast Weekly'!$B:$B,$A44)+SUMIFS('Forecast Weekly'!V:V,'Forecast Weekly'!$B:$B,$A44)</f>
        <v>686.125</v>
      </c>
      <c r="F44" s="7" t="n">
        <f aca="false">SUMIFS('Forecast Weekly'!W:W,'Forecast Weekly'!$B:$B,$A44)+SUMIFS('Forecast Weekly'!X:X,'Forecast Weekly'!$B:$B,$A44)+SUMIFS('Forecast Weekly'!Y:Y,'Forecast Weekly'!$B:$B,$A44)+SUMIFS('Forecast Weekly'!Z:Z,'Forecast Weekly'!$B:$B,$A44)</f>
        <v>711.341666666667</v>
      </c>
      <c r="G44" s="7" t="n">
        <f aca="false">SUMIFS('Forecast Weekly'!AA:AA,'Forecast Weekly'!$B:$B,$A44)+SUMIFS('Forecast Weekly'!AB:AB,'Forecast Weekly'!$B:$B,$A44)+SUMIFS('Forecast Weekly'!AC:AC,'Forecast Weekly'!$B:$B,$A44)+SUMIFS('Forecast Weekly'!AD:AD,'Forecast Weekly'!$B:$B,$A44)</f>
        <v>852.058333333333</v>
      </c>
      <c r="H44" s="7" t="n">
        <f aca="false">SUMIFS('Forecast Weekly'!AE:AE,'Forecast Weekly'!$B:$B,$A44)+SUMIFS('Forecast Weekly'!AF:AF,'Forecast Weekly'!$B:$B,$A44)+SUMIFS('Forecast Weekly'!AG:AG,'Forecast Weekly'!$B:$B,$A44)+SUMIFS('Forecast Weekly'!AH:AH,'Forecast Weekly'!$B:$B,$A44)+SUMIFS('Forecast Weekly'!AI:AI,'Forecast Weekly'!$B:$B,$A44)</f>
        <v>5812.5625</v>
      </c>
      <c r="I44" s="7" t="n">
        <f aca="false">SUMIFS('Forecast Weekly'!AJ:AJ,'Forecast Weekly'!$B:$B,$A44)+SUMIFS('Forecast Weekly'!AK:AK,'Forecast Weekly'!$B:$B,$A44)+SUMIFS('Forecast Weekly'!AL:AL,'Forecast Weekly'!$B:$B,$A44)+SUMIFS('Forecast Weekly'!AM:AM,'Forecast Weekly'!$B:$B,$A44)</f>
        <v>1077.95</v>
      </c>
      <c r="J44" s="7" t="n">
        <f aca="false">SUMIFS('Forecast Weekly'!AN:AN,'Forecast Weekly'!$B:$B,$A44)+SUMIFS('Forecast Weekly'!AO:AO,'Forecast Weekly'!$B:$B,$A44)+SUMIFS('Forecast Weekly'!AP:AP,'Forecast Weekly'!$B:$B,$A44)+SUMIFS('Forecast Weekly'!AQ:AQ,'Forecast Weekly'!$B:$B,$A44)</f>
        <v>1160.6</v>
      </c>
      <c r="K44" s="7" t="n">
        <f aca="false">SUMIFS('Forecast Weekly'!AR:AR,'Forecast Weekly'!$B:$B,$A44)+SUMIFS('Forecast Weekly'!AS:AS,'Forecast Weekly'!$B:$B,$A44)+SUMIFS('Forecast Weekly'!AT:AT,'Forecast Weekly'!$B:$B,$A44)+SUMIFS('Forecast Weekly'!AU:AU,'Forecast Weekly'!$B:$B,$A44)+SUMIFS('Forecast Weekly'!AV:AV,'Forecast Weekly'!$B:$B,$A44)</f>
        <v>3833.57291666667</v>
      </c>
      <c r="L44" s="7" t="n">
        <f aca="false">SUMIFS('Forecast Weekly'!AW:AW,'Forecast Weekly'!$B:$B,$A44)+SUMIFS('Forecast Weekly'!AX:AX,'Forecast Weekly'!$B:$B,$A44)+SUMIFS('Forecast Weekly'!AY:AY,'Forecast Weekly'!$B:$B,$A44)+SUMIFS('Forecast Weekly'!AZ:AZ,'Forecast Weekly'!$B:$B,$A44)</f>
        <v>3290.2</v>
      </c>
      <c r="M44" s="7" t="n">
        <f aca="false">SUMIFS('Forecast Weekly'!BA:BA,'Forecast Weekly'!$B:$B,$A44)+SUMIFS('Forecast Weekly'!BB:BB,'Forecast Weekly'!$B:$B,$A44)+SUMIFS('Forecast Weekly'!BC:BC,'Forecast Weekly'!$B:$B,$A44)+SUMIFS('Forecast Weekly'!BD:BD,'Forecast Weekly'!$B:$B,$A44)</f>
        <v>3328.08333333333</v>
      </c>
      <c r="N44" s="3" t="n">
        <f aca="false">SUM(B44:M44)</f>
        <v>21558.2166666667</v>
      </c>
    </row>
    <row r="45" customFormat="false" ht="15" hidden="false" customHeight="false" outlineLevel="0" collapsed="false">
      <c r="A45" s="0" t="s">
        <v>128</v>
      </c>
      <c r="B45" s="7" t="n">
        <f aca="false">SUMIFS('Forecast Weekly'!E:E,'Forecast Weekly'!$B:$B,$A45)+SUMIFS('Forecast Weekly'!F:F,'Forecast Weekly'!$B:$B,$A45)+SUMIFS('Forecast Weekly'!G:G,'Forecast Weekly'!$B:$B,$A45)+SUMIFS('Forecast Weekly'!H:H,'Forecast Weekly'!$B:$B,$A45)+SUMIFS('Forecast Weekly'!I:I,'Forecast Weekly'!$B:$B,$A45)</f>
        <v>41.03125</v>
      </c>
      <c r="C45" s="7" t="n">
        <f aca="false">SUMIFS('Forecast Weekly'!J:J,'Forecast Weekly'!$B:$B,$A45)+SUMIFS('Forecast Weekly'!K:K,'Forecast Weekly'!$B:$B,$A45)+SUMIFS('Forecast Weekly'!L:L,'Forecast Weekly'!$B:$B,$A45)+SUMIFS('Forecast Weekly'!M:M,'Forecast Weekly'!$B:$B,$A45)</f>
        <v>53.25</v>
      </c>
      <c r="D45" s="7" t="n">
        <f aca="false">SUMIFS('Forecast Weekly'!N:N,'Forecast Weekly'!$B:$B,$A45)+SUMIFS('Forecast Weekly'!O:O,'Forecast Weekly'!$B:$B,$A45)+SUMIFS('Forecast Weekly'!P:P,'Forecast Weekly'!$B:$B,$A45)+SUMIFS('Forecast Weekly'!Q:Q,'Forecast Weekly'!$B:$B,$A45)</f>
        <v>92.7166666666667</v>
      </c>
      <c r="E45" s="7" t="n">
        <f aca="false">SUMIFS('Forecast Weekly'!R:R,'Forecast Weekly'!$B:$B,$A45)+SUMIFS('Forecast Weekly'!S:S,'Forecast Weekly'!$B:$B,$A45)+SUMIFS('Forecast Weekly'!T:T,'Forecast Weekly'!$B:$B,$A45)+SUMIFS('Forecast Weekly'!U:U,'Forecast Weekly'!$B:$B,$A45)+SUMIFS('Forecast Weekly'!V:V,'Forecast Weekly'!$B:$B,$A45)</f>
        <v>167.604166666667</v>
      </c>
      <c r="F45" s="7" t="n">
        <f aca="false">SUMIFS('Forecast Weekly'!W:W,'Forecast Weekly'!$B:$B,$A45)+SUMIFS('Forecast Weekly'!X:X,'Forecast Weekly'!$B:$B,$A45)+SUMIFS('Forecast Weekly'!Y:Y,'Forecast Weekly'!$B:$B,$A45)+SUMIFS('Forecast Weekly'!Z:Z,'Forecast Weekly'!$B:$B,$A45)</f>
        <v>194.066666666667</v>
      </c>
      <c r="G45" s="7" t="n">
        <f aca="false">SUMIFS('Forecast Weekly'!AA:AA,'Forecast Weekly'!$B:$B,$A45)+SUMIFS('Forecast Weekly'!AB:AB,'Forecast Weekly'!$B:$B,$A45)+SUMIFS('Forecast Weekly'!AC:AC,'Forecast Weekly'!$B:$B,$A45)+SUMIFS('Forecast Weekly'!AD:AD,'Forecast Weekly'!$B:$B,$A45)</f>
        <v>259.45</v>
      </c>
      <c r="H45" s="7" t="n">
        <f aca="false">SUMIFS('Forecast Weekly'!AE:AE,'Forecast Weekly'!$B:$B,$A45)+SUMIFS('Forecast Weekly'!AF:AF,'Forecast Weekly'!$B:$B,$A45)+SUMIFS('Forecast Weekly'!AG:AG,'Forecast Weekly'!$B:$B,$A45)+SUMIFS('Forecast Weekly'!AH:AH,'Forecast Weekly'!$B:$B,$A45)+SUMIFS('Forecast Weekly'!AI:AI,'Forecast Weekly'!$B:$B,$A45)</f>
        <v>388.791666666667</v>
      </c>
      <c r="I45" s="7" t="n">
        <f aca="false">SUMIFS('Forecast Weekly'!AJ:AJ,'Forecast Weekly'!$B:$B,$A45)+SUMIFS('Forecast Weekly'!AK:AK,'Forecast Weekly'!$B:$B,$A45)+SUMIFS('Forecast Weekly'!AL:AL,'Forecast Weekly'!$B:$B,$A45)+SUMIFS('Forecast Weekly'!AM:AM,'Forecast Weekly'!$B:$B,$A45)</f>
        <v>368.141666666667</v>
      </c>
      <c r="J45" s="7" t="n">
        <f aca="false">SUMIFS('Forecast Weekly'!AN:AN,'Forecast Weekly'!$B:$B,$A45)+SUMIFS('Forecast Weekly'!AO:AO,'Forecast Weekly'!$B:$B,$A45)+SUMIFS('Forecast Weekly'!AP:AP,'Forecast Weekly'!$B:$B,$A45)+SUMIFS('Forecast Weekly'!AQ:AQ,'Forecast Weekly'!$B:$B,$A45)</f>
        <v>407.8</v>
      </c>
      <c r="K45" s="7" t="n">
        <f aca="false">SUMIFS('Forecast Weekly'!AR:AR,'Forecast Weekly'!$B:$B,$A45)+SUMIFS('Forecast Weekly'!AS:AS,'Forecast Weekly'!$B:$B,$A45)+SUMIFS('Forecast Weekly'!AT:AT,'Forecast Weekly'!$B:$B,$A45)+SUMIFS('Forecast Weekly'!AU:AU,'Forecast Weekly'!$B:$B,$A45)+SUMIFS('Forecast Weekly'!AV:AV,'Forecast Weekly'!$B:$B,$A45)</f>
        <v>1120.45833333333</v>
      </c>
      <c r="L45" s="7" t="n">
        <f aca="false">SUMIFS('Forecast Weekly'!AW:AW,'Forecast Weekly'!$B:$B,$A45)+SUMIFS('Forecast Weekly'!AX:AX,'Forecast Weekly'!$B:$B,$A45)+SUMIFS('Forecast Weekly'!AY:AY,'Forecast Weekly'!$B:$B,$A45)+SUMIFS('Forecast Weekly'!AZ:AZ,'Forecast Weekly'!$B:$B,$A45)</f>
        <v>1011.63333333333</v>
      </c>
      <c r="M45" s="7" t="n">
        <f aca="false">SUMIFS('Forecast Weekly'!BA:BA,'Forecast Weekly'!$B:$B,$A45)+SUMIFS('Forecast Weekly'!BB:BB,'Forecast Weekly'!$B:$B,$A45)+SUMIFS('Forecast Weekly'!BC:BC,'Forecast Weekly'!$B:$B,$A45)+SUMIFS('Forecast Weekly'!BD:BD,'Forecast Weekly'!$B:$B,$A45)</f>
        <v>1118.625</v>
      </c>
      <c r="N45" s="3" t="n">
        <f aca="false">SUM(B45:M45)</f>
        <v>5223.56875</v>
      </c>
    </row>
    <row r="46" customFormat="false" ht="15" hidden="false" customHeight="false" outlineLevel="0" collapsed="false">
      <c r="A46" s="0" t="s">
        <v>129</v>
      </c>
      <c r="B46" s="7" t="n">
        <f aca="false">SUMIFS('Forecast Weekly'!E:E,'Forecast Weekly'!$B:$B,$A46)+SUMIFS('Forecast Weekly'!F:F,'Forecast Weekly'!$B:$B,$A46)+SUMIFS('Forecast Weekly'!G:G,'Forecast Weekly'!$B:$B,$A46)+SUMIFS('Forecast Weekly'!H:H,'Forecast Weekly'!$B:$B,$A46)+SUMIFS('Forecast Weekly'!I:I,'Forecast Weekly'!$B:$B,$A46)</f>
        <v>41.03125</v>
      </c>
      <c r="C46" s="7" t="n">
        <f aca="false">SUMIFS('Forecast Weekly'!J:J,'Forecast Weekly'!$B:$B,$A46)+SUMIFS('Forecast Weekly'!K:K,'Forecast Weekly'!$B:$B,$A46)+SUMIFS('Forecast Weekly'!L:L,'Forecast Weekly'!$B:$B,$A46)+SUMIFS('Forecast Weekly'!M:M,'Forecast Weekly'!$B:$B,$A46)</f>
        <v>53.25</v>
      </c>
      <c r="D46" s="7" t="n">
        <f aca="false">SUMIFS('Forecast Weekly'!N:N,'Forecast Weekly'!$B:$B,$A46)+SUMIFS('Forecast Weekly'!O:O,'Forecast Weekly'!$B:$B,$A46)+SUMIFS('Forecast Weekly'!P:P,'Forecast Weekly'!$B:$B,$A46)+SUMIFS('Forecast Weekly'!Q:Q,'Forecast Weekly'!$B:$B,$A46)</f>
        <v>92.7166666666667</v>
      </c>
      <c r="E46" s="7" t="n">
        <f aca="false">SUMIFS('Forecast Weekly'!R:R,'Forecast Weekly'!$B:$B,$A46)+SUMIFS('Forecast Weekly'!S:S,'Forecast Weekly'!$B:$B,$A46)+SUMIFS('Forecast Weekly'!T:T,'Forecast Weekly'!$B:$B,$A46)+SUMIFS('Forecast Weekly'!U:U,'Forecast Weekly'!$B:$B,$A46)+SUMIFS('Forecast Weekly'!V:V,'Forecast Weekly'!$B:$B,$A46)</f>
        <v>162.729166666667</v>
      </c>
      <c r="F46" s="7" t="n">
        <f aca="false">SUMIFS('Forecast Weekly'!W:W,'Forecast Weekly'!$B:$B,$A46)+SUMIFS('Forecast Weekly'!X:X,'Forecast Weekly'!$B:$B,$A46)+SUMIFS('Forecast Weekly'!Y:Y,'Forecast Weekly'!$B:$B,$A46)+SUMIFS('Forecast Weekly'!Z:Z,'Forecast Weekly'!$B:$B,$A46)</f>
        <v>186.6</v>
      </c>
      <c r="G46" s="7" t="n">
        <f aca="false">SUMIFS('Forecast Weekly'!AA:AA,'Forecast Weekly'!$B:$B,$A46)+SUMIFS('Forecast Weekly'!AB:AB,'Forecast Weekly'!$B:$B,$A46)+SUMIFS('Forecast Weekly'!AC:AC,'Forecast Weekly'!$B:$B,$A46)+SUMIFS('Forecast Weekly'!AD:AD,'Forecast Weekly'!$B:$B,$A46)</f>
        <v>240.558333333333</v>
      </c>
      <c r="H46" s="7" t="n">
        <f aca="false">SUMIFS('Forecast Weekly'!AE:AE,'Forecast Weekly'!$B:$B,$A46)+SUMIFS('Forecast Weekly'!AF:AF,'Forecast Weekly'!$B:$B,$A46)+SUMIFS('Forecast Weekly'!AG:AG,'Forecast Weekly'!$B:$B,$A46)+SUMIFS('Forecast Weekly'!AH:AH,'Forecast Weekly'!$B:$B,$A46)+SUMIFS('Forecast Weekly'!AI:AI,'Forecast Weekly'!$B:$B,$A46)</f>
        <v>365.177083333333</v>
      </c>
      <c r="I46" s="7" t="n">
        <f aca="false">SUMIFS('Forecast Weekly'!AJ:AJ,'Forecast Weekly'!$B:$B,$A46)+SUMIFS('Forecast Weekly'!AK:AK,'Forecast Weekly'!$B:$B,$A46)+SUMIFS('Forecast Weekly'!AL:AL,'Forecast Weekly'!$B:$B,$A46)+SUMIFS('Forecast Weekly'!AM:AM,'Forecast Weekly'!$B:$B,$A46)</f>
        <v>332.608333333333</v>
      </c>
      <c r="J46" s="7" t="n">
        <f aca="false">SUMIFS('Forecast Weekly'!AN:AN,'Forecast Weekly'!$B:$B,$A46)+SUMIFS('Forecast Weekly'!AO:AO,'Forecast Weekly'!$B:$B,$A46)+SUMIFS('Forecast Weekly'!AP:AP,'Forecast Weekly'!$B:$B,$A46)+SUMIFS('Forecast Weekly'!AQ:AQ,'Forecast Weekly'!$B:$B,$A46)</f>
        <v>370.616666666667</v>
      </c>
      <c r="K46" s="7" t="n">
        <f aca="false">SUMIFS('Forecast Weekly'!AR:AR,'Forecast Weekly'!$B:$B,$A46)+SUMIFS('Forecast Weekly'!AS:AS,'Forecast Weekly'!$B:$B,$A46)+SUMIFS('Forecast Weekly'!AT:AT,'Forecast Weekly'!$B:$B,$A46)+SUMIFS('Forecast Weekly'!AU:AU,'Forecast Weekly'!$B:$B,$A46)+SUMIFS('Forecast Weekly'!AV:AV,'Forecast Weekly'!$B:$B,$A46)</f>
        <v>968.385416666667</v>
      </c>
      <c r="L46" s="7" t="n">
        <f aca="false">SUMIFS('Forecast Weekly'!AW:AW,'Forecast Weekly'!$B:$B,$A46)+SUMIFS('Forecast Weekly'!AX:AX,'Forecast Weekly'!$B:$B,$A46)+SUMIFS('Forecast Weekly'!AY:AY,'Forecast Weekly'!$B:$B,$A46)+SUMIFS('Forecast Weekly'!AZ:AZ,'Forecast Weekly'!$B:$B,$A46)</f>
        <v>891.625</v>
      </c>
      <c r="M46" s="7" t="n">
        <f aca="false">SUMIFS('Forecast Weekly'!BA:BA,'Forecast Weekly'!$B:$B,$A46)+SUMIFS('Forecast Weekly'!BB:BB,'Forecast Weekly'!$B:$B,$A46)+SUMIFS('Forecast Weekly'!BC:BC,'Forecast Weekly'!$B:$B,$A46)+SUMIFS('Forecast Weekly'!BD:BD,'Forecast Weekly'!$B:$B,$A46)</f>
        <v>1000.26666666667</v>
      </c>
      <c r="N46" s="3" t="n">
        <f aca="false">SUM(B46:M46)</f>
        <v>4705.56458333333</v>
      </c>
    </row>
    <row r="47" customFormat="false" ht="15" hidden="false" customHeight="false" outlineLevel="0" collapsed="false">
      <c r="A47" s="0" t="s">
        <v>130</v>
      </c>
      <c r="B47" s="7" t="n">
        <f aca="false">SUMIFS('Forecast Weekly'!E:E,'Forecast Weekly'!$B:$B,$A47)+SUMIFS('Forecast Weekly'!F:F,'Forecast Weekly'!$B:$B,$A47)+SUMIFS('Forecast Weekly'!G:G,'Forecast Weekly'!$B:$B,$A47)+SUMIFS('Forecast Weekly'!H:H,'Forecast Weekly'!$B:$B,$A47)+SUMIFS('Forecast Weekly'!I:I,'Forecast Weekly'!$B:$B,$A47)</f>
        <v>441.666666666667</v>
      </c>
      <c r="C47" s="7" t="n">
        <f aca="false">SUMIFS('Forecast Weekly'!J:J,'Forecast Weekly'!$B:$B,$A47)+SUMIFS('Forecast Weekly'!K:K,'Forecast Weekly'!$B:$B,$A47)+SUMIFS('Forecast Weekly'!L:L,'Forecast Weekly'!$B:$B,$A47)+SUMIFS('Forecast Weekly'!M:M,'Forecast Weekly'!$B:$B,$A47)</f>
        <v>535.958333333333</v>
      </c>
      <c r="D47" s="7" t="n">
        <f aca="false">SUMIFS('Forecast Weekly'!N:N,'Forecast Weekly'!$B:$B,$A47)+SUMIFS('Forecast Weekly'!O:O,'Forecast Weekly'!$B:$B,$A47)+SUMIFS('Forecast Weekly'!P:P,'Forecast Weekly'!$B:$B,$A47)+SUMIFS('Forecast Weekly'!Q:Q,'Forecast Weekly'!$B:$B,$A47)</f>
        <v>805.35</v>
      </c>
      <c r="E47" s="7" t="n">
        <f aca="false">SUMIFS('Forecast Weekly'!R:R,'Forecast Weekly'!$B:$B,$A47)+SUMIFS('Forecast Weekly'!S:S,'Forecast Weekly'!$B:$B,$A47)+SUMIFS('Forecast Weekly'!T:T,'Forecast Weekly'!$B:$B,$A47)+SUMIFS('Forecast Weekly'!U:U,'Forecast Weekly'!$B:$B,$A47)+SUMIFS('Forecast Weekly'!V:V,'Forecast Weekly'!$B:$B,$A47)</f>
        <v>1339.97916666667</v>
      </c>
      <c r="F47" s="7" t="n">
        <f aca="false">SUMIFS('Forecast Weekly'!W:W,'Forecast Weekly'!$B:$B,$A47)+SUMIFS('Forecast Weekly'!X:X,'Forecast Weekly'!$B:$B,$A47)+SUMIFS('Forecast Weekly'!Y:Y,'Forecast Weekly'!$B:$B,$A47)+SUMIFS('Forecast Weekly'!Z:Z,'Forecast Weekly'!$B:$B,$A47)</f>
        <v>1338.58333333333</v>
      </c>
      <c r="G47" s="7" t="n">
        <f aca="false">SUMIFS('Forecast Weekly'!AA:AA,'Forecast Weekly'!$B:$B,$A47)+SUMIFS('Forecast Weekly'!AB:AB,'Forecast Weekly'!$B:$B,$A47)+SUMIFS('Forecast Weekly'!AC:AC,'Forecast Weekly'!$B:$B,$A47)+SUMIFS('Forecast Weekly'!AD:AD,'Forecast Weekly'!$B:$B,$A47)</f>
        <v>1606.51666666667</v>
      </c>
      <c r="H47" s="7" t="n">
        <f aca="false">SUMIFS('Forecast Weekly'!AE:AE,'Forecast Weekly'!$B:$B,$A47)+SUMIFS('Forecast Weekly'!AF:AF,'Forecast Weekly'!$B:$B,$A47)+SUMIFS('Forecast Weekly'!AG:AG,'Forecast Weekly'!$B:$B,$A47)+SUMIFS('Forecast Weekly'!AH:AH,'Forecast Weekly'!$B:$B,$A47)+SUMIFS('Forecast Weekly'!AI:AI,'Forecast Weekly'!$B:$B,$A47)</f>
        <v>2274.53125</v>
      </c>
      <c r="I47" s="7" t="n">
        <f aca="false">SUMIFS('Forecast Weekly'!AJ:AJ,'Forecast Weekly'!$B:$B,$A47)+SUMIFS('Forecast Weekly'!AK:AK,'Forecast Weekly'!$B:$B,$A47)+SUMIFS('Forecast Weekly'!AL:AL,'Forecast Weekly'!$B:$B,$A47)+SUMIFS('Forecast Weekly'!AM:AM,'Forecast Weekly'!$B:$B,$A47)</f>
        <v>2005.93333333333</v>
      </c>
      <c r="J47" s="7" t="n">
        <f aca="false">SUMIFS('Forecast Weekly'!AN:AN,'Forecast Weekly'!$B:$B,$A47)+SUMIFS('Forecast Weekly'!AO:AO,'Forecast Weekly'!$B:$B,$A47)+SUMIFS('Forecast Weekly'!AP:AP,'Forecast Weekly'!$B:$B,$A47)+SUMIFS('Forecast Weekly'!AQ:AQ,'Forecast Weekly'!$B:$B,$A47)</f>
        <v>2150.675</v>
      </c>
      <c r="K47" s="7" t="n">
        <f aca="false">SUMIFS('Forecast Weekly'!AR:AR,'Forecast Weekly'!$B:$B,$A47)+SUMIFS('Forecast Weekly'!AS:AS,'Forecast Weekly'!$B:$B,$A47)+SUMIFS('Forecast Weekly'!AT:AT,'Forecast Weekly'!$B:$B,$A47)+SUMIFS('Forecast Weekly'!AU:AU,'Forecast Weekly'!$B:$B,$A47)+SUMIFS('Forecast Weekly'!AV:AV,'Forecast Weekly'!$B:$B,$A47)</f>
        <v>6275.09375</v>
      </c>
      <c r="L47" s="7" t="n">
        <f aca="false">SUMIFS('Forecast Weekly'!AW:AW,'Forecast Weekly'!$B:$B,$A47)+SUMIFS('Forecast Weekly'!AX:AX,'Forecast Weekly'!$B:$B,$A47)+SUMIFS('Forecast Weekly'!AY:AY,'Forecast Weekly'!$B:$B,$A47)+SUMIFS('Forecast Weekly'!AZ:AZ,'Forecast Weekly'!$B:$B,$A47)</f>
        <v>5292.625</v>
      </c>
      <c r="M47" s="7" t="n">
        <f aca="false">SUMIFS('Forecast Weekly'!BA:BA,'Forecast Weekly'!$B:$B,$A47)+SUMIFS('Forecast Weekly'!BB:BB,'Forecast Weekly'!$B:$B,$A47)+SUMIFS('Forecast Weekly'!BC:BC,'Forecast Weekly'!$B:$B,$A47)+SUMIFS('Forecast Weekly'!BD:BD,'Forecast Weekly'!$B:$B,$A47)</f>
        <v>5623.83333333333</v>
      </c>
      <c r="N47" s="3" t="n">
        <f aca="false">SUM(B47:M47)</f>
        <v>29690.7458333333</v>
      </c>
    </row>
    <row r="48" customFormat="false" ht="15" hidden="false" customHeight="false" outlineLevel="0" collapsed="false">
      <c r="A48" s="0" t="s">
        <v>131</v>
      </c>
      <c r="B48" s="7" t="n">
        <f aca="false">SUMIFS('Forecast Weekly'!E:E,'Forecast Weekly'!$B:$B,$A48)+SUMIFS('Forecast Weekly'!F:F,'Forecast Weekly'!$B:$B,$A48)+SUMIFS('Forecast Weekly'!G:G,'Forecast Weekly'!$B:$B,$A48)+SUMIFS('Forecast Weekly'!H:H,'Forecast Weekly'!$B:$B,$A48)+SUMIFS('Forecast Weekly'!I:I,'Forecast Weekly'!$B:$B,$A48)</f>
        <v>352.291666666667</v>
      </c>
      <c r="C48" s="7" t="n">
        <f aca="false">SUMIFS('Forecast Weekly'!J:J,'Forecast Weekly'!$B:$B,$A48)+SUMIFS('Forecast Weekly'!K:K,'Forecast Weekly'!$B:$B,$A48)+SUMIFS('Forecast Weekly'!L:L,'Forecast Weekly'!$B:$B,$A48)+SUMIFS('Forecast Weekly'!M:M,'Forecast Weekly'!$B:$B,$A48)</f>
        <v>415.083333333333</v>
      </c>
      <c r="D48" s="7" t="n">
        <f aca="false">SUMIFS('Forecast Weekly'!N:N,'Forecast Weekly'!$B:$B,$A48)+SUMIFS('Forecast Weekly'!O:O,'Forecast Weekly'!$B:$B,$A48)+SUMIFS('Forecast Weekly'!P:P,'Forecast Weekly'!$B:$B,$A48)+SUMIFS('Forecast Weekly'!Q:Q,'Forecast Weekly'!$B:$B,$A48)</f>
        <v>559.283333333333</v>
      </c>
      <c r="E48" s="7" t="n">
        <f aca="false">SUMIFS('Forecast Weekly'!R:R,'Forecast Weekly'!$B:$B,$A48)+SUMIFS('Forecast Weekly'!S:S,'Forecast Weekly'!$B:$B,$A48)+SUMIFS('Forecast Weekly'!T:T,'Forecast Weekly'!$B:$B,$A48)+SUMIFS('Forecast Weekly'!U:U,'Forecast Weekly'!$B:$B,$A48)+SUMIFS('Forecast Weekly'!V:V,'Forecast Weekly'!$B:$B,$A48)</f>
        <v>926.385416666667</v>
      </c>
      <c r="F48" s="7" t="n">
        <f aca="false">SUMIFS('Forecast Weekly'!W:W,'Forecast Weekly'!$B:$B,$A48)+SUMIFS('Forecast Weekly'!X:X,'Forecast Weekly'!$B:$B,$A48)+SUMIFS('Forecast Weekly'!Y:Y,'Forecast Weekly'!$B:$B,$A48)+SUMIFS('Forecast Weekly'!Z:Z,'Forecast Weekly'!$B:$B,$A48)</f>
        <v>878.708333333333</v>
      </c>
      <c r="G48" s="7" t="n">
        <f aca="false">SUMIFS('Forecast Weekly'!AA:AA,'Forecast Weekly'!$B:$B,$A48)+SUMIFS('Forecast Weekly'!AB:AB,'Forecast Weekly'!$B:$B,$A48)+SUMIFS('Forecast Weekly'!AC:AC,'Forecast Weekly'!$B:$B,$A48)+SUMIFS('Forecast Weekly'!AD:AD,'Forecast Weekly'!$B:$B,$A48)</f>
        <v>1001.00833333333</v>
      </c>
      <c r="H48" s="7" t="n">
        <f aca="false">SUMIFS('Forecast Weekly'!AE:AE,'Forecast Weekly'!$B:$B,$A48)+SUMIFS('Forecast Weekly'!AF:AF,'Forecast Weekly'!$B:$B,$A48)+SUMIFS('Forecast Weekly'!AG:AG,'Forecast Weekly'!$B:$B,$A48)+SUMIFS('Forecast Weekly'!AH:AH,'Forecast Weekly'!$B:$B,$A48)+SUMIFS('Forecast Weekly'!AI:AI,'Forecast Weekly'!$B:$B,$A48)</f>
        <v>1376.69791666667</v>
      </c>
      <c r="I48" s="7" t="n">
        <f aca="false">SUMIFS('Forecast Weekly'!AJ:AJ,'Forecast Weekly'!$B:$B,$A48)+SUMIFS('Forecast Weekly'!AK:AK,'Forecast Weekly'!$B:$B,$A48)+SUMIFS('Forecast Weekly'!AL:AL,'Forecast Weekly'!$B:$B,$A48)+SUMIFS('Forecast Weekly'!AM:AM,'Forecast Weekly'!$B:$B,$A48)</f>
        <v>1173.71666666667</v>
      </c>
      <c r="J48" s="7" t="n">
        <f aca="false">SUMIFS('Forecast Weekly'!AN:AN,'Forecast Weekly'!$B:$B,$A48)+SUMIFS('Forecast Weekly'!AO:AO,'Forecast Weekly'!$B:$B,$A48)+SUMIFS('Forecast Weekly'!AP:AP,'Forecast Weekly'!$B:$B,$A48)+SUMIFS('Forecast Weekly'!AQ:AQ,'Forecast Weekly'!$B:$B,$A48)</f>
        <v>1237.36666666667</v>
      </c>
      <c r="K48" s="7" t="n">
        <f aca="false">SUMIFS('Forecast Weekly'!AR:AR,'Forecast Weekly'!$B:$B,$A48)+SUMIFS('Forecast Weekly'!AS:AS,'Forecast Weekly'!$B:$B,$A48)+SUMIFS('Forecast Weekly'!AT:AT,'Forecast Weekly'!$B:$B,$A48)+SUMIFS('Forecast Weekly'!AU:AU,'Forecast Weekly'!$B:$B,$A48)+SUMIFS('Forecast Weekly'!AV:AV,'Forecast Weekly'!$B:$B,$A48)</f>
        <v>3912.25</v>
      </c>
      <c r="L48" s="7" t="n">
        <f aca="false">SUMIFS('Forecast Weekly'!AW:AW,'Forecast Weekly'!$B:$B,$A48)+SUMIFS('Forecast Weekly'!AX:AX,'Forecast Weekly'!$B:$B,$A48)+SUMIFS('Forecast Weekly'!AY:AY,'Forecast Weekly'!$B:$B,$A48)+SUMIFS('Forecast Weekly'!AZ:AZ,'Forecast Weekly'!$B:$B,$A48)</f>
        <v>3351.95833333333</v>
      </c>
      <c r="M48" s="7" t="n">
        <f aca="false">SUMIFS('Forecast Weekly'!BA:BA,'Forecast Weekly'!$B:$B,$A48)+SUMIFS('Forecast Weekly'!BB:BB,'Forecast Weekly'!$B:$B,$A48)+SUMIFS('Forecast Weekly'!BC:BC,'Forecast Weekly'!$B:$B,$A48)+SUMIFS('Forecast Weekly'!BD:BD,'Forecast Weekly'!$B:$B,$A48)</f>
        <v>3390.50833333333</v>
      </c>
      <c r="N48" s="3" t="n">
        <f aca="false">SUM(B48:M48)</f>
        <v>18575.2583333333</v>
      </c>
    </row>
    <row r="49" customFormat="false" ht="15" hidden="false" customHeight="false" outlineLevel="0" collapsed="false">
      <c r="A49" s="0" t="s">
        <v>132</v>
      </c>
      <c r="B49" s="7" t="n">
        <f aca="false">SUMIFS('Forecast Weekly'!E:E,'Forecast Weekly'!$B:$B,$A49)+SUMIFS('Forecast Weekly'!F:F,'Forecast Weekly'!$B:$B,$A49)+SUMIFS('Forecast Weekly'!G:G,'Forecast Weekly'!$B:$B,$A49)+SUMIFS('Forecast Weekly'!H:H,'Forecast Weekly'!$B:$B,$A49)+SUMIFS('Forecast Weekly'!I:I,'Forecast Weekly'!$B:$B,$A49)</f>
        <v>28.78125</v>
      </c>
      <c r="C49" s="7" t="n">
        <f aca="false">SUMIFS('Forecast Weekly'!J:J,'Forecast Weekly'!$B:$B,$A49)+SUMIFS('Forecast Weekly'!K:K,'Forecast Weekly'!$B:$B,$A49)+SUMIFS('Forecast Weekly'!L:L,'Forecast Weekly'!$B:$B,$A49)+SUMIFS('Forecast Weekly'!M:M,'Forecast Weekly'!$B:$B,$A49)</f>
        <v>36.725</v>
      </c>
      <c r="D49" s="7" t="n">
        <f aca="false">SUMIFS('Forecast Weekly'!N:N,'Forecast Weekly'!$B:$B,$A49)+SUMIFS('Forecast Weekly'!O:O,'Forecast Weekly'!$B:$B,$A49)+SUMIFS('Forecast Weekly'!P:P,'Forecast Weekly'!$B:$B,$A49)+SUMIFS('Forecast Weekly'!Q:Q,'Forecast Weekly'!$B:$B,$A49)</f>
        <v>55.625</v>
      </c>
      <c r="E49" s="7" t="n">
        <f aca="false">SUMIFS('Forecast Weekly'!R:R,'Forecast Weekly'!$B:$B,$A49)+SUMIFS('Forecast Weekly'!S:S,'Forecast Weekly'!$B:$B,$A49)+SUMIFS('Forecast Weekly'!T:T,'Forecast Weekly'!$B:$B,$A49)+SUMIFS('Forecast Weekly'!U:U,'Forecast Weekly'!$B:$B,$A49)+SUMIFS('Forecast Weekly'!V:V,'Forecast Weekly'!$B:$B,$A49)</f>
        <v>100.864583333333</v>
      </c>
      <c r="F49" s="7" t="n">
        <f aca="false">SUMIFS('Forecast Weekly'!W:W,'Forecast Weekly'!$B:$B,$A49)+SUMIFS('Forecast Weekly'!X:X,'Forecast Weekly'!$B:$B,$A49)+SUMIFS('Forecast Weekly'!Y:Y,'Forecast Weekly'!$B:$B,$A49)+SUMIFS('Forecast Weekly'!Z:Z,'Forecast Weekly'!$B:$B,$A49)</f>
        <v>103.758333333333</v>
      </c>
      <c r="G49" s="7" t="n">
        <f aca="false">SUMIFS('Forecast Weekly'!AA:AA,'Forecast Weekly'!$B:$B,$A49)+SUMIFS('Forecast Weekly'!AB:AB,'Forecast Weekly'!$B:$B,$A49)+SUMIFS('Forecast Weekly'!AC:AC,'Forecast Weekly'!$B:$B,$A49)+SUMIFS('Forecast Weekly'!AD:AD,'Forecast Weekly'!$B:$B,$A49)</f>
        <v>143.066666666667</v>
      </c>
      <c r="H49" s="7" t="n">
        <f aca="false">SUMIFS('Forecast Weekly'!AE:AE,'Forecast Weekly'!$B:$B,$A49)+SUMIFS('Forecast Weekly'!AF:AF,'Forecast Weekly'!$B:$B,$A49)+SUMIFS('Forecast Weekly'!AG:AG,'Forecast Weekly'!$B:$B,$A49)+SUMIFS('Forecast Weekly'!AH:AH,'Forecast Weekly'!$B:$B,$A49)+SUMIFS('Forecast Weekly'!AI:AI,'Forecast Weekly'!$B:$B,$A49)</f>
        <v>209.541666666667</v>
      </c>
      <c r="I49" s="7" t="n">
        <f aca="false">SUMIFS('Forecast Weekly'!AJ:AJ,'Forecast Weekly'!$B:$B,$A49)+SUMIFS('Forecast Weekly'!AK:AK,'Forecast Weekly'!$B:$B,$A49)+SUMIFS('Forecast Weekly'!AL:AL,'Forecast Weekly'!$B:$B,$A49)+SUMIFS('Forecast Weekly'!AM:AM,'Forecast Weekly'!$B:$B,$A49)</f>
        <v>203.375</v>
      </c>
      <c r="J49" s="7" t="n">
        <f aca="false">SUMIFS('Forecast Weekly'!AN:AN,'Forecast Weekly'!$B:$B,$A49)+SUMIFS('Forecast Weekly'!AO:AO,'Forecast Weekly'!$B:$B,$A49)+SUMIFS('Forecast Weekly'!AP:AP,'Forecast Weekly'!$B:$B,$A49)+SUMIFS('Forecast Weekly'!AQ:AQ,'Forecast Weekly'!$B:$B,$A49)</f>
        <v>231.791666666667</v>
      </c>
      <c r="K49" s="7" t="n">
        <f aca="false">SUMIFS('Forecast Weekly'!AR:AR,'Forecast Weekly'!$B:$B,$A49)+SUMIFS('Forecast Weekly'!AS:AS,'Forecast Weekly'!$B:$B,$A49)+SUMIFS('Forecast Weekly'!AT:AT,'Forecast Weekly'!$B:$B,$A49)+SUMIFS('Forecast Weekly'!AU:AU,'Forecast Weekly'!$B:$B,$A49)+SUMIFS('Forecast Weekly'!AV:AV,'Forecast Weekly'!$B:$B,$A49)</f>
        <v>656.447916666667</v>
      </c>
      <c r="L49" s="7" t="n">
        <f aca="false">SUMIFS('Forecast Weekly'!AW:AW,'Forecast Weekly'!$B:$B,$A49)+SUMIFS('Forecast Weekly'!AX:AX,'Forecast Weekly'!$B:$B,$A49)+SUMIFS('Forecast Weekly'!AY:AY,'Forecast Weekly'!$B:$B,$A49)+SUMIFS('Forecast Weekly'!AZ:AZ,'Forecast Weekly'!$B:$B,$A49)</f>
        <v>634.15</v>
      </c>
      <c r="M49" s="7" t="n">
        <f aca="false">SUMIFS('Forecast Weekly'!BA:BA,'Forecast Weekly'!$B:$B,$A49)+SUMIFS('Forecast Weekly'!BB:BB,'Forecast Weekly'!$B:$B,$A49)+SUMIFS('Forecast Weekly'!BC:BC,'Forecast Weekly'!$B:$B,$A49)+SUMIFS('Forecast Weekly'!BD:BD,'Forecast Weekly'!$B:$B,$A49)</f>
        <v>741.141666666667</v>
      </c>
      <c r="N49" s="3" t="n">
        <f aca="false">SUM(B49:M49)</f>
        <v>3145.26875</v>
      </c>
    </row>
    <row r="50" customFormat="false" ht="15" hidden="false" customHeight="false" outlineLevel="0" collapsed="false">
      <c r="A50" s="0" t="s">
        <v>133</v>
      </c>
      <c r="B50" s="7" t="n">
        <f aca="false">SUMIFS('Forecast Weekly'!E:E,'Forecast Weekly'!$B:$B,$A50)+SUMIFS('Forecast Weekly'!F:F,'Forecast Weekly'!$B:$B,$A50)+SUMIFS('Forecast Weekly'!G:G,'Forecast Weekly'!$B:$B,$A50)+SUMIFS('Forecast Weekly'!H:H,'Forecast Weekly'!$B:$B,$A50)+SUMIFS('Forecast Weekly'!I:I,'Forecast Weekly'!$B:$B,$A50)</f>
        <v>28.78125</v>
      </c>
      <c r="C50" s="7" t="n">
        <f aca="false">SUMIFS('Forecast Weekly'!J:J,'Forecast Weekly'!$B:$B,$A50)+SUMIFS('Forecast Weekly'!K:K,'Forecast Weekly'!$B:$B,$A50)+SUMIFS('Forecast Weekly'!L:L,'Forecast Weekly'!$B:$B,$A50)+SUMIFS('Forecast Weekly'!M:M,'Forecast Weekly'!$B:$B,$A50)</f>
        <v>36.725</v>
      </c>
      <c r="D50" s="7" t="n">
        <f aca="false">SUMIFS('Forecast Weekly'!N:N,'Forecast Weekly'!$B:$B,$A50)+SUMIFS('Forecast Weekly'!O:O,'Forecast Weekly'!$B:$B,$A50)+SUMIFS('Forecast Weekly'!P:P,'Forecast Weekly'!$B:$B,$A50)+SUMIFS('Forecast Weekly'!Q:Q,'Forecast Weekly'!$B:$B,$A50)</f>
        <v>55.625</v>
      </c>
      <c r="E50" s="7" t="n">
        <f aca="false">SUMIFS('Forecast Weekly'!R:R,'Forecast Weekly'!$B:$B,$A50)+SUMIFS('Forecast Weekly'!S:S,'Forecast Weekly'!$B:$B,$A50)+SUMIFS('Forecast Weekly'!T:T,'Forecast Weekly'!$B:$B,$A50)+SUMIFS('Forecast Weekly'!U:U,'Forecast Weekly'!$B:$B,$A50)+SUMIFS('Forecast Weekly'!V:V,'Forecast Weekly'!$B:$B,$A50)</f>
        <v>100.864583333333</v>
      </c>
      <c r="F50" s="7" t="n">
        <f aca="false">SUMIFS('Forecast Weekly'!W:W,'Forecast Weekly'!$B:$B,$A50)+SUMIFS('Forecast Weekly'!X:X,'Forecast Weekly'!$B:$B,$A50)+SUMIFS('Forecast Weekly'!Y:Y,'Forecast Weekly'!$B:$B,$A50)+SUMIFS('Forecast Weekly'!Z:Z,'Forecast Weekly'!$B:$B,$A50)</f>
        <v>103.758333333333</v>
      </c>
      <c r="G50" s="7" t="n">
        <f aca="false">SUMIFS('Forecast Weekly'!AA:AA,'Forecast Weekly'!$B:$B,$A50)+SUMIFS('Forecast Weekly'!AB:AB,'Forecast Weekly'!$B:$B,$A50)+SUMIFS('Forecast Weekly'!AC:AC,'Forecast Weekly'!$B:$B,$A50)+SUMIFS('Forecast Weekly'!AD:AD,'Forecast Weekly'!$B:$B,$A50)</f>
        <v>143.066666666667</v>
      </c>
      <c r="H50" s="7" t="n">
        <f aca="false">SUMIFS('Forecast Weekly'!AE:AE,'Forecast Weekly'!$B:$B,$A50)+SUMIFS('Forecast Weekly'!AF:AF,'Forecast Weekly'!$B:$B,$A50)+SUMIFS('Forecast Weekly'!AG:AG,'Forecast Weekly'!$B:$B,$A50)+SUMIFS('Forecast Weekly'!AH:AH,'Forecast Weekly'!$B:$B,$A50)+SUMIFS('Forecast Weekly'!AI:AI,'Forecast Weekly'!$B:$B,$A50)</f>
        <v>209.541666666667</v>
      </c>
      <c r="I50" s="7" t="n">
        <f aca="false">SUMIFS('Forecast Weekly'!AJ:AJ,'Forecast Weekly'!$B:$B,$A50)+SUMIFS('Forecast Weekly'!AK:AK,'Forecast Weekly'!$B:$B,$A50)+SUMIFS('Forecast Weekly'!AL:AL,'Forecast Weekly'!$B:$B,$A50)+SUMIFS('Forecast Weekly'!AM:AM,'Forecast Weekly'!$B:$B,$A50)</f>
        <v>203.375</v>
      </c>
      <c r="J50" s="7" t="n">
        <f aca="false">SUMIFS('Forecast Weekly'!AN:AN,'Forecast Weekly'!$B:$B,$A50)+SUMIFS('Forecast Weekly'!AO:AO,'Forecast Weekly'!$B:$B,$A50)+SUMIFS('Forecast Weekly'!AP:AP,'Forecast Weekly'!$B:$B,$A50)+SUMIFS('Forecast Weekly'!AQ:AQ,'Forecast Weekly'!$B:$B,$A50)</f>
        <v>231.791666666667</v>
      </c>
      <c r="K50" s="7" t="n">
        <f aca="false">SUMIFS('Forecast Weekly'!AR:AR,'Forecast Weekly'!$B:$B,$A50)+SUMIFS('Forecast Weekly'!AS:AS,'Forecast Weekly'!$B:$B,$A50)+SUMIFS('Forecast Weekly'!AT:AT,'Forecast Weekly'!$B:$B,$A50)+SUMIFS('Forecast Weekly'!AU:AU,'Forecast Weekly'!$B:$B,$A50)+SUMIFS('Forecast Weekly'!AV:AV,'Forecast Weekly'!$B:$B,$A50)</f>
        <v>656.447916666667</v>
      </c>
      <c r="L50" s="7" t="n">
        <f aca="false">SUMIFS('Forecast Weekly'!AW:AW,'Forecast Weekly'!$B:$B,$A50)+SUMIFS('Forecast Weekly'!AX:AX,'Forecast Weekly'!$B:$B,$A50)+SUMIFS('Forecast Weekly'!AY:AY,'Forecast Weekly'!$B:$B,$A50)+SUMIFS('Forecast Weekly'!AZ:AZ,'Forecast Weekly'!$B:$B,$A50)</f>
        <v>634.15</v>
      </c>
      <c r="M50" s="7" t="n">
        <f aca="false">SUMIFS('Forecast Weekly'!BA:BA,'Forecast Weekly'!$B:$B,$A50)+SUMIFS('Forecast Weekly'!BB:BB,'Forecast Weekly'!$B:$B,$A50)+SUMIFS('Forecast Weekly'!BC:BC,'Forecast Weekly'!$B:$B,$A50)+SUMIFS('Forecast Weekly'!BD:BD,'Forecast Weekly'!$B:$B,$A50)</f>
        <v>741.141666666667</v>
      </c>
      <c r="N50" s="3" t="n">
        <f aca="false">SUM(B50:M50)</f>
        <v>3145.26875</v>
      </c>
    </row>
    <row r="51" customFormat="false" ht="15" hidden="false" customHeight="false" outlineLevel="0" collapsed="false">
      <c r="A51" s="0" t="s">
        <v>134</v>
      </c>
      <c r="B51" s="7" t="n">
        <f aca="false">SUMIFS('Forecast Weekly'!E:E,'Forecast Weekly'!$B:$B,$A51)+SUMIFS('Forecast Weekly'!F:F,'Forecast Weekly'!$B:$B,$A51)+SUMIFS('Forecast Weekly'!G:G,'Forecast Weekly'!$B:$B,$A51)+SUMIFS('Forecast Weekly'!H:H,'Forecast Weekly'!$B:$B,$A51)+SUMIFS('Forecast Weekly'!I:I,'Forecast Weekly'!$B:$B,$A51)</f>
        <v>5.46875</v>
      </c>
      <c r="C51" s="7" t="n">
        <f aca="false">SUMIFS('Forecast Weekly'!J:J,'Forecast Weekly'!$B:$B,$A51)+SUMIFS('Forecast Weekly'!K:K,'Forecast Weekly'!$B:$B,$A51)+SUMIFS('Forecast Weekly'!L:L,'Forecast Weekly'!$B:$B,$A51)+SUMIFS('Forecast Weekly'!M:M,'Forecast Weekly'!$B:$B,$A51)</f>
        <v>6.75</v>
      </c>
      <c r="D51" s="7" t="n">
        <f aca="false">SUMIFS('Forecast Weekly'!N:N,'Forecast Weekly'!$B:$B,$A51)+SUMIFS('Forecast Weekly'!O:O,'Forecast Weekly'!$B:$B,$A51)+SUMIFS('Forecast Weekly'!P:P,'Forecast Weekly'!$B:$B,$A51)+SUMIFS('Forecast Weekly'!Q:Q,'Forecast Weekly'!$B:$B,$A51)</f>
        <v>12.4</v>
      </c>
      <c r="E51" s="7" t="n">
        <f aca="false">SUMIFS('Forecast Weekly'!R:R,'Forecast Weekly'!$B:$B,$A51)+SUMIFS('Forecast Weekly'!S:S,'Forecast Weekly'!$B:$B,$A51)+SUMIFS('Forecast Weekly'!T:T,'Forecast Weekly'!$B:$B,$A51)+SUMIFS('Forecast Weekly'!U:U,'Forecast Weekly'!$B:$B,$A51)+SUMIFS('Forecast Weekly'!V:V,'Forecast Weekly'!$B:$B,$A51)</f>
        <v>23.34375</v>
      </c>
      <c r="F51" s="7" t="n">
        <f aca="false">SUMIFS('Forecast Weekly'!W:W,'Forecast Weekly'!$B:$B,$A51)+SUMIFS('Forecast Weekly'!X:X,'Forecast Weekly'!$B:$B,$A51)+SUMIFS('Forecast Weekly'!Y:Y,'Forecast Weekly'!$B:$B,$A51)+SUMIFS('Forecast Weekly'!Z:Z,'Forecast Weekly'!$B:$B,$A51)</f>
        <v>31.7916666666667</v>
      </c>
      <c r="G51" s="7" t="n">
        <f aca="false">SUMIFS('Forecast Weekly'!AA:AA,'Forecast Weekly'!$B:$B,$A51)+SUMIFS('Forecast Weekly'!AB:AB,'Forecast Weekly'!$B:$B,$A51)+SUMIFS('Forecast Weekly'!AC:AC,'Forecast Weekly'!$B:$B,$A51)+SUMIFS('Forecast Weekly'!AD:AD,'Forecast Weekly'!$B:$B,$A51)</f>
        <v>41.6333333333333</v>
      </c>
      <c r="H51" s="7" t="n">
        <f aca="false">SUMIFS('Forecast Weekly'!AE:AE,'Forecast Weekly'!$B:$B,$A51)+SUMIFS('Forecast Weekly'!AF:AF,'Forecast Weekly'!$B:$B,$A51)+SUMIFS('Forecast Weekly'!AG:AG,'Forecast Weekly'!$B:$B,$A51)+SUMIFS('Forecast Weekly'!AH:AH,'Forecast Weekly'!$B:$B,$A51)+SUMIFS('Forecast Weekly'!AI:AI,'Forecast Weekly'!$B:$B,$A51)</f>
        <v>68.8229166666667</v>
      </c>
      <c r="I51" s="7" t="n">
        <f aca="false">SUMIFS('Forecast Weekly'!AJ:AJ,'Forecast Weekly'!$B:$B,$A51)+SUMIFS('Forecast Weekly'!AK:AK,'Forecast Weekly'!$B:$B,$A51)+SUMIFS('Forecast Weekly'!AL:AL,'Forecast Weekly'!$B:$B,$A51)+SUMIFS('Forecast Weekly'!AM:AM,'Forecast Weekly'!$B:$B,$A51)</f>
        <v>76.075</v>
      </c>
      <c r="J51" s="7" t="n">
        <f aca="false">SUMIFS('Forecast Weekly'!AN:AN,'Forecast Weekly'!$B:$B,$A51)+SUMIFS('Forecast Weekly'!AO:AO,'Forecast Weekly'!$B:$B,$A51)+SUMIFS('Forecast Weekly'!AP:AP,'Forecast Weekly'!$B:$B,$A51)+SUMIFS('Forecast Weekly'!AQ:AQ,'Forecast Weekly'!$B:$B,$A51)</f>
        <v>79.975</v>
      </c>
      <c r="K51" s="7" t="n">
        <f aca="false">SUMIFS('Forecast Weekly'!AR:AR,'Forecast Weekly'!$B:$B,$A51)+SUMIFS('Forecast Weekly'!AS:AS,'Forecast Weekly'!$B:$B,$A51)+SUMIFS('Forecast Weekly'!AT:AT,'Forecast Weekly'!$B:$B,$A51)+SUMIFS('Forecast Weekly'!AU:AU,'Forecast Weekly'!$B:$B,$A51)+SUMIFS('Forecast Weekly'!AV:AV,'Forecast Weekly'!$B:$B,$A51)</f>
        <v>116.333333333333</v>
      </c>
      <c r="L51" s="7" t="n">
        <f aca="false">SUMIFS('Forecast Weekly'!AW:AW,'Forecast Weekly'!$B:$B,$A51)+SUMIFS('Forecast Weekly'!AX:AX,'Forecast Weekly'!$B:$B,$A51)+SUMIFS('Forecast Weekly'!AY:AY,'Forecast Weekly'!$B:$B,$A51)+SUMIFS('Forecast Weekly'!AZ:AZ,'Forecast Weekly'!$B:$B,$A51)</f>
        <v>96.9666666666667</v>
      </c>
      <c r="M51" s="7" t="n">
        <f aca="false">SUMIFS('Forecast Weekly'!BA:BA,'Forecast Weekly'!$B:$B,$A51)+SUMIFS('Forecast Weekly'!BB:BB,'Forecast Weekly'!$B:$B,$A51)+SUMIFS('Forecast Weekly'!BC:BC,'Forecast Weekly'!$B:$B,$A51)+SUMIFS('Forecast Weekly'!BD:BD,'Forecast Weekly'!$B:$B,$A51)</f>
        <v>96.9666666666667</v>
      </c>
      <c r="N51" s="3" t="n">
        <f aca="false">SUM(B51:M51)</f>
        <v>656.527083333333</v>
      </c>
    </row>
    <row r="52" customFormat="false" ht="15" hidden="false" customHeight="false" outlineLevel="0" collapsed="false">
      <c r="A52" s="0" t="s">
        <v>135</v>
      </c>
      <c r="B52" s="7" t="n">
        <f aca="false">SUMIFS('Forecast Weekly'!E:E,'Forecast Weekly'!$B:$B,$A52)+SUMIFS('Forecast Weekly'!F:F,'Forecast Weekly'!$B:$B,$A52)+SUMIFS('Forecast Weekly'!G:G,'Forecast Weekly'!$B:$B,$A52)+SUMIFS('Forecast Weekly'!H:H,'Forecast Weekly'!$B:$B,$A52)+SUMIFS('Forecast Weekly'!I:I,'Forecast Weekly'!$B:$B,$A52)</f>
        <v>5.46875</v>
      </c>
      <c r="C52" s="7" t="n">
        <f aca="false">SUMIFS('Forecast Weekly'!J:J,'Forecast Weekly'!$B:$B,$A52)+SUMIFS('Forecast Weekly'!K:K,'Forecast Weekly'!$B:$B,$A52)+SUMIFS('Forecast Weekly'!L:L,'Forecast Weekly'!$B:$B,$A52)+SUMIFS('Forecast Weekly'!M:M,'Forecast Weekly'!$B:$B,$A52)</f>
        <v>6.75</v>
      </c>
      <c r="D52" s="7" t="n">
        <f aca="false">SUMIFS('Forecast Weekly'!N:N,'Forecast Weekly'!$B:$B,$A52)+SUMIFS('Forecast Weekly'!O:O,'Forecast Weekly'!$B:$B,$A52)+SUMIFS('Forecast Weekly'!P:P,'Forecast Weekly'!$B:$B,$A52)+SUMIFS('Forecast Weekly'!Q:Q,'Forecast Weekly'!$B:$B,$A52)</f>
        <v>12.4</v>
      </c>
      <c r="E52" s="7" t="n">
        <f aca="false">SUMIFS('Forecast Weekly'!R:R,'Forecast Weekly'!$B:$B,$A52)+SUMIFS('Forecast Weekly'!S:S,'Forecast Weekly'!$B:$B,$A52)+SUMIFS('Forecast Weekly'!T:T,'Forecast Weekly'!$B:$B,$A52)+SUMIFS('Forecast Weekly'!U:U,'Forecast Weekly'!$B:$B,$A52)+SUMIFS('Forecast Weekly'!V:V,'Forecast Weekly'!$B:$B,$A52)</f>
        <v>23.34375</v>
      </c>
      <c r="F52" s="7" t="n">
        <f aca="false">SUMIFS('Forecast Weekly'!W:W,'Forecast Weekly'!$B:$B,$A52)+SUMIFS('Forecast Weekly'!X:X,'Forecast Weekly'!$B:$B,$A52)+SUMIFS('Forecast Weekly'!Y:Y,'Forecast Weekly'!$B:$B,$A52)+SUMIFS('Forecast Weekly'!Z:Z,'Forecast Weekly'!$B:$B,$A52)</f>
        <v>31.7916666666667</v>
      </c>
      <c r="G52" s="7" t="n">
        <f aca="false">SUMIFS('Forecast Weekly'!AA:AA,'Forecast Weekly'!$B:$B,$A52)+SUMIFS('Forecast Weekly'!AB:AB,'Forecast Weekly'!$B:$B,$A52)+SUMIFS('Forecast Weekly'!AC:AC,'Forecast Weekly'!$B:$B,$A52)+SUMIFS('Forecast Weekly'!AD:AD,'Forecast Weekly'!$B:$B,$A52)</f>
        <v>41.6333333333333</v>
      </c>
      <c r="H52" s="7" t="n">
        <f aca="false">SUMIFS('Forecast Weekly'!AE:AE,'Forecast Weekly'!$B:$B,$A52)+SUMIFS('Forecast Weekly'!AF:AF,'Forecast Weekly'!$B:$B,$A52)+SUMIFS('Forecast Weekly'!AG:AG,'Forecast Weekly'!$B:$B,$A52)+SUMIFS('Forecast Weekly'!AH:AH,'Forecast Weekly'!$B:$B,$A52)+SUMIFS('Forecast Weekly'!AI:AI,'Forecast Weekly'!$B:$B,$A52)</f>
        <v>68.8229166666667</v>
      </c>
      <c r="I52" s="7" t="n">
        <f aca="false">SUMIFS('Forecast Weekly'!AJ:AJ,'Forecast Weekly'!$B:$B,$A52)+SUMIFS('Forecast Weekly'!AK:AK,'Forecast Weekly'!$B:$B,$A52)+SUMIFS('Forecast Weekly'!AL:AL,'Forecast Weekly'!$B:$B,$A52)+SUMIFS('Forecast Weekly'!AM:AM,'Forecast Weekly'!$B:$B,$A52)</f>
        <v>76.075</v>
      </c>
      <c r="J52" s="7" t="n">
        <f aca="false">SUMIFS('Forecast Weekly'!AN:AN,'Forecast Weekly'!$B:$B,$A52)+SUMIFS('Forecast Weekly'!AO:AO,'Forecast Weekly'!$B:$B,$A52)+SUMIFS('Forecast Weekly'!AP:AP,'Forecast Weekly'!$B:$B,$A52)+SUMIFS('Forecast Weekly'!AQ:AQ,'Forecast Weekly'!$B:$B,$A52)</f>
        <v>79.975</v>
      </c>
      <c r="K52" s="7" t="n">
        <f aca="false">SUMIFS('Forecast Weekly'!AR:AR,'Forecast Weekly'!$B:$B,$A52)+SUMIFS('Forecast Weekly'!AS:AS,'Forecast Weekly'!$B:$B,$A52)+SUMIFS('Forecast Weekly'!AT:AT,'Forecast Weekly'!$B:$B,$A52)+SUMIFS('Forecast Weekly'!AU:AU,'Forecast Weekly'!$B:$B,$A52)+SUMIFS('Forecast Weekly'!AV:AV,'Forecast Weekly'!$B:$B,$A52)</f>
        <v>116.333333333333</v>
      </c>
      <c r="L52" s="7" t="n">
        <f aca="false">SUMIFS('Forecast Weekly'!AW:AW,'Forecast Weekly'!$B:$B,$A52)+SUMIFS('Forecast Weekly'!AX:AX,'Forecast Weekly'!$B:$B,$A52)+SUMIFS('Forecast Weekly'!AY:AY,'Forecast Weekly'!$B:$B,$A52)+SUMIFS('Forecast Weekly'!AZ:AZ,'Forecast Weekly'!$B:$B,$A52)</f>
        <v>96.9666666666667</v>
      </c>
      <c r="M52" s="7" t="n">
        <f aca="false">SUMIFS('Forecast Weekly'!BA:BA,'Forecast Weekly'!$B:$B,$A52)+SUMIFS('Forecast Weekly'!BB:BB,'Forecast Weekly'!$B:$B,$A52)+SUMIFS('Forecast Weekly'!BC:BC,'Forecast Weekly'!$B:$B,$A52)+SUMIFS('Forecast Weekly'!BD:BD,'Forecast Weekly'!$B:$B,$A52)</f>
        <v>96.9666666666667</v>
      </c>
      <c r="N52" s="3" t="n">
        <f aca="false">SUM(B52:M52)</f>
        <v>656.527083333333</v>
      </c>
    </row>
    <row r="53" customFormat="false" ht="15" hidden="false" customHeight="false" outlineLevel="0" collapsed="false">
      <c r="A53" s="4" t="s">
        <v>112</v>
      </c>
      <c r="B53" s="10" t="n">
        <f aca="false">SUM(B43:B52)</f>
        <v>1796.94791666667</v>
      </c>
      <c r="C53" s="10" t="n">
        <f aca="false">SUM(C43:C52)</f>
        <v>2068.075</v>
      </c>
      <c r="D53" s="10" t="n">
        <f aca="false">SUM(D43:D52)</f>
        <v>2977.35833333333</v>
      </c>
      <c r="E53" s="10" t="n">
        <f aca="false">SUM(E43:E52)</f>
        <v>4977.41666666667</v>
      </c>
      <c r="F53" s="10" t="n">
        <f aca="false">SUM(F43:F52)</f>
        <v>4945.775</v>
      </c>
      <c r="G53" s="10" t="n">
        <f aca="false">SUM(G43:G52)</f>
        <v>5903.71666666667</v>
      </c>
      <c r="H53" s="10" t="n">
        <f aca="false">SUM(H43:H52)</f>
        <v>19878.3854166667</v>
      </c>
      <c r="I53" s="10" t="n">
        <f aca="false">SUM(I43:I52)</f>
        <v>7409.2</v>
      </c>
      <c r="J53" s="10" t="n">
        <f aca="false">SUM(J43:J52)</f>
        <v>7966.825</v>
      </c>
      <c r="K53" s="10" t="n">
        <f aca="false">SUM(K43:K52)</f>
        <v>23164.7604166667</v>
      </c>
      <c r="L53" s="10" t="n">
        <f aca="false">SUM(L43:L52)</f>
        <v>19773.5083333333</v>
      </c>
      <c r="M53" s="10" t="n">
        <f aca="false">SUM(M43:M52)</f>
        <v>20647.4666666667</v>
      </c>
      <c r="N53" s="10" t="n">
        <f aca="false">SUM(N43:N52)</f>
        <v>121509.435416667</v>
      </c>
    </row>
    <row r="56" customFormat="false" ht="15" hidden="false" customHeight="false" outlineLevel="0" collapsed="false">
      <c r="A56" s="5" t="s">
        <v>136</v>
      </c>
    </row>
    <row r="57" customFormat="false" ht="15" hidden="false" customHeight="false" outlineLevel="0" collapsed="false">
      <c r="A57" s="4" t="s">
        <v>114</v>
      </c>
      <c r="B57" s="6" t="s">
        <v>95</v>
      </c>
      <c r="C57" s="6" t="s">
        <v>96</v>
      </c>
      <c r="D57" s="6" t="s">
        <v>97</v>
      </c>
      <c r="E57" s="6" t="s">
        <v>98</v>
      </c>
      <c r="F57" s="6" t="s">
        <v>99</v>
      </c>
      <c r="G57" s="6" t="s">
        <v>100</v>
      </c>
      <c r="H57" s="6" t="s">
        <v>101</v>
      </c>
      <c r="I57" s="6" t="s">
        <v>102</v>
      </c>
      <c r="J57" s="6" t="s">
        <v>103</v>
      </c>
      <c r="K57" s="6" t="s">
        <v>104</v>
      </c>
      <c r="L57" s="6" t="s">
        <v>105</v>
      </c>
      <c r="M57" s="6" t="s">
        <v>106</v>
      </c>
    </row>
    <row r="58" customFormat="false" ht="15" hidden="false" customHeight="false" outlineLevel="0" collapsed="false">
      <c r="A58" s="0" t="s">
        <v>115</v>
      </c>
      <c r="B58" s="7" t="n">
        <f aca="false">SUMIFS(Doors!E:E,Doors!$C:$C,$A58)</f>
        <v>115</v>
      </c>
      <c r="C58" s="7" t="n">
        <f aca="false">SUMIFS(Doors!F:F,Doors!$C:$C,$A58)</f>
        <v>148</v>
      </c>
      <c r="D58" s="7" t="n">
        <f aca="false">SUMIFS(Doors!G:G,Doors!$C:$C,$A58)</f>
        <v>192</v>
      </c>
      <c r="E58" s="7" t="n">
        <f aca="false">SUMIFS(Doors!H:H,Doors!$C:$C,$A58)</f>
        <v>245</v>
      </c>
      <c r="F58" s="7" t="n">
        <f aca="false">SUMIFS(Doors!I:I,Doors!$C:$C,$A58)</f>
        <v>307</v>
      </c>
      <c r="G58" s="7" t="n">
        <f aca="false">SUMIFS(Doors!J:J,Doors!$C:$C,$A58)</f>
        <v>375</v>
      </c>
      <c r="H58" s="7" t="n">
        <f aca="false">SUMIFS(Doors!K:K,Doors!$C:$C,$A58)</f>
        <v>442</v>
      </c>
      <c r="I58" s="7" t="n">
        <f aca="false">SUMIFS(Doors!L:L,Doors!$C:$C,$A58)</f>
        <v>498</v>
      </c>
      <c r="J58" s="7" t="n">
        <f aca="false">SUMIFS(Doors!M:M,Doors!$C:$C,$A58)</f>
        <v>550</v>
      </c>
      <c r="K58" s="7" t="n">
        <f aca="false">SUMIFS(Doors!N:N,Doors!$C:$C,$A58)</f>
        <v>586</v>
      </c>
      <c r="L58" s="7" t="n">
        <f aca="false">SUMIFS(Doors!O:O,Doors!$C:$C,$A58)</f>
        <v>621</v>
      </c>
      <c r="M58" s="7" t="n">
        <f aca="false">SUMIFS(Doors!P:P,Doors!$C:$C,$A58)</f>
        <v>640</v>
      </c>
    </row>
    <row r="59" customFormat="false" ht="15" hidden="false" customHeight="false" outlineLevel="0" collapsed="false">
      <c r="A59" s="0" t="s">
        <v>116</v>
      </c>
      <c r="B59" s="7" t="n">
        <f aca="false">SUMIFS(Doors!E:E,Doors!$C:$C,$A59)</f>
        <v>23</v>
      </c>
      <c r="C59" s="7" t="n">
        <f aca="false">SUMIFS(Doors!F:F,Doors!$C:$C,$A59)</f>
        <v>36</v>
      </c>
      <c r="D59" s="7" t="n">
        <f aca="false">SUMIFS(Doors!G:G,Doors!$C:$C,$A59)</f>
        <v>53</v>
      </c>
      <c r="E59" s="7" t="n">
        <f aca="false">SUMIFS(Doors!H:H,Doors!$C:$C,$A59)</f>
        <v>74</v>
      </c>
      <c r="F59" s="7" t="n">
        <f aca="false">SUMIFS(Doors!I:I,Doors!$C:$C,$A59)</f>
        <v>101</v>
      </c>
      <c r="G59" s="7" t="n">
        <f aca="false">SUMIFS(Doors!J:J,Doors!$C:$C,$A59)</f>
        <v>131</v>
      </c>
      <c r="H59" s="7" t="n">
        <f aca="false">SUMIFS(Doors!K:K,Doors!$C:$C,$A59)</f>
        <v>159</v>
      </c>
      <c r="I59" s="7" t="n">
        <f aca="false">SUMIFS(Doors!L:L,Doors!$C:$C,$A59)</f>
        <v>186</v>
      </c>
      <c r="J59" s="7" t="n">
        <f aca="false">SUMIFS(Doors!M:M,Doors!$C:$C,$A59)</f>
        <v>209</v>
      </c>
      <c r="K59" s="7" t="n">
        <f aca="false">SUMIFS(Doors!N:N,Doors!$C:$C,$A59)</f>
        <v>228</v>
      </c>
      <c r="L59" s="7" t="n">
        <f aca="false">SUMIFS(Doors!O:O,Doors!$C:$C,$A59)</f>
        <v>241</v>
      </c>
      <c r="M59" s="7" t="n">
        <f aca="false">SUMIFS(Doors!P:P,Doors!$C:$C,$A59)</f>
        <v>253</v>
      </c>
    </row>
    <row r="60" customFormat="false" ht="15" hidden="false" customHeight="false" outlineLevel="0" collapsed="false">
      <c r="A60" s="0" t="s">
        <v>117</v>
      </c>
      <c r="B60" s="7" t="n">
        <f aca="false">SUMIFS(Doors!E:E,Doors!$C:$C,$A60)</f>
        <v>0</v>
      </c>
      <c r="C60" s="7" t="n">
        <f aca="false">SUMIFS(Doors!F:F,Doors!$C:$C,$A60)</f>
        <v>0</v>
      </c>
      <c r="D60" s="7" t="n">
        <f aca="false">SUMIFS(Doors!G:G,Doors!$C:$C,$A60)</f>
        <v>13</v>
      </c>
      <c r="E60" s="7" t="n">
        <f aca="false">SUMIFS(Doors!H:H,Doors!$C:$C,$A60)</f>
        <v>37</v>
      </c>
      <c r="F60" s="7" t="n">
        <f aca="false">SUMIFS(Doors!I:I,Doors!$C:$C,$A60)</f>
        <v>62</v>
      </c>
      <c r="G60" s="7" t="n">
        <f aca="false">SUMIFS(Doors!J:J,Doors!$C:$C,$A60)</f>
        <v>93</v>
      </c>
      <c r="H60" s="7" t="n">
        <f aca="false">SUMIFS(Doors!K:K,Doors!$C:$C,$A60)</f>
        <v>117</v>
      </c>
      <c r="I60" s="7" t="n">
        <f aca="false">SUMIFS(Doors!L:L,Doors!$C:$C,$A60)</f>
        <v>144</v>
      </c>
      <c r="J60" s="7" t="n">
        <f aca="false">SUMIFS(Doors!M:M,Doors!$C:$C,$A60)</f>
        <v>166</v>
      </c>
      <c r="K60" s="7" t="n">
        <f aca="false">SUMIFS(Doors!N:N,Doors!$C:$C,$A60)</f>
        <v>185</v>
      </c>
      <c r="L60" s="7" t="n">
        <f aca="false">SUMIFS(Doors!O:O,Doors!$C:$C,$A60)</f>
        <v>197</v>
      </c>
      <c r="M60" s="7" t="n">
        <f aca="false">SUMIFS(Doors!P:P,Doors!$C:$C,$A60)</f>
        <v>210</v>
      </c>
    </row>
    <row r="61" customFormat="false" ht="15" hidden="false" customHeight="false" outlineLevel="0" collapsed="false">
      <c r="A61" s="0" t="s">
        <v>118</v>
      </c>
      <c r="B61" s="7" t="n">
        <f aca="false">SUMIFS(Doors!E:E,Doors!$C:$C,$A61)</f>
        <v>0</v>
      </c>
      <c r="C61" s="7" t="n">
        <f aca="false">SUMIFS(Doors!F:F,Doors!$C:$C,$A61)</f>
        <v>0</v>
      </c>
      <c r="D61" s="7" t="n">
        <f aca="false">SUMIFS(Doors!G:G,Doors!$C:$C,$A61)</f>
        <v>0</v>
      </c>
      <c r="E61" s="7" t="n">
        <f aca="false">SUMIFS(Doors!H:H,Doors!$C:$C,$A61)</f>
        <v>0</v>
      </c>
      <c r="F61" s="7" t="n">
        <f aca="false">SUMIFS(Doors!I:I,Doors!$C:$C,$A61)</f>
        <v>0</v>
      </c>
      <c r="G61" s="7" t="n">
        <f aca="false">SUMIFS(Doors!J:J,Doors!$C:$C,$A61)</f>
        <v>0</v>
      </c>
      <c r="H61" s="7" t="n">
        <f aca="false">SUMIFS(Doors!K:K,Doors!$C:$C,$A61)</f>
        <v>100</v>
      </c>
      <c r="I61" s="7" t="n">
        <f aca="false">SUMIFS(Doors!L:L,Doors!$C:$C,$A61)</f>
        <v>0</v>
      </c>
      <c r="J61" s="7" t="n">
        <f aca="false">SUMIFS(Doors!M:M,Doors!$C:$C,$A61)</f>
        <v>0</v>
      </c>
      <c r="K61" s="7" t="n">
        <f aca="false">SUMIFS(Doors!N:N,Doors!$C:$C,$A61)</f>
        <v>110</v>
      </c>
      <c r="L61" s="7" t="n">
        <f aca="false">SUMIFS(Doors!O:O,Doors!$C:$C,$A61)</f>
        <v>120</v>
      </c>
      <c r="M61" s="7" t="n">
        <f aca="false">SUMIFS(Doors!P:P,Doors!$C:$C,$A61)</f>
        <v>127</v>
      </c>
    </row>
    <row r="62" customFormat="false" ht="15" hidden="false" customHeight="false" outlineLevel="0" collapsed="false">
      <c r="A62" s="0" t="s">
        <v>119</v>
      </c>
      <c r="B62" s="7" t="n">
        <f aca="false">SUMIFS(Doors!E:E,Doors!$C:$C,$A62)</f>
        <v>138</v>
      </c>
      <c r="C62" s="7" t="n">
        <f aca="false">SUMIFS(Doors!F:F,Doors!$C:$C,$A62)</f>
        <v>196</v>
      </c>
      <c r="D62" s="7" t="n">
        <f aca="false">SUMIFS(Doors!G:G,Doors!$C:$C,$A62)</f>
        <v>270</v>
      </c>
      <c r="E62" s="7" t="n">
        <f aca="false">SUMIFS(Doors!H:H,Doors!$C:$C,$A62)</f>
        <v>335</v>
      </c>
      <c r="F62" s="7" t="n">
        <f aca="false">SUMIFS(Doors!I:I,Doors!$C:$C,$A62)</f>
        <v>391</v>
      </c>
      <c r="G62" s="7" t="n">
        <f aca="false">SUMIFS(Doors!J:J,Doors!$C:$C,$A62)</f>
        <v>443</v>
      </c>
      <c r="H62" s="7" t="n">
        <f aca="false">SUMIFS(Doors!K:K,Doors!$C:$C,$A62)</f>
        <v>493</v>
      </c>
      <c r="I62" s="7" t="n">
        <f aca="false">SUMIFS(Doors!L:L,Doors!$C:$C,$A62)</f>
        <v>527</v>
      </c>
      <c r="J62" s="7" t="n">
        <f aca="false">SUMIFS(Doors!M:M,Doors!$C:$C,$A62)</f>
        <v>555</v>
      </c>
      <c r="K62" s="7" t="n">
        <f aca="false">SUMIFS(Doors!N:N,Doors!$C:$C,$A62)</f>
        <v>577</v>
      </c>
      <c r="L62" s="7" t="n">
        <f aca="false">SUMIFS(Doors!O:O,Doors!$C:$C,$A62)</f>
        <v>592</v>
      </c>
      <c r="M62" s="7" t="n">
        <f aca="false">SUMIFS(Doors!P:P,Doors!$C:$C,$A62)</f>
        <v>603</v>
      </c>
    </row>
    <row r="63" customFormat="false" ht="15" hidden="false" customHeight="false" outlineLevel="0" collapsed="false">
      <c r="A63" s="0" t="s">
        <v>120</v>
      </c>
      <c r="B63" s="7" t="n">
        <f aca="false">SUMIFS(Doors!E:E,Doors!$C:$C,$A63)</f>
        <v>133</v>
      </c>
      <c r="C63" s="7" t="n">
        <f aca="false">SUMIFS(Doors!F:F,Doors!$C:$C,$A63)</f>
        <v>207</v>
      </c>
      <c r="D63" s="7" t="n">
        <f aca="false">SUMIFS(Doors!G:G,Doors!$C:$C,$A63)</f>
        <v>294</v>
      </c>
      <c r="E63" s="7" t="n">
        <f aca="false">SUMIFS(Doors!H:H,Doors!$C:$C,$A63)</f>
        <v>381</v>
      </c>
      <c r="F63" s="7" t="n">
        <f aca="false">SUMIFS(Doors!I:I,Doors!$C:$C,$A63)</f>
        <v>453</v>
      </c>
      <c r="G63" s="7" t="n">
        <f aca="false">SUMIFS(Doors!J:J,Doors!$C:$C,$A63)</f>
        <v>515</v>
      </c>
      <c r="H63" s="7" t="n">
        <f aca="false">SUMIFS(Doors!K:K,Doors!$C:$C,$A63)</f>
        <v>557</v>
      </c>
      <c r="I63" s="7" t="n">
        <f aca="false">SUMIFS(Doors!L:L,Doors!$C:$C,$A63)</f>
        <v>592</v>
      </c>
      <c r="J63" s="7" t="n">
        <f aca="false">SUMIFS(Doors!M:M,Doors!$C:$C,$A63)</f>
        <v>612</v>
      </c>
      <c r="K63" s="7" t="n">
        <f aca="false">SUMIFS(Doors!N:N,Doors!$C:$C,$A63)</f>
        <v>630</v>
      </c>
      <c r="L63" s="7" t="n">
        <f aca="false">SUMIFS(Doors!O:O,Doors!$C:$C,$A63)</f>
        <v>640</v>
      </c>
      <c r="M63" s="7" t="n">
        <f aca="false">SUMIFS(Doors!P:P,Doors!$C:$C,$A63)</f>
        <v>642</v>
      </c>
    </row>
    <row r="64" customFormat="false" ht="15" hidden="false" customHeight="false" outlineLevel="0" collapsed="false">
      <c r="A64" s="0" t="s">
        <v>121</v>
      </c>
      <c r="B64" s="7" t="n">
        <f aca="false">SUMIFS(Doors!E:E,Doors!$C:$C,$A64)</f>
        <v>75</v>
      </c>
      <c r="C64" s="7" t="n">
        <f aca="false">SUMIFS(Doors!F:F,Doors!$C:$C,$A64)</f>
        <v>114</v>
      </c>
      <c r="D64" s="7" t="n">
        <f aca="false">SUMIFS(Doors!G:G,Doors!$C:$C,$A64)</f>
        <v>165</v>
      </c>
      <c r="E64" s="7" t="n">
        <f aca="false">SUMIFS(Doors!H:H,Doors!$C:$C,$A64)</f>
        <v>212</v>
      </c>
      <c r="F64" s="7" t="n">
        <f aca="false">SUMIFS(Doors!I:I,Doors!$C:$C,$A64)</f>
        <v>255</v>
      </c>
      <c r="G64" s="7" t="n">
        <f aca="false">SUMIFS(Doors!J:J,Doors!$C:$C,$A64)</f>
        <v>285</v>
      </c>
      <c r="H64" s="7" t="n">
        <f aca="false">SUMIFS(Doors!K:K,Doors!$C:$C,$A64)</f>
        <v>306</v>
      </c>
      <c r="I64" s="7" t="n">
        <f aca="false">SUMIFS(Doors!L:L,Doors!$C:$C,$A64)</f>
        <v>323</v>
      </c>
      <c r="J64" s="7" t="n">
        <f aca="false">SUMIFS(Doors!M:M,Doors!$C:$C,$A64)</f>
        <v>332</v>
      </c>
      <c r="K64" s="7" t="n">
        <f aca="false">SUMIFS(Doors!N:N,Doors!$C:$C,$A64)</f>
        <v>339</v>
      </c>
      <c r="L64" s="7" t="n">
        <f aca="false">SUMIFS(Doors!O:O,Doors!$C:$C,$A64)</f>
        <v>342</v>
      </c>
      <c r="M64" s="7" t="n">
        <f aca="false">SUMIFS(Doors!P:P,Doors!$C:$C,$A64)</f>
        <v>344</v>
      </c>
    </row>
    <row r="65" customFormat="false" ht="15" hidden="false" customHeight="false" outlineLevel="0" collapsed="false">
      <c r="A65" s="0" t="s">
        <v>122</v>
      </c>
      <c r="B65" s="7" t="n">
        <f aca="false">SUMIFS(Doors!E:E,Doors!$C:$C,$A65)</f>
        <v>18</v>
      </c>
      <c r="C65" s="7" t="n">
        <f aca="false">SUMIFS(Doors!F:F,Doors!$C:$C,$A65)</f>
        <v>27</v>
      </c>
      <c r="D65" s="7" t="n">
        <f aca="false">SUMIFS(Doors!G:G,Doors!$C:$C,$A65)</f>
        <v>44</v>
      </c>
      <c r="E65" s="7" t="n">
        <f aca="false">SUMIFS(Doors!H:H,Doors!$C:$C,$A65)</f>
        <v>60</v>
      </c>
      <c r="F65" s="7" t="n">
        <f aca="false">SUMIFS(Doors!I:I,Doors!$C:$C,$A65)</f>
        <v>76</v>
      </c>
      <c r="G65" s="7" t="n">
        <f aca="false">SUMIFS(Doors!J:J,Doors!$C:$C,$A65)</f>
        <v>90</v>
      </c>
      <c r="H65" s="7" t="n">
        <f aca="false">SUMIFS(Doors!K:K,Doors!$C:$C,$A65)</f>
        <v>101</v>
      </c>
      <c r="I65" s="7" t="n">
        <f aca="false">SUMIFS(Doors!L:L,Doors!$C:$C,$A65)</f>
        <v>109</v>
      </c>
      <c r="J65" s="7" t="n">
        <f aca="false">SUMIFS(Doors!M:M,Doors!$C:$C,$A65)</f>
        <v>115</v>
      </c>
      <c r="K65" s="7" t="n">
        <f aca="false">SUMIFS(Doors!N:N,Doors!$C:$C,$A65)</f>
        <v>118</v>
      </c>
      <c r="L65" s="7" t="n">
        <f aca="false">SUMIFS(Doors!O:O,Doors!$C:$C,$A65)</f>
        <v>119</v>
      </c>
      <c r="M65" s="7" t="n">
        <f aca="false">SUMIFS(Doors!P:P,Doors!$C:$C,$A65)</f>
        <v>120</v>
      </c>
    </row>
    <row r="66" customFormat="false" ht="15" hidden="false" customHeight="false" outlineLevel="0" collapsed="false">
      <c r="A66" s="0" t="s">
        <v>123</v>
      </c>
      <c r="B66" s="7" t="n">
        <f aca="false">SUMIFS(Doors!E:E,Doors!$C:$C,$A66)</f>
        <v>9</v>
      </c>
      <c r="C66" s="7" t="n">
        <f aca="false">SUMIFS(Doors!F:F,Doors!$C:$C,$A66)</f>
        <v>14</v>
      </c>
      <c r="D66" s="7" t="n">
        <f aca="false">SUMIFS(Doors!G:G,Doors!$C:$C,$A66)</f>
        <v>22</v>
      </c>
      <c r="E66" s="7" t="n">
        <f aca="false">SUMIFS(Doors!H:H,Doors!$C:$C,$A66)</f>
        <v>28</v>
      </c>
      <c r="F66" s="7" t="n">
        <f aca="false">SUMIFS(Doors!I:I,Doors!$C:$C,$A66)</f>
        <v>34</v>
      </c>
      <c r="G66" s="7" t="n">
        <f aca="false">SUMIFS(Doors!J:J,Doors!$C:$C,$A66)</f>
        <v>40</v>
      </c>
      <c r="H66" s="7" t="n">
        <f aca="false">SUMIFS(Doors!K:K,Doors!$C:$C,$A66)</f>
        <v>44</v>
      </c>
      <c r="I66" s="7" t="n">
        <f aca="false">SUMIFS(Doors!L:L,Doors!$C:$C,$A66)</f>
        <v>48</v>
      </c>
      <c r="J66" s="7" t="n">
        <f aca="false">SUMIFS(Doors!M:M,Doors!$C:$C,$A66)</f>
        <v>49</v>
      </c>
      <c r="K66" s="7" t="n">
        <f aca="false">SUMIFS(Doors!N:N,Doors!$C:$C,$A66)</f>
        <v>50</v>
      </c>
      <c r="L66" s="7" t="n">
        <f aca="false">SUMIFS(Doors!O:O,Doors!$C:$C,$A66)</f>
        <v>50</v>
      </c>
      <c r="M66" s="7" t="n">
        <f aca="false">SUMIFS(Doors!P:P,Doors!$C:$C,$A66)</f>
        <v>50</v>
      </c>
    </row>
    <row r="67" customFormat="false" ht="15" hidden="false" customHeight="false" outlineLevel="0" collapsed="false">
      <c r="A67" s="4" t="s">
        <v>137</v>
      </c>
      <c r="B67" s="10" t="n">
        <f aca="false">SUM(B58:B66)</f>
        <v>511</v>
      </c>
      <c r="C67" s="10" t="n">
        <f aca="false">SUM(C58:C66)</f>
        <v>742</v>
      </c>
      <c r="D67" s="10" t="n">
        <f aca="false">SUM(D58:D66)</f>
        <v>1053</v>
      </c>
      <c r="E67" s="10" t="n">
        <f aca="false">SUM(E58:E66)</f>
        <v>1372</v>
      </c>
      <c r="F67" s="10" t="n">
        <f aca="false">SUM(F58:F66)</f>
        <v>1679</v>
      </c>
      <c r="G67" s="10" t="n">
        <f aca="false">SUM(G58:G66)</f>
        <v>1972</v>
      </c>
      <c r="H67" s="10" t="n">
        <f aca="false">SUM(H58:H66)</f>
        <v>2319</v>
      </c>
      <c r="I67" s="10" t="n">
        <f aca="false">SUM(I58:I66)</f>
        <v>2427</v>
      </c>
      <c r="J67" s="10" t="n">
        <f aca="false">SUM(J58:J66)</f>
        <v>2588</v>
      </c>
      <c r="K67" s="10" t="n">
        <f aca="false">SUM(K58:K66)</f>
        <v>2823</v>
      </c>
      <c r="L67" s="10" t="n">
        <f aca="false">SUM(L58:L66)</f>
        <v>2922</v>
      </c>
      <c r="M67" s="10" t="n">
        <f aca="false">SUM(M58:M66)</f>
        <v>2989</v>
      </c>
    </row>
    <row r="70" customFormat="false" ht="15" hidden="false" customHeight="false" outlineLevel="0" collapsed="false">
      <c r="A70" s="5" t="s">
        <v>138</v>
      </c>
    </row>
    <row r="71" customFormat="false" ht="15" hidden="false" customHeight="false" outlineLevel="0" collapsed="false">
      <c r="A71" s="4" t="s">
        <v>139</v>
      </c>
      <c r="B71" s="4" t="s">
        <v>140</v>
      </c>
      <c r="C71" s="4" t="s">
        <v>141</v>
      </c>
      <c r="D71" s="4" t="s">
        <v>142</v>
      </c>
      <c r="E71" s="4" t="s">
        <v>143</v>
      </c>
      <c r="F71" s="4" t="s">
        <v>144</v>
      </c>
      <c r="G71" s="4" t="s">
        <v>145</v>
      </c>
      <c r="H71" s="4" t="s">
        <v>146</v>
      </c>
      <c r="I71" s="4" t="s">
        <v>147</v>
      </c>
      <c r="J71" s="4" t="s">
        <v>148</v>
      </c>
      <c r="K71" s="4" t="s">
        <v>149</v>
      </c>
      <c r="L71" s="4" t="s">
        <v>150</v>
      </c>
      <c r="M71" s="4" t="s">
        <v>151</v>
      </c>
      <c r="N71" s="4" t="s">
        <v>152</v>
      </c>
      <c r="O71" s="4" t="s">
        <v>153</v>
      </c>
      <c r="P71" s="4" t="s">
        <v>154</v>
      </c>
      <c r="Q71" s="4" t="s">
        <v>155</v>
      </c>
      <c r="R71" s="4" t="s">
        <v>156</v>
      </c>
      <c r="S71" s="4" t="s">
        <v>157</v>
      </c>
      <c r="T71" s="4" t="s">
        <v>158</v>
      </c>
      <c r="U71" s="4" t="s">
        <v>159</v>
      </c>
      <c r="V71" s="4" t="s">
        <v>160</v>
      </c>
      <c r="W71" s="4" t="s">
        <v>161</v>
      </c>
      <c r="X71" s="4" t="s">
        <v>162</v>
      </c>
      <c r="Y71" s="4" t="s">
        <v>163</v>
      </c>
      <c r="Z71" s="4" t="s">
        <v>164</v>
      </c>
      <c r="AA71" s="4" t="s">
        <v>165</v>
      </c>
      <c r="AB71" s="4" t="s">
        <v>166</v>
      </c>
      <c r="AC71" s="4" t="s">
        <v>167</v>
      </c>
      <c r="AD71" s="4" t="s">
        <v>168</v>
      </c>
      <c r="AE71" s="4" t="s">
        <v>169</v>
      </c>
      <c r="AF71" s="4" t="s">
        <v>170</v>
      </c>
      <c r="AG71" s="4" t="s">
        <v>171</v>
      </c>
      <c r="AH71" s="4" t="s">
        <v>172</v>
      </c>
      <c r="AI71" s="4" t="s">
        <v>173</v>
      </c>
      <c r="AJ71" s="4" t="s">
        <v>174</v>
      </c>
      <c r="AK71" s="4" t="s">
        <v>175</v>
      </c>
      <c r="AL71" s="4" t="s">
        <v>176</v>
      </c>
      <c r="AM71" s="4" t="s">
        <v>177</v>
      </c>
      <c r="AN71" s="4" t="s">
        <v>178</v>
      </c>
      <c r="AO71" s="4" t="s">
        <v>179</v>
      </c>
      <c r="AP71" s="4" t="s">
        <v>180</v>
      </c>
      <c r="AQ71" s="4" t="s">
        <v>181</v>
      </c>
      <c r="AR71" s="4" t="s">
        <v>182</v>
      </c>
      <c r="AS71" s="4" t="s">
        <v>183</v>
      </c>
      <c r="AT71" s="4" t="s">
        <v>184</v>
      </c>
      <c r="AU71" s="4" t="s">
        <v>185</v>
      </c>
      <c r="AV71" s="4" t="s">
        <v>186</v>
      </c>
      <c r="AW71" s="4" t="s">
        <v>187</v>
      </c>
      <c r="AX71" s="4" t="s">
        <v>188</v>
      </c>
      <c r="AY71" s="4" t="s">
        <v>189</v>
      </c>
      <c r="AZ71" s="4" t="s">
        <v>190</v>
      </c>
      <c r="BA71" s="4" t="s">
        <v>191</v>
      </c>
    </row>
    <row r="72" customFormat="false" ht="15" hidden="false" customHeight="false" outlineLevel="0" collapsed="false">
      <c r="A72" s="4" t="s">
        <v>192</v>
      </c>
      <c r="B72" s="7" t="n">
        <f aca="false">'Forecast Weekly'!E366</f>
        <v>359.389583333333</v>
      </c>
      <c r="C72" s="7" t="n">
        <f aca="false">'Forecast Weekly'!F366</f>
        <v>359.389583333333</v>
      </c>
      <c r="D72" s="7" t="n">
        <f aca="false">'Forecast Weekly'!G366</f>
        <v>359.389583333333</v>
      </c>
      <c r="E72" s="7" t="n">
        <f aca="false">'Forecast Weekly'!H366</f>
        <v>359.389583333333</v>
      </c>
      <c r="F72" s="7" t="n">
        <f aca="false">'Forecast Weekly'!I366</f>
        <v>359.389583333333</v>
      </c>
      <c r="G72" s="7" t="n">
        <f aca="false">'Forecast Weekly'!J366</f>
        <v>517.01875</v>
      </c>
      <c r="H72" s="7" t="n">
        <f aca="false">'Forecast Weekly'!K366</f>
        <v>517.01875</v>
      </c>
      <c r="I72" s="7" t="n">
        <f aca="false">'Forecast Weekly'!L366</f>
        <v>517.01875</v>
      </c>
      <c r="J72" s="7" t="n">
        <f aca="false">'Forecast Weekly'!M366</f>
        <v>517.01875</v>
      </c>
      <c r="K72" s="7" t="n">
        <f aca="false">'Forecast Weekly'!N366</f>
        <v>744.339583333333</v>
      </c>
      <c r="L72" s="7" t="n">
        <f aca="false">'Forecast Weekly'!O366</f>
        <v>744.339583333333</v>
      </c>
      <c r="M72" s="7" t="n">
        <f aca="false">'Forecast Weekly'!P366</f>
        <v>744.339583333333</v>
      </c>
      <c r="N72" s="7" t="n">
        <f aca="false">'Forecast Weekly'!Q366</f>
        <v>744.339583333333</v>
      </c>
      <c r="O72" s="7" t="n">
        <f aca="false">'Forecast Weekly'!R366</f>
        <v>995.483333333333</v>
      </c>
      <c r="P72" s="7" t="n">
        <f aca="false">'Forecast Weekly'!S366</f>
        <v>995.483333333333</v>
      </c>
      <c r="Q72" s="7" t="n">
        <f aca="false">'Forecast Weekly'!T366</f>
        <v>995.483333333333</v>
      </c>
      <c r="R72" s="7" t="n">
        <f aca="false">'Forecast Weekly'!U366</f>
        <v>995.483333333333</v>
      </c>
      <c r="S72" s="7" t="n">
        <f aca="false">'Forecast Weekly'!V366</f>
        <v>995.483333333333</v>
      </c>
      <c r="T72" s="7" t="n">
        <f aca="false">'Forecast Weekly'!W366</f>
        <v>1236.44375</v>
      </c>
      <c r="U72" s="7" t="n">
        <f aca="false">'Forecast Weekly'!X366</f>
        <v>1236.44375</v>
      </c>
      <c r="V72" s="7" t="n">
        <f aca="false">'Forecast Weekly'!Y366</f>
        <v>1236.44375</v>
      </c>
      <c r="W72" s="7" t="n">
        <f aca="false">'Forecast Weekly'!Z366</f>
        <v>1236.44375</v>
      </c>
      <c r="X72" s="7" t="n">
        <f aca="false">'Forecast Weekly'!AA366</f>
        <v>1475.92916666667</v>
      </c>
      <c r="Y72" s="7" t="n">
        <f aca="false">'Forecast Weekly'!AB366</f>
        <v>1475.92916666667</v>
      </c>
      <c r="Z72" s="7" t="n">
        <f aca="false">'Forecast Weekly'!AC366</f>
        <v>1475.92916666667</v>
      </c>
      <c r="AA72" s="7" t="n">
        <f aca="false">'Forecast Weekly'!AD366</f>
        <v>1475.92916666667</v>
      </c>
      <c r="AB72" s="7" t="n">
        <f aca="false">'Forecast Weekly'!AE366</f>
        <v>3975.67708333333</v>
      </c>
      <c r="AC72" s="7" t="n">
        <f aca="false">'Forecast Weekly'!AF366</f>
        <v>3975.67708333333</v>
      </c>
      <c r="AD72" s="7" t="n">
        <f aca="false">'Forecast Weekly'!AG366</f>
        <v>3975.67708333333</v>
      </c>
      <c r="AE72" s="7" t="n">
        <f aca="false">'Forecast Weekly'!AH366</f>
        <v>3975.67708333333</v>
      </c>
      <c r="AF72" s="7" t="n">
        <f aca="false">'Forecast Weekly'!AI366</f>
        <v>3975.67708333333</v>
      </c>
      <c r="AG72" s="7" t="n">
        <f aca="false">'Forecast Weekly'!AJ366</f>
        <v>1852.3</v>
      </c>
      <c r="AH72" s="7" t="n">
        <f aca="false">'Forecast Weekly'!AK366</f>
        <v>1852.3</v>
      </c>
      <c r="AI72" s="7" t="n">
        <f aca="false">'Forecast Weekly'!AL366</f>
        <v>1852.3</v>
      </c>
      <c r="AJ72" s="7" t="n">
        <f aca="false">'Forecast Weekly'!AM366</f>
        <v>1852.3</v>
      </c>
      <c r="AK72" s="7" t="n">
        <f aca="false">'Forecast Weekly'!AN366</f>
        <v>1991.70625</v>
      </c>
      <c r="AL72" s="7" t="n">
        <f aca="false">'Forecast Weekly'!AO366</f>
        <v>1991.70625</v>
      </c>
      <c r="AM72" s="7" t="n">
        <f aca="false">'Forecast Weekly'!AP366</f>
        <v>1991.70625</v>
      </c>
      <c r="AN72" s="7" t="n">
        <f aca="false">'Forecast Weekly'!AQ366</f>
        <v>1991.70625</v>
      </c>
      <c r="AO72" s="7" t="n">
        <f aca="false">'Forecast Weekly'!AR366</f>
        <v>4632.95208333333</v>
      </c>
      <c r="AP72" s="7" t="n">
        <f aca="false">'Forecast Weekly'!AS366</f>
        <v>4632.95208333333</v>
      </c>
      <c r="AQ72" s="7" t="n">
        <f aca="false">'Forecast Weekly'!AT366</f>
        <v>4632.95208333333</v>
      </c>
      <c r="AR72" s="7" t="n">
        <f aca="false">'Forecast Weekly'!AU366</f>
        <v>4632.95208333333</v>
      </c>
      <c r="AS72" s="7" t="n">
        <f aca="false">'Forecast Weekly'!AV366</f>
        <v>4632.95208333333</v>
      </c>
      <c r="AT72" s="7" t="n">
        <f aca="false">'Forecast Weekly'!AW366</f>
        <v>4943.37708333333</v>
      </c>
      <c r="AU72" s="7" t="n">
        <f aca="false">'Forecast Weekly'!AX366</f>
        <v>4943.37708333333</v>
      </c>
      <c r="AV72" s="7" t="n">
        <f aca="false">'Forecast Weekly'!AY366</f>
        <v>4943.37708333333</v>
      </c>
      <c r="AW72" s="7" t="n">
        <f aca="false">'Forecast Weekly'!AZ366</f>
        <v>4943.37708333333</v>
      </c>
      <c r="AX72" s="7" t="n">
        <f aca="false">'Forecast Weekly'!BA366</f>
        <v>5161.86666666667</v>
      </c>
      <c r="AY72" s="7" t="n">
        <f aca="false">'Forecast Weekly'!BB366</f>
        <v>5161.86666666667</v>
      </c>
      <c r="AZ72" s="7" t="n">
        <f aca="false">'Forecast Weekly'!BC366</f>
        <v>5161.86666666667</v>
      </c>
      <c r="BA72" s="7" t="n">
        <f aca="false">'Forecast Weekly'!BD366</f>
        <v>5161.86666666667</v>
      </c>
    </row>
    <row r="73" customFormat="false" ht="15" hidden="false" customHeight="false" outlineLevel="0" collapsed="false">
      <c r="A73" s="4" t="s">
        <v>193</v>
      </c>
      <c r="B73" s="7" t="n">
        <f aca="false">'Production Plan'!E21</f>
        <v>465.793695512821</v>
      </c>
      <c r="C73" s="7" t="n">
        <f aca="false">'Production Plan'!F21</f>
        <v>421.793695512821</v>
      </c>
      <c r="D73" s="7" t="n">
        <f aca="false">'Production Plan'!G21</f>
        <v>421.793695512821</v>
      </c>
      <c r="E73" s="7" t="n">
        <f aca="false">'Production Plan'!H21</f>
        <v>421.793695512821</v>
      </c>
      <c r="F73" s="7" t="n">
        <f aca="false">'Production Plan'!I21</f>
        <v>421.793695512821</v>
      </c>
      <c r="G73" s="7" t="n">
        <f aca="false">'Production Plan'!J21</f>
        <v>602.284337669683</v>
      </c>
      <c r="H73" s="7" t="n">
        <f aca="false">'Production Plan'!K21</f>
        <v>602.284337669683</v>
      </c>
      <c r="I73" s="7" t="n">
        <f aca="false">'Production Plan'!L21</f>
        <v>602.284337669683</v>
      </c>
      <c r="J73" s="7" t="n">
        <f aca="false">'Production Plan'!M21</f>
        <v>602.284337669683</v>
      </c>
      <c r="K73" s="7" t="n">
        <f aca="false">'Production Plan'!N21</f>
        <v>860.91450433635</v>
      </c>
      <c r="L73" s="7" t="n">
        <f aca="false">'Production Plan'!O21</f>
        <v>860.91450433635</v>
      </c>
      <c r="M73" s="7" t="n">
        <f aca="false">'Production Plan'!P21</f>
        <v>860.91450433635</v>
      </c>
      <c r="N73" s="7" t="n">
        <f aca="false">'Production Plan'!Q21</f>
        <v>860.91450433635</v>
      </c>
      <c r="O73" s="7" t="n">
        <f aca="false">'Production Plan'!R21</f>
        <v>1145.58762933635</v>
      </c>
      <c r="P73" s="7" t="n">
        <f aca="false">'Production Plan'!S21</f>
        <v>1145.58762933635</v>
      </c>
      <c r="Q73" s="7" t="n">
        <f aca="false">'Production Plan'!T21</f>
        <v>1145.58762933635</v>
      </c>
      <c r="R73" s="7" t="n">
        <f aca="false">'Production Plan'!U21</f>
        <v>1145.58762933635</v>
      </c>
      <c r="S73" s="7" t="n">
        <f aca="false">'Production Plan'!V21</f>
        <v>1145.58762933635</v>
      </c>
      <c r="T73" s="7" t="n">
        <f aca="false">'Production Plan'!W21</f>
        <v>1418.75383766968</v>
      </c>
      <c r="U73" s="7" t="n">
        <f aca="false">'Production Plan'!X21</f>
        <v>1418.75383766968</v>
      </c>
      <c r="V73" s="7" t="n">
        <f aca="false">'Production Plan'!Y21</f>
        <v>1418.75383766968</v>
      </c>
      <c r="W73" s="7" t="n">
        <f aca="false">'Production Plan'!Z21</f>
        <v>1418.75383766968</v>
      </c>
      <c r="X73" s="7" t="n">
        <f aca="false">'Production Plan'!AA21</f>
        <v>1692.94304600302</v>
      </c>
      <c r="Y73" s="7" t="n">
        <f aca="false">'Production Plan'!AB21</f>
        <v>1692.94304600302</v>
      </c>
      <c r="Z73" s="7" t="n">
        <f aca="false">'Production Plan'!AC21</f>
        <v>1692.94304600302</v>
      </c>
      <c r="AA73" s="7" t="n">
        <f aca="false">'Production Plan'!AD21</f>
        <v>1692.94304600302</v>
      </c>
      <c r="AB73" s="7" t="n">
        <f aca="false">'Production Plan'!AE21</f>
        <v>4569.10525433635</v>
      </c>
      <c r="AC73" s="7" t="n">
        <f aca="false">'Production Plan'!AF21</f>
        <v>4459.10525433635</v>
      </c>
      <c r="AD73" s="7" t="n">
        <f aca="false">'Production Plan'!AG21</f>
        <v>4459.10525433635</v>
      </c>
      <c r="AE73" s="7" t="n">
        <f aca="false">'Production Plan'!AH21</f>
        <v>4459.10525433635</v>
      </c>
      <c r="AF73" s="7" t="n">
        <f aca="false">'Production Plan'!AI21</f>
        <v>4459.10525433635</v>
      </c>
      <c r="AG73" s="7" t="n">
        <f aca="false">'Production Plan'!AJ21</f>
        <v>2154.77621266968</v>
      </c>
      <c r="AH73" s="7" t="n">
        <f aca="false">'Production Plan'!AK21</f>
        <v>2127.27621266968</v>
      </c>
      <c r="AI73" s="7" t="n">
        <f aca="false">'Production Plan'!AL21</f>
        <v>2127.27621266968</v>
      </c>
      <c r="AJ73" s="7" t="n">
        <f aca="false">'Production Plan'!AM21</f>
        <v>2127.27621266968</v>
      </c>
      <c r="AK73" s="7" t="n">
        <f aca="false">'Production Plan'!AN21</f>
        <v>2285.87558766968</v>
      </c>
      <c r="AL73" s="7" t="n">
        <f aca="false">'Production Plan'!AO21</f>
        <v>2285.87558766968</v>
      </c>
      <c r="AM73" s="7" t="n">
        <f aca="false">'Production Plan'!AP21</f>
        <v>2285.87558766968</v>
      </c>
      <c r="AN73" s="7" t="n">
        <f aca="false">'Production Plan'!AQ21</f>
        <v>2285.87558766968</v>
      </c>
      <c r="AO73" s="7" t="n">
        <f aca="false">'Production Plan'!AR21</f>
        <v>5195.68919551282</v>
      </c>
      <c r="AP73" s="7" t="n">
        <f aca="false">'Production Plan'!AS21</f>
        <v>5195.68919551282</v>
      </c>
      <c r="AQ73" s="7" t="n">
        <f aca="false">'Production Plan'!AT21</f>
        <v>5217.68919551282</v>
      </c>
      <c r="AR73" s="7" t="n">
        <f aca="false">'Production Plan'!AU21</f>
        <v>5195.68919551282</v>
      </c>
      <c r="AS73" s="7" t="n">
        <f aca="false">'Production Plan'!AV21</f>
        <v>5195.68919551282</v>
      </c>
      <c r="AT73" s="7" t="n">
        <f aca="false">'Production Plan'!AW21</f>
        <v>5540.01119551282</v>
      </c>
      <c r="AU73" s="7" t="n">
        <f aca="false">'Production Plan'!AX21</f>
        <v>5567.51119551282</v>
      </c>
      <c r="AV73" s="7" t="n">
        <f aca="false">'Production Plan'!AY21</f>
        <v>5540.01119551282</v>
      </c>
      <c r="AW73" s="7" t="n">
        <f aca="false">'Production Plan'!AZ21</f>
        <v>5540.01119551282</v>
      </c>
      <c r="AX73" s="7" t="n">
        <f aca="false">'Production Plan'!BA21</f>
        <v>5782.31598717949</v>
      </c>
      <c r="AY73" s="7" t="n">
        <f aca="false">'Production Plan'!BB21</f>
        <v>5782.31598717949</v>
      </c>
      <c r="AZ73" s="7" t="n">
        <f aca="false">'Production Plan'!BC21</f>
        <v>5782.31598717949</v>
      </c>
      <c r="BA73" s="7" t="n">
        <f aca="false">'Production Plan'!BD21</f>
        <v>5782.31598717949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2"/>
  </cols>
  <sheetData>
    <row r="1" customFormat="false" ht="17.35" hidden="false" customHeight="false" outlineLevel="0" collapsed="false">
      <c r="A1" s="1" t="s">
        <v>194</v>
      </c>
    </row>
    <row r="3" customFormat="false" ht="15" hidden="false" customHeight="false" outlineLevel="0" collapsed="false">
      <c r="A3" s="5" t="s">
        <v>195</v>
      </c>
    </row>
    <row r="4" customFormat="false" ht="15" hidden="false" customHeight="false" outlineLevel="0" collapsed="false">
      <c r="A4" s="0" t="s">
        <v>196</v>
      </c>
      <c r="B4" s="11" t="n">
        <v>24</v>
      </c>
    </row>
    <row r="5" customFormat="false" ht="15" hidden="false" customHeight="false" outlineLevel="0" collapsed="false">
      <c r="A5" s="0" t="s">
        <v>197</v>
      </c>
      <c r="B5" s="12" t="n">
        <v>0.1</v>
      </c>
    </row>
    <row r="6" customFormat="false" ht="15" hidden="false" customHeight="false" outlineLevel="0" collapsed="false">
      <c r="A6" s="0" t="s">
        <v>198</v>
      </c>
      <c r="B6" s="13" t="n">
        <v>1</v>
      </c>
    </row>
    <row r="7" customFormat="false" ht="15" hidden="false" customHeight="false" outlineLevel="0" collapsed="false">
      <c r="A7" s="0" t="s">
        <v>1</v>
      </c>
      <c r="B7" s="0" t="s">
        <v>199</v>
      </c>
    </row>
    <row r="8" customFormat="false" ht="15" hidden="false" customHeight="false" outlineLevel="0" collapsed="false">
      <c r="A8" s="0" t="s">
        <v>200</v>
      </c>
      <c r="B8" s="0" t="s">
        <v>201</v>
      </c>
    </row>
    <row r="9" customFormat="false" ht="15" hidden="false" customHeight="false" outlineLevel="0" collapsed="false">
      <c r="A9" s="0" t="s">
        <v>202</v>
      </c>
      <c r="B9" s="0" t="s">
        <v>203</v>
      </c>
    </row>
    <row r="10" customFormat="false" ht="15" hidden="false" customHeight="false" outlineLevel="0" collapsed="false">
      <c r="A10" s="0" t="s">
        <v>204</v>
      </c>
      <c r="B10" s="0" t="n">
        <v>52</v>
      </c>
    </row>
    <row r="12" customFormat="false" ht="15" hidden="false" customHeight="false" outlineLevel="0" collapsed="false">
      <c r="A12" s="5" t="s">
        <v>205</v>
      </c>
    </row>
    <row r="13" customFormat="false" ht="15" hidden="false" customHeight="false" outlineLevel="0" collapsed="false">
      <c r="A13" s="6" t="s">
        <v>139</v>
      </c>
      <c r="B13" s="6" t="s">
        <v>206</v>
      </c>
      <c r="C13" s="6" t="s">
        <v>207</v>
      </c>
    </row>
    <row r="14" customFormat="false" ht="15" hidden="false" customHeight="false" outlineLevel="0" collapsed="false">
      <c r="A14" s="0" t="s">
        <v>140</v>
      </c>
      <c r="B14" s="14" t="n">
        <v>46266</v>
      </c>
      <c r="C14" s="3" t="s">
        <v>95</v>
      </c>
    </row>
    <row r="15" customFormat="false" ht="15" hidden="false" customHeight="false" outlineLevel="0" collapsed="false">
      <c r="A15" s="0" t="s">
        <v>141</v>
      </c>
      <c r="B15" s="14" t="n">
        <v>46273</v>
      </c>
      <c r="C15" s="3" t="s">
        <v>95</v>
      </c>
    </row>
    <row r="16" customFormat="false" ht="15" hidden="false" customHeight="false" outlineLevel="0" collapsed="false">
      <c r="A16" s="0" t="s">
        <v>142</v>
      </c>
      <c r="B16" s="14" t="n">
        <v>46280</v>
      </c>
      <c r="C16" s="3" t="s">
        <v>95</v>
      </c>
    </row>
    <row r="17" customFormat="false" ht="15" hidden="false" customHeight="false" outlineLevel="0" collapsed="false">
      <c r="A17" s="0" t="s">
        <v>143</v>
      </c>
      <c r="B17" s="14" t="n">
        <v>46287</v>
      </c>
      <c r="C17" s="3" t="s">
        <v>95</v>
      </c>
    </row>
    <row r="18" customFormat="false" ht="15" hidden="false" customHeight="false" outlineLevel="0" collapsed="false">
      <c r="A18" s="0" t="s">
        <v>144</v>
      </c>
      <c r="B18" s="14" t="n">
        <v>46294</v>
      </c>
      <c r="C18" s="3" t="s">
        <v>95</v>
      </c>
    </row>
    <row r="19" customFormat="false" ht="15" hidden="false" customHeight="false" outlineLevel="0" collapsed="false">
      <c r="A19" s="0" t="s">
        <v>145</v>
      </c>
      <c r="B19" s="14" t="n">
        <v>46301</v>
      </c>
      <c r="C19" s="3" t="s">
        <v>96</v>
      </c>
    </row>
    <row r="20" customFormat="false" ht="15" hidden="false" customHeight="false" outlineLevel="0" collapsed="false">
      <c r="A20" s="0" t="s">
        <v>146</v>
      </c>
      <c r="B20" s="14" t="n">
        <v>46308</v>
      </c>
      <c r="C20" s="3" t="s">
        <v>96</v>
      </c>
    </row>
    <row r="21" customFormat="false" ht="15" hidden="false" customHeight="false" outlineLevel="0" collapsed="false">
      <c r="A21" s="0" t="s">
        <v>147</v>
      </c>
      <c r="B21" s="14" t="n">
        <v>46315</v>
      </c>
      <c r="C21" s="3" t="s">
        <v>96</v>
      </c>
    </row>
    <row r="22" customFormat="false" ht="15" hidden="false" customHeight="false" outlineLevel="0" collapsed="false">
      <c r="A22" s="0" t="s">
        <v>148</v>
      </c>
      <c r="B22" s="14" t="n">
        <v>46322</v>
      </c>
      <c r="C22" s="3" t="s">
        <v>96</v>
      </c>
    </row>
    <row r="23" customFormat="false" ht="15" hidden="false" customHeight="false" outlineLevel="0" collapsed="false">
      <c r="A23" s="0" t="s">
        <v>149</v>
      </c>
      <c r="B23" s="14" t="n">
        <v>46329</v>
      </c>
      <c r="C23" s="3" t="s">
        <v>97</v>
      </c>
    </row>
    <row r="24" customFormat="false" ht="15" hidden="false" customHeight="false" outlineLevel="0" collapsed="false">
      <c r="A24" s="0" t="s">
        <v>150</v>
      </c>
      <c r="B24" s="14" t="n">
        <v>46336</v>
      </c>
      <c r="C24" s="3" t="s">
        <v>97</v>
      </c>
    </row>
    <row r="25" customFormat="false" ht="15" hidden="false" customHeight="false" outlineLevel="0" collapsed="false">
      <c r="A25" s="0" t="s">
        <v>151</v>
      </c>
      <c r="B25" s="14" t="n">
        <v>46343</v>
      </c>
      <c r="C25" s="3" t="s">
        <v>97</v>
      </c>
    </row>
    <row r="26" customFormat="false" ht="15" hidden="false" customHeight="false" outlineLevel="0" collapsed="false">
      <c r="A26" s="0" t="s">
        <v>152</v>
      </c>
      <c r="B26" s="14" t="n">
        <v>46350</v>
      </c>
      <c r="C26" s="3" t="s">
        <v>97</v>
      </c>
    </row>
    <row r="27" customFormat="false" ht="15" hidden="false" customHeight="false" outlineLevel="0" collapsed="false">
      <c r="A27" s="0" t="s">
        <v>153</v>
      </c>
      <c r="B27" s="14" t="n">
        <v>46357</v>
      </c>
      <c r="C27" s="3" t="s">
        <v>98</v>
      </c>
    </row>
    <row r="28" customFormat="false" ht="15" hidden="false" customHeight="false" outlineLevel="0" collapsed="false">
      <c r="A28" s="0" t="s">
        <v>154</v>
      </c>
      <c r="B28" s="14" t="n">
        <v>46364</v>
      </c>
      <c r="C28" s="3" t="s">
        <v>98</v>
      </c>
    </row>
    <row r="29" customFormat="false" ht="15" hidden="false" customHeight="false" outlineLevel="0" collapsed="false">
      <c r="A29" s="0" t="s">
        <v>155</v>
      </c>
      <c r="B29" s="14" t="n">
        <v>46371</v>
      </c>
      <c r="C29" s="3" t="s">
        <v>98</v>
      </c>
    </row>
    <row r="30" customFormat="false" ht="15" hidden="false" customHeight="false" outlineLevel="0" collapsed="false">
      <c r="A30" s="0" t="s">
        <v>156</v>
      </c>
      <c r="B30" s="14" t="n">
        <v>46378</v>
      </c>
      <c r="C30" s="3" t="s">
        <v>98</v>
      </c>
    </row>
    <row r="31" customFormat="false" ht="15" hidden="false" customHeight="false" outlineLevel="0" collapsed="false">
      <c r="A31" s="0" t="s">
        <v>157</v>
      </c>
      <c r="B31" s="14" t="n">
        <v>46385</v>
      </c>
      <c r="C31" s="3" t="s">
        <v>98</v>
      </c>
    </row>
    <row r="32" customFormat="false" ht="15" hidden="false" customHeight="false" outlineLevel="0" collapsed="false">
      <c r="A32" s="0" t="s">
        <v>158</v>
      </c>
      <c r="B32" s="14" t="n">
        <v>46392</v>
      </c>
      <c r="C32" s="3" t="s">
        <v>99</v>
      </c>
    </row>
    <row r="33" customFormat="false" ht="15" hidden="false" customHeight="false" outlineLevel="0" collapsed="false">
      <c r="A33" s="0" t="s">
        <v>159</v>
      </c>
      <c r="B33" s="14" t="n">
        <v>46399</v>
      </c>
      <c r="C33" s="3" t="s">
        <v>99</v>
      </c>
    </row>
    <row r="34" customFormat="false" ht="15" hidden="false" customHeight="false" outlineLevel="0" collapsed="false">
      <c r="A34" s="0" t="s">
        <v>160</v>
      </c>
      <c r="B34" s="14" t="n">
        <v>46406</v>
      </c>
      <c r="C34" s="3" t="s">
        <v>99</v>
      </c>
    </row>
    <row r="35" customFormat="false" ht="15" hidden="false" customHeight="false" outlineLevel="0" collapsed="false">
      <c r="A35" s="0" t="s">
        <v>161</v>
      </c>
      <c r="B35" s="14" t="n">
        <v>46413</v>
      </c>
      <c r="C35" s="3" t="s">
        <v>99</v>
      </c>
    </row>
    <row r="36" customFormat="false" ht="15" hidden="false" customHeight="false" outlineLevel="0" collapsed="false">
      <c r="A36" s="0" t="s">
        <v>162</v>
      </c>
      <c r="B36" s="14" t="n">
        <v>46420</v>
      </c>
      <c r="C36" s="3" t="s">
        <v>100</v>
      </c>
    </row>
    <row r="37" customFormat="false" ht="15" hidden="false" customHeight="false" outlineLevel="0" collapsed="false">
      <c r="A37" s="0" t="s">
        <v>163</v>
      </c>
      <c r="B37" s="14" t="n">
        <v>46427</v>
      </c>
      <c r="C37" s="3" t="s">
        <v>100</v>
      </c>
    </row>
    <row r="38" customFormat="false" ht="15" hidden="false" customHeight="false" outlineLevel="0" collapsed="false">
      <c r="A38" s="0" t="s">
        <v>164</v>
      </c>
      <c r="B38" s="14" t="n">
        <v>46434</v>
      </c>
      <c r="C38" s="3" t="s">
        <v>100</v>
      </c>
    </row>
    <row r="39" customFormat="false" ht="15" hidden="false" customHeight="false" outlineLevel="0" collapsed="false">
      <c r="A39" s="0" t="s">
        <v>165</v>
      </c>
      <c r="B39" s="14" t="n">
        <v>46441</v>
      </c>
      <c r="C39" s="3" t="s">
        <v>100</v>
      </c>
    </row>
    <row r="40" customFormat="false" ht="15" hidden="false" customHeight="false" outlineLevel="0" collapsed="false">
      <c r="A40" s="0" t="s">
        <v>166</v>
      </c>
      <c r="B40" s="14" t="n">
        <v>46448</v>
      </c>
      <c r="C40" s="3" t="s">
        <v>101</v>
      </c>
    </row>
    <row r="41" customFormat="false" ht="15" hidden="false" customHeight="false" outlineLevel="0" collapsed="false">
      <c r="A41" s="0" t="s">
        <v>167</v>
      </c>
      <c r="B41" s="14" t="n">
        <v>46455</v>
      </c>
      <c r="C41" s="3" t="s">
        <v>101</v>
      </c>
    </row>
    <row r="42" customFormat="false" ht="15" hidden="false" customHeight="false" outlineLevel="0" collapsed="false">
      <c r="A42" s="0" t="s">
        <v>168</v>
      </c>
      <c r="B42" s="14" t="n">
        <v>46462</v>
      </c>
      <c r="C42" s="3" t="s">
        <v>101</v>
      </c>
    </row>
    <row r="43" customFormat="false" ht="15" hidden="false" customHeight="false" outlineLevel="0" collapsed="false">
      <c r="A43" s="0" t="s">
        <v>169</v>
      </c>
      <c r="B43" s="14" t="n">
        <v>46469</v>
      </c>
      <c r="C43" s="3" t="s">
        <v>101</v>
      </c>
    </row>
    <row r="44" customFormat="false" ht="15" hidden="false" customHeight="false" outlineLevel="0" collapsed="false">
      <c r="A44" s="0" t="s">
        <v>170</v>
      </c>
      <c r="B44" s="14" t="n">
        <v>46476</v>
      </c>
      <c r="C44" s="3" t="s">
        <v>101</v>
      </c>
    </row>
    <row r="45" customFormat="false" ht="15" hidden="false" customHeight="false" outlineLevel="0" collapsed="false">
      <c r="A45" s="0" t="s">
        <v>171</v>
      </c>
      <c r="B45" s="14" t="n">
        <v>46483</v>
      </c>
      <c r="C45" s="3" t="s">
        <v>102</v>
      </c>
    </row>
    <row r="46" customFormat="false" ht="15" hidden="false" customHeight="false" outlineLevel="0" collapsed="false">
      <c r="A46" s="0" t="s">
        <v>172</v>
      </c>
      <c r="B46" s="14" t="n">
        <v>46490</v>
      </c>
      <c r="C46" s="3" t="s">
        <v>102</v>
      </c>
    </row>
    <row r="47" customFormat="false" ht="15" hidden="false" customHeight="false" outlineLevel="0" collapsed="false">
      <c r="A47" s="0" t="s">
        <v>173</v>
      </c>
      <c r="B47" s="14" t="n">
        <v>46497</v>
      </c>
      <c r="C47" s="3" t="s">
        <v>102</v>
      </c>
    </row>
    <row r="48" customFormat="false" ht="15" hidden="false" customHeight="false" outlineLevel="0" collapsed="false">
      <c r="A48" s="0" t="s">
        <v>174</v>
      </c>
      <c r="B48" s="14" t="n">
        <v>46504</v>
      </c>
      <c r="C48" s="3" t="s">
        <v>102</v>
      </c>
    </row>
    <row r="49" customFormat="false" ht="15" hidden="false" customHeight="false" outlineLevel="0" collapsed="false">
      <c r="A49" s="0" t="s">
        <v>175</v>
      </c>
      <c r="B49" s="14" t="n">
        <v>46511</v>
      </c>
      <c r="C49" s="3" t="s">
        <v>103</v>
      </c>
    </row>
    <row r="50" customFormat="false" ht="15" hidden="false" customHeight="false" outlineLevel="0" collapsed="false">
      <c r="A50" s="0" t="s">
        <v>176</v>
      </c>
      <c r="B50" s="14" t="n">
        <v>46518</v>
      </c>
      <c r="C50" s="3" t="s">
        <v>103</v>
      </c>
    </row>
    <row r="51" customFormat="false" ht="15" hidden="false" customHeight="false" outlineLevel="0" collapsed="false">
      <c r="A51" s="0" t="s">
        <v>177</v>
      </c>
      <c r="B51" s="14" t="n">
        <v>46525</v>
      </c>
      <c r="C51" s="3" t="s">
        <v>103</v>
      </c>
    </row>
    <row r="52" customFormat="false" ht="15" hidden="false" customHeight="false" outlineLevel="0" collapsed="false">
      <c r="A52" s="0" t="s">
        <v>178</v>
      </c>
      <c r="B52" s="14" t="n">
        <v>46532</v>
      </c>
      <c r="C52" s="3" t="s">
        <v>103</v>
      </c>
    </row>
    <row r="53" customFormat="false" ht="15" hidden="false" customHeight="false" outlineLevel="0" collapsed="false">
      <c r="A53" s="0" t="s">
        <v>179</v>
      </c>
      <c r="B53" s="14" t="n">
        <v>46539</v>
      </c>
      <c r="C53" s="3" t="s">
        <v>104</v>
      </c>
    </row>
    <row r="54" customFormat="false" ht="15" hidden="false" customHeight="false" outlineLevel="0" collapsed="false">
      <c r="A54" s="0" t="s">
        <v>180</v>
      </c>
      <c r="B54" s="14" t="n">
        <v>46546</v>
      </c>
      <c r="C54" s="3" t="s">
        <v>104</v>
      </c>
    </row>
    <row r="55" customFormat="false" ht="15" hidden="false" customHeight="false" outlineLevel="0" collapsed="false">
      <c r="A55" s="0" t="s">
        <v>181</v>
      </c>
      <c r="B55" s="14" t="n">
        <v>46553</v>
      </c>
      <c r="C55" s="3" t="s">
        <v>104</v>
      </c>
    </row>
    <row r="56" customFormat="false" ht="15" hidden="false" customHeight="false" outlineLevel="0" collapsed="false">
      <c r="A56" s="0" t="s">
        <v>182</v>
      </c>
      <c r="B56" s="14" t="n">
        <v>46560</v>
      </c>
      <c r="C56" s="3" t="s">
        <v>104</v>
      </c>
    </row>
    <row r="57" customFormat="false" ht="15" hidden="false" customHeight="false" outlineLevel="0" collapsed="false">
      <c r="A57" s="0" t="s">
        <v>183</v>
      </c>
      <c r="B57" s="14" t="n">
        <v>46567</v>
      </c>
      <c r="C57" s="3" t="s">
        <v>104</v>
      </c>
    </row>
    <row r="58" customFormat="false" ht="15" hidden="false" customHeight="false" outlineLevel="0" collapsed="false">
      <c r="A58" s="0" t="s">
        <v>184</v>
      </c>
      <c r="B58" s="14" t="n">
        <v>46574</v>
      </c>
      <c r="C58" s="3" t="s">
        <v>105</v>
      </c>
    </row>
    <row r="59" customFormat="false" ht="15" hidden="false" customHeight="false" outlineLevel="0" collapsed="false">
      <c r="A59" s="0" t="s">
        <v>185</v>
      </c>
      <c r="B59" s="14" t="n">
        <v>46581</v>
      </c>
      <c r="C59" s="3" t="s">
        <v>105</v>
      </c>
    </row>
    <row r="60" customFormat="false" ht="15" hidden="false" customHeight="false" outlineLevel="0" collapsed="false">
      <c r="A60" s="0" t="s">
        <v>186</v>
      </c>
      <c r="B60" s="14" t="n">
        <v>46588</v>
      </c>
      <c r="C60" s="3" t="s">
        <v>105</v>
      </c>
    </row>
    <row r="61" customFormat="false" ht="15" hidden="false" customHeight="false" outlineLevel="0" collapsed="false">
      <c r="A61" s="0" t="s">
        <v>187</v>
      </c>
      <c r="B61" s="14" t="n">
        <v>46595</v>
      </c>
      <c r="C61" s="3" t="s">
        <v>105</v>
      </c>
    </row>
    <row r="62" customFormat="false" ht="15" hidden="false" customHeight="false" outlineLevel="0" collapsed="false">
      <c r="A62" s="0" t="s">
        <v>188</v>
      </c>
      <c r="B62" s="14" t="n">
        <v>46602</v>
      </c>
      <c r="C62" s="3" t="s">
        <v>106</v>
      </c>
    </row>
    <row r="63" customFormat="false" ht="15" hidden="false" customHeight="false" outlineLevel="0" collapsed="false">
      <c r="A63" s="0" t="s">
        <v>189</v>
      </c>
      <c r="B63" s="14" t="n">
        <v>46609</v>
      </c>
      <c r="C63" s="3" t="s">
        <v>106</v>
      </c>
    </row>
    <row r="64" customFormat="false" ht="15" hidden="false" customHeight="false" outlineLevel="0" collapsed="false">
      <c r="A64" s="0" t="s">
        <v>190</v>
      </c>
      <c r="B64" s="14" t="n">
        <v>46616</v>
      </c>
      <c r="C64" s="3" t="s">
        <v>106</v>
      </c>
    </row>
    <row r="65" customFormat="false" ht="15" hidden="false" customHeight="false" outlineLevel="0" collapsed="false">
      <c r="A65" s="0" t="s">
        <v>191</v>
      </c>
      <c r="B65" s="14" t="n">
        <v>46623</v>
      </c>
      <c r="C65" s="3" t="s">
        <v>106</v>
      </c>
    </row>
    <row r="68" customFormat="false" ht="15" hidden="false" customHeight="false" outlineLevel="0" collapsed="false">
      <c r="A68" s="5" t="s">
        <v>208</v>
      </c>
    </row>
    <row r="69" customFormat="false" ht="15" hidden="false" customHeight="false" outlineLevel="0" collapsed="false">
      <c r="A69" s="0" t="s">
        <v>209</v>
      </c>
    </row>
    <row r="70" customFormat="false" ht="15" hidden="false" customHeight="false" outlineLevel="0" collapsed="false">
      <c r="A70" s="0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  <col collapsed="false" customWidth="true" hidden="false" outlineLevel="0" max="5" min="3" style="0" width="12"/>
  </cols>
  <sheetData>
    <row r="1" customFormat="false" ht="17.35" hidden="false" customHeight="false" outlineLevel="0" collapsed="false">
      <c r="A1" s="1" t="s">
        <v>211</v>
      </c>
    </row>
    <row r="3" customFormat="false" ht="15" hidden="false" customHeight="false" outlineLevel="0" collapsed="false">
      <c r="A3" s="0" t="s">
        <v>212</v>
      </c>
    </row>
    <row r="5" customFormat="false" ht="15" hidden="false" customHeight="false" outlineLevel="0" collapsed="false">
      <c r="A5" s="6" t="s">
        <v>114</v>
      </c>
      <c r="B5" s="6" t="s">
        <v>213</v>
      </c>
      <c r="C5" s="6" t="s">
        <v>214</v>
      </c>
      <c r="D5" s="6" t="s">
        <v>215</v>
      </c>
      <c r="E5" s="6" t="s">
        <v>216</v>
      </c>
    </row>
    <row r="6" customFormat="false" ht="15" hidden="false" customHeight="false" outlineLevel="0" collapsed="false">
      <c r="A6" s="0" t="s">
        <v>115</v>
      </c>
      <c r="B6" s="12" t="n">
        <v>0.2</v>
      </c>
      <c r="C6" s="12" t="n">
        <v>0.5</v>
      </c>
      <c r="D6" s="12" t="n">
        <v>0.3</v>
      </c>
      <c r="E6" s="15" t="n">
        <f aca="false">B6+C6+D6</f>
        <v>1</v>
      </c>
    </row>
    <row r="7" customFormat="false" ht="15" hidden="false" customHeight="false" outlineLevel="0" collapsed="false">
      <c r="A7" s="0" t="s">
        <v>116</v>
      </c>
      <c r="B7" s="12" t="n">
        <v>0.3</v>
      </c>
      <c r="C7" s="12" t="n">
        <v>0.5</v>
      </c>
      <c r="D7" s="12" t="n">
        <v>0.2</v>
      </c>
      <c r="E7" s="15" t="n">
        <f aca="false">B7+C7+D7</f>
        <v>1</v>
      </c>
    </row>
    <row r="8" customFormat="false" ht="15" hidden="false" customHeight="false" outlineLevel="0" collapsed="false">
      <c r="A8" s="0" t="s">
        <v>117</v>
      </c>
      <c r="B8" s="12" t="n">
        <v>0.5</v>
      </c>
      <c r="C8" s="12" t="n">
        <v>0.35</v>
      </c>
      <c r="D8" s="12" t="n">
        <v>0.15</v>
      </c>
      <c r="E8" s="15" t="n">
        <f aca="false">B8+C8+D8</f>
        <v>1</v>
      </c>
    </row>
    <row r="9" customFormat="false" ht="15" hidden="false" customHeight="false" outlineLevel="0" collapsed="false">
      <c r="A9" s="0" t="s">
        <v>118</v>
      </c>
      <c r="B9" s="12" t="n">
        <v>0.8</v>
      </c>
      <c r="C9" s="12" t="n">
        <v>0.2</v>
      </c>
      <c r="D9" s="12" t="n">
        <v>0</v>
      </c>
      <c r="E9" s="15" t="n">
        <f aca="false">B9+C9+D9</f>
        <v>1</v>
      </c>
    </row>
    <row r="10" customFormat="false" ht="15" hidden="false" customHeight="false" outlineLevel="0" collapsed="false">
      <c r="A10" s="0" t="s">
        <v>119</v>
      </c>
      <c r="B10" s="16" t="n">
        <v>0.25</v>
      </c>
      <c r="C10" s="16" t="n">
        <v>0.5</v>
      </c>
      <c r="D10" s="16" t="n">
        <v>0.25</v>
      </c>
      <c r="E10" s="15" t="n">
        <f aca="false">B10+C10+D10</f>
        <v>1</v>
      </c>
    </row>
    <row r="11" customFormat="false" ht="15" hidden="false" customHeight="false" outlineLevel="0" collapsed="false">
      <c r="A11" s="0" t="s">
        <v>120</v>
      </c>
      <c r="B11" s="16" t="n">
        <v>0.15</v>
      </c>
      <c r="C11" s="16" t="n">
        <v>0.5</v>
      </c>
      <c r="D11" s="16" t="n">
        <v>0.35</v>
      </c>
      <c r="E11" s="15" t="n">
        <f aca="false">B11+C11+D11</f>
        <v>1</v>
      </c>
    </row>
    <row r="12" customFormat="false" ht="15" hidden="false" customHeight="false" outlineLevel="0" collapsed="false">
      <c r="A12" s="0" t="s">
        <v>121</v>
      </c>
      <c r="B12" s="16" t="n">
        <v>0.3</v>
      </c>
      <c r="C12" s="16" t="n">
        <v>0.5</v>
      </c>
      <c r="D12" s="16" t="n">
        <v>0.2</v>
      </c>
      <c r="E12" s="15" t="n">
        <f aca="false">B12+C12+D12</f>
        <v>1</v>
      </c>
    </row>
    <row r="13" customFormat="false" ht="15" hidden="false" customHeight="false" outlineLevel="0" collapsed="false">
      <c r="A13" s="0" t="s">
        <v>122</v>
      </c>
      <c r="B13" s="16" t="n">
        <v>0.25</v>
      </c>
      <c r="C13" s="16" t="n">
        <v>0.55</v>
      </c>
      <c r="D13" s="16" t="n">
        <v>0.2</v>
      </c>
      <c r="E13" s="15" t="n">
        <f aca="false">B13+C13+D13</f>
        <v>1</v>
      </c>
    </row>
    <row r="14" customFormat="false" ht="15" hidden="false" customHeight="false" outlineLevel="0" collapsed="false">
      <c r="A14" s="0" t="s">
        <v>123</v>
      </c>
      <c r="B14" s="16" t="n">
        <v>0.1</v>
      </c>
      <c r="C14" s="16" t="n">
        <v>0.4</v>
      </c>
      <c r="D14" s="16" t="n">
        <v>0.5</v>
      </c>
      <c r="E14" s="15" t="n">
        <f aca="false">B14+C14+D14</f>
        <v>1</v>
      </c>
    </row>
    <row r="17" customFormat="false" ht="15" hidden="false" customHeight="false" outlineLevel="0" collapsed="false">
      <c r="A17" s="5" t="s">
        <v>217</v>
      </c>
    </row>
    <row r="18" customFormat="false" ht="15" hidden="false" customHeight="false" outlineLevel="0" collapsed="false">
      <c r="A18" s="4" t="s">
        <v>218</v>
      </c>
      <c r="B18" s="3" t="s">
        <v>219</v>
      </c>
    </row>
    <row r="19" customFormat="false" ht="15" hidden="false" customHeight="false" outlineLevel="0" collapsed="false">
      <c r="A19" s="4" t="s">
        <v>220</v>
      </c>
      <c r="B19" s="3" t="s">
        <v>221</v>
      </c>
    </row>
    <row r="20" customFormat="false" ht="15" hidden="false" customHeight="false" outlineLevel="0" collapsed="false">
      <c r="A20" s="4" t="s">
        <v>222</v>
      </c>
      <c r="B20" s="3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5" min="3" style="0" width="8"/>
    <col collapsed="false" customWidth="true" hidden="false" outlineLevel="0" max="9" min="6" style="0" width="10"/>
  </cols>
  <sheetData>
    <row r="1" customFormat="false" ht="17.35" hidden="false" customHeight="false" outlineLevel="0" collapsed="false">
      <c r="A1" s="1" t="s">
        <v>224</v>
      </c>
    </row>
    <row r="3" customFormat="false" ht="15" hidden="false" customHeight="false" outlineLevel="0" collapsed="false">
      <c r="A3" s="0" t="s">
        <v>225</v>
      </c>
    </row>
    <row r="5" customFormat="false" ht="15" hidden="false" customHeight="false" outlineLevel="0" collapsed="false">
      <c r="A5" s="6" t="s">
        <v>94</v>
      </c>
      <c r="B5" s="6" t="s">
        <v>114</v>
      </c>
      <c r="C5" s="6" t="s">
        <v>226</v>
      </c>
      <c r="D5" s="6" t="s">
        <v>227</v>
      </c>
      <c r="E5" s="6" t="s">
        <v>228</v>
      </c>
      <c r="F5" s="6" t="s">
        <v>213</v>
      </c>
      <c r="G5" s="6" t="s">
        <v>214</v>
      </c>
      <c r="H5" s="6" t="s">
        <v>215</v>
      </c>
      <c r="I5" s="6" t="s">
        <v>229</v>
      </c>
    </row>
    <row r="6" customFormat="false" ht="15" hidden="false" customHeight="false" outlineLevel="0" collapsed="false">
      <c r="A6" s="0" t="s">
        <v>108</v>
      </c>
      <c r="B6" s="0" t="s">
        <v>115</v>
      </c>
      <c r="C6" s="11" t="n">
        <v>12</v>
      </c>
      <c r="D6" s="11" t="n">
        <v>8</v>
      </c>
      <c r="E6" s="11" t="n">
        <v>5</v>
      </c>
      <c r="F6" s="17" t="n">
        <f aca="false">IFERROR(VLOOKUP(B6,'Class Mix'!$A$6:$D$200,2,FALSE()),0)</f>
        <v>0.2</v>
      </c>
      <c r="G6" s="17" t="n">
        <f aca="false">IFERROR(VLOOKUP(B6,'Class Mix'!$A$6:$D$200,3,FALSE()),0)</f>
        <v>0.5</v>
      </c>
      <c r="H6" s="17" t="n">
        <f aca="false">IFERROR(VLOOKUP(B6,'Class Mix'!$A$6:$D$200,4,FALSE()),0)</f>
        <v>0.3</v>
      </c>
      <c r="I6" s="18" t="n">
        <f aca="false">C6*F6+D6*G6+E6*H6</f>
        <v>7.9</v>
      </c>
    </row>
    <row r="7" customFormat="false" ht="15" hidden="false" customHeight="false" outlineLevel="0" collapsed="false">
      <c r="A7" s="0" t="s">
        <v>108</v>
      </c>
      <c r="B7" s="0" t="s">
        <v>116</v>
      </c>
      <c r="C7" s="11" t="n">
        <v>10</v>
      </c>
      <c r="D7" s="11" t="n">
        <v>7</v>
      </c>
      <c r="E7" s="11" t="n">
        <v>4</v>
      </c>
      <c r="F7" s="17" t="n">
        <f aca="false">IFERROR(VLOOKUP(B7,'Class Mix'!$A$6:$D$200,2,FALSE()),0)</f>
        <v>0.3</v>
      </c>
      <c r="G7" s="17" t="n">
        <f aca="false">IFERROR(VLOOKUP(B7,'Class Mix'!$A$6:$D$200,3,FALSE()),0)</f>
        <v>0.5</v>
      </c>
      <c r="H7" s="17" t="n">
        <f aca="false">IFERROR(VLOOKUP(B7,'Class Mix'!$A$6:$D$200,4,FALSE()),0)</f>
        <v>0.2</v>
      </c>
      <c r="I7" s="18" t="n">
        <f aca="false">C7*F7+D7*G7+E7*H7</f>
        <v>7.3</v>
      </c>
    </row>
    <row r="8" customFormat="false" ht="15" hidden="false" customHeight="false" outlineLevel="0" collapsed="false">
      <c r="A8" s="0" t="s">
        <v>108</v>
      </c>
      <c r="B8" s="0" t="s">
        <v>117</v>
      </c>
      <c r="C8" s="11" t="n">
        <v>20</v>
      </c>
      <c r="D8" s="11" t="n">
        <v>12</v>
      </c>
      <c r="E8" s="11" t="n">
        <v>6</v>
      </c>
      <c r="F8" s="17" t="n">
        <f aca="false">IFERROR(VLOOKUP(B8,'Class Mix'!$A$6:$D$200,2,FALSE()),0)</f>
        <v>0.5</v>
      </c>
      <c r="G8" s="17" t="n">
        <f aca="false">IFERROR(VLOOKUP(B8,'Class Mix'!$A$6:$D$200,3,FALSE()),0)</f>
        <v>0.35</v>
      </c>
      <c r="H8" s="17" t="n">
        <f aca="false">IFERROR(VLOOKUP(B8,'Class Mix'!$A$6:$D$200,4,FALSE()),0)</f>
        <v>0.15</v>
      </c>
      <c r="I8" s="18" t="n">
        <f aca="false">C8*F8+D8*G8+E8*H8</f>
        <v>15.1</v>
      </c>
    </row>
    <row r="9" customFormat="false" ht="15" hidden="false" customHeight="false" outlineLevel="0" collapsed="false">
      <c r="A9" s="0" t="s">
        <v>108</v>
      </c>
      <c r="B9" s="0" t="s">
        <v>118</v>
      </c>
      <c r="C9" s="11" t="n">
        <v>200</v>
      </c>
      <c r="D9" s="11" t="n">
        <v>120</v>
      </c>
      <c r="E9" s="11" t="n">
        <v>60</v>
      </c>
      <c r="F9" s="17" t="n">
        <f aca="false">IFERROR(VLOOKUP(B9,'Class Mix'!$A$6:$D$200,2,FALSE()),0)</f>
        <v>0.8</v>
      </c>
      <c r="G9" s="17" t="n">
        <f aca="false">IFERROR(VLOOKUP(B9,'Class Mix'!$A$6:$D$200,3,FALSE()),0)</f>
        <v>0.2</v>
      </c>
      <c r="H9" s="17" t="n">
        <f aca="false">IFERROR(VLOOKUP(B9,'Class Mix'!$A$6:$D$200,4,FALSE()),0)</f>
        <v>0</v>
      </c>
      <c r="I9" s="18" t="n">
        <f aca="false">C9*F9+D9*G9+E9*H9</f>
        <v>184</v>
      </c>
    </row>
    <row r="10" customFormat="false" ht="15" hidden="false" customHeight="false" outlineLevel="0" collapsed="false">
      <c r="A10" s="0" t="s">
        <v>108</v>
      </c>
      <c r="B10" s="0" t="s">
        <v>119</v>
      </c>
      <c r="C10" s="13" t="n">
        <v>6</v>
      </c>
      <c r="D10" s="13" t="n">
        <v>4</v>
      </c>
      <c r="E10" s="13" t="n">
        <v>2</v>
      </c>
      <c r="F10" s="17" t="n">
        <f aca="false">IFERROR(VLOOKUP(B10,'Class Mix'!$A$6:$D$200,2,FALSE()),0)</f>
        <v>0.25</v>
      </c>
      <c r="G10" s="17" t="n">
        <f aca="false">IFERROR(VLOOKUP(B10,'Class Mix'!$A$6:$D$200,3,FALSE()),0)</f>
        <v>0.5</v>
      </c>
      <c r="H10" s="17" t="n">
        <f aca="false">IFERROR(VLOOKUP(B10,'Class Mix'!$A$6:$D$200,4,FALSE()),0)</f>
        <v>0.25</v>
      </c>
      <c r="I10" s="18" t="n">
        <f aca="false">C10*F10+D10*G10+E10*H10</f>
        <v>4</v>
      </c>
    </row>
    <row r="11" customFormat="false" ht="15" hidden="false" customHeight="false" outlineLevel="0" collapsed="false">
      <c r="A11" s="0" t="s">
        <v>108</v>
      </c>
      <c r="B11" s="0" t="s">
        <v>120</v>
      </c>
      <c r="C11" s="13" t="n">
        <v>8</v>
      </c>
      <c r="D11" s="13" t="n">
        <v>5</v>
      </c>
      <c r="E11" s="13" t="n">
        <v>3</v>
      </c>
      <c r="F11" s="17" t="n">
        <f aca="false">IFERROR(VLOOKUP(B11,'Class Mix'!$A$6:$D$200,2,FALSE()),0)</f>
        <v>0.15</v>
      </c>
      <c r="G11" s="17" t="n">
        <f aca="false">IFERROR(VLOOKUP(B11,'Class Mix'!$A$6:$D$200,3,FALSE()),0)</f>
        <v>0.5</v>
      </c>
      <c r="H11" s="17" t="n">
        <f aca="false">IFERROR(VLOOKUP(B11,'Class Mix'!$A$6:$D$200,4,FALSE()),0)</f>
        <v>0.35</v>
      </c>
      <c r="I11" s="18" t="n">
        <f aca="false">C11*F11+D11*G11+E11*H11</f>
        <v>4.75</v>
      </c>
    </row>
    <row r="12" customFormat="false" ht="15" hidden="false" customHeight="false" outlineLevel="0" collapsed="false">
      <c r="A12" s="0" t="s">
        <v>108</v>
      </c>
      <c r="B12" s="0" t="s">
        <v>121</v>
      </c>
      <c r="C12" s="13" t="n">
        <v>10</v>
      </c>
      <c r="D12" s="13" t="n">
        <v>7</v>
      </c>
      <c r="E12" s="13" t="n">
        <v>4</v>
      </c>
      <c r="F12" s="17" t="n">
        <f aca="false">IFERROR(VLOOKUP(B12,'Class Mix'!$A$6:$D$200,2,FALSE()),0)</f>
        <v>0.3</v>
      </c>
      <c r="G12" s="17" t="n">
        <f aca="false">IFERROR(VLOOKUP(B12,'Class Mix'!$A$6:$D$200,3,FALSE()),0)</f>
        <v>0.5</v>
      </c>
      <c r="H12" s="17" t="n">
        <f aca="false">IFERROR(VLOOKUP(B12,'Class Mix'!$A$6:$D$200,4,FALSE()),0)</f>
        <v>0.2</v>
      </c>
      <c r="I12" s="18" t="n">
        <f aca="false">C12*F12+D12*G12+E12*H12</f>
        <v>7.3</v>
      </c>
    </row>
    <row r="13" customFormat="false" ht="15" hidden="false" customHeight="false" outlineLevel="0" collapsed="false">
      <c r="A13" s="0" t="s">
        <v>108</v>
      </c>
      <c r="B13" s="0" t="s">
        <v>122</v>
      </c>
      <c r="C13" s="13" t="n">
        <v>5</v>
      </c>
      <c r="D13" s="13" t="n">
        <v>3</v>
      </c>
      <c r="E13" s="13" t="n">
        <v>2</v>
      </c>
      <c r="F13" s="17" t="n">
        <f aca="false">IFERROR(VLOOKUP(B13,'Class Mix'!$A$6:$D$200,2,FALSE()),0)</f>
        <v>0.25</v>
      </c>
      <c r="G13" s="17" t="n">
        <f aca="false">IFERROR(VLOOKUP(B13,'Class Mix'!$A$6:$D$200,3,FALSE()),0)</f>
        <v>0.55</v>
      </c>
      <c r="H13" s="17" t="n">
        <f aca="false">IFERROR(VLOOKUP(B13,'Class Mix'!$A$6:$D$200,4,FALSE()),0)</f>
        <v>0.2</v>
      </c>
      <c r="I13" s="18" t="n">
        <f aca="false">C13*F13+D13*G13+E13*H13</f>
        <v>3.3</v>
      </c>
    </row>
    <row r="14" customFormat="false" ht="15" hidden="false" customHeight="false" outlineLevel="0" collapsed="false">
      <c r="A14" s="0" t="s">
        <v>108</v>
      </c>
      <c r="B14" s="0" t="s">
        <v>123</v>
      </c>
      <c r="C14" s="13" t="n">
        <v>4</v>
      </c>
      <c r="D14" s="13" t="n">
        <v>3</v>
      </c>
      <c r="E14" s="13" t="n">
        <v>2</v>
      </c>
      <c r="F14" s="17" t="n">
        <f aca="false">IFERROR(VLOOKUP(B14,'Class Mix'!$A$6:$D$200,2,FALSE()),0)</f>
        <v>0.1</v>
      </c>
      <c r="G14" s="17" t="n">
        <f aca="false">IFERROR(VLOOKUP(B14,'Class Mix'!$A$6:$D$200,3,FALSE()),0)</f>
        <v>0.4</v>
      </c>
      <c r="H14" s="17" t="n">
        <f aca="false">IFERROR(VLOOKUP(B14,'Class Mix'!$A$6:$D$200,4,FALSE()),0)</f>
        <v>0.5</v>
      </c>
      <c r="I14" s="18" t="n">
        <f aca="false">C14*F14+D14*G14+E14*H14</f>
        <v>2.6</v>
      </c>
    </row>
    <row r="15" customFormat="false" ht="15" hidden="false" customHeight="false" outlineLevel="0" collapsed="false">
      <c r="A15" s="0" t="s">
        <v>109</v>
      </c>
      <c r="B15" s="0" t="s">
        <v>115</v>
      </c>
      <c r="C15" s="11" t="n">
        <v>10</v>
      </c>
      <c r="D15" s="11" t="n">
        <v>7</v>
      </c>
      <c r="E15" s="11" t="n">
        <v>4</v>
      </c>
      <c r="F15" s="17" t="n">
        <f aca="false">IFERROR(VLOOKUP(B15,'Class Mix'!$A$6:$D$200,2,FALSE()),0)</f>
        <v>0.2</v>
      </c>
      <c r="G15" s="17" t="n">
        <f aca="false">IFERROR(VLOOKUP(B15,'Class Mix'!$A$6:$D$200,3,FALSE()),0)</f>
        <v>0.5</v>
      </c>
      <c r="H15" s="17" t="n">
        <f aca="false">IFERROR(VLOOKUP(B15,'Class Mix'!$A$6:$D$200,4,FALSE()),0)</f>
        <v>0.3</v>
      </c>
      <c r="I15" s="18" t="n">
        <f aca="false">C15*F15+D15*G15+E15*H15</f>
        <v>6.7</v>
      </c>
    </row>
    <row r="16" customFormat="false" ht="15" hidden="false" customHeight="false" outlineLevel="0" collapsed="false">
      <c r="A16" s="0" t="s">
        <v>109</v>
      </c>
      <c r="B16" s="0" t="s">
        <v>116</v>
      </c>
      <c r="C16" s="11" t="n">
        <v>9</v>
      </c>
      <c r="D16" s="11" t="n">
        <v>6</v>
      </c>
      <c r="E16" s="11" t="n">
        <v>4</v>
      </c>
      <c r="F16" s="17" t="n">
        <f aca="false">IFERROR(VLOOKUP(B16,'Class Mix'!$A$6:$D$200,2,FALSE()),0)</f>
        <v>0.3</v>
      </c>
      <c r="G16" s="17" t="n">
        <f aca="false">IFERROR(VLOOKUP(B16,'Class Mix'!$A$6:$D$200,3,FALSE()),0)</f>
        <v>0.5</v>
      </c>
      <c r="H16" s="17" t="n">
        <f aca="false">IFERROR(VLOOKUP(B16,'Class Mix'!$A$6:$D$200,4,FALSE()),0)</f>
        <v>0.2</v>
      </c>
      <c r="I16" s="18" t="n">
        <f aca="false">C16*F16+D16*G16+E16*H16</f>
        <v>6.5</v>
      </c>
    </row>
    <row r="17" customFormat="false" ht="15" hidden="false" customHeight="false" outlineLevel="0" collapsed="false">
      <c r="A17" s="0" t="s">
        <v>109</v>
      </c>
      <c r="B17" s="0" t="s">
        <v>117</v>
      </c>
      <c r="C17" s="11" t="n">
        <v>18</v>
      </c>
      <c r="D17" s="11" t="n">
        <v>11</v>
      </c>
      <c r="E17" s="11" t="n">
        <v>5</v>
      </c>
      <c r="F17" s="17" t="n">
        <f aca="false">IFERROR(VLOOKUP(B17,'Class Mix'!$A$6:$D$200,2,FALSE()),0)</f>
        <v>0.5</v>
      </c>
      <c r="G17" s="17" t="n">
        <f aca="false">IFERROR(VLOOKUP(B17,'Class Mix'!$A$6:$D$200,3,FALSE()),0)</f>
        <v>0.35</v>
      </c>
      <c r="H17" s="17" t="n">
        <f aca="false">IFERROR(VLOOKUP(B17,'Class Mix'!$A$6:$D$200,4,FALSE()),0)</f>
        <v>0.15</v>
      </c>
      <c r="I17" s="18" t="n">
        <f aca="false">C17*F17+D17*G17+E17*H17</f>
        <v>13.6</v>
      </c>
    </row>
    <row r="18" customFormat="false" ht="15" hidden="false" customHeight="false" outlineLevel="0" collapsed="false">
      <c r="A18" s="0" t="s">
        <v>109</v>
      </c>
      <c r="B18" s="0" t="s">
        <v>118</v>
      </c>
      <c r="C18" s="11" t="n">
        <v>180</v>
      </c>
      <c r="D18" s="11" t="n">
        <v>110</v>
      </c>
      <c r="E18" s="11" t="n">
        <v>55</v>
      </c>
      <c r="F18" s="17" t="n">
        <f aca="false">IFERROR(VLOOKUP(B18,'Class Mix'!$A$6:$D$200,2,FALSE()),0)</f>
        <v>0.8</v>
      </c>
      <c r="G18" s="17" t="n">
        <f aca="false">IFERROR(VLOOKUP(B18,'Class Mix'!$A$6:$D$200,3,FALSE()),0)</f>
        <v>0.2</v>
      </c>
      <c r="H18" s="17" t="n">
        <f aca="false">IFERROR(VLOOKUP(B18,'Class Mix'!$A$6:$D$200,4,FALSE()),0)</f>
        <v>0</v>
      </c>
      <c r="I18" s="18" t="n">
        <f aca="false">C18*F18+D18*G18+E18*H18</f>
        <v>166</v>
      </c>
    </row>
    <row r="19" customFormat="false" ht="15" hidden="false" customHeight="false" outlineLevel="0" collapsed="false">
      <c r="A19" s="0" t="s">
        <v>109</v>
      </c>
      <c r="B19" s="0" t="s">
        <v>119</v>
      </c>
      <c r="C19" s="13" t="n">
        <v>6</v>
      </c>
      <c r="D19" s="13" t="n">
        <v>4</v>
      </c>
      <c r="E19" s="13" t="n">
        <v>2</v>
      </c>
      <c r="F19" s="17" t="n">
        <f aca="false">IFERROR(VLOOKUP(B19,'Class Mix'!$A$6:$D$200,2,FALSE()),0)</f>
        <v>0.25</v>
      </c>
      <c r="G19" s="17" t="n">
        <f aca="false">IFERROR(VLOOKUP(B19,'Class Mix'!$A$6:$D$200,3,FALSE()),0)</f>
        <v>0.5</v>
      </c>
      <c r="H19" s="17" t="n">
        <f aca="false">IFERROR(VLOOKUP(B19,'Class Mix'!$A$6:$D$200,4,FALSE()),0)</f>
        <v>0.25</v>
      </c>
      <c r="I19" s="18" t="n">
        <f aca="false">C19*F19+D19*G19+E19*H19</f>
        <v>4</v>
      </c>
    </row>
    <row r="20" customFormat="false" ht="15" hidden="false" customHeight="false" outlineLevel="0" collapsed="false">
      <c r="A20" s="0" t="s">
        <v>109</v>
      </c>
      <c r="B20" s="0" t="s">
        <v>120</v>
      </c>
      <c r="C20" s="13" t="n">
        <v>8</v>
      </c>
      <c r="D20" s="13" t="n">
        <v>5</v>
      </c>
      <c r="E20" s="13" t="n">
        <v>3</v>
      </c>
      <c r="F20" s="17" t="n">
        <f aca="false">IFERROR(VLOOKUP(B20,'Class Mix'!$A$6:$D$200,2,FALSE()),0)</f>
        <v>0.15</v>
      </c>
      <c r="G20" s="17" t="n">
        <f aca="false">IFERROR(VLOOKUP(B20,'Class Mix'!$A$6:$D$200,3,FALSE()),0)</f>
        <v>0.5</v>
      </c>
      <c r="H20" s="17" t="n">
        <f aca="false">IFERROR(VLOOKUP(B20,'Class Mix'!$A$6:$D$200,4,FALSE()),0)</f>
        <v>0.35</v>
      </c>
      <c r="I20" s="18" t="n">
        <f aca="false">C20*F20+D20*G20+E20*H20</f>
        <v>4.75</v>
      </c>
    </row>
    <row r="21" customFormat="false" ht="15" hidden="false" customHeight="false" outlineLevel="0" collapsed="false">
      <c r="A21" s="0" t="s">
        <v>109</v>
      </c>
      <c r="B21" s="0" t="s">
        <v>121</v>
      </c>
      <c r="C21" s="13" t="n">
        <v>10</v>
      </c>
      <c r="D21" s="13" t="n">
        <v>7</v>
      </c>
      <c r="E21" s="13" t="n">
        <v>4</v>
      </c>
      <c r="F21" s="17" t="n">
        <f aca="false">IFERROR(VLOOKUP(B21,'Class Mix'!$A$6:$D$200,2,FALSE()),0)</f>
        <v>0.3</v>
      </c>
      <c r="G21" s="17" t="n">
        <f aca="false">IFERROR(VLOOKUP(B21,'Class Mix'!$A$6:$D$200,3,FALSE()),0)</f>
        <v>0.5</v>
      </c>
      <c r="H21" s="17" t="n">
        <f aca="false">IFERROR(VLOOKUP(B21,'Class Mix'!$A$6:$D$200,4,FALSE()),0)</f>
        <v>0.2</v>
      </c>
      <c r="I21" s="18" t="n">
        <f aca="false">C21*F21+D21*G21+E21*H21</f>
        <v>7.3</v>
      </c>
    </row>
    <row r="22" customFormat="false" ht="15" hidden="false" customHeight="false" outlineLevel="0" collapsed="false">
      <c r="A22" s="0" t="s">
        <v>109</v>
      </c>
      <c r="B22" s="0" t="s">
        <v>122</v>
      </c>
      <c r="C22" s="13" t="n">
        <v>5</v>
      </c>
      <c r="D22" s="13" t="n">
        <v>3</v>
      </c>
      <c r="E22" s="13" t="n">
        <v>2</v>
      </c>
      <c r="F22" s="17" t="n">
        <f aca="false">IFERROR(VLOOKUP(B22,'Class Mix'!$A$6:$D$200,2,FALSE()),0)</f>
        <v>0.25</v>
      </c>
      <c r="G22" s="17" t="n">
        <f aca="false">IFERROR(VLOOKUP(B22,'Class Mix'!$A$6:$D$200,3,FALSE()),0)</f>
        <v>0.55</v>
      </c>
      <c r="H22" s="17" t="n">
        <f aca="false">IFERROR(VLOOKUP(B22,'Class Mix'!$A$6:$D$200,4,FALSE()),0)</f>
        <v>0.2</v>
      </c>
      <c r="I22" s="18" t="n">
        <f aca="false">C22*F22+D22*G22+E22*H22</f>
        <v>3.3</v>
      </c>
    </row>
    <row r="23" customFormat="false" ht="15" hidden="false" customHeight="false" outlineLevel="0" collapsed="false">
      <c r="A23" s="0" t="s">
        <v>109</v>
      </c>
      <c r="B23" s="0" t="s">
        <v>123</v>
      </c>
      <c r="C23" s="13" t="n">
        <v>4</v>
      </c>
      <c r="D23" s="13" t="n">
        <v>3</v>
      </c>
      <c r="E23" s="13" t="n">
        <v>2</v>
      </c>
      <c r="F23" s="17" t="n">
        <f aca="false">IFERROR(VLOOKUP(B23,'Class Mix'!$A$6:$D$200,2,FALSE()),0)</f>
        <v>0.1</v>
      </c>
      <c r="G23" s="17" t="n">
        <f aca="false">IFERROR(VLOOKUP(B23,'Class Mix'!$A$6:$D$200,3,FALSE()),0)</f>
        <v>0.4</v>
      </c>
      <c r="H23" s="17" t="n">
        <f aca="false">IFERROR(VLOOKUP(B23,'Class Mix'!$A$6:$D$200,4,FALSE()),0)</f>
        <v>0.5</v>
      </c>
      <c r="I23" s="18" t="n">
        <f aca="false">C23*F23+D23*G23+E23*H23</f>
        <v>2.6</v>
      </c>
    </row>
    <row r="24" customFormat="false" ht="15" hidden="false" customHeight="false" outlineLevel="0" collapsed="false">
      <c r="A24" s="0" t="s">
        <v>110</v>
      </c>
      <c r="B24" s="0" t="s">
        <v>115</v>
      </c>
      <c r="C24" s="11" t="n">
        <v>14</v>
      </c>
      <c r="D24" s="11" t="n">
        <v>9</v>
      </c>
      <c r="E24" s="11" t="n">
        <v>5</v>
      </c>
      <c r="F24" s="17" t="n">
        <f aca="false">IFERROR(VLOOKUP(B24,'Class Mix'!$A$6:$D$200,2,FALSE()),0)</f>
        <v>0.2</v>
      </c>
      <c r="G24" s="17" t="n">
        <f aca="false">IFERROR(VLOOKUP(B24,'Class Mix'!$A$6:$D$200,3,FALSE()),0)</f>
        <v>0.5</v>
      </c>
      <c r="H24" s="17" t="n">
        <f aca="false">IFERROR(VLOOKUP(B24,'Class Mix'!$A$6:$D$200,4,FALSE()),0)</f>
        <v>0.3</v>
      </c>
      <c r="I24" s="18" t="n">
        <f aca="false">C24*F24+D24*G24+E24*H24</f>
        <v>8.8</v>
      </c>
    </row>
    <row r="25" customFormat="false" ht="15" hidden="false" customHeight="false" outlineLevel="0" collapsed="false">
      <c r="A25" s="0" t="s">
        <v>110</v>
      </c>
      <c r="B25" s="0" t="s">
        <v>116</v>
      </c>
      <c r="C25" s="11" t="n">
        <v>11</v>
      </c>
      <c r="D25" s="11" t="n">
        <v>7</v>
      </c>
      <c r="E25" s="11" t="n">
        <v>4</v>
      </c>
      <c r="F25" s="17" t="n">
        <f aca="false">IFERROR(VLOOKUP(B25,'Class Mix'!$A$6:$D$200,2,FALSE()),0)</f>
        <v>0.3</v>
      </c>
      <c r="G25" s="17" t="n">
        <f aca="false">IFERROR(VLOOKUP(B25,'Class Mix'!$A$6:$D$200,3,FALSE()),0)</f>
        <v>0.5</v>
      </c>
      <c r="H25" s="17" t="n">
        <f aca="false">IFERROR(VLOOKUP(B25,'Class Mix'!$A$6:$D$200,4,FALSE()),0)</f>
        <v>0.2</v>
      </c>
      <c r="I25" s="18" t="n">
        <f aca="false">C25*F25+D25*G25+E25*H25</f>
        <v>7.6</v>
      </c>
    </row>
    <row r="26" customFormat="false" ht="15" hidden="false" customHeight="false" outlineLevel="0" collapsed="false">
      <c r="A26" s="0" t="s">
        <v>110</v>
      </c>
      <c r="B26" s="0" t="s">
        <v>117</v>
      </c>
      <c r="C26" s="11" t="n">
        <v>22</v>
      </c>
      <c r="D26" s="11" t="n">
        <v>13</v>
      </c>
      <c r="E26" s="11" t="n">
        <v>6</v>
      </c>
      <c r="F26" s="17" t="n">
        <f aca="false">IFERROR(VLOOKUP(B26,'Class Mix'!$A$6:$D$200,2,FALSE()),0)</f>
        <v>0.5</v>
      </c>
      <c r="G26" s="17" t="n">
        <f aca="false">IFERROR(VLOOKUP(B26,'Class Mix'!$A$6:$D$200,3,FALSE()),0)</f>
        <v>0.35</v>
      </c>
      <c r="H26" s="17" t="n">
        <f aca="false">IFERROR(VLOOKUP(B26,'Class Mix'!$A$6:$D$200,4,FALSE()),0)</f>
        <v>0.15</v>
      </c>
      <c r="I26" s="18" t="n">
        <f aca="false">C26*F26+D26*G26+E26*H26</f>
        <v>16.45</v>
      </c>
    </row>
    <row r="27" customFormat="false" ht="15" hidden="false" customHeight="false" outlineLevel="0" collapsed="false">
      <c r="A27" s="0" t="s">
        <v>110</v>
      </c>
      <c r="B27" s="0" t="s">
        <v>118</v>
      </c>
      <c r="C27" s="11" t="n">
        <v>220</v>
      </c>
      <c r="D27" s="11" t="n">
        <v>130</v>
      </c>
      <c r="E27" s="11" t="n">
        <v>65</v>
      </c>
      <c r="F27" s="17" t="n">
        <f aca="false">IFERROR(VLOOKUP(B27,'Class Mix'!$A$6:$D$200,2,FALSE()),0)</f>
        <v>0.8</v>
      </c>
      <c r="G27" s="17" t="n">
        <f aca="false">IFERROR(VLOOKUP(B27,'Class Mix'!$A$6:$D$200,3,FALSE()),0)</f>
        <v>0.2</v>
      </c>
      <c r="H27" s="17" t="n">
        <f aca="false">IFERROR(VLOOKUP(B27,'Class Mix'!$A$6:$D$200,4,FALSE()),0)</f>
        <v>0</v>
      </c>
      <c r="I27" s="18" t="n">
        <f aca="false">C27*F27+D27*G27+E27*H27</f>
        <v>202</v>
      </c>
    </row>
    <row r="28" customFormat="false" ht="15" hidden="false" customHeight="false" outlineLevel="0" collapsed="false">
      <c r="A28" s="0" t="s">
        <v>110</v>
      </c>
      <c r="B28" s="0" t="s">
        <v>119</v>
      </c>
      <c r="C28" s="13" t="n">
        <v>6</v>
      </c>
      <c r="D28" s="13" t="n">
        <v>4</v>
      </c>
      <c r="E28" s="13" t="n">
        <v>2</v>
      </c>
      <c r="F28" s="17" t="n">
        <f aca="false">IFERROR(VLOOKUP(B28,'Class Mix'!$A$6:$D$200,2,FALSE()),0)</f>
        <v>0.25</v>
      </c>
      <c r="G28" s="17" t="n">
        <f aca="false">IFERROR(VLOOKUP(B28,'Class Mix'!$A$6:$D$200,3,FALSE()),0)</f>
        <v>0.5</v>
      </c>
      <c r="H28" s="17" t="n">
        <f aca="false">IFERROR(VLOOKUP(B28,'Class Mix'!$A$6:$D$200,4,FALSE()),0)</f>
        <v>0.25</v>
      </c>
      <c r="I28" s="18" t="n">
        <f aca="false">C28*F28+D28*G28+E28*H28</f>
        <v>4</v>
      </c>
    </row>
    <row r="29" customFormat="false" ht="15" hidden="false" customHeight="false" outlineLevel="0" collapsed="false">
      <c r="A29" s="0" t="s">
        <v>110</v>
      </c>
      <c r="B29" s="0" t="s">
        <v>120</v>
      </c>
      <c r="C29" s="13" t="n">
        <v>8</v>
      </c>
      <c r="D29" s="13" t="n">
        <v>5</v>
      </c>
      <c r="E29" s="13" t="n">
        <v>3</v>
      </c>
      <c r="F29" s="17" t="n">
        <f aca="false">IFERROR(VLOOKUP(B29,'Class Mix'!$A$6:$D$200,2,FALSE()),0)</f>
        <v>0.15</v>
      </c>
      <c r="G29" s="17" t="n">
        <f aca="false">IFERROR(VLOOKUP(B29,'Class Mix'!$A$6:$D$200,3,FALSE()),0)</f>
        <v>0.5</v>
      </c>
      <c r="H29" s="17" t="n">
        <f aca="false">IFERROR(VLOOKUP(B29,'Class Mix'!$A$6:$D$200,4,FALSE()),0)</f>
        <v>0.35</v>
      </c>
      <c r="I29" s="18" t="n">
        <f aca="false">C29*F29+D29*G29+E29*H29</f>
        <v>4.75</v>
      </c>
    </row>
    <row r="30" customFormat="false" ht="15" hidden="false" customHeight="false" outlineLevel="0" collapsed="false">
      <c r="A30" s="0" t="s">
        <v>110</v>
      </c>
      <c r="B30" s="0" t="s">
        <v>121</v>
      </c>
      <c r="C30" s="13" t="n">
        <v>10</v>
      </c>
      <c r="D30" s="13" t="n">
        <v>7</v>
      </c>
      <c r="E30" s="13" t="n">
        <v>4</v>
      </c>
      <c r="F30" s="17" t="n">
        <f aca="false">IFERROR(VLOOKUP(B30,'Class Mix'!$A$6:$D$200,2,FALSE()),0)</f>
        <v>0.3</v>
      </c>
      <c r="G30" s="17" t="n">
        <f aca="false">IFERROR(VLOOKUP(B30,'Class Mix'!$A$6:$D$200,3,FALSE()),0)</f>
        <v>0.5</v>
      </c>
      <c r="H30" s="17" t="n">
        <f aca="false">IFERROR(VLOOKUP(B30,'Class Mix'!$A$6:$D$200,4,FALSE()),0)</f>
        <v>0.2</v>
      </c>
      <c r="I30" s="18" t="n">
        <f aca="false">C30*F30+D30*G30+E30*H30</f>
        <v>7.3</v>
      </c>
    </row>
    <row r="31" customFormat="false" ht="15" hidden="false" customHeight="false" outlineLevel="0" collapsed="false">
      <c r="A31" s="0" t="s">
        <v>110</v>
      </c>
      <c r="B31" s="0" t="s">
        <v>122</v>
      </c>
      <c r="C31" s="13" t="n">
        <v>5</v>
      </c>
      <c r="D31" s="13" t="n">
        <v>3</v>
      </c>
      <c r="E31" s="13" t="n">
        <v>2</v>
      </c>
      <c r="F31" s="17" t="n">
        <f aca="false">IFERROR(VLOOKUP(B31,'Class Mix'!$A$6:$D$200,2,FALSE()),0)</f>
        <v>0.25</v>
      </c>
      <c r="G31" s="17" t="n">
        <f aca="false">IFERROR(VLOOKUP(B31,'Class Mix'!$A$6:$D$200,3,FALSE()),0)</f>
        <v>0.55</v>
      </c>
      <c r="H31" s="17" t="n">
        <f aca="false">IFERROR(VLOOKUP(B31,'Class Mix'!$A$6:$D$200,4,FALSE()),0)</f>
        <v>0.2</v>
      </c>
      <c r="I31" s="18" t="n">
        <f aca="false">C31*F31+D31*G31+E31*H31</f>
        <v>3.3</v>
      </c>
    </row>
    <row r="32" customFormat="false" ht="15" hidden="false" customHeight="false" outlineLevel="0" collapsed="false">
      <c r="A32" s="0" t="s">
        <v>110</v>
      </c>
      <c r="B32" s="0" t="s">
        <v>123</v>
      </c>
      <c r="C32" s="13" t="n">
        <v>4</v>
      </c>
      <c r="D32" s="13" t="n">
        <v>3</v>
      </c>
      <c r="E32" s="13" t="n">
        <v>2</v>
      </c>
      <c r="F32" s="17" t="n">
        <f aca="false">IFERROR(VLOOKUP(B32,'Class Mix'!$A$6:$D$200,2,FALSE()),0)</f>
        <v>0.1</v>
      </c>
      <c r="G32" s="17" t="n">
        <f aca="false">IFERROR(VLOOKUP(B32,'Class Mix'!$A$6:$D$200,3,FALSE()),0)</f>
        <v>0.4</v>
      </c>
      <c r="H32" s="17" t="n">
        <f aca="false">IFERROR(VLOOKUP(B32,'Class Mix'!$A$6:$D$200,4,FALSE()),0)</f>
        <v>0.5</v>
      </c>
      <c r="I32" s="18" t="n">
        <f aca="false">C32*F32+D32*G32+E32*H32</f>
        <v>2.6</v>
      </c>
    </row>
    <row r="33" customFormat="false" ht="15" hidden="false" customHeight="false" outlineLevel="0" collapsed="false">
      <c r="A33" s="0" t="s">
        <v>111</v>
      </c>
      <c r="B33" s="0" t="s">
        <v>115</v>
      </c>
      <c r="C33" s="11" t="n">
        <v>8</v>
      </c>
      <c r="D33" s="11" t="n">
        <v>5</v>
      </c>
      <c r="E33" s="11" t="n">
        <v>3</v>
      </c>
      <c r="F33" s="17" t="n">
        <f aca="false">IFERROR(VLOOKUP(B33,'Class Mix'!$A$6:$D$200,2,FALSE()),0)</f>
        <v>0.2</v>
      </c>
      <c r="G33" s="17" t="n">
        <f aca="false">IFERROR(VLOOKUP(B33,'Class Mix'!$A$6:$D$200,3,FALSE()),0)</f>
        <v>0.5</v>
      </c>
      <c r="H33" s="17" t="n">
        <f aca="false">IFERROR(VLOOKUP(B33,'Class Mix'!$A$6:$D$200,4,FALSE()),0)</f>
        <v>0.3</v>
      </c>
      <c r="I33" s="18" t="n">
        <f aca="false">C33*F33+D33*G33+E33*H33</f>
        <v>5</v>
      </c>
    </row>
    <row r="34" customFormat="false" ht="15" hidden="false" customHeight="false" outlineLevel="0" collapsed="false">
      <c r="A34" s="0" t="s">
        <v>111</v>
      </c>
      <c r="B34" s="0" t="s">
        <v>116</v>
      </c>
      <c r="C34" s="11" t="n">
        <v>8</v>
      </c>
      <c r="D34" s="11" t="n">
        <v>5</v>
      </c>
      <c r="E34" s="11" t="n">
        <v>3</v>
      </c>
      <c r="F34" s="17" t="n">
        <f aca="false">IFERROR(VLOOKUP(B34,'Class Mix'!$A$6:$D$200,2,FALSE()),0)</f>
        <v>0.3</v>
      </c>
      <c r="G34" s="17" t="n">
        <f aca="false">IFERROR(VLOOKUP(B34,'Class Mix'!$A$6:$D$200,3,FALSE()),0)</f>
        <v>0.5</v>
      </c>
      <c r="H34" s="17" t="n">
        <f aca="false">IFERROR(VLOOKUP(B34,'Class Mix'!$A$6:$D$200,4,FALSE()),0)</f>
        <v>0.2</v>
      </c>
      <c r="I34" s="18" t="n">
        <f aca="false">C34*F34+D34*G34+E34*H34</f>
        <v>5.5</v>
      </c>
    </row>
    <row r="35" customFormat="false" ht="15" hidden="false" customHeight="false" outlineLevel="0" collapsed="false">
      <c r="A35" s="0" t="s">
        <v>111</v>
      </c>
      <c r="B35" s="0" t="s">
        <v>117</v>
      </c>
      <c r="C35" s="11" t="n">
        <v>15</v>
      </c>
      <c r="D35" s="11" t="n">
        <v>10</v>
      </c>
      <c r="E35" s="11" t="n">
        <v>5</v>
      </c>
      <c r="F35" s="17" t="n">
        <f aca="false">IFERROR(VLOOKUP(B35,'Class Mix'!$A$6:$D$200,2,FALSE()),0)</f>
        <v>0.5</v>
      </c>
      <c r="G35" s="17" t="n">
        <f aca="false">IFERROR(VLOOKUP(B35,'Class Mix'!$A$6:$D$200,3,FALSE()),0)</f>
        <v>0.35</v>
      </c>
      <c r="H35" s="17" t="n">
        <f aca="false">IFERROR(VLOOKUP(B35,'Class Mix'!$A$6:$D$200,4,FALSE()),0)</f>
        <v>0.15</v>
      </c>
      <c r="I35" s="18" t="n">
        <f aca="false">C35*F35+D35*G35+E35*H35</f>
        <v>11.75</v>
      </c>
    </row>
    <row r="36" customFormat="false" ht="15" hidden="false" customHeight="false" outlineLevel="0" collapsed="false">
      <c r="A36" s="0" t="s">
        <v>111</v>
      </c>
      <c r="B36" s="0" t="s">
        <v>118</v>
      </c>
      <c r="C36" s="11" t="n">
        <v>180</v>
      </c>
      <c r="D36" s="11" t="n">
        <v>100</v>
      </c>
      <c r="E36" s="11" t="n">
        <v>50</v>
      </c>
      <c r="F36" s="17" t="n">
        <f aca="false">IFERROR(VLOOKUP(B36,'Class Mix'!$A$6:$D$200,2,FALSE()),0)</f>
        <v>0.8</v>
      </c>
      <c r="G36" s="17" t="n">
        <f aca="false">IFERROR(VLOOKUP(B36,'Class Mix'!$A$6:$D$200,3,FALSE()),0)</f>
        <v>0.2</v>
      </c>
      <c r="H36" s="17" t="n">
        <f aca="false">IFERROR(VLOOKUP(B36,'Class Mix'!$A$6:$D$200,4,FALSE()),0)</f>
        <v>0</v>
      </c>
      <c r="I36" s="18" t="n">
        <f aca="false">C36*F36+D36*G36+E36*H36</f>
        <v>164</v>
      </c>
    </row>
    <row r="37" customFormat="false" ht="15" hidden="false" customHeight="false" outlineLevel="0" collapsed="false">
      <c r="A37" s="0" t="s">
        <v>111</v>
      </c>
      <c r="B37" s="0" t="s">
        <v>119</v>
      </c>
      <c r="C37" s="13" t="n">
        <v>8</v>
      </c>
      <c r="D37" s="13" t="n">
        <v>5</v>
      </c>
      <c r="E37" s="13" t="n">
        <v>3</v>
      </c>
      <c r="F37" s="17" t="n">
        <f aca="false">IFERROR(VLOOKUP(B37,'Class Mix'!$A$6:$D$200,2,FALSE()),0)</f>
        <v>0.25</v>
      </c>
      <c r="G37" s="17" t="n">
        <f aca="false">IFERROR(VLOOKUP(B37,'Class Mix'!$A$6:$D$200,3,FALSE()),0)</f>
        <v>0.5</v>
      </c>
      <c r="H37" s="17" t="n">
        <f aca="false">IFERROR(VLOOKUP(B37,'Class Mix'!$A$6:$D$200,4,FALSE()),0)</f>
        <v>0.25</v>
      </c>
      <c r="I37" s="18" t="n">
        <f aca="false">C37*F37+D37*G37+E37*H37</f>
        <v>5.25</v>
      </c>
    </row>
    <row r="38" customFormat="false" ht="15" hidden="false" customHeight="false" outlineLevel="0" collapsed="false">
      <c r="A38" s="0" t="s">
        <v>111</v>
      </c>
      <c r="B38" s="0" t="s">
        <v>120</v>
      </c>
      <c r="C38" s="13" t="n">
        <v>12</v>
      </c>
      <c r="D38" s="13" t="n">
        <v>8</v>
      </c>
      <c r="E38" s="13" t="n">
        <v>4</v>
      </c>
      <c r="F38" s="17" t="n">
        <f aca="false">IFERROR(VLOOKUP(B38,'Class Mix'!$A$6:$D$200,2,FALSE()),0)</f>
        <v>0.15</v>
      </c>
      <c r="G38" s="17" t="n">
        <f aca="false">IFERROR(VLOOKUP(B38,'Class Mix'!$A$6:$D$200,3,FALSE()),0)</f>
        <v>0.5</v>
      </c>
      <c r="H38" s="17" t="n">
        <f aca="false">IFERROR(VLOOKUP(B38,'Class Mix'!$A$6:$D$200,4,FALSE()),0)</f>
        <v>0.35</v>
      </c>
      <c r="I38" s="18" t="n">
        <f aca="false">C38*F38+D38*G38+E38*H38</f>
        <v>7.2</v>
      </c>
    </row>
    <row r="39" customFormat="false" ht="15" hidden="false" customHeight="false" outlineLevel="0" collapsed="false">
      <c r="A39" s="0" t="s">
        <v>111</v>
      </c>
      <c r="B39" s="0" t="s">
        <v>121</v>
      </c>
      <c r="C39" s="13" t="n">
        <v>12</v>
      </c>
      <c r="D39" s="13" t="n">
        <v>8</v>
      </c>
      <c r="E39" s="13" t="n">
        <v>5</v>
      </c>
      <c r="F39" s="17" t="n">
        <f aca="false">IFERROR(VLOOKUP(B39,'Class Mix'!$A$6:$D$200,2,FALSE()),0)</f>
        <v>0.3</v>
      </c>
      <c r="G39" s="17" t="n">
        <f aca="false">IFERROR(VLOOKUP(B39,'Class Mix'!$A$6:$D$200,3,FALSE()),0)</f>
        <v>0.5</v>
      </c>
      <c r="H39" s="17" t="n">
        <f aca="false">IFERROR(VLOOKUP(B39,'Class Mix'!$A$6:$D$200,4,FALSE()),0)</f>
        <v>0.2</v>
      </c>
      <c r="I39" s="18" t="n">
        <f aca="false">C39*F39+D39*G39+E39*H39</f>
        <v>8.6</v>
      </c>
    </row>
    <row r="40" customFormat="false" ht="15" hidden="false" customHeight="false" outlineLevel="0" collapsed="false">
      <c r="A40" s="0" t="s">
        <v>111</v>
      </c>
      <c r="B40" s="0" t="s">
        <v>122</v>
      </c>
      <c r="C40" s="13" t="n">
        <v>3</v>
      </c>
      <c r="D40" s="13" t="n">
        <v>2</v>
      </c>
      <c r="E40" s="13" t="n">
        <v>1</v>
      </c>
      <c r="F40" s="17" t="n">
        <f aca="false">IFERROR(VLOOKUP(B40,'Class Mix'!$A$6:$D$200,2,FALSE()),0)</f>
        <v>0.25</v>
      </c>
      <c r="G40" s="17" t="n">
        <f aca="false">IFERROR(VLOOKUP(B40,'Class Mix'!$A$6:$D$200,3,FALSE()),0)</f>
        <v>0.55</v>
      </c>
      <c r="H40" s="17" t="n">
        <f aca="false">IFERROR(VLOOKUP(B40,'Class Mix'!$A$6:$D$200,4,FALSE()),0)</f>
        <v>0.2</v>
      </c>
      <c r="I40" s="18" t="n">
        <f aca="false">C40*F40+D40*G40+E40*H40</f>
        <v>2.05</v>
      </c>
    </row>
    <row r="41" customFormat="false" ht="15" hidden="false" customHeight="false" outlineLevel="0" collapsed="false">
      <c r="A41" s="0" t="s">
        <v>111</v>
      </c>
      <c r="B41" s="0" t="s">
        <v>123</v>
      </c>
      <c r="C41" s="13" t="n">
        <v>3</v>
      </c>
      <c r="D41" s="13" t="n">
        <v>2</v>
      </c>
      <c r="E41" s="13" t="n">
        <v>1</v>
      </c>
      <c r="F41" s="17" t="n">
        <f aca="false">IFERROR(VLOOKUP(B41,'Class Mix'!$A$6:$D$200,2,FALSE()),0)</f>
        <v>0.1</v>
      </c>
      <c r="G41" s="17" t="n">
        <f aca="false">IFERROR(VLOOKUP(B41,'Class Mix'!$A$6:$D$200,3,FALSE()),0)</f>
        <v>0.4</v>
      </c>
      <c r="H41" s="17" t="n">
        <f aca="false">IFERROR(VLOOKUP(B41,'Class Mix'!$A$6:$D$200,4,FALSE()),0)</f>
        <v>0.5</v>
      </c>
      <c r="I41" s="18" t="n">
        <f aca="false">C41*F41+D41*G41+E41*H41</f>
        <v>1.6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P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4" min="4" style="0" width="10"/>
    <col collapsed="false" customWidth="true" hidden="false" outlineLevel="0" max="68" min="5" style="0" width="11"/>
  </cols>
  <sheetData>
    <row r="1" customFormat="false" ht="17.35" hidden="false" customHeight="false" outlineLevel="0" collapsed="false">
      <c r="A1" s="1" t="s">
        <v>230</v>
      </c>
    </row>
    <row r="3" customFormat="false" ht="15" hidden="false" customHeight="false" outlineLevel="0" collapsed="false">
      <c r="A3" s="0" t="s">
        <v>231</v>
      </c>
    </row>
    <row r="4" customFormat="false" ht="15" hidden="false" customHeight="false" outlineLevel="0" collapsed="false">
      <c r="E4" s="19" t="s">
        <v>232</v>
      </c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20" t="s">
        <v>233</v>
      </c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20"/>
      <c r="BG4" s="20"/>
      <c r="BH4" s="20"/>
      <c r="BI4" s="20"/>
      <c r="BJ4" s="20"/>
      <c r="BK4" s="20"/>
      <c r="BL4" s="20"/>
      <c r="BM4" s="20"/>
      <c r="BN4" s="20"/>
      <c r="BO4" s="20"/>
      <c r="BP4" s="20"/>
    </row>
    <row r="5" customFormat="false" ht="15" hidden="false" customHeight="false" outlineLevel="0" collapsed="false">
      <c r="A5" s="6" t="s">
        <v>234</v>
      </c>
      <c r="B5" s="6" t="s">
        <v>125</v>
      </c>
      <c r="C5" s="6" t="s">
        <v>114</v>
      </c>
      <c r="D5" s="6" t="s">
        <v>107</v>
      </c>
      <c r="E5" s="21" t="s">
        <v>95</v>
      </c>
      <c r="F5" s="21" t="s">
        <v>96</v>
      </c>
      <c r="G5" s="21" t="s">
        <v>97</v>
      </c>
      <c r="H5" s="21" t="s">
        <v>98</v>
      </c>
      <c r="I5" s="21" t="s">
        <v>99</v>
      </c>
      <c r="J5" s="21" t="s">
        <v>100</v>
      </c>
      <c r="K5" s="21" t="s">
        <v>101</v>
      </c>
      <c r="L5" s="21" t="s">
        <v>102</v>
      </c>
      <c r="M5" s="21" t="s">
        <v>103</v>
      </c>
      <c r="N5" s="21" t="s">
        <v>104</v>
      </c>
      <c r="O5" s="21" t="s">
        <v>105</v>
      </c>
      <c r="P5" s="21" t="s">
        <v>106</v>
      </c>
      <c r="Q5" s="21" t="s">
        <v>140</v>
      </c>
      <c r="R5" s="21" t="s">
        <v>141</v>
      </c>
      <c r="S5" s="21" t="s">
        <v>142</v>
      </c>
      <c r="T5" s="21" t="s">
        <v>143</v>
      </c>
      <c r="U5" s="21" t="s">
        <v>144</v>
      </c>
      <c r="V5" s="21" t="s">
        <v>145</v>
      </c>
      <c r="W5" s="21" t="s">
        <v>146</v>
      </c>
      <c r="X5" s="21" t="s">
        <v>147</v>
      </c>
      <c r="Y5" s="21" t="s">
        <v>148</v>
      </c>
      <c r="Z5" s="21" t="s">
        <v>149</v>
      </c>
      <c r="AA5" s="21" t="s">
        <v>150</v>
      </c>
      <c r="AB5" s="21" t="s">
        <v>151</v>
      </c>
      <c r="AC5" s="21" t="s">
        <v>152</v>
      </c>
      <c r="AD5" s="21" t="s">
        <v>153</v>
      </c>
      <c r="AE5" s="21" t="s">
        <v>154</v>
      </c>
      <c r="AF5" s="21" t="s">
        <v>155</v>
      </c>
      <c r="AG5" s="21" t="s">
        <v>156</v>
      </c>
      <c r="AH5" s="21" t="s">
        <v>157</v>
      </c>
      <c r="AI5" s="21" t="s">
        <v>158</v>
      </c>
      <c r="AJ5" s="21" t="s">
        <v>159</v>
      </c>
      <c r="AK5" s="21" t="s">
        <v>160</v>
      </c>
      <c r="AL5" s="21" t="s">
        <v>161</v>
      </c>
      <c r="AM5" s="21" t="s">
        <v>162</v>
      </c>
      <c r="AN5" s="21" t="s">
        <v>163</v>
      </c>
      <c r="AO5" s="21" t="s">
        <v>164</v>
      </c>
      <c r="AP5" s="21" t="s">
        <v>165</v>
      </c>
      <c r="AQ5" s="21" t="s">
        <v>166</v>
      </c>
      <c r="AR5" s="21" t="s">
        <v>167</v>
      </c>
      <c r="AS5" s="21" t="s">
        <v>168</v>
      </c>
      <c r="AT5" s="21" t="s">
        <v>169</v>
      </c>
      <c r="AU5" s="21" t="s">
        <v>170</v>
      </c>
      <c r="AV5" s="21" t="s">
        <v>171</v>
      </c>
      <c r="AW5" s="21" t="s">
        <v>172</v>
      </c>
      <c r="AX5" s="21" t="s">
        <v>173</v>
      </c>
      <c r="AY5" s="21" t="s">
        <v>174</v>
      </c>
      <c r="AZ5" s="21" t="s">
        <v>175</v>
      </c>
      <c r="BA5" s="21" t="s">
        <v>176</v>
      </c>
      <c r="BB5" s="21" t="s">
        <v>177</v>
      </c>
      <c r="BC5" s="21" t="s">
        <v>178</v>
      </c>
      <c r="BD5" s="21" t="s">
        <v>179</v>
      </c>
      <c r="BE5" s="21" t="s">
        <v>180</v>
      </c>
      <c r="BF5" s="21" t="s">
        <v>181</v>
      </c>
      <c r="BG5" s="21" t="s">
        <v>182</v>
      </c>
      <c r="BH5" s="21" t="s">
        <v>183</v>
      </c>
      <c r="BI5" s="21" t="s">
        <v>184</v>
      </c>
      <c r="BJ5" s="21" t="s">
        <v>185</v>
      </c>
      <c r="BK5" s="21" t="s">
        <v>186</v>
      </c>
      <c r="BL5" s="21" t="s">
        <v>187</v>
      </c>
      <c r="BM5" s="21" t="s">
        <v>188</v>
      </c>
      <c r="BN5" s="21" t="s">
        <v>189</v>
      </c>
      <c r="BO5" s="21" t="s">
        <v>190</v>
      </c>
      <c r="BP5" s="21" t="s">
        <v>191</v>
      </c>
    </row>
    <row r="6" customFormat="false" ht="15" hidden="false" customHeight="false" outlineLevel="0" collapsed="false">
      <c r="A6" s="0" t="s">
        <v>235</v>
      </c>
      <c r="B6" s="0" t="s">
        <v>126</v>
      </c>
      <c r="C6" s="0" t="s">
        <v>115</v>
      </c>
      <c r="D6" s="0" t="n">
        <f aca="false">SUM(Q6:BP6)</f>
        <v>7930</v>
      </c>
      <c r="E6" s="22" t="n">
        <v>80</v>
      </c>
      <c r="F6" s="22" t="n">
        <v>95</v>
      </c>
      <c r="G6" s="22" t="n">
        <v>110</v>
      </c>
      <c r="H6" s="22" t="n">
        <v>125</v>
      </c>
      <c r="I6" s="22" t="n">
        <v>140</v>
      </c>
      <c r="J6" s="22" t="n">
        <v>155</v>
      </c>
      <c r="K6" s="22" t="n">
        <v>170</v>
      </c>
      <c r="L6" s="22" t="n">
        <v>180</v>
      </c>
      <c r="M6" s="22" t="n">
        <v>190</v>
      </c>
      <c r="N6" s="22" t="n">
        <v>195</v>
      </c>
      <c r="O6" s="22" t="n">
        <v>200</v>
      </c>
      <c r="P6" s="22" t="n">
        <v>200</v>
      </c>
      <c r="Q6" s="7" t="n">
        <f aca="false">$E6</f>
        <v>80</v>
      </c>
      <c r="R6" s="7" t="n">
        <f aca="false">$E6</f>
        <v>80</v>
      </c>
      <c r="S6" s="7" t="n">
        <f aca="false">$E6</f>
        <v>80</v>
      </c>
      <c r="T6" s="7" t="n">
        <f aca="false">$E6</f>
        <v>80</v>
      </c>
      <c r="U6" s="7" t="n">
        <f aca="false">$E6</f>
        <v>80</v>
      </c>
      <c r="V6" s="7" t="n">
        <f aca="false">$F6</f>
        <v>95</v>
      </c>
      <c r="W6" s="7" t="n">
        <f aca="false">$F6</f>
        <v>95</v>
      </c>
      <c r="X6" s="7" t="n">
        <f aca="false">$F6</f>
        <v>95</v>
      </c>
      <c r="Y6" s="7" t="n">
        <f aca="false">$F6</f>
        <v>95</v>
      </c>
      <c r="Z6" s="7" t="n">
        <f aca="false">$G6</f>
        <v>110</v>
      </c>
      <c r="AA6" s="7" t="n">
        <f aca="false">$G6</f>
        <v>110</v>
      </c>
      <c r="AB6" s="7" t="n">
        <f aca="false">$G6</f>
        <v>110</v>
      </c>
      <c r="AC6" s="7" t="n">
        <f aca="false">$G6</f>
        <v>110</v>
      </c>
      <c r="AD6" s="7" t="n">
        <f aca="false">$H6</f>
        <v>125</v>
      </c>
      <c r="AE6" s="7" t="n">
        <f aca="false">$H6</f>
        <v>125</v>
      </c>
      <c r="AF6" s="7" t="n">
        <f aca="false">$H6</f>
        <v>125</v>
      </c>
      <c r="AG6" s="7" t="n">
        <f aca="false">$H6</f>
        <v>125</v>
      </c>
      <c r="AH6" s="7" t="n">
        <f aca="false">$H6</f>
        <v>125</v>
      </c>
      <c r="AI6" s="7" t="n">
        <f aca="false">$I6</f>
        <v>140</v>
      </c>
      <c r="AJ6" s="7" t="n">
        <f aca="false">$I6</f>
        <v>140</v>
      </c>
      <c r="AK6" s="7" t="n">
        <f aca="false">$I6</f>
        <v>140</v>
      </c>
      <c r="AL6" s="7" t="n">
        <f aca="false">$I6</f>
        <v>140</v>
      </c>
      <c r="AM6" s="7" t="n">
        <f aca="false">$J6</f>
        <v>155</v>
      </c>
      <c r="AN6" s="7" t="n">
        <f aca="false">$J6</f>
        <v>155</v>
      </c>
      <c r="AO6" s="7" t="n">
        <f aca="false">$J6</f>
        <v>155</v>
      </c>
      <c r="AP6" s="7" t="n">
        <f aca="false">$J6</f>
        <v>155</v>
      </c>
      <c r="AQ6" s="7" t="n">
        <f aca="false">$K6</f>
        <v>170</v>
      </c>
      <c r="AR6" s="7" t="n">
        <f aca="false">$K6</f>
        <v>170</v>
      </c>
      <c r="AS6" s="7" t="n">
        <f aca="false">$K6</f>
        <v>170</v>
      </c>
      <c r="AT6" s="7" t="n">
        <f aca="false">$K6</f>
        <v>170</v>
      </c>
      <c r="AU6" s="7" t="n">
        <f aca="false">$K6</f>
        <v>170</v>
      </c>
      <c r="AV6" s="7" t="n">
        <f aca="false">$L6</f>
        <v>180</v>
      </c>
      <c r="AW6" s="7" t="n">
        <f aca="false">$L6</f>
        <v>180</v>
      </c>
      <c r="AX6" s="7" t="n">
        <f aca="false">$L6</f>
        <v>180</v>
      </c>
      <c r="AY6" s="7" t="n">
        <f aca="false">$L6</f>
        <v>180</v>
      </c>
      <c r="AZ6" s="7" t="n">
        <f aca="false">$M6</f>
        <v>190</v>
      </c>
      <c r="BA6" s="7" t="n">
        <f aca="false">$M6</f>
        <v>190</v>
      </c>
      <c r="BB6" s="7" t="n">
        <f aca="false">$M6</f>
        <v>190</v>
      </c>
      <c r="BC6" s="7" t="n">
        <f aca="false">$M6</f>
        <v>190</v>
      </c>
      <c r="BD6" s="7" t="n">
        <f aca="false">$N6</f>
        <v>195</v>
      </c>
      <c r="BE6" s="7" t="n">
        <f aca="false">$N6</f>
        <v>195</v>
      </c>
      <c r="BF6" s="7" t="n">
        <f aca="false">$N6</f>
        <v>195</v>
      </c>
      <c r="BG6" s="7" t="n">
        <f aca="false">$N6</f>
        <v>195</v>
      </c>
      <c r="BH6" s="7" t="n">
        <f aca="false">$N6</f>
        <v>195</v>
      </c>
      <c r="BI6" s="7" t="n">
        <f aca="false">$O6</f>
        <v>200</v>
      </c>
      <c r="BJ6" s="7" t="n">
        <f aca="false">$O6</f>
        <v>200</v>
      </c>
      <c r="BK6" s="7" t="n">
        <f aca="false">$O6</f>
        <v>200</v>
      </c>
      <c r="BL6" s="7" t="n">
        <f aca="false">$O6</f>
        <v>200</v>
      </c>
      <c r="BM6" s="7" t="n">
        <f aca="false">$P6</f>
        <v>200</v>
      </c>
      <c r="BN6" s="7" t="n">
        <f aca="false">$P6</f>
        <v>200</v>
      </c>
      <c r="BO6" s="7" t="n">
        <f aca="false">$P6</f>
        <v>200</v>
      </c>
      <c r="BP6" s="7" t="n">
        <f aca="false">$P6</f>
        <v>200</v>
      </c>
    </row>
    <row r="7" customFormat="false" ht="15" hidden="false" customHeight="false" outlineLevel="0" collapsed="false">
      <c r="A7" s="0" t="s">
        <v>235</v>
      </c>
      <c r="B7" s="0" t="s">
        <v>126</v>
      </c>
      <c r="C7" s="0" t="s">
        <v>116</v>
      </c>
      <c r="D7" s="0" t="n">
        <f aca="false">SUM(Q7:BP7)</f>
        <v>1937</v>
      </c>
      <c r="E7" s="22" t="n">
        <v>10</v>
      </c>
      <c r="F7" s="22" t="n">
        <v>15</v>
      </c>
      <c r="G7" s="22" t="n">
        <v>20</v>
      </c>
      <c r="H7" s="22" t="n">
        <v>25</v>
      </c>
      <c r="I7" s="22" t="n">
        <v>30</v>
      </c>
      <c r="J7" s="22" t="n">
        <v>35</v>
      </c>
      <c r="K7" s="22" t="n">
        <v>42</v>
      </c>
      <c r="L7" s="22" t="n">
        <v>48</v>
      </c>
      <c r="M7" s="22" t="n">
        <v>52</v>
      </c>
      <c r="N7" s="22" t="n">
        <v>56</v>
      </c>
      <c r="O7" s="22" t="n">
        <v>58</v>
      </c>
      <c r="P7" s="22" t="n">
        <v>60</v>
      </c>
      <c r="Q7" s="7" t="n">
        <f aca="false">$E7</f>
        <v>10</v>
      </c>
      <c r="R7" s="7" t="n">
        <f aca="false">$E7</f>
        <v>10</v>
      </c>
      <c r="S7" s="7" t="n">
        <f aca="false">$E7</f>
        <v>10</v>
      </c>
      <c r="T7" s="7" t="n">
        <f aca="false">$E7</f>
        <v>10</v>
      </c>
      <c r="U7" s="7" t="n">
        <f aca="false">$E7</f>
        <v>10</v>
      </c>
      <c r="V7" s="7" t="n">
        <f aca="false">$F7</f>
        <v>15</v>
      </c>
      <c r="W7" s="7" t="n">
        <f aca="false">$F7</f>
        <v>15</v>
      </c>
      <c r="X7" s="7" t="n">
        <f aca="false">$F7</f>
        <v>15</v>
      </c>
      <c r="Y7" s="7" t="n">
        <f aca="false">$F7</f>
        <v>15</v>
      </c>
      <c r="Z7" s="7" t="n">
        <f aca="false">$G7</f>
        <v>20</v>
      </c>
      <c r="AA7" s="7" t="n">
        <f aca="false">$G7</f>
        <v>20</v>
      </c>
      <c r="AB7" s="7" t="n">
        <f aca="false">$G7</f>
        <v>20</v>
      </c>
      <c r="AC7" s="7" t="n">
        <f aca="false">$G7</f>
        <v>20</v>
      </c>
      <c r="AD7" s="7" t="n">
        <f aca="false">$H7</f>
        <v>25</v>
      </c>
      <c r="AE7" s="7" t="n">
        <f aca="false">$H7</f>
        <v>25</v>
      </c>
      <c r="AF7" s="7" t="n">
        <f aca="false">$H7</f>
        <v>25</v>
      </c>
      <c r="AG7" s="7" t="n">
        <f aca="false">$H7</f>
        <v>25</v>
      </c>
      <c r="AH7" s="7" t="n">
        <f aca="false">$H7</f>
        <v>25</v>
      </c>
      <c r="AI7" s="7" t="n">
        <f aca="false">$I7</f>
        <v>30</v>
      </c>
      <c r="AJ7" s="7" t="n">
        <f aca="false">$I7</f>
        <v>30</v>
      </c>
      <c r="AK7" s="7" t="n">
        <f aca="false">$I7</f>
        <v>30</v>
      </c>
      <c r="AL7" s="7" t="n">
        <f aca="false">$I7</f>
        <v>30</v>
      </c>
      <c r="AM7" s="7" t="n">
        <f aca="false">$J7</f>
        <v>35</v>
      </c>
      <c r="AN7" s="7" t="n">
        <f aca="false">$J7</f>
        <v>35</v>
      </c>
      <c r="AO7" s="7" t="n">
        <f aca="false">$J7</f>
        <v>35</v>
      </c>
      <c r="AP7" s="7" t="n">
        <f aca="false">$J7</f>
        <v>35</v>
      </c>
      <c r="AQ7" s="7" t="n">
        <f aca="false">$K7</f>
        <v>42</v>
      </c>
      <c r="AR7" s="7" t="n">
        <f aca="false">$K7</f>
        <v>42</v>
      </c>
      <c r="AS7" s="7" t="n">
        <f aca="false">$K7</f>
        <v>42</v>
      </c>
      <c r="AT7" s="7" t="n">
        <f aca="false">$K7</f>
        <v>42</v>
      </c>
      <c r="AU7" s="7" t="n">
        <f aca="false">$K7</f>
        <v>42</v>
      </c>
      <c r="AV7" s="7" t="n">
        <f aca="false">$L7</f>
        <v>48</v>
      </c>
      <c r="AW7" s="7" t="n">
        <f aca="false">$L7</f>
        <v>48</v>
      </c>
      <c r="AX7" s="7" t="n">
        <f aca="false">$L7</f>
        <v>48</v>
      </c>
      <c r="AY7" s="7" t="n">
        <f aca="false">$L7</f>
        <v>48</v>
      </c>
      <c r="AZ7" s="7" t="n">
        <f aca="false">$M7</f>
        <v>52</v>
      </c>
      <c r="BA7" s="7" t="n">
        <f aca="false">$M7</f>
        <v>52</v>
      </c>
      <c r="BB7" s="7" t="n">
        <f aca="false">$M7</f>
        <v>52</v>
      </c>
      <c r="BC7" s="7" t="n">
        <f aca="false">$M7</f>
        <v>52</v>
      </c>
      <c r="BD7" s="7" t="n">
        <f aca="false">$N7</f>
        <v>56</v>
      </c>
      <c r="BE7" s="7" t="n">
        <f aca="false">$N7</f>
        <v>56</v>
      </c>
      <c r="BF7" s="7" t="n">
        <f aca="false">$N7</f>
        <v>56</v>
      </c>
      <c r="BG7" s="7" t="n">
        <f aca="false">$N7</f>
        <v>56</v>
      </c>
      <c r="BH7" s="7" t="n">
        <f aca="false">$N7</f>
        <v>56</v>
      </c>
      <c r="BI7" s="7" t="n">
        <f aca="false">$O7</f>
        <v>58</v>
      </c>
      <c r="BJ7" s="7" t="n">
        <f aca="false">$O7</f>
        <v>58</v>
      </c>
      <c r="BK7" s="7" t="n">
        <f aca="false">$O7</f>
        <v>58</v>
      </c>
      <c r="BL7" s="7" t="n">
        <f aca="false">$O7</f>
        <v>58</v>
      </c>
      <c r="BM7" s="7" t="n">
        <f aca="false">$P7</f>
        <v>60</v>
      </c>
      <c r="BN7" s="7" t="n">
        <f aca="false">$P7</f>
        <v>60</v>
      </c>
      <c r="BO7" s="7" t="n">
        <f aca="false">$P7</f>
        <v>60</v>
      </c>
      <c r="BP7" s="7" t="n">
        <f aca="false">$P7</f>
        <v>60</v>
      </c>
    </row>
    <row r="8" customFormat="false" ht="15" hidden="false" customHeight="false" outlineLevel="0" collapsed="false">
      <c r="A8" s="0" t="s">
        <v>235</v>
      </c>
      <c r="B8" s="0" t="s">
        <v>126</v>
      </c>
      <c r="C8" s="0" t="s">
        <v>117</v>
      </c>
      <c r="D8" s="0" t="n">
        <f aca="false">SUM(Q8:BP8)</f>
        <v>1171</v>
      </c>
      <c r="E8" s="22" t="n">
        <v>0</v>
      </c>
      <c r="F8" s="22" t="n">
        <v>0</v>
      </c>
      <c r="G8" s="22" t="n">
        <v>8</v>
      </c>
      <c r="H8" s="22" t="n">
        <v>15</v>
      </c>
      <c r="I8" s="22" t="n">
        <v>20</v>
      </c>
      <c r="J8" s="22" t="n">
        <v>25</v>
      </c>
      <c r="K8" s="22" t="n">
        <v>28</v>
      </c>
      <c r="L8" s="22" t="n">
        <v>30</v>
      </c>
      <c r="M8" s="22" t="n">
        <v>33</v>
      </c>
      <c r="N8" s="22" t="n">
        <v>36</v>
      </c>
      <c r="O8" s="22" t="n">
        <v>38</v>
      </c>
      <c r="P8" s="22" t="n">
        <v>40</v>
      </c>
      <c r="Q8" s="7" t="n">
        <f aca="false">$E8</f>
        <v>0</v>
      </c>
      <c r="R8" s="7" t="n">
        <f aca="false">$E8</f>
        <v>0</v>
      </c>
      <c r="S8" s="7" t="n">
        <f aca="false">$E8</f>
        <v>0</v>
      </c>
      <c r="T8" s="7" t="n">
        <f aca="false">$E8</f>
        <v>0</v>
      </c>
      <c r="U8" s="7" t="n">
        <f aca="false">$E8</f>
        <v>0</v>
      </c>
      <c r="V8" s="7" t="n">
        <f aca="false">$F8</f>
        <v>0</v>
      </c>
      <c r="W8" s="7" t="n">
        <f aca="false">$F8</f>
        <v>0</v>
      </c>
      <c r="X8" s="7" t="n">
        <f aca="false">$F8</f>
        <v>0</v>
      </c>
      <c r="Y8" s="7" t="n">
        <f aca="false">$F8</f>
        <v>0</v>
      </c>
      <c r="Z8" s="7" t="n">
        <f aca="false">$G8</f>
        <v>8</v>
      </c>
      <c r="AA8" s="7" t="n">
        <f aca="false">$G8</f>
        <v>8</v>
      </c>
      <c r="AB8" s="7" t="n">
        <f aca="false">$G8</f>
        <v>8</v>
      </c>
      <c r="AC8" s="7" t="n">
        <f aca="false">$G8</f>
        <v>8</v>
      </c>
      <c r="AD8" s="7" t="n">
        <f aca="false">$H8</f>
        <v>15</v>
      </c>
      <c r="AE8" s="7" t="n">
        <f aca="false">$H8</f>
        <v>15</v>
      </c>
      <c r="AF8" s="7" t="n">
        <f aca="false">$H8</f>
        <v>15</v>
      </c>
      <c r="AG8" s="7" t="n">
        <f aca="false">$H8</f>
        <v>15</v>
      </c>
      <c r="AH8" s="7" t="n">
        <f aca="false">$H8</f>
        <v>15</v>
      </c>
      <c r="AI8" s="7" t="n">
        <f aca="false">$I8</f>
        <v>20</v>
      </c>
      <c r="AJ8" s="7" t="n">
        <f aca="false">$I8</f>
        <v>20</v>
      </c>
      <c r="AK8" s="7" t="n">
        <f aca="false">$I8</f>
        <v>20</v>
      </c>
      <c r="AL8" s="7" t="n">
        <f aca="false">$I8</f>
        <v>20</v>
      </c>
      <c r="AM8" s="7" t="n">
        <f aca="false">$J8</f>
        <v>25</v>
      </c>
      <c r="AN8" s="7" t="n">
        <f aca="false">$J8</f>
        <v>25</v>
      </c>
      <c r="AO8" s="7" t="n">
        <f aca="false">$J8</f>
        <v>25</v>
      </c>
      <c r="AP8" s="7" t="n">
        <f aca="false">$J8</f>
        <v>25</v>
      </c>
      <c r="AQ8" s="7" t="n">
        <f aca="false">$K8</f>
        <v>28</v>
      </c>
      <c r="AR8" s="7" t="n">
        <f aca="false">$K8</f>
        <v>28</v>
      </c>
      <c r="AS8" s="7" t="n">
        <f aca="false">$K8</f>
        <v>28</v>
      </c>
      <c r="AT8" s="7" t="n">
        <f aca="false">$K8</f>
        <v>28</v>
      </c>
      <c r="AU8" s="7" t="n">
        <f aca="false">$K8</f>
        <v>28</v>
      </c>
      <c r="AV8" s="7" t="n">
        <f aca="false">$L8</f>
        <v>30</v>
      </c>
      <c r="AW8" s="7" t="n">
        <f aca="false">$L8</f>
        <v>30</v>
      </c>
      <c r="AX8" s="7" t="n">
        <f aca="false">$L8</f>
        <v>30</v>
      </c>
      <c r="AY8" s="7" t="n">
        <f aca="false">$L8</f>
        <v>30</v>
      </c>
      <c r="AZ8" s="7" t="n">
        <f aca="false">$M8</f>
        <v>33</v>
      </c>
      <c r="BA8" s="7" t="n">
        <f aca="false">$M8</f>
        <v>33</v>
      </c>
      <c r="BB8" s="7" t="n">
        <f aca="false">$M8</f>
        <v>33</v>
      </c>
      <c r="BC8" s="7" t="n">
        <f aca="false">$M8</f>
        <v>33</v>
      </c>
      <c r="BD8" s="7" t="n">
        <f aca="false">$N8</f>
        <v>36</v>
      </c>
      <c r="BE8" s="7" t="n">
        <f aca="false">$N8</f>
        <v>36</v>
      </c>
      <c r="BF8" s="7" t="n">
        <f aca="false">$N8</f>
        <v>36</v>
      </c>
      <c r="BG8" s="7" t="n">
        <f aca="false">$N8</f>
        <v>36</v>
      </c>
      <c r="BH8" s="7" t="n">
        <f aca="false">$N8</f>
        <v>36</v>
      </c>
      <c r="BI8" s="7" t="n">
        <f aca="false">$O8</f>
        <v>38</v>
      </c>
      <c r="BJ8" s="7" t="n">
        <f aca="false">$O8</f>
        <v>38</v>
      </c>
      <c r="BK8" s="7" t="n">
        <f aca="false">$O8</f>
        <v>38</v>
      </c>
      <c r="BL8" s="7" t="n">
        <f aca="false">$O8</f>
        <v>38</v>
      </c>
      <c r="BM8" s="7" t="n">
        <f aca="false">$P8</f>
        <v>40</v>
      </c>
      <c r="BN8" s="7" t="n">
        <f aca="false">$P8</f>
        <v>40</v>
      </c>
      <c r="BO8" s="7" t="n">
        <f aca="false">$P8</f>
        <v>40</v>
      </c>
      <c r="BP8" s="7" t="n">
        <f aca="false">$P8</f>
        <v>40</v>
      </c>
    </row>
    <row r="9" customFormat="false" ht="15" hidden="false" customHeight="false" outlineLevel="0" collapsed="false">
      <c r="A9" s="0" t="s">
        <v>235</v>
      </c>
      <c r="B9" s="0" t="s">
        <v>126</v>
      </c>
      <c r="C9" s="0" t="s">
        <v>118</v>
      </c>
      <c r="D9" s="0" t="n">
        <f aca="false">SUM(Q9:BP9)</f>
        <v>625</v>
      </c>
      <c r="E9" s="22" t="n">
        <v>0</v>
      </c>
      <c r="F9" s="22" t="n">
        <v>0</v>
      </c>
      <c r="G9" s="22" t="n">
        <v>0</v>
      </c>
      <c r="H9" s="22" t="n">
        <v>0</v>
      </c>
      <c r="I9" s="22" t="n">
        <v>0</v>
      </c>
      <c r="J9" s="22" t="n">
        <v>0</v>
      </c>
      <c r="K9" s="22" t="n">
        <v>60</v>
      </c>
      <c r="L9" s="22" t="n">
        <v>0</v>
      </c>
      <c r="M9" s="22" t="n">
        <v>0</v>
      </c>
      <c r="N9" s="22" t="n">
        <v>25</v>
      </c>
      <c r="O9" s="22" t="n">
        <v>25</v>
      </c>
      <c r="P9" s="22" t="n">
        <v>25</v>
      </c>
      <c r="Q9" s="7" t="n">
        <f aca="false">$E9</f>
        <v>0</v>
      </c>
      <c r="R9" s="7" t="n">
        <f aca="false">$E9</f>
        <v>0</v>
      </c>
      <c r="S9" s="7" t="n">
        <f aca="false">$E9</f>
        <v>0</v>
      </c>
      <c r="T9" s="7" t="n">
        <f aca="false">$E9</f>
        <v>0</v>
      </c>
      <c r="U9" s="7" t="n">
        <f aca="false">$E9</f>
        <v>0</v>
      </c>
      <c r="V9" s="7" t="n">
        <f aca="false">$F9</f>
        <v>0</v>
      </c>
      <c r="W9" s="7" t="n">
        <f aca="false">$F9</f>
        <v>0</v>
      </c>
      <c r="X9" s="7" t="n">
        <f aca="false">$F9</f>
        <v>0</v>
      </c>
      <c r="Y9" s="7" t="n">
        <f aca="false">$F9</f>
        <v>0</v>
      </c>
      <c r="Z9" s="7" t="n">
        <f aca="false">$G9</f>
        <v>0</v>
      </c>
      <c r="AA9" s="7" t="n">
        <f aca="false">$G9</f>
        <v>0</v>
      </c>
      <c r="AB9" s="7" t="n">
        <f aca="false">$G9</f>
        <v>0</v>
      </c>
      <c r="AC9" s="7" t="n">
        <f aca="false">$G9</f>
        <v>0</v>
      </c>
      <c r="AD9" s="7" t="n">
        <f aca="false">$H9</f>
        <v>0</v>
      </c>
      <c r="AE9" s="7" t="n">
        <f aca="false">$H9</f>
        <v>0</v>
      </c>
      <c r="AF9" s="7" t="n">
        <f aca="false">$H9</f>
        <v>0</v>
      </c>
      <c r="AG9" s="7" t="n">
        <f aca="false">$H9</f>
        <v>0</v>
      </c>
      <c r="AH9" s="7" t="n">
        <f aca="false">$H9</f>
        <v>0</v>
      </c>
      <c r="AI9" s="7" t="n">
        <f aca="false">$I9</f>
        <v>0</v>
      </c>
      <c r="AJ9" s="7" t="n">
        <f aca="false">$I9</f>
        <v>0</v>
      </c>
      <c r="AK9" s="7" t="n">
        <f aca="false">$I9</f>
        <v>0</v>
      </c>
      <c r="AL9" s="7" t="n">
        <f aca="false">$I9</f>
        <v>0</v>
      </c>
      <c r="AM9" s="7" t="n">
        <f aca="false">$J9</f>
        <v>0</v>
      </c>
      <c r="AN9" s="7" t="n">
        <f aca="false">$J9</f>
        <v>0</v>
      </c>
      <c r="AO9" s="7" t="n">
        <f aca="false">$J9</f>
        <v>0</v>
      </c>
      <c r="AP9" s="7" t="n">
        <f aca="false">$J9</f>
        <v>0</v>
      </c>
      <c r="AQ9" s="7" t="n">
        <f aca="false">$K9</f>
        <v>60</v>
      </c>
      <c r="AR9" s="7" t="n">
        <f aca="false">$K9</f>
        <v>60</v>
      </c>
      <c r="AS9" s="7" t="n">
        <f aca="false">$K9</f>
        <v>60</v>
      </c>
      <c r="AT9" s="7" t="n">
        <f aca="false">$K9</f>
        <v>60</v>
      </c>
      <c r="AU9" s="7" t="n">
        <f aca="false">$K9</f>
        <v>60</v>
      </c>
      <c r="AV9" s="7" t="n">
        <f aca="false">$L9</f>
        <v>0</v>
      </c>
      <c r="AW9" s="7" t="n">
        <f aca="false">$L9</f>
        <v>0</v>
      </c>
      <c r="AX9" s="7" t="n">
        <f aca="false">$L9</f>
        <v>0</v>
      </c>
      <c r="AY9" s="7" t="n">
        <f aca="false">$L9</f>
        <v>0</v>
      </c>
      <c r="AZ9" s="7" t="n">
        <f aca="false">$M9</f>
        <v>0</v>
      </c>
      <c r="BA9" s="7" t="n">
        <f aca="false">$M9</f>
        <v>0</v>
      </c>
      <c r="BB9" s="7" t="n">
        <f aca="false">$M9</f>
        <v>0</v>
      </c>
      <c r="BC9" s="7" t="n">
        <f aca="false">$M9</f>
        <v>0</v>
      </c>
      <c r="BD9" s="7" t="n">
        <f aca="false">$N9</f>
        <v>25</v>
      </c>
      <c r="BE9" s="7" t="n">
        <f aca="false">$N9</f>
        <v>25</v>
      </c>
      <c r="BF9" s="7" t="n">
        <f aca="false">$N9</f>
        <v>25</v>
      </c>
      <c r="BG9" s="7" t="n">
        <f aca="false">$N9</f>
        <v>25</v>
      </c>
      <c r="BH9" s="7" t="n">
        <f aca="false">$N9</f>
        <v>25</v>
      </c>
      <c r="BI9" s="7" t="n">
        <f aca="false">$O9</f>
        <v>25</v>
      </c>
      <c r="BJ9" s="7" t="n">
        <f aca="false">$O9</f>
        <v>25</v>
      </c>
      <c r="BK9" s="7" t="n">
        <f aca="false">$O9</f>
        <v>25</v>
      </c>
      <c r="BL9" s="7" t="n">
        <f aca="false">$O9</f>
        <v>25</v>
      </c>
      <c r="BM9" s="7" t="n">
        <f aca="false">$P9</f>
        <v>25</v>
      </c>
      <c r="BN9" s="7" t="n">
        <f aca="false">$P9</f>
        <v>25</v>
      </c>
      <c r="BO9" s="7" t="n">
        <f aca="false">$P9</f>
        <v>25</v>
      </c>
      <c r="BP9" s="7" t="n">
        <f aca="false">$P9</f>
        <v>25</v>
      </c>
    </row>
    <row r="10" customFormat="false" ht="15" hidden="false" customHeight="false" outlineLevel="0" collapsed="false">
      <c r="A10" s="0" t="s">
        <v>235</v>
      </c>
      <c r="B10" s="0" t="s">
        <v>126</v>
      </c>
      <c r="C10" s="0" t="s">
        <v>119</v>
      </c>
      <c r="D10" s="0" t="n">
        <f aca="false">SUM(Q10:BP10)</f>
        <v>4447</v>
      </c>
      <c r="E10" s="13" t="n">
        <v>30</v>
      </c>
      <c r="F10" s="13" t="n">
        <v>40</v>
      </c>
      <c r="G10" s="13" t="n">
        <v>55</v>
      </c>
      <c r="H10" s="13" t="n">
        <v>70</v>
      </c>
      <c r="I10" s="13" t="n">
        <v>80</v>
      </c>
      <c r="J10" s="13" t="n">
        <v>90</v>
      </c>
      <c r="K10" s="13" t="n">
        <v>100</v>
      </c>
      <c r="L10" s="13" t="n">
        <v>105</v>
      </c>
      <c r="M10" s="13" t="n">
        <v>110</v>
      </c>
      <c r="N10" s="13" t="n">
        <v>115</v>
      </c>
      <c r="O10" s="13" t="n">
        <v>118</v>
      </c>
      <c r="P10" s="13" t="n">
        <v>120</v>
      </c>
      <c r="Q10" s="7" t="n">
        <f aca="false">$E10</f>
        <v>30</v>
      </c>
      <c r="R10" s="7" t="n">
        <f aca="false">$E10</f>
        <v>30</v>
      </c>
      <c r="S10" s="7" t="n">
        <f aca="false">$E10</f>
        <v>30</v>
      </c>
      <c r="T10" s="7" t="n">
        <f aca="false">$E10</f>
        <v>30</v>
      </c>
      <c r="U10" s="7" t="n">
        <f aca="false">$E10</f>
        <v>30</v>
      </c>
      <c r="V10" s="7" t="n">
        <f aca="false">$F10</f>
        <v>40</v>
      </c>
      <c r="W10" s="7" t="n">
        <f aca="false">$F10</f>
        <v>40</v>
      </c>
      <c r="X10" s="7" t="n">
        <f aca="false">$F10</f>
        <v>40</v>
      </c>
      <c r="Y10" s="7" t="n">
        <f aca="false">$F10</f>
        <v>40</v>
      </c>
      <c r="Z10" s="7" t="n">
        <f aca="false">$G10</f>
        <v>55</v>
      </c>
      <c r="AA10" s="7" t="n">
        <f aca="false">$G10</f>
        <v>55</v>
      </c>
      <c r="AB10" s="7" t="n">
        <f aca="false">$G10</f>
        <v>55</v>
      </c>
      <c r="AC10" s="7" t="n">
        <f aca="false">$G10</f>
        <v>55</v>
      </c>
      <c r="AD10" s="7" t="n">
        <f aca="false">$H10</f>
        <v>70</v>
      </c>
      <c r="AE10" s="7" t="n">
        <f aca="false">$H10</f>
        <v>70</v>
      </c>
      <c r="AF10" s="7" t="n">
        <f aca="false">$H10</f>
        <v>70</v>
      </c>
      <c r="AG10" s="7" t="n">
        <f aca="false">$H10</f>
        <v>70</v>
      </c>
      <c r="AH10" s="7" t="n">
        <f aca="false">$H10</f>
        <v>70</v>
      </c>
      <c r="AI10" s="7" t="n">
        <f aca="false">$I10</f>
        <v>80</v>
      </c>
      <c r="AJ10" s="7" t="n">
        <f aca="false">$I10</f>
        <v>80</v>
      </c>
      <c r="AK10" s="7" t="n">
        <f aca="false">$I10</f>
        <v>80</v>
      </c>
      <c r="AL10" s="7" t="n">
        <f aca="false">$I10</f>
        <v>80</v>
      </c>
      <c r="AM10" s="7" t="n">
        <f aca="false">$J10</f>
        <v>90</v>
      </c>
      <c r="AN10" s="7" t="n">
        <f aca="false">$J10</f>
        <v>90</v>
      </c>
      <c r="AO10" s="7" t="n">
        <f aca="false">$J10</f>
        <v>90</v>
      </c>
      <c r="AP10" s="7" t="n">
        <f aca="false">$J10</f>
        <v>90</v>
      </c>
      <c r="AQ10" s="7" t="n">
        <f aca="false">$K10</f>
        <v>100</v>
      </c>
      <c r="AR10" s="7" t="n">
        <f aca="false">$K10</f>
        <v>100</v>
      </c>
      <c r="AS10" s="7" t="n">
        <f aca="false">$K10</f>
        <v>100</v>
      </c>
      <c r="AT10" s="7" t="n">
        <f aca="false">$K10</f>
        <v>100</v>
      </c>
      <c r="AU10" s="7" t="n">
        <f aca="false">$K10</f>
        <v>100</v>
      </c>
      <c r="AV10" s="7" t="n">
        <f aca="false">$L10</f>
        <v>105</v>
      </c>
      <c r="AW10" s="7" t="n">
        <f aca="false">$L10</f>
        <v>105</v>
      </c>
      <c r="AX10" s="7" t="n">
        <f aca="false">$L10</f>
        <v>105</v>
      </c>
      <c r="AY10" s="7" t="n">
        <f aca="false">$L10</f>
        <v>105</v>
      </c>
      <c r="AZ10" s="7" t="n">
        <f aca="false">$M10</f>
        <v>110</v>
      </c>
      <c r="BA10" s="7" t="n">
        <f aca="false">$M10</f>
        <v>110</v>
      </c>
      <c r="BB10" s="7" t="n">
        <f aca="false">$M10</f>
        <v>110</v>
      </c>
      <c r="BC10" s="7" t="n">
        <f aca="false">$M10</f>
        <v>110</v>
      </c>
      <c r="BD10" s="7" t="n">
        <f aca="false">$N10</f>
        <v>115</v>
      </c>
      <c r="BE10" s="7" t="n">
        <f aca="false">$N10</f>
        <v>115</v>
      </c>
      <c r="BF10" s="7" t="n">
        <f aca="false">$N10</f>
        <v>115</v>
      </c>
      <c r="BG10" s="7" t="n">
        <f aca="false">$N10</f>
        <v>115</v>
      </c>
      <c r="BH10" s="7" t="n">
        <f aca="false">$N10</f>
        <v>115</v>
      </c>
      <c r="BI10" s="7" t="n">
        <f aca="false">$O10</f>
        <v>118</v>
      </c>
      <c r="BJ10" s="7" t="n">
        <f aca="false">$O10</f>
        <v>118</v>
      </c>
      <c r="BK10" s="7" t="n">
        <f aca="false">$O10</f>
        <v>118</v>
      </c>
      <c r="BL10" s="7" t="n">
        <f aca="false">$O10</f>
        <v>118</v>
      </c>
      <c r="BM10" s="7" t="n">
        <f aca="false">$P10</f>
        <v>120</v>
      </c>
      <c r="BN10" s="7" t="n">
        <f aca="false">$P10</f>
        <v>120</v>
      </c>
      <c r="BO10" s="7" t="n">
        <f aca="false">$P10</f>
        <v>120</v>
      </c>
      <c r="BP10" s="7" t="n">
        <f aca="false">$P10</f>
        <v>120</v>
      </c>
    </row>
    <row r="11" customFormat="false" ht="15" hidden="false" customHeight="false" outlineLevel="0" collapsed="false">
      <c r="A11" s="0" t="s">
        <v>235</v>
      </c>
      <c r="B11" s="0" t="s">
        <v>126</v>
      </c>
      <c r="C11" s="0" t="s">
        <v>120</v>
      </c>
      <c r="D11" s="0" t="n">
        <f aca="false">SUM(Q11:BP11)</f>
        <v>3778</v>
      </c>
      <c r="E11" s="13" t="n">
        <v>20</v>
      </c>
      <c r="F11" s="13" t="n">
        <v>30</v>
      </c>
      <c r="G11" s="13" t="n">
        <v>45</v>
      </c>
      <c r="H11" s="13" t="n">
        <v>60</v>
      </c>
      <c r="I11" s="13" t="n">
        <v>70</v>
      </c>
      <c r="J11" s="13" t="n">
        <v>80</v>
      </c>
      <c r="K11" s="13" t="n">
        <v>88</v>
      </c>
      <c r="L11" s="13" t="n">
        <v>92</v>
      </c>
      <c r="M11" s="13" t="n">
        <v>95</v>
      </c>
      <c r="N11" s="13" t="n">
        <v>98</v>
      </c>
      <c r="O11" s="13" t="n">
        <v>100</v>
      </c>
      <c r="P11" s="13" t="n">
        <v>100</v>
      </c>
      <c r="Q11" s="7" t="n">
        <f aca="false">$E11</f>
        <v>20</v>
      </c>
      <c r="R11" s="7" t="n">
        <f aca="false">$E11</f>
        <v>20</v>
      </c>
      <c r="S11" s="7" t="n">
        <f aca="false">$E11</f>
        <v>20</v>
      </c>
      <c r="T11" s="7" t="n">
        <f aca="false">$E11</f>
        <v>20</v>
      </c>
      <c r="U11" s="7" t="n">
        <f aca="false">$E11</f>
        <v>20</v>
      </c>
      <c r="V11" s="7" t="n">
        <f aca="false">$F11</f>
        <v>30</v>
      </c>
      <c r="W11" s="7" t="n">
        <f aca="false">$F11</f>
        <v>30</v>
      </c>
      <c r="X11" s="7" t="n">
        <f aca="false">$F11</f>
        <v>30</v>
      </c>
      <c r="Y11" s="7" t="n">
        <f aca="false">$F11</f>
        <v>30</v>
      </c>
      <c r="Z11" s="7" t="n">
        <f aca="false">$G11</f>
        <v>45</v>
      </c>
      <c r="AA11" s="7" t="n">
        <f aca="false">$G11</f>
        <v>45</v>
      </c>
      <c r="AB11" s="7" t="n">
        <f aca="false">$G11</f>
        <v>45</v>
      </c>
      <c r="AC11" s="7" t="n">
        <f aca="false">$G11</f>
        <v>45</v>
      </c>
      <c r="AD11" s="7" t="n">
        <f aca="false">$H11</f>
        <v>60</v>
      </c>
      <c r="AE11" s="7" t="n">
        <f aca="false">$H11</f>
        <v>60</v>
      </c>
      <c r="AF11" s="7" t="n">
        <f aca="false">$H11</f>
        <v>60</v>
      </c>
      <c r="AG11" s="7" t="n">
        <f aca="false">$H11</f>
        <v>60</v>
      </c>
      <c r="AH11" s="7" t="n">
        <f aca="false">$H11</f>
        <v>60</v>
      </c>
      <c r="AI11" s="7" t="n">
        <f aca="false">$I11</f>
        <v>70</v>
      </c>
      <c r="AJ11" s="7" t="n">
        <f aca="false">$I11</f>
        <v>70</v>
      </c>
      <c r="AK11" s="7" t="n">
        <f aca="false">$I11</f>
        <v>70</v>
      </c>
      <c r="AL11" s="7" t="n">
        <f aca="false">$I11</f>
        <v>70</v>
      </c>
      <c r="AM11" s="7" t="n">
        <f aca="false">$J11</f>
        <v>80</v>
      </c>
      <c r="AN11" s="7" t="n">
        <f aca="false">$J11</f>
        <v>80</v>
      </c>
      <c r="AO11" s="7" t="n">
        <f aca="false">$J11</f>
        <v>80</v>
      </c>
      <c r="AP11" s="7" t="n">
        <f aca="false">$J11</f>
        <v>80</v>
      </c>
      <c r="AQ11" s="7" t="n">
        <f aca="false">$K11</f>
        <v>88</v>
      </c>
      <c r="AR11" s="7" t="n">
        <f aca="false">$K11</f>
        <v>88</v>
      </c>
      <c r="AS11" s="7" t="n">
        <f aca="false">$K11</f>
        <v>88</v>
      </c>
      <c r="AT11" s="7" t="n">
        <f aca="false">$K11</f>
        <v>88</v>
      </c>
      <c r="AU11" s="7" t="n">
        <f aca="false">$K11</f>
        <v>88</v>
      </c>
      <c r="AV11" s="7" t="n">
        <f aca="false">$L11</f>
        <v>92</v>
      </c>
      <c r="AW11" s="7" t="n">
        <f aca="false">$L11</f>
        <v>92</v>
      </c>
      <c r="AX11" s="7" t="n">
        <f aca="false">$L11</f>
        <v>92</v>
      </c>
      <c r="AY11" s="7" t="n">
        <f aca="false">$L11</f>
        <v>92</v>
      </c>
      <c r="AZ11" s="7" t="n">
        <f aca="false">$M11</f>
        <v>95</v>
      </c>
      <c r="BA11" s="7" t="n">
        <f aca="false">$M11</f>
        <v>95</v>
      </c>
      <c r="BB11" s="7" t="n">
        <f aca="false">$M11</f>
        <v>95</v>
      </c>
      <c r="BC11" s="7" t="n">
        <f aca="false">$M11</f>
        <v>95</v>
      </c>
      <c r="BD11" s="7" t="n">
        <f aca="false">$N11</f>
        <v>98</v>
      </c>
      <c r="BE11" s="7" t="n">
        <f aca="false">$N11</f>
        <v>98</v>
      </c>
      <c r="BF11" s="7" t="n">
        <f aca="false">$N11</f>
        <v>98</v>
      </c>
      <c r="BG11" s="7" t="n">
        <f aca="false">$N11</f>
        <v>98</v>
      </c>
      <c r="BH11" s="7" t="n">
        <f aca="false">$N11</f>
        <v>98</v>
      </c>
      <c r="BI11" s="7" t="n">
        <f aca="false">$O11</f>
        <v>100</v>
      </c>
      <c r="BJ11" s="7" t="n">
        <f aca="false">$O11</f>
        <v>100</v>
      </c>
      <c r="BK11" s="7" t="n">
        <f aca="false">$O11</f>
        <v>100</v>
      </c>
      <c r="BL11" s="7" t="n">
        <f aca="false">$O11</f>
        <v>100</v>
      </c>
      <c r="BM11" s="7" t="n">
        <f aca="false">$P11</f>
        <v>100</v>
      </c>
      <c r="BN11" s="7" t="n">
        <f aca="false">$P11</f>
        <v>100</v>
      </c>
      <c r="BO11" s="7" t="n">
        <f aca="false">$P11</f>
        <v>100</v>
      </c>
      <c r="BP11" s="7" t="n">
        <f aca="false">$P11</f>
        <v>100</v>
      </c>
    </row>
    <row r="12" customFormat="false" ht="15" hidden="false" customHeight="false" outlineLevel="0" collapsed="false">
      <c r="A12" s="0" t="s">
        <v>235</v>
      </c>
      <c r="B12" s="0" t="s">
        <v>126</v>
      </c>
      <c r="C12" s="0" t="s">
        <v>121</v>
      </c>
      <c r="D12" s="0" t="n">
        <f aca="false">SUM(Q12:BP12)</f>
        <v>2350</v>
      </c>
      <c r="E12" s="13" t="n">
        <v>15</v>
      </c>
      <c r="F12" s="13" t="n">
        <v>22</v>
      </c>
      <c r="G12" s="13" t="n">
        <v>30</v>
      </c>
      <c r="H12" s="13" t="n">
        <v>38</v>
      </c>
      <c r="I12" s="13" t="n">
        <v>44</v>
      </c>
      <c r="J12" s="13" t="n">
        <v>50</v>
      </c>
      <c r="K12" s="13" t="n">
        <v>54</v>
      </c>
      <c r="L12" s="13" t="n">
        <v>56</v>
      </c>
      <c r="M12" s="13" t="n">
        <v>58</v>
      </c>
      <c r="N12" s="13" t="n">
        <v>59</v>
      </c>
      <c r="O12" s="13" t="n">
        <v>60</v>
      </c>
      <c r="P12" s="13" t="n">
        <v>60</v>
      </c>
      <c r="Q12" s="7" t="n">
        <f aca="false">$E12</f>
        <v>15</v>
      </c>
      <c r="R12" s="7" t="n">
        <f aca="false">$E12</f>
        <v>15</v>
      </c>
      <c r="S12" s="7" t="n">
        <f aca="false">$E12</f>
        <v>15</v>
      </c>
      <c r="T12" s="7" t="n">
        <f aca="false">$E12</f>
        <v>15</v>
      </c>
      <c r="U12" s="7" t="n">
        <f aca="false">$E12</f>
        <v>15</v>
      </c>
      <c r="V12" s="7" t="n">
        <f aca="false">$F12</f>
        <v>22</v>
      </c>
      <c r="W12" s="7" t="n">
        <f aca="false">$F12</f>
        <v>22</v>
      </c>
      <c r="X12" s="7" t="n">
        <f aca="false">$F12</f>
        <v>22</v>
      </c>
      <c r="Y12" s="7" t="n">
        <f aca="false">$F12</f>
        <v>22</v>
      </c>
      <c r="Z12" s="7" t="n">
        <f aca="false">$G12</f>
        <v>30</v>
      </c>
      <c r="AA12" s="7" t="n">
        <f aca="false">$G12</f>
        <v>30</v>
      </c>
      <c r="AB12" s="7" t="n">
        <f aca="false">$G12</f>
        <v>30</v>
      </c>
      <c r="AC12" s="7" t="n">
        <f aca="false">$G12</f>
        <v>30</v>
      </c>
      <c r="AD12" s="7" t="n">
        <f aca="false">$H12</f>
        <v>38</v>
      </c>
      <c r="AE12" s="7" t="n">
        <f aca="false">$H12</f>
        <v>38</v>
      </c>
      <c r="AF12" s="7" t="n">
        <f aca="false">$H12</f>
        <v>38</v>
      </c>
      <c r="AG12" s="7" t="n">
        <f aca="false">$H12</f>
        <v>38</v>
      </c>
      <c r="AH12" s="7" t="n">
        <f aca="false">$H12</f>
        <v>38</v>
      </c>
      <c r="AI12" s="7" t="n">
        <f aca="false">$I12</f>
        <v>44</v>
      </c>
      <c r="AJ12" s="7" t="n">
        <f aca="false">$I12</f>
        <v>44</v>
      </c>
      <c r="AK12" s="7" t="n">
        <f aca="false">$I12</f>
        <v>44</v>
      </c>
      <c r="AL12" s="7" t="n">
        <f aca="false">$I12</f>
        <v>44</v>
      </c>
      <c r="AM12" s="7" t="n">
        <f aca="false">$J12</f>
        <v>50</v>
      </c>
      <c r="AN12" s="7" t="n">
        <f aca="false">$J12</f>
        <v>50</v>
      </c>
      <c r="AO12" s="7" t="n">
        <f aca="false">$J12</f>
        <v>50</v>
      </c>
      <c r="AP12" s="7" t="n">
        <f aca="false">$J12</f>
        <v>50</v>
      </c>
      <c r="AQ12" s="7" t="n">
        <f aca="false">$K12</f>
        <v>54</v>
      </c>
      <c r="AR12" s="7" t="n">
        <f aca="false">$K12</f>
        <v>54</v>
      </c>
      <c r="AS12" s="7" t="n">
        <f aca="false">$K12</f>
        <v>54</v>
      </c>
      <c r="AT12" s="7" t="n">
        <f aca="false">$K12</f>
        <v>54</v>
      </c>
      <c r="AU12" s="7" t="n">
        <f aca="false">$K12</f>
        <v>54</v>
      </c>
      <c r="AV12" s="7" t="n">
        <f aca="false">$L12</f>
        <v>56</v>
      </c>
      <c r="AW12" s="7" t="n">
        <f aca="false">$L12</f>
        <v>56</v>
      </c>
      <c r="AX12" s="7" t="n">
        <f aca="false">$L12</f>
        <v>56</v>
      </c>
      <c r="AY12" s="7" t="n">
        <f aca="false">$L12</f>
        <v>56</v>
      </c>
      <c r="AZ12" s="7" t="n">
        <f aca="false">$M12</f>
        <v>58</v>
      </c>
      <c r="BA12" s="7" t="n">
        <f aca="false">$M12</f>
        <v>58</v>
      </c>
      <c r="BB12" s="7" t="n">
        <f aca="false">$M12</f>
        <v>58</v>
      </c>
      <c r="BC12" s="7" t="n">
        <f aca="false">$M12</f>
        <v>58</v>
      </c>
      <c r="BD12" s="7" t="n">
        <f aca="false">$N12</f>
        <v>59</v>
      </c>
      <c r="BE12" s="7" t="n">
        <f aca="false">$N12</f>
        <v>59</v>
      </c>
      <c r="BF12" s="7" t="n">
        <f aca="false">$N12</f>
        <v>59</v>
      </c>
      <c r="BG12" s="7" t="n">
        <f aca="false">$N12</f>
        <v>59</v>
      </c>
      <c r="BH12" s="7" t="n">
        <f aca="false">$N12</f>
        <v>59</v>
      </c>
      <c r="BI12" s="7" t="n">
        <f aca="false">$O12</f>
        <v>60</v>
      </c>
      <c r="BJ12" s="7" t="n">
        <f aca="false">$O12</f>
        <v>60</v>
      </c>
      <c r="BK12" s="7" t="n">
        <f aca="false">$O12</f>
        <v>60</v>
      </c>
      <c r="BL12" s="7" t="n">
        <f aca="false">$O12</f>
        <v>60</v>
      </c>
      <c r="BM12" s="7" t="n">
        <f aca="false">$P12</f>
        <v>60</v>
      </c>
      <c r="BN12" s="7" t="n">
        <f aca="false">$P12</f>
        <v>60</v>
      </c>
      <c r="BO12" s="7" t="n">
        <f aca="false">$P12</f>
        <v>60</v>
      </c>
      <c r="BP12" s="7" t="n">
        <f aca="false">$P12</f>
        <v>60</v>
      </c>
    </row>
    <row r="13" customFormat="false" ht="15" hidden="false" customHeight="false" outlineLevel="0" collapsed="false">
      <c r="A13" s="0" t="s">
        <v>235</v>
      </c>
      <c r="B13" s="0" t="s">
        <v>126</v>
      </c>
      <c r="C13" s="0" t="s">
        <v>122</v>
      </c>
      <c r="D13" s="0" t="n">
        <f aca="false">SUM(Q13:BP13)</f>
        <v>1888</v>
      </c>
      <c r="E13" s="13" t="n">
        <v>10</v>
      </c>
      <c r="F13" s="13" t="n">
        <v>15</v>
      </c>
      <c r="G13" s="13" t="n">
        <v>22</v>
      </c>
      <c r="H13" s="13" t="n">
        <v>28</v>
      </c>
      <c r="I13" s="13" t="n">
        <v>34</v>
      </c>
      <c r="J13" s="13" t="n">
        <v>40</v>
      </c>
      <c r="K13" s="13" t="n">
        <v>44</v>
      </c>
      <c r="L13" s="13" t="n">
        <v>47</v>
      </c>
      <c r="M13" s="13" t="n">
        <v>49</v>
      </c>
      <c r="N13" s="13" t="n">
        <v>50</v>
      </c>
      <c r="O13" s="13" t="n">
        <v>50</v>
      </c>
      <c r="P13" s="13" t="n">
        <v>50</v>
      </c>
      <c r="Q13" s="7" t="n">
        <f aca="false">$E13</f>
        <v>10</v>
      </c>
      <c r="R13" s="7" t="n">
        <f aca="false">$E13</f>
        <v>10</v>
      </c>
      <c r="S13" s="7" t="n">
        <f aca="false">$E13</f>
        <v>10</v>
      </c>
      <c r="T13" s="7" t="n">
        <f aca="false">$E13</f>
        <v>10</v>
      </c>
      <c r="U13" s="7" t="n">
        <f aca="false">$E13</f>
        <v>10</v>
      </c>
      <c r="V13" s="7" t="n">
        <f aca="false">$F13</f>
        <v>15</v>
      </c>
      <c r="W13" s="7" t="n">
        <f aca="false">$F13</f>
        <v>15</v>
      </c>
      <c r="X13" s="7" t="n">
        <f aca="false">$F13</f>
        <v>15</v>
      </c>
      <c r="Y13" s="7" t="n">
        <f aca="false">$F13</f>
        <v>15</v>
      </c>
      <c r="Z13" s="7" t="n">
        <f aca="false">$G13</f>
        <v>22</v>
      </c>
      <c r="AA13" s="7" t="n">
        <f aca="false">$G13</f>
        <v>22</v>
      </c>
      <c r="AB13" s="7" t="n">
        <f aca="false">$G13</f>
        <v>22</v>
      </c>
      <c r="AC13" s="7" t="n">
        <f aca="false">$G13</f>
        <v>22</v>
      </c>
      <c r="AD13" s="7" t="n">
        <f aca="false">$H13</f>
        <v>28</v>
      </c>
      <c r="AE13" s="7" t="n">
        <f aca="false">$H13</f>
        <v>28</v>
      </c>
      <c r="AF13" s="7" t="n">
        <f aca="false">$H13</f>
        <v>28</v>
      </c>
      <c r="AG13" s="7" t="n">
        <f aca="false">$H13</f>
        <v>28</v>
      </c>
      <c r="AH13" s="7" t="n">
        <f aca="false">$H13</f>
        <v>28</v>
      </c>
      <c r="AI13" s="7" t="n">
        <f aca="false">$I13</f>
        <v>34</v>
      </c>
      <c r="AJ13" s="7" t="n">
        <f aca="false">$I13</f>
        <v>34</v>
      </c>
      <c r="AK13" s="7" t="n">
        <f aca="false">$I13</f>
        <v>34</v>
      </c>
      <c r="AL13" s="7" t="n">
        <f aca="false">$I13</f>
        <v>34</v>
      </c>
      <c r="AM13" s="7" t="n">
        <f aca="false">$J13</f>
        <v>40</v>
      </c>
      <c r="AN13" s="7" t="n">
        <f aca="false">$J13</f>
        <v>40</v>
      </c>
      <c r="AO13" s="7" t="n">
        <f aca="false">$J13</f>
        <v>40</v>
      </c>
      <c r="AP13" s="7" t="n">
        <f aca="false">$J13</f>
        <v>40</v>
      </c>
      <c r="AQ13" s="7" t="n">
        <f aca="false">$K13</f>
        <v>44</v>
      </c>
      <c r="AR13" s="7" t="n">
        <f aca="false">$K13</f>
        <v>44</v>
      </c>
      <c r="AS13" s="7" t="n">
        <f aca="false">$K13</f>
        <v>44</v>
      </c>
      <c r="AT13" s="7" t="n">
        <f aca="false">$K13</f>
        <v>44</v>
      </c>
      <c r="AU13" s="7" t="n">
        <f aca="false">$K13</f>
        <v>44</v>
      </c>
      <c r="AV13" s="7" t="n">
        <f aca="false">$L13</f>
        <v>47</v>
      </c>
      <c r="AW13" s="7" t="n">
        <f aca="false">$L13</f>
        <v>47</v>
      </c>
      <c r="AX13" s="7" t="n">
        <f aca="false">$L13</f>
        <v>47</v>
      </c>
      <c r="AY13" s="7" t="n">
        <f aca="false">$L13</f>
        <v>47</v>
      </c>
      <c r="AZ13" s="7" t="n">
        <f aca="false">$M13</f>
        <v>49</v>
      </c>
      <c r="BA13" s="7" t="n">
        <f aca="false">$M13</f>
        <v>49</v>
      </c>
      <c r="BB13" s="7" t="n">
        <f aca="false">$M13</f>
        <v>49</v>
      </c>
      <c r="BC13" s="7" t="n">
        <f aca="false">$M13</f>
        <v>49</v>
      </c>
      <c r="BD13" s="7" t="n">
        <f aca="false">$N13</f>
        <v>50</v>
      </c>
      <c r="BE13" s="7" t="n">
        <f aca="false">$N13</f>
        <v>50</v>
      </c>
      <c r="BF13" s="7" t="n">
        <f aca="false">$N13</f>
        <v>50</v>
      </c>
      <c r="BG13" s="7" t="n">
        <f aca="false">$N13</f>
        <v>50</v>
      </c>
      <c r="BH13" s="7" t="n">
        <f aca="false">$N13</f>
        <v>50</v>
      </c>
      <c r="BI13" s="7" t="n">
        <f aca="false">$O13</f>
        <v>50</v>
      </c>
      <c r="BJ13" s="7" t="n">
        <f aca="false">$O13</f>
        <v>50</v>
      </c>
      <c r="BK13" s="7" t="n">
        <f aca="false">$O13</f>
        <v>50</v>
      </c>
      <c r="BL13" s="7" t="n">
        <f aca="false">$O13</f>
        <v>50</v>
      </c>
      <c r="BM13" s="7" t="n">
        <f aca="false">$P13</f>
        <v>50</v>
      </c>
      <c r="BN13" s="7" t="n">
        <f aca="false">$P13</f>
        <v>50</v>
      </c>
      <c r="BO13" s="7" t="n">
        <f aca="false">$P13</f>
        <v>50</v>
      </c>
      <c r="BP13" s="7" t="n">
        <f aca="false">$P13</f>
        <v>50</v>
      </c>
    </row>
    <row r="14" customFormat="false" ht="15" hidden="false" customHeight="false" outlineLevel="0" collapsed="false">
      <c r="A14" s="0" t="s">
        <v>235</v>
      </c>
      <c r="B14" s="0" t="s">
        <v>126</v>
      </c>
      <c r="C14" s="0" t="s">
        <v>123</v>
      </c>
      <c r="D14" s="0" t="n">
        <f aca="false">SUM(Q14:BP14)</f>
        <v>0</v>
      </c>
      <c r="E14" s="13" t="n">
        <v>0</v>
      </c>
      <c r="F14" s="13" t="n">
        <v>0</v>
      </c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7" t="n">
        <f aca="false">$E14</f>
        <v>0</v>
      </c>
      <c r="R14" s="7" t="n">
        <f aca="false">$E14</f>
        <v>0</v>
      </c>
      <c r="S14" s="7" t="n">
        <f aca="false">$E14</f>
        <v>0</v>
      </c>
      <c r="T14" s="7" t="n">
        <f aca="false">$E14</f>
        <v>0</v>
      </c>
      <c r="U14" s="7" t="n">
        <f aca="false">$E14</f>
        <v>0</v>
      </c>
      <c r="V14" s="7" t="n">
        <f aca="false">$F14</f>
        <v>0</v>
      </c>
      <c r="W14" s="7" t="n">
        <f aca="false">$F14</f>
        <v>0</v>
      </c>
      <c r="X14" s="7" t="n">
        <f aca="false">$F14</f>
        <v>0</v>
      </c>
      <c r="Y14" s="7" t="n">
        <f aca="false">$F14</f>
        <v>0</v>
      </c>
      <c r="Z14" s="7" t="n">
        <f aca="false">$G14</f>
        <v>0</v>
      </c>
      <c r="AA14" s="7" t="n">
        <f aca="false">$G14</f>
        <v>0</v>
      </c>
      <c r="AB14" s="7" t="n">
        <f aca="false">$G14</f>
        <v>0</v>
      </c>
      <c r="AC14" s="7" t="n">
        <f aca="false">$G14</f>
        <v>0</v>
      </c>
      <c r="AD14" s="7" t="n">
        <f aca="false">$H14</f>
        <v>0</v>
      </c>
      <c r="AE14" s="7" t="n">
        <f aca="false">$H14</f>
        <v>0</v>
      </c>
      <c r="AF14" s="7" t="n">
        <f aca="false">$H14</f>
        <v>0</v>
      </c>
      <c r="AG14" s="7" t="n">
        <f aca="false">$H14</f>
        <v>0</v>
      </c>
      <c r="AH14" s="7" t="n">
        <f aca="false">$H14</f>
        <v>0</v>
      </c>
      <c r="AI14" s="7" t="n">
        <f aca="false">$I14</f>
        <v>0</v>
      </c>
      <c r="AJ14" s="7" t="n">
        <f aca="false">$I14</f>
        <v>0</v>
      </c>
      <c r="AK14" s="7" t="n">
        <f aca="false">$I14</f>
        <v>0</v>
      </c>
      <c r="AL14" s="7" t="n">
        <f aca="false">$I14</f>
        <v>0</v>
      </c>
      <c r="AM14" s="7" t="n">
        <f aca="false">$J14</f>
        <v>0</v>
      </c>
      <c r="AN14" s="7" t="n">
        <f aca="false">$J14</f>
        <v>0</v>
      </c>
      <c r="AO14" s="7" t="n">
        <f aca="false">$J14</f>
        <v>0</v>
      </c>
      <c r="AP14" s="7" t="n">
        <f aca="false">$J14</f>
        <v>0</v>
      </c>
      <c r="AQ14" s="7" t="n">
        <f aca="false">$K14</f>
        <v>0</v>
      </c>
      <c r="AR14" s="7" t="n">
        <f aca="false">$K14</f>
        <v>0</v>
      </c>
      <c r="AS14" s="7" t="n">
        <f aca="false">$K14</f>
        <v>0</v>
      </c>
      <c r="AT14" s="7" t="n">
        <f aca="false">$K14</f>
        <v>0</v>
      </c>
      <c r="AU14" s="7" t="n">
        <f aca="false">$K14</f>
        <v>0</v>
      </c>
      <c r="AV14" s="7" t="n">
        <f aca="false">$L14</f>
        <v>0</v>
      </c>
      <c r="AW14" s="7" t="n">
        <f aca="false">$L14</f>
        <v>0</v>
      </c>
      <c r="AX14" s="7" t="n">
        <f aca="false">$L14</f>
        <v>0</v>
      </c>
      <c r="AY14" s="7" t="n">
        <f aca="false">$L14</f>
        <v>0</v>
      </c>
      <c r="AZ14" s="7" t="n">
        <f aca="false">$M14</f>
        <v>0</v>
      </c>
      <c r="BA14" s="7" t="n">
        <f aca="false">$M14</f>
        <v>0</v>
      </c>
      <c r="BB14" s="7" t="n">
        <f aca="false">$M14</f>
        <v>0</v>
      </c>
      <c r="BC14" s="7" t="n">
        <f aca="false">$M14</f>
        <v>0</v>
      </c>
      <c r="BD14" s="7" t="n">
        <f aca="false">$N14</f>
        <v>0</v>
      </c>
      <c r="BE14" s="7" t="n">
        <f aca="false">$N14</f>
        <v>0</v>
      </c>
      <c r="BF14" s="7" t="n">
        <f aca="false">$N14</f>
        <v>0</v>
      </c>
      <c r="BG14" s="7" t="n">
        <f aca="false">$N14</f>
        <v>0</v>
      </c>
      <c r="BH14" s="7" t="n">
        <f aca="false">$N14</f>
        <v>0</v>
      </c>
      <c r="BI14" s="7" t="n">
        <f aca="false">$O14</f>
        <v>0</v>
      </c>
      <c r="BJ14" s="7" t="n">
        <f aca="false">$O14</f>
        <v>0</v>
      </c>
      <c r="BK14" s="7" t="n">
        <f aca="false">$O14</f>
        <v>0</v>
      </c>
      <c r="BL14" s="7" t="n">
        <f aca="false">$O14</f>
        <v>0</v>
      </c>
      <c r="BM14" s="7" t="n">
        <f aca="false">$P14</f>
        <v>0</v>
      </c>
      <c r="BN14" s="7" t="n">
        <f aca="false">$P14</f>
        <v>0</v>
      </c>
      <c r="BO14" s="7" t="n">
        <f aca="false">$P14</f>
        <v>0</v>
      </c>
      <c r="BP14" s="7" t="n">
        <f aca="false">$P14</f>
        <v>0</v>
      </c>
    </row>
    <row r="15" customFormat="false" ht="15" hidden="false" customHeight="false" outlineLevel="0" collapsed="false">
      <c r="A15" s="0" t="s">
        <v>235</v>
      </c>
      <c r="B15" s="0" t="s">
        <v>127</v>
      </c>
      <c r="C15" s="0" t="s">
        <v>115</v>
      </c>
      <c r="D15" s="0" t="n">
        <f aca="false">SUM(Q15:BP15)</f>
        <v>2601</v>
      </c>
      <c r="E15" s="22" t="n">
        <v>5</v>
      </c>
      <c r="F15" s="22" t="n">
        <v>10</v>
      </c>
      <c r="G15" s="22" t="n">
        <v>18</v>
      </c>
      <c r="H15" s="22" t="n">
        <v>28</v>
      </c>
      <c r="I15" s="22" t="n">
        <v>38</v>
      </c>
      <c r="J15" s="22" t="n">
        <v>48</v>
      </c>
      <c r="K15" s="22" t="n">
        <v>58</v>
      </c>
      <c r="L15" s="22" t="n">
        <v>68</v>
      </c>
      <c r="M15" s="22" t="n">
        <v>75</v>
      </c>
      <c r="N15" s="22" t="n">
        <v>82</v>
      </c>
      <c r="O15" s="22" t="n">
        <v>87</v>
      </c>
      <c r="P15" s="22" t="n">
        <v>90</v>
      </c>
      <c r="Q15" s="7" t="n">
        <f aca="false">$E15</f>
        <v>5</v>
      </c>
      <c r="R15" s="7" t="n">
        <f aca="false">$E15</f>
        <v>5</v>
      </c>
      <c r="S15" s="7" t="n">
        <f aca="false">$E15</f>
        <v>5</v>
      </c>
      <c r="T15" s="7" t="n">
        <f aca="false">$E15</f>
        <v>5</v>
      </c>
      <c r="U15" s="7" t="n">
        <f aca="false">$E15</f>
        <v>5</v>
      </c>
      <c r="V15" s="7" t="n">
        <f aca="false">$F15</f>
        <v>10</v>
      </c>
      <c r="W15" s="7" t="n">
        <f aca="false">$F15</f>
        <v>10</v>
      </c>
      <c r="X15" s="7" t="n">
        <f aca="false">$F15</f>
        <v>10</v>
      </c>
      <c r="Y15" s="7" t="n">
        <f aca="false">$F15</f>
        <v>10</v>
      </c>
      <c r="Z15" s="7" t="n">
        <f aca="false">$G15</f>
        <v>18</v>
      </c>
      <c r="AA15" s="7" t="n">
        <f aca="false">$G15</f>
        <v>18</v>
      </c>
      <c r="AB15" s="7" t="n">
        <f aca="false">$G15</f>
        <v>18</v>
      </c>
      <c r="AC15" s="7" t="n">
        <f aca="false">$G15</f>
        <v>18</v>
      </c>
      <c r="AD15" s="7" t="n">
        <f aca="false">$H15</f>
        <v>28</v>
      </c>
      <c r="AE15" s="7" t="n">
        <f aca="false">$H15</f>
        <v>28</v>
      </c>
      <c r="AF15" s="7" t="n">
        <f aca="false">$H15</f>
        <v>28</v>
      </c>
      <c r="AG15" s="7" t="n">
        <f aca="false">$H15</f>
        <v>28</v>
      </c>
      <c r="AH15" s="7" t="n">
        <f aca="false">$H15</f>
        <v>28</v>
      </c>
      <c r="AI15" s="7" t="n">
        <f aca="false">$I15</f>
        <v>38</v>
      </c>
      <c r="AJ15" s="7" t="n">
        <f aca="false">$I15</f>
        <v>38</v>
      </c>
      <c r="AK15" s="7" t="n">
        <f aca="false">$I15</f>
        <v>38</v>
      </c>
      <c r="AL15" s="7" t="n">
        <f aca="false">$I15</f>
        <v>38</v>
      </c>
      <c r="AM15" s="7" t="n">
        <f aca="false">$J15</f>
        <v>48</v>
      </c>
      <c r="AN15" s="7" t="n">
        <f aca="false">$J15</f>
        <v>48</v>
      </c>
      <c r="AO15" s="7" t="n">
        <f aca="false">$J15</f>
        <v>48</v>
      </c>
      <c r="AP15" s="7" t="n">
        <f aca="false">$J15</f>
        <v>48</v>
      </c>
      <c r="AQ15" s="7" t="n">
        <f aca="false">$K15</f>
        <v>58</v>
      </c>
      <c r="AR15" s="7" t="n">
        <f aca="false">$K15</f>
        <v>58</v>
      </c>
      <c r="AS15" s="7" t="n">
        <f aca="false">$K15</f>
        <v>58</v>
      </c>
      <c r="AT15" s="7" t="n">
        <f aca="false">$K15</f>
        <v>58</v>
      </c>
      <c r="AU15" s="7" t="n">
        <f aca="false">$K15</f>
        <v>58</v>
      </c>
      <c r="AV15" s="7" t="n">
        <f aca="false">$L15</f>
        <v>68</v>
      </c>
      <c r="AW15" s="7" t="n">
        <f aca="false">$L15</f>
        <v>68</v>
      </c>
      <c r="AX15" s="7" t="n">
        <f aca="false">$L15</f>
        <v>68</v>
      </c>
      <c r="AY15" s="7" t="n">
        <f aca="false">$L15</f>
        <v>68</v>
      </c>
      <c r="AZ15" s="7" t="n">
        <f aca="false">$M15</f>
        <v>75</v>
      </c>
      <c r="BA15" s="7" t="n">
        <f aca="false">$M15</f>
        <v>75</v>
      </c>
      <c r="BB15" s="7" t="n">
        <f aca="false">$M15</f>
        <v>75</v>
      </c>
      <c r="BC15" s="7" t="n">
        <f aca="false">$M15</f>
        <v>75</v>
      </c>
      <c r="BD15" s="7" t="n">
        <f aca="false">$N15</f>
        <v>82</v>
      </c>
      <c r="BE15" s="7" t="n">
        <f aca="false">$N15</f>
        <v>82</v>
      </c>
      <c r="BF15" s="7" t="n">
        <f aca="false">$N15</f>
        <v>82</v>
      </c>
      <c r="BG15" s="7" t="n">
        <f aca="false">$N15</f>
        <v>82</v>
      </c>
      <c r="BH15" s="7" t="n">
        <f aca="false">$N15</f>
        <v>82</v>
      </c>
      <c r="BI15" s="7" t="n">
        <f aca="false">$O15</f>
        <v>87</v>
      </c>
      <c r="BJ15" s="7" t="n">
        <f aca="false">$O15</f>
        <v>87</v>
      </c>
      <c r="BK15" s="7" t="n">
        <f aca="false">$O15</f>
        <v>87</v>
      </c>
      <c r="BL15" s="7" t="n">
        <f aca="false">$O15</f>
        <v>87</v>
      </c>
      <c r="BM15" s="7" t="n">
        <f aca="false">$P15</f>
        <v>90</v>
      </c>
      <c r="BN15" s="7" t="n">
        <f aca="false">$P15</f>
        <v>90</v>
      </c>
      <c r="BO15" s="7" t="n">
        <f aca="false">$P15</f>
        <v>90</v>
      </c>
      <c r="BP15" s="7" t="n">
        <f aca="false">$P15</f>
        <v>90</v>
      </c>
    </row>
    <row r="16" customFormat="false" ht="15" hidden="false" customHeight="false" outlineLevel="0" collapsed="false">
      <c r="A16" s="0" t="s">
        <v>235</v>
      </c>
      <c r="B16" s="0" t="s">
        <v>127</v>
      </c>
      <c r="C16" s="0" t="s">
        <v>116</v>
      </c>
      <c r="D16" s="0" t="n">
        <f aca="false">SUM(Q16:BP16)</f>
        <v>1051</v>
      </c>
      <c r="E16" s="22" t="n">
        <v>3</v>
      </c>
      <c r="F16" s="22" t="n">
        <v>5</v>
      </c>
      <c r="G16" s="22" t="n">
        <v>8</v>
      </c>
      <c r="H16" s="22" t="n">
        <v>12</v>
      </c>
      <c r="I16" s="22" t="n">
        <v>16</v>
      </c>
      <c r="J16" s="22" t="n">
        <v>20</v>
      </c>
      <c r="K16" s="22" t="n">
        <v>24</v>
      </c>
      <c r="L16" s="22" t="n">
        <v>27</v>
      </c>
      <c r="M16" s="22" t="n">
        <v>30</v>
      </c>
      <c r="N16" s="22" t="n">
        <v>32</v>
      </c>
      <c r="O16" s="22" t="n">
        <v>33</v>
      </c>
      <c r="P16" s="22" t="n">
        <v>35</v>
      </c>
      <c r="Q16" s="7" t="n">
        <f aca="false">$E16</f>
        <v>3</v>
      </c>
      <c r="R16" s="7" t="n">
        <f aca="false">$E16</f>
        <v>3</v>
      </c>
      <c r="S16" s="7" t="n">
        <f aca="false">$E16</f>
        <v>3</v>
      </c>
      <c r="T16" s="7" t="n">
        <f aca="false">$E16</f>
        <v>3</v>
      </c>
      <c r="U16" s="7" t="n">
        <f aca="false">$E16</f>
        <v>3</v>
      </c>
      <c r="V16" s="7" t="n">
        <f aca="false">$F16</f>
        <v>5</v>
      </c>
      <c r="W16" s="7" t="n">
        <f aca="false">$F16</f>
        <v>5</v>
      </c>
      <c r="X16" s="7" t="n">
        <f aca="false">$F16</f>
        <v>5</v>
      </c>
      <c r="Y16" s="7" t="n">
        <f aca="false">$F16</f>
        <v>5</v>
      </c>
      <c r="Z16" s="7" t="n">
        <f aca="false">$G16</f>
        <v>8</v>
      </c>
      <c r="AA16" s="7" t="n">
        <f aca="false">$G16</f>
        <v>8</v>
      </c>
      <c r="AB16" s="7" t="n">
        <f aca="false">$G16</f>
        <v>8</v>
      </c>
      <c r="AC16" s="7" t="n">
        <f aca="false">$G16</f>
        <v>8</v>
      </c>
      <c r="AD16" s="7" t="n">
        <f aca="false">$H16</f>
        <v>12</v>
      </c>
      <c r="AE16" s="7" t="n">
        <f aca="false">$H16</f>
        <v>12</v>
      </c>
      <c r="AF16" s="7" t="n">
        <f aca="false">$H16</f>
        <v>12</v>
      </c>
      <c r="AG16" s="7" t="n">
        <f aca="false">$H16</f>
        <v>12</v>
      </c>
      <c r="AH16" s="7" t="n">
        <f aca="false">$H16</f>
        <v>12</v>
      </c>
      <c r="AI16" s="7" t="n">
        <f aca="false">$I16</f>
        <v>16</v>
      </c>
      <c r="AJ16" s="7" t="n">
        <f aca="false">$I16</f>
        <v>16</v>
      </c>
      <c r="AK16" s="7" t="n">
        <f aca="false">$I16</f>
        <v>16</v>
      </c>
      <c r="AL16" s="7" t="n">
        <f aca="false">$I16</f>
        <v>16</v>
      </c>
      <c r="AM16" s="7" t="n">
        <f aca="false">$J16</f>
        <v>20</v>
      </c>
      <c r="AN16" s="7" t="n">
        <f aca="false">$J16</f>
        <v>20</v>
      </c>
      <c r="AO16" s="7" t="n">
        <f aca="false">$J16</f>
        <v>20</v>
      </c>
      <c r="AP16" s="7" t="n">
        <f aca="false">$J16</f>
        <v>20</v>
      </c>
      <c r="AQ16" s="7" t="n">
        <f aca="false">$K16</f>
        <v>24</v>
      </c>
      <c r="AR16" s="7" t="n">
        <f aca="false">$K16</f>
        <v>24</v>
      </c>
      <c r="AS16" s="7" t="n">
        <f aca="false">$K16</f>
        <v>24</v>
      </c>
      <c r="AT16" s="7" t="n">
        <f aca="false">$K16</f>
        <v>24</v>
      </c>
      <c r="AU16" s="7" t="n">
        <f aca="false">$K16</f>
        <v>24</v>
      </c>
      <c r="AV16" s="7" t="n">
        <f aca="false">$L16</f>
        <v>27</v>
      </c>
      <c r="AW16" s="7" t="n">
        <f aca="false">$L16</f>
        <v>27</v>
      </c>
      <c r="AX16" s="7" t="n">
        <f aca="false">$L16</f>
        <v>27</v>
      </c>
      <c r="AY16" s="7" t="n">
        <f aca="false">$L16</f>
        <v>27</v>
      </c>
      <c r="AZ16" s="7" t="n">
        <f aca="false">$M16</f>
        <v>30</v>
      </c>
      <c r="BA16" s="7" t="n">
        <f aca="false">$M16</f>
        <v>30</v>
      </c>
      <c r="BB16" s="7" t="n">
        <f aca="false">$M16</f>
        <v>30</v>
      </c>
      <c r="BC16" s="7" t="n">
        <f aca="false">$M16</f>
        <v>30</v>
      </c>
      <c r="BD16" s="7" t="n">
        <f aca="false">$N16</f>
        <v>32</v>
      </c>
      <c r="BE16" s="7" t="n">
        <f aca="false">$N16</f>
        <v>32</v>
      </c>
      <c r="BF16" s="7" t="n">
        <f aca="false">$N16</f>
        <v>32</v>
      </c>
      <c r="BG16" s="7" t="n">
        <f aca="false">$N16</f>
        <v>32</v>
      </c>
      <c r="BH16" s="7" t="n">
        <f aca="false">$N16</f>
        <v>32</v>
      </c>
      <c r="BI16" s="7" t="n">
        <f aca="false">$O16</f>
        <v>33</v>
      </c>
      <c r="BJ16" s="7" t="n">
        <f aca="false">$O16</f>
        <v>33</v>
      </c>
      <c r="BK16" s="7" t="n">
        <f aca="false">$O16</f>
        <v>33</v>
      </c>
      <c r="BL16" s="7" t="n">
        <f aca="false">$O16</f>
        <v>33</v>
      </c>
      <c r="BM16" s="7" t="n">
        <f aca="false">$P16</f>
        <v>35</v>
      </c>
      <c r="BN16" s="7" t="n">
        <f aca="false">$P16</f>
        <v>35</v>
      </c>
      <c r="BO16" s="7" t="n">
        <f aca="false">$P16</f>
        <v>35</v>
      </c>
      <c r="BP16" s="7" t="n">
        <f aca="false">$P16</f>
        <v>35</v>
      </c>
    </row>
    <row r="17" customFormat="false" ht="15" hidden="false" customHeight="false" outlineLevel="0" collapsed="false">
      <c r="A17" s="0" t="s">
        <v>235</v>
      </c>
      <c r="B17" s="0" t="s">
        <v>127</v>
      </c>
      <c r="C17" s="0" t="s">
        <v>117</v>
      </c>
      <c r="D17" s="0" t="n">
        <f aca="false">SUM(Q17:BP17)</f>
        <v>770</v>
      </c>
      <c r="E17" s="22" t="n">
        <v>0</v>
      </c>
      <c r="F17" s="22" t="n">
        <v>0</v>
      </c>
      <c r="G17" s="22" t="n">
        <v>0</v>
      </c>
      <c r="H17" s="22" t="n">
        <v>5</v>
      </c>
      <c r="I17" s="22" t="n">
        <v>10</v>
      </c>
      <c r="J17" s="22" t="n">
        <v>15</v>
      </c>
      <c r="K17" s="22" t="n">
        <v>18</v>
      </c>
      <c r="L17" s="22" t="n">
        <v>22</v>
      </c>
      <c r="M17" s="22" t="n">
        <v>25</v>
      </c>
      <c r="N17" s="22" t="n">
        <v>27</v>
      </c>
      <c r="O17" s="22" t="n">
        <v>28</v>
      </c>
      <c r="P17" s="22" t="n">
        <v>30</v>
      </c>
      <c r="Q17" s="7" t="n">
        <f aca="false">$E17</f>
        <v>0</v>
      </c>
      <c r="R17" s="7" t="n">
        <f aca="false">$E17</f>
        <v>0</v>
      </c>
      <c r="S17" s="7" t="n">
        <f aca="false">$E17</f>
        <v>0</v>
      </c>
      <c r="T17" s="7" t="n">
        <f aca="false">$E17</f>
        <v>0</v>
      </c>
      <c r="U17" s="7" t="n">
        <f aca="false">$E17</f>
        <v>0</v>
      </c>
      <c r="V17" s="7" t="n">
        <f aca="false">$F17</f>
        <v>0</v>
      </c>
      <c r="W17" s="7" t="n">
        <f aca="false">$F17</f>
        <v>0</v>
      </c>
      <c r="X17" s="7" t="n">
        <f aca="false">$F17</f>
        <v>0</v>
      </c>
      <c r="Y17" s="7" t="n">
        <f aca="false">$F17</f>
        <v>0</v>
      </c>
      <c r="Z17" s="7" t="n">
        <f aca="false">$G17</f>
        <v>0</v>
      </c>
      <c r="AA17" s="7" t="n">
        <f aca="false">$G17</f>
        <v>0</v>
      </c>
      <c r="AB17" s="7" t="n">
        <f aca="false">$G17</f>
        <v>0</v>
      </c>
      <c r="AC17" s="7" t="n">
        <f aca="false">$G17</f>
        <v>0</v>
      </c>
      <c r="AD17" s="7" t="n">
        <f aca="false">$H17</f>
        <v>5</v>
      </c>
      <c r="AE17" s="7" t="n">
        <f aca="false">$H17</f>
        <v>5</v>
      </c>
      <c r="AF17" s="7" t="n">
        <f aca="false">$H17</f>
        <v>5</v>
      </c>
      <c r="AG17" s="7" t="n">
        <f aca="false">$H17</f>
        <v>5</v>
      </c>
      <c r="AH17" s="7" t="n">
        <f aca="false">$H17</f>
        <v>5</v>
      </c>
      <c r="AI17" s="7" t="n">
        <f aca="false">$I17</f>
        <v>10</v>
      </c>
      <c r="AJ17" s="7" t="n">
        <f aca="false">$I17</f>
        <v>10</v>
      </c>
      <c r="AK17" s="7" t="n">
        <f aca="false">$I17</f>
        <v>10</v>
      </c>
      <c r="AL17" s="7" t="n">
        <f aca="false">$I17</f>
        <v>10</v>
      </c>
      <c r="AM17" s="7" t="n">
        <f aca="false">$J17</f>
        <v>15</v>
      </c>
      <c r="AN17" s="7" t="n">
        <f aca="false">$J17</f>
        <v>15</v>
      </c>
      <c r="AO17" s="7" t="n">
        <f aca="false">$J17</f>
        <v>15</v>
      </c>
      <c r="AP17" s="7" t="n">
        <f aca="false">$J17</f>
        <v>15</v>
      </c>
      <c r="AQ17" s="7" t="n">
        <f aca="false">$K17</f>
        <v>18</v>
      </c>
      <c r="AR17" s="7" t="n">
        <f aca="false">$K17</f>
        <v>18</v>
      </c>
      <c r="AS17" s="7" t="n">
        <f aca="false">$K17</f>
        <v>18</v>
      </c>
      <c r="AT17" s="7" t="n">
        <f aca="false">$K17</f>
        <v>18</v>
      </c>
      <c r="AU17" s="7" t="n">
        <f aca="false">$K17</f>
        <v>18</v>
      </c>
      <c r="AV17" s="7" t="n">
        <f aca="false">$L17</f>
        <v>22</v>
      </c>
      <c r="AW17" s="7" t="n">
        <f aca="false">$L17</f>
        <v>22</v>
      </c>
      <c r="AX17" s="7" t="n">
        <f aca="false">$L17</f>
        <v>22</v>
      </c>
      <c r="AY17" s="7" t="n">
        <f aca="false">$L17</f>
        <v>22</v>
      </c>
      <c r="AZ17" s="7" t="n">
        <f aca="false">$M17</f>
        <v>25</v>
      </c>
      <c r="BA17" s="7" t="n">
        <f aca="false">$M17</f>
        <v>25</v>
      </c>
      <c r="BB17" s="7" t="n">
        <f aca="false">$M17</f>
        <v>25</v>
      </c>
      <c r="BC17" s="7" t="n">
        <f aca="false">$M17</f>
        <v>25</v>
      </c>
      <c r="BD17" s="7" t="n">
        <f aca="false">$N17</f>
        <v>27</v>
      </c>
      <c r="BE17" s="7" t="n">
        <f aca="false">$N17</f>
        <v>27</v>
      </c>
      <c r="BF17" s="7" t="n">
        <f aca="false">$N17</f>
        <v>27</v>
      </c>
      <c r="BG17" s="7" t="n">
        <f aca="false">$N17</f>
        <v>27</v>
      </c>
      <c r="BH17" s="7" t="n">
        <f aca="false">$N17</f>
        <v>27</v>
      </c>
      <c r="BI17" s="7" t="n">
        <f aca="false">$O17</f>
        <v>28</v>
      </c>
      <c r="BJ17" s="7" t="n">
        <f aca="false">$O17</f>
        <v>28</v>
      </c>
      <c r="BK17" s="7" t="n">
        <f aca="false">$O17</f>
        <v>28</v>
      </c>
      <c r="BL17" s="7" t="n">
        <f aca="false">$O17</f>
        <v>28</v>
      </c>
      <c r="BM17" s="7" t="n">
        <f aca="false">$P17</f>
        <v>30</v>
      </c>
      <c r="BN17" s="7" t="n">
        <f aca="false">$P17</f>
        <v>30</v>
      </c>
      <c r="BO17" s="7" t="n">
        <f aca="false">$P17</f>
        <v>30</v>
      </c>
      <c r="BP17" s="7" t="n">
        <f aca="false">$P17</f>
        <v>30</v>
      </c>
    </row>
    <row r="18" customFormat="false" ht="15" hidden="false" customHeight="false" outlineLevel="0" collapsed="false">
      <c r="A18" s="0" t="s">
        <v>235</v>
      </c>
      <c r="B18" s="0" t="s">
        <v>127</v>
      </c>
      <c r="C18" s="0" t="s">
        <v>118</v>
      </c>
      <c r="D18" s="0" t="n">
        <f aca="false">SUM(Q18:BP18)</f>
        <v>476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  <c r="J18" s="22" t="n">
        <v>0</v>
      </c>
      <c r="K18" s="22" t="n">
        <v>40</v>
      </c>
      <c r="L18" s="22" t="n">
        <v>0</v>
      </c>
      <c r="M18" s="22" t="n">
        <v>0</v>
      </c>
      <c r="N18" s="22" t="n">
        <v>20</v>
      </c>
      <c r="O18" s="22" t="n">
        <v>22</v>
      </c>
      <c r="P18" s="22" t="n">
        <v>22</v>
      </c>
      <c r="Q18" s="7" t="n">
        <f aca="false">$E18</f>
        <v>0</v>
      </c>
      <c r="R18" s="7" t="n">
        <f aca="false">$E18</f>
        <v>0</v>
      </c>
      <c r="S18" s="7" t="n">
        <f aca="false">$E18</f>
        <v>0</v>
      </c>
      <c r="T18" s="7" t="n">
        <f aca="false">$E18</f>
        <v>0</v>
      </c>
      <c r="U18" s="7" t="n">
        <f aca="false">$E18</f>
        <v>0</v>
      </c>
      <c r="V18" s="7" t="n">
        <f aca="false">$F18</f>
        <v>0</v>
      </c>
      <c r="W18" s="7" t="n">
        <f aca="false">$F18</f>
        <v>0</v>
      </c>
      <c r="X18" s="7" t="n">
        <f aca="false">$F18</f>
        <v>0</v>
      </c>
      <c r="Y18" s="7" t="n">
        <f aca="false">$F18</f>
        <v>0</v>
      </c>
      <c r="Z18" s="7" t="n">
        <f aca="false">$G18</f>
        <v>0</v>
      </c>
      <c r="AA18" s="7" t="n">
        <f aca="false">$G18</f>
        <v>0</v>
      </c>
      <c r="AB18" s="7" t="n">
        <f aca="false">$G18</f>
        <v>0</v>
      </c>
      <c r="AC18" s="7" t="n">
        <f aca="false">$G18</f>
        <v>0</v>
      </c>
      <c r="AD18" s="7" t="n">
        <f aca="false">$H18</f>
        <v>0</v>
      </c>
      <c r="AE18" s="7" t="n">
        <f aca="false">$H18</f>
        <v>0</v>
      </c>
      <c r="AF18" s="7" t="n">
        <f aca="false">$H18</f>
        <v>0</v>
      </c>
      <c r="AG18" s="7" t="n">
        <f aca="false">$H18</f>
        <v>0</v>
      </c>
      <c r="AH18" s="7" t="n">
        <f aca="false">$H18</f>
        <v>0</v>
      </c>
      <c r="AI18" s="7" t="n">
        <f aca="false">$I18</f>
        <v>0</v>
      </c>
      <c r="AJ18" s="7" t="n">
        <f aca="false">$I18</f>
        <v>0</v>
      </c>
      <c r="AK18" s="7" t="n">
        <f aca="false">$I18</f>
        <v>0</v>
      </c>
      <c r="AL18" s="7" t="n">
        <f aca="false">$I18</f>
        <v>0</v>
      </c>
      <c r="AM18" s="7" t="n">
        <f aca="false">$J18</f>
        <v>0</v>
      </c>
      <c r="AN18" s="7" t="n">
        <f aca="false">$J18</f>
        <v>0</v>
      </c>
      <c r="AO18" s="7" t="n">
        <f aca="false">$J18</f>
        <v>0</v>
      </c>
      <c r="AP18" s="7" t="n">
        <f aca="false">$J18</f>
        <v>0</v>
      </c>
      <c r="AQ18" s="7" t="n">
        <f aca="false">$K18</f>
        <v>40</v>
      </c>
      <c r="AR18" s="7" t="n">
        <f aca="false">$K18</f>
        <v>40</v>
      </c>
      <c r="AS18" s="7" t="n">
        <f aca="false">$K18</f>
        <v>40</v>
      </c>
      <c r="AT18" s="7" t="n">
        <f aca="false">$K18</f>
        <v>40</v>
      </c>
      <c r="AU18" s="7" t="n">
        <f aca="false">$K18</f>
        <v>40</v>
      </c>
      <c r="AV18" s="7" t="n">
        <f aca="false">$L18</f>
        <v>0</v>
      </c>
      <c r="AW18" s="7" t="n">
        <f aca="false">$L18</f>
        <v>0</v>
      </c>
      <c r="AX18" s="7" t="n">
        <f aca="false">$L18</f>
        <v>0</v>
      </c>
      <c r="AY18" s="7" t="n">
        <f aca="false">$L18</f>
        <v>0</v>
      </c>
      <c r="AZ18" s="7" t="n">
        <f aca="false">$M18</f>
        <v>0</v>
      </c>
      <c r="BA18" s="7" t="n">
        <f aca="false">$M18</f>
        <v>0</v>
      </c>
      <c r="BB18" s="7" t="n">
        <f aca="false">$M18</f>
        <v>0</v>
      </c>
      <c r="BC18" s="7" t="n">
        <f aca="false">$M18</f>
        <v>0</v>
      </c>
      <c r="BD18" s="7" t="n">
        <f aca="false">$N18</f>
        <v>20</v>
      </c>
      <c r="BE18" s="7" t="n">
        <f aca="false">$N18</f>
        <v>20</v>
      </c>
      <c r="BF18" s="7" t="n">
        <f aca="false">$N18</f>
        <v>20</v>
      </c>
      <c r="BG18" s="7" t="n">
        <f aca="false">$N18</f>
        <v>20</v>
      </c>
      <c r="BH18" s="7" t="n">
        <f aca="false">$N18</f>
        <v>20</v>
      </c>
      <c r="BI18" s="7" t="n">
        <f aca="false">$O18</f>
        <v>22</v>
      </c>
      <c r="BJ18" s="7" t="n">
        <f aca="false">$O18</f>
        <v>22</v>
      </c>
      <c r="BK18" s="7" t="n">
        <f aca="false">$O18</f>
        <v>22</v>
      </c>
      <c r="BL18" s="7" t="n">
        <f aca="false">$O18</f>
        <v>22</v>
      </c>
      <c r="BM18" s="7" t="n">
        <f aca="false">$P18</f>
        <v>22</v>
      </c>
      <c r="BN18" s="7" t="n">
        <f aca="false">$P18</f>
        <v>22</v>
      </c>
      <c r="BO18" s="7" t="n">
        <f aca="false">$P18</f>
        <v>22</v>
      </c>
      <c r="BP18" s="7" t="n">
        <f aca="false">$P18</f>
        <v>22</v>
      </c>
    </row>
    <row r="19" customFormat="false" ht="15" hidden="false" customHeight="false" outlineLevel="0" collapsed="false">
      <c r="A19" s="0" t="s">
        <v>235</v>
      </c>
      <c r="B19" s="0" t="s">
        <v>127</v>
      </c>
      <c r="C19" s="0" t="s">
        <v>119</v>
      </c>
      <c r="D19" s="0" t="n">
        <f aca="false">SUM(Q19:BP19)</f>
        <v>3042</v>
      </c>
      <c r="E19" s="13" t="n">
        <v>20</v>
      </c>
      <c r="F19" s="13" t="n">
        <v>28</v>
      </c>
      <c r="G19" s="13" t="n">
        <v>38</v>
      </c>
      <c r="H19" s="13" t="n">
        <v>48</v>
      </c>
      <c r="I19" s="13" t="n">
        <v>56</v>
      </c>
      <c r="J19" s="13" t="n">
        <v>62</v>
      </c>
      <c r="K19" s="13" t="n">
        <v>68</v>
      </c>
      <c r="L19" s="13" t="n">
        <v>72</v>
      </c>
      <c r="M19" s="13" t="n">
        <v>75</v>
      </c>
      <c r="N19" s="13" t="n">
        <v>78</v>
      </c>
      <c r="O19" s="13" t="n">
        <v>80</v>
      </c>
      <c r="P19" s="13" t="n">
        <v>82</v>
      </c>
      <c r="Q19" s="7" t="n">
        <f aca="false">$E19</f>
        <v>20</v>
      </c>
      <c r="R19" s="7" t="n">
        <f aca="false">$E19</f>
        <v>20</v>
      </c>
      <c r="S19" s="7" t="n">
        <f aca="false">$E19</f>
        <v>20</v>
      </c>
      <c r="T19" s="7" t="n">
        <f aca="false">$E19</f>
        <v>20</v>
      </c>
      <c r="U19" s="7" t="n">
        <f aca="false">$E19</f>
        <v>20</v>
      </c>
      <c r="V19" s="7" t="n">
        <f aca="false">$F19</f>
        <v>28</v>
      </c>
      <c r="W19" s="7" t="n">
        <f aca="false">$F19</f>
        <v>28</v>
      </c>
      <c r="X19" s="7" t="n">
        <f aca="false">$F19</f>
        <v>28</v>
      </c>
      <c r="Y19" s="7" t="n">
        <f aca="false">$F19</f>
        <v>28</v>
      </c>
      <c r="Z19" s="7" t="n">
        <f aca="false">$G19</f>
        <v>38</v>
      </c>
      <c r="AA19" s="7" t="n">
        <f aca="false">$G19</f>
        <v>38</v>
      </c>
      <c r="AB19" s="7" t="n">
        <f aca="false">$G19</f>
        <v>38</v>
      </c>
      <c r="AC19" s="7" t="n">
        <f aca="false">$G19</f>
        <v>38</v>
      </c>
      <c r="AD19" s="7" t="n">
        <f aca="false">$H19</f>
        <v>48</v>
      </c>
      <c r="AE19" s="7" t="n">
        <f aca="false">$H19</f>
        <v>48</v>
      </c>
      <c r="AF19" s="7" t="n">
        <f aca="false">$H19</f>
        <v>48</v>
      </c>
      <c r="AG19" s="7" t="n">
        <f aca="false">$H19</f>
        <v>48</v>
      </c>
      <c r="AH19" s="7" t="n">
        <f aca="false">$H19</f>
        <v>48</v>
      </c>
      <c r="AI19" s="7" t="n">
        <f aca="false">$I19</f>
        <v>56</v>
      </c>
      <c r="AJ19" s="7" t="n">
        <f aca="false">$I19</f>
        <v>56</v>
      </c>
      <c r="AK19" s="7" t="n">
        <f aca="false">$I19</f>
        <v>56</v>
      </c>
      <c r="AL19" s="7" t="n">
        <f aca="false">$I19</f>
        <v>56</v>
      </c>
      <c r="AM19" s="7" t="n">
        <f aca="false">$J19</f>
        <v>62</v>
      </c>
      <c r="AN19" s="7" t="n">
        <f aca="false">$J19</f>
        <v>62</v>
      </c>
      <c r="AO19" s="7" t="n">
        <f aca="false">$J19</f>
        <v>62</v>
      </c>
      <c r="AP19" s="7" t="n">
        <f aca="false">$J19</f>
        <v>62</v>
      </c>
      <c r="AQ19" s="7" t="n">
        <f aca="false">$K19</f>
        <v>68</v>
      </c>
      <c r="AR19" s="7" t="n">
        <f aca="false">$K19</f>
        <v>68</v>
      </c>
      <c r="AS19" s="7" t="n">
        <f aca="false">$K19</f>
        <v>68</v>
      </c>
      <c r="AT19" s="7" t="n">
        <f aca="false">$K19</f>
        <v>68</v>
      </c>
      <c r="AU19" s="7" t="n">
        <f aca="false">$K19</f>
        <v>68</v>
      </c>
      <c r="AV19" s="7" t="n">
        <f aca="false">$L19</f>
        <v>72</v>
      </c>
      <c r="AW19" s="7" t="n">
        <f aca="false">$L19</f>
        <v>72</v>
      </c>
      <c r="AX19" s="7" t="n">
        <f aca="false">$L19</f>
        <v>72</v>
      </c>
      <c r="AY19" s="7" t="n">
        <f aca="false">$L19</f>
        <v>72</v>
      </c>
      <c r="AZ19" s="7" t="n">
        <f aca="false">$M19</f>
        <v>75</v>
      </c>
      <c r="BA19" s="7" t="n">
        <f aca="false">$M19</f>
        <v>75</v>
      </c>
      <c r="BB19" s="7" t="n">
        <f aca="false">$M19</f>
        <v>75</v>
      </c>
      <c r="BC19" s="7" t="n">
        <f aca="false">$M19</f>
        <v>75</v>
      </c>
      <c r="BD19" s="7" t="n">
        <f aca="false">$N19</f>
        <v>78</v>
      </c>
      <c r="BE19" s="7" t="n">
        <f aca="false">$N19</f>
        <v>78</v>
      </c>
      <c r="BF19" s="7" t="n">
        <f aca="false">$N19</f>
        <v>78</v>
      </c>
      <c r="BG19" s="7" t="n">
        <f aca="false">$N19</f>
        <v>78</v>
      </c>
      <c r="BH19" s="7" t="n">
        <f aca="false">$N19</f>
        <v>78</v>
      </c>
      <c r="BI19" s="7" t="n">
        <f aca="false">$O19</f>
        <v>80</v>
      </c>
      <c r="BJ19" s="7" t="n">
        <f aca="false">$O19</f>
        <v>80</v>
      </c>
      <c r="BK19" s="7" t="n">
        <f aca="false">$O19</f>
        <v>80</v>
      </c>
      <c r="BL19" s="7" t="n">
        <f aca="false">$O19</f>
        <v>80</v>
      </c>
      <c r="BM19" s="7" t="n">
        <f aca="false">$P19</f>
        <v>82</v>
      </c>
      <c r="BN19" s="7" t="n">
        <f aca="false">$P19</f>
        <v>82</v>
      </c>
      <c r="BO19" s="7" t="n">
        <f aca="false">$P19</f>
        <v>82</v>
      </c>
      <c r="BP19" s="7" t="n">
        <f aca="false">$P19</f>
        <v>82</v>
      </c>
    </row>
    <row r="20" customFormat="false" ht="15" hidden="false" customHeight="false" outlineLevel="0" collapsed="false">
      <c r="A20" s="0" t="s">
        <v>235</v>
      </c>
      <c r="B20" s="0" t="s">
        <v>127</v>
      </c>
      <c r="C20" s="0" t="s">
        <v>120</v>
      </c>
      <c r="D20" s="0" t="n">
        <f aca="false">SUM(Q20:BP20)</f>
        <v>2942</v>
      </c>
      <c r="E20" s="13" t="n">
        <v>15</v>
      </c>
      <c r="F20" s="13" t="n">
        <v>22</v>
      </c>
      <c r="G20" s="13" t="n">
        <v>32</v>
      </c>
      <c r="H20" s="13" t="n">
        <v>45</v>
      </c>
      <c r="I20" s="13" t="n">
        <v>55</v>
      </c>
      <c r="J20" s="13" t="n">
        <v>62</v>
      </c>
      <c r="K20" s="13" t="n">
        <v>68</v>
      </c>
      <c r="L20" s="13" t="n">
        <v>72</v>
      </c>
      <c r="M20" s="13" t="n">
        <v>75</v>
      </c>
      <c r="N20" s="13" t="n">
        <v>78</v>
      </c>
      <c r="O20" s="13" t="n">
        <v>80</v>
      </c>
      <c r="P20" s="13" t="n">
        <v>80</v>
      </c>
      <c r="Q20" s="7" t="n">
        <f aca="false">$E20</f>
        <v>15</v>
      </c>
      <c r="R20" s="7" t="n">
        <f aca="false">$E20</f>
        <v>15</v>
      </c>
      <c r="S20" s="7" t="n">
        <f aca="false">$E20</f>
        <v>15</v>
      </c>
      <c r="T20" s="7" t="n">
        <f aca="false">$E20</f>
        <v>15</v>
      </c>
      <c r="U20" s="7" t="n">
        <f aca="false">$E20</f>
        <v>15</v>
      </c>
      <c r="V20" s="7" t="n">
        <f aca="false">$F20</f>
        <v>22</v>
      </c>
      <c r="W20" s="7" t="n">
        <f aca="false">$F20</f>
        <v>22</v>
      </c>
      <c r="X20" s="7" t="n">
        <f aca="false">$F20</f>
        <v>22</v>
      </c>
      <c r="Y20" s="7" t="n">
        <f aca="false">$F20</f>
        <v>22</v>
      </c>
      <c r="Z20" s="7" t="n">
        <f aca="false">$G20</f>
        <v>32</v>
      </c>
      <c r="AA20" s="7" t="n">
        <f aca="false">$G20</f>
        <v>32</v>
      </c>
      <c r="AB20" s="7" t="n">
        <f aca="false">$G20</f>
        <v>32</v>
      </c>
      <c r="AC20" s="7" t="n">
        <f aca="false">$G20</f>
        <v>32</v>
      </c>
      <c r="AD20" s="7" t="n">
        <f aca="false">$H20</f>
        <v>45</v>
      </c>
      <c r="AE20" s="7" t="n">
        <f aca="false">$H20</f>
        <v>45</v>
      </c>
      <c r="AF20" s="7" t="n">
        <f aca="false">$H20</f>
        <v>45</v>
      </c>
      <c r="AG20" s="7" t="n">
        <f aca="false">$H20</f>
        <v>45</v>
      </c>
      <c r="AH20" s="7" t="n">
        <f aca="false">$H20</f>
        <v>45</v>
      </c>
      <c r="AI20" s="7" t="n">
        <f aca="false">$I20</f>
        <v>55</v>
      </c>
      <c r="AJ20" s="7" t="n">
        <f aca="false">$I20</f>
        <v>55</v>
      </c>
      <c r="AK20" s="7" t="n">
        <f aca="false">$I20</f>
        <v>55</v>
      </c>
      <c r="AL20" s="7" t="n">
        <f aca="false">$I20</f>
        <v>55</v>
      </c>
      <c r="AM20" s="7" t="n">
        <f aca="false">$J20</f>
        <v>62</v>
      </c>
      <c r="AN20" s="7" t="n">
        <f aca="false">$J20</f>
        <v>62</v>
      </c>
      <c r="AO20" s="7" t="n">
        <f aca="false">$J20</f>
        <v>62</v>
      </c>
      <c r="AP20" s="7" t="n">
        <f aca="false">$J20</f>
        <v>62</v>
      </c>
      <c r="AQ20" s="7" t="n">
        <f aca="false">$K20</f>
        <v>68</v>
      </c>
      <c r="AR20" s="7" t="n">
        <f aca="false">$K20</f>
        <v>68</v>
      </c>
      <c r="AS20" s="7" t="n">
        <f aca="false">$K20</f>
        <v>68</v>
      </c>
      <c r="AT20" s="7" t="n">
        <f aca="false">$K20</f>
        <v>68</v>
      </c>
      <c r="AU20" s="7" t="n">
        <f aca="false">$K20</f>
        <v>68</v>
      </c>
      <c r="AV20" s="7" t="n">
        <f aca="false">$L20</f>
        <v>72</v>
      </c>
      <c r="AW20" s="7" t="n">
        <f aca="false">$L20</f>
        <v>72</v>
      </c>
      <c r="AX20" s="7" t="n">
        <f aca="false">$L20</f>
        <v>72</v>
      </c>
      <c r="AY20" s="7" t="n">
        <f aca="false">$L20</f>
        <v>72</v>
      </c>
      <c r="AZ20" s="7" t="n">
        <f aca="false">$M20</f>
        <v>75</v>
      </c>
      <c r="BA20" s="7" t="n">
        <f aca="false">$M20</f>
        <v>75</v>
      </c>
      <c r="BB20" s="7" t="n">
        <f aca="false">$M20</f>
        <v>75</v>
      </c>
      <c r="BC20" s="7" t="n">
        <f aca="false">$M20</f>
        <v>75</v>
      </c>
      <c r="BD20" s="7" t="n">
        <f aca="false">$N20</f>
        <v>78</v>
      </c>
      <c r="BE20" s="7" t="n">
        <f aca="false">$N20</f>
        <v>78</v>
      </c>
      <c r="BF20" s="7" t="n">
        <f aca="false">$N20</f>
        <v>78</v>
      </c>
      <c r="BG20" s="7" t="n">
        <f aca="false">$N20</f>
        <v>78</v>
      </c>
      <c r="BH20" s="7" t="n">
        <f aca="false">$N20</f>
        <v>78</v>
      </c>
      <c r="BI20" s="7" t="n">
        <f aca="false">$O20</f>
        <v>80</v>
      </c>
      <c r="BJ20" s="7" t="n">
        <f aca="false">$O20</f>
        <v>80</v>
      </c>
      <c r="BK20" s="7" t="n">
        <f aca="false">$O20</f>
        <v>80</v>
      </c>
      <c r="BL20" s="7" t="n">
        <f aca="false">$O20</f>
        <v>80</v>
      </c>
      <c r="BM20" s="7" t="n">
        <f aca="false">$P20</f>
        <v>80</v>
      </c>
      <c r="BN20" s="7" t="n">
        <f aca="false">$P20</f>
        <v>80</v>
      </c>
      <c r="BO20" s="7" t="n">
        <f aca="false">$P20</f>
        <v>80</v>
      </c>
      <c r="BP20" s="7" t="n">
        <f aca="false">$P20</f>
        <v>80</v>
      </c>
    </row>
    <row r="21" customFormat="false" ht="15" hidden="false" customHeight="false" outlineLevel="0" collapsed="false">
      <c r="A21" s="0" t="s">
        <v>235</v>
      </c>
      <c r="B21" s="0" t="s">
        <v>127</v>
      </c>
      <c r="C21" s="0" t="s">
        <v>121</v>
      </c>
      <c r="D21" s="0" t="n">
        <f aca="false">SUM(Q21:BP21)</f>
        <v>1949</v>
      </c>
      <c r="E21" s="13" t="n">
        <v>10</v>
      </c>
      <c r="F21" s="13" t="n">
        <v>16</v>
      </c>
      <c r="G21" s="13" t="n">
        <v>24</v>
      </c>
      <c r="H21" s="13" t="n">
        <v>32</v>
      </c>
      <c r="I21" s="13" t="n">
        <v>38</v>
      </c>
      <c r="J21" s="13" t="n">
        <v>42</v>
      </c>
      <c r="K21" s="13" t="n">
        <v>45</v>
      </c>
      <c r="L21" s="13" t="n">
        <v>47</v>
      </c>
      <c r="M21" s="13" t="n">
        <v>49</v>
      </c>
      <c r="N21" s="13" t="n">
        <v>50</v>
      </c>
      <c r="O21" s="13" t="n">
        <v>50</v>
      </c>
      <c r="P21" s="13" t="n">
        <v>50</v>
      </c>
      <c r="Q21" s="7" t="n">
        <f aca="false">$E21</f>
        <v>10</v>
      </c>
      <c r="R21" s="7" t="n">
        <f aca="false">$E21</f>
        <v>10</v>
      </c>
      <c r="S21" s="7" t="n">
        <f aca="false">$E21</f>
        <v>10</v>
      </c>
      <c r="T21" s="7" t="n">
        <f aca="false">$E21</f>
        <v>10</v>
      </c>
      <c r="U21" s="7" t="n">
        <f aca="false">$E21</f>
        <v>10</v>
      </c>
      <c r="V21" s="7" t="n">
        <f aca="false">$F21</f>
        <v>16</v>
      </c>
      <c r="W21" s="7" t="n">
        <f aca="false">$F21</f>
        <v>16</v>
      </c>
      <c r="X21" s="7" t="n">
        <f aca="false">$F21</f>
        <v>16</v>
      </c>
      <c r="Y21" s="7" t="n">
        <f aca="false">$F21</f>
        <v>16</v>
      </c>
      <c r="Z21" s="7" t="n">
        <f aca="false">$G21</f>
        <v>24</v>
      </c>
      <c r="AA21" s="7" t="n">
        <f aca="false">$G21</f>
        <v>24</v>
      </c>
      <c r="AB21" s="7" t="n">
        <f aca="false">$G21</f>
        <v>24</v>
      </c>
      <c r="AC21" s="7" t="n">
        <f aca="false">$G21</f>
        <v>24</v>
      </c>
      <c r="AD21" s="7" t="n">
        <f aca="false">$H21</f>
        <v>32</v>
      </c>
      <c r="AE21" s="7" t="n">
        <f aca="false">$H21</f>
        <v>32</v>
      </c>
      <c r="AF21" s="7" t="n">
        <f aca="false">$H21</f>
        <v>32</v>
      </c>
      <c r="AG21" s="7" t="n">
        <f aca="false">$H21</f>
        <v>32</v>
      </c>
      <c r="AH21" s="7" t="n">
        <f aca="false">$H21</f>
        <v>32</v>
      </c>
      <c r="AI21" s="7" t="n">
        <f aca="false">$I21</f>
        <v>38</v>
      </c>
      <c r="AJ21" s="7" t="n">
        <f aca="false">$I21</f>
        <v>38</v>
      </c>
      <c r="AK21" s="7" t="n">
        <f aca="false">$I21</f>
        <v>38</v>
      </c>
      <c r="AL21" s="7" t="n">
        <f aca="false">$I21</f>
        <v>38</v>
      </c>
      <c r="AM21" s="7" t="n">
        <f aca="false">$J21</f>
        <v>42</v>
      </c>
      <c r="AN21" s="7" t="n">
        <f aca="false">$J21</f>
        <v>42</v>
      </c>
      <c r="AO21" s="7" t="n">
        <f aca="false">$J21</f>
        <v>42</v>
      </c>
      <c r="AP21" s="7" t="n">
        <f aca="false">$J21</f>
        <v>42</v>
      </c>
      <c r="AQ21" s="7" t="n">
        <f aca="false">$K21</f>
        <v>45</v>
      </c>
      <c r="AR21" s="7" t="n">
        <f aca="false">$K21</f>
        <v>45</v>
      </c>
      <c r="AS21" s="7" t="n">
        <f aca="false">$K21</f>
        <v>45</v>
      </c>
      <c r="AT21" s="7" t="n">
        <f aca="false">$K21</f>
        <v>45</v>
      </c>
      <c r="AU21" s="7" t="n">
        <f aca="false">$K21</f>
        <v>45</v>
      </c>
      <c r="AV21" s="7" t="n">
        <f aca="false">$L21</f>
        <v>47</v>
      </c>
      <c r="AW21" s="7" t="n">
        <f aca="false">$L21</f>
        <v>47</v>
      </c>
      <c r="AX21" s="7" t="n">
        <f aca="false">$L21</f>
        <v>47</v>
      </c>
      <c r="AY21" s="7" t="n">
        <f aca="false">$L21</f>
        <v>47</v>
      </c>
      <c r="AZ21" s="7" t="n">
        <f aca="false">$M21</f>
        <v>49</v>
      </c>
      <c r="BA21" s="7" t="n">
        <f aca="false">$M21</f>
        <v>49</v>
      </c>
      <c r="BB21" s="7" t="n">
        <f aca="false">$M21</f>
        <v>49</v>
      </c>
      <c r="BC21" s="7" t="n">
        <f aca="false">$M21</f>
        <v>49</v>
      </c>
      <c r="BD21" s="7" t="n">
        <f aca="false">$N21</f>
        <v>50</v>
      </c>
      <c r="BE21" s="7" t="n">
        <f aca="false">$N21</f>
        <v>50</v>
      </c>
      <c r="BF21" s="7" t="n">
        <f aca="false">$N21</f>
        <v>50</v>
      </c>
      <c r="BG21" s="7" t="n">
        <f aca="false">$N21</f>
        <v>50</v>
      </c>
      <c r="BH21" s="7" t="n">
        <f aca="false">$N21</f>
        <v>50</v>
      </c>
      <c r="BI21" s="7" t="n">
        <f aca="false">$O21</f>
        <v>50</v>
      </c>
      <c r="BJ21" s="7" t="n">
        <f aca="false">$O21</f>
        <v>50</v>
      </c>
      <c r="BK21" s="7" t="n">
        <f aca="false">$O21</f>
        <v>50</v>
      </c>
      <c r="BL21" s="7" t="n">
        <f aca="false">$O21</f>
        <v>50</v>
      </c>
      <c r="BM21" s="7" t="n">
        <f aca="false">$P21</f>
        <v>50</v>
      </c>
      <c r="BN21" s="7" t="n">
        <f aca="false">$P21</f>
        <v>50</v>
      </c>
      <c r="BO21" s="7" t="n">
        <f aca="false">$P21</f>
        <v>50</v>
      </c>
      <c r="BP21" s="7" t="n">
        <f aca="false">$P21</f>
        <v>50</v>
      </c>
    </row>
    <row r="22" customFormat="false" ht="15" hidden="false" customHeight="false" outlineLevel="0" collapsed="false">
      <c r="A22" s="0" t="s">
        <v>235</v>
      </c>
      <c r="B22" s="0" t="s">
        <v>127</v>
      </c>
      <c r="C22" s="0" t="s">
        <v>122</v>
      </c>
      <c r="D22" s="0" t="n">
        <f aca="false">SUM(Q22:BP22)</f>
        <v>1557</v>
      </c>
      <c r="E22" s="13" t="n">
        <v>8</v>
      </c>
      <c r="F22" s="13" t="n">
        <v>12</v>
      </c>
      <c r="G22" s="13" t="n">
        <v>18</v>
      </c>
      <c r="H22" s="13" t="n">
        <v>24</v>
      </c>
      <c r="I22" s="13" t="n">
        <v>30</v>
      </c>
      <c r="J22" s="13" t="n">
        <v>34</v>
      </c>
      <c r="K22" s="13" t="n">
        <v>37</v>
      </c>
      <c r="L22" s="13" t="n">
        <v>39</v>
      </c>
      <c r="M22" s="13" t="n">
        <v>40</v>
      </c>
      <c r="N22" s="13" t="n">
        <v>40</v>
      </c>
      <c r="O22" s="13" t="n">
        <v>40</v>
      </c>
      <c r="P22" s="13" t="n">
        <v>40</v>
      </c>
      <c r="Q22" s="7" t="n">
        <f aca="false">$E22</f>
        <v>8</v>
      </c>
      <c r="R22" s="7" t="n">
        <f aca="false">$E22</f>
        <v>8</v>
      </c>
      <c r="S22" s="7" t="n">
        <f aca="false">$E22</f>
        <v>8</v>
      </c>
      <c r="T22" s="7" t="n">
        <f aca="false">$E22</f>
        <v>8</v>
      </c>
      <c r="U22" s="7" t="n">
        <f aca="false">$E22</f>
        <v>8</v>
      </c>
      <c r="V22" s="7" t="n">
        <f aca="false">$F22</f>
        <v>12</v>
      </c>
      <c r="W22" s="7" t="n">
        <f aca="false">$F22</f>
        <v>12</v>
      </c>
      <c r="X22" s="7" t="n">
        <f aca="false">$F22</f>
        <v>12</v>
      </c>
      <c r="Y22" s="7" t="n">
        <f aca="false">$F22</f>
        <v>12</v>
      </c>
      <c r="Z22" s="7" t="n">
        <f aca="false">$G22</f>
        <v>18</v>
      </c>
      <c r="AA22" s="7" t="n">
        <f aca="false">$G22</f>
        <v>18</v>
      </c>
      <c r="AB22" s="7" t="n">
        <f aca="false">$G22</f>
        <v>18</v>
      </c>
      <c r="AC22" s="7" t="n">
        <f aca="false">$G22</f>
        <v>18</v>
      </c>
      <c r="AD22" s="7" t="n">
        <f aca="false">$H22</f>
        <v>24</v>
      </c>
      <c r="AE22" s="7" t="n">
        <f aca="false">$H22</f>
        <v>24</v>
      </c>
      <c r="AF22" s="7" t="n">
        <f aca="false">$H22</f>
        <v>24</v>
      </c>
      <c r="AG22" s="7" t="n">
        <f aca="false">$H22</f>
        <v>24</v>
      </c>
      <c r="AH22" s="7" t="n">
        <f aca="false">$H22</f>
        <v>24</v>
      </c>
      <c r="AI22" s="7" t="n">
        <f aca="false">$I22</f>
        <v>30</v>
      </c>
      <c r="AJ22" s="7" t="n">
        <f aca="false">$I22</f>
        <v>30</v>
      </c>
      <c r="AK22" s="7" t="n">
        <f aca="false">$I22</f>
        <v>30</v>
      </c>
      <c r="AL22" s="7" t="n">
        <f aca="false">$I22</f>
        <v>30</v>
      </c>
      <c r="AM22" s="7" t="n">
        <f aca="false">$J22</f>
        <v>34</v>
      </c>
      <c r="AN22" s="7" t="n">
        <f aca="false">$J22</f>
        <v>34</v>
      </c>
      <c r="AO22" s="7" t="n">
        <f aca="false">$J22</f>
        <v>34</v>
      </c>
      <c r="AP22" s="7" t="n">
        <f aca="false">$J22</f>
        <v>34</v>
      </c>
      <c r="AQ22" s="7" t="n">
        <f aca="false">$K22</f>
        <v>37</v>
      </c>
      <c r="AR22" s="7" t="n">
        <f aca="false">$K22</f>
        <v>37</v>
      </c>
      <c r="AS22" s="7" t="n">
        <f aca="false">$K22</f>
        <v>37</v>
      </c>
      <c r="AT22" s="7" t="n">
        <f aca="false">$K22</f>
        <v>37</v>
      </c>
      <c r="AU22" s="7" t="n">
        <f aca="false">$K22</f>
        <v>37</v>
      </c>
      <c r="AV22" s="7" t="n">
        <f aca="false">$L22</f>
        <v>39</v>
      </c>
      <c r="AW22" s="7" t="n">
        <f aca="false">$L22</f>
        <v>39</v>
      </c>
      <c r="AX22" s="7" t="n">
        <f aca="false">$L22</f>
        <v>39</v>
      </c>
      <c r="AY22" s="7" t="n">
        <f aca="false">$L22</f>
        <v>39</v>
      </c>
      <c r="AZ22" s="7" t="n">
        <f aca="false">$M22</f>
        <v>40</v>
      </c>
      <c r="BA22" s="7" t="n">
        <f aca="false">$M22</f>
        <v>40</v>
      </c>
      <c r="BB22" s="7" t="n">
        <f aca="false">$M22</f>
        <v>40</v>
      </c>
      <c r="BC22" s="7" t="n">
        <f aca="false">$M22</f>
        <v>40</v>
      </c>
      <c r="BD22" s="7" t="n">
        <f aca="false">$N22</f>
        <v>40</v>
      </c>
      <c r="BE22" s="7" t="n">
        <f aca="false">$N22</f>
        <v>40</v>
      </c>
      <c r="BF22" s="7" t="n">
        <f aca="false">$N22</f>
        <v>40</v>
      </c>
      <c r="BG22" s="7" t="n">
        <f aca="false">$N22</f>
        <v>40</v>
      </c>
      <c r="BH22" s="7" t="n">
        <f aca="false">$N22</f>
        <v>40</v>
      </c>
      <c r="BI22" s="7" t="n">
        <f aca="false">$O22</f>
        <v>40</v>
      </c>
      <c r="BJ22" s="7" t="n">
        <f aca="false">$O22</f>
        <v>40</v>
      </c>
      <c r="BK22" s="7" t="n">
        <f aca="false">$O22</f>
        <v>40</v>
      </c>
      <c r="BL22" s="7" t="n">
        <f aca="false">$O22</f>
        <v>40</v>
      </c>
      <c r="BM22" s="7" t="n">
        <f aca="false">$P22</f>
        <v>40</v>
      </c>
      <c r="BN22" s="7" t="n">
        <f aca="false">$P22</f>
        <v>40</v>
      </c>
      <c r="BO22" s="7" t="n">
        <f aca="false">$P22</f>
        <v>40</v>
      </c>
      <c r="BP22" s="7" t="n">
        <f aca="false">$P22</f>
        <v>40</v>
      </c>
    </row>
    <row r="23" customFormat="false" ht="15" hidden="false" customHeight="false" outlineLevel="0" collapsed="false">
      <c r="A23" s="0" t="s">
        <v>235</v>
      </c>
      <c r="B23" s="0" t="s">
        <v>127</v>
      </c>
      <c r="C23" s="0" t="s">
        <v>123</v>
      </c>
      <c r="D23" s="0" t="n">
        <f aca="false">SUM(Q23:BP23)</f>
        <v>0</v>
      </c>
      <c r="E23" s="13" t="n">
        <v>0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7" t="n">
        <f aca="false">$E23</f>
        <v>0</v>
      </c>
      <c r="R23" s="7" t="n">
        <f aca="false">$E23</f>
        <v>0</v>
      </c>
      <c r="S23" s="7" t="n">
        <f aca="false">$E23</f>
        <v>0</v>
      </c>
      <c r="T23" s="7" t="n">
        <f aca="false">$E23</f>
        <v>0</v>
      </c>
      <c r="U23" s="7" t="n">
        <f aca="false">$E23</f>
        <v>0</v>
      </c>
      <c r="V23" s="7" t="n">
        <f aca="false">$F23</f>
        <v>0</v>
      </c>
      <c r="W23" s="7" t="n">
        <f aca="false">$F23</f>
        <v>0</v>
      </c>
      <c r="X23" s="7" t="n">
        <f aca="false">$F23</f>
        <v>0</v>
      </c>
      <c r="Y23" s="7" t="n">
        <f aca="false">$F23</f>
        <v>0</v>
      </c>
      <c r="Z23" s="7" t="n">
        <f aca="false">$G23</f>
        <v>0</v>
      </c>
      <c r="AA23" s="7" t="n">
        <f aca="false">$G23</f>
        <v>0</v>
      </c>
      <c r="AB23" s="7" t="n">
        <f aca="false">$G23</f>
        <v>0</v>
      </c>
      <c r="AC23" s="7" t="n">
        <f aca="false">$G23</f>
        <v>0</v>
      </c>
      <c r="AD23" s="7" t="n">
        <f aca="false">$H23</f>
        <v>0</v>
      </c>
      <c r="AE23" s="7" t="n">
        <f aca="false">$H23</f>
        <v>0</v>
      </c>
      <c r="AF23" s="7" t="n">
        <f aca="false">$H23</f>
        <v>0</v>
      </c>
      <c r="AG23" s="7" t="n">
        <f aca="false">$H23</f>
        <v>0</v>
      </c>
      <c r="AH23" s="7" t="n">
        <f aca="false">$H23</f>
        <v>0</v>
      </c>
      <c r="AI23" s="7" t="n">
        <f aca="false">$I23</f>
        <v>0</v>
      </c>
      <c r="AJ23" s="7" t="n">
        <f aca="false">$I23</f>
        <v>0</v>
      </c>
      <c r="AK23" s="7" t="n">
        <f aca="false">$I23</f>
        <v>0</v>
      </c>
      <c r="AL23" s="7" t="n">
        <f aca="false">$I23</f>
        <v>0</v>
      </c>
      <c r="AM23" s="7" t="n">
        <f aca="false">$J23</f>
        <v>0</v>
      </c>
      <c r="AN23" s="7" t="n">
        <f aca="false">$J23</f>
        <v>0</v>
      </c>
      <c r="AO23" s="7" t="n">
        <f aca="false">$J23</f>
        <v>0</v>
      </c>
      <c r="AP23" s="7" t="n">
        <f aca="false">$J23</f>
        <v>0</v>
      </c>
      <c r="AQ23" s="7" t="n">
        <f aca="false">$K23</f>
        <v>0</v>
      </c>
      <c r="AR23" s="7" t="n">
        <f aca="false">$K23</f>
        <v>0</v>
      </c>
      <c r="AS23" s="7" t="n">
        <f aca="false">$K23</f>
        <v>0</v>
      </c>
      <c r="AT23" s="7" t="n">
        <f aca="false">$K23</f>
        <v>0</v>
      </c>
      <c r="AU23" s="7" t="n">
        <f aca="false">$K23</f>
        <v>0</v>
      </c>
      <c r="AV23" s="7" t="n">
        <f aca="false">$L23</f>
        <v>0</v>
      </c>
      <c r="AW23" s="7" t="n">
        <f aca="false">$L23</f>
        <v>0</v>
      </c>
      <c r="AX23" s="7" t="n">
        <f aca="false">$L23</f>
        <v>0</v>
      </c>
      <c r="AY23" s="7" t="n">
        <f aca="false">$L23</f>
        <v>0</v>
      </c>
      <c r="AZ23" s="7" t="n">
        <f aca="false">$M23</f>
        <v>0</v>
      </c>
      <c r="BA23" s="7" t="n">
        <f aca="false">$M23</f>
        <v>0</v>
      </c>
      <c r="BB23" s="7" t="n">
        <f aca="false">$M23</f>
        <v>0</v>
      </c>
      <c r="BC23" s="7" t="n">
        <f aca="false">$M23</f>
        <v>0</v>
      </c>
      <c r="BD23" s="7" t="n">
        <f aca="false">$N23</f>
        <v>0</v>
      </c>
      <c r="BE23" s="7" t="n">
        <f aca="false">$N23</f>
        <v>0</v>
      </c>
      <c r="BF23" s="7" t="n">
        <f aca="false">$N23</f>
        <v>0</v>
      </c>
      <c r="BG23" s="7" t="n">
        <f aca="false">$N23</f>
        <v>0</v>
      </c>
      <c r="BH23" s="7" t="n">
        <f aca="false">$N23</f>
        <v>0</v>
      </c>
      <c r="BI23" s="7" t="n">
        <f aca="false">$O23</f>
        <v>0</v>
      </c>
      <c r="BJ23" s="7" t="n">
        <f aca="false">$O23</f>
        <v>0</v>
      </c>
      <c r="BK23" s="7" t="n">
        <f aca="false">$O23</f>
        <v>0</v>
      </c>
      <c r="BL23" s="7" t="n">
        <f aca="false">$O23</f>
        <v>0</v>
      </c>
      <c r="BM23" s="7" t="n">
        <f aca="false">$P23</f>
        <v>0</v>
      </c>
      <c r="BN23" s="7" t="n">
        <f aca="false">$P23</f>
        <v>0</v>
      </c>
      <c r="BO23" s="7" t="n">
        <f aca="false">$P23</f>
        <v>0</v>
      </c>
      <c r="BP23" s="7" t="n">
        <f aca="false">$P23</f>
        <v>0</v>
      </c>
    </row>
    <row r="24" customFormat="false" ht="15" hidden="false" customHeight="false" outlineLevel="0" collapsed="false">
      <c r="A24" s="0" t="s">
        <v>235</v>
      </c>
      <c r="B24" s="0" t="s">
        <v>128</v>
      </c>
      <c r="C24" s="0" t="s">
        <v>115</v>
      </c>
      <c r="D24" s="0" t="n">
        <f aca="false">SUM(Q24:BP24)</f>
        <v>646</v>
      </c>
      <c r="E24" s="22" t="n">
        <v>0</v>
      </c>
      <c r="F24" s="22" t="n">
        <v>0</v>
      </c>
      <c r="G24" s="22" t="n">
        <v>2</v>
      </c>
      <c r="H24" s="22" t="n">
        <v>5</v>
      </c>
      <c r="I24" s="22" t="n">
        <v>8</v>
      </c>
      <c r="J24" s="22" t="n">
        <v>12</v>
      </c>
      <c r="K24" s="22" t="n">
        <v>15</v>
      </c>
      <c r="L24" s="22" t="n">
        <v>18</v>
      </c>
      <c r="M24" s="22" t="n">
        <v>20</v>
      </c>
      <c r="N24" s="22" t="n">
        <v>22</v>
      </c>
      <c r="O24" s="22" t="n">
        <v>24</v>
      </c>
      <c r="P24" s="22" t="n">
        <v>25</v>
      </c>
      <c r="Q24" s="7" t="n">
        <f aca="false">$E24</f>
        <v>0</v>
      </c>
      <c r="R24" s="7" t="n">
        <f aca="false">$E24</f>
        <v>0</v>
      </c>
      <c r="S24" s="7" t="n">
        <f aca="false">$E24</f>
        <v>0</v>
      </c>
      <c r="T24" s="7" t="n">
        <f aca="false">$E24</f>
        <v>0</v>
      </c>
      <c r="U24" s="7" t="n">
        <f aca="false">$E24</f>
        <v>0</v>
      </c>
      <c r="V24" s="7" t="n">
        <f aca="false">$F24</f>
        <v>0</v>
      </c>
      <c r="W24" s="7" t="n">
        <f aca="false">$F24</f>
        <v>0</v>
      </c>
      <c r="X24" s="7" t="n">
        <f aca="false">$F24</f>
        <v>0</v>
      </c>
      <c r="Y24" s="7" t="n">
        <f aca="false">$F24</f>
        <v>0</v>
      </c>
      <c r="Z24" s="7" t="n">
        <f aca="false">$G24</f>
        <v>2</v>
      </c>
      <c r="AA24" s="7" t="n">
        <f aca="false">$G24</f>
        <v>2</v>
      </c>
      <c r="AB24" s="7" t="n">
        <f aca="false">$G24</f>
        <v>2</v>
      </c>
      <c r="AC24" s="7" t="n">
        <f aca="false">$G24</f>
        <v>2</v>
      </c>
      <c r="AD24" s="7" t="n">
        <f aca="false">$H24</f>
        <v>5</v>
      </c>
      <c r="AE24" s="7" t="n">
        <f aca="false">$H24</f>
        <v>5</v>
      </c>
      <c r="AF24" s="7" t="n">
        <f aca="false">$H24</f>
        <v>5</v>
      </c>
      <c r="AG24" s="7" t="n">
        <f aca="false">$H24</f>
        <v>5</v>
      </c>
      <c r="AH24" s="7" t="n">
        <f aca="false">$H24</f>
        <v>5</v>
      </c>
      <c r="AI24" s="7" t="n">
        <f aca="false">$I24</f>
        <v>8</v>
      </c>
      <c r="AJ24" s="7" t="n">
        <f aca="false">$I24</f>
        <v>8</v>
      </c>
      <c r="AK24" s="7" t="n">
        <f aca="false">$I24</f>
        <v>8</v>
      </c>
      <c r="AL24" s="7" t="n">
        <f aca="false">$I24</f>
        <v>8</v>
      </c>
      <c r="AM24" s="7" t="n">
        <f aca="false">$J24</f>
        <v>12</v>
      </c>
      <c r="AN24" s="7" t="n">
        <f aca="false">$J24</f>
        <v>12</v>
      </c>
      <c r="AO24" s="7" t="n">
        <f aca="false">$J24</f>
        <v>12</v>
      </c>
      <c r="AP24" s="7" t="n">
        <f aca="false">$J24</f>
        <v>12</v>
      </c>
      <c r="AQ24" s="7" t="n">
        <f aca="false">$K24</f>
        <v>15</v>
      </c>
      <c r="AR24" s="7" t="n">
        <f aca="false">$K24</f>
        <v>15</v>
      </c>
      <c r="AS24" s="7" t="n">
        <f aca="false">$K24</f>
        <v>15</v>
      </c>
      <c r="AT24" s="7" t="n">
        <f aca="false">$K24</f>
        <v>15</v>
      </c>
      <c r="AU24" s="7" t="n">
        <f aca="false">$K24</f>
        <v>15</v>
      </c>
      <c r="AV24" s="7" t="n">
        <f aca="false">$L24</f>
        <v>18</v>
      </c>
      <c r="AW24" s="7" t="n">
        <f aca="false">$L24</f>
        <v>18</v>
      </c>
      <c r="AX24" s="7" t="n">
        <f aca="false">$L24</f>
        <v>18</v>
      </c>
      <c r="AY24" s="7" t="n">
        <f aca="false">$L24</f>
        <v>18</v>
      </c>
      <c r="AZ24" s="7" t="n">
        <f aca="false">$M24</f>
        <v>20</v>
      </c>
      <c r="BA24" s="7" t="n">
        <f aca="false">$M24</f>
        <v>20</v>
      </c>
      <c r="BB24" s="7" t="n">
        <f aca="false">$M24</f>
        <v>20</v>
      </c>
      <c r="BC24" s="7" t="n">
        <f aca="false">$M24</f>
        <v>20</v>
      </c>
      <c r="BD24" s="7" t="n">
        <f aca="false">$N24</f>
        <v>22</v>
      </c>
      <c r="BE24" s="7" t="n">
        <f aca="false">$N24</f>
        <v>22</v>
      </c>
      <c r="BF24" s="7" t="n">
        <f aca="false">$N24</f>
        <v>22</v>
      </c>
      <c r="BG24" s="7" t="n">
        <f aca="false">$N24</f>
        <v>22</v>
      </c>
      <c r="BH24" s="7" t="n">
        <f aca="false">$N24</f>
        <v>22</v>
      </c>
      <c r="BI24" s="7" t="n">
        <f aca="false">$O24</f>
        <v>24</v>
      </c>
      <c r="BJ24" s="7" t="n">
        <f aca="false">$O24</f>
        <v>24</v>
      </c>
      <c r="BK24" s="7" t="n">
        <f aca="false">$O24</f>
        <v>24</v>
      </c>
      <c r="BL24" s="7" t="n">
        <f aca="false">$O24</f>
        <v>24</v>
      </c>
      <c r="BM24" s="7" t="n">
        <f aca="false">$P24</f>
        <v>25</v>
      </c>
      <c r="BN24" s="7" t="n">
        <f aca="false">$P24</f>
        <v>25</v>
      </c>
      <c r="BO24" s="7" t="n">
        <f aca="false">$P24</f>
        <v>25</v>
      </c>
      <c r="BP24" s="7" t="n">
        <f aca="false">$P24</f>
        <v>25</v>
      </c>
    </row>
    <row r="25" customFormat="false" ht="15" hidden="false" customHeight="false" outlineLevel="0" collapsed="false">
      <c r="A25" s="0" t="s">
        <v>235</v>
      </c>
      <c r="B25" s="0" t="s">
        <v>128</v>
      </c>
      <c r="C25" s="0" t="s">
        <v>116</v>
      </c>
      <c r="D25" s="0" t="n">
        <f aca="false">SUM(Q25:BP25)</f>
        <v>363</v>
      </c>
      <c r="E25" s="22" t="n">
        <v>0</v>
      </c>
      <c r="F25" s="22" t="n">
        <v>0</v>
      </c>
      <c r="G25" s="22" t="n">
        <v>1</v>
      </c>
      <c r="H25" s="22" t="n">
        <v>2</v>
      </c>
      <c r="I25" s="22" t="n">
        <v>4</v>
      </c>
      <c r="J25" s="22" t="n">
        <v>6</v>
      </c>
      <c r="K25" s="22" t="n">
        <v>8</v>
      </c>
      <c r="L25" s="22" t="n">
        <v>10</v>
      </c>
      <c r="M25" s="22" t="n">
        <v>12</v>
      </c>
      <c r="N25" s="22" t="n">
        <v>13</v>
      </c>
      <c r="O25" s="22" t="n">
        <v>14</v>
      </c>
      <c r="P25" s="22" t="n">
        <v>15</v>
      </c>
      <c r="Q25" s="7" t="n">
        <f aca="false">$E25</f>
        <v>0</v>
      </c>
      <c r="R25" s="7" t="n">
        <f aca="false">$E25</f>
        <v>0</v>
      </c>
      <c r="S25" s="7" t="n">
        <f aca="false">$E25</f>
        <v>0</v>
      </c>
      <c r="T25" s="7" t="n">
        <f aca="false">$E25</f>
        <v>0</v>
      </c>
      <c r="U25" s="7" t="n">
        <f aca="false">$E25</f>
        <v>0</v>
      </c>
      <c r="V25" s="7" t="n">
        <f aca="false">$F25</f>
        <v>0</v>
      </c>
      <c r="W25" s="7" t="n">
        <f aca="false">$F25</f>
        <v>0</v>
      </c>
      <c r="X25" s="7" t="n">
        <f aca="false">$F25</f>
        <v>0</v>
      </c>
      <c r="Y25" s="7" t="n">
        <f aca="false">$F25</f>
        <v>0</v>
      </c>
      <c r="Z25" s="7" t="n">
        <f aca="false">$G25</f>
        <v>1</v>
      </c>
      <c r="AA25" s="7" t="n">
        <f aca="false">$G25</f>
        <v>1</v>
      </c>
      <c r="AB25" s="7" t="n">
        <f aca="false">$G25</f>
        <v>1</v>
      </c>
      <c r="AC25" s="7" t="n">
        <f aca="false">$G25</f>
        <v>1</v>
      </c>
      <c r="AD25" s="7" t="n">
        <f aca="false">$H25</f>
        <v>2</v>
      </c>
      <c r="AE25" s="7" t="n">
        <f aca="false">$H25</f>
        <v>2</v>
      </c>
      <c r="AF25" s="7" t="n">
        <f aca="false">$H25</f>
        <v>2</v>
      </c>
      <c r="AG25" s="7" t="n">
        <f aca="false">$H25</f>
        <v>2</v>
      </c>
      <c r="AH25" s="7" t="n">
        <f aca="false">$H25</f>
        <v>2</v>
      </c>
      <c r="AI25" s="7" t="n">
        <f aca="false">$I25</f>
        <v>4</v>
      </c>
      <c r="AJ25" s="7" t="n">
        <f aca="false">$I25</f>
        <v>4</v>
      </c>
      <c r="AK25" s="7" t="n">
        <f aca="false">$I25</f>
        <v>4</v>
      </c>
      <c r="AL25" s="7" t="n">
        <f aca="false">$I25</f>
        <v>4</v>
      </c>
      <c r="AM25" s="7" t="n">
        <f aca="false">$J25</f>
        <v>6</v>
      </c>
      <c r="AN25" s="7" t="n">
        <f aca="false">$J25</f>
        <v>6</v>
      </c>
      <c r="AO25" s="7" t="n">
        <f aca="false">$J25</f>
        <v>6</v>
      </c>
      <c r="AP25" s="7" t="n">
        <f aca="false">$J25</f>
        <v>6</v>
      </c>
      <c r="AQ25" s="7" t="n">
        <f aca="false">$K25</f>
        <v>8</v>
      </c>
      <c r="AR25" s="7" t="n">
        <f aca="false">$K25</f>
        <v>8</v>
      </c>
      <c r="AS25" s="7" t="n">
        <f aca="false">$K25</f>
        <v>8</v>
      </c>
      <c r="AT25" s="7" t="n">
        <f aca="false">$K25</f>
        <v>8</v>
      </c>
      <c r="AU25" s="7" t="n">
        <f aca="false">$K25</f>
        <v>8</v>
      </c>
      <c r="AV25" s="7" t="n">
        <f aca="false">$L25</f>
        <v>10</v>
      </c>
      <c r="AW25" s="7" t="n">
        <f aca="false">$L25</f>
        <v>10</v>
      </c>
      <c r="AX25" s="7" t="n">
        <f aca="false">$L25</f>
        <v>10</v>
      </c>
      <c r="AY25" s="7" t="n">
        <f aca="false">$L25</f>
        <v>10</v>
      </c>
      <c r="AZ25" s="7" t="n">
        <f aca="false">$M25</f>
        <v>12</v>
      </c>
      <c r="BA25" s="7" t="n">
        <f aca="false">$M25</f>
        <v>12</v>
      </c>
      <c r="BB25" s="7" t="n">
        <f aca="false">$M25</f>
        <v>12</v>
      </c>
      <c r="BC25" s="7" t="n">
        <f aca="false">$M25</f>
        <v>12</v>
      </c>
      <c r="BD25" s="7" t="n">
        <f aca="false">$N25</f>
        <v>13</v>
      </c>
      <c r="BE25" s="7" t="n">
        <f aca="false">$N25</f>
        <v>13</v>
      </c>
      <c r="BF25" s="7" t="n">
        <f aca="false">$N25</f>
        <v>13</v>
      </c>
      <c r="BG25" s="7" t="n">
        <f aca="false">$N25</f>
        <v>13</v>
      </c>
      <c r="BH25" s="7" t="n">
        <f aca="false">$N25</f>
        <v>13</v>
      </c>
      <c r="BI25" s="7" t="n">
        <f aca="false">$O25</f>
        <v>14</v>
      </c>
      <c r="BJ25" s="7" t="n">
        <f aca="false">$O25</f>
        <v>14</v>
      </c>
      <c r="BK25" s="7" t="n">
        <f aca="false">$O25</f>
        <v>14</v>
      </c>
      <c r="BL25" s="7" t="n">
        <f aca="false">$O25</f>
        <v>14</v>
      </c>
      <c r="BM25" s="7" t="n">
        <f aca="false">$P25</f>
        <v>15</v>
      </c>
      <c r="BN25" s="7" t="n">
        <f aca="false">$P25</f>
        <v>15</v>
      </c>
      <c r="BO25" s="7" t="n">
        <f aca="false">$P25</f>
        <v>15</v>
      </c>
      <c r="BP25" s="7" t="n">
        <f aca="false">$P25</f>
        <v>15</v>
      </c>
    </row>
    <row r="26" customFormat="false" ht="15" hidden="false" customHeight="false" outlineLevel="0" collapsed="false">
      <c r="A26" s="0" t="s">
        <v>235</v>
      </c>
      <c r="B26" s="0" t="s">
        <v>128</v>
      </c>
      <c r="C26" s="0" t="s">
        <v>117</v>
      </c>
      <c r="D26" s="0" t="n">
        <f aca="false">SUM(Q26:BP26)</f>
        <v>332</v>
      </c>
      <c r="E26" s="22" t="n">
        <v>0</v>
      </c>
      <c r="F26" s="22" t="n">
        <v>0</v>
      </c>
      <c r="G26" s="22" t="n">
        <v>0</v>
      </c>
      <c r="H26" s="22" t="n">
        <v>0</v>
      </c>
      <c r="I26" s="22" t="n">
        <v>2</v>
      </c>
      <c r="J26" s="22" t="n">
        <v>5</v>
      </c>
      <c r="K26" s="22" t="n">
        <v>7</v>
      </c>
      <c r="L26" s="22" t="n">
        <v>10</v>
      </c>
      <c r="M26" s="22" t="n">
        <v>12</v>
      </c>
      <c r="N26" s="22" t="n">
        <v>13</v>
      </c>
      <c r="O26" s="22" t="n">
        <v>14</v>
      </c>
      <c r="P26" s="22" t="n">
        <v>15</v>
      </c>
      <c r="Q26" s="7" t="n">
        <f aca="false">$E26</f>
        <v>0</v>
      </c>
      <c r="R26" s="7" t="n">
        <f aca="false">$E26</f>
        <v>0</v>
      </c>
      <c r="S26" s="7" t="n">
        <f aca="false">$E26</f>
        <v>0</v>
      </c>
      <c r="T26" s="7" t="n">
        <f aca="false">$E26</f>
        <v>0</v>
      </c>
      <c r="U26" s="7" t="n">
        <f aca="false">$E26</f>
        <v>0</v>
      </c>
      <c r="V26" s="7" t="n">
        <f aca="false">$F26</f>
        <v>0</v>
      </c>
      <c r="W26" s="7" t="n">
        <f aca="false">$F26</f>
        <v>0</v>
      </c>
      <c r="X26" s="7" t="n">
        <f aca="false">$F26</f>
        <v>0</v>
      </c>
      <c r="Y26" s="7" t="n">
        <f aca="false">$F26</f>
        <v>0</v>
      </c>
      <c r="Z26" s="7" t="n">
        <f aca="false">$G26</f>
        <v>0</v>
      </c>
      <c r="AA26" s="7" t="n">
        <f aca="false">$G26</f>
        <v>0</v>
      </c>
      <c r="AB26" s="7" t="n">
        <f aca="false">$G26</f>
        <v>0</v>
      </c>
      <c r="AC26" s="7" t="n">
        <f aca="false">$G26</f>
        <v>0</v>
      </c>
      <c r="AD26" s="7" t="n">
        <f aca="false">$H26</f>
        <v>0</v>
      </c>
      <c r="AE26" s="7" t="n">
        <f aca="false">$H26</f>
        <v>0</v>
      </c>
      <c r="AF26" s="7" t="n">
        <f aca="false">$H26</f>
        <v>0</v>
      </c>
      <c r="AG26" s="7" t="n">
        <f aca="false">$H26</f>
        <v>0</v>
      </c>
      <c r="AH26" s="7" t="n">
        <f aca="false">$H26</f>
        <v>0</v>
      </c>
      <c r="AI26" s="7" t="n">
        <f aca="false">$I26</f>
        <v>2</v>
      </c>
      <c r="AJ26" s="7" t="n">
        <f aca="false">$I26</f>
        <v>2</v>
      </c>
      <c r="AK26" s="7" t="n">
        <f aca="false">$I26</f>
        <v>2</v>
      </c>
      <c r="AL26" s="7" t="n">
        <f aca="false">$I26</f>
        <v>2</v>
      </c>
      <c r="AM26" s="7" t="n">
        <f aca="false">$J26</f>
        <v>5</v>
      </c>
      <c r="AN26" s="7" t="n">
        <f aca="false">$J26</f>
        <v>5</v>
      </c>
      <c r="AO26" s="7" t="n">
        <f aca="false">$J26</f>
        <v>5</v>
      </c>
      <c r="AP26" s="7" t="n">
        <f aca="false">$J26</f>
        <v>5</v>
      </c>
      <c r="AQ26" s="7" t="n">
        <f aca="false">$K26</f>
        <v>7</v>
      </c>
      <c r="AR26" s="7" t="n">
        <f aca="false">$K26</f>
        <v>7</v>
      </c>
      <c r="AS26" s="7" t="n">
        <f aca="false">$K26</f>
        <v>7</v>
      </c>
      <c r="AT26" s="7" t="n">
        <f aca="false">$K26</f>
        <v>7</v>
      </c>
      <c r="AU26" s="7" t="n">
        <f aca="false">$K26</f>
        <v>7</v>
      </c>
      <c r="AV26" s="7" t="n">
        <f aca="false">$L26</f>
        <v>10</v>
      </c>
      <c r="AW26" s="7" t="n">
        <f aca="false">$L26</f>
        <v>10</v>
      </c>
      <c r="AX26" s="7" t="n">
        <f aca="false">$L26</f>
        <v>10</v>
      </c>
      <c r="AY26" s="7" t="n">
        <f aca="false">$L26</f>
        <v>10</v>
      </c>
      <c r="AZ26" s="7" t="n">
        <f aca="false">$M26</f>
        <v>12</v>
      </c>
      <c r="BA26" s="7" t="n">
        <f aca="false">$M26</f>
        <v>12</v>
      </c>
      <c r="BB26" s="7" t="n">
        <f aca="false">$M26</f>
        <v>12</v>
      </c>
      <c r="BC26" s="7" t="n">
        <f aca="false">$M26</f>
        <v>12</v>
      </c>
      <c r="BD26" s="7" t="n">
        <f aca="false">$N26</f>
        <v>13</v>
      </c>
      <c r="BE26" s="7" t="n">
        <f aca="false">$N26</f>
        <v>13</v>
      </c>
      <c r="BF26" s="7" t="n">
        <f aca="false">$N26</f>
        <v>13</v>
      </c>
      <c r="BG26" s="7" t="n">
        <f aca="false">$N26</f>
        <v>13</v>
      </c>
      <c r="BH26" s="7" t="n">
        <f aca="false">$N26</f>
        <v>13</v>
      </c>
      <c r="BI26" s="7" t="n">
        <f aca="false">$O26</f>
        <v>14</v>
      </c>
      <c r="BJ26" s="7" t="n">
        <f aca="false">$O26</f>
        <v>14</v>
      </c>
      <c r="BK26" s="7" t="n">
        <f aca="false">$O26</f>
        <v>14</v>
      </c>
      <c r="BL26" s="7" t="n">
        <f aca="false">$O26</f>
        <v>14</v>
      </c>
      <c r="BM26" s="7" t="n">
        <f aca="false">$P26</f>
        <v>15</v>
      </c>
      <c r="BN26" s="7" t="n">
        <f aca="false">$P26</f>
        <v>15</v>
      </c>
      <c r="BO26" s="7" t="n">
        <f aca="false">$P26</f>
        <v>15</v>
      </c>
      <c r="BP26" s="7" t="n">
        <f aca="false">$P26</f>
        <v>15</v>
      </c>
    </row>
    <row r="27" customFormat="false" ht="15" hidden="false" customHeight="false" outlineLevel="0" collapsed="false">
      <c r="A27" s="0" t="s">
        <v>235</v>
      </c>
      <c r="B27" s="0" t="s">
        <v>128</v>
      </c>
      <c r="C27" s="0" t="s">
        <v>118</v>
      </c>
      <c r="D27" s="0" t="n">
        <f aca="false">SUM(Q27:BP27)</f>
        <v>77</v>
      </c>
      <c r="E27" s="22" t="n">
        <v>0</v>
      </c>
      <c r="F27" s="22" t="n">
        <v>0</v>
      </c>
      <c r="G27" s="22" t="n">
        <v>0</v>
      </c>
      <c r="H27" s="22" t="n">
        <v>0</v>
      </c>
      <c r="I27" s="22" t="n">
        <v>0</v>
      </c>
      <c r="J27" s="22" t="n">
        <v>0</v>
      </c>
      <c r="K27" s="22" t="n">
        <v>0</v>
      </c>
      <c r="L27" s="22" t="n">
        <v>0</v>
      </c>
      <c r="M27" s="22" t="n">
        <v>0</v>
      </c>
      <c r="N27" s="22" t="n">
        <v>5</v>
      </c>
      <c r="O27" s="22" t="n">
        <v>6</v>
      </c>
      <c r="P27" s="22" t="n">
        <v>7</v>
      </c>
      <c r="Q27" s="7" t="n">
        <f aca="false">$E27</f>
        <v>0</v>
      </c>
      <c r="R27" s="7" t="n">
        <f aca="false">$E27</f>
        <v>0</v>
      </c>
      <c r="S27" s="7" t="n">
        <f aca="false">$E27</f>
        <v>0</v>
      </c>
      <c r="T27" s="7" t="n">
        <f aca="false">$E27</f>
        <v>0</v>
      </c>
      <c r="U27" s="7" t="n">
        <f aca="false">$E27</f>
        <v>0</v>
      </c>
      <c r="V27" s="7" t="n">
        <f aca="false">$F27</f>
        <v>0</v>
      </c>
      <c r="W27" s="7" t="n">
        <f aca="false">$F27</f>
        <v>0</v>
      </c>
      <c r="X27" s="7" t="n">
        <f aca="false">$F27</f>
        <v>0</v>
      </c>
      <c r="Y27" s="7" t="n">
        <f aca="false">$F27</f>
        <v>0</v>
      </c>
      <c r="Z27" s="7" t="n">
        <f aca="false">$G27</f>
        <v>0</v>
      </c>
      <c r="AA27" s="7" t="n">
        <f aca="false">$G27</f>
        <v>0</v>
      </c>
      <c r="AB27" s="7" t="n">
        <f aca="false">$G27</f>
        <v>0</v>
      </c>
      <c r="AC27" s="7" t="n">
        <f aca="false">$G27</f>
        <v>0</v>
      </c>
      <c r="AD27" s="7" t="n">
        <f aca="false">$H27</f>
        <v>0</v>
      </c>
      <c r="AE27" s="7" t="n">
        <f aca="false">$H27</f>
        <v>0</v>
      </c>
      <c r="AF27" s="7" t="n">
        <f aca="false">$H27</f>
        <v>0</v>
      </c>
      <c r="AG27" s="7" t="n">
        <f aca="false">$H27</f>
        <v>0</v>
      </c>
      <c r="AH27" s="7" t="n">
        <f aca="false">$H27</f>
        <v>0</v>
      </c>
      <c r="AI27" s="7" t="n">
        <f aca="false">$I27</f>
        <v>0</v>
      </c>
      <c r="AJ27" s="7" t="n">
        <f aca="false">$I27</f>
        <v>0</v>
      </c>
      <c r="AK27" s="7" t="n">
        <f aca="false">$I27</f>
        <v>0</v>
      </c>
      <c r="AL27" s="7" t="n">
        <f aca="false">$I27</f>
        <v>0</v>
      </c>
      <c r="AM27" s="7" t="n">
        <f aca="false">$J27</f>
        <v>0</v>
      </c>
      <c r="AN27" s="7" t="n">
        <f aca="false">$J27</f>
        <v>0</v>
      </c>
      <c r="AO27" s="7" t="n">
        <f aca="false">$J27</f>
        <v>0</v>
      </c>
      <c r="AP27" s="7" t="n">
        <f aca="false">$J27</f>
        <v>0</v>
      </c>
      <c r="AQ27" s="7" t="n">
        <f aca="false">$K27</f>
        <v>0</v>
      </c>
      <c r="AR27" s="7" t="n">
        <f aca="false">$K27</f>
        <v>0</v>
      </c>
      <c r="AS27" s="7" t="n">
        <f aca="false">$K27</f>
        <v>0</v>
      </c>
      <c r="AT27" s="7" t="n">
        <f aca="false">$K27</f>
        <v>0</v>
      </c>
      <c r="AU27" s="7" t="n">
        <f aca="false">$K27</f>
        <v>0</v>
      </c>
      <c r="AV27" s="7" t="n">
        <f aca="false">$L27</f>
        <v>0</v>
      </c>
      <c r="AW27" s="7" t="n">
        <f aca="false">$L27</f>
        <v>0</v>
      </c>
      <c r="AX27" s="7" t="n">
        <f aca="false">$L27</f>
        <v>0</v>
      </c>
      <c r="AY27" s="7" t="n">
        <f aca="false">$L27</f>
        <v>0</v>
      </c>
      <c r="AZ27" s="7" t="n">
        <f aca="false">$M27</f>
        <v>0</v>
      </c>
      <c r="BA27" s="7" t="n">
        <f aca="false">$M27</f>
        <v>0</v>
      </c>
      <c r="BB27" s="7" t="n">
        <f aca="false">$M27</f>
        <v>0</v>
      </c>
      <c r="BC27" s="7" t="n">
        <f aca="false">$M27</f>
        <v>0</v>
      </c>
      <c r="BD27" s="7" t="n">
        <f aca="false">$N27</f>
        <v>5</v>
      </c>
      <c r="BE27" s="7" t="n">
        <f aca="false">$N27</f>
        <v>5</v>
      </c>
      <c r="BF27" s="7" t="n">
        <f aca="false">$N27</f>
        <v>5</v>
      </c>
      <c r="BG27" s="7" t="n">
        <f aca="false">$N27</f>
        <v>5</v>
      </c>
      <c r="BH27" s="7" t="n">
        <f aca="false">$N27</f>
        <v>5</v>
      </c>
      <c r="BI27" s="7" t="n">
        <f aca="false">$O27</f>
        <v>6</v>
      </c>
      <c r="BJ27" s="7" t="n">
        <f aca="false">$O27</f>
        <v>6</v>
      </c>
      <c r="BK27" s="7" t="n">
        <f aca="false">$O27</f>
        <v>6</v>
      </c>
      <c r="BL27" s="7" t="n">
        <f aca="false">$O27</f>
        <v>6</v>
      </c>
      <c r="BM27" s="7" t="n">
        <f aca="false">$P27</f>
        <v>7</v>
      </c>
      <c r="BN27" s="7" t="n">
        <f aca="false">$P27</f>
        <v>7</v>
      </c>
      <c r="BO27" s="7" t="n">
        <f aca="false">$P27</f>
        <v>7</v>
      </c>
      <c r="BP27" s="7" t="n">
        <f aca="false">$P27</f>
        <v>7</v>
      </c>
    </row>
    <row r="28" customFormat="false" ht="15" hidden="false" customHeight="false" outlineLevel="0" collapsed="false">
      <c r="A28" s="0" t="s">
        <v>235</v>
      </c>
      <c r="B28" s="0" t="s">
        <v>128</v>
      </c>
      <c r="C28" s="0" t="s">
        <v>119</v>
      </c>
      <c r="D28" s="0" t="n">
        <f aca="false">SUM(Q28:BP28)</f>
        <v>1057</v>
      </c>
      <c r="E28" s="13" t="n">
        <v>5</v>
      </c>
      <c r="F28" s="13" t="n">
        <v>8</v>
      </c>
      <c r="G28" s="13" t="n">
        <v>12</v>
      </c>
      <c r="H28" s="13" t="n">
        <v>15</v>
      </c>
      <c r="I28" s="13" t="n">
        <v>18</v>
      </c>
      <c r="J28" s="13" t="n">
        <v>21</v>
      </c>
      <c r="K28" s="13" t="n">
        <v>24</v>
      </c>
      <c r="L28" s="13" t="n">
        <v>26</v>
      </c>
      <c r="M28" s="13" t="n">
        <v>28</v>
      </c>
      <c r="N28" s="13" t="n">
        <v>29</v>
      </c>
      <c r="O28" s="13" t="n">
        <v>30</v>
      </c>
      <c r="P28" s="13" t="n">
        <v>30</v>
      </c>
      <c r="Q28" s="7" t="n">
        <f aca="false">$E28</f>
        <v>5</v>
      </c>
      <c r="R28" s="7" t="n">
        <f aca="false">$E28</f>
        <v>5</v>
      </c>
      <c r="S28" s="7" t="n">
        <f aca="false">$E28</f>
        <v>5</v>
      </c>
      <c r="T28" s="7" t="n">
        <f aca="false">$E28</f>
        <v>5</v>
      </c>
      <c r="U28" s="7" t="n">
        <f aca="false">$E28</f>
        <v>5</v>
      </c>
      <c r="V28" s="7" t="n">
        <f aca="false">$F28</f>
        <v>8</v>
      </c>
      <c r="W28" s="7" t="n">
        <f aca="false">$F28</f>
        <v>8</v>
      </c>
      <c r="X28" s="7" t="n">
        <f aca="false">$F28</f>
        <v>8</v>
      </c>
      <c r="Y28" s="7" t="n">
        <f aca="false">$F28</f>
        <v>8</v>
      </c>
      <c r="Z28" s="7" t="n">
        <f aca="false">$G28</f>
        <v>12</v>
      </c>
      <c r="AA28" s="7" t="n">
        <f aca="false">$G28</f>
        <v>12</v>
      </c>
      <c r="AB28" s="7" t="n">
        <f aca="false">$G28</f>
        <v>12</v>
      </c>
      <c r="AC28" s="7" t="n">
        <f aca="false">$G28</f>
        <v>12</v>
      </c>
      <c r="AD28" s="7" t="n">
        <f aca="false">$H28</f>
        <v>15</v>
      </c>
      <c r="AE28" s="7" t="n">
        <f aca="false">$H28</f>
        <v>15</v>
      </c>
      <c r="AF28" s="7" t="n">
        <f aca="false">$H28</f>
        <v>15</v>
      </c>
      <c r="AG28" s="7" t="n">
        <f aca="false">$H28</f>
        <v>15</v>
      </c>
      <c r="AH28" s="7" t="n">
        <f aca="false">$H28</f>
        <v>15</v>
      </c>
      <c r="AI28" s="7" t="n">
        <f aca="false">$I28</f>
        <v>18</v>
      </c>
      <c r="AJ28" s="7" t="n">
        <f aca="false">$I28</f>
        <v>18</v>
      </c>
      <c r="AK28" s="7" t="n">
        <f aca="false">$I28</f>
        <v>18</v>
      </c>
      <c r="AL28" s="7" t="n">
        <f aca="false">$I28</f>
        <v>18</v>
      </c>
      <c r="AM28" s="7" t="n">
        <f aca="false">$J28</f>
        <v>21</v>
      </c>
      <c r="AN28" s="7" t="n">
        <f aca="false">$J28</f>
        <v>21</v>
      </c>
      <c r="AO28" s="7" t="n">
        <f aca="false">$J28</f>
        <v>21</v>
      </c>
      <c r="AP28" s="7" t="n">
        <f aca="false">$J28</f>
        <v>21</v>
      </c>
      <c r="AQ28" s="7" t="n">
        <f aca="false">$K28</f>
        <v>24</v>
      </c>
      <c r="AR28" s="7" t="n">
        <f aca="false">$K28</f>
        <v>24</v>
      </c>
      <c r="AS28" s="7" t="n">
        <f aca="false">$K28</f>
        <v>24</v>
      </c>
      <c r="AT28" s="7" t="n">
        <f aca="false">$K28</f>
        <v>24</v>
      </c>
      <c r="AU28" s="7" t="n">
        <f aca="false">$K28</f>
        <v>24</v>
      </c>
      <c r="AV28" s="7" t="n">
        <f aca="false">$L28</f>
        <v>26</v>
      </c>
      <c r="AW28" s="7" t="n">
        <f aca="false">$L28</f>
        <v>26</v>
      </c>
      <c r="AX28" s="7" t="n">
        <f aca="false">$L28</f>
        <v>26</v>
      </c>
      <c r="AY28" s="7" t="n">
        <f aca="false">$L28</f>
        <v>26</v>
      </c>
      <c r="AZ28" s="7" t="n">
        <f aca="false">$M28</f>
        <v>28</v>
      </c>
      <c r="BA28" s="7" t="n">
        <f aca="false">$M28</f>
        <v>28</v>
      </c>
      <c r="BB28" s="7" t="n">
        <f aca="false">$M28</f>
        <v>28</v>
      </c>
      <c r="BC28" s="7" t="n">
        <f aca="false">$M28</f>
        <v>28</v>
      </c>
      <c r="BD28" s="7" t="n">
        <f aca="false">$N28</f>
        <v>29</v>
      </c>
      <c r="BE28" s="7" t="n">
        <f aca="false">$N28</f>
        <v>29</v>
      </c>
      <c r="BF28" s="7" t="n">
        <f aca="false">$N28</f>
        <v>29</v>
      </c>
      <c r="BG28" s="7" t="n">
        <f aca="false">$N28</f>
        <v>29</v>
      </c>
      <c r="BH28" s="7" t="n">
        <f aca="false">$N28</f>
        <v>29</v>
      </c>
      <c r="BI28" s="7" t="n">
        <f aca="false">$O28</f>
        <v>30</v>
      </c>
      <c r="BJ28" s="7" t="n">
        <f aca="false">$O28</f>
        <v>30</v>
      </c>
      <c r="BK28" s="7" t="n">
        <f aca="false">$O28</f>
        <v>30</v>
      </c>
      <c r="BL28" s="7" t="n">
        <f aca="false">$O28</f>
        <v>30</v>
      </c>
      <c r="BM28" s="7" t="n">
        <f aca="false">$P28</f>
        <v>30</v>
      </c>
      <c r="BN28" s="7" t="n">
        <f aca="false">$P28</f>
        <v>30</v>
      </c>
      <c r="BO28" s="7" t="n">
        <f aca="false">$P28</f>
        <v>30</v>
      </c>
      <c r="BP28" s="7" t="n">
        <f aca="false">$P28</f>
        <v>30</v>
      </c>
    </row>
    <row r="29" customFormat="false" ht="15" hidden="false" customHeight="false" outlineLevel="0" collapsed="false">
      <c r="A29" s="0" t="s">
        <v>235</v>
      </c>
      <c r="B29" s="0" t="s">
        <v>128</v>
      </c>
      <c r="C29" s="0" t="s">
        <v>120</v>
      </c>
      <c r="D29" s="0" t="n">
        <f aca="false">SUM(Q29:BP29)</f>
        <v>1087</v>
      </c>
      <c r="E29" s="13" t="n">
        <v>5</v>
      </c>
      <c r="F29" s="13" t="n">
        <v>8</v>
      </c>
      <c r="G29" s="13" t="n">
        <v>12</v>
      </c>
      <c r="H29" s="13" t="n">
        <v>16</v>
      </c>
      <c r="I29" s="13" t="n">
        <v>20</v>
      </c>
      <c r="J29" s="13" t="n">
        <v>23</v>
      </c>
      <c r="K29" s="13" t="n">
        <v>25</v>
      </c>
      <c r="L29" s="13" t="n">
        <v>27</v>
      </c>
      <c r="M29" s="13" t="n">
        <v>28</v>
      </c>
      <c r="N29" s="13" t="n">
        <v>29</v>
      </c>
      <c r="O29" s="13" t="n">
        <v>30</v>
      </c>
      <c r="P29" s="13" t="n">
        <v>30</v>
      </c>
      <c r="Q29" s="7" t="n">
        <f aca="false">$E29</f>
        <v>5</v>
      </c>
      <c r="R29" s="7" t="n">
        <f aca="false">$E29</f>
        <v>5</v>
      </c>
      <c r="S29" s="7" t="n">
        <f aca="false">$E29</f>
        <v>5</v>
      </c>
      <c r="T29" s="7" t="n">
        <f aca="false">$E29</f>
        <v>5</v>
      </c>
      <c r="U29" s="7" t="n">
        <f aca="false">$E29</f>
        <v>5</v>
      </c>
      <c r="V29" s="7" t="n">
        <f aca="false">$F29</f>
        <v>8</v>
      </c>
      <c r="W29" s="7" t="n">
        <f aca="false">$F29</f>
        <v>8</v>
      </c>
      <c r="X29" s="7" t="n">
        <f aca="false">$F29</f>
        <v>8</v>
      </c>
      <c r="Y29" s="7" t="n">
        <f aca="false">$F29</f>
        <v>8</v>
      </c>
      <c r="Z29" s="7" t="n">
        <f aca="false">$G29</f>
        <v>12</v>
      </c>
      <c r="AA29" s="7" t="n">
        <f aca="false">$G29</f>
        <v>12</v>
      </c>
      <c r="AB29" s="7" t="n">
        <f aca="false">$G29</f>
        <v>12</v>
      </c>
      <c r="AC29" s="7" t="n">
        <f aca="false">$G29</f>
        <v>12</v>
      </c>
      <c r="AD29" s="7" t="n">
        <f aca="false">$H29</f>
        <v>16</v>
      </c>
      <c r="AE29" s="7" t="n">
        <f aca="false">$H29</f>
        <v>16</v>
      </c>
      <c r="AF29" s="7" t="n">
        <f aca="false">$H29</f>
        <v>16</v>
      </c>
      <c r="AG29" s="7" t="n">
        <f aca="false">$H29</f>
        <v>16</v>
      </c>
      <c r="AH29" s="7" t="n">
        <f aca="false">$H29</f>
        <v>16</v>
      </c>
      <c r="AI29" s="7" t="n">
        <f aca="false">$I29</f>
        <v>20</v>
      </c>
      <c r="AJ29" s="7" t="n">
        <f aca="false">$I29</f>
        <v>20</v>
      </c>
      <c r="AK29" s="7" t="n">
        <f aca="false">$I29</f>
        <v>20</v>
      </c>
      <c r="AL29" s="7" t="n">
        <f aca="false">$I29</f>
        <v>20</v>
      </c>
      <c r="AM29" s="7" t="n">
        <f aca="false">$J29</f>
        <v>23</v>
      </c>
      <c r="AN29" s="7" t="n">
        <f aca="false">$J29</f>
        <v>23</v>
      </c>
      <c r="AO29" s="7" t="n">
        <f aca="false">$J29</f>
        <v>23</v>
      </c>
      <c r="AP29" s="7" t="n">
        <f aca="false">$J29</f>
        <v>23</v>
      </c>
      <c r="AQ29" s="7" t="n">
        <f aca="false">$K29</f>
        <v>25</v>
      </c>
      <c r="AR29" s="7" t="n">
        <f aca="false">$K29</f>
        <v>25</v>
      </c>
      <c r="AS29" s="7" t="n">
        <f aca="false">$K29</f>
        <v>25</v>
      </c>
      <c r="AT29" s="7" t="n">
        <f aca="false">$K29</f>
        <v>25</v>
      </c>
      <c r="AU29" s="7" t="n">
        <f aca="false">$K29</f>
        <v>25</v>
      </c>
      <c r="AV29" s="7" t="n">
        <f aca="false">$L29</f>
        <v>27</v>
      </c>
      <c r="AW29" s="7" t="n">
        <f aca="false">$L29</f>
        <v>27</v>
      </c>
      <c r="AX29" s="7" t="n">
        <f aca="false">$L29</f>
        <v>27</v>
      </c>
      <c r="AY29" s="7" t="n">
        <f aca="false">$L29</f>
        <v>27</v>
      </c>
      <c r="AZ29" s="7" t="n">
        <f aca="false">$M29</f>
        <v>28</v>
      </c>
      <c r="BA29" s="7" t="n">
        <f aca="false">$M29</f>
        <v>28</v>
      </c>
      <c r="BB29" s="7" t="n">
        <f aca="false">$M29</f>
        <v>28</v>
      </c>
      <c r="BC29" s="7" t="n">
        <f aca="false">$M29</f>
        <v>28</v>
      </c>
      <c r="BD29" s="7" t="n">
        <f aca="false">$N29</f>
        <v>29</v>
      </c>
      <c r="BE29" s="7" t="n">
        <f aca="false">$N29</f>
        <v>29</v>
      </c>
      <c r="BF29" s="7" t="n">
        <f aca="false">$N29</f>
        <v>29</v>
      </c>
      <c r="BG29" s="7" t="n">
        <f aca="false">$N29</f>
        <v>29</v>
      </c>
      <c r="BH29" s="7" t="n">
        <f aca="false">$N29</f>
        <v>29</v>
      </c>
      <c r="BI29" s="7" t="n">
        <f aca="false">$O29</f>
        <v>30</v>
      </c>
      <c r="BJ29" s="7" t="n">
        <f aca="false">$O29</f>
        <v>30</v>
      </c>
      <c r="BK29" s="7" t="n">
        <f aca="false">$O29</f>
        <v>30</v>
      </c>
      <c r="BL29" s="7" t="n">
        <f aca="false">$O29</f>
        <v>30</v>
      </c>
      <c r="BM29" s="7" t="n">
        <f aca="false">$P29</f>
        <v>30</v>
      </c>
      <c r="BN29" s="7" t="n">
        <f aca="false">$P29</f>
        <v>30</v>
      </c>
      <c r="BO29" s="7" t="n">
        <f aca="false">$P29</f>
        <v>30</v>
      </c>
      <c r="BP29" s="7" t="n">
        <f aca="false">$P29</f>
        <v>30</v>
      </c>
    </row>
    <row r="30" customFormat="false" ht="15" hidden="false" customHeight="false" outlineLevel="0" collapsed="false">
      <c r="A30" s="0" t="s">
        <v>235</v>
      </c>
      <c r="B30" s="0" t="s">
        <v>128</v>
      </c>
      <c r="C30" s="0" t="s">
        <v>121</v>
      </c>
      <c r="D30" s="0" t="n">
        <f aca="false">SUM(Q30:BP30)</f>
        <v>572</v>
      </c>
      <c r="E30" s="13" t="n">
        <v>3</v>
      </c>
      <c r="F30" s="13" t="n">
        <v>5</v>
      </c>
      <c r="G30" s="13" t="n">
        <v>7</v>
      </c>
      <c r="H30" s="13" t="n">
        <v>9</v>
      </c>
      <c r="I30" s="13" t="n">
        <v>11</v>
      </c>
      <c r="J30" s="13" t="n">
        <v>12</v>
      </c>
      <c r="K30" s="13" t="n">
        <v>13</v>
      </c>
      <c r="L30" s="13" t="n">
        <v>14</v>
      </c>
      <c r="M30" s="13" t="n">
        <v>14</v>
      </c>
      <c r="N30" s="13" t="n">
        <v>15</v>
      </c>
      <c r="O30" s="13" t="n">
        <v>15</v>
      </c>
      <c r="P30" s="13" t="n">
        <v>15</v>
      </c>
      <c r="Q30" s="7" t="n">
        <f aca="false">$E30</f>
        <v>3</v>
      </c>
      <c r="R30" s="7" t="n">
        <f aca="false">$E30</f>
        <v>3</v>
      </c>
      <c r="S30" s="7" t="n">
        <f aca="false">$E30</f>
        <v>3</v>
      </c>
      <c r="T30" s="7" t="n">
        <f aca="false">$E30</f>
        <v>3</v>
      </c>
      <c r="U30" s="7" t="n">
        <f aca="false">$E30</f>
        <v>3</v>
      </c>
      <c r="V30" s="7" t="n">
        <f aca="false">$F30</f>
        <v>5</v>
      </c>
      <c r="W30" s="7" t="n">
        <f aca="false">$F30</f>
        <v>5</v>
      </c>
      <c r="X30" s="7" t="n">
        <f aca="false">$F30</f>
        <v>5</v>
      </c>
      <c r="Y30" s="7" t="n">
        <f aca="false">$F30</f>
        <v>5</v>
      </c>
      <c r="Z30" s="7" t="n">
        <f aca="false">$G30</f>
        <v>7</v>
      </c>
      <c r="AA30" s="7" t="n">
        <f aca="false">$G30</f>
        <v>7</v>
      </c>
      <c r="AB30" s="7" t="n">
        <f aca="false">$G30</f>
        <v>7</v>
      </c>
      <c r="AC30" s="7" t="n">
        <f aca="false">$G30</f>
        <v>7</v>
      </c>
      <c r="AD30" s="7" t="n">
        <f aca="false">$H30</f>
        <v>9</v>
      </c>
      <c r="AE30" s="7" t="n">
        <f aca="false">$H30</f>
        <v>9</v>
      </c>
      <c r="AF30" s="7" t="n">
        <f aca="false">$H30</f>
        <v>9</v>
      </c>
      <c r="AG30" s="7" t="n">
        <f aca="false">$H30</f>
        <v>9</v>
      </c>
      <c r="AH30" s="7" t="n">
        <f aca="false">$H30</f>
        <v>9</v>
      </c>
      <c r="AI30" s="7" t="n">
        <f aca="false">$I30</f>
        <v>11</v>
      </c>
      <c r="AJ30" s="7" t="n">
        <f aca="false">$I30</f>
        <v>11</v>
      </c>
      <c r="AK30" s="7" t="n">
        <f aca="false">$I30</f>
        <v>11</v>
      </c>
      <c r="AL30" s="7" t="n">
        <f aca="false">$I30</f>
        <v>11</v>
      </c>
      <c r="AM30" s="7" t="n">
        <f aca="false">$J30</f>
        <v>12</v>
      </c>
      <c r="AN30" s="7" t="n">
        <f aca="false">$J30</f>
        <v>12</v>
      </c>
      <c r="AO30" s="7" t="n">
        <f aca="false">$J30</f>
        <v>12</v>
      </c>
      <c r="AP30" s="7" t="n">
        <f aca="false">$J30</f>
        <v>12</v>
      </c>
      <c r="AQ30" s="7" t="n">
        <f aca="false">$K30</f>
        <v>13</v>
      </c>
      <c r="AR30" s="7" t="n">
        <f aca="false">$K30</f>
        <v>13</v>
      </c>
      <c r="AS30" s="7" t="n">
        <f aca="false">$K30</f>
        <v>13</v>
      </c>
      <c r="AT30" s="7" t="n">
        <f aca="false">$K30</f>
        <v>13</v>
      </c>
      <c r="AU30" s="7" t="n">
        <f aca="false">$K30</f>
        <v>13</v>
      </c>
      <c r="AV30" s="7" t="n">
        <f aca="false">$L30</f>
        <v>14</v>
      </c>
      <c r="AW30" s="7" t="n">
        <f aca="false">$L30</f>
        <v>14</v>
      </c>
      <c r="AX30" s="7" t="n">
        <f aca="false">$L30</f>
        <v>14</v>
      </c>
      <c r="AY30" s="7" t="n">
        <f aca="false">$L30</f>
        <v>14</v>
      </c>
      <c r="AZ30" s="7" t="n">
        <f aca="false">$M30</f>
        <v>14</v>
      </c>
      <c r="BA30" s="7" t="n">
        <f aca="false">$M30</f>
        <v>14</v>
      </c>
      <c r="BB30" s="7" t="n">
        <f aca="false">$M30</f>
        <v>14</v>
      </c>
      <c r="BC30" s="7" t="n">
        <f aca="false">$M30</f>
        <v>14</v>
      </c>
      <c r="BD30" s="7" t="n">
        <f aca="false">$N30</f>
        <v>15</v>
      </c>
      <c r="BE30" s="7" t="n">
        <f aca="false">$N30</f>
        <v>15</v>
      </c>
      <c r="BF30" s="7" t="n">
        <f aca="false">$N30</f>
        <v>15</v>
      </c>
      <c r="BG30" s="7" t="n">
        <f aca="false">$N30</f>
        <v>15</v>
      </c>
      <c r="BH30" s="7" t="n">
        <f aca="false">$N30</f>
        <v>15</v>
      </c>
      <c r="BI30" s="7" t="n">
        <f aca="false">$O30</f>
        <v>15</v>
      </c>
      <c r="BJ30" s="7" t="n">
        <f aca="false">$O30</f>
        <v>15</v>
      </c>
      <c r="BK30" s="7" t="n">
        <f aca="false">$O30</f>
        <v>15</v>
      </c>
      <c r="BL30" s="7" t="n">
        <f aca="false">$O30</f>
        <v>15</v>
      </c>
      <c r="BM30" s="7" t="n">
        <f aca="false">$P30</f>
        <v>15</v>
      </c>
      <c r="BN30" s="7" t="n">
        <f aca="false">$P30</f>
        <v>15</v>
      </c>
      <c r="BO30" s="7" t="n">
        <f aca="false">$P30</f>
        <v>15</v>
      </c>
      <c r="BP30" s="7" t="n">
        <f aca="false">$P30</f>
        <v>15</v>
      </c>
    </row>
    <row r="31" customFormat="false" ht="15" hidden="false" customHeight="false" outlineLevel="0" collapsed="false">
      <c r="A31" s="0" t="s">
        <v>235</v>
      </c>
      <c r="B31" s="0" t="s">
        <v>128</v>
      </c>
      <c r="C31" s="0" t="s">
        <v>122</v>
      </c>
      <c r="D31" s="0" t="n">
        <f aca="false">SUM(Q31:BP31)</f>
        <v>433</v>
      </c>
      <c r="E31" s="13" t="n">
        <v>0</v>
      </c>
      <c r="F31" s="13" t="n">
        <v>0</v>
      </c>
      <c r="G31" s="13" t="n">
        <v>2</v>
      </c>
      <c r="H31" s="13" t="n">
        <v>4</v>
      </c>
      <c r="I31" s="13" t="n">
        <v>6</v>
      </c>
      <c r="J31" s="13" t="n">
        <v>8</v>
      </c>
      <c r="K31" s="13" t="n">
        <v>10</v>
      </c>
      <c r="L31" s="13" t="n">
        <v>12</v>
      </c>
      <c r="M31" s="13" t="n">
        <v>14</v>
      </c>
      <c r="N31" s="13" t="n">
        <v>15</v>
      </c>
      <c r="O31" s="13" t="n">
        <v>15</v>
      </c>
      <c r="P31" s="13" t="n">
        <v>15</v>
      </c>
      <c r="Q31" s="7" t="n">
        <f aca="false">$E31</f>
        <v>0</v>
      </c>
      <c r="R31" s="7" t="n">
        <f aca="false">$E31</f>
        <v>0</v>
      </c>
      <c r="S31" s="7" t="n">
        <f aca="false">$E31</f>
        <v>0</v>
      </c>
      <c r="T31" s="7" t="n">
        <f aca="false">$E31</f>
        <v>0</v>
      </c>
      <c r="U31" s="7" t="n">
        <f aca="false">$E31</f>
        <v>0</v>
      </c>
      <c r="V31" s="7" t="n">
        <f aca="false">$F31</f>
        <v>0</v>
      </c>
      <c r="W31" s="7" t="n">
        <f aca="false">$F31</f>
        <v>0</v>
      </c>
      <c r="X31" s="7" t="n">
        <f aca="false">$F31</f>
        <v>0</v>
      </c>
      <c r="Y31" s="7" t="n">
        <f aca="false">$F31</f>
        <v>0</v>
      </c>
      <c r="Z31" s="7" t="n">
        <f aca="false">$G31</f>
        <v>2</v>
      </c>
      <c r="AA31" s="7" t="n">
        <f aca="false">$G31</f>
        <v>2</v>
      </c>
      <c r="AB31" s="7" t="n">
        <f aca="false">$G31</f>
        <v>2</v>
      </c>
      <c r="AC31" s="7" t="n">
        <f aca="false">$G31</f>
        <v>2</v>
      </c>
      <c r="AD31" s="7" t="n">
        <f aca="false">$H31</f>
        <v>4</v>
      </c>
      <c r="AE31" s="7" t="n">
        <f aca="false">$H31</f>
        <v>4</v>
      </c>
      <c r="AF31" s="7" t="n">
        <f aca="false">$H31</f>
        <v>4</v>
      </c>
      <c r="AG31" s="7" t="n">
        <f aca="false">$H31</f>
        <v>4</v>
      </c>
      <c r="AH31" s="7" t="n">
        <f aca="false">$H31</f>
        <v>4</v>
      </c>
      <c r="AI31" s="7" t="n">
        <f aca="false">$I31</f>
        <v>6</v>
      </c>
      <c r="AJ31" s="7" t="n">
        <f aca="false">$I31</f>
        <v>6</v>
      </c>
      <c r="AK31" s="7" t="n">
        <f aca="false">$I31</f>
        <v>6</v>
      </c>
      <c r="AL31" s="7" t="n">
        <f aca="false">$I31</f>
        <v>6</v>
      </c>
      <c r="AM31" s="7" t="n">
        <f aca="false">$J31</f>
        <v>8</v>
      </c>
      <c r="AN31" s="7" t="n">
        <f aca="false">$J31</f>
        <v>8</v>
      </c>
      <c r="AO31" s="7" t="n">
        <f aca="false">$J31</f>
        <v>8</v>
      </c>
      <c r="AP31" s="7" t="n">
        <f aca="false">$J31</f>
        <v>8</v>
      </c>
      <c r="AQ31" s="7" t="n">
        <f aca="false">$K31</f>
        <v>10</v>
      </c>
      <c r="AR31" s="7" t="n">
        <f aca="false">$K31</f>
        <v>10</v>
      </c>
      <c r="AS31" s="7" t="n">
        <f aca="false">$K31</f>
        <v>10</v>
      </c>
      <c r="AT31" s="7" t="n">
        <f aca="false">$K31</f>
        <v>10</v>
      </c>
      <c r="AU31" s="7" t="n">
        <f aca="false">$K31</f>
        <v>10</v>
      </c>
      <c r="AV31" s="7" t="n">
        <f aca="false">$L31</f>
        <v>12</v>
      </c>
      <c r="AW31" s="7" t="n">
        <f aca="false">$L31</f>
        <v>12</v>
      </c>
      <c r="AX31" s="7" t="n">
        <f aca="false">$L31</f>
        <v>12</v>
      </c>
      <c r="AY31" s="7" t="n">
        <f aca="false">$L31</f>
        <v>12</v>
      </c>
      <c r="AZ31" s="7" t="n">
        <f aca="false">$M31</f>
        <v>14</v>
      </c>
      <c r="BA31" s="7" t="n">
        <f aca="false">$M31</f>
        <v>14</v>
      </c>
      <c r="BB31" s="7" t="n">
        <f aca="false">$M31</f>
        <v>14</v>
      </c>
      <c r="BC31" s="7" t="n">
        <f aca="false">$M31</f>
        <v>14</v>
      </c>
      <c r="BD31" s="7" t="n">
        <f aca="false">$N31</f>
        <v>15</v>
      </c>
      <c r="BE31" s="7" t="n">
        <f aca="false">$N31</f>
        <v>15</v>
      </c>
      <c r="BF31" s="7" t="n">
        <f aca="false">$N31</f>
        <v>15</v>
      </c>
      <c r="BG31" s="7" t="n">
        <f aca="false">$N31</f>
        <v>15</v>
      </c>
      <c r="BH31" s="7" t="n">
        <f aca="false">$N31</f>
        <v>15</v>
      </c>
      <c r="BI31" s="7" t="n">
        <f aca="false">$O31</f>
        <v>15</v>
      </c>
      <c r="BJ31" s="7" t="n">
        <f aca="false">$O31</f>
        <v>15</v>
      </c>
      <c r="BK31" s="7" t="n">
        <f aca="false">$O31</f>
        <v>15</v>
      </c>
      <c r="BL31" s="7" t="n">
        <f aca="false">$O31</f>
        <v>15</v>
      </c>
      <c r="BM31" s="7" t="n">
        <f aca="false">$P31</f>
        <v>15</v>
      </c>
      <c r="BN31" s="7" t="n">
        <f aca="false">$P31</f>
        <v>15</v>
      </c>
      <c r="BO31" s="7" t="n">
        <f aca="false">$P31</f>
        <v>15</v>
      </c>
      <c r="BP31" s="7" t="n">
        <f aca="false">$P31</f>
        <v>15</v>
      </c>
    </row>
    <row r="32" customFormat="false" ht="15" hidden="false" customHeight="false" outlineLevel="0" collapsed="false">
      <c r="A32" s="0" t="s">
        <v>235</v>
      </c>
      <c r="B32" s="0" t="s">
        <v>128</v>
      </c>
      <c r="C32" s="0" t="s">
        <v>123</v>
      </c>
      <c r="D32" s="0" t="n">
        <f aca="false">SUM(Q32:BP32)</f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7" t="n">
        <f aca="false">$E32</f>
        <v>0</v>
      </c>
      <c r="R32" s="7" t="n">
        <f aca="false">$E32</f>
        <v>0</v>
      </c>
      <c r="S32" s="7" t="n">
        <f aca="false">$E32</f>
        <v>0</v>
      </c>
      <c r="T32" s="7" t="n">
        <f aca="false">$E32</f>
        <v>0</v>
      </c>
      <c r="U32" s="7" t="n">
        <f aca="false">$E32</f>
        <v>0</v>
      </c>
      <c r="V32" s="7" t="n">
        <f aca="false">$F32</f>
        <v>0</v>
      </c>
      <c r="W32" s="7" t="n">
        <f aca="false">$F32</f>
        <v>0</v>
      </c>
      <c r="X32" s="7" t="n">
        <f aca="false">$F32</f>
        <v>0</v>
      </c>
      <c r="Y32" s="7" t="n">
        <f aca="false">$F32</f>
        <v>0</v>
      </c>
      <c r="Z32" s="7" t="n">
        <f aca="false">$G32</f>
        <v>0</v>
      </c>
      <c r="AA32" s="7" t="n">
        <f aca="false">$G32</f>
        <v>0</v>
      </c>
      <c r="AB32" s="7" t="n">
        <f aca="false">$G32</f>
        <v>0</v>
      </c>
      <c r="AC32" s="7" t="n">
        <f aca="false">$G32</f>
        <v>0</v>
      </c>
      <c r="AD32" s="7" t="n">
        <f aca="false">$H32</f>
        <v>0</v>
      </c>
      <c r="AE32" s="7" t="n">
        <f aca="false">$H32</f>
        <v>0</v>
      </c>
      <c r="AF32" s="7" t="n">
        <f aca="false">$H32</f>
        <v>0</v>
      </c>
      <c r="AG32" s="7" t="n">
        <f aca="false">$H32</f>
        <v>0</v>
      </c>
      <c r="AH32" s="7" t="n">
        <f aca="false">$H32</f>
        <v>0</v>
      </c>
      <c r="AI32" s="7" t="n">
        <f aca="false">$I32</f>
        <v>0</v>
      </c>
      <c r="AJ32" s="7" t="n">
        <f aca="false">$I32</f>
        <v>0</v>
      </c>
      <c r="AK32" s="7" t="n">
        <f aca="false">$I32</f>
        <v>0</v>
      </c>
      <c r="AL32" s="7" t="n">
        <f aca="false">$I32</f>
        <v>0</v>
      </c>
      <c r="AM32" s="7" t="n">
        <f aca="false">$J32</f>
        <v>0</v>
      </c>
      <c r="AN32" s="7" t="n">
        <f aca="false">$J32</f>
        <v>0</v>
      </c>
      <c r="AO32" s="7" t="n">
        <f aca="false">$J32</f>
        <v>0</v>
      </c>
      <c r="AP32" s="7" t="n">
        <f aca="false">$J32</f>
        <v>0</v>
      </c>
      <c r="AQ32" s="7" t="n">
        <f aca="false">$K32</f>
        <v>0</v>
      </c>
      <c r="AR32" s="7" t="n">
        <f aca="false">$K32</f>
        <v>0</v>
      </c>
      <c r="AS32" s="7" t="n">
        <f aca="false">$K32</f>
        <v>0</v>
      </c>
      <c r="AT32" s="7" t="n">
        <f aca="false">$K32</f>
        <v>0</v>
      </c>
      <c r="AU32" s="7" t="n">
        <f aca="false">$K32</f>
        <v>0</v>
      </c>
      <c r="AV32" s="7" t="n">
        <f aca="false">$L32</f>
        <v>0</v>
      </c>
      <c r="AW32" s="7" t="n">
        <f aca="false">$L32</f>
        <v>0</v>
      </c>
      <c r="AX32" s="7" t="n">
        <f aca="false">$L32</f>
        <v>0</v>
      </c>
      <c r="AY32" s="7" t="n">
        <f aca="false">$L32</f>
        <v>0</v>
      </c>
      <c r="AZ32" s="7" t="n">
        <f aca="false">$M32</f>
        <v>0</v>
      </c>
      <c r="BA32" s="7" t="n">
        <f aca="false">$M32</f>
        <v>0</v>
      </c>
      <c r="BB32" s="7" t="n">
        <f aca="false">$M32</f>
        <v>0</v>
      </c>
      <c r="BC32" s="7" t="n">
        <f aca="false">$M32</f>
        <v>0</v>
      </c>
      <c r="BD32" s="7" t="n">
        <f aca="false">$N32</f>
        <v>0</v>
      </c>
      <c r="BE32" s="7" t="n">
        <f aca="false">$N32</f>
        <v>0</v>
      </c>
      <c r="BF32" s="7" t="n">
        <f aca="false">$N32</f>
        <v>0</v>
      </c>
      <c r="BG32" s="7" t="n">
        <f aca="false">$N32</f>
        <v>0</v>
      </c>
      <c r="BH32" s="7" t="n">
        <f aca="false">$N32</f>
        <v>0</v>
      </c>
      <c r="BI32" s="7" t="n">
        <f aca="false">$O32</f>
        <v>0</v>
      </c>
      <c r="BJ32" s="7" t="n">
        <f aca="false">$O32</f>
        <v>0</v>
      </c>
      <c r="BK32" s="7" t="n">
        <f aca="false">$O32</f>
        <v>0</v>
      </c>
      <c r="BL32" s="7" t="n">
        <f aca="false">$O32</f>
        <v>0</v>
      </c>
      <c r="BM32" s="7" t="n">
        <f aca="false">$P32</f>
        <v>0</v>
      </c>
      <c r="BN32" s="7" t="n">
        <f aca="false">$P32</f>
        <v>0</v>
      </c>
      <c r="BO32" s="7" t="n">
        <f aca="false">$P32</f>
        <v>0</v>
      </c>
      <c r="BP32" s="7" t="n">
        <f aca="false">$P32</f>
        <v>0</v>
      </c>
    </row>
    <row r="33" customFormat="false" ht="15" hidden="false" customHeight="false" outlineLevel="0" collapsed="false">
      <c r="A33" s="0" t="s">
        <v>235</v>
      </c>
      <c r="B33" s="0" t="s">
        <v>129</v>
      </c>
      <c r="C33" s="0" t="s">
        <v>115</v>
      </c>
      <c r="D33" s="0" t="n">
        <f aca="false">SUM(Q33:BP33)</f>
        <v>556</v>
      </c>
      <c r="E33" s="22" t="n">
        <v>0</v>
      </c>
      <c r="F33" s="22" t="n">
        <v>0</v>
      </c>
      <c r="G33" s="22" t="n">
        <v>2</v>
      </c>
      <c r="H33" s="22" t="n">
        <v>4</v>
      </c>
      <c r="I33" s="22" t="n">
        <v>7</v>
      </c>
      <c r="J33" s="22" t="n">
        <v>10</v>
      </c>
      <c r="K33" s="22" t="n">
        <v>13</v>
      </c>
      <c r="L33" s="22" t="n">
        <v>15</v>
      </c>
      <c r="M33" s="22" t="n">
        <v>17</v>
      </c>
      <c r="N33" s="22" t="n">
        <v>19</v>
      </c>
      <c r="O33" s="22" t="n">
        <v>21</v>
      </c>
      <c r="P33" s="22" t="n">
        <v>22</v>
      </c>
      <c r="Q33" s="7" t="n">
        <f aca="false">$E33</f>
        <v>0</v>
      </c>
      <c r="R33" s="7" t="n">
        <f aca="false">$E33</f>
        <v>0</v>
      </c>
      <c r="S33" s="7" t="n">
        <f aca="false">$E33</f>
        <v>0</v>
      </c>
      <c r="T33" s="7" t="n">
        <f aca="false">$E33</f>
        <v>0</v>
      </c>
      <c r="U33" s="7" t="n">
        <f aca="false">$E33</f>
        <v>0</v>
      </c>
      <c r="V33" s="7" t="n">
        <f aca="false">$F33</f>
        <v>0</v>
      </c>
      <c r="W33" s="7" t="n">
        <f aca="false">$F33</f>
        <v>0</v>
      </c>
      <c r="X33" s="7" t="n">
        <f aca="false">$F33</f>
        <v>0</v>
      </c>
      <c r="Y33" s="7" t="n">
        <f aca="false">$F33</f>
        <v>0</v>
      </c>
      <c r="Z33" s="7" t="n">
        <f aca="false">$G33</f>
        <v>2</v>
      </c>
      <c r="AA33" s="7" t="n">
        <f aca="false">$G33</f>
        <v>2</v>
      </c>
      <c r="AB33" s="7" t="n">
        <f aca="false">$G33</f>
        <v>2</v>
      </c>
      <c r="AC33" s="7" t="n">
        <f aca="false">$G33</f>
        <v>2</v>
      </c>
      <c r="AD33" s="7" t="n">
        <f aca="false">$H33</f>
        <v>4</v>
      </c>
      <c r="AE33" s="7" t="n">
        <f aca="false">$H33</f>
        <v>4</v>
      </c>
      <c r="AF33" s="7" t="n">
        <f aca="false">$H33</f>
        <v>4</v>
      </c>
      <c r="AG33" s="7" t="n">
        <f aca="false">$H33</f>
        <v>4</v>
      </c>
      <c r="AH33" s="7" t="n">
        <f aca="false">$H33</f>
        <v>4</v>
      </c>
      <c r="AI33" s="7" t="n">
        <f aca="false">$I33</f>
        <v>7</v>
      </c>
      <c r="AJ33" s="7" t="n">
        <f aca="false">$I33</f>
        <v>7</v>
      </c>
      <c r="AK33" s="7" t="n">
        <f aca="false">$I33</f>
        <v>7</v>
      </c>
      <c r="AL33" s="7" t="n">
        <f aca="false">$I33</f>
        <v>7</v>
      </c>
      <c r="AM33" s="7" t="n">
        <f aca="false">$J33</f>
        <v>10</v>
      </c>
      <c r="AN33" s="7" t="n">
        <f aca="false">$J33</f>
        <v>10</v>
      </c>
      <c r="AO33" s="7" t="n">
        <f aca="false">$J33</f>
        <v>10</v>
      </c>
      <c r="AP33" s="7" t="n">
        <f aca="false">$J33</f>
        <v>10</v>
      </c>
      <c r="AQ33" s="7" t="n">
        <f aca="false">$K33</f>
        <v>13</v>
      </c>
      <c r="AR33" s="7" t="n">
        <f aca="false">$K33</f>
        <v>13</v>
      </c>
      <c r="AS33" s="7" t="n">
        <f aca="false">$K33</f>
        <v>13</v>
      </c>
      <c r="AT33" s="7" t="n">
        <f aca="false">$K33</f>
        <v>13</v>
      </c>
      <c r="AU33" s="7" t="n">
        <f aca="false">$K33</f>
        <v>13</v>
      </c>
      <c r="AV33" s="7" t="n">
        <f aca="false">$L33</f>
        <v>15</v>
      </c>
      <c r="AW33" s="7" t="n">
        <f aca="false">$L33</f>
        <v>15</v>
      </c>
      <c r="AX33" s="7" t="n">
        <f aca="false">$L33</f>
        <v>15</v>
      </c>
      <c r="AY33" s="7" t="n">
        <f aca="false">$L33</f>
        <v>15</v>
      </c>
      <c r="AZ33" s="7" t="n">
        <f aca="false">$M33</f>
        <v>17</v>
      </c>
      <c r="BA33" s="7" t="n">
        <f aca="false">$M33</f>
        <v>17</v>
      </c>
      <c r="BB33" s="7" t="n">
        <f aca="false">$M33</f>
        <v>17</v>
      </c>
      <c r="BC33" s="7" t="n">
        <f aca="false">$M33</f>
        <v>17</v>
      </c>
      <c r="BD33" s="7" t="n">
        <f aca="false">$N33</f>
        <v>19</v>
      </c>
      <c r="BE33" s="7" t="n">
        <f aca="false">$N33</f>
        <v>19</v>
      </c>
      <c r="BF33" s="7" t="n">
        <f aca="false">$N33</f>
        <v>19</v>
      </c>
      <c r="BG33" s="7" t="n">
        <f aca="false">$N33</f>
        <v>19</v>
      </c>
      <c r="BH33" s="7" t="n">
        <f aca="false">$N33</f>
        <v>19</v>
      </c>
      <c r="BI33" s="7" t="n">
        <f aca="false">$O33</f>
        <v>21</v>
      </c>
      <c r="BJ33" s="7" t="n">
        <f aca="false">$O33</f>
        <v>21</v>
      </c>
      <c r="BK33" s="7" t="n">
        <f aca="false">$O33</f>
        <v>21</v>
      </c>
      <c r="BL33" s="7" t="n">
        <f aca="false">$O33</f>
        <v>21</v>
      </c>
      <c r="BM33" s="7" t="n">
        <f aca="false">$P33</f>
        <v>22</v>
      </c>
      <c r="BN33" s="7" t="n">
        <f aca="false">$P33</f>
        <v>22</v>
      </c>
      <c r="BO33" s="7" t="n">
        <f aca="false">$P33</f>
        <v>22</v>
      </c>
      <c r="BP33" s="7" t="n">
        <f aca="false">$P33</f>
        <v>22</v>
      </c>
    </row>
    <row r="34" customFormat="false" ht="15" hidden="false" customHeight="false" outlineLevel="0" collapsed="false">
      <c r="A34" s="0" t="s">
        <v>235</v>
      </c>
      <c r="B34" s="0" t="s">
        <v>129</v>
      </c>
      <c r="C34" s="0" t="s">
        <v>116</v>
      </c>
      <c r="D34" s="0" t="n">
        <f aca="false">SUM(Q34:BP34)</f>
        <v>308</v>
      </c>
      <c r="E34" s="22" t="n">
        <v>0</v>
      </c>
      <c r="F34" s="22" t="n">
        <v>0</v>
      </c>
      <c r="G34" s="22" t="n">
        <v>1</v>
      </c>
      <c r="H34" s="22" t="n">
        <v>2</v>
      </c>
      <c r="I34" s="22" t="n">
        <v>3</v>
      </c>
      <c r="J34" s="22" t="n">
        <v>5</v>
      </c>
      <c r="K34" s="22" t="n">
        <v>7</v>
      </c>
      <c r="L34" s="22" t="n">
        <v>8</v>
      </c>
      <c r="M34" s="22" t="n">
        <v>10</v>
      </c>
      <c r="N34" s="22" t="n">
        <v>11</v>
      </c>
      <c r="O34" s="22" t="n">
        <v>12</v>
      </c>
      <c r="P34" s="22" t="n">
        <v>13</v>
      </c>
      <c r="Q34" s="7" t="n">
        <f aca="false">$E34</f>
        <v>0</v>
      </c>
      <c r="R34" s="7" t="n">
        <f aca="false">$E34</f>
        <v>0</v>
      </c>
      <c r="S34" s="7" t="n">
        <f aca="false">$E34</f>
        <v>0</v>
      </c>
      <c r="T34" s="7" t="n">
        <f aca="false">$E34</f>
        <v>0</v>
      </c>
      <c r="U34" s="7" t="n">
        <f aca="false">$E34</f>
        <v>0</v>
      </c>
      <c r="V34" s="7" t="n">
        <f aca="false">$F34</f>
        <v>0</v>
      </c>
      <c r="W34" s="7" t="n">
        <f aca="false">$F34</f>
        <v>0</v>
      </c>
      <c r="X34" s="7" t="n">
        <f aca="false">$F34</f>
        <v>0</v>
      </c>
      <c r="Y34" s="7" t="n">
        <f aca="false">$F34</f>
        <v>0</v>
      </c>
      <c r="Z34" s="7" t="n">
        <f aca="false">$G34</f>
        <v>1</v>
      </c>
      <c r="AA34" s="7" t="n">
        <f aca="false">$G34</f>
        <v>1</v>
      </c>
      <c r="AB34" s="7" t="n">
        <f aca="false">$G34</f>
        <v>1</v>
      </c>
      <c r="AC34" s="7" t="n">
        <f aca="false">$G34</f>
        <v>1</v>
      </c>
      <c r="AD34" s="7" t="n">
        <f aca="false">$H34</f>
        <v>2</v>
      </c>
      <c r="AE34" s="7" t="n">
        <f aca="false">$H34</f>
        <v>2</v>
      </c>
      <c r="AF34" s="7" t="n">
        <f aca="false">$H34</f>
        <v>2</v>
      </c>
      <c r="AG34" s="7" t="n">
        <f aca="false">$H34</f>
        <v>2</v>
      </c>
      <c r="AH34" s="7" t="n">
        <f aca="false">$H34</f>
        <v>2</v>
      </c>
      <c r="AI34" s="7" t="n">
        <f aca="false">$I34</f>
        <v>3</v>
      </c>
      <c r="AJ34" s="7" t="n">
        <f aca="false">$I34</f>
        <v>3</v>
      </c>
      <c r="AK34" s="7" t="n">
        <f aca="false">$I34</f>
        <v>3</v>
      </c>
      <c r="AL34" s="7" t="n">
        <f aca="false">$I34</f>
        <v>3</v>
      </c>
      <c r="AM34" s="7" t="n">
        <f aca="false">$J34</f>
        <v>5</v>
      </c>
      <c r="AN34" s="7" t="n">
        <f aca="false">$J34</f>
        <v>5</v>
      </c>
      <c r="AO34" s="7" t="n">
        <f aca="false">$J34</f>
        <v>5</v>
      </c>
      <c r="AP34" s="7" t="n">
        <f aca="false">$J34</f>
        <v>5</v>
      </c>
      <c r="AQ34" s="7" t="n">
        <f aca="false">$K34</f>
        <v>7</v>
      </c>
      <c r="AR34" s="7" t="n">
        <f aca="false">$K34</f>
        <v>7</v>
      </c>
      <c r="AS34" s="7" t="n">
        <f aca="false">$K34</f>
        <v>7</v>
      </c>
      <c r="AT34" s="7" t="n">
        <f aca="false">$K34</f>
        <v>7</v>
      </c>
      <c r="AU34" s="7" t="n">
        <f aca="false">$K34</f>
        <v>7</v>
      </c>
      <c r="AV34" s="7" t="n">
        <f aca="false">$L34</f>
        <v>8</v>
      </c>
      <c r="AW34" s="7" t="n">
        <f aca="false">$L34</f>
        <v>8</v>
      </c>
      <c r="AX34" s="7" t="n">
        <f aca="false">$L34</f>
        <v>8</v>
      </c>
      <c r="AY34" s="7" t="n">
        <f aca="false">$L34</f>
        <v>8</v>
      </c>
      <c r="AZ34" s="7" t="n">
        <f aca="false">$M34</f>
        <v>10</v>
      </c>
      <c r="BA34" s="7" t="n">
        <f aca="false">$M34</f>
        <v>10</v>
      </c>
      <c r="BB34" s="7" t="n">
        <f aca="false">$M34</f>
        <v>10</v>
      </c>
      <c r="BC34" s="7" t="n">
        <f aca="false">$M34</f>
        <v>10</v>
      </c>
      <c r="BD34" s="7" t="n">
        <f aca="false">$N34</f>
        <v>11</v>
      </c>
      <c r="BE34" s="7" t="n">
        <f aca="false">$N34</f>
        <v>11</v>
      </c>
      <c r="BF34" s="7" t="n">
        <f aca="false">$N34</f>
        <v>11</v>
      </c>
      <c r="BG34" s="7" t="n">
        <f aca="false">$N34</f>
        <v>11</v>
      </c>
      <c r="BH34" s="7" t="n">
        <f aca="false">$N34</f>
        <v>11</v>
      </c>
      <c r="BI34" s="7" t="n">
        <f aca="false">$O34</f>
        <v>12</v>
      </c>
      <c r="BJ34" s="7" t="n">
        <f aca="false">$O34</f>
        <v>12</v>
      </c>
      <c r="BK34" s="7" t="n">
        <f aca="false">$O34</f>
        <v>12</v>
      </c>
      <c r="BL34" s="7" t="n">
        <f aca="false">$O34</f>
        <v>12</v>
      </c>
      <c r="BM34" s="7" t="n">
        <f aca="false">$P34</f>
        <v>13</v>
      </c>
      <c r="BN34" s="7" t="n">
        <f aca="false">$P34</f>
        <v>13</v>
      </c>
      <c r="BO34" s="7" t="n">
        <f aca="false">$P34</f>
        <v>13</v>
      </c>
      <c r="BP34" s="7" t="n">
        <f aca="false">$P34</f>
        <v>13</v>
      </c>
    </row>
    <row r="35" customFormat="false" ht="15" hidden="false" customHeight="false" outlineLevel="0" collapsed="false">
      <c r="A35" s="0" t="s">
        <v>235</v>
      </c>
      <c r="B35" s="0" t="s">
        <v>129</v>
      </c>
      <c r="C35" s="0" t="s">
        <v>117</v>
      </c>
      <c r="D35" s="0" t="n">
        <f aca="false">SUM(Q35:BP35)</f>
        <v>294</v>
      </c>
      <c r="E35" s="22" t="n">
        <v>0</v>
      </c>
      <c r="F35" s="22" t="n">
        <v>0</v>
      </c>
      <c r="G35" s="22" t="n">
        <v>0</v>
      </c>
      <c r="H35" s="22" t="n">
        <v>0</v>
      </c>
      <c r="I35" s="22" t="n">
        <v>2</v>
      </c>
      <c r="J35" s="22" t="n">
        <v>4</v>
      </c>
      <c r="K35" s="22" t="n">
        <v>6</v>
      </c>
      <c r="L35" s="22" t="n">
        <v>8</v>
      </c>
      <c r="M35" s="22" t="n">
        <v>10</v>
      </c>
      <c r="N35" s="22" t="n">
        <v>12</v>
      </c>
      <c r="O35" s="22" t="n">
        <v>13</v>
      </c>
      <c r="P35" s="22" t="n">
        <v>14</v>
      </c>
      <c r="Q35" s="7" t="n">
        <f aca="false">$E35</f>
        <v>0</v>
      </c>
      <c r="R35" s="7" t="n">
        <f aca="false">$E35</f>
        <v>0</v>
      </c>
      <c r="S35" s="7" t="n">
        <f aca="false">$E35</f>
        <v>0</v>
      </c>
      <c r="T35" s="7" t="n">
        <f aca="false">$E35</f>
        <v>0</v>
      </c>
      <c r="U35" s="7" t="n">
        <f aca="false">$E35</f>
        <v>0</v>
      </c>
      <c r="V35" s="7" t="n">
        <f aca="false">$F35</f>
        <v>0</v>
      </c>
      <c r="W35" s="7" t="n">
        <f aca="false">$F35</f>
        <v>0</v>
      </c>
      <c r="X35" s="7" t="n">
        <f aca="false">$F35</f>
        <v>0</v>
      </c>
      <c r="Y35" s="7" t="n">
        <f aca="false">$F35</f>
        <v>0</v>
      </c>
      <c r="Z35" s="7" t="n">
        <f aca="false">$G35</f>
        <v>0</v>
      </c>
      <c r="AA35" s="7" t="n">
        <f aca="false">$G35</f>
        <v>0</v>
      </c>
      <c r="AB35" s="7" t="n">
        <f aca="false">$G35</f>
        <v>0</v>
      </c>
      <c r="AC35" s="7" t="n">
        <f aca="false">$G35</f>
        <v>0</v>
      </c>
      <c r="AD35" s="7" t="n">
        <f aca="false">$H35</f>
        <v>0</v>
      </c>
      <c r="AE35" s="7" t="n">
        <f aca="false">$H35</f>
        <v>0</v>
      </c>
      <c r="AF35" s="7" t="n">
        <f aca="false">$H35</f>
        <v>0</v>
      </c>
      <c r="AG35" s="7" t="n">
        <f aca="false">$H35</f>
        <v>0</v>
      </c>
      <c r="AH35" s="7" t="n">
        <f aca="false">$H35</f>
        <v>0</v>
      </c>
      <c r="AI35" s="7" t="n">
        <f aca="false">$I35</f>
        <v>2</v>
      </c>
      <c r="AJ35" s="7" t="n">
        <f aca="false">$I35</f>
        <v>2</v>
      </c>
      <c r="AK35" s="7" t="n">
        <f aca="false">$I35</f>
        <v>2</v>
      </c>
      <c r="AL35" s="7" t="n">
        <f aca="false">$I35</f>
        <v>2</v>
      </c>
      <c r="AM35" s="7" t="n">
        <f aca="false">$J35</f>
        <v>4</v>
      </c>
      <c r="AN35" s="7" t="n">
        <f aca="false">$J35</f>
        <v>4</v>
      </c>
      <c r="AO35" s="7" t="n">
        <f aca="false">$J35</f>
        <v>4</v>
      </c>
      <c r="AP35" s="7" t="n">
        <f aca="false">$J35</f>
        <v>4</v>
      </c>
      <c r="AQ35" s="7" t="n">
        <f aca="false">$K35</f>
        <v>6</v>
      </c>
      <c r="AR35" s="7" t="n">
        <f aca="false">$K35</f>
        <v>6</v>
      </c>
      <c r="AS35" s="7" t="n">
        <f aca="false">$K35</f>
        <v>6</v>
      </c>
      <c r="AT35" s="7" t="n">
        <f aca="false">$K35</f>
        <v>6</v>
      </c>
      <c r="AU35" s="7" t="n">
        <f aca="false">$K35</f>
        <v>6</v>
      </c>
      <c r="AV35" s="7" t="n">
        <f aca="false">$L35</f>
        <v>8</v>
      </c>
      <c r="AW35" s="7" t="n">
        <f aca="false">$L35</f>
        <v>8</v>
      </c>
      <c r="AX35" s="7" t="n">
        <f aca="false">$L35</f>
        <v>8</v>
      </c>
      <c r="AY35" s="7" t="n">
        <f aca="false">$L35</f>
        <v>8</v>
      </c>
      <c r="AZ35" s="7" t="n">
        <f aca="false">$M35</f>
        <v>10</v>
      </c>
      <c r="BA35" s="7" t="n">
        <f aca="false">$M35</f>
        <v>10</v>
      </c>
      <c r="BB35" s="7" t="n">
        <f aca="false">$M35</f>
        <v>10</v>
      </c>
      <c r="BC35" s="7" t="n">
        <f aca="false">$M35</f>
        <v>10</v>
      </c>
      <c r="BD35" s="7" t="n">
        <f aca="false">$N35</f>
        <v>12</v>
      </c>
      <c r="BE35" s="7" t="n">
        <f aca="false">$N35</f>
        <v>12</v>
      </c>
      <c r="BF35" s="7" t="n">
        <f aca="false">$N35</f>
        <v>12</v>
      </c>
      <c r="BG35" s="7" t="n">
        <f aca="false">$N35</f>
        <v>12</v>
      </c>
      <c r="BH35" s="7" t="n">
        <f aca="false">$N35</f>
        <v>12</v>
      </c>
      <c r="BI35" s="7" t="n">
        <f aca="false">$O35</f>
        <v>13</v>
      </c>
      <c r="BJ35" s="7" t="n">
        <f aca="false">$O35</f>
        <v>13</v>
      </c>
      <c r="BK35" s="7" t="n">
        <f aca="false">$O35</f>
        <v>13</v>
      </c>
      <c r="BL35" s="7" t="n">
        <f aca="false">$O35</f>
        <v>13</v>
      </c>
      <c r="BM35" s="7" t="n">
        <f aca="false">$P35</f>
        <v>14</v>
      </c>
      <c r="BN35" s="7" t="n">
        <f aca="false">$P35</f>
        <v>14</v>
      </c>
      <c r="BO35" s="7" t="n">
        <f aca="false">$P35</f>
        <v>14</v>
      </c>
      <c r="BP35" s="7" t="n">
        <f aca="false">$P35</f>
        <v>14</v>
      </c>
    </row>
    <row r="36" customFormat="false" ht="15" hidden="false" customHeight="false" outlineLevel="0" collapsed="false">
      <c r="A36" s="0" t="s">
        <v>235</v>
      </c>
      <c r="B36" s="0" t="s">
        <v>129</v>
      </c>
      <c r="C36" s="0" t="s">
        <v>118</v>
      </c>
      <c r="D36" s="0" t="n">
        <f aca="false">SUM(Q36:BP36)</f>
        <v>64</v>
      </c>
      <c r="E36" s="22" t="n">
        <v>0</v>
      </c>
      <c r="F36" s="22" t="n">
        <v>0</v>
      </c>
      <c r="G36" s="22" t="n">
        <v>0</v>
      </c>
      <c r="H36" s="22" t="n">
        <v>0</v>
      </c>
      <c r="I36" s="22" t="n">
        <v>0</v>
      </c>
      <c r="J36" s="22" t="n">
        <v>0</v>
      </c>
      <c r="K36" s="22" t="n">
        <v>0</v>
      </c>
      <c r="L36" s="22" t="n">
        <v>0</v>
      </c>
      <c r="M36" s="22" t="n">
        <v>0</v>
      </c>
      <c r="N36" s="22" t="n">
        <v>4</v>
      </c>
      <c r="O36" s="22" t="n">
        <v>5</v>
      </c>
      <c r="P36" s="22" t="n">
        <v>6</v>
      </c>
      <c r="Q36" s="7" t="n">
        <f aca="false">$E36</f>
        <v>0</v>
      </c>
      <c r="R36" s="7" t="n">
        <f aca="false">$E36</f>
        <v>0</v>
      </c>
      <c r="S36" s="7" t="n">
        <f aca="false">$E36</f>
        <v>0</v>
      </c>
      <c r="T36" s="7" t="n">
        <f aca="false">$E36</f>
        <v>0</v>
      </c>
      <c r="U36" s="7" t="n">
        <f aca="false">$E36</f>
        <v>0</v>
      </c>
      <c r="V36" s="7" t="n">
        <f aca="false">$F36</f>
        <v>0</v>
      </c>
      <c r="W36" s="7" t="n">
        <f aca="false">$F36</f>
        <v>0</v>
      </c>
      <c r="X36" s="7" t="n">
        <f aca="false">$F36</f>
        <v>0</v>
      </c>
      <c r="Y36" s="7" t="n">
        <f aca="false">$F36</f>
        <v>0</v>
      </c>
      <c r="Z36" s="7" t="n">
        <f aca="false">$G36</f>
        <v>0</v>
      </c>
      <c r="AA36" s="7" t="n">
        <f aca="false">$G36</f>
        <v>0</v>
      </c>
      <c r="AB36" s="7" t="n">
        <f aca="false">$G36</f>
        <v>0</v>
      </c>
      <c r="AC36" s="7" t="n">
        <f aca="false">$G36</f>
        <v>0</v>
      </c>
      <c r="AD36" s="7" t="n">
        <f aca="false">$H36</f>
        <v>0</v>
      </c>
      <c r="AE36" s="7" t="n">
        <f aca="false">$H36</f>
        <v>0</v>
      </c>
      <c r="AF36" s="7" t="n">
        <f aca="false">$H36</f>
        <v>0</v>
      </c>
      <c r="AG36" s="7" t="n">
        <f aca="false">$H36</f>
        <v>0</v>
      </c>
      <c r="AH36" s="7" t="n">
        <f aca="false">$H36</f>
        <v>0</v>
      </c>
      <c r="AI36" s="7" t="n">
        <f aca="false">$I36</f>
        <v>0</v>
      </c>
      <c r="AJ36" s="7" t="n">
        <f aca="false">$I36</f>
        <v>0</v>
      </c>
      <c r="AK36" s="7" t="n">
        <f aca="false">$I36</f>
        <v>0</v>
      </c>
      <c r="AL36" s="7" t="n">
        <f aca="false">$I36</f>
        <v>0</v>
      </c>
      <c r="AM36" s="7" t="n">
        <f aca="false">$J36</f>
        <v>0</v>
      </c>
      <c r="AN36" s="7" t="n">
        <f aca="false">$J36</f>
        <v>0</v>
      </c>
      <c r="AO36" s="7" t="n">
        <f aca="false">$J36</f>
        <v>0</v>
      </c>
      <c r="AP36" s="7" t="n">
        <f aca="false">$J36</f>
        <v>0</v>
      </c>
      <c r="AQ36" s="7" t="n">
        <f aca="false">$K36</f>
        <v>0</v>
      </c>
      <c r="AR36" s="7" t="n">
        <f aca="false">$K36</f>
        <v>0</v>
      </c>
      <c r="AS36" s="7" t="n">
        <f aca="false">$K36</f>
        <v>0</v>
      </c>
      <c r="AT36" s="7" t="n">
        <f aca="false">$K36</f>
        <v>0</v>
      </c>
      <c r="AU36" s="7" t="n">
        <f aca="false">$K36</f>
        <v>0</v>
      </c>
      <c r="AV36" s="7" t="n">
        <f aca="false">$L36</f>
        <v>0</v>
      </c>
      <c r="AW36" s="7" t="n">
        <f aca="false">$L36</f>
        <v>0</v>
      </c>
      <c r="AX36" s="7" t="n">
        <f aca="false">$L36</f>
        <v>0</v>
      </c>
      <c r="AY36" s="7" t="n">
        <f aca="false">$L36</f>
        <v>0</v>
      </c>
      <c r="AZ36" s="7" t="n">
        <f aca="false">$M36</f>
        <v>0</v>
      </c>
      <c r="BA36" s="7" t="n">
        <f aca="false">$M36</f>
        <v>0</v>
      </c>
      <c r="BB36" s="7" t="n">
        <f aca="false">$M36</f>
        <v>0</v>
      </c>
      <c r="BC36" s="7" t="n">
        <f aca="false">$M36</f>
        <v>0</v>
      </c>
      <c r="BD36" s="7" t="n">
        <f aca="false">$N36</f>
        <v>4</v>
      </c>
      <c r="BE36" s="7" t="n">
        <f aca="false">$N36</f>
        <v>4</v>
      </c>
      <c r="BF36" s="7" t="n">
        <f aca="false">$N36</f>
        <v>4</v>
      </c>
      <c r="BG36" s="7" t="n">
        <f aca="false">$N36</f>
        <v>4</v>
      </c>
      <c r="BH36" s="7" t="n">
        <f aca="false">$N36</f>
        <v>4</v>
      </c>
      <c r="BI36" s="7" t="n">
        <f aca="false">$O36</f>
        <v>5</v>
      </c>
      <c r="BJ36" s="7" t="n">
        <f aca="false">$O36</f>
        <v>5</v>
      </c>
      <c r="BK36" s="7" t="n">
        <f aca="false">$O36</f>
        <v>5</v>
      </c>
      <c r="BL36" s="7" t="n">
        <f aca="false">$O36</f>
        <v>5</v>
      </c>
      <c r="BM36" s="7" t="n">
        <f aca="false">$P36</f>
        <v>6</v>
      </c>
      <c r="BN36" s="7" t="n">
        <f aca="false">$P36</f>
        <v>6</v>
      </c>
      <c r="BO36" s="7" t="n">
        <f aca="false">$P36</f>
        <v>6</v>
      </c>
      <c r="BP36" s="7" t="n">
        <f aca="false">$P36</f>
        <v>6</v>
      </c>
    </row>
    <row r="37" customFormat="false" ht="15" hidden="false" customHeight="false" outlineLevel="0" collapsed="false">
      <c r="A37" s="0" t="s">
        <v>235</v>
      </c>
      <c r="B37" s="0" t="s">
        <v>129</v>
      </c>
      <c r="C37" s="0" t="s">
        <v>119</v>
      </c>
      <c r="D37" s="0" t="n">
        <f aca="false">SUM(Q37:BP37)</f>
        <v>1057</v>
      </c>
      <c r="E37" s="13" t="n">
        <v>5</v>
      </c>
      <c r="F37" s="13" t="n">
        <v>8</v>
      </c>
      <c r="G37" s="13" t="n">
        <v>12</v>
      </c>
      <c r="H37" s="13" t="n">
        <v>15</v>
      </c>
      <c r="I37" s="13" t="n">
        <v>18</v>
      </c>
      <c r="J37" s="13" t="n">
        <v>21</v>
      </c>
      <c r="K37" s="13" t="n">
        <v>24</v>
      </c>
      <c r="L37" s="13" t="n">
        <v>26</v>
      </c>
      <c r="M37" s="13" t="n">
        <v>28</v>
      </c>
      <c r="N37" s="13" t="n">
        <v>29</v>
      </c>
      <c r="O37" s="13" t="n">
        <v>30</v>
      </c>
      <c r="P37" s="13" t="n">
        <v>30</v>
      </c>
      <c r="Q37" s="7" t="n">
        <f aca="false">$E37</f>
        <v>5</v>
      </c>
      <c r="R37" s="7" t="n">
        <f aca="false">$E37</f>
        <v>5</v>
      </c>
      <c r="S37" s="7" t="n">
        <f aca="false">$E37</f>
        <v>5</v>
      </c>
      <c r="T37" s="7" t="n">
        <f aca="false">$E37</f>
        <v>5</v>
      </c>
      <c r="U37" s="7" t="n">
        <f aca="false">$E37</f>
        <v>5</v>
      </c>
      <c r="V37" s="7" t="n">
        <f aca="false">$F37</f>
        <v>8</v>
      </c>
      <c r="W37" s="7" t="n">
        <f aca="false">$F37</f>
        <v>8</v>
      </c>
      <c r="X37" s="7" t="n">
        <f aca="false">$F37</f>
        <v>8</v>
      </c>
      <c r="Y37" s="7" t="n">
        <f aca="false">$F37</f>
        <v>8</v>
      </c>
      <c r="Z37" s="7" t="n">
        <f aca="false">$G37</f>
        <v>12</v>
      </c>
      <c r="AA37" s="7" t="n">
        <f aca="false">$G37</f>
        <v>12</v>
      </c>
      <c r="AB37" s="7" t="n">
        <f aca="false">$G37</f>
        <v>12</v>
      </c>
      <c r="AC37" s="7" t="n">
        <f aca="false">$G37</f>
        <v>12</v>
      </c>
      <c r="AD37" s="7" t="n">
        <f aca="false">$H37</f>
        <v>15</v>
      </c>
      <c r="AE37" s="7" t="n">
        <f aca="false">$H37</f>
        <v>15</v>
      </c>
      <c r="AF37" s="7" t="n">
        <f aca="false">$H37</f>
        <v>15</v>
      </c>
      <c r="AG37" s="7" t="n">
        <f aca="false">$H37</f>
        <v>15</v>
      </c>
      <c r="AH37" s="7" t="n">
        <f aca="false">$H37</f>
        <v>15</v>
      </c>
      <c r="AI37" s="7" t="n">
        <f aca="false">$I37</f>
        <v>18</v>
      </c>
      <c r="AJ37" s="7" t="n">
        <f aca="false">$I37</f>
        <v>18</v>
      </c>
      <c r="AK37" s="7" t="n">
        <f aca="false">$I37</f>
        <v>18</v>
      </c>
      <c r="AL37" s="7" t="n">
        <f aca="false">$I37</f>
        <v>18</v>
      </c>
      <c r="AM37" s="7" t="n">
        <f aca="false">$J37</f>
        <v>21</v>
      </c>
      <c r="AN37" s="7" t="n">
        <f aca="false">$J37</f>
        <v>21</v>
      </c>
      <c r="AO37" s="7" t="n">
        <f aca="false">$J37</f>
        <v>21</v>
      </c>
      <c r="AP37" s="7" t="n">
        <f aca="false">$J37</f>
        <v>21</v>
      </c>
      <c r="AQ37" s="7" t="n">
        <f aca="false">$K37</f>
        <v>24</v>
      </c>
      <c r="AR37" s="7" t="n">
        <f aca="false">$K37</f>
        <v>24</v>
      </c>
      <c r="AS37" s="7" t="n">
        <f aca="false">$K37</f>
        <v>24</v>
      </c>
      <c r="AT37" s="7" t="n">
        <f aca="false">$K37</f>
        <v>24</v>
      </c>
      <c r="AU37" s="7" t="n">
        <f aca="false">$K37</f>
        <v>24</v>
      </c>
      <c r="AV37" s="7" t="n">
        <f aca="false">$L37</f>
        <v>26</v>
      </c>
      <c r="AW37" s="7" t="n">
        <f aca="false">$L37</f>
        <v>26</v>
      </c>
      <c r="AX37" s="7" t="n">
        <f aca="false">$L37</f>
        <v>26</v>
      </c>
      <c r="AY37" s="7" t="n">
        <f aca="false">$L37</f>
        <v>26</v>
      </c>
      <c r="AZ37" s="7" t="n">
        <f aca="false">$M37</f>
        <v>28</v>
      </c>
      <c r="BA37" s="7" t="n">
        <f aca="false">$M37</f>
        <v>28</v>
      </c>
      <c r="BB37" s="7" t="n">
        <f aca="false">$M37</f>
        <v>28</v>
      </c>
      <c r="BC37" s="7" t="n">
        <f aca="false">$M37</f>
        <v>28</v>
      </c>
      <c r="BD37" s="7" t="n">
        <f aca="false">$N37</f>
        <v>29</v>
      </c>
      <c r="BE37" s="7" t="n">
        <f aca="false">$N37</f>
        <v>29</v>
      </c>
      <c r="BF37" s="7" t="n">
        <f aca="false">$N37</f>
        <v>29</v>
      </c>
      <c r="BG37" s="7" t="n">
        <f aca="false">$N37</f>
        <v>29</v>
      </c>
      <c r="BH37" s="7" t="n">
        <f aca="false">$N37</f>
        <v>29</v>
      </c>
      <c r="BI37" s="7" t="n">
        <f aca="false">$O37</f>
        <v>30</v>
      </c>
      <c r="BJ37" s="7" t="n">
        <f aca="false">$O37</f>
        <v>30</v>
      </c>
      <c r="BK37" s="7" t="n">
        <f aca="false">$O37</f>
        <v>30</v>
      </c>
      <c r="BL37" s="7" t="n">
        <f aca="false">$O37</f>
        <v>30</v>
      </c>
      <c r="BM37" s="7" t="n">
        <f aca="false">$P37</f>
        <v>30</v>
      </c>
      <c r="BN37" s="7" t="n">
        <f aca="false">$P37</f>
        <v>30</v>
      </c>
      <c r="BO37" s="7" t="n">
        <f aca="false">$P37</f>
        <v>30</v>
      </c>
      <c r="BP37" s="7" t="n">
        <f aca="false">$P37</f>
        <v>30</v>
      </c>
    </row>
    <row r="38" customFormat="false" ht="15" hidden="false" customHeight="false" outlineLevel="0" collapsed="false">
      <c r="A38" s="0" t="s">
        <v>235</v>
      </c>
      <c r="B38" s="0" t="s">
        <v>129</v>
      </c>
      <c r="C38" s="0" t="s">
        <v>120</v>
      </c>
      <c r="D38" s="0" t="n">
        <f aca="false">SUM(Q38:BP38)</f>
        <v>1087</v>
      </c>
      <c r="E38" s="13" t="n">
        <v>5</v>
      </c>
      <c r="F38" s="13" t="n">
        <v>8</v>
      </c>
      <c r="G38" s="13" t="n">
        <v>12</v>
      </c>
      <c r="H38" s="13" t="n">
        <v>16</v>
      </c>
      <c r="I38" s="13" t="n">
        <v>20</v>
      </c>
      <c r="J38" s="13" t="n">
        <v>23</v>
      </c>
      <c r="K38" s="13" t="n">
        <v>25</v>
      </c>
      <c r="L38" s="13" t="n">
        <v>27</v>
      </c>
      <c r="M38" s="13" t="n">
        <v>28</v>
      </c>
      <c r="N38" s="13" t="n">
        <v>29</v>
      </c>
      <c r="O38" s="13" t="n">
        <v>30</v>
      </c>
      <c r="P38" s="13" t="n">
        <v>30</v>
      </c>
      <c r="Q38" s="7" t="n">
        <f aca="false">$E38</f>
        <v>5</v>
      </c>
      <c r="R38" s="7" t="n">
        <f aca="false">$E38</f>
        <v>5</v>
      </c>
      <c r="S38" s="7" t="n">
        <f aca="false">$E38</f>
        <v>5</v>
      </c>
      <c r="T38" s="7" t="n">
        <f aca="false">$E38</f>
        <v>5</v>
      </c>
      <c r="U38" s="7" t="n">
        <f aca="false">$E38</f>
        <v>5</v>
      </c>
      <c r="V38" s="7" t="n">
        <f aca="false">$F38</f>
        <v>8</v>
      </c>
      <c r="W38" s="7" t="n">
        <f aca="false">$F38</f>
        <v>8</v>
      </c>
      <c r="X38" s="7" t="n">
        <f aca="false">$F38</f>
        <v>8</v>
      </c>
      <c r="Y38" s="7" t="n">
        <f aca="false">$F38</f>
        <v>8</v>
      </c>
      <c r="Z38" s="7" t="n">
        <f aca="false">$G38</f>
        <v>12</v>
      </c>
      <c r="AA38" s="7" t="n">
        <f aca="false">$G38</f>
        <v>12</v>
      </c>
      <c r="AB38" s="7" t="n">
        <f aca="false">$G38</f>
        <v>12</v>
      </c>
      <c r="AC38" s="7" t="n">
        <f aca="false">$G38</f>
        <v>12</v>
      </c>
      <c r="AD38" s="7" t="n">
        <f aca="false">$H38</f>
        <v>16</v>
      </c>
      <c r="AE38" s="7" t="n">
        <f aca="false">$H38</f>
        <v>16</v>
      </c>
      <c r="AF38" s="7" t="n">
        <f aca="false">$H38</f>
        <v>16</v>
      </c>
      <c r="AG38" s="7" t="n">
        <f aca="false">$H38</f>
        <v>16</v>
      </c>
      <c r="AH38" s="7" t="n">
        <f aca="false">$H38</f>
        <v>16</v>
      </c>
      <c r="AI38" s="7" t="n">
        <f aca="false">$I38</f>
        <v>20</v>
      </c>
      <c r="AJ38" s="7" t="n">
        <f aca="false">$I38</f>
        <v>20</v>
      </c>
      <c r="AK38" s="7" t="n">
        <f aca="false">$I38</f>
        <v>20</v>
      </c>
      <c r="AL38" s="7" t="n">
        <f aca="false">$I38</f>
        <v>20</v>
      </c>
      <c r="AM38" s="7" t="n">
        <f aca="false">$J38</f>
        <v>23</v>
      </c>
      <c r="AN38" s="7" t="n">
        <f aca="false">$J38</f>
        <v>23</v>
      </c>
      <c r="AO38" s="7" t="n">
        <f aca="false">$J38</f>
        <v>23</v>
      </c>
      <c r="AP38" s="7" t="n">
        <f aca="false">$J38</f>
        <v>23</v>
      </c>
      <c r="AQ38" s="7" t="n">
        <f aca="false">$K38</f>
        <v>25</v>
      </c>
      <c r="AR38" s="7" t="n">
        <f aca="false">$K38</f>
        <v>25</v>
      </c>
      <c r="AS38" s="7" t="n">
        <f aca="false">$K38</f>
        <v>25</v>
      </c>
      <c r="AT38" s="7" t="n">
        <f aca="false">$K38</f>
        <v>25</v>
      </c>
      <c r="AU38" s="7" t="n">
        <f aca="false">$K38</f>
        <v>25</v>
      </c>
      <c r="AV38" s="7" t="n">
        <f aca="false">$L38</f>
        <v>27</v>
      </c>
      <c r="AW38" s="7" t="n">
        <f aca="false">$L38</f>
        <v>27</v>
      </c>
      <c r="AX38" s="7" t="n">
        <f aca="false">$L38</f>
        <v>27</v>
      </c>
      <c r="AY38" s="7" t="n">
        <f aca="false">$L38</f>
        <v>27</v>
      </c>
      <c r="AZ38" s="7" t="n">
        <f aca="false">$M38</f>
        <v>28</v>
      </c>
      <c r="BA38" s="7" t="n">
        <f aca="false">$M38</f>
        <v>28</v>
      </c>
      <c r="BB38" s="7" t="n">
        <f aca="false">$M38</f>
        <v>28</v>
      </c>
      <c r="BC38" s="7" t="n">
        <f aca="false">$M38</f>
        <v>28</v>
      </c>
      <c r="BD38" s="7" t="n">
        <f aca="false">$N38</f>
        <v>29</v>
      </c>
      <c r="BE38" s="7" t="n">
        <f aca="false">$N38</f>
        <v>29</v>
      </c>
      <c r="BF38" s="7" t="n">
        <f aca="false">$N38</f>
        <v>29</v>
      </c>
      <c r="BG38" s="7" t="n">
        <f aca="false">$N38</f>
        <v>29</v>
      </c>
      <c r="BH38" s="7" t="n">
        <f aca="false">$N38</f>
        <v>29</v>
      </c>
      <c r="BI38" s="7" t="n">
        <f aca="false">$O38</f>
        <v>30</v>
      </c>
      <c r="BJ38" s="7" t="n">
        <f aca="false">$O38</f>
        <v>30</v>
      </c>
      <c r="BK38" s="7" t="n">
        <f aca="false">$O38</f>
        <v>30</v>
      </c>
      <c r="BL38" s="7" t="n">
        <f aca="false">$O38</f>
        <v>30</v>
      </c>
      <c r="BM38" s="7" t="n">
        <f aca="false">$P38</f>
        <v>30</v>
      </c>
      <c r="BN38" s="7" t="n">
        <f aca="false">$P38</f>
        <v>30</v>
      </c>
      <c r="BO38" s="7" t="n">
        <f aca="false">$P38</f>
        <v>30</v>
      </c>
      <c r="BP38" s="7" t="n">
        <f aca="false">$P38</f>
        <v>30</v>
      </c>
    </row>
    <row r="39" customFormat="false" ht="15" hidden="false" customHeight="false" outlineLevel="0" collapsed="false">
      <c r="A39" s="0" t="s">
        <v>235</v>
      </c>
      <c r="B39" s="0" t="s">
        <v>129</v>
      </c>
      <c r="C39" s="0" t="s">
        <v>121</v>
      </c>
      <c r="D39" s="0" t="n">
        <f aca="false">SUM(Q39:BP39)</f>
        <v>572</v>
      </c>
      <c r="E39" s="13" t="n">
        <v>3</v>
      </c>
      <c r="F39" s="13" t="n">
        <v>5</v>
      </c>
      <c r="G39" s="13" t="n">
        <v>7</v>
      </c>
      <c r="H39" s="13" t="n">
        <v>9</v>
      </c>
      <c r="I39" s="13" t="n">
        <v>11</v>
      </c>
      <c r="J39" s="13" t="n">
        <v>12</v>
      </c>
      <c r="K39" s="13" t="n">
        <v>13</v>
      </c>
      <c r="L39" s="13" t="n">
        <v>14</v>
      </c>
      <c r="M39" s="13" t="n">
        <v>14</v>
      </c>
      <c r="N39" s="13" t="n">
        <v>15</v>
      </c>
      <c r="O39" s="13" t="n">
        <v>15</v>
      </c>
      <c r="P39" s="13" t="n">
        <v>15</v>
      </c>
      <c r="Q39" s="7" t="n">
        <f aca="false">$E39</f>
        <v>3</v>
      </c>
      <c r="R39" s="7" t="n">
        <f aca="false">$E39</f>
        <v>3</v>
      </c>
      <c r="S39" s="7" t="n">
        <f aca="false">$E39</f>
        <v>3</v>
      </c>
      <c r="T39" s="7" t="n">
        <f aca="false">$E39</f>
        <v>3</v>
      </c>
      <c r="U39" s="7" t="n">
        <f aca="false">$E39</f>
        <v>3</v>
      </c>
      <c r="V39" s="7" t="n">
        <f aca="false">$F39</f>
        <v>5</v>
      </c>
      <c r="W39" s="7" t="n">
        <f aca="false">$F39</f>
        <v>5</v>
      </c>
      <c r="X39" s="7" t="n">
        <f aca="false">$F39</f>
        <v>5</v>
      </c>
      <c r="Y39" s="7" t="n">
        <f aca="false">$F39</f>
        <v>5</v>
      </c>
      <c r="Z39" s="7" t="n">
        <f aca="false">$G39</f>
        <v>7</v>
      </c>
      <c r="AA39" s="7" t="n">
        <f aca="false">$G39</f>
        <v>7</v>
      </c>
      <c r="AB39" s="7" t="n">
        <f aca="false">$G39</f>
        <v>7</v>
      </c>
      <c r="AC39" s="7" t="n">
        <f aca="false">$G39</f>
        <v>7</v>
      </c>
      <c r="AD39" s="7" t="n">
        <f aca="false">$H39</f>
        <v>9</v>
      </c>
      <c r="AE39" s="7" t="n">
        <f aca="false">$H39</f>
        <v>9</v>
      </c>
      <c r="AF39" s="7" t="n">
        <f aca="false">$H39</f>
        <v>9</v>
      </c>
      <c r="AG39" s="7" t="n">
        <f aca="false">$H39</f>
        <v>9</v>
      </c>
      <c r="AH39" s="7" t="n">
        <f aca="false">$H39</f>
        <v>9</v>
      </c>
      <c r="AI39" s="7" t="n">
        <f aca="false">$I39</f>
        <v>11</v>
      </c>
      <c r="AJ39" s="7" t="n">
        <f aca="false">$I39</f>
        <v>11</v>
      </c>
      <c r="AK39" s="7" t="n">
        <f aca="false">$I39</f>
        <v>11</v>
      </c>
      <c r="AL39" s="7" t="n">
        <f aca="false">$I39</f>
        <v>11</v>
      </c>
      <c r="AM39" s="7" t="n">
        <f aca="false">$J39</f>
        <v>12</v>
      </c>
      <c r="AN39" s="7" t="n">
        <f aca="false">$J39</f>
        <v>12</v>
      </c>
      <c r="AO39" s="7" t="n">
        <f aca="false">$J39</f>
        <v>12</v>
      </c>
      <c r="AP39" s="7" t="n">
        <f aca="false">$J39</f>
        <v>12</v>
      </c>
      <c r="AQ39" s="7" t="n">
        <f aca="false">$K39</f>
        <v>13</v>
      </c>
      <c r="AR39" s="7" t="n">
        <f aca="false">$K39</f>
        <v>13</v>
      </c>
      <c r="AS39" s="7" t="n">
        <f aca="false">$K39</f>
        <v>13</v>
      </c>
      <c r="AT39" s="7" t="n">
        <f aca="false">$K39</f>
        <v>13</v>
      </c>
      <c r="AU39" s="7" t="n">
        <f aca="false">$K39</f>
        <v>13</v>
      </c>
      <c r="AV39" s="7" t="n">
        <f aca="false">$L39</f>
        <v>14</v>
      </c>
      <c r="AW39" s="7" t="n">
        <f aca="false">$L39</f>
        <v>14</v>
      </c>
      <c r="AX39" s="7" t="n">
        <f aca="false">$L39</f>
        <v>14</v>
      </c>
      <c r="AY39" s="7" t="n">
        <f aca="false">$L39</f>
        <v>14</v>
      </c>
      <c r="AZ39" s="7" t="n">
        <f aca="false">$M39</f>
        <v>14</v>
      </c>
      <c r="BA39" s="7" t="n">
        <f aca="false">$M39</f>
        <v>14</v>
      </c>
      <c r="BB39" s="7" t="n">
        <f aca="false">$M39</f>
        <v>14</v>
      </c>
      <c r="BC39" s="7" t="n">
        <f aca="false">$M39</f>
        <v>14</v>
      </c>
      <c r="BD39" s="7" t="n">
        <f aca="false">$N39</f>
        <v>15</v>
      </c>
      <c r="BE39" s="7" t="n">
        <f aca="false">$N39</f>
        <v>15</v>
      </c>
      <c r="BF39" s="7" t="n">
        <f aca="false">$N39</f>
        <v>15</v>
      </c>
      <c r="BG39" s="7" t="n">
        <f aca="false">$N39</f>
        <v>15</v>
      </c>
      <c r="BH39" s="7" t="n">
        <f aca="false">$N39</f>
        <v>15</v>
      </c>
      <c r="BI39" s="7" t="n">
        <f aca="false">$O39</f>
        <v>15</v>
      </c>
      <c r="BJ39" s="7" t="n">
        <f aca="false">$O39</f>
        <v>15</v>
      </c>
      <c r="BK39" s="7" t="n">
        <f aca="false">$O39</f>
        <v>15</v>
      </c>
      <c r="BL39" s="7" t="n">
        <f aca="false">$O39</f>
        <v>15</v>
      </c>
      <c r="BM39" s="7" t="n">
        <f aca="false">$P39</f>
        <v>15</v>
      </c>
      <c r="BN39" s="7" t="n">
        <f aca="false">$P39</f>
        <v>15</v>
      </c>
      <c r="BO39" s="7" t="n">
        <f aca="false">$P39</f>
        <v>15</v>
      </c>
      <c r="BP39" s="7" t="n">
        <f aca="false">$P39</f>
        <v>15</v>
      </c>
    </row>
    <row r="40" customFormat="false" ht="15" hidden="false" customHeight="false" outlineLevel="0" collapsed="false">
      <c r="A40" s="0" t="s">
        <v>235</v>
      </c>
      <c r="B40" s="0" t="s">
        <v>129</v>
      </c>
      <c r="C40" s="0" t="s">
        <v>122</v>
      </c>
      <c r="D40" s="0" t="n">
        <f aca="false">SUM(Q40:BP40)</f>
        <v>407</v>
      </c>
      <c r="E40" s="13" t="n">
        <v>0</v>
      </c>
      <c r="F40" s="13" t="n">
        <v>0</v>
      </c>
      <c r="G40" s="13" t="n">
        <v>2</v>
      </c>
      <c r="H40" s="13" t="n">
        <v>4</v>
      </c>
      <c r="I40" s="13" t="n">
        <v>6</v>
      </c>
      <c r="J40" s="13" t="n">
        <v>8</v>
      </c>
      <c r="K40" s="13" t="n">
        <v>10</v>
      </c>
      <c r="L40" s="13" t="n">
        <v>11</v>
      </c>
      <c r="M40" s="13" t="n">
        <v>12</v>
      </c>
      <c r="N40" s="13" t="n">
        <v>13</v>
      </c>
      <c r="O40" s="13" t="n">
        <v>14</v>
      </c>
      <c r="P40" s="13" t="n">
        <v>15</v>
      </c>
      <c r="Q40" s="7" t="n">
        <f aca="false">$E40</f>
        <v>0</v>
      </c>
      <c r="R40" s="7" t="n">
        <f aca="false">$E40</f>
        <v>0</v>
      </c>
      <c r="S40" s="7" t="n">
        <f aca="false">$E40</f>
        <v>0</v>
      </c>
      <c r="T40" s="7" t="n">
        <f aca="false">$E40</f>
        <v>0</v>
      </c>
      <c r="U40" s="7" t="n">
        <f aca="false">$E40</f>
        <v>0</v>
      </c>
      <c r="V40" s="7" t="n">
        <f aca="false">$F40</f>
        <v>0</v>
      </c>
      <c r="W40" s="7" t="n">
        <f aca="false">$F40</f>
        <v>0</v>
      </c>
      <c r="X40" s="7" t="n">
        <f aca="false">$F40</f>
        <v>0</v>
      </c>
      <c r="Y40" s="7" t="n">
        <f aca="false">$F40</f>
        <v>0</v>
      </c>
      <c r="Z40" s="7" t="n">
        <f aca="false">$G40</f>
        <v>2</v>
      </c>
      <c r="AA40" s="7" t="n">
        <f aca="false">$G40</f>
        <v>2</v>
      </c>
      <c r="AB40" s="7" t="n">
        <f aca="false">$G40</f>
        <v>2</v>
      </c>
      <c r="AC40" s="7" t="n">
        <f aca="false">$G40</f>
        <v>2</v>
      </c>
      <c r="AD40" s="7" t="n">
        <f aca="false">$H40</f>
        <v>4</v>
      </c>
      <c r="AE40" s="7" t="n">
        <f aca="false">$H40</f>
        <v>4</v>
      </c>
      <c r="AF40" s="7" t="n">
        <f aca="false">$H40</f>
        <v>4</v>
      </c>
      <c r="AG40" s="7" t="n">
        <f aca="false">$H40</f>
        <v>4</v>
      </c>
      <c r="AH40" s="7" t="n">
        <f aca="false">$H40</f>
        <v>4</v>
      </c>
      <c r="AI40" s="7" t="n">
        <f aca="false">$I40</f>
        <v>6</v>
      </c>
      <c r="AJ40" s="7" t="n">
        <f aca="false">$I40</f>
        <v>6</v>
      </c>
      <c r="AK40" s="7" t="n">
        <f aca="false">$I40</f>
        <v>6</v>
      </c>
      <c r="AL40" s="7" t="n">
        <f aca="false">$I40</f>
        <v>6</v>
      </c>
      <c r="AM40" s="7" t="n">
        <f aca="false">$J40</f>
        <v>8</v>
      </c>
      <c r="AN40" s="7" t="n">
        <f aca="false">$J40</f>
        <v>8</v>
      </c>
      <c r="AO40" s="7" t="n">
        <f aca="false">$J40</f>
        <v>8</v>
      </c>
      <c r="AP40" s="7" t="n">
        <f aca="false">$J40</f>
        <v>8</v>
      </c>
      <c r="AQ40" s="7" t="n">
        <f aca="false">$K40</f>
        <v>10</v>
      </c>
      <c r="AR40" s="7" t="n">
        <f aca="false">$K40</f>
        <v>10</v>
      </c>
      <c r="AS40" s="7" t="n">
        <f aca="false">$K40</f>
        <v>10</v>
      </c>
      <c r="AT40" s="7" t="n">
        <f aca="false">$K40</f>
        <v>10</v>
      </c>
      <c r="AU40" s="7" t="n">
        <f aca="false">$K40</f>
        <v>10</v>
      </c>
      <c r="AV40" s="7" t="n">
        <f aca="false">$L40</f>
        <v>11</v>
      </c>
      <c r="AW40" s="7" t="n">
        <f aca="false">$L40</f>
        <v>11</v>
      </c>
      <c r="AX40" s="7" t="n">
        <f aca="false">$L40</f>
        <v>11</v>
      </c>
      <c r="AY40" s="7" t="n">
        <f aca="false">$L40</f>
        <v>11</v>
      </c>
      <c r="AZ40" s="7" t="n">
        <f aca="false">$M40</f>
        <v>12</v>
      </c>
      <c r="BA40" s="7" t="n">
        <f aca="false">$M40</f>
        <v>12</v>
      </c>
      <c r="BB40" s="7" t="n">
        <f aca="false">$M40</f>
        <v>12</v>
      </c>
      <c r="BC40" s="7" t="n">
        <f aca="false">$M40</f>
        <v>12</v>
      </c>
      <c r="BD40" s="7" t="n">
        <f aca="false">$N40</f>
        <v>13</v>
      </c>
      <c r="BE40" s="7" t="n">
        <f aca="false">$N40</f>
        <v>13</v>
      </c>
      <c r="BF40" s="7" t="n">
        <f aca="false">$N40</f>
        <v>13</v>
      </c>
      <c r="BG40" s="7" t="n">
        <f aca="false">$N40</f>
        <v>13</v>
      </c>
      <c r="BH40" s="7" t="n">
        <f aca="false">$N40</f>
        <v>13</v>
      </c>
      <c r="BI40" s="7" t="n">
        <f aca="false">$O40</f>
        <v>14</v>
      </c>
      <c r="BJ40" s="7" t="n">
        <f aca="false">$O40</f>
        <v>14</v>
      </c>
      <c r="BK40" s="7" t="n">
        <f aca="false">$O40</f>
        <v>14</v>
      </c>
      <c r="BL40" s="7" t="n">
        <f aca="false">$O40</f>
        <v>14</v>
      </c>
      <c r="BM40" s="7" t="n">
        <f aca="false">$P40</f>
        <v>15</v>
      </c>
      <c r="BN40" s="7" t="n">
        <f aca="false">$P40</f>
        <v>15</v>
      </c>
      <c r="BO40" s="7" t="n">
        <f aca="false">$P40</f>
        <v>15</v>
      </c>
      <c r="BP40" s="7" t="n">
        <f aca="false">$P40</f>
        <v>15</v>
      </c>
    </row>
    <row r="41" customFormat="false" ht="15" hidden="false" customHeight="false" outlineLevel="0" collapsed="false">
      <c r="A41" s="0" t="s">
        <v>235</v>
      </c>
      <c r="B41" s="0" t="s">
        <v>129</v>
      </c>
      <c r="C41" s="0" t="s">
        <v>123</v>
      </c>
      <c r="D41" s="0" t="n">
        <f aca="false">SUM(Q41:BP41)</f>
        <v>0</v>
      </c>
      <c r="E41" s="13" t="n">
        <v>0</v>
      </c>
      <c r="F41" s="13" t="n">
        <v>0</v>
      </c>
      <c r="G41" s="13" t="n">
        <v>0</v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7" t="n">
        <f aca="false">$E41</f>
        <v>0</v>
      </c>
      <c r="R41" s="7" t="n">
        <f aca="false">$E41</f>
        <v>0</v>
      </c>
      <c r="S41" s="7" t="n">
        <f aca="false">$E41</f>
        <v>0</v>
      </c>
      <c r="T41" s="7" t="n">
        <f aca="false">$E41</f>
        <v>0</v>
      </c>
      <c r="U41" s="7" t="n">
        <f aca="false">$E41</f>
        <v>0</v>
      </c>
      <c r="V41" s="7" t="n">
        <f aca="false">$F41</f>
        <v>0</v>
      </c>
      <c r="W41" s="7" t="n">
        <f aca="false">$F41</f>
        <v>0</v>
      </c>
      <c r="X41" s="7" t="n">
        <f aca="false">$F41</f>
        <v>0</v>
      </c>
      <c r="Y41" s="7" t="n">
        <f aca="false">$F41</f>
        <v>0</v>
      </c>
      <c r="Z41" s="7" t="n">
        <f aca="false">$G41</f>
        <v>0</v>
      </c>
      <c r="AA41" s="7" t="n">
        <f aca="false">$G41</f>
        <v>0</v>
      </c>
      <c r="AB41" s="7" t="n">
        <f aca="false">$G41</f>
        <v>0</v>
      </c>
      <c r="AC41" s="7" t="n">
        <f aca="false">$G41</f>
        <v>0</v>
      </c>
      <c r="AD41" s="7" t="n">
        <f aca="false">$H41</f>
        <v>0</v>
      </c>
      <c r="AE41" s="7" t="n">
        <f aca="false">$H41</f>
        <v>0</v>
      </c>
      <c r="AF41" s="7" t="n">
        <f aca="false">$H41</f>
        <v>0</v>
      </c>
      <c r="AG41" s="7" t="n">
        <f aca="false">$H41</f>
        <v>0</v>
      </c>
      <c r="AH41" s="7" t="n">
        <f aca="false">$H41</f>
        <v>0</v>
      </c>
      <c r="AI41" s="7" t="n">
        <f aca="false">$I41</f>
        <v>0</v>
      </c>
      <c r="AJ41" s="7" t="n">
        <f aca="false">$I41</f>
        <v>0</v>
      </c>
      <c r="AK41" s="7" t="n">
        <f aca="false">$I41</f>
        <v>0</v>
      </c>
      <c r="AL41" s="7" t="n">
        <f aca="false">$I41</f>
        <v>0</v>
      </c>
      <c r="AM41" s="7" t="n">
        <f aca="false">$J41</f>
        <v>0</v>
      </c>
      <c r="AN41" s="7" t="n">
        <f aca="false">$J41</f>
        <v>0</v>
      </c>
      <c r="AO41" s="7" t="n">
        <f aca="false">$J41</f>
        <v>0</v>
      </c>
      <c r="AP41" s="7" t="n">
        <f aca="false">$J41</f>
        <v>0</v>
      </c>
      <c r="AQ41" s="7" t="n">
        <f aca="false">$K41</f>
        <v>0</v>
      </c>
      <c r="AR41" s="7" t="n">
        <f aca="false">$K41</f>
        <v>0</v>
      </c>
      <c r="AS41" s="7" t="n">
        <f aca="false">$K41</f>
        <v>0</v>
      </c>
      <c r="AT41" s="7" t="n">
        <f aca="false">$K41</f>
        <v>0</v>
      </c>
      <c r="AU41" s="7" t="n">
        <f aca="false">$K41</f>
        <v>0</v>
      </c>
      <c r="AV41" s="7" t="n">
        <f aca="false">$L41</f>
        <v>0</v>
      </c>
      <c r="AW41" s="7" t="n">
        <f aca="false">$L41</f>
        <v>0</v>
      </c>
      <c r="AX41" s="7" t="n">
        <f aca="false">$L41</f>
        <v>0</v>
      </c>
      <c r="AY41" s="7" t="n">
        <f aca="false">$L41</f>
        <v>0</v>
      </c>
      <c r="AZ41" s="7" t="n">
        <f aca="false">$M41</f>
        <v>0</v>
      </c>
      <c r="BA41" s="7" t="n">
        <f aca="false">$M41</f>
        <v>0</v>
      </c>
      <c r="BB41" s="7" t="n">
        <f aca="false">$M41</f>
        <v>0</v>
      </c>
      <c r="BC41" s="7" t="n">
        <f aca="false">$M41</f>
        <v>0</v>
      </c>
      <c r="BD41" s="7" t="n">
        <f aca="false">$N41</f>
        <v>0</v>
      </c>
      <c r="BE41" s="7" t="n">
        <f aca="false">$N41</f>
        <v>0</v>
      </c>
      <c r="BF41" s="7" t="n">
        <f aca="false">$N41</f>
        <v>0</v>
      </c>
      <c r="BG41" s="7" t="n">
        <f aca="false">$N41</f>
        <v>0</v>
      </c>
      <c r="BH41" s="7" t="n">
        <f aca="false">$N41</f>
        <v>0</v>
      </c>
      <c r="BI41" s="7" t="n">
        <f aca="false">$O41</f>
        <v>0</v>
      </c>
      <c r="BJ41" s="7" t="n">
        <f aca="false">$O41</f>
        <v>0</v>
      </c>
      <c r="BK41" s="7" t="n">
        <f aca="false">$O41</f>
        <v>0</v>
      </c>
      <c r="BL41" s="7" t="n">
        <f aca="false">$O41</f>
        <v>0</v>
      </c>
      <c r="BM41" s="7" t="n">
        <f aca="false">$P41</f>
        <v>0</v>
      </c>
      <c r="BN41" s="7" t="n">
        <f aca="false">$P41</f>
        <v>0</v>
      </c>
      <c r="BO41" s="7" t="n">
        <f aca="false">$P41</f>
        <v>0</v>
      </c>
      <c r="BP41" s="7" t="n">
        <f aca="false">$P41</f>
        <v>0</v>
      </c>
    </row>
    <row r="42" customFormat="false" ht="15" hidden="false" customHeight="false" outlineLevel="0" collapsed="false">
      <c r="A42" s="0" t="s">
        <v>235</v>
      </c>
      <c r="B42" s="0" t="s">
        <v>130</v>
      </c>
      <c r="C42" s="0" t="s">
        <v>115</v>
      </c>
      <c r="D42" s="0" t="n">
        <f aca="false">SUM(Q42:BP42)</f>
        <v>4224</v>
      </c>
      <c r="E42" s="22" t="n">
        <v>10</v>
      </c>
      <c r="F42" s="22" t="n">
        <v>18</v>
      </c>
      <c r="G42" s="22" t="n">
        <v>28</v>
      </c>
      <c r="H42" s="22" t="n">
        <v>40</v>
      </c>
      <c r="I42" s="22" t="n">
        <v>55</v>
      </c>
      <c r="J42" s="22" t="n">
        <v>75</v>
      </c>
      <c r="K42" s="22" t="n">
        <v>95</v>
      </c>
      <c r="L42" s="22" t="n">
        <v>110</v>
      </c>
      <c r="M42" s="22" t="n">
        <v>125</v>
      </c>
      <c r="N42" s="22" t="n">
        <v>135</v>
      </c>
      <c r="O42" s="22" t="n">
        <v>145</v>
      </c>
      <c r="P42" s="22" t="n">
        <v>150</v>
      </c>
      <c r="Q42" s="7" t="n">
        <f aca="false">$E42</f>
        <v>10</v>
      </c>
      <c r="R42" s="7" t="n">
        <f aca="false">$E42</f>
        <v>10</v>
      </c>
      <c r="S42" s="7" t="n">
        <f aca="false">$E42</f>
        <v>10</v>
      </c>
      <c r="T42" s="7" t="n">
        <f aca="false">$E42</f>
        <v>10</v>
      </c>
      <c r="U42" s="7" t="n">
        <f aca="false">$E42</f>
        <v>10</v>
      </c>
      <c r="V42" s="7" t="n">
        <f aca="false">$F42</f>
        <v>18</v>
      </c>
      <c r="W42" s="7" t="n">
        <f aca="false">$F42</f>
        <v>18</v>
      </c>
      <c r="X42" s="7" t="n">
        <f aca="false">$F42</f>
        <v>18</v>
      </c>
      <c r="Y42" s="7" t="n">
        <f aca="false">$F42</f>
        <v>18</v>
      </c>
      <c r="Z42" s="7" t="n">
        <f aca="false">$G42</f>
        <v>28</v>
      </c>
      <c r="AA42" s="7" t="n">
        <f aca="false">$G42</f>
        <v>28</v>
      </c>
      <c r="AB42" s="7" t="n">
        <f aca="false">$G42</f>
        <v>28</v>
      </c>
      <c r="AC42" s="7" t="n">
        <f aca="false">$G42</f>
        <v>28</v>
      </c>
      <c r="AD42" s="7" t="n">
        <f aca="false">$H42</f>
        <v>40</v>
      </c>
      <c r="AE42" s="7" t="n">
        <f aca="false">$H42</f>
        <v>40</v>
      </c>
      <c r="AF42" s="7" t="n">
        <f aca="false">$H42</f>
        <v>40</v>
      </c>
      <c r="AG42" s="7" t="n">
        <f aca="false">$H42</f>
        <v>40</v>
      </c>
      <c r="AH42" s="7" t="n">
        <f aca="false">$H42</f>
        <v>40</v>
      </c>
      <c r="AI42" s="7" t="n">
        <f aca="false">$I42</f>
        <v>55</v>
      </c>
      <c r="AJ42" s="7" t="n">
        <f aca="false">$I42</f>
        <v>55</v>
      </c>
      <c r="AK42" s="7" t="n">
        <f aca="false">$I42</f>
        <v>55</v>
      </c>
      <c r="AL42" s="7" t="n">
        <f aca="false">$I42</f>
        <v>55</v>
      </c>
      <c r="AM42" s="7" t="n">
        <f aca="false">$J42</f>
        <v>75</v>
      </c>
      <c r="AN42" s="7" t="n">
        <f aca="false">$J42</f>
        <v>75</v>
      </c>
      <c r="AO42" s="7" t="n">
        <f aca="false">$J42</f>
        <v>75</v>
      </c>
      <c r="AP42" s="7" t="n">
        <f aca="false">$J42</f>
        <v>75</v>
      </c>
      <c r="AQ42" s="7" t="n">
        <f aca="false">$K42</f>
        <v>95</v>
      </c>
      <c r="AR42" s="7" t="n">
        <f aca="false">$K42</f>
        <v>95</v>
      </c>
      <c r="AS42" s="7" t="n">
        <f aca="false">$K42</f>
        <v>95</v>
      </c>
      <c r="AT42" s="7" t="n">
        <f aca="false">$K42</f>
        <v>95</v>
      </c>
      <c r="AU42" s="7" t="n">
        <f aca="false">$K42</f>
        <v>95</v>
      </c>
      <c r="AV42" s="7" t="n">
        <f aca="false">$L42</f>
        <v>110</v>
      </c>
      <c r="AW42" s="7" t="n">
        <f aca="false">$L42</f>
        <v>110</v>
      </c>
      <c r="AX42" s="7" t="n">
        <f aca="false">$L42</f>
        <v>110</v>
      </c>
      <c r="AY42" s="7" t="n">
        <f aca="false">$L42</f>
        <v>110</v>
      </c>
      <c r="AZ42" s="7" t="n">
        <f aca="false">$M42</f>
        <v>125</v>
      </c>
      <c r="BA42" s="7" t="n">
        <f aca="false">$M42</f>
        <v>125</v>
      </c>
      <c r="BB42" s="7" t="n">
        <f aca="false">$M42</f>
        <v>125</v>
      </c>
      <c r="BC42" s="7" t="n">
        <f aca="false">$M42</f>
        <v>125</v>
      </c>
      <c r="BD42" s="7" t="n">
        <f aca="false">$N42</f>
        <v>135</v>
      </c>
      <c r="BE42" s="7" t="n">
        <f aca="false">$N42</f>
        <v>135</v>
      </c>
      <c r="BF42" s="7" t="n">
        <f aca="false">$N42</f>
        <v>135</v>
      </c>
      <c r="BG42" s="7" t="n">
        <f aca="false">$N42</f>
        <v>135</v>
      </c>
      <c r="BH42" s="7" t="n">
        <f aca="false">$N42</f>
        <v>135</v>
      </c>
      <c r="BI42" s="7" t="n">
        <f aca="false">$O42</f>
        <v>145</v>
      </c>
      <c r="BJ42" s="7" t="n">
        <f aca="false">$O42</f>
        <v>145</v>
      </c>
      <c r="BK42" s="7" t="n">
        <f aca="false">$O42</f>
        <v>145</v>
      </c>
      <c r="BL42" s="7" t="n">
        <f aca="false">$O42</f>
        <v>145</v>
      </c>
      <c r="BM42" s="7" t="n">
        <f aca="false">$P42</f>
        <v>150</v>
      </c>
      <c r="BN42" s="7" t="n">
        <f aca="false">$P42</f>
        <v>150</v>
      </c>
      <c r="BO42" s="7" t="n">
        <f aca="false">$P42</f>
        <v>150</v>
      </c>
      <c r="BP42" s="7" t="n">
        <f aca="false">$P42</f>
        <v>150</v>
      </c>
    </row>
    <row r="43" customFormat="false" ht="15" hidden="false" customHeight="false" outlineLevel="0" collapsed="false">
      <c r="A43" s="0" t="s">
        <v>235</v>
      </c>
      <c r="B43" s="0" t="s">
        <v>130</v>
      </c>
      <c r="C43" s="0" t="s">
        <v>116</v>
      </c>
      <c r="D43" s="0" t="n">
        <f aca="false">SUM(Q43:BP43)</f>
        <v>1496</v>
      </c>
      <c r="E43" s="22" t="n">
        <v>5</v>
      </c>
      <c r="F43" s="22" t="n">
        <v>8</v>
      </c>
      <c r="G43" s="22" t="n">
        <v>12</v>
      </c>
      <c r="H43" s="22" t="n">
        <v>17</v>
      </c>
      <c r="I43" s="22" t="n">
        <v>23</v>
      </c>
      <c r="J43" s="22" t="n">
        <v>28</v>
      </c>
      <c r="K43" s="22" t="n">
        <v>33</v>
      </c>
      <c r="L43" s="22" t="n">
        <v>38</v>
      </c>
      <c r="M43" s="22" t="n">
        <v>42</v>
      </c>
      <c r="N43" s="22" t="n">
        <v>45</v>
      </c>
      <c r="O43" s="22" t="n">
        <v>48</v>
      </c>
      <c r="P43" s="22" t="n">
        <v>50</v>
      </c>
      <c r="Q43" s="7" t="n">
        <f aca="false">$E43</f>
        <v>5</v>
      </c>
      <c r="R43" s="7" t="n">
        <f aca="false">$E43</f>
        <v>5</v>
      </c>
      <c r="S43" s="7" t="n">
        <f aca="false">$E43</f>
        <v>5</v>
      </c>
      <c r="T43" s="7" t="n">
        <f aca="false">$E43</f>
        <v>5</v>
      </c>
      <c r="U43" s="7" t="n">
        <f aca="false">$E43</f>
        <v>5</v>
      </c>
      <c r="V43" s="7" t="n">
        <f aca="false">$F43</f>
        <v>8</v>
      </c>
      <c r="W43" s="7" t="n">
        <f aca="false">$F43</f>
        <v>8</v>
      </c>
      <c r="X43" s="7" t="n">
        <f aca="false">$F43</f>
        <v>8</v>
      </c>
      <c r="Y43" s="7" t="n">
        <f aca="false">$F43</f>
        <v>8</v>
      </c>
      <c r="Z43" s="7" t="n">
        <f aca="false">$G43</f>
        <v>12</v>
      </c>
      <c r="AA43" s="7" t="n">
        <f aca="false">$G43</f>
        <v>12</v>
      </c>
      <c r="AB43" s="7" t="n">
        <f aca="false">$G43</f>
        <v>12</v>
      </c>
      <c r="AC43" s="7" t="n">
        <f aca="false">$G43</f>
        <v>12</v>
      </c>
      <c r="AD43" s="7" t="n">
        <f aca="false">$H43</f>
        <v>17</v>
      </c>
      <c r="AE43" s="7" t="n">
        <f aca="false">$H43</f>
        <v>17</v>
      </c>
      <c r="AF43" s="7" t="n">
        <f aca="false">$H43</f>
        <v>17</v>
      </c>
      <c r="AG43" s="7" t="n">
        <f aca="false">$H43</f>
        <v>17</v>
      </c>
      <c r="AH43" s="7" t="n">
        <f aca="false">$H43</f>
        <v>17</v>
      </c>
      <c r="AI43" s="7" t="n">
        <f aca="false">$I43</f>
        <v>23</v>
      </c>
      <c r="AJ43" s="7" t="n">
        <f aca="false">$I43</f>
        <v>23</v>
      </c>
      <c r="AK43" s="7" t="n">
        <f aca="false">$I43</f>
        <v>23</v>
      </c>
      <c r="AL43" s="7" t="n">
        <f aca="false">$I43</f>
        <v>23</v>
      </c>
      <c r="AM43" s="7" t="n">
        <f aca="false">$J43</f>
        <v>28</v>
      </c>
      <c r="AN43" s="7" t="n">
        <f aca="false">$J43</f>
        <v>28</v>
      </c>
      <c r="AO43" s="7" t="n">
        <f aca="false">$J43</f>
        <v>28</v>
      </c>
      <c r="AP43" s="7" t="n">
        <f aca="false">$J43</f>
        <v>28</v>
      </c>
      <c r="AQ43" s="7" t="n">
        <f aca="false">$K43</f>
        <v>33</v>
      </c>
      <c r="AR43" s="7" t="n">
        <f aca="false">$K43</f>
        <v>33</v>
      </c>
      <c r="AS43" s="7" t="n">
        <f aca="false">$K43</f>
        <v>33</v>
      </c>
      <c r="AT43" s="7" t="n">
        <f aca="false">$K43</f>
        <v>33</v>
      </c>
      <c r="AU43" s="7" t="n">
        <f aca="false">$K43</f>
        <v>33</v>
      </c>
      <c r="AV43" s="7" t="n">
        <f aca="false">$L43</f>
        <v>38</v>
      </c>
      <c r="AW43" s="7" t="n">
        <f aca="false">$L43</f>
        <v>38</v>
      </c>
      <c r="AX43" s="7" t="n">
        <f aca="false">$L43</f>
        <v>38</v>
      </c>
      <c r="AY43" s="7" t="n">
        <f aca="false">$L43</f>
        <v>38</v>
      </c>
      <c r="AZ43" s="7" t="n">
        <f aca="false">$M43</f>
        <v>42</v>
      </c>
      <c r="BA43" s="7" t="n">
        <f aca="false">$M43</f>
        <v>42</v>
      </c>
      <c r="BB43" s="7" t="n">
        <f aca="false">$M43</f>
        <v>42</v>
      </c>
      <c r="BC43" s="7" t="n">
        <f aca="false">$M43</f>
        <v>42</v>
      </c>
      <c r="BD43" s="7" t="n">
        <f aca="false">$N43</f>
        <v>45</v>
      </c>
      <c r="BE43" s="7" t="n">
        <f aca="false">$N43</f>
        <v>45</v>
      </c>
      <c r="BF43" s="7" t="n">
        <f aca="false">$N43</f>
        <v>45</v>
      </c>
      <c r="BG43" s="7" t="n">
        <f aca="false">$N43</f>
        <v>45</v>
      </c>
      <c r="BH43" s="7" t="n">
        <f aca="false">$N43</f>
        <v>45</v>
      </c>
      <c r="BI43" s="7" t="n">
        <f aca="false">$O43</f>
        <v>48</v>
      </c>
      <c r="BJ43" s="7" t="n">
        <f aca="false">$O43</f>
        <v>48</v>
      </c>
      <c r="BK43" s="7" t="n">
        <f aca="false">$O43</f>
        <v>48</v>
      </c>
      <c r="BL43" s="7" t="n">
        <f aca="false">$O43</f>
        <v>48</v>
      </c>
      <c r="BM43" s="7" t="n">
        <f aca="false">$P43</f>
        <v>50</v>
      </c>
      <c r="BN43" s="7" t="n">
        <f aca="false">$P43</f>
        <v>50</v>
      </c>
      <c r="BO43" s="7" t="n">
        <f aca="false">$P43</f>
        <v>50</v>
      </c>
      <c r="BP43" s="7" t="n">
        <f aca="false">$P43</f>
        <v>50</v>
      </c>
    </row>
    <row r="44" customFormat="false" ht="15" hidden="false" customHeight="false" outlineLevel="0" collapsed="false">
      <c r="A44" s="0" t="s">
        <v>235</v>
      </c>
      <c r="B44" s="0" t="s">
        <v>130</v>
      </c>
      <c r="C44" s="0" t="s">
        <v>117</v>
      </c>
      <c r="D44" s="0" t="n">
        <f aca="false">SUM(Q44:BP44)</f>
        <v>1540</v>
      </c>
      <c r="E44" s="22" t="n">
        <v>0</v>
      </c>
      <c r="F44" s="22" t="n">
        <v>0</v>
      </c>
      <c r="G44" s="22" t="n">
        <v>5</v>
      </c>
      <c r="H44" s="22" t="n">
        <v>12</v>
      </c>
      <c r="I44" s="22" t="n">
        <v>20</v>
      </c>
      <c r="J44" s="22" t="n">
        <v>28</v>
      </c>
      <c r="K44" s="22" t="n">
        <v>35</v>
      </c>
      <c r="L44" s="22" t="n">
        <v>42</v>
      </c>
      <c r="M44" s="22" t="n">
        <v>48</v>
      </c>
      <c r="N44" s="22" t="n">
        <v>53</v>
      </c>
      <c r="O44" s="22" t="n">
        <v>57</v>
      </c>
      <c r="P44" s="22" t="n">
        <v>60</v>
      </c>
      <c r="Q44" s="7" t="n">
        <f aca="false">$E44</f>
        <v>0</v>
      </c>
      <c r="R44" s="7" t="n">
        <f aca="false">$E44</f>
        <v>0</v>
      </c>
      <c r="S44" s="7" t="n">
        <f aca="false">$E44</f>
        <v>0</v>
      </c>
      <c r="T44" s="7" t="n">
        <f aca="false">$E44</f>
        <v>0</v>
      </c>
      <c r="U44" s="7" t="n">
        <f aca="false">$E44</f>
        <v>0</v>
      </c>
      <c r="V44" s="7" t="n">
        <f aca="false">$F44</f>
        <v>0</v>
      </c>
      <c r="W44" s="7" t="n">
        <f aca="false">$F44</f>
        <v>0</v>
      </c>
      <c r="X44" s="7" t="n">
        <f aca="false">$F44</f>
        <v>0</v>
      </c>
      <c r="Y44" s="7" t="n">
        <f aca="false">$F44</f>
        <v>0</v>
      </c>
      <c r="Z44" s="7" t="n">
        <f aca="false">$G44</f>
        <v>5</v>
      </c>
      <c r="AA44" s="7" t="n">
        <f aca="false">$G44</f>
        <v>5</v>
      </c>
      <c r="AB44" s="7" t="n">
        <f aca="false">$G44</f>
        <v>5</v>
      </c>
      <c r="AC44" s="7" t="n">
        <f aca="false">$G44</f>
        <v>5</v>
      </c>
      <c r="AD44" s="7" t="n">
        <f aca="false">$H44</f>
        <v>12</v>
      </c>
      <c r="AE44" s="7" t="n">
        <f aca="false">$H44</f>
        <v>12</v>
      </c>
      <c r="AF44" s="7" t="n">
        <f aca="false">$H44</f>
        <v>12</v>
      </c>
      <c r="AG44" s="7" t="n">
        <f aca="false">$H44</f>
        <v>12</v>
      </c>
      <c r="AH44" s="7" t="n">
        <f aca="false">$H44</f>
        <v>12</v>
      </c>
      <c r="AI44" s="7" t="n">
        <f aca="false">$I44</f>
        <v>20</v>
      </c>
      <c r="AJ44" s="7" t="n">
        <f aca="false">$I44</f>
        <v>20</v>
      </c>
      <c r="AK44" s="7" t="n">
        <f aca="false">$I44</f>
        <v>20</v>
      </c>
      <c r="AL44" s="7" t="n">
        <f aca="false">$I44</f>
        <v>20</v>
      </c>
      <c r="AM44" s="7" t="n">
        <f aca="false">$J44</f>
        <v>28</v>
      </c>
      <c r="AN44" s="7" t="n">
        <f aca="false">$J44</f>
        <v>28</v>
      </c>
      <c r="AO44" s="7" t="n">
        <f aca="false">$J44</f>
        <v>28</v>
      </c>
      <c r="AP44" s="7" t="n">
        <f aca="false">$J44</f>
        <v>28</v>
      </c>
      <c r="AQ44" s="7" t="n">
        <f aca="false">$K44</f>
        <v>35</v>
      </c>
      <c r="AR44" s="7" t="n">
        <f aca="false">$K44</f>
        <v>35</v>
      </c>
      <c r="AS44" s="7" t="n">
        <f aca="false">$K44</f>
        <v>35</v>
      </c>
      <c r="AT44" s="7" t="n">
        <f aca="false">$K44</f>
        <v>35</v>
      </c>
      <c r="AU44" s="7" t="n">
        <f aca="false">$K44</f>
        <v>35</v>
      </c>
      <c r="AV44" s="7" t="n">
        <f aca="false">$L44</f>
        <v>42</v>
      </c>
      <c r="AW44" s="7" t="n">
        <f aca="false">$L44</f>
        <v>42</v>
      </c>
      <c r="AX44" s="7" t="n">
        <f aca="false">$L44</f>
        <v>42</v>
      </c>
      <c r="AY44" s="7" t="n">
        <f aca="false">$L44</f>
        <v>42</v>
      </c>
      <c r="AZ44" s="7" t="n">
        <f aca="false">$M44</f>
        <v>48</v>
      </c>
      <c r="BA44" s="7" t="n">
        <f aca="false">$M44</f>
        <v>48</v>
      </c>
      <c r="BB44" s="7" t="n">
        <f aca="false">$M44</f>
        <v>48</v>
      </c>
      <c r="BC44" s="7" t="n">
        <f aca="false">$M44</f>
        <v>48</v>
      </c>
      <c r="BD44" s="7" t="n">
        <f aca="false">$N44</f>
        <v>53</v>
      </c>
      <c r="BE44" s="7" t="n">
        <f aca="false">$N44</f>
        <v>53</v>
      </c>
      <c r="BF44" s="7" t="n">
        <f aca="false">$N44</f>
        <v>53</v>
      </c>
      <c r="BG44" s="7" t="n">
        <f aca="false">$N44</f>
        <v>53</v>
      </c>
      <c r="BH44" s="7" t="n">
        <f aca="false">$N44</f>
        <v>53</v>
      </c>
      <c r="BI44" s="7" t="n">
        <f aca="false">$O44</f>
        <v>57</v>
      </c>
      <c r="BJ44" s="7" t="n">
        <f aca="false">$O44</f>
        <v>57</v>
      </c>
      <c r="BK44" s="7" t="n">
        <f aca="false">$O44</f>
        <v>57</v>
      </c>
      <c r="BL44" s="7" t="n">
        <f aca="false">$O44</f>
        <v>57</v>
      </c>
      <c r="BM44" s="7" t="n">
        <f aca="false">$P44</f>
        <v>60</v>
      </c>
      <c r="BN44" s="7" t="n">
        <f aca="false">$P44</f>
        <v>60</v>
      </c>
      <c r="BO44" s="7" t="n">
        <f aca="false">$P44</f>
        <v>60</v>
      </c>
      <c r="BP44" s="7" t="n">
        <f aca="false">$P44</f>
        <v>60</v>
      </c>
    </row>
    <row r="45" customFormat="false" ht="15" hidden="false" customHeight="false" outlineLevel="0" collapsed="false">
      <c r="A45" s="0" t="s">
        <v>235</v>
      </c>
      <c r="B45" s="0" t="s">
        <v>130</v>
      </c>
      <c r="C45" s="0" t="s">
        <v>118</v>
      </c>
      <c r="D45" s="0" t="n">
        <f aca="false">SUM(Q45:BP45)</f>
        <v>418</v>
      </c>
      <c r="E45" s="22" t="n">
        <v>0</v>
      </c>
      <c r="F45" s="22" t="n">
        <v>0</v>
      </c>
      <c r="G45" s="22" t="n">
        <v>0</v>
      </c>
      <c r="H45" s="22" t="n">
        <v>0</v>
      </c>
      <c r="I45" s="22" t="n">
        <v>0</v>
      </c>
      <c r="J45" s="22" t="n">
        <v>0</v>
      </c>
      <c r="K45" s="22" t="n">
        <v>0</v>
      </c>
      <c r="L45" s="22" t="n">
        <v>0</v>
      </c>
      <c r="M45" s="22" t="n">
        <v>0</v>
      </c>
      <c r="N45" s="22" t="n">
        <v>30</v>
      </c>
      <c r="O45" s="22" t="n">
        <v>32</v>
      </c>
      <c r="P45" s="22" t="n">
        <v>35</v>
      </c>
      <c r="Q45" s="7" t="n">
        <f aca="false">$E45</f>
        <v>0</v>
      </c>
      <c r="R45" s="7" t="n">
        <f aca="false">$E45</f>
        <v>0</v>
      </c>
      <c r="S45" s="7" t="n">
        <f aca="false">$E45</f>
        <v>0</v>
      </c>
      <c r="T45" s="7" t="n">
        <f aca="false">$E45</f>
        <v>0</v>
      </c>
      <c r="U45" s="7" t="n">
        <f aca="false">$E45</f>
        <v>0</v>
      </c>
      <c r="V45" s="7" t="n">
        <f aca="false">$F45</f>
        <v>0</v>
      </c>
      <c r="W45" s="7" t="n">
        <f aca="false">$F45</f>
        <v>0</v>
      </c>
      <c r="X45" s="7" t="n">
        <f aca="false">$F45</f>
        <v>0</v>
      </c>
      <c r="Y45" s="7" t="n">
        <f aca="false">$F45</f>
        <v>0</v>
      </c>
      <c r="Z45" s="7" t="n">
        <f aca="false">$G45</f>
        <v>0</v>
      </c>
      <c r="AA45" s="7" t="n">
        <f aca="false">$G45</f>
        <v>0</v>
      </c>
      <c r="AB45" s="7" t="n">
        <f aca="false">$G45</f>
        <v>0</v>
      </c>
      <c r="AC45" s="7" t="n">
        <f aca="false">$G45</f>
        <v>0</v>
      </c>
      <c r="AD45" s="7" t="n">
        <f aca="false">$H45</f>
        <v>0</v>
      </c>
      <c r="AE45" s="7" t="n">
        <f aca="false">$H45</f>
        <v>0</v>
      </c>
      <c r="AF45" s="7" t="n">
        <f aca="false">$H45</f>
        <v>0</v>
      </c>
      <c r="AG45" s="7" t="n">
        <f aca="false">$H45</f>
        <v>0</v>
      </c>
      <c r="AH45" s="7" t="n">
        <f aca="false">$H45</f>
        <v>0</v>
      </c>
      <c r="AI45" s="7" t="n">
        <f aca="false">$I45</f>
        <v>0</v>
      </c>
      <c r="AJ45" s="7" t="n">
        <f aca="false">$I45</f>
        <v>0</v>
      </c>
      <c r="AK45" s="7" t="n">
        <f aca="false">$I45</f>
        <v>0</v>
      </c>
      <c r="AL45" s="7" t="n">
        <f aca="false">$I45</f>
        <v>0</v>
      </c>
      <c r="AM45" s="7" t="n">
        <f aca="false">$J45</f>
        <v>0</v>
      </c>
      <c r="AN45" s="7" t="n">
        <f aca="false">$J45</f>
        <v>0</v>
      </c>
      <c r="AO45" s="7" t="n">
        <f aca="false">$J45</f>
        <v>0</v>
      </c>
      <c r="AP45" s="7" t="n">
        <f aca="false">$J45</f>
        <v>0</v>
      </c>
      <c r="AQ45" s="7" t="n">
        <f aca="false">$K45</f>
        <v>0</v>
      </c>
      <c r="AR45" s="7" t="n">
        <f aca="false">$K45</f>
        <v>0</v>
      </c>
      <c r="AS45" s="7" t="n">
        <f aca="false">$K45</f>
        <v>0</v>
      </c>
      <c r="AT45" s="7" t="n">
        <f aca="false">$K45</f>
        <v>0</v>
      </c>
      <c r="AU45" s="7" t="n">
        <f aca="false">$K45</f>
        <v>0</v>
      </c>
      <c r="AV45" s="7" t="n">
        <f aca="false">$L45</f>
        <v>0</v>
      </c>
      <c r="AW45" s="7" t="n">
        <f aca="false">$L45</f>
        <v>0</v>
      </c>
      <c r="AX45" s="7" t="n">
        <f aca="false">$L45</f>
        <v>0</v>
      </c>
      <c r="AY45" s="7" t="n">
        <f aca="false">$L45</f>
        <v>0</v>
      </c>
      <c r="AZ45" s="7" t="n">
        <f aca="false">$M45</f>
        <v>0</v>
      </c>
      <c r="BA45" s="7" t="n">
        <f aca="false">$M45</f>
        <v>0</v>
      </c>
      <c r="BB45" s="7" t="n">
        <f aca="false">$M45</f>
        <v>0</v>
      </c>
      <c r="BC45" s="7" t="n">
        <f aca="false">$M45</f>
        <v>0</v>
      </c>
      <c r="BD45" s="7" t="n">
        <f aca="false">$N45</f>
        <v>30</v>
      </c>
      <c r="BE45" s="7" t="n">
        <f aca="false">$N45</f>
        <v>30</v>
      </c>
      <c r="BF45" s="7" t="n">
        <f aca="false">$N45</f>
        <v>30</v>
      </c>
      <c r="BG45" s="7" t="n">
        <f aca="false">$N45</f>
        <v>30</v>
      </c>
      <c r="BH45" s="7" t="n">
        <f aca="false">$N45</f>
        <v>30</v>
      </c>
      <c r="BI45" s="7" t="n">
        <f aca="false">$O45</f>
        <v>32</v>
      </c>
      <c r="BJ45" s="7" t="n">
        <f aca="false">$O45</f>
        <v>32</v>
      </c>
      <c r="BK45" s="7" t="n">
        <f aca="false">$O45</f>
        <v>32</v>
      </c>
      <c r="BL45" s="7" t="n">
        <f aca="false">$O45</f>
        <v>32</v>
      </c>
      <c r="BM45" s="7" t="n">
        <f aca="false">$P45</f>
        <v>35</v>
      </c>
      <c r="BN45" s="7" t="n">
        <f aca="false">$P45</f>
        <v>35</v>
      </c>
      <c r="BO45" s="7" t="n">
        <f aca="false">$P45</f>
        <v>35</v>
      </c>
      <c r="BP45" s="7" t="n">
        <f aca="false">$P45</f>
        <v>35</v>
      </c>
    </row>
    <row r="46" customFormat="false" ht="15" hidden="false" customHeight="false" outlineLevel="0" collapsed="false">
      <c r="A46" s="0" t="s">
        <v>235</v>
      </c>
      <c r="B46" s="0" t="s">
        <v>130</v>
      </c>
      <c r="C46" s="0" t="s">
        <v>119</v>
      </c>
      <c r="D46" s="0" t="n">
        <f aca="false">SUM(Q46:BP46)</f>
        <v>5838</v>
      </c>
      <c r="E46" s="13" t="n">
        <v>40</v>
      </c>
      <c r="F46" s="13" t="n">
        <v>55</v>
      </c>
      <c r="G46" s="13" t="n">
        <v>75</v>
      </c>
      <c r="H46" s="13" t="n">
        <v>90</v>
      </c>
      <c r="I46" s="13" t="n">
        <v>105</v>
      </c>
      <c r="J46" s="13" t="n">
        <v>120</v>
      </c>
      <c r="K46" s="13" t="n">
        <v>130</v>
      </c>
      <c r="L46" s="13" t="n">
        <v>140</v>
      </c>
      <c r="M46" s="13" t="n">
        <v>145</v>
      </c>
      <c r="N46" s="13" t="n">
        <v>150</v>
      </c>
      <c r="O46" s="13" t="n">
        <v>152</v>
      </c>
      <c r="P46" s="13" t="n">
        <v>155</v>
      </c>
      <c r="Q46" s="7" t="n">
        <f aca="false">$E46</f>
        <v>40</v>
      </c>
      <c r="R46" s="7" t="n">
        <f aca="false">$E46</f>
        <v>40</v>
      </c>
      <c r="S46" s="7" t="n">
        <f aca="false">$E46</f>
        <v>40</v>
      </c>
      <c r="T46" s="7" t="n">
        <f aca="false">$E46</f>
        <v>40</v>
      </c>
      <c r="U46" s="7" t="n">
        <f aca="false">$E46</f>
        <v>40</v>
      </c>
      <c r="V46" s="7" t="n">
        <f aca="false">$F46</f>
        <v>55</v>
      </c>
      <c r="W46" s="7" t="n">
        <f aca="false">$F46</f>
        <v>55</v>
      </c>
      <c r="X46" s="7" t="n">
        <f aca="false">$F46</f>
        <v>55</v>
      </c>
      <c r="Y46" s="7" t="n">
        <f aca="false">$F46</f>
        <v>55</v>
      </c>
      <c r="Z46" s="7" t="n">
        <f aca="false">$G46</f>
        <v>75</v>
      </c>
      <c r="AA46" s="7" t="n">
        <f aca="false">$G46</f>
        <v>75</v>
      </c>
      <c r="AB46" s="7" t="n">
        <f aca="false">$G46</f>
        <v>75</v>
      </c>
      <c r="AC46" s="7" t="n">
        <f aca="false">$G46</f>
        <v>75</v>
      </c>
      <c r="AD46" s="7" t="n">
        <f aca="false">$H46</f>
        <v>90</v>
      </c>
      <c r="AE46" s="7" t="n">
        <f aca="false">$H46</f>
        <v>90</v>
      </c>
      <c r="AF46" s="7" t="n">
        <f aca="false">$H46</f>
        <v>90</v>
      </c>
      <c r="AG46" s="7" t="n">
        <f aca="false">$H46</f>
        <v>90</v>
      </c>
      <c r="AH46" s="7" t="n">
        <f aca="false">$H46</f>
        <v>90</v>
      </c>
      <c r="AI46" s="7" t="n">
        <f aca="false">$I46</f>
        <v>105</v>
      </c>
      <c r="AJ46" s="7" t="n">
        <f aca="false">$I46</f>
        <v>105</v>
      </c>
      <c r="AK46" s="7" t="n">
        <f aca="false">$I46</f>
        <v>105</v>
      </c>
      <c r="AL46" s="7" t="n">
        <f aca="false">$I46</f>
        <v>105</v>
      </c>
      <c r="AM46" s="7" t="n">
        <f aca="false">$J46</f>
        <v>120</v>
      </c>
      <c r="AN46" s="7" t="n">
        <f aca="false">$J46</f>
        <v>120</v>
      </c>
      <c r="AO46" s="7" t="n">
        <f aca="false">$J46</f>
        <v>120</v>
      </c>
      <c r="AP46" s="7" t="n">
        <f aca="false">$J46</f>
        <v>120</v>
      </c>
      <c r="AQ46" s="7" t="n">
        <f aca="false">$K46</f>
        <v>130</v>
      </c>
      <c r="AR46" s="7" t="n">
        <f aca="false">$K46</f>
        <v>130</v>
      </c>
      <c r="AS46" s="7" t="n">
        <f aca="false">$K46</f>
        <v>130</v>
      </c>
      <c r="AT46" s="7" t="n">
        <f aca="false">$K46</f>
        <v>130</v>
      </c>
      <c r="AU46" s="7" t="n">
        <f aca="false">$K46</f>
        <v>130</v>
      </c>
      <c r="AV46" s="7" t="n">
        <f aca="false">$L46</f>
        <v>140</v>
      </c>
      <c r="AW46" s="7" t="n">
        <f aca="false">$L46</f>
        <v>140</v>
      </c>
      <c r="AX46" s="7" t="n">
        <f aca="false">$L46</f>
        <v>140</v>
      </c>
      <c r="AY46" s="7" t="n">
        <f aca="false">$L46</f>
        <v>140</v>
      </c>
      <c r="AZ46" s="7" t="n">
        <f aca="false">$M46</f>
        <v>145</v>
      </c>
      <c r="BA46" s="7" t="n">
        <f aca="false">$M46</f>
        <v>145</v>
      </c>
      <c r="BB46" s="7" t="n">
        <f aca="false">$M46</f>
        <v>145</v>
      </c>
      <c r="BC46" s="7" t="n">
        <f aca="false">$M46</f>
        <v>145</v>
      </c>
      <c r="BD46" s="7" t="n">
        <f aca="false">$N46</f>
        <v>150</v>
      </c>
      <c r="BE46" s="7" t="n">
        <f aca="false">$N46</f>
        <v>150</v>
      </c>
      <c r="BF46" s="7" t="n">
        <f aca="false">$N46</f>
        <v>150</v>
      </c>
      <c r="BG46" s="7" t="n">
        <f aca="false">$N46</f>
        <v>150</v>
      </c>
      <c r="BH46" s="7" t="n">
        <f aca="false">$N46</f>
        <v>150</v>
      </c>
      <c r="BI46" s="7" t="n">
        <f aca="false">$O46</f>
        <v>152</v>
      </c>
      <c r="BJ46" s="7" t="n">
        <f aca="false">$O46</f>
        <v>152</v>
      </c>
      <c r="BK46" s="7" t="n">
        <f aca="false">$O46</f>
        <v>152</v>
      </c>
      <c r="BL46" s="7" t="n">
        <f aca="false">$O46</f>
        <v>152</v>
      </c>
      <c r="BM46" s="7" t="n">
        <f aca="false">$P46</f>
        <v>155</v>
      </c>
      <c r="BN46" s="7" t="n">
        <f aca="false">$P46</f>
        <v>155</v>
      </c>
      <c r="BO46" s="7" t="n">
        <f aca="false">$P46</f>
        <v>155</v>
      </c>
      <c r="BP46" s="7" t="n">
        <f aca="false">$P46</f>
        <v>155</v>
      </c>
    </row>
    <row r="47" customFormat="false" ht="15" hidden="false" customHeight="false" outlineLevel="0" collapsed="false">
      <c r="A47" s="0" t="s">
        <v>235</v>
      </c>
      <c r="B47" s="0" t="s">
        <v>130</v>
      </c>
      <c r="C47" s="0" t="s">
        <v>120</v>
      </c>
      <c r="D47" s="0" t="n">
        <f aca="false">SUM(Q47:BP47)</f>
        <v>7930</v>
      </c>
      <c r="E47" s="13" t="n">
        <v>50</v>
      </c>
      <c r="F47" s="13" t="n">
        <v>75</v>
      </c>
      <c r="G47" s="13" t="n">
        <v>105</v>
      </c>
      <c r="H47" s="13" t="n">
        <v>130</v>
      </c>
      <c r="I47" s="13" t="n">
        <v>150</v>
      </c>
      <c r="J47" s="13" t="n">
        <v>170</v>
      </c>
      <c r="K47" s="13" t="n">
        <v>180</v>
      </c>
      <c r="L47" s="13" t="n">
        <v>190</v>
      </c>
      <c r="M47" s="13" t="n">
        <v>195</v>
      </c>
      <c r="N47" s="13" t="n">
        <v>198</v>
      </c>
      <c r="O47" s="13" t="n">
        <v>200</v>
      </c>
      <c r="P47" s="13" t="n">
        <v>200</v>
      </c>
      <c r="Q47" s="7" t="n">
        <f aca="false">$E47</f>
        <v>50</v>
      </c>
      <c r="R47" s="7" t="n">
        <f aca="false">$E47</f>
        <v>50</v>
      </c>
      <c r="S47" s="7" t="n">
        <f aca="false">$E47</f>
        <v>50</v>
      </c>
      <c r="T47" s="7" t="n">
        <f aca="false">$E47</f>
        <v>50</v>
      </c>
      <c r="U47" s="7" t="n">
        <f aca="false">$E47</f>
        <v>50</v>
      </c>
      <c r="V47" s="7" t="n">
        <f aca="false">$F47</f>
        <v>75</v>
      </c>
      <c r="W47" s="7" t="n">
        <f aca="false">$F47</f>
        <v>75</v>
      </c>
      <c r="X47" s="7" t="n">
        <f aca="false">$F47</f>
        <v>75</v>
      </c>
      <c r="Y47" s="7" t="n">
        <f aca="false">$F47</f>
        <v>75</v>
      </c>
      <c r="Z47" s="7" t="n">
        <f aca="false">$G47</f>
        <v>105</v>
      </c>
      <c r="AA47" s="7" t="n">
        <f aca="false">$G47</f>
        <v>105</v>
      </c>
      <c r="AB47" s="7" t="n">
        <f aca="false">$G47</f>
        <v>105</v>
      </c>
      <c r="AC47" s="7" t="n">
        <f aca="false">$G47</f>
        <v>105</v>
      </c>
      <c r="AD47" s="7" t="n">
        <f aca="false">$H47</f>
        <v>130</v>
      </c>
      <c r="AE47" s="7" t="n">
        <f aca="false">$H47</f>
        <v>130</v>
      </c>
      <c r="AF47" s="7" t="n">
        <f aca="false">$H47</f>
        <v>130</v>
      </c>
      <c r="AG47" s="7" t="n">
        <f aca="false">$H47</f>
        <v>130</v>
      </c>
      <c r="AH47" s="7" t="n">
        <f aca="false">$H47</f>
        <v>130</v>
      </c>
      <c r="AI47" s="7" t="n">
        <f aca="false">$I47</f>
        <v>150</v>
      </c>
      <c r="AJ47" s="7" t="n">
        <f aca="false">$I47</f>
        <v>150</v>
      </c>
      <c r="AK47" s="7" t="n">
        <f aca="false">$I47</f>
        <v>150</v>
      </c>
      <c r="AL47" s="7" t="n">
        <f aca="false">$I47</f>
        <v>150</v>
      </c>
      <c r="AM47" s="7" t="n">
        <f aca="false">$J47</f>
        <v>170</v>
      </c>
      <c r="AN47" s="7" t="n">
        <f aca="false">$J47</f>
        <v>170</v>
      </c>
      <c r="AO47" s="7" t="n">
        <f aca="false">$J47</f>
        <v>170</v>
      </c>
      <c r="AP47" s="7" t="n">
        <f aca="false">$J47</f>
        <v>170</v>
      </c>
      <c r="AQ47" s="7" t="n">
        <f aca="false">$K47</f>
        <v>180</v>
      </c>
      <c r="AR47" s="7" t="n">
        <f aca="false">$K47</f>
        <v>180</v>
      </c>
      <c r="AS47" s="7" t="n">
        <f aca="false">$K47</f>
        <v>180</v>
      </c>
      <c r="AT47" s="7" t="n">
        <f aca="false">$K47</f>
        <v>180</v>
      </c>
      <c r="AU47" s="7" t="n">
        <f aca="false">$K47</f>
        <v>180</v>
      </c>
      <c r="AV47" s="7" t="n">
        <f aca="false">$L47</f>
        <v>190</v>
      </c>
      <c r="AW47" s="7" t="n">
        <f aca="false">$L47</f>
        <v>190</v>
      </c>
      <c r="AX47" s="7" t="n">
        <f aca="false">$L47</f>
        <v>190</v>
      </c>
      <c r="AY47" s="7" t="n">
        <f aca="false">$L47</f>
        <v>190</v>
      </c>
      <c r="AZ47" s="7" t="n">
        <f aca="false">$M47</f>
        <v>195</v>
      </c>
      <c r="BA47" s="7" t="n">
        <f aca="false">$M47</f>
        <v>195</v>
      </c>
      <c r="BB47" s="7" t="n">
        <f aca="false">$M47</f>
        <v>195</v>
      </c>
      <c r="BC47" s="7" t="n">
        <f aca="false">$M47</f>
        <v>195</v>
      </c>
      <c r="BD47" s="7" t="n">
        <f aca="false">$N47</f>
        <v>198</v>
      </c>
      <c r="BE47" s="7" t="n">
        <f aca="false">$N47</f>
        <v>198</v>
      </c>
      <c r="BF47" s="7" t="n">
        <f aca="false">$N47</f>
        <v>198</v>
      </c>
      <c r="BG47" s="7" t="n">
        <f aca="false">$N47</f>
        <v>198</v>
      </c>
      <c r="BH47" s="7" t="n">
        <f aca="false">$N47</f>
        <v>198</v>
      </c>
      <c r="BI47" s="7" t="n">
        <f aca="false">$O47</f>
        <v>200</v>
      </c>
      <c r="BJ47" s="7" t="n">
        <f aca="false">$O47</f>
        <v>200</v>
      </c>
      <c r="BK47" s="7" t="n">
        <f aca="false">$O47</f>
        <v>200</v>
      </c>
      <c r="BL47" s="7" t="n">
        <f aca="false">$O47</f>
        <v>200</v>
      </c>
      <c r="BM47" s="7" t="n">
        <f aca="false">$P47</f>
        <v>200</v>
      </c>
      <c r="BN47" s="7" t="n">
        <f aca="false">$P47</f>
        <v>200</v>
      </c>
      <c r="BO47" s="7" t="n">
        <f aca="false">$P47</f>
        <v>200</v>
      </c>
      <c r="BP47" s="7" t="n">
        <f aca="false">$P47</f>
        <v>200</v>
      </c>
    </row>
    <row r="48" customFormat="false" ht="15" hidden="false" customHeight="false" outlineLevel="0" collapsed="false">
      <c r="A48" s="0" t="s">
        <v>235</v>
      </c>
      <c r="B48" s="0" t="s">
        <v>130</v>
      </c>
      <c r="C48" s="0" t="s">
        <v>121</v>
      </c>
      <c r="D48" s="0" t="n">
        <f aca="false">SUM(Q48:BP48)</f>
        <v>4098</v>
      </c>
      <c r="E48" s="13" t="n">
        <v>25</v>
      </c>
      <c r="F48" s="13" t="n">
        <v>38</v>
      </c>
      <c r="G48" s="13" t="n">
        <v>55</v>
      </c>
      <c r="H48" s="13" t="n">
        <v>70</v>
      </c>
      <c r="I48" s="13" t="n">
        <v>82</v>
      </c>
      <c r="J48" s="13" t="n">
        <v>90</v>
      </c>
      <c r="K48" s="13" t="n">
        <v>95</v>
      </c>
      <c r="L48" s="13" t="n">
        <v>98</v>
      </c>
      <c r="M48" s="13" t="n">
        <v>99</v>
      </c>
      <c r="N48" s="13" t="n">
        <v>100</v>
      </c>
      <c r="O48" s="13" t="n">
        <v>100</v>
      </c>
      <c r="P48" s="13" t="n">
        <v>100</v>
      </c>
      <c r="Q48" s="7" t="n">
        <f aca="false">$E48</f>
        <v>25</v>
      </c>
      <c r="R48" s="7" t="n">
        <f aca="false">$E48</f>
        <v>25</v>
      </c>
      <c r="S48" s="7" t="n">
        <f aca="false">$E48</f>
        <v>25</v>
      </c>
      <c r="T48" s="7" t="n">
        <f aca="false">$E48</f>
        <v>25</v>
      </c>
      <c r="U48" s="7" t="n">
        <f aca="false">$E48</f>
        <v>25</v>
      </c>
      <c r="V48" s="7" t="n">
        <f aca="false">$F48</f>
        <v>38</v>
      </c>
      <c r="W48" s="7" t="n">
        <f aca="false">$F48</f>
        <v>38</v>
      </c>
      <c r="X48" s="7" t="n">
        <f aca="false">$F48</f>
        <v>38</v>
      </c>
      <c r="Y48" s="7" t="n">
        <f aca="false">$F48</f>
        <v>38</v>
      </c>
      <c r="Z48" s="7" t="n">
        <f aca="false">$G48</f>
        <v>55</v>
      </c>
      <c r="AA48" s="7" t="n">
        <f aca="false">$G48</f>
        <v>55</v>
      </c>
      <c r="AB48" s="7" t="n">
        <f aca="false">$G48</f>
        <v>55</v>
      </c>
      <c r="AC48" s="7" t="n">
        <f aca="false">$G48</f>
        <v>55</v>
      </c>
      <c r="AD48" s="7" t="n">
        <f aca="false">$H48</f>
        <v>70</v>
      </c>
      <c r="AE48" s="7" t="n">
        <f aca="false">$H48</f>
        <v>70</v>
      </c>
      <c r="AF48" s="7" t="n">
        <f aca="false">$H48</f>
        <v>70</v>
      </c>
      <c r="AG48" s="7" t="n">
        <f aca="false">$H48</f>
        <v>70</v>
      </c>
      <c r="AH48" s="7" t="n">
        <f aca="false">$H48</f>
        <v>70</v>
      </c>
      <c r="AI48" s="7" t="n">
        <f aca="false">$I48</f>
        <v>82</v>
      </c>
      <c r="AJ48" s="7" t="n">
        <f aca="false">$I48</f>
        <v>82</v>
      </c>
      <c r="AK48" s="7" t="n">
        <f aca="false">$I48</f>
        <v>82</v>
      </c>
      <c r="AL48" s="7" t="n">
        <f aca="false">$I48</f>
        <v>82</v>
      </c>
      <c r="AM48" s="7" t="n">
        <f aca="false">$J48</f>
        <v>90</v>
      </c>
      <c r="AN48" s="7" t="n">
        <f aca="false">$J48</f>
        <v>90</v>
      </c>
      <c r="AO48" s="7" t="n">
        <f aca="false">$J48</f>
        <v>90</v>
      </c>
      <c r="AP48" s="7" t="n">
        <f aca="false">$J48</f>
        <v>90</v>
      </c>
      <c r="AQ48" s="7" t="n">
        <f aca="false">$K48</f>
        <v>95</v>
      </c>
      <c r="AR48" s="7" t="n">
        <f aca="false">$K48</f>
        <v>95</v>
      </c>
      <c r="AS48" s="7" t="n">
        <f aca="false">$K48</f>
        <v>95</v>
      </c>
      <c r="AT48" s="7" t="n">
        <f aca="false">$K48</f>
        <v>95</v>
      </c>
      <c r="AU48" s="7" t="n">
        <f aca="false">$K48</f>
        <v>95</v>
      </c>
      <c r="AV48" s="7" t="n">
        <f aca="false">$L48</f>
        <v>98</v>
      </c>
      <c r="AW48" s="7" t="n">
        <f aca="false">$L48</f>
        <v>98</v>
      </c>
      <c r="AX48" s="7" t="n">
        <f aca="false">$L48</f>
        <v>98</v>
      </c>
      <c r="AY48" s="7" t="n">
        <f aca="false">$L48</f>
        <v>98</v>
      </c>
      <c r="AZ48" s="7" t="n">
        <f aca="false">$M48</f>
        <v>99</v>
      </c>
      <c r="BA48" s="7" t="n">
        <f aca="false">$M48</f>
        <v>99</v>
      </c>
      <c r="BB48" s="7" t="n">
        <f aca="false">$M48</f>
        <v>99</v>
      </c>
      <c r="BC48" s="7" t="n">
        <f aca="false">$M48</f>
        <v>99</v>
      </c>
      <c r="BD48" s="7" t="n">
        <f aca="false">$N48</f>
        <v>100</v>
      </c>
      <c r="BE48" s="7" t="n">
        <f aca="false">$N48</f>
        <v>100</v>
      </c>
      <c r="BF48" s="7" t="n">
        <f aca="false">$N48</f>
        <v>100</v>
      </c>
      <c r="BG48" s="7" t="n">
        <f aca="false">$N48</f>
        <v>100</v>
      </c>
      <c r="BH48" s="7" t="n">
        <f aca="false">$N48</f>
        <v>100</v>
      </c>
      <c r="BI48" s="7" t="n">
        <f aca="false">$O48</f>
        <v>100</v>
      </c>
      <c r="BJ48" s="7" t="n">
        <f aca="false">$O48</f>
        <v>100</v>
      </c>
      <c r="BK48" s="7" t="n">
        <f aca="false">$O48</f>
        <v>100</v>
      </c>
      <c r="BL48" s="7" t="n">
        <f aca="false">$O48</f>
        <v>100</v>
      </c>
      <c r="BM48" s="7" t="n">
        <f aca="false">$P48</f>
        <v>100</v>
      </c>
      <c r="BN48" s="7" t="n">
        <f aca="false">$P48</f>
        <v>100</v>
      </c>
      <c r="BO48" s="7" t="n">
        <f aca="false">$P48</f>
        <v>100</v>
      </c>
      <c r="BP48" s="7" t="n">
        <f aca="false">$P48</f>
        <v>100</v>
      </c>
    </row>
    <row r="49" customFormat="false" ht="15" hidden="false" customHeight="false" outlineLevel="0" collapsed="false">
      <c r="A49" s="0" t="s">
        <v>235</v>
      </c>
      <c r="B49" s="0" t="s">
        <v>130</v>
      </c>
      <c r="C49" s="0" t="s">
        <v>122</v>
      </c>
      <c r="D49" s="0" t="n">
        <f aca="false">SUM(Q49:BP49)</f>
        <v>0</v>
      </c>
      <c r="E49" s="13" t="n">
        <v>0</v>
      </c>
      <c r="F49" s="13" t="n">
        <v>0</v>
      </c>
      <c r="G49" s="13" t="n">
        <v>0</v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7" t="n">
        <f aca="false">$E49</f>
        <v>0</v>
      </c>
      <c r="R49" s="7" t="n">
        <f aca="false">$E49</f>
        <v>0</v>
      </c>
      <c r="S49" s="7" t="n">
        <f aca="false">$E49</f>
        <v>0</v>
      </c>
      <c r="T49" s="7" t="n">
        <f aca="false">$E49</f>
        <v>0</v>
      </c>
      <c r="U49" s="7" t="n">
        <f aca="false">$E49</f>
        <v>0</v>
      </c>
      <c r="V49" s="7" t="n">
        <f aca="false">$F49</f>
        <v>0</v>
      </c>
      <c r="W49" s="7" t="n">
        <f aca="false">$F49</f>
        <v>0</v>
      </c>
      <c r="X49" s="7" t="n">
        <f aca="false">$F49</f>
        <v>0</v>
      </c>
      <c r="Y49" s="7" t="n">
        <f aca="false">$F49</f>
        <v>0</v>
      </c>
      <c r="Z49" s="7" t="n">
        <f aca="false">$G49</f>
        <v>0</v>
      </c>
      <c r="AA49" s="7" t="n">
        <f aca="false">$G49</f>
        <v>0</v>
      </c>
      <c r="AB49" s="7" t="n">
        <f aca="false">$G49</f>
        <v>0</v>
      </c>
      <c r="AC49" s="7" t="n">
        <f aca="false">$G49</f>
        <v>0</v>
      </c>
      <c r="AD49" s="7" t="n">
        <f aca="false">$H49</f>
        <v>0</v>
      </c>
      <c r="AE49" s="7" t="n">
        <f aca="false">$H49</f>
        <v>0</v>
      </c>
      <c r="AF49" s="7" t="n">
        <f aca="false">$H49</f>
        <v>0</v>
      </c>
      <c r="AG49" s="7" t="n">
        <f aca="false">$H49</f>
        <v>0</v>
      </c>
      <c r="AH49" s="7" t="n">
        <f aca="false">$H49</f>
        <v>0</v>
      </c>
      <c r="AI49" s="7" t="n">
        <f aca="false">$I49</f>
        <v>0</v>
      </c>
      <c r="AJ49" s="7" t="n">
        <f aca="false">$I49</f>
        <v>0</v>
      </c>
      <c r="AK49" s="7" t="n">
        <f aca="false">$I49</f>
        <v>0</v>
      </c>
      <c r="AL49" s="7" t="n">
        <f aca="false">$I49</f>
        <v>0</v>
      </c>
      <c r="AM49" s="7" t="n">
        <f aca="false">$J49</f>
        <v>0</v>
      </c>
      <c r="AN49" s="7" t="n">
        <f aca="false">$J49</f>
        <v>0</v>
      </c>
      <c r="AO49" s="7" t="n">
        <f aca="false">$J49</f>
        <v>0</v>
      </c>
      <c r="AP49" s="7" t="n">
        <f aca="false">$J49</f>
        <v>0</v>
      </c>
      <c r="AQ49" s="7" t="n">
        <f aca="false">$K49</f>
        <v>0</v>
      </c>
      <c r="AR49" s="7" t="n">
        <f aca="false">$K49</f>
        <v>0</v>
      </c>
      <c r="AS49" s="7" t="n">
        <f aca="false">$K49</f>
        <v>0</v>
      </c>
      <c r="AT49" s="7" t="n">
        <f aca="false">$K49</f>
        <v>0</v>
      </c>
      <c r="AU49" s="7" t="n">
        <f aca="false">$K49</f>
        <v>0</v>
      </c>
      <c r="AV49" s="7" t="n">
        <f aca="false">$L49</f>
        <v>0</v>
      </c>
      <c r="AW49" s="7" t="n">
        <f aca="false">$L49</f>
        <v>0</v>
      </c>
      <c r="AX49" s="7" t="n">
        <f aca="false">$L49</f>
        <v>0</v>
      </c>
      <c r="AY49" s="7" t="n">
        <f aca="false">$L49</f>
        <v>0</v>
      </c>
      <c r="AZ49" s="7" t="n">
        <f aca="false">$M49</f>
        <v>0</v>
      </c>
      <c r="BA49" s="7" t="n">
        <f aca="false">$M49</f>
        <v>0</v>
      </c>
      <c r="BB49" s="7" t="n">
        <f aca="false">$M49</f>
        <v>0</v>
      </c>
      <c r="BC49" s="7" t="n">
        <f aca="false">$M49</f>
        <v>0</v>
      </c>
      <c r="BD49" s="7" t="n">
        <f aca="false">$N49</f>
        <v>0</v>
      </c>
      <c r="BE49" s="7" t="n">
        <f aca="false">$N49</f>
        <v>0</v>
      </c>
      <c r="BF49" s="7" t="n">
        <f aca="false">$N49</f>
        <v>0</v>
      </c>
      <c r="BG49" s="7" t="n">
        <f aca="false">$N49</f>
        <v>0</v>
      </c>
      <c r="BH49" s="7" t="n">
        <f aca="false">$N49</f>
        <v>0</v>
      </c>
      <c r="BI49" s="7" t="n">
        <f aca="false">$O49</f>
        <v>0</v>
      </c>
      <c r="BJ49" s="7" t="n">
        <f aca="false">$O49</f>
        <v>0</v>
      </c>
      <c r="BK49" s="7" t="n">
        <f aca="false">$O49</f>
        <v>0</v>
      </c>
      <c r="BL49" s="7" t="n">
        <f aca="false">$O49</f>
        <v>0</v>
      </c>
      <c r="BM49" s="7" t="n">
        <f aca="false">$P49</f>
        <v>0</v>
      </c>
      <c r="BN49" s="7" t="n">
        <f aca="false">$P49</f>
        <v>0</v>
      </c>
      <c r="BO49" s="7" t="n">
        <f aca="false">$P49</f>
        <v>0</v>
      </c>
      <c r="BP49" s="7" t="n">
        <f aca="false">$P49</f>
        <v>0</v>
      </c>
    </row>
    <row r="50" customFormat="false" ht="15" hidden="false" customHeight="false" outlineLevel="0" collapsed="false">
      <c r="A50" s="0" t="s">
        <v>235</v>
      </c>
      <c r="B50" s="0" t="s">
        <v>130</v>
      </c>
      <c r="C50" s="0" t="s">
        <v>123</v>
      </c>
      <c r="D50" s="0" t="n">
        <f aca="false">SUM(Q50:BP50)</f>
        <v>1109</v>
      </c>
      <c r="E50" s="13" t="n">
        <v>5</v>
      </c>
      <c r="F50" s="13" t="n">
        <v>8</v>
      </c>
      <c r="G50" s="13" t="n">
        <v>12</v>
      </c>
      <c r="H50" s="13" t="n">
        <v>16</v>
      </c>
      <c r="I50" s="13" t="n">
        <v>20</v>
      </c>
      <c r="J50" s="13" t="n">
        <v>24</v>
      </c>
      <c r="K50" s="13" t="n">
        <v>26</v>
      </c>
      <c r="L50" s="13" t="n">
        <v>28</v>
      </c>
      <c r="M50" s="13" t="n">
        <v>29</v>
      </c>
      <c r="N50" s="13" t="n">
        <v>30</v>
      </c>
      <c r="O50" s="13" t="n">
        <v>30</v>
      </c>
      <c r="P50" s="13" t="n">
        <v>30</v>
      </c>
      <c r="Q50" s="7" t="n">
        <f aca="false">$E50</f>
        <v>5</v>
      </c>
      <c r="R50" s="7" t="n">
        <f aca="false">$E50</f>
        <v>5</v>
      </c>
      <c r="S50" s="7" t="n">
        <f aca="false">$E50</f>
        <v>5</v>
      </c>
      <c r="T50" s="7" t="n">
        <f aca="false">$E50</f>
        <v>5</v>
      </c>
      <c r="U50" s="7" t="n">
        <f aca="false">$E50</f>
        <v>5</v>
      </c>
      <c r="V50" s="7" t="n">
        <f aca="false">$F50</f>
        <v>8</v>
      </c>
      <c r="W50" s="7" t="n">
        <f aca="false">$F50</f>
        <v>8</v>
      </c>
      <c r="X50" s="7" t="n">
        <f aca="false">$F50</f>
        <v>8</v>
      </c>
      <c r="Y50" s="7" t="n">
        <f aca="false">$F50</f>
        <v>8</v>
      </c>
      <c r="Z50" s="7" t="n">
        <f aca="false">$G50</f>
        <v>12</v>
      </c>
      <c r="AA50" s="7" t="n">
        <f aca="false">$G50</f>
        <v>12</v>
      </c>
      <c r="AB50" s="7" t="n">
        <f aca="false">$G50</f>
        <v>12</v>
      </c>
      <c r="AC50" s="7" t="n">
        <f aca="false">$G50</f>
        <v>12</v>
      </c>
      <c r="AD50" s="7" t="n">
        <f aca="false">$H50</f>
        <v>16</v>
      </c>
      <c r="AE50" s="7" t="n">
        <f aca="false">$H50</f>
        <v>16</v>
      </c>
      <c r="AF50" s="7" t="n">
        <f aca="false">$H50</f>
        <v>16</v>
      </c>
      <c r="AG50" s="7" t="n">
        <f aca="false">$H50</f>
        <v>16</v>
      </c>
      <c r="AH50" s="7" t="n">
        <f aca="false">$H50</f>
        <v>16</v>
      </c>
      <c r="AI50" s="7" t="n">
        <f aca="false">$I50</f>
        <v>20</v>
      </c>
      <c r="AJ50" s="7" t="n">
        <f aca="false">$I50</f>
        <v>20</v>
      </c>
      <c r="AK50" s="7" t="n">
        <f aca="false">$I50</f>
        <v>20</v>
      </c>
      <c r="AL50" s="7" t="n">
        <f aca="false">$I50</f>
        <v>20</v>
      </c>
      <c r="AM50" s="7" t="n">
        <f aca="false">$J50</f>
        <v>24</v>
      </c>
      <c r="AN50" s="7" t="n">
        <f aca="false">$J50</f>
        <v>24</v>
      </c>
      <c r="AO50" s="7" t="n">
        <f aca="false">$J50</f>
        <v>24</v>
      </c>
      <c r="AP50" s="7" t="n">
        <f aca="false">$J50</f>
        <v>24</v>
      </c>
      <c r="AQ50" s="7" t="n">
        <f aca="false">$K50</f>
        <v>26</v>
      </c>
      <c r="AR50" s="7" t="n">
        <f aca="false">$K50</f>
        <v>26</v>
      </c>
      <c r="AS50" s="7" t="n">
        <f aca="false">$K50</f>
        <v>26</v>
      </c>
      <c r="AT50" s="7" t="n">
        <f aca="false">$K50</f>
        <v>26</v>
      </c>
      <c r="AU50" s="7" t="n">
        <f aca="false">$K50</f>
        <v>26</v>
      </c>
      <c r="AV50" s="7" t="n">
        <f aca="false">$L50</f>
        <v>28</v>
      </c>
      <c r="AW50" s="7" t="n">
        <f aca="false">$L50</f>
        <v>28</v>
      </c>
      <c r="AX50" s="7" t="n">
        <f aca="false">$L50</f>
        <v>28</v>
      </c>
      <c r="AY50" s="7" t="n">
        <f aca="false">$L50</f>
        <v>28</v>
      </c>
      <c r="AZ50" s="7" t="n">
        <f aca="false">$M50</f>
        <v>29</v>
      </c>
      <c r="BA50" s="7" t="n">
        <f aca="false">$M50</f>
        <v>29</v>
      </c>
      <c r="BB50" s="7" t="n">
        <f aca="false">$M50</f>
        <v>29</v>
      </c>
      <c r="BC50" s="7" t="n">
        <f aca="false">$M50</f>
        <v>29</v>
      </c>
      <c r="BD50" s="7" t="n">
        <f aca="false">$N50</f>
        <v>30</v>
      </c>
      <c r="BE50" s="7" t="n">
        <f aca="false">$N50</f>
        <v>30</v>
      </c>
      <c r="BF50" s="7" t="n">
        <f aca="false">$N50</f>
        <v>30</v>
      </c>
      <c r="BG50" s="7" t="n">
        <f aca="false">$N50</f>
        <v>30</v>
      </c>
      <c r="BH50" s="7" t="n">
        <f aca="false">$N50</f>
        <v>30</v>
      </c>
      <c r="BI50" s="7" t="n">
        <f aca="false">$O50</f>
        <v>30</v>
      </c>
      <c r="BJ50" s="7" t="n">
        <f aca="false">$O50</f>
        <v>30</v>
      </c>
      <c r="BK50" s="7" t="n">
        <f aca="false">$O50</f>
        <v>30</v>
      </c>
      <c r="BL50" s="7" t="n">
        <f aca="false">$O50</f>
        <v>30</v>
      </c>
      <c r="BM50" s="7" t="n">
        <f aca="false">$P50</f>
        <v>30</v>
      </c>
      <c r="BN50" s="7" t="n">
        <f aca="false">$P50</f>
        <v>30</v>
      </c>
      <c r="BO50" s="7" t="n">
        <f aca="false">$P50</f>
        <v>30</v>
      </c>
      <c r="BP50" s="7" t="n">
        <f aca="false">$P50</f>
        <v>30</v>
      </c>
    </row>
    <row r="51" customFormat="false" ht="15" hidden="false" customHeight="false" outlineLevel="0" collapsed="false">
      <c r="A51" s="0" t="s">
        <v>235</v>
      </c>
      <c r="B51" s="0" t="s">
        <v>131</v>
      </c>
      <c r="C51" s="0" t="s">
        <v>115</v>
      </c>
      <c r="D51" s="0" t="n">
        <f aca="false">SUM(Q51:BP51)</f>
        <v>2450</v>
      </c>
      <c r="E51" s="22" t="n">
        <v>20</v>
      </c>
      <c r="F51" s="22" t="n">
        <v>25</v>
      </c>
      <c r="G51" s="22" t="n">
        <v>30</v>
      </c>
      <c r="H51" s="22" t="n">
        <v>35</v>
      </c>
      <c r="I51" s="22" t="n">
        <v>40</v>
      </c>
      <c r="J51" s="22" t="n">
        <v>45</v>
      </c>
      <c r="K51" s="22" t="n">
        <v>50</v>
      </c>
      <c r="L51" s="22" t="n">
        <v>55</v>
      </c>
      <c r="M51" s="22" t="n">
        <v>60</v>
      </c>
      <c r="N51" s="22" t="n">
        <v>65</v>
      </c>
      <c r="O51" s="22" t="n">
        <v>70</v>
      </c>
      <c r="P51" s="22" t="n">
        <v>75</v>
      </c>
      <c r="Q51" s="7" t="n">
        <f aca="false">$E51</f>
        <v>20</v>
      </c>
      <c r="R51" s="7" t="n">
        <f aca="false">$E51</f>
        <v>20</v>
      </c>
      <c r="S51" s="7" t="n">
        <f aca="false">$E51</f>
        <v>20</v>
      </c>
      <c r="T51" s="7" t="n">
        <f aca="false">$E51</f>
        <v>20</v>
      </c>
      <c r="U51" s="7" t="n">
        <f aca="false">$E51</f>
        <v>20</v>
      </c>
      <c r="V51" s="7" t="n">
        <f aca="false">$F51</f>
        <v>25</v>
      </c>
      <c r="W51" s="7" t="n">
        <f aca="false">$F51</f>
        <v>25</v>
      </c>
      <c r="X51" s="7" t="n">
        <f aca="false">$F51</f>
        <v>25</v>
      </c>
      <c r="Y51" s="7" t="n">
        <f aca="false">$F51</f>
        <v>25</v>
      </c>
      <c r="Z51" s="7" t="n">
        <f aca="false">$G51</f>
        <v>30</v>
      </c>
      <c r="AA51" s="7" t="n">
        <f aca="false">$G51</f>
        <v>30</v>
      </c>
      <c r="AB51" s="7" t="n">
        <f aca="false">$G51</f>
        <v>30</v>
      </c>
      <c r="AC51" s="7" t="n">
        <f aca="false">$G51</f>
        <v>30</v>
      </c>
      <c r="AD51" s="7" t="n">
        <f aca="false">$H51</f>
        <v>35</v>
      </c>
      <c r="AE51" s="7" t="n">
        <f aca="false">$H51</f>
        <v>35</v>
      </c>
      <c r="AF51" s="7" t="n">
        <f aca="false">$H51</f>
        <v>35</v>
      </c>
      <c r="AG51" s="7" t="n">
        <f aca="false">$H51</f>
        <v>35</v>
      </c>
      <c r="AH51" s="7" t="n">
        <f aca="false">$H51</f>
        <v>35</v>
      </c>
      <c r="AI51" s="7" t="n">
        <f aca="false">$I51</f>
        <v>40</v>
      </c>
      <c r="AJ51" s="7" t="n">
        <f aca="false">$I51</f>
        <v>40</v>
      </c>
      <c r="AK51" s="7" t="n">
        <f aca="false">$I51</f>
        <v>40</v>
      </c>
      <c r="AL51" s="7" t="n">
        <f aca="false">$I51</f>
        <v>40</v>
      </c>
      <c r="AM51" s="7" t="n">
        <f aca="false">$J51</f>
        <v>45</v>
      </c>
      <c r="AN51" s="7" t="n">
        <f aca="false">$J51</f>
        <v>45</v>
      </c>
      <c r="AO51" s="7" t="n">
        <f aca="false">$J51</f>
        <v>45</v>
      </c>
      <c r="AP51" s="7" t="n">
        <f aca="false">$J51</f>
        <v>45</v>
      </c>
      <c r="AQ51" s="7" t="n">
        <f aca="false">$K51</f>
        <v>50</v>
      </c>
      <c r="AR51" s="7" t="n">
        <f aca="false">$K51</f>
        <v>50</v>
      </c>
      <c r="AS51" s="7" t="n">
        <f aca="false">$K51</f>
        <v>50</v>
      </c>
      <c r="AT51" s="7" t="n">
        <f aca="false">$K51</f>
        <v>50</v>
      </c>
      <c r="AU51" s="7" t="n">
        <f aca="false">$K51</f>
        <v>50</v>
      </c>
      <c r="AV51" s="7" t="n">
        <f aca="false">$L51</f>
        <v>55</v>
      </c>
      <c r="AW51" s="7" t="n">
        <f aca="false">$L51</f>
        <v>55</v>
      </c>
      <c r="AX51" s="7" t="n">
        <f aca="false">$L51</f>
        <v>55</v>
      </c>
      <c r="AY51" s="7" t="n">
        <f aca="false">$L51</f>
        <v>55</v>
      </c>
      <c r="AZ51" s="7" t="n">
        <f aca="false">$M51</f>
        <v>60</v>
      </c>
      <c r="BA51" s="7" t="n">
        <f aca="false">$M51</f>
        <v>60</v>
      </c>
      <c r="BB51" s="7" t="n">
        <f aca="false">$M51</f>
        <v>60</v>
      </c>
      <c r="BC51" s="7" t="n">
        <f aca="false">$M51</f>
        <v>60</v>
      </c>
      <c r="BD51" s="7" t="n">
        <f aca="false">$N51</f>
        <v>65</v>
      </c>
      <c r="BE51" s="7" t="n">
        <f aca="false">$N51</f>
        <v>65</v>
      </c>
      <c r="BF51" s="7" t="n">
        <f aca="false">$N51</f>
        <v>65</v>
      </c>
      <c r="BG51" s="7" t="n">
        <f aca="false">$N51</f>
        <v>65</v>
      </c>
      <c r="BH51" s="7" t="n">
        <f aca="false">$N51</f>
        <v>65</v>
      </c>
      <c r="BI51" s="7" t="n">
        <f aca="false">$O51</f>
        <v>70</v>
      </c>
      <c r="BJ51" s="7" t="n">
        <f aca="false">$O51</f>
        <v>70</v>
      </c>
      <c r="BK51" s="7" t="n">
        <f aca="false">$O51</f>
        <v>70</v>
      </c>
      <c r="BL51" s="7" t="n">
        <f aca="false">$O51</f>
        <v>70</v>
      </c>
      <c r="BM51" s="7" t="n">
        <f aca="false">$P51</f>
        <v>75</v>
      </c>
      <c r="BN51" s="7" t="n">
        <f aca="false">$P51</f>
        <v>75</v>
      </c>
      <c r="BO51" s="7" t="n">
        <f aca="false">$P51</f>
        <v>75</v>
      </c>
      <c r="BP51" s="7" t="n">
        <f aca="false">$P51</f>
        <v>75</v>
      </c>
    </row>
    <row r="52" customFormat="false" ht="15" hidden="false" customHeight="false" outlineLevel="0" collapsed="false">
      <c r="A52" s="0" t="s">
        <v>235</v>
      </c>
      <c r="B52" s="0" t="s">
        <v>131</v>
      </c>
      <c r="C52" s="0" t="s">
        <v>116</v>
      </c>
      <c r="D52" s="0" t="n">
        <f aca="false">SUM(Q52:BP52)</f>
        <v>1052</v>
      </c>
      <c r="E52" s="22" t="n">
        <v>5</v>
      </c>
      <c r="F52" s="22" t="n">
        <v>8</v>
      </c>
      <c r="G52" s="22" t="n">
        <v>11</v>
      </c>
      <c r="H52" s="22" t="n">
        <v>14</v>
      </c>
      <c r="I52" s="22" t="n">
        <v>17</v>
      </c>
      <c r="J52" s="22" t="n">
        <v>20</v>
      </c>
      <c r="K52" s="22" t="n">
        <v>23</v>
      </c>
      <c r="L52" s="22" t="n">
        <v>25</v>
      </c>
      <c r="M52" s="22" t="n">
        <v>28</v>
      </c>
      <c r="N52" s="22" t="n">
        <v>30</v>
      </c>
      <c r="O52" s="22" t="n">
        <v>32</v>
      </c>
      <c r="P52" s="22" t="n">
        <v>32</v>
      </c>
      <c r="Q52" s="7" t="n">
        <f aca="false">$E52</f>
        <v>5</v>
      </c>
      <c r="R52" s="7" t="n">
        <f aca="false">$E52</f>
        <v>5</v>
      </c>
      <c r="S52" s="7" t="n">
        <f aca="false">$E52</f>
        <v>5</v>
      </c>
      <c r="T52" s="7" t="n">
        <f aca="false">$E52</f>
        <v>5</v>
      </c>
      <c r="U52" s="7" t="n">
        <f aca="false">$E52</f>
        <v>5</v>
      </c>
      <c r="V52" s="7" t="n">
        <f aca="false">$F52</f>
        <v>8</v>
      </c>
      <c r="W52" s="7" t="n">
        <f aca="false">$F52</f>
        <v>8</v>
      </c>
      <c r="X52" s="7" t="n">
        <f aca="false">$F52</f>
        <v>8</v>
      </c>
      <c r="Y52" s="7" t="n">
        <f aca="false">$F52</f>
        <v>8</v>
      </c>
      <c r="Z52" s="7" t="n">
        <f aca="false">$G52</f>
        <v>11</v>
      </c>
      <c r="AA52" s="7" t="n">
        <f aca="false">$G52</f>
        <v>11</v>
      </c>
      <c r="AB52" s="7" t="n">
        <f aca="false">$G52</f>
        <v>11</v>
      </c>
      <c r="AC52" s="7" t="n">
        <f aca="false">$G52</f>
        <v>11</v>
      </c>
      <c r="AD52" s="7" t="n">
        <f aca="false">$H52</f>
        <v>14</v>
      </c>
      <c r="AE52" s="7" t="n">
        <f aca="false">$H52</f>
        <v>14</v>
      </c>
      <c r="AF52" s="7" t="n">
        <f aca="false">$H52</f>
        <v>14</v>
      </c>
      <c r="AG52" s="7" t="n">
        <f aca="false">$H52</f>
        <v>14</v>
      </c>
      <c r="AH52" s="7" t="n">
        <f aca="false">$H52</f>
        <v>14</v>
      </c>
      <c r="AI52" s="7" t="n">
        <f aca="false">$I52</f>
        <v>17</v>
      </c>
      <c r="AJ52" s="7" t="n">
        <f aca="false">$I52</f>
        <v>17</v>
      </c>
      <c r="AK52" s="7" t="n">
        <f aca="false">$I52</f>
        <v>17</v>
      </c>
      <c r="AL52" s="7" t="n">
        <f aca="false">$I52</f>
        <v>17</v>
      </c>
      <c r="AM52" s="7" t="n">
        <f aca="false">$J52</f>
        <v>20</v>
      </c>
      <c r="AN52" s="7" t="n">
        <f aca="false">$J52</f>
        <v>20</v>
      </c>
      <c r="AO52" s="7" t="n">
        <f aca="false">$J52</f>
        <v>20</v>
      </c>
      <c r="AP52" s="7" t="n">
        <f aca="false">$J52</f>
        <v>20</v>
      </c>
      <c r="AQ52" s="7" t="n">
        <f aca="false">$K52</f>
        <v>23</v>
      </c>
      <c r="AR52" s="7" t="n">
        <f aca="false">$K52</f>
        <v>23</v>
      </c>
      <c r="AS52" s="7" t="n">
        <f aca="false">$K52</f>
        <v>23</v>
      </c>
      <c r="AT52" s="7" t="n">
        <f aca="false">$K52</f>
        <v>23</v>
      </c>
      <c r="AU52" s="7" t="n">
        <f aca="false">$K52</f>
        <v>23</v>
      </c>
      <c r="AV52" s="7" t="n">
        <f aca="false">$L52</f>
        <v>25</v>
      </c>
      <c r="AW52" s="7" t="n">
        <f aca="false">$L52</f>
        <v>25</v>
      </c>
      <c r="AX52" s="7" t="n">
        <f aca="false">$L52</f>
        <v>25</v>
      </c>
      <c r="AY52" s="7" t="n">
        <f aca="false">$L52</f>
        <v>25</v>
      </c>
      <c r="AZ52" s="7" t="n">
        <f aca="false">$M52</f>
        <v>28</v>
      </c>
      <c r="BA52" s="7" t="n">
        <f aca="false">$M52</f>
        <v>28</v>
      </c>
      <c r="BB52" s="7" t="n">
        <f aca="false">$M52</f>
        <v>28</v>
      </c>
      <c r="BC52" s="7" t="n">
        <f aca="false">$M52</f>
        <v>28</v>
      </c>
      <c r="BD52" s="7" t="n">
        <f aca="false">$N52</f>
        <v>30</v>
      </c>
      <c r="BE52" s="7" t="n">
        <f aca="false">$N52</f>
        <v>30</v>
      </c>
      <c r="BF52" s="7" t="n">
        <f aca="false">$N52</f>
        <v>30</v>
      </c>
      <c r="BG52" s="7" t="n">
        <f aca="false">$N52</f>
        <v>30</v>
      </c>
      <c r="BH52" s="7" t="n">
        <f aca="false">$N52</f>
        <v>30</v>
      </c>
      <c r="BI52" s="7" t="n">
        <f aca="false">$O52</f>
        <v>32</v>
      </c>
      <c r="BJ52" s="7" t="n">
        <f aca="false">$O52</f>
        <v>32</v>
      </c>
      <c r="BK52" s="7" t="n">
        <f aca="false">$O52</f>
        <v>32</v>
      </c>
      <c r="BL52" s="7" t="n">
        <f aca="false">$O52</f>
        <v>32</v>
      </c>
      <c r="BM52" s="7" t="n">
        <f aca="false">$P52</f>
        <v>32</v>
      </c>
      <c r="BN52" s="7" t="n">
        <f aca="false">$P52</f>
        <v>32</v>
      </c>
      <c r="BO52" s="7" t="n">
        <f aca="false">$P52</f>
        <v>32</v>
      </c>
      <c r="BP52" s="7" t="n">
        <f aca="false">$P52</f>
        <v>32</v>
      </c>
    </row>
    <row r="53" customFormat="false" ht="15" hidden="false" customHeight="false" outlineLevel="0" collapsed="false">
      <c r="A53" s="0" t="s">
        <v>235</v>
      </c>
      <c r="B53" s="0" t="s">
        <v>131</v>
      </c>
      <c r="C53" s="0" t="s">
        <v>117</v>
      </c>
      <c r="D53" s="0" t="n">
        <f aca="false">SUM(Q53:BP53)</f>
        <v>634</v>
      </c>
      <c r="E53" s="22" t="n">
        <v>0</v>
      </c>
      <c r="F53" s="22" t="n">
        <v>0</v>
      </c>
      <c r="G53" s="22" t="n">
        <v>0</v>
      </c>
      <c r="H53" s="22" t="n">
        <v>5</v>
      </c>
      <c r="I53" s="22" t="n">
        <v>8</v>
      </c>
      <c r="J53" s="22" t="n">
        <v>12</v>
      </c>
      <c r="K53" s="22" t="n">
        <v>15</v>
      </c>
      <c r="L53" s="22" t="n">
        <v>18</v>
      </c>
      <c r="M53" s="22" t="n">
        <v>20</v>
      </c>
      <c r="N53" s="22" t="n">
        <v>22</v>
      </c>
      <c r="O53" s="22" t="n">
        <v>23</v>
      </c>
      <c r="P53" s="22" t="n">
        <v>25</v>
      </c>
      <c r="Q53" s="7" t="n">
        <f aca="false">$E53</f>
        <v>0</v>
      </c>
      <c r="R53" s="7" t="n">
        <f aca="false">$E53</f>
        <v>0</v>
      </c>
      <c r="S53" s="7" t="n">
        <f aca="false">$E53</f>
        <v>0</v>
      </c>
      <c r="T53" s="7" t="n">
        <f aca="false">$E53</f>
        <v>0</v>
      </c>
      <c r="U53" s="7" t="n">
        <f aca="false">$E53</f>
        <v>0</v>
      </c>
      <c r="V53" s="7" t="n">
        <f aca="false">$F53</f>
        <v>0</v>
      </c>
      <c r="W53" s="7" t="n">
        <f aca="false">$F53</f>
        <v>0</v>
      </c>
      <c r="X53" s="7" t="n">
        <f aca="false">$F53</f>
        <v>0</v>
      </c>
      <c r="Y53" s="7" t="n">
        <f aca="false">$F53</f>
        <v>0</v>
      </c>
      <c r="Z53" s="7" t="n">
        <f aca="false">$G53</f>
        <v>0</v>
      </c>
      <c r="AA53" s="7" t="n">
        <f aca="false">$G53</f>
        <v>0</v>
      </c>
      <c r="AB53" s="7" t="n">
        <f aca="false">$G53</f>
        <v>0</v>
      </c>
      <c r="AC53" s="7" t="n">
        <f aca="false">$G53</f>
        <v>0</v>
      </c>
      <c r="AD53" s="7" t="n">
        <f aca="false">$H53</f>
        <v>5</v>
      </c>
      <c r="AE53" s="7" t="n">
        <f aca="false">$H53</f>
        <v>5</v>
      </c>
      <c r="AF53" s="7" t="n">
        <f aca="false">$H53</f>
        <v>5</v>
      </c>
      <c r="AG53" s="7" t="n">
        <f aca="false">$H53</f>
        <v>5</v>
      </c>
      <c r="AH53" s="7" t="n">
        <f aca="false">$H53</f>
        <v>5</v>
      </c>
      <c r="AI53" s="7" t="n">
        <f aca="false">$I53</f>
        <v>8</v>
      </c>
      <c r="AJ53" s="7" t="n">
        <f aca="false">$I53</f>
        <v>8</v>
      </c>
      <c r="AK53" s="7" t="n">
        <f aca="false">$I53</f>
        <v>8</v>
      </c>
      <c r="AL53" s="7" t="n">
        <f aca="false">$I53</f>
        <v>8</v>
      </c>
      <c r="AM53" s="7" t="n">
        <f aca="false">$J53</f>
        <v>12</v>
      </c>
      <c r="AN53" s="7" t="n">
        <f aca="false">$J53</f>
        <v>12</v>
      </c>
      <c r="AO53" s="7" t="n">
        <f aca="false">$J53</f>
        <v>12</v>
      </c>
      <c r="AP53" s="7" t="n">
        <f aca="false">$J53</f>
        <v>12</v>
      </c>
      <c r="AQ53" s="7" t="n">
        <f aca="false">$K53</f>
        <v>15</v>
      </c>
      <c r="AR53" s="7" t="n">
        <f aca="false">$K53</f>
        <v>15</v>
      </c>
      <c r="AS53" s="7" t="n">
        <f aca="false">$K53</f>
        <v>15</v>
      </c>
      <c r="AT53" s="7" t="n">
        <f aca="false">$K53</f>
        <v>15</v>
      </c>
      <c r="AU53" s="7" t="n">
        <f aca="false">$K53</f>
        <v>15</v>
      </c>
      <c r="AV53" s="7" t="n">
        <f aca="false">$L53</f>
        <v>18</v>
      </c>
      <c r="AW53" s="7" t="n">
        <f aca="false">$L53</f>
        <v>18</v>
      </c>
      <c r="AX53" s="7" t="n">
        <f aca="false">$L53</f>
        <v>18</v>
      </c>
      <c r="AY53" s="7" t="n">
        <f aca="false">$L53</f>
        <v>18</v>
      </c>
      <c r="AZ53" s="7" t="n">
        <f aca="false">$M53</f>
        <v>20</v>
      </c>
      <c r="BA53" s="7" t="n">
        <f aca="false">$M53</f>
        <v>20</v>
      </c>
      <c r="BB53" s="7" t="n">
        <f aca="false">$M53</f>
        <v>20</v>
      </c>
      <c r="BC53" s="7" t="n">
        <f aca="false">$M53</f>
        <v>20</v>
      </c>
      <c r="BD53" s="7" t="n">
        <f aca="false">$N53</f>
        <v>22</v>
      </c>
      <c r="BE53" s="7" t="n">
        <f aca="false">$N53</f>
        <v>22</v>
      </c>
      <c r="BF53" s="7" t="n">
        <f aca="false">$N53</f>
        <v>22</v>
      </c>
      <c r="BG53" s="7" t="n">
        <f aca="false">$N53</f>
        <v>22</v>
      </c>
      <c r="BH53" s="7" t="n">
        <f aca="false">$N53</f>
        <v>22</v>
      </c>
      <c r="BI53" s="7" t="n">
        <f aca="false">$O53</f>
        <v>23</v>
      </c>
      <c r="BJ53" s="7" t="n">
        <f aca="false">$O53</f>
        <v>23</v>
      </c>
      <c r="BK53" s="7" t="n">
        <f aca="false">$O53</f>
        <v>23</v>
      </c>
      <c r="BL53" s="7" t="n">
        <f aca="false">$O53</f>
        <v>23</v>
      </c>
      <c r="BM53" s="7" t="n">
        <f aca="false">$P53</f>
        <v>25</v>
      </c>
      <c r="BN53" s="7" t="n">
        <f aca="false">$P53</f>
        <v>25</v>
      </c>
      <c r="BO53" s="7" t="n">
        <f aca="false">$P53</f>
        <v>25</v>
      </c>
      <c r="BP53" s="7" t="n">
        <f aca="false">$P53</f>
        <v>25</v>
      </c>
    </row>
    <row r="54" customFormat="false" ht="15" hidden="false" customHeight="false" outlineLevel="0" collapsed="false">
      <c r="A54" s="0" t="s">
        <v>235</v>
      </c>
      <c r="B54" s="0" t="s">
        <v>131</v>
      </c>
      <c r="C54" s="0" t="s">
        <v>118</v>
      </c>
      <c r="D54" s="0" t="n">
        <f aca="false">SUM(Q54:BP54)</f>
        <v>276</v>
      </c>
      <c r="E54" s="22" t="n">
        <v>0</v>
      </c>
      <c r="F54" s="22" t="n">
        <v>0</v>
      </c>
      <c r="G54" s="22" t="n">
        <v>0</v>
      </c>
      <c r="H54" s="22" t="n">
        <v>0</v>
      </c>
      <c r="I54" s="22" t="n">
        <v>0</v>
      </c>
      <c r="J54" s="22" t="n">
        <v>0</v>
      </c>
      <c r="K54" s="22" t="n">
        <v>0</v>
      </c>
      <c r="L54" s="22" t="n">
        <v>0</v>
      </c>
      <c r="M54" s="22" t="n">
        <v>0</v>
      </c>
      <c r="N54" s="22" t="n">
        <v>20</v>
      </c>
      <c r="O54" s="22" t="n">
        <v>22</v>
      </c>
      <c r="P54" s="22" t="n">
        <v>22</v>
      </c>
      <c r="Q54" s="7" t="n">
        <f aca="false">$E54</f>
        <v>0</v>
      </c>
      <c r="R54" s="7" t="n">
        <f aca="false">$E54</f>
        <v>0</v>
      </c>
      <c r="S54" s="7" t="n">
        <f aca="false">$E54</f>
        <v>0</v>
      </c>
      <c r="T54" s="7" t="n">
        <f aca="false">$E54</f>
        <v>0</v>
      </c>
      <c r="U54" s="7" t="n">
        <f aca="false">$E54</f>
        <v>0</v>
      </c>
      <c r="V54" s="7" t="n">
        <f aca="false">$F54</f>
        <v>0</v>
      </c>
      <c r="W54" s="7" t="n">
        <f aca="false">$F54</f>
        <v>0</v>
      </c>
      <c r="X54" s="7" t="n">
        <f aca="false">$F54</f>
        <v>0</v>
      </c>
      <c r="Y54" s="7" t="n">
        <f aca="false">$F54</f>
        <v>0</v>
      </c>
      <c r="Z54" s="7" t="n">
        <f aca="false">$G54</f>
        <v>0</v>
      </c>
      <c r="AA54" s="7" t="n">
        <f aca="false">$G54</f>
        <v>0</v>
      </c>
      <c r="AB54" s="7" t="n">
        <f aca="false">$G54</f>
        <v>0</v>
      </c>
      <c r="AC54" s="7" t="n">
        <f aca="false">$G54</f>
        <v>0</v>
      </c>
      <c r="AD54" s="7" t="n">
        <f aca="false">$H54</f>
        <v>0</v>
      </c>
      <c r="AE54" s="7" t="n">
        <f aca="false">$H54</f>
        <v>0</v>
      </c>
      <c r="AF54" s="7" t="n">
        <f aca="false">$H54</f>
        <v>0</v>
      </c>
      <c r="AG54" s="7" t="n">
        <f aca="false">$H54</f>
        <v>0</v>
      </c>
      <c r="AH54" s="7" t="n">
        <f aca="false">$H54</f>
        <v>0</v>
      </c>
      <c r="AI54" s="7" t="n">
        <f aca="false">$I54</f>
        <v>0</v>
      </c>
      <c r="AJ54" s="7" t="n">
        <f aca="false">$I54</f>
        <v>0</v>
      </c>
      <c r="AK54" s="7" t="n">
        <f aca="false">$I54</f>
        <v>0</v>
      </c>
      <c r="AL54" s="7" t="n">
        <f aca="false">$I54</f>
        <v>0</v>
      </c>
      <c r="AM54" s="7" t="n">
        <f aca="false">$J54</f>
        <v>0</v>
      </c>
      <c r="AN54" s="7" t="n">
        <f aca="false">$J54</f>
        <v>0</v>
      </c>
      <c r="AO54" s="7" t="n">
        <f aca="false">$J54</f>
        <v>0</v>
      </c>
      <c r="AP54" s="7" t="n">
        <f aca="false">$J54</f>
        <v>0</v>
      </c>
      <c r="AQ54" s="7" t="n">
        <f aca="false">$K54</f>
        <v>0</v>
      </c>
      <c r="AR54" s="7" t="n">
        <f aca="false">$K54</f>
        <v>0</v>
      </c>
      <c r="AS54" s="7" t="n">
        <f aca="false">$K54</f>
        <v>0</v>
      </c>
      <c r="AT54" s="7" t="n">
        <f aca="false">$K54</f>
        <v>0</v>
      </c>
      <c r="AU54" s="7" t="n">
        <f aca="false">$K54</f>
        <v>0</v>
      </c>
      <c r="AV54" s="7" t="n">
        <f aca="false">$L54</f>
        <v>0</v>
      </c>
      <c r="AW54" s="7" t="n">
        <f aca="false">$L54</f>
        <v>0</v>
      </c>
      <c r="AX54" s="7" t="n">
        <f aca="false">$L54</f>
        <v>0</v>
      </c>
      <c r="AY54" s="7" t="n">
        <f aca="false">$L54</f>
        <v>0</v>
      </c>
      <c r="AZ54" s="7" t="n">
        <f aca="false">$M54</f>
        <v>0</v>
      </c>
      <c r="BA54" s="7" t="n">
        <f aca="false">$M54</f>
        <v>0</v>
      </c>
      <c r="BB54" s="7" t="n">
        <f aca="false">$M54</f>
        <v>0</v>
      </c>
      <c r="BC54" s="7" t="n">
        <f aca="false">$M54</f>
        <v>0</v>
      </c>
      <c r="BD54" s="7" t="n">
        <f aca="false">$N54</f>
        <v>20</v>
      </c>
      <c r="BE54" s="7" t="n">
        <f aca="false">$N54</f>
        <v>20</v>
      </c>
      <c r="BF54" s="7" t="n">
        <f aca="false">$N54</f>
        <v>20</v>
      </c>
      <c r="BG54" s="7" t="n">
        <f aca="false">$N54</f>
        <v>20</v>
      </c>
      <c r="BH54" s="7" t="n">
        <f aca="false">$N54</f>
        <v>20</v>
      </c>
      <c r="BI54" s="7" t="n">
        <f aca="false">$O54</f>
        <v>22</v>
      </c>
      <c r="BJ54" s="7" t="n">
        <f aca="false">$O54</f>
        <v>22</v>
      </c>
      <c r="BK54" s="7" t="n">
        <f aca="false">$O54</f>
        <v>22</v>
      </c>
      <c r="BL54" s="7" t="n">
        <f aca="false">$O54</f>
        <v>22</v>
      </c>
      <c r="BM54" s="7" t="n">
        <f aca="false">$P54</f>
        <v>22</v>
      </c>
      <c r="BN54" s="7" t="n">
        <f aca="false">$P54</f>
        <v>22</v>
      </c>
      <c r="BO54" s="7" t="n">
        <f aca="false">$P54</f>
        <v>22</v>
      </c>
      <c r="BP54" s="7" t="n">
        <f aca="false">$P54</f>
        <v>22</v>
      </c>
    </row>
    <row r="55" customFormat="false" ht="15" hidden="false" customHeight="false" outlineLevel="0" collapsed="false">
      <c r="A55" s="0" t="s">
        <v>235</v>
      </c>
      <c r="B55" s="0" t="s">
        <v>131</v>
      </c>
      <c r="C55" s="0" t="s">
        <v>119</v>
      </c>
      <c r="D55" s="0" t="n">
        <f aca="false">SUM(Q55:BP55)</f>
        <v>4648</v>
      </c>
      <c r="E55" s="13" t="n">
        <v>30</v>
      </c>
      <c r="F55" s="13" t="n">
        <v>45</v>
      </c>
      <c r="G55" s="13" t="n">
        <v>60</v>
      </c>
      <c r="H55" s="13" t="n">
        <v>75</v>
      </c>
      <c r="I55" s="13" t="n">
        <v>85</v>
      </c>
      <c r="J55" s="13" t="n">
        <v>95</v>
      </c>
      <c r="K55" s="13" t="n">
        <v>105</v>
      </c>
      <c r="L55" s="13" t="n">
        <v>110</v>
      </c>
      <c r="M55" s="13" t="n">
        <v>115</v>
      </c>
      <c r="N55" s="13" t="n">
        <v>118</v>
      </c>
      <c r="O55" s="13" t="n">
        <v>120</v>
      </c>
      <c r="P55" s="13" t="n">
        <v>122</v>
      </c>
      <c r="Q55" s="7" t="n">
        <f aca="false">$E55</f>
        <v>30</v>
      </c>
      <c r="R55" s="7" t="n">
        <f aca="false">$E55</f>
        <v>30</v>
      </c>
      <c r="S55" s="7" t="n">
        <f aca="false">$E55</f>
        <v>30</v>
      </c>
      <c r="T55" s="7" t="n">
        <f aca="false">$E55</f>
        <v>30</v>
      </c>
      <c r="U55" s="7" t="n">
        <f aca="false">$E55</f>
        <v>30</v>
      </c>
      <c r="V55" s="7" t="n">
        <f aca="false">$F55</f>
        <v>45</v>
      </c>
      <c r="W55" s="7" t="n">
        <f aca="false">$F55</f>
        <v>45</v>
      </c>
      <c r="X55" s="7" t="n">
        <f aca="false">$F55</f>
        <v>45</v>
      </c>
      <c r="Y55" s="7" t="n">
        <f aca="false">$F55</f>
        <v>45</v>
      </c>
      <c r="Z55" s="7" t="n">
        <f aca="false">$G55</f>
        <v>60</v>
      </c>
      <c r="AA55" s="7" t="n">
        <f aca="false">$G55</f>
        <v>60</v>
      </c>
      <c r="AB55" s="7" t="n">
        <f aca="false">$G55</f>
        <v>60</v>
      </c>
      <c r="AC55" s="7" t="n">
        <f aca="false">$G55</f>
        <v>60</v>
      </c>
      <c r="AD55" s="7" t="n">
        <f aca="false">$H55</f>
        <v>75</v>
      </c>
      <c r="AE55" s="7" t="n">
        <f aca="false">$H55</f>
        <v>75</v>
      </c>
      <c r="AF55" s="7" t="n">
        <f aca="false">$H55</f>
        <v>75</v>
      </c>
      <c r="AG55" s="7" t="n">
        <f aca="false">$H55</f>
        <v>75</v>
      </c>
      <c r="AH55" s="7" t="n">
        <f aca="false">$H55</f>
        <v>75</v>
      </c>
      <c r="AI55" s="7" t="n">
        <f aca="false">$I55</f>
        <v>85</v>
      </c>
      <c r="AJ55" s="7" t="n">
        <f aca="false">$I55</f>
        <v>85</v>
      </c>
      <c r="AK55" s="7" t="n">
        <f aca="false">$I55</f>
        <v>85</v>
      </c>
      <c r="AL55" s="7" t="n">
        <f aca="false">$I55</f>
        <v>85</v>
      </c>
      <c r="AM55" s="7" t="n">
        <f aca="false">$J55</f>
        <v>95</v>
      </c>
      <c r="AN55" s="7" t="n">
        <f aca="false">$J55</f>
        <v>95</v>
      </c>
      <c r="AO55" s="7" t="n">
        <f aca="false">$J55</f>
        <v>95</v>
      </c>
      <c r="AP55" s="7" t="n">
        <f aca="false">$J55</f>
        <v>95</v>
      </c>
      <c r="AQ55" s="7" t="n">
        <f aca="false">$K55</f>
        <v>105</v>
      </c>
      <c r="AR55" s="7" t="n">
        <f aca="false">$K55</f>
        <v>105</v>
      </c>
      <c r="AS55" s="7" t="n">
        <f aca="false">$K55</f>
        <v>105</v>
      </c>
      <c r="AT55" s="7" t="n">
        <f aca="false">$K55</f>
        <v>105</v>
      </c>
      <c r="AU55" s="7" t="n">
        <f aca="false">$K55</f>
        <v>105</v>
      </c>
      <c r="AV55" s="7" t="n">
        <f aca="false">$L55</f>
        <v>110</v>
      </c>
      <c r="AW55" s="7" t="n">
        <f aca="false">$L55</f>
        <v>110</v>
      </c>
      <c r="AX55" s="7" t="n">
        <f aca="false">$L55</f>
        <v>110</v>
      </c>
      <c r="AY55" s="7" t="n">
        <f aca="false">$L55</f>
        <v>110</v>
      </c>
      <c r="AZ55" s="7" t="n">
        <f aca="false">$M55</f>
        <v>115</v>
      </c>
      <c r="BA55" s="7" t="n">
        <f aca="false">$M55</f>
        <v>115</v>
      </c>
      <c r="BB55" s="7" t="n">
        <f aca="false">$M55</f>
        <v>115</v>
      </c>
      <c r="BC55" s="7" t="n">
        <f aca="false">$M55</f>
        <v>115</v>
      </c>
      <c r="BD55" s="7" t="n">
        <f aca="false">$N55</f>
        <v>118</v>
      </c>
      <c r="BE55" s="7" t="n">
        <f aca="false">$N55</f>
        <v>118</v>
      </c>
      <c r="BF55" s="7" t="n">
        <f aca="false">$N55</f>
        <v>118</v>
      </c>
      <c r="BG55" s="7" t="n">
        <f aca="false">$N55</f>
        <v>118</v>
      </c>
      <c r="BH55" s="7" t="n">
        <f aca="false">$N55</f>
        <v>118</v>
      </c>
      <c r="BI55" s="7" t="n">
        <f aca="false">$O55</f>
        <v>120</v>
      </c>
      <c r="BJ55" s="7" t="n">
        <f aca="false">$O55</f>
        <v>120</v>
      </c>
      <c r="BK55" s="7" t="n">
        <f aca="false">$O55</f>
        <v>120</v>
      </c>
      <c r="BL55" s="7" t="n">
        <f aca="false">$O55</f>
        <v>120</v>
      </c>
      <c r="BM55" s="7" t="n">
        <f aca="false">$P55</f>
        <v>122</v>
      </c>
      <c r="BN55" s="7" t="n">
        <f aca="false">$P55</f>
        <v>122</v>
      </c>
      <c r="BO55" s="7" t="n">
        <f aca="false">$P55</f>
        <v>122</v>
      </c>
      <c r="BP55" s="7" t="n">
        <f aca="false">$P55</f>
        <v>122</v>
      </c>
    </row>
    <row r="56" customFormat="false" ht="15" hidden="false" customHeight="false" outlineLevel="0" collapsed="false">
      <c r="A56" s="0" t="s">
        <v>235</v>
      </c>
      <c r="B56" s="0" t="s">
        <v>131</v>
      </c>
      <c r="C56" s="0" t="s">
        <v>120</v>
      </c>
      <c r="D56" s="0" t="n">
        <f aca="false">SUM(Q56:BP56)</f>
        <v>5276</v>
      </c>
      <c r="E56" s="13" t="n">
        <v>30</v>
      </c>
      <c r="F56" s="13" t="n">
        <v>50</v>
      </c>
      <c r="G56" s="13" t="n">
        <v>70</v>
      </c>
      <c r="H56" s="13" t="n">
        <v>90</v>
      </c>
      <c r="I56" s="13" t="n">
        <v>105</v>
      </c>
      <c r="J56" s="13" t="n">
        <v>115</v>
      </c>
      <c r="K56" s="13" t="n">
        <v>122</v>
      </c>
      <c r="L56" s="13" t="n">
        <v>126</v>
      </c>
      <c r="M56" s="13" t="n">
        <v>128</v>
      </c>
      <c r="N56" s="13" t="n">
        <v>130</v>
      </c>
      <c r="O56" s="13" t="n">
        <v>130</v>
      </c>
      <c r="P56" s="13" t="n">
        <v>130</v>
      </c>
      <c r="Q56" s="7" t="n">
        <f aca="false">$E56</f>
        <v>30</v>
      </c>
      <c r="R56" s="7" t="n">
        <f aca="false">$E56</f>
        <v>30</v>
      </c>
      <c r="S56" s="7" t="n">
        <f aca="false">$E56</f>
        <v>30</v>
      </c>
      <c r="T56" s="7" t="n">
        <f aca="false">$E56</f>
        <v>30</v>
      </c>
      <c r="U56" s="7" t="n">
        <f aca="false">$E56</f>
        <v>30</v>
      </c>
      <c r="V56" s="7" t="n">
        <f aca="false">$F56</f>
        <v>50</v>
      </c>
      <c r="W56" s="7" t="n">
        <f aca="false">$F56</f>
        <v>50</v>
      </c>
      <c r="X56" s="7" t="n">
        <f aca="false">$F56</f>
        <v>50</v>
      </c>
      <c r="Y56" s="7" t="n">
        <f aca="false">$F56</f>
        <v>50</v>
      </c>
      <c r="Z56" s="7" t="n">
        <f aca="false">$G56</f>
        <v>70</v>
      </c>
      <c r="AA56" s="7" t="n">
        <f aca="false">$G56</f>
        <v>70</v>
      </c>
      <c r="AB56" s="7" t="n">
        <f aca="false">$G56</f>
        <v>70</v>
      </c>
      <c r="AC56" s="7" t="n">
        <f aca="false">$G56</f>
        <v>70</v>
      </c>
      <c r="AD56" s="7" t="n">
        <f aca="false">$H56</f>
        <v>90</v>
      </c>
      <c r="AE56" s="7" t="n">
        <f aca="false">$H56</f>
        <v>90</v>
      </c>
      <c r="AF56" s="7" t="n">
        <f aca="false">$H56</f>
        <v>90</v>
      </c>
      <c r="AG56" s="7" t="n">
        <f aca="false">$H56</f>
        <v>90</v>
      </c>
      <c r="AH56" s="7" t="n">
        <f aca="false">$H56</f>
        <v>90</v>
      </c>
      <c r="AI56" s="7" t="n">
        <f aca="false">$I56</f>
        <v>105</v>
      </c>
      <c r="AJ56" s="7" t="n">
        <f aca="false">$I56</f>
        <v>105</v>
      </c>
      <c r="AK56" s="7" t="n">
        <f aca="false">$I56</f>
        <v>105</v>
      </c>
      <c r="AL56" s="7" t="n">
        <f aca="false">$I56</f>
        <v>105</v>
      </c>
      <c r="AM56" s="7" t="n">
        <f aca="false">$J56</f>
        <v>115</v>
      </c>
      <c r="AN56" s="7" t="n">
        <f aca="false">$J56</f>
        <v>115</v>
      </c>
      <c r="AO56" s="7" t="n">
        <f aca="false">$J56</f>
        <v>115</v>
      </c>
      <c r="AP56" s="7" t="n">
        <f aca="false">$J56</f>
        <v>115</v>
      </c>
      <c r="AQ56" s="7" t="n">
        <f aca="false">$K56</f>
        <v>122</v>
      </c>
      <c r="AR56" s="7" t="n">
        <f aca="false">$K56</f>
        <v>122</v>
      </c>
      <c r="AS56" s="7" t="n">
        <f aca="false">$K56</f>
        <v>122</v>
      </c>
      <c r="AT56" s="7" t="n">
        <f aca="false">$K56</f>
        <v>122</v>
      </c>
      <c r="AU56" s="7" t="n">
        <f aca="false">$K56</f>
        <v>122</v>
      </c>
      <c r="AV56" s="7" t="n">
        <f aca="false">$L56</f>
        <v>126</v>
      </c>
      <c r="AW56" s="7" t="n">
        <f aca="false">$L56</f>
        <v>126</v>
      </c>
      <c r="AX56" s="7" t="n">
        <f aca="false">$L56</f>
        <v>126</v>
      </c>
      <c r="AY56" s="7" t="n">
        <f aca="false">$L56</f>
        <v>126</v>
      </c>
      <c r="AZ56" s="7" t="n">
        <f aca="false">$M56</f>
        <v>128</v>
      </c>
      <c r="BA56" s="7" t="n">
        <f aca="false">$M56</f>
        <v>128</v>
      </c>
      <c r="BB56" s="7" t="n">
        <f aca="false">$M56</f>
        <v>128</v>
      </c>
      <c r="BC56" s="7" t="n">
        <f aca="false">$M56</f>
        <v>128</v>
      </c>
      <c r="BD56" s="7" t="n">
        <f aca="false">$N56</f>
        <v>130</v>
      </c>
      <c r="BE56" s="7" t="n">
        <f aca="false">$N56</f>
        <v>130</v>
      </c>
      <c r="BF56" s="7" t="n">
        <f aca="false">$N56</f>
        <v>130</v>
      </c>
      <c r="BG56" s="7" t="n">
        <f aca="false">$N56</f>
        <v>130</v>
      </c>
      <c r="BH56" s="7" t="n">
        <f aca="false">$N56</f>
        <v>130</v>
      </c>
      <c r="BI56" s="7" t="n">
        <f aca="false">$O56</f>
        <v>130</v>
      </c>
      <c r="BJ56" s="7" t="n">
        <f aca="false">$O56</f>
        <v>130</v>
      </c>
      <c r="BK56" s="7" t="n">
        <f aca="false">$O56</f>
        <v>130</v>
      </c>
      <c r="BL56" s="7" t="n">
        <f aca="false">$O56</f>
        <v>130</v>
      </c>
      <c r="BM56" s="7" t="n">
        <f aca="false">$P56</f>
        <v>130</v>
      </c>
      <c r="BN56" s="7" t="n">
        <f aca="false">$P56</f>
        <v>130</v>
      </c>
      <c r="BO56" s="7" t="n">
        <f aca="false">$P56</f>
        <v>130</v>
      </c>
      <c r="BP56" s="7" t="n">
        <f aca="false">$P56</f>
        <v>130</v>
      </c>
    </row>
    <row r="57" customFormat="false" ht="15" hidden="false" customHeight="false" outlineLevel="0" collapsed="false">
      <c r="A57" s="0" t="s">
        <v>235</v>
      </c>
      <c r="B57" s="0" t="s">
        <v>131</v>
      </c>
      <c r="C57" s="0" t="s">
        <v>121</v>
      </c>
      <c r="D57" s="0" t="n">
        <f aca="false">SUM(Q57:BP57)</f>
        <v>2467</v>
      </c>
      <c r="E57" s="13" t="n">
        <v>15</v>
      </c>
      <c r="F57" s="13" t="n">
        <v>22</v>
      </c>
      <c r="G57" s="13" t="n">
        <v>32</v>
      </c>
      <c r="H57" s="13" t="n">
        <v>42</v>
      </c>
      <c r="I57" s="13" t="n">
        <v>50</v>
      </c>
      <c r="J57" s="13" t="n">
        <v>55</v>
      </c>
      <c r="K57" s="13" t="n">
        <v>58</v>
      </c>
      <c r="L57" s="13" t="n">
        <v>59</v>
      </c>
      <c r="M57" s="13" t="n">
        <v>60</v>
      </c>
      <c r="N57" s="13" t="n">
        <v>60</v>
      </c>
      <c r="O57" s="13" t="n">
        <v>60</v>
      </c>
      <c r="P57" s="13" t="n">
        <v>60</v>
      </c>
      <c r="Q57" s="7" t="n">
        <f aca="false">$E57</f>
        <v>15</v>
      </c>
      <c r="R57" s="7" t="n">
        <f aca="false">$E57</f>
        <v>15</v>
      </c>
      <c r="S57" s="7" t="n">
        <f aca="false">$E57</f>
        <v>15</v>
      </c>
      <c r="T57" s="7" t="n">
        <f aca="false">$E57</f>
        <v>15</v>
      </c>
      <c r="U57" s="7" t="n">
        <f aca="false">$E57</f>
        <v>15</v>
      </c>
      <c r="V57" s="7" t="n">
        <f aca="false">$F57</f>
        <v>22</v>
      </c>
      <c r="W57" s="7" t="n">
        <f aca="false">$F57</f>
        <v>22</v>
      </c>
      <c r="X57" s="7" t="n">
        <f aca="false">$F57</f>
        <v>22</v>
      </c>
      <c r="Y57" s="7" t="n">
        <f aca="false">$F57</f>
        <v>22</v>
      </c>
      <c r="Z57" s="7" t="n">
        <f aca="false">$G57</f>
        <v>32</v>
      </c>
      <c r="AA57" s="7" t="n">
        <f aca="false">$G57</f>
        <v>32</v>
      </c>
      <c r="AB57" s="7" t="n">
        <f aca="false">$G57</f>
        <v>32</v>
      </c>
      <c r="AC57" s="7" t="n">
        <f aca="false">$G57</f>
        <v>32</v>
      </c>
      <c r="AD57" s="7" t="n">
        <f aca="false">$H57</f>
        <v>42</v>
      </c>
      <c r="AE57" s="7" t="n">
        <f aca="false">$H57</f>
        <v>42</v>
      </c>
      <c r="AF57" s="7" t="n">
        <f aca="false">$H57</f>
        <v>42</v>
      </c>
      <c r="AG57" s="7" t="n">
        <f aca="false">$H57</f>
        <v>42</v>
      </c>
      <c r="AH57" s="7" t="n">
        <f aca="false">$H57</f>
        <v>42</v>
      </c>
      <c r="AI57" s="7" t="n">
        <f aca="false">$I57</f>
        <v>50</v>
      </c>
      <c r="AJ57" s="7" t="n">
        <f aca="false">$I57</f>
        <v>50</v>
      </c>
      <c r="AK57" s="7" t="n">
        <f aca="false">$I57</f>
        <v>50</v>
      </c>
      <c r="AL57" s="7" t="n">
        <f aca="false">$I57</f>
        <v>50</v>
      </c>
      <c r="AM57" s="7" t="n">
        <f aca="false">$J57</f>
        <v>55</v>
      </c>
      <c r="AN57" s="7" t="n">
        <f aca="false">$J57</f>
        <v>55</v>
      </c>
      <c r="AO57" s="7" t="n">
        <f aca="false">$J57</f>
        <v>55</v>
      </c>
      <c r="AP57" s="7" t="n">
        <f aca="false">$J57</f>
        <v>55</v>
      </c>
      <c r="AQ57" s="7" t="n">
        <f aca="false">$K57</f>
        <v>58</v>
      </c>
      <c r="AR57" s="7" t="n">
        <f aca="false">$K57</f>
        <v>58</v>
      </c>
      <c r="AS57" s="7" t="n">
        <f aca="false">$K57</f>
        <v>58</v>
      </c>
      <c r="AT57" s="7" t="n">
        <f aca="false">$K57</f>
        <v>58</v>
      </c>
      <c r="AU57" s="7" t="n">
        <f aca="false">$K57</f>
        <v>58</v>
      </c>
      <c r="AV57" s="7" t="n">
        <f aca="false">$L57</f>
        <v>59</v>
      </c>
      <c r="AW57" s="7" t="n">
        <f aca="false">$L57</f>
        <v>59</v>
      </c>
      <c r="AX57" s="7" t="n">
        <f aca="false">$L57</f>
        <v>59</v>
      </c>
      <c r="AY57" s="7" t="n">
        <f aca="false">$L57</f>
        <v>59</v>
      </c>
      <c r="AZ57" s="7" t="n">
        <f aca="false">$M57</f>
        <v>60</v>
      </c>
      <c r="BA57" s="7" t="n">
        <f aca="false">$M57</f>
        <v>60</v>
      </c>
      <c r="BB57" s="7" t="n">
        <f aca="false">$M57</f>
        <v>60</v>
      </c>
      <c r="BC57" s="7" t="n">
        <f aca="false">$M57</f>
        <v>60</v>
      </c>
      <c r="BD57" s="7" t="n">
        <f aca="false">$N57</f>
        <v>60</v>
      </c>
      <c r="BE57" s="7" t="n">
        <f aca="false">$N57</f>
        <v>60</v>
      </c>
      <c r="BF57" s="7" t="n">
        <f aca="false">$N57</f>
        <v>60</v>
      </c>
      <c r="BG57" s="7" t="n">
        <f aca="false">$N57</f>
        <v>60</v>
      </c>
      <c r="BH57" s="7" t="n">
        <f aca="false">$N57</f>
        <v>60</v>
      </c>
      <c r="BI57" s="7" t="n">
        <f aca="false">$O57</f>
        <v>60</v>
      </c>
      <c r="BJ57" s="7" t="n">
        <f aca="false">$O57</f>
        <v>60</v>
      </c>
      <c r="BK57" s="7" t="n">
        <f aca="false">$O57</f>
        <v>60</v>
      </c>
      <c r="BL57" s="7" t="n">
        <f aca="false">$O57</f>
        <v>60</v>
      </c>
      <c r="BM57" s="7" t="n">
        <f aca="false">$P57</f>
        <v>60</v>
      </c>
      <c r="BN57" s="7" t="n">
        <f aca="false">$P57</f>
        <v>60</v>
      </c>
      <c r="BO57" s="7" t="n">
        <f aca="false">$P57</f>
        <v>60</v>
      </c>
      <c r="BP57" s="7" t="n">
        <f aca="false">$P57</f>
        <v>60</v>
      </c>
    </row>
    <row r="58" customFormat="false" ht="15" hidden="false" customHeight="false" outlineLevel="0" collapsed="false">
      <c r="A58" s="0" t="s">
        <v>235</v>
      </c>
      <c r="B58" s="0" t="s">
        <v>131</v>
      </c>
      <c r="C58" s="0" t="s">
        <v>122</v>
      </c>
      <c r="D58" s="0" t="n">
        <f aca="false">SUM(Q58:BP58)</f>
        <v>0</v>
      </c>
      <c r="E58" s="13" t="n">
        <v>0</v>
      </c>
      <c r="F58" s="13" t="n">
        <v>0</v>
      </c>
      <c r="G58" s="13" t="n">
        <v>0</v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7" t="n">
        <f aca="false">$E58</f>
        <v>0</v>
      </c>
      <c r="R58" s="7" t="n">
        <f aca="false">$E58</f>
        <v>0</v>
      </c>
      <c r="S58" s="7" t="n">
        <f aca="false">$E58</f>
        <v>0</v>
      </c>
      <c r="T58" s="7" t="n">
        <f aca="false">$E58</f>
        <v>0</v>
      </c>
      <c r="U58" s="7" t="n">
        <f aca="false">$E58</f>
        <v>0</v>
      </c>
      <c r="V58" s="7" t="n">
        <f aca="false">$F58</f>
        <v>0</v>
      </c>
      <c r="W58" s="7" t="n">
        <f aca="false">$F58</f>
        <v>0</v>
      </c>
      <c r="X58" s="7" t="n">
        <f aca="false">$F58</f>
        <v>0</v>
      </c>
      <c r="Y58" s="7" t="n">
        <f aca="false">$F58</f>
        <v>0</v>
      </c>
      <c r="Z58" s="7" t="n">
        <f aca="false">$G58</f>
        <v>0</v>
      </c>
      <c r="AA58" s="7" t="n">
        <f aca="false">$G58</f>
        <v>0</v>
      </c>
      <c r="AB58" s="7" t="n">
        <f aca="false">$G58</f>
        <v>0</v>
      </c>
      <c r="AC58" s="7" t="n">
        <f aca="false">$G58</f>
        <v>0</v>
      </c>
      <c r="AD58" s="7" t="n">
        <f aca="false">$H58</f>
        <v>0</v>
      </c>
      <c r="AE58" s="7" t="n">
        <f aca="false">$H58</f>
        <v>0</v>
      </c>
      <c r="AF58" s="7" t="n">
        <f aca="false">$H58</f>
        <v>0</v>
      </c>
      <c r="AG58" s="7" t="n">
        <f aca="false">$H58</f>
        <v>0</v>
      </c>
      <c r="AH58" s="7" t="n">
        <f aca="false">$H58</f>
        <v>0</v>
      </c>
      <c r="AI58" s="7" t="n">
        <f aca="false">$I58</f>
        <v>0</v>
      </c>
      <c r="AJ58" s="7" t="n">
        <f aca="false">$I58</f>
        <v>0</v>
      </c>
      <c r="AK58" s="7" t="n">
        <f aca="false">$I58</f>
        <v>0</v>
      </c>
      <c r="AL58" s="7" t="n">
        <f aca="false">$I58</f>
        <v>0</v>
      </c>
      <c r="AM58" s="7" t="n">
        <f aca="false">$J58</f>
        <v>0</v>
      </c>
      <c r="AN58" s="7" t="n">
        <f aca="false">$J58</f>
        <v>0</v>
      </c>
      <c r="AO58" s="7" t="n">
        <f aca="false">$J58</f>
        <v>0</v>
      </c>
      <c r="AP58" s="7" t="n">
        <f aca="false">$J58</f>
        <v>0</v>
      </c>
      <c r="AQ58" s="7" t="n">
        <f aca="false">$K58</f>
        <v>0</v>
      </c>
      <c r="AR58" s="7" t="n">
        <f aca="false">$K58</f>
        <v>0</v>
      </c>
      <c r="AS58" s="7" t="n">
        <f aca="false">$K58</f>
        <v>0</v>
      </c>
      <c r="AT58" s="7" t="n">
        <f aca="false">$K58</f>
        <v>0</v>
      </c>
      <c r="AU58" s="7" t="n">
        <f aca="false">$K58</f>
        <v>0</v>
      </c>
      <c r="AV58" s="7" t="n">
        <f aca="false">$L58</f>
        <v>0</v>
      </c>
      <c r="AW58" s="7" t="n">
        <f aca="false">$L58</f>
        <v>0</v>
      </c>
      <c r="AX58" s="7" t="n">
        <f aca="false">$L58</f>
        <v>0</v>
      </c>
      <c r="AY58" s="7" t="n">
        <f aca="false">$L58</f>
        <v>0</v>
      </c>
      <c r="AZ58" s="7" t="n">
        <f aca="false">$M58</f>
        <v>0</v>
      </c>
      <c r="BA58" s="7" t="n">
        <f aca="false">$M58</f>
        <v>0</v>
      </c>
      <c r="BB58" s="7" t="n">
        <f aca="false">$M58</f>
        <v>0</v>
      </c>
      <c r="BC58" s="7" t="n">
        <f aca="false">$M58</f>
        <v>0</v>
      </c>
      <c r="BD58" s="7" t="n">
        <f aca="false">$N58</f>
        <v>0</v>
      </c>
      <c r="BE58" s="7" t="n">
        <f aca="false">$N58</f>
        <v>0</v>
      </c>
      <c r="BF58" s="7" t="n">
        <f aca="false">$N58</f>
        <v>0</v>
      </c>
      <c r="BG58" s="7" t="n">
        <f aca="false">$N58</f>
        <v>0</v>
      </c>
      <c r="BH58" s="7" t="n">
        <f aca="false">$N58</f>
        <v>0</v>
      </c>
      <c r="BI58" s="7" t="n">
        <f aca="false">$O58</f>
        <v>0</v>
      </c>
      <c r="BJ58" s="7" t="n">
        <f aca="false">$O58</f>
        <v>0</v>
      </c>
      <c r="BK58" s="7" t="n">
        <f aca="false">$O58</f>
        <v>0</v>
      </c>
      <c r="BL58" s="7" t="n">
        <f aca="false">$O58</f>
        <v>0</v>
      </c>
      <c r="BM58" s="7" t="n">
        <f aca="false">$P58</f>
        <v>0</v>
      </c>
      <c r="BN58" s="7" t="n">
        <f aca="false">$P58</f>
        <v>0</v>
      </c>
      <c r="BO58" s="7" t="n">
        <f aca="false">$P58</f>
        <v>0</v>
      </c>
      <c r="BP58" s="7" t="n">
        <f aca="false">$P58</f>
        <v>0</v>
      </c>
    </row>
    <row r="59" customFormat="false" ht="15" hidden="false" customHeight="false" outlineLevel="0" collapsed="false">
      <c r="A59" s="0" t="s">
        <v>235</v>
      </c>
      <c r="B59" s="0" t="s">
        <v>131</v>
      </c>
      <c r="C59" s="0" t="s">
        <v>123</v>
      </c>
      <c r="D59" s="0" t="n">
        <f aca="false">SUM(Q59:BP59)</f>
        <v>0</v>
      </c>
      <c r="E59" s="13" t="n">
        <v>0</v>
      </c>
      <c r="F59" s="13" t="n">
        <v>0</v>
      </c>
      <c r="G59" s="13" t="n">
        <v>0</v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0</v>
      </c>
      <c r="N59" s="13" t="n">
        <v>0</v>
      </c>
      <c r="O59" s="13" t="n">
        <v>0</v>
      </c>
      <c r="P59" s="13" t="n">
        <v>0</v>
      </c>
      <c r="Q59" s="7" t="n">
        <f aca="false">$E59</f>
        <v>0</v>
      </c>
      <c r="R59" s="7" t="n">
        <f aca="false">$E59</f>
        <v>0</v>
      </c>
      <c r="S59" s="7" t="n">
        <f aca="false">$E59</f>
        <v>0</v>
      </c>
      <c r="T59" s="7" t="n">
        <f aca="false">$E59</f>
        <v>0</v>
      </c>
      <c r="U59" s="7" t="n">
        <f aca="false">$E59</f>
        <v>0</v>
      </c>
      <c r="V59" s="7" t="n">
        <f aca="false">$F59</f>
        <v>0</v>
      </c>
      <c r="W59" s="7" t="n">
        <f aca="false">$F59</f>
        <v>0</v>
      </c>
      <c r="X59" s="7" t="n">
        <f aca="false">$F59</f>
        <v>0</v>
      </c>
      <c r="Y59" s="7" t="n">
        <f aca="false">$F59</f>
        <v>0</v>
      </c>
      <c r="Z59" s="7" t="n">
        <f aca="false">$G59</f>
        <v>0</v>
      </c>
      <c r="AA59" s="7" t="n">
        <f aca="false">$G59</f>
        <v>0</v>
      </c>
      <c r="AB59" s="7" t="n">
        <f aca="false">$G59</f>
        <v>0</v>
      </c>
      <c r="AC59" s="7" t="n">
        <f aca="false">$G59</f>
        <v>0</v>
      </c>
      <c r="AD59" s="7" t="n">
        <f aca="false">$H59</f>
        <v>0</v>
      </c>
      <c r="AE59" s="7" t="n">
        <f aca="false">$H59</f>
        <v>0</v>
      </c>
      <c r="AF59" s="7" t="n">
        <f aca="false">$H59</f>
        <v>0</v>
      </c>
      <c r="AG59" s="7" t="n">
        <f aca="false">$H59</f>
        <v>0</v>
      </c>
      <c r="AH59" s="7" t="n">
        <f aca="false">$H59</f>
        <v>0</v>
      </c>
      <c r="AI59" s="7" t="n">
        <f aca="false">$I59</f>
        <v>0</v>
      </c>
      <c r="AJ59" s="7" t="n">
        <f aca="false">$I59</f>
        <v>0</v>
      </c>
      <c r="AK59" s="7" t="n">
        <f aca="false">$I59</f>
        <v>0</v>
      </c>
      <c r="AL59" s="7" t="n">
        <f aca="false">$I59</f>
        <v>0</v>
      </c>
      <c r="AM59" s="7" t="n">
        <f aca="false">$J59</f>
        <v>0</v>
      </c>
      <c r="AN59" s="7" t="n">
        <f aca="false">$J59</f>
        <v>0</v>
      </c>
      <c r="AO59" s="7" t="n">
        <f aca="false">$J59</f>
        <v>0</v>
      </c>
      <c r="AP59" s="7" t="n">
        <f aca="false">$J59</f>
        <v>0</v>
      </c>
      <c r="AQ59" s="7" t="n">
        <f aca="false">$K59</f>
        <v>0</v>
      </c>
      <c r="AR59" s="7" t="n">
        <f aca="false">$K59</f>
        <v>0</v>
      </c>
      <c r="AS59" s="7" t="n">
        <f aca="false">$K59</f>
        <v>0</v>
      </c>
      <c r="AT59" s="7" t="n">
        <f aca="false">$K59</f>
        <v>0</v>
      </c>
      <c r="AU59" s="7" t="n">
        <f aca="false">$K59</f>
        <v>0</v>
      </c>
      <c r="AV59" s="7" t="n">
        <f aca="false">$L59</f>
        <v>0</v>
      </c>
      <c r="AW59" s="7" t="n">
        <f aca="false">$L59</f>
        <v>0</v>
      </c>
      <c r="AX59" s="7" t="n">
        <f aca="false">$L59</f>
        <v>0</v>
      </c>
      <c r="AY59" s="7" t="n">
        <f aca="false">$L59</f>
        <v>0</v>
      </c>
      <c r="AZ59" s="7" t="n">
        <f aca="false">$M59</f>
        <v>0</v>
      </c>
      <c r="BA59" s="7" t="n">
        <f aca="false">$M59</f>
        <v>0</v>
      </c>
      <c r="BB59" s="7" t="n">
        <f aca="false">$M59</f>
        <v>0</v>
      </c>
      <c r="BC59" s="7" t="n">
        <f aca="false">$M59</f>
        <v>0</v>
      </c>
      <c r="BD59" s="7" t="n">
        <f aca="false">$N59</f>
        <v>0</v>
      </c>
      <c r="BE59" s="7" t="n">
        <f aca="false">$N59</f>
        <v>0</v>
      </c>
      <c r="BF59" s="7" t="n">
        <f aca="false">$N59</f>
        <v>0</v>
      </c>
      <c r="BG59" s="7" t="n">
        <f aca="false">$N59</f>
        <v>0</v>
      </c>
      <c r="BH59" s="7" t="n">
        <f aca="false">$N59</f>
        <v>0</v>
      </c>
      <c r="BI59" s="7" t="n">
        <f aca="false">$O59</f>
        <v>0</v>
      </c>
      <c r="BJ59" s="7" t="n">
        <f aca="false">$O59</f>
        <v>0</v>
      </c>
      <c r="BK59" s="7" t="n">
        <f aca="false">$O59</f>
        <v>0</v>
      </c>
      <c r="BL59" s="7" t="n">
        <f aca="false">$O59</f>
        <v>0</v>
      </c>
      <c r="BM59" s="7" t="n">
        <f aca="false">$P59</f>
        <v>0</v>
      </c>
      <c r="BN59" s="7" t="n">
        <f aca="false">$P59</f>
        <v>0</v>
      </c>
      <c r="BO59" s="7" t="n">
        <f aca="false">$P59</f>
        <v>0</v>
      </c>
      <c r="BP59" s="7" t="n">
        <f aca="false">$P59</f>
        <v>0</v>
      </c>
    </row>
    <row r="60" customFormat="false" ht="15" hidden="false" customHeight="false" outlineLevel="0" collapsed="false">
      <c r="A60" s="0" t="s">
        <v>235</v>
      </c>
      <c r="B60" s="0" t="s">
        <v>132</v>
      </c>
      <c r="C60" s="0" t="s">
        <v>115</v>
      </c>
      <c r="D60" s="0" t="n">
        <f aca="false">SUM(Q60:BP60)</f>
        <v>402</v>
      </c>
      <c r="E60" s="22" t="n">
        <v>0</v>
      </c>
      <c r="F60" s="22" t="n">
        <v>0</v>
      </c>
      <c r="G60" s="22" t="n">
        <v>1</v>
      </c>
      <c r="H60" s="22" t="n">
        <v>3</v>
      </c>
      <c r="I60" s="22" t="n">
        <v>5</v>
      </c>
      <c r="J60" s="22" t="n">
        <v>7</v>
      </c>
      <c r="K60" s="22" t="n">
        <v>9</v>
      </c>
      <c r="L60" s="22" t="n">
        <v>11</v>
      </c>
      <c r="M60" s="22" t="n">
        <v>13</v>
      </c>
      <c r="N60" s="22" t="n">
        <v>14</v>
      </c>
      <c r="O60" s="22" t="n">
        <v>15</v>
      </c>
      <c r="P60" s="22" t="n">
        <v>16</v>
      </c>
      <c r="Q60" s="7" t="n">
        <f aca="false">$E60</f>
        <v>0</v>
      </c>
      <c r="R60" s="7" t="n">
        <f aca="false">$E60</f>
        <v>0</v>
      </c>
      <c r="S60" s="7" t="n">
        <f aca="false">$E60</f>
        <v>0</v>
      </c>
      <c r="T60" s="7" t="n">
        <f aca="false">$E60</f>
        <v>0</v>
      </c>
      <c r="U60" s="7" t="n">
        <f aca="false">$E60</f>
        <v>0</v>
      </c>
      <c r="V60" s="7" t="n">
        <f aca="false">$F60</f>
        <v>0</v>
      </c>
      <c r="W60" s="7" t="n">
        <f aca="false">$F60</f>
        <v>0</v>
      </c>
      <c r="X60" s="7" t="n">
        <f aca="false">$F60</f>
        <v>0</v>
      </c>
      <c r="Y60" s="7" t="n">
        <f aca="false">$F60</f>
        <v>0</v>
      </c>
      <c r="Z60" s="7" t="n">
        <f aca="false">$G60</f>
        <v>1</v>
      </c>
      <c r="AA60" s="7" t="n">
        <f aca="false">$G60</f>
        <v>1</v>
      </c>
      <c r="AB60" s="7" t="n">
        <f aca="false">$G60</f>
        <v>1</v>
      </c>
      <c r="AC60" s="7" t="n">
        <f aca="false">$G60</f>
        <v>1</v>
      </c>
      <c r="AD60" s="7" t="n">
        <f aca="false">$H60</f>
        <v>3</v>
      </c>
      <c r="AE60" s="7" t="n">
        <f aca="false">$H60</f>
        <v>3</v>
      </c>
      <c r="AF60" s="7" t="n">
        <f aca="false">$H60</f>
        <v>3</v>
      </c>
      <c r="AG60" s="7" t="n">
        <f aca="false">$H60</f>
        <v>3</v>
      </c>
      <c r="AH60" s="7" t="n">
        <f aca="false">$H60</f>
        <v>3</v>
      </c>
      <c r="AI60" s="7" t="n">
        <f aca="false">$I60</f>
        <v>5</v>
      </c>
      <c r="AJ60" s="7" t="n">
        <f aca="false">$I60</f>
        <v>5</v>
      </c>
      <c r="AK60" s="7" t="n">
        <f aca="false">$I60</f>
        <v>5</v>
      </c>
      <c r="AL60" s="7" t="n">
        <f aca="false">$I60</f>
        <v>5</v>
      </c>
      <c r="AM60" s="7" t="n">
        <f aca="false">$J60</f>
        <v>7</v>
      </c>
      <c r="AN60" s="7" t="n">
        <f aca="false">$J60</f>
        <v>7</v>
      </c>
      <c r="AO60" s="7" t="n">
        <f aca="false">$J60</f>
        <v>7</v>
      </c>
      <c r="AP60" s="7" t="n">
        <f aca="false">$J60</f>
        <v>7</v>
      </c>
      <c r="AQ60" s="7" t="n">
        <f aca="false">$K60</f>
        <v>9</v>
      </c>
      <c r="AR60" s="7" t="n">
        <f aca="false">$K60</f>
        <v>9</v>
      </c>
      <c r="AS60" s="7" t="n">
        <f aca="false">$K60</f>
        <v>9</v>
      </c>
      <c r="AT60" s="7" t="n">
        <f aca="false">$K60</f>
        <v>9</v>
      </c>
      <c r="AU60" s="7" t="n">
        <f aca="false">$K60</f>
        <v>9</v>
      </c>
      <c r="AV60" s="7" t="n">
        <f aca="false">$L60</f>
        <v>11</v>
      </c>
      <c r="AW60" s="7" t="n">
        <f aca="false">$L60</f>
        <v>11</v>
      </c>
      <c r="AX60" s="7" t="n">
        <f aca="false">$L60</f>
        <v>11</v>
      </c>
      <c r="AY60" s="7" t="n">
        <f aca="false">$L60</f>
        <v>11</v>
      </c>
      <c r="AZ60" s="7" t="n">
        <f aca="false">$M60</f>
        <v>13</v>
      </c>
      <c r="BA60" s="7" t="n">
        <f aca="false">$M60</f>
        <v>13</v>
      </c>
      <c r="BB60" s="7" t="n">
        <f aca="false">$M60</f>
        <v>13</v>
      </c>
      <c r="BC60" s="7" t="n">
        <f aca="false">$M60</f>
        <v>13</v>
      </c>
      <c r="BD60" s="7" t="n">
        <f aca="false">$N60</f>
        <v>14</v>
      </c>
      <c r="BE60" s="7" t="n">
        <f aca="false">$N60</f>
        <v>14</v>
      </c>
      <c r="BF60" s="7" t="n">
        <f aca="false">$N60</f>
        <v>14</v>
      </c>
      <c r="BG60" s="7" t="n">
        <f aca="false">$N60</f>
        <v>14</v>
      </c>
      <c r="BH60" s="7" t="n">
        <f aca="false">$N60</f>
        <v>14</v>
      </c>
      <c r="BI60" s="7" t="n">
        <f aca="false">$O60</f>
        <v>15</v>
      </c>
      <c r="BJ60" s="7" t="n">
        <f aca="false">$O60</f>
        <v>15</v>
      </c>
      <c r="BK60" s="7" t="n">
        <f aca="false">$O60</f>
        <v>15</v>
      </c>
      <c r="BL60" s="7" t="n">
        <f aca="false">$O60</f>
        <v>15</v>
      </c>
      <c r="BM60" s="7" t="n">
        <f aca="false">$P60</f>
        <v>16</v>
      </c>
      <c r="BN60" s="7" t="n">
        <f aca="false">$P60</f>
        <v>16</v>
      </c>
      <c r="BO60" s="7" t="n">
        <f aca="false">$P60</f>
        <v>16</v>
      </c>
      <c r="BP60" s="7" t="n">
        <f aca="false">$P60</f>
        <v>16</v>
      </c>
    </row>
    <row r="61" customFormat="false" ht="15" hidden="false" customHeight="false" outlineLevel="0" collapsed="false">
      <c r="A61" s="0" t="s">
        <v>235</v>
      </c>
      <c r="B61" s="0" t="s">
        <v>132</v>
      </c>
      <c r="C61" s="0" t="s">
        <v>116</v>
      </c>
      <c r="D61" s="0" t="n">
        <f aca="false">SUM(Q61:BP61)</f>
        <v>222</v>
      </c>
      <c r="E61" s="22" t="n">
        <v>0</v>
      </c>
      <c r="F61" s="22" t="n">
        <v>0</v>
      </c>
      <c r="G61" s="22" t="n">
        <v>0</v>
      </c>
      <c r="H61" s="22" t="n">
        <v>1</v>
      </c>
      <c r="I61" s="22" t="n">
        <v>2</v>
      </c>
      <c r="J61" s="22" t="n">
        <v>4</v>
      </c>
      <c r="K61" s="22" t="n">
        <v>5</v>
      </c>
      <c r="L61" s="22" t="n">
        <v>6</v>
      </c>
      <c r="M61" s="22" t="n">
        <v>7</v>
      </c>
      <c r="N61" s="22" t="n">
        <v>8</v>
      </c>
      <c r="O61" s="22" t="n">
        <v>9</v>
      </c>
      <c r="P61" s="22" t="n">
        <v>10</v>
      </c>
      <c r="Q61" s="7" t="n">
        <f aca="false">$E61</f>
        <v>0</v>
      </c>
      <c r="R61" s="7" t="n">
        <f aca="false">$E61</f>
        <v>0</v>
      </c>
      <c r="S61" s="7" t="n">
        <f aca="false">$E61</f>
        <v>0</v>
      </c>
      <c r="T61" s="7" t="n">
        <f aca="false">$E61</f>
        <v>0</v>
      </c>
      <c r="U61" s="7" t="n">
        <f aca="false">$E61</f>
        <v>0</v>
      </c>
      <c r="V61" s="7" t="n">
        <f aca="false">$F61</f>
        <v>0</v>
      </c>
      <c r="W61" s="7" t="n">
        <f aca="false">$F61</f>
        <v>0</v>
      </c>
      <c r="X61" s="7" t="n">
        <f aca="false">$F61</f>
        <v>0</v>
      </c>
      <c r="Y61" s="7" t="n">
        <f aca="false">$F61</f>
        <v>0</v>
      </c>
      <c r="Z61" s="7" t="n">
        <f aca="false">$G61</f>
        <v>0</v>
      </c>
      <c r="AA61" s="7" t="n">
        <f aca="false">$G61</f>
        <v>0</v>
      </c>
      <c r="AB61" s="7" t="n">
        <f aca="false">$G61</f>
        <v>0</v>
      </c>
      <c r="AC61" s="7" t="n">
        <f aca="false">$G61</f>
        <v>0</v>
      </c>
      <c r="AD61" s="7" t="n">
        <f aca="false">$H61</f>
        <v>1</v>
      </c>
      <c r="AE61" s="7" t="n">
        <f aca="false">$H61</f>
        <v>1</v>
      </c>
      <c r="AF61" s="7" t="n">
        <f aca="false">$H61</f>
        <v>1</v>
      </c>
      <c r="AG61" s="7" t="n">
        <f aca="false">$H61</f>
        <v>1</v>
      </c>
      <c r="AH61" s="7" t="n">
        <f aca="false">$H61</f>
        <v>1</v>
      </c>
      <c r="AI61" s="7" t="n">
        <f aca="false">$I61</f>
        <v>2</v>
      </c>
      <c r="AJ61" s="7" t="n">
        <f aca="false">$I61</f>
        <v>2</v>
      </c>
      <c r="AK61" s="7" t="n">
        <f aca="false">$I61</f>
        <v>2</v>
      </c>
      <c r="AL61" s="7" t="n">
        <f aca="false">$I61</f>
        <v>2</v>
      </c>
      <c r="AM61" s="7" t="n">
        <f aca="false">$J61</f>
        <v>4</v>
      </c>
      <c r="AN61" s="7" t="n">
        <f aca="false">$J61</f>
        <v>4</v>
      </c>
      <c r="AO61" s="7" t="n">
        <f aca="false">$J61</f>
        <v>4</v>
      </c>
      <c r="AP61" s="7" t="n">
        <f aca="false">$J61</f>
        <v>4</v>
      </c>
      <c r="AQ61" s="7" t="n">
        <f aca="false">$K61</f>
        <v>5</v>
      </c>
      <c r="AR61" s="7" t="n">
        <f aca="false">$K61</f>
        <v>5</v>
      </c>
      <c r="AS61" s="7" t="n">
        <f aca="false">$K61</f>
        <v>5</v>
      </c>
      <c r="AT61" s="7" t="n">
        <f aca="false">$K61</f>
        <v>5</v>
      </c>
      <c r="AU61" s="7" t="n">
        <f aca="false">$K61</f>
        <v>5</v>
      </c>
      <c r="AV61" s="7" t="n">
        <f aca="false">$L61</f>
        <v>6</v>
      </c>
      <c r="AW61" s="7" t="n">
        <f aca="false">$L61</f>
        <v>6</v>
      </c>
      <c r="AX61" s="7" t="n">
        <f aca="false">$L61</f>
        <v>6</v>
      </c>
      <c r="AY61" s="7" t="n">
        <f aca="false">$L61</f>
        <v>6</v>
      </c>
      <c r="AZ61" s="7" t="n">
        <f aca="false">$M61</f>
        <v>7</v>
      </c>
      <c r="BA61" s="7" t="n">
        <f aca="false">$M61</f>
        <v>7</v>
      </c>
      <c r="BB61" s="7" t="n">
        <f aca="false">$M61</f>
        <v>7</v>
      </c>
      <c r="BC61" s="7" t="n">
        <f aca="false">$M61</f>
        <v>7</v>
      </c>
      <c r="BD61" s="7" t="n">
        <f aca="false">$N61</f>
        <v>8</v>
      </c>
      <c r="BE61" s="7" t="n">
        <f aca="false">$N61</f>
        <v>8</v>
      </c>
      <c r="BF61" s="7" t="n">
        <f aca="false">$N61</f>
        <v>8</v>
      </c>
      <c r="BG61" s="7" t="n">
        <f aca="false">$N61</f>
        <v>8</v>
      </c>
      <c r="BH61" s="7" t="n">
        <f aca="false">$N61</f>
        <v>8</v>
      </c>
      <c r="BI61" s="7" t="n">
        <f aca="false">$O61</f>
        <v>9</v>
      </c>
      <c r="BJ61" s="7" t="n">
        <f aca="false">$O61</f>
        <v>9</v>
      </c>
      <c r="BK61" s="7" t="n">
        <f aca="false">$O61</f>
        <v>9</v>
      </c>
      <c r="BL61" s="7" t="n">
        <f aca="false">$O61</f>
        <v>9</v>
      </c>
      <c r="BM61" s="7" t="n">
        <f aca="false">$P61</f>
        <v>10</v>
      </c>
      <c r="BN61" s="7" t="n">
        <f aca="false">$P61</f>
        <v>10</v>
      </c>
      <c r="BO61" s="7" t="n">
        <f aca="false">$P61</f>
        <v>10</v>
      </c>
      <c r="BP61" s="7" t="n">
        <f aca="false">$P61</f>
        <v>10</v>
      </c>
    </row>
    <row r="62" customFormat="false" ht="15" hidden="false" customHeight="false" outlineLevel="0" collapsed="false">
      <c r="A62" s="0" t="s">
        <v>235</v>
      </c>
      <c r="B62" s="0" t="s">
        <v>132</v>
      </c>
      <c r="C62" s="0" t="s">
        <v>117</v>
      </c>
      <c r="D62" s="0" t="n">
        <f aca="false">SUM(Q62:BP62)</f>
        <v>187</v>
      </c>
      <c r="E62" s="22" t="n">
        <v>0</v>
      </c>
      <c r="F62" s="22" t="n">
        <v>0</v>
      </c>
      <c r="G62" s="22" t="n">
        <v>0</v>
      </c>
      <c r="H62" s="22" t="n">
        <v>0</v>
      </c>
      <c r="I62" s="22" t="n">
        <v>0</v>
      </c>
      <c r="J62" s="22" t="n">
        <v>2</v>
      </c>
      <c r="K62" s="22" t="n">
        <v>3</v>
      </c>
      <c r="L62" s="22" t="n">
        <v>5</v>
      </c>
      <c r="M62" s="22" t="n">
        <v>7</v>
      </c>
      <c r="N62" s="22" t="n">
        <v>8</v>
      </c>
      <c r="O62" s="22" t="n">
        <v>9</v>
      </c>
      <c r="P62" s="22" t="n">
        <v>10</v>
      </c>
      <c r="Q62" s="7" t="n">
        <f aca="false">$E62</f>
        <v>0</v>
      </c>
      <c r="R62" s="7" t="n">
        <f aca="false">$E62</f>
        <v>0</v>
      </c>
      <c r="S62" s="7" t="n">
        <f aca="false">$E62</f>
        <v>0</v>
      </c>
      <c r="T62" s="7" t="n">
        <f aca="false">$E62</f>
        <v>0</v>
      </c>
      <c r="U62" s="7" t="n">
        <f aca="false">$E62</f>
        <v>0</v>
      </c>
      <c r="V62" s="7" t="n">
        <f aca="false">$F62</f>
        <v>0</v>
      </c>
      <c r="W62" s="7" t="n">
        <f aca="false">$F62</f>
        <v>0</v>
      </c>
      <c r="X62" s="7" t="n">
        <f aca="false">$F62</f>
        <v>0</v>
      </c>
      <c r="Y62" s="7" t="n">
        <f aca="false">$F62</f>
        <v>0</v>
      </c>
      <c r="Z62" s="7" t="n">
        <f aca="false">$G62</f>
        <v>0</v>
      </c>
      <c r="AA62" s="7" t="n">
        <f aca="false">$G62</f>
        <v>0</v>
      </c>
      <c r="AB62" s="7" t="n">
        <f aca="false">$G62</f>
        <v>0</v>
      </c>
      <c r="AC62" s="7" t="n">
        <f aca="false">$G62</f>
        <v>0</v>
      </c>
      <c r="AD62" s="7" t="n">
        <f aca="false">$H62</f>
        <v>0</v>
      </c>
      <c r="AE62" s="7" t="n">
        <f aca="false">$H62</f>
        <v>0</v>
      </c>
      <c r="AF62" s="7" t="n">
        <f aca="false">$H62</f>
        <v>0</v>
      </c>
      <c r="AG62" s="7" t="n">
        <f aca="false">$H62</f>
        <v>0</v>
      </c>
      <c r="AH62" s="7" t="n">
        <f aca="false">$H62</f>
        <v>0</v>
      </c>
      <c r="AI62" s="7" t="n">
        <f aca="false">$I62</f>
        <v>0</v>
      </c>
      <c r="AJ62" s="7" t="n">
        <f aca="false">$I62</f>
        <v>0</v>
      </c>
      <c r="AK62" s="7" t="n">
        <f aca="false">$I62</f>
        <v>0</v>
      </c>
      <c r="AL62" s="7" t="n">
        <f aca="false">$I62</f>
        <v>0</v>
      </c>
      <c r="AM62" s="7" t="n">
        <f aca="false">$J62</f>
        <v>2</v>
      </c>
      <c r="AN62" s="7" t="n">
        <f aca="false">$J62</f>
        <v>2</v>
      </c>
      <c r="AO62" s="7" t="n">
        <f aca="false">$J62</f>
        <v>2</v>
      </c>
      <c r="AP62" s="7" t="n">
        <f aca="false">$J62</f>
        <v>2</v>
      </c>
      <c r="AQ62" s="7" t="n">
        <f aca="false">$K62</f>
        <v>3</v>
      </c>
      <c r="AR62" s="7" t="n">
        <f aca="false">$K62</f>
        <v>3</v>
      </c>
      <c r="AS62" s="7" t="n">
        <f aca="false">$K62</f>
        <v>3</v>
      </c>
      <c r="AT62" s="7" t="n">
        <f aca="false">$K62</f>
        <v>3</v>
      </c>
      <c r="AU62" s="7" t="n">
        <f aca="false">$K62</f>
        <v>3</v>
      </c>
      <c r="AV62" s="7" t="n">
        <f aca="false">$L62</f>
        <v>5</v>
      </c>
      <c r="AW62" s="7" t="n">
        <f aca="false">$L62</f>
        <v>5</v>
      </c>
      <c r="AX62" s="7" t="n">
        <f aca="false">$L62</f>
        <v>5</v>
      </c>
      <c r="AY62" s="7" t="n">
        <f aca="false">$L62</f>
        <v>5</v>
      </c>
      <c r="AZ62" s="7" t="n">
        <f aca="false">$M62</f>
        <v>7</v>
      </c>
      <c r="BA62" s="7" t="n">
        <f aca="false">$M62</f>
        <v>7</v>
      </c>
      <c r="BB62" s="7" t="n">
        <f aca="false">$M62</f>
        <v>7</v>
      </c>
      <c r="BC62" s="7" t="n">
        <f aca="false">$M62</f>
        <v>7</v>
      </c>
      <c r="BD62" s="7" t="n">
        <f aca="false">$N62</f>
        <v>8</v>
      </c>
      <c r="BE62" s="7" t="n">
        <f aca="false">$N62</f>
        <v>8</v>
      </c>
      <c r="BF62" s="7" t="n">
        <f aca="false">$N62</f>
        <v>8</v>
      </c>
      <c r="BG62" s="7" t="n">
        <f aca="false">$N62</f>
        <v>8</v>
      </c>
      <c r="BH62" s="7" t="n">
        <f aca="false">$N62</f>
        <v>8</v>
      </c>
      <c r="BI62" s="7" t="n">
        <f aca="false">$O62</f>
        <v>9</v>
      </c>
      <c r="BJ62" s="7" t="n">
        <f aca="false">$O62</f>
        <v>9</v>
      </c>
      <c r="BK62" s="7" t="n">
        <f aca="false">$O62</f>
        <v>9</v>
      </c>
      <c r="BL62" s="7" t="n">
        <f aca="false">$O62</f>
        <v>9</v>
      </c>
      <c r="BM62" s="7" t="n">
        <f aca="false">$P62</f>
        <v>10</v>
      </c>
      <c r="BN62" s="7" t="n">
        <f aca="false">$P62</f>
        <v>10</v>
      </c>
      <c r="BO62" s="7" t="n">
        <f aca="false">$P62</f>
        <v>10</v>
      </c>
      <c r="BP62" s="7" t="n">
        <f aca="false">$P62</f>
        <v>10</v>
      </c>
    </row>
    <row r="63" customFormat="false" ht="15" hidden="false" customHeight="false" outlineLevel="0" collapsed="false">
      <c r="A63" s="0" t="s">
        <v>235</v>
      </c>
      <c r="B63" s="0" t="s">
        <v>132</v>
      </c>
      <c r="C63" s="0" t="s">
        <v>118</v>
      </c>
      <c r="D63" s="0" t="n">
        <f aca="false">SUM(Q63:BP63)</f>
        <v>51</v>
      </c>
      <c r="E63" s="22" t="n">
        <v>0</v>
      </c>
      <c r="F63" s="22" t="n">
        <v>0</v>
      </c>
      <c r="G63" s="22" t="n">
        <v>0</v>
      </c>
      <c r="H63" s="22" t="n">
        <v>0</v>
      </c>
      <c r="I63" s="22" t="n">
        <v>0</v>
      </c>
      <c r="J63" s="22" t="n">
        <v>0</v>
      </c>
      <c r="K63" s="22" t="n">
        <v>0</v>
      </c>
      <c r="L63" s="22" t="n">
        <v>0</v>
      </c>
      <c r="M63" s="22" t="n">
        <v>0</v>
      </c>
      <c r="N63" s="22" t="n">
        <v>3</v>
      </c>
      <c r="O63" s="22" t="n">
        <v>4</v>
      </c>
      <c r="P63" s="22" t="n">
        <v>5</v>
      </c>
      <c r="Q63" s="7" t="n">
        <f aca="false">$E63</f>
        <v>0</v>
      </c>
      <c r="R63" s="7" t="n">
        <f aca="false">$E63</f>
        <v>0</v>
      </c>
      <c r="S63" s="7" t="n">
        <f aca="false">$E63</f>
        <v>0</v>
      </c>
      <c r="T63" s="7" t="n">
        <f aca="false">$E63</f>
        <v>0</v>
      </c>
      <c r="U63" s="7" t="n">
        <f aca="false">$E63</f>
        <v>0</v>
      </c>
      <c r="V63" s="7" t="n">
        <f aca="false">$F63</f>
        <v>0</v>
      </c>
      <c r="W63" s="7" t="n">
        <f aca="false">$F63</f>
        <v>0</v>
      </c>
      <c r="X63" s="7" t="n">
        <f aca="false">$F63</f>
        <v>0</v>
      </c>
      <c r="Y63" s="7" t="n">
        <f aca="false">$F63</f>
        <v>0</v>
      </c>
      <c r="Z63" s="7" t="n">
        <f aca="false">$G63</f>
        <v>0</v>
      </c>
      <c r="AA63" s="7" t="n">
        <f aca="false">$G63</f>
        <v>0</v>
      </c>
      <c r="AB63" s="7" t="n">
        <f aca="false">$G63</f>
        <v>0</v>
      </c>
      <c r="AC63" s="7" t="n">
        <f aca="false">$G63</f>
        <v>0</v>
      </c>
      <c r="AD63" s="7" t="n">
        <f aca="false">$H63</f>
        <v>0</v>
      </c>
      <c r="AE63" s="7" t="n">
        <f aca="false">$H63</f>
        <v>0</v>
      </c>
      <c r="AF63" s="7" t="n">
        <f aca="false">$H63</f>
        <v>0</v>
      </c>
      <c r="AG63" s="7" t="n">
        <f aca="false">$H63</f>
        <v>0</v>
      </c>
      <c r="AH63" s="7" t="n">
        <f aca="false">$H63</f>
        <v>0</v>
      </c>
      <c r="AI63" s="7" t="n">
        <f aca="false">$I63</f>
        <v>0</v>
      </c>
      <c r="AJ63" s="7" t="n">
        <f aca="false">$I63</f>
        <v>0</v>
      </c>
      <c r="AK63" s="7" t="n">
        <f aca="false">$I63</f>
        <v>0</v>
      </c>
      <c r="AL63" s="7" t="n">
        <f aca="false">$I63</f>
        <v>0</v>
      </c>
      <c r="AM63" s="7" t="n">
        <f aca="false">$J63</f>
        <v>0</v>
      </c>
      <c r="AN63" s="7" t="n">
        <f aca="false">$J63</f>
        <v>0</v>
      </c>
      <c r="AO63" s="7" t="n">
        <f aca="false">$J63</f>
        <v>0</v>
      </c>
      <c r="AP63" s="7" t="n">
        <f aca="false">$J63</f>
        <v>0</v>
      </c>
      <c r="AQ63" s="7" t="n">
        <f aca="false">$K63</f>
        <v>0</v>
      </c>
      <c r="AR63" s="7" t="n">
        <f aca="false">$K63</f>
        <v>0</v>
      </c>
      <c r="AS63" s="7" t="n">
        <f aca="false">$K63</f>
        <v>0</v>
      </c>
      <c r="AT63" s="7" t="n">
        <f aca="false">$K63</f>
        <v>0</v>
      </c>
      <c r="AU63" s="7" t="n">
        <f aca="false">$K63</f>
        <v>0</v>
      </c>
      <c r="AV63" s="7" t="n">
        <f aca="false">$L63</f>
        <v>0</v>
      </c>
      <c r="AW63" s="7" t="n">
        <f aca="false">$L63</f>
        <v>0</v>
      </c>
      <c r="AX63" s="7" t="n">
        <f aca="false">$L63</f>
        <v>0</v>
      </c>
      <c r="AY63" s="7" t="n">
        <f aca="false">$L63</f>
        <v>0</v>
      </c>
      <c r="AZ63" s="7" t="n">
        <f aca="false">$M63</f>
        <v>0</v>
      </c>
      <c r="BA63" s="7" t="n">
        <f aca="false">$M63</f>
        <v>0</v>
      </c>
      <c r="BB63" s="7" t="n">
        <f aca="false">$M63</f>
        <v>0</v>
      </c>
      <c r="BC63" s="7" t="n">
        <f aca="false">$M63</f>
        <v>0</v>
      </c>
      <c r="BD63" s="7" t="n">
        <f aca="false">$N63</f>
        <v>3</v>
      </c>
      <c r="BE63" s="7" t="n">
        <f aca="false">$N63</f>
        <v>3</v>
      </c>
      <c r="BF63" s="7" t="n">
        <f aca="false">$N63</f>
        <v>3</v>
      </c>
      <c r="BG63" s="7" t="n">
        <f aca="false">$N63</f>
        <v>3</v>
      </c>
      <c r="BH63" s="7" t="n">
        <f aca="false">$N63</f>
        <v>3</v>
      </c>
      <c r="BI63" s="7" t="n">
        <f aca="false">$O63</f>
        <v>4</v>
      </c>
      <c r="BJ63" s="7" t="n">
        <f aca="false">$O63</f>
        <v>4</v>
      </c>
      <c r="BK63" s="7" t="n">
        <f aca="false">$O63</f>
        <v>4</v>
      </c>
      <c r="BL63" s="7" t="n">
        <f aca="false">$O63</f>
        <v>4</v>
      </c>
      <c r="BM63" s="7" t="n">
        <f aca="false">$P63</f>
        <v>5</v>
      </c>
      <c r="BN63" s="7" t="n">
        <f aca="false">$P63</f>
        <v>5</v>
      </c>
      <c r="BO63" s="7" t="n">
        <f aca="false">$P63</f>
        <v>5</v>
      </c>
      <c r="BP63" s="7" t="n">
        <f aca="false">$P63</f>
        <v>5</v>
      </c>
    </row>
    <row r="64" customFormat="false" ht="15" hidden="false" customHeight="false" outlineLevel="0" collapsed="false">
      <c r="A64" s="0" t="s">
        <v>235</v>
      </c>
      <c r="B64" s="0" t="s">
        <v>132</v>
      </c>
      <c r="C64" s="0" t="s">
        <v>119</v>
      </c>
      <c r="D64" s="0" t="n">
        <f aca="false">SUM(Q64:BP64)</f>
        <v>550</v>
      </c>
      <c r="E64" s="13" t="n">
        <v>3</v>
      </c>
      <c r="F64" s="13" t="n">
        <v>5</v>
      </c>
      <c r="G64" s="13" t="n">
        <v>7</v>
      </c>
      <c r="H64" s="13" t="n">
        <v>9</v>
      </c>
      <c r="I64" s="13" t="n">
        <v>10</v>
      </c>
      <c r="J64" s="13" t="n">
        <v>11</v>
      </c>
      <c r="K64" s="13" t="n">
        <v>12</v>
      </c>
      <c r="L64" s="13" t="n">
        <v>13</v>
      </c>
      <c r="M64" s="13" t="n">
        <v>14</v>
      </c>
      <c r="N64" s="13" t="n">
        <v>14</v>
      </c>
      <c r="O64" s="13" t="n">
        <v>15</v>
      </c>
      <c r="P64" s="13" t="n">
        <v>15</v>
      </c>
      <c r="Q64" s="7" t="n">
        <f aca="false">$E64</f>
        <v>3</v>
      </c>
      <c r="R64" s="7" t="n">
        <f aca="false">$E64</f>
        <v>3</v>
      </c>
      <c r="S64" s="7" t="n">
        <f aca="false">$E64</f>
        <v>3</v>
      </c>
      <c r="T64" s="7" t="n">
        <f aca="false">$E64</f>
        <v>3</v>
      </c>
      <c r="U64" s="7" t="n">
        <f aca="false">$E64</f>
        <v>3</v>
      </c>
      <c r="V64" s="7" t="n">
        <f aca="false">$F64</f>
        <v>5</v>
      </c>
      <c r="W64" s="7" t="n">
        <f aca="false">$F64</f>
        <v>5</v>
      </c>
      <c r="X64" s="7" t="n">
        <f aca="false">$F64</f>
        <v>5</v>
      </c>
      <c r="Y64" s="7" t="n">
        <f aca="false">$F64</f>
        <v>5</v>
      </c>
      <c r="Z64" s="7" t="n">
        <f aca="false">$G64</f>
        <v>7</v>
      </c>
      <c r="AA64" s="7" t="n">
        <f aca="false">$G64</f>
        <v>7</v>
      </c>
      <c r="AB64" s="7" t="n">
        <f aca="false">$G64</f>
        <v>7</v>
      </c>
      <c r="AC64" s="7" t="n">
        <f aca="false">$G64</f>
        <v>7</v>
      </c>
      <c r="AD64" s="7" t="n">
        <f aca="false">$H64</f>
        <v>9</v>
      </c>
      <c r="AE64" s="7" t="n">
        <f aca="false">$H64</f>
        <v>9</v>
      </c>
      <c r="AF64" s="7" t="n">
        <f aca="false">$H64</f>
        <v>9</v>
      </c>
      <c r="AG64" s="7" t="n">
        <f aca="false">$H64</f>
        <v>9</v>
      </c>
      <c r="AH64" s="7" t="n">
        <f aca="false">$H64</f>
        <v>9</v>
      </c>
      <c r="AI64" s="7" t="n">
        <f aca="false">$I64</f>
        <v>10</v>
      </c>
      <c r="AJ64" s="7" t="n">
        <f aca="false">$I64</f>
        <v>10</v>
      </c>
      <c r="AK64" s="7" t="n">
        <f aca="false">$I64</f>
        <v>10</v>
      </c>
      <c r="AL64" s="7" t="n">
        <f aca="false">$I64</f>
        <v>10</v>
      </c>
      <c r="AM64" s="7" t="n">
        <f aca="false">$J64</f>
        <v>11</v>
      </c>
      <c r="AN64" s="7" t="n">
        <f aca="false">$J64</f>
        <v>11</v>
      </c>
      <c r="AO64" s="7" t="n">
        <f aca="false">$J64</f>
        <v>11</v>
      </c>
      <c r="AP64" s="7" t="n">
        <f aca="false">$J64</f>
        <v>11</v>
      </c>
      <c r="AQ64" s="7" t="n">
        <f aca="false">$K64</f>
        <v>12</v>
      </c>
      <c r="AR64" s="7" t="n">
        <f aca="false">$K64</f>
        <v>12</v>
      </c>
      <c r="AS64" s="7" t="n">
        <f aca="false">$K64</f>
        <v>12</v>
      </c>
      <c r="AT64" s="7" t="n">
        <f aca="false">$K64</f>
        <v>12</v>
      </c>
      <c r="AU64" s="7" t="n">
        <f aca="false">$K64</f>
        <v>12</v>
      </c>
      <c r="AV64" s="7" t="n">
        <f aca="false">$L64</f>
        <v>13</v>
      </c>
      <c r="AW64" s="7" t="n">
        <f aca="false">$L64</f>
        <v>13</v>
      </c>
      <c r="AX64" s="7" t="n">
        <f aca="false">$L64</f>
        <v>13</v>
      </c>
      <c r="AY64" s="7" t="n">
        <f aca="false">$L64</f>
        <v>13</v>
      </c>
      <c r="AZ64" s="7" t="n">
        <f aca="false">$M64</f>
        <v>14</v>
      </c>
      <c r="BA64" s="7" t="n">
        <f aca="false">$M64</f>
        <v>14</v>
      </c>
      <c r="BB64" s="7" t="n">
        <f aca="false">$M64</f>
        <v>14</v>
      </c>
      <c r="BC64" s="7" t="n">
        <f aca="false">$M64</f>
        <v>14</v>
      </c>
      <c r="BD64" s="7" t="n">
        <f aca="false">$N64</f>
        <v>14</v>
      </c>
      <c r="BE64" s="7" t="n">
        <f aca="false">$N64</f>
        <v>14</v>
      </c>
      <c r="BF64" s="7" t="n">
        <f aca="false">$N64</f>
        <v>14</v>
      </c>
      <c r="BG64" s="7" t="n">
        <f aca="false">$N64</f>
        <v>14</v>
      </c>
      <c r="BH64" s="7" t="n">
        <f aca="false">$N64</f>
        <v>14</v>
      </c>
      <c r="BI64" s="7" t="n">
        <f aca="false">$O64</f>
        <v>15</v>
      </c>
      <c r="BJ64" s="7" t="n">
        <f aca="false">$O64</f>
        <v>15</v>
      </c>
      <c r="BK64" s="7" t="n">
        <f aca="false">$O64</f>
        <v>15</v>
      </c>
      <c r="BL64" s="7" t="n">
        <f aca="false">$O64</f>
        <v>15</v>
      </c>
      <c r="BM64" s="7" t="n">
        <f aca="false">$P64</f>
        <v>15</v>
      </c>
      <c r="BN64" s="7" t="n">
        <f aca="false">$P64</f>
        <v>15</v>
      </c>
      <c r="BO64" s="7" t="n">
        <f aca="false">$P64</f>
        <v>15</v>
      </c>
      <c r="BP64" s="7" t="n">
        <f aca="false">$P64</f>
        <v>15</v>
      </c>
    </row>
    <row r="65" customFormat="false" ht="15" hidden="false" customHeight="false" outlineLevel="0" collapsed="false">
      <c r="A65" s="0" t="s">
        <v>235</v>
      </c>
      <c r="B65" s="0" t="s">
        <v>132</v>
      </c>
      <c r="C65" s="0" t="s">
        <v>120</v>
      </c>
      <c r="D65" s="0" t="n">
        <f aca="false">SUM(Q65:BP65)</f>
        <v>572</v>
      </c>
      <c r="E65" s="13" t="n">
        <v>3</v>
      </c>
      <c r="F65" s="13" t="n">
        <v>5</v>
      </c>
      <c r="G65" s="13" t="n">
        <v>7</v>
      </c>
      <c r="H65" s="13" t="n">
        <v>9</v>
      </c>
      <c r="I65" s="13" t="n">
        <v>11</v>
      </c>
      <c r="J65" s="13" t="n">
        <v>12</v>
      </c>
      <c r="K65" s="13" t="n">
        <v>13</v>
      </c>
      <c r="L65" s="13" t="n">
        <v>14</v>
      </c>
      <c r="M65" s="13" t="n">
        <v>14</v>
      </c>
      <c r="N65" s="13" t="n">
        <v>15</v>
      </c>
      <c r="O65" s="13" t="n">
        <v>15</v>
      </c>
      <c r="P65" s="13" t="n">
        <v>15</v>
      </c>
      <c r="Q65" s="7" t="n">
        <f aca="false">$E65</f>
        <v>3</v>
      </c>
      <c r="R65" s="7" t="n">
        <f aca="false">$E65</f>
        <v>3</v>
      </c>
      <c r="S65" s="7" t="n">
        <f aca="false">$E65</f>
        <v>3</v>
      </c>
      <c r="T65" s="7" t="n">
        <f aca="false">$E65</f>
        <v>3</v>
      </c>
      <c r="U65" s="7" t="n">
        <f aca="false">$E65</f>
        <v>3</v>
      </c>
      <c r="V65" s="7" t="n">
        <f aca="false">$F65</f>
        <v>5</v>
      </c>
      <c r="W65" s="7" t="n">
        <f aca="false">$F65</f>
        <v>5</v>
      </c>
      <c r="X65" s="7" t="n">
        <f aca="false">$F65</f>
        <v>5</v>
      </c>
      <c r="Y65" s="7" t="n">
        <f aca="false">$F65</f>
        <v>5</v>
      </c>
      <c r="Z65" s="7" t="n">
        <f aca="false">$G65</f>
        <v>7</v>
      </c>
      <c r="AA65" s="7" t="n">
        <f aca="false">$G65</f>
        <v>7</v>
      </c>
      <c r="AB65" s="7" t="n">
        <f aca="false">$G65</f>
        <v>7</v>
      </c>
      <c r="AC65" s="7" t="n">
        <f aca="false">$G65</f>
        <v>7</v>
      </c>
      <c r="AD65" s="7" t="n">
        <f aca="false">$H65</f>
        <v>9</v>
      </c>
      <c r="AE65" s="7" t="n">
        <f aca="false">$H65</f>
        <v>9</v>
      </c>
      <c r="AF65" s="7" t="n">
        <f aca="false">$H65</f>
        <v>9</v>
      </c>
      <c r="AG65" s="7" t="n">
        <f aca="false">$H65</f>
        <v>9</v>
      </c>
      <c r="AH65" s="7" t="n">
        <f aca="false">$H65</f>
        <v>9</v>
      </c>
      <c r="AI65" s="7" t="n">
        <f aca="false">$I65</f>
        <v>11</v>
      </c>
      <c r="AJ65" s="7" t="n">
        <f aca="false">$I65</f>
        <v>11</v>
      </c>
      <c r="AK65" s="7" t="n">
        <f aca="false">$I65</f>
        <v>11</v>
      </c>
      <c r="AL65" s="7" t="n">
        <f aca="false">$I65</f>
        <v>11</v>
      </c>
      <c r="AM65" s="7" t="n">
        <f aca="false">$J65</f>
        <v>12</v>
      </c>
      <c r="AN65" s="7" t="n">
        <f aca="false">$J65</f>
        <v>12</v>
      </c>
      <c r="AO65" s="7" t="n">
        <f aca="false">$J65</f>
        <v>12</v>
      </c>
      <c r="AP65" s="7" t="n">
        <f aca="false">$J65</f>
        <v>12</v>
      </c>
      <c r="AQ65" s="7" t="n">
        <f aca="false">$K65</f>
        <v>13</v>
      </c>
      <c r="AR65" s="7" t="n">
        <f aca="false">$K65</f>
        <v>13</v>
      </c>
      <c r="AS65" s="7" t="n">
        <f aca="false">$K65</f>
        <v>13</v>
      </c>
      <c r="AT65" s="7" t="n">
        <f aca="false">$K65</f>
        <v>13</v>
      </c>
      <c r="AU65" s="7" t="n">
        <f aca="false">$K65</f>
        <v>13</v>
      </c>
      <c r="AV65" s="7" t="n">
        <f aca="false">$L65</f>
        <v>14</v>
      </c>
      <c r="AW65" s="7" t="n">
        <f aca="false">$L65</f>
        <v>14</v>
      </c>
      <c r="AX65" s="7" t="n">
        <f aca="false">$L65</f>
        <v>14</v>
      </c>
      <c r="AY65" s="7" t="n">
        <f aca="false">$L65</f>
        <v>14</v>
      </c>
      <c r="AZ65" s="7" t="n">
        <f aca="false">$M65</f>
        <v>14</v>
      </c>
      <c r="BA65" s="7" t="n">
        <f aca="false">$M65</f>
        <v>14</v>
      </c>
      <c r="BB65" s="7" t="n">
        <f aca="false">$M65</f>
        <v>14</v>
      </c>
      <c r="BC65" s="7" t="n">
        <f aca="false">$M65</f>
        <v>14</v>
      </c>
      <c r="BD65" s="7" t="n">
        <f aca="false">$N65</f>
        <v>15</v>
      </c>
      <c r="BE65" s="7" t="n">
        <f aca="false">$N65</f>
        <v>15</v>
      </c>
      <c r="BF65" s="7" t="n">
        <f aca="false">$N65</f>
        <v>15</v>
      </c>
      <c r="BG65" s="7" t="n">
        <f aca="false">$N65</f>
        <v>15</v>
      </c>
      <c r="BH65" s="7" t="n">
        <f aca="false">$N65</f>
        <v>15</v>
      </c>
      <c r="BI65" s="7" t="n">
        <f aca="false">$O65</f>
        <v>15</v>
      </c>
      <c r="BJ65" s="7" t="n">
        <f aca="false">$O65</f>
        <v>15</v>
      </c>
      <c r="BK65" s="7" t="n">
        <f aca="false">$O65</f>
        <v>15</v>
      </c>
      <c r="BL65" s="7" t="n">
        <f aca="false">$O65</f>
        <v>15</v>
      </c>
      <c r="BM65" s="7" t="n">
        <f aca="false">$P65</f>
        <v>15</v>
      </c>
      <c r="BN65" s="7" t="n">
        <f aca="false">$P65</f>
        <v>15</v>
      </c>
      <c r="BO65" s="7" t="n">
        <f aca="false">$P65</f>
        <v>15</v>
      </c>
      <c r="BP65" s="7" t="n">
        <f aca="false">$P65</f>
        <v>15</v>
      </c>
    </row>
    <row r="66" customFormat="false" ht="15" hidden="false" customHeight="false" outlineLevel="0" collapsed="false">
      <c r="A66" s="0" t="s">
        <v>235</v>
      </c>
      <c r="B66" s="0" t="s">
        <v>132</v>
      </c>
      <c r="C66" s="0" t="s">
        <v>121</v>
      </c>
      <c r="D66" s="0" t="n">
        <f aca="false">SUM(Q66:BP66)</f>
        <v>318</v>
      </c>
      <c r="E66" s="13" t="n">
        <v>2</v>
      </c>
      <c r="F66" s="13" t="n">
        <v>3</v>
      </c>
      <c r="G66" s="13" t="n">
        <v>4</v>
      </c>
      <c r="H66" s="13" t="n">
        <v>5</v>
      </c>
      <c r="I66" s="13" t="n">
        <v>6</v>
      </c>
      <c r="J66" s="13" t="n">
        <v>7</v>
      </c>
      <c r="K66" s="13" t="n">
        <v>7</v>
      </c>
      <c r="L66" s="13" t="n">
        <v>8</v>
      </c>
      <c r="M66" s="13" t="n">
        <v>8</v>
      </c>
      <c r="N66" s="13" t="n">
        <v>8</v>
      </c>
      <c r="O66" s="13" t="n">
        <v>8</v>
      </c>
      <c r="P66" s="13" t="n">
        <v>8</v>
      </c>
      <c r="Q66" s="7" t="n">
        <f aca="false">$E66</f>
        <v>2</v>
      </c>
      <c r="R66" s="7" t="n">
        <f aca="false">$E66</f>
        <v>2</v>
      </c>
      <c r="S66" s="7" t="n">
        <f aca="false">$E66</f>
        <v>2</v>
      </c>
      <c r="T66" s="7" t="n">
        <f aca="false">$E66</f>
        <v>2</v>
      </c>
      <c r="U66" s="7" t="n">
        <f aca="false">$E66</f>
        <v>2</v>
      </c>
      <c r="V66" s="7" t="n">
        <f aca="false">$F66</f>
        <v>3</v>
      </c>
      <c r="W66" s="7" t="n">
        <f aca="false">$F66</f>
        <v>3</v>
      </c>
      <c r="X66" s="7" t="n">
        <f aca="false">$F66</f>
        <v>3</v>
      </c>
      <c r="Y66" s="7" t="n">
        <f aca="false">$F66</f>
        <v>3</v>
      </c>
      <c r="Z66" s="7" t="n">
        <f aca="false">$G66</f>
        <v>4</v>
      </c>
      <c r="AA66" s="7" t="n">
        <f aca="false">$G66</f>
        <v>4</v>
      </c>
      <c r="AB66" s="7" t="n">
        <f aca="false">$G66</f>
        <v>4</v>
      </c>
      <c r="AC66" s="7" t="n">
        <f aca="false">$G66</f>
        <v>4</v>
      </c>
      <c r="AD66" s="7" t="n">
        <f aca="false">$H66</f>
        <v>5</v>
      </c>
      <c r="AE66" s="7" t="n">
        <f aca="false">$H66</f>
        <v>5</v>
      </c>
      <c r="AF66" s="7" t="n">
        <f aca="false">$H66</f>
        <v>5</v>
      </c>
      <c r="AG66" s="7" t="n">
        <f aca="false">$H66</f>
        <v>5</v>
      </c>
      <c r="AH66" s="7" t="n">
        <f aca="false">$H66</f>
        <v>5</v>
      </c>
      <c r="AI66" s="7" t="n">
        <f aca="false">$I66</f>
        <v>6</v>
      </c>
      <c r="AJ66" s="7" t="n">
        <f aca="false">$I66</f>
        <v>6</v>
      </c>
      <c r="AK66" s="7" t="n">
        <f aca="false">$I66</f>
        <v>6</v>
      </c>
      <c r="AL66" s="7" t="n">
        <f aca="false">$I66</f>
        <v>6</v>
      </c>
      <c r="AM66" s="7" t="n">
        <f aca="false">$J66</f>
        <v>7</v>
      </c>
      <c r="AN66" s="7" t="n">
        <f aca="false">$J66</f>
        <v>7</v>
      </c>
      <c r="AO66" s="7" t="n">
        <f aca="false">$J66</f>
        <v>7</v>
      </c>
      <c r="AP66" s="7" t="n">
        <f aca="false">$J66</f>
        <v>7</v>
      </c>
      <c r="AQ66" s="7" t="n">
        <f aca="false">$K66</f>
        <v>7</v>
      </c>
      <c r="AR66" s="7" t="n">
        <f aca="false">$K66</f>
        <v>7</v>
      </c>
      <c r="AS66" s="7" t="n">
        <f aca="false">$K66</f>
        <v>7</v>
      </c>
      <c r="AT66" s="7" t="n">
        <f aca="false">$K66</f>
        <v>7</v>
      </c>
      <c r="AU66" s="7" t="n">
        <f aca="false">$K66</f>
        <v>7</v>
      </c>
      <c r="AV66" s="7" t="n">
        <f aca="false">$L66</f>
        <v>8</v>
      </c>
      <c r="AW66" s="7" t="n">
        <f aca="false">$L66</f>
        <v>8</v>
      </c>
      <c r="AX66" s="7" t="n">
        <f aca="false">$L66</f>
        <v>8</v>
      </c>
      <c r="AY66" s="7" t="n">
        <f aca="false">$L66</f>
        <v>8</v>
      </c>
      <c r="AZ66" s="7" t="n">
        <f aca="false">$M66</f>
        <v>8</v>
      </c>
      <c r="BA66" s="7" t="n">
        <f aca="false">$M66</f>
        <v>8</v>
      </c>
      <c r="BB66" s="7" t="n">
        <f aca="false">$M66</f>
        <v>8</v>
      </c>
      <c r="BC66" s="7" t="n">
        <f aca="false">$M66</f>
        <v>8</v>
      </c>
      <c r="BD66" s="7" t="n">
        <f aca="false">$N66</f>
        <v>8</v>
      </c>
      <c r="BE66" s="7" t="n">
        <f aca="false">$N66</f>
        <v>8</v>
      </c>
      <c r="BF66" s="7" t="n">
        <f aca="false">$N66</f>
        <v>8</v>
      </c>
      <c r="BG66" s="7" t="n">
        <f aca="false">$N66</f>
        <v>8</v>
      </c>
      <c r="BH66" s="7" t="n">
        <f aca="false">$N66</f>
        <v>8</v>
      </c>
      <c r="BI66" s="7" t="n">
        <f aca="false">$O66</f>
        <v>8</v>
      </c>
      <c r="BJ66" s="7" t="n">
        <f aca="false">$O66</f>
        <v>8</v>
      </c>
      <c r="BK66" s="7" t="n">
        <f aca="false">$O66</f>
        <v>8</v>
      </c>
      <c r="BL66" s="7" t="n">
        <f aca="false">$O66</f>
        <v>8</v>
      </c>
      <c r="BM66" s="7" t="n">
        <f aca="false">$P66</f>
        <v>8</v>
      </c>
      <c r="BN66" s="7" t="n">
        <f aca="false">$P66</f>
        <v>8</v>
      </c>
      <c r="BO66" s="7" t="n">
        <f aca="false">$P66</f>
        <v>8</v>
      </c>
      <c r="BP66" s="7" t="n">
        <f aca="false">$P66</f>
        <v>8</v>
      </c>
    </row>
    <row r="67" customFormat="false" ht="15" hidden="false" customHeight="false" outlineLevel="0" collapsed="false">
      <c r="A67" s="0" t="s">
        <v>235</v>
      </c>
      <c r="B67" s="0" t="s">
        <v>132</v>
      </c>
      <c r="C67" s="0" t="s">
        <v>122</v>
      </c>
      <c r="D67" s="0" t="n">
        <f aca="false">SUM(Q67:BP67)</f>
        <v>0</v>
      </c>
      <c r="E67" s="13" t="n">
        <v>0</v>
      </c>
      <c r="F67" s="13" t="n">
        <v>0</v>
      </c>
      <c r="G67" s="13" t="n">
        <v>0</v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7" t="n">
        <f aca="false">$E67</f>
        <v>0</v>
      </c>
      <c r="R67" s="7" t="n">
        <f aca="false">$E67</f>
        <v>0</v>
      </c>
      <c r="S67" s="7" t="n">
        <f aca="false">$E67</f>
        <v>0</v>
      </c>
      <c r="T67" s="7" t="n">
        <f aca="false">$E67</f>
        <v>0</v>
      </c>
      <c r="U67" s="7" t="n">
        <f aca="false">$E67</f>
        <v>0</v>
      </c>
      <c r="V67" s="7" t="n">
        <f aca="false">$F67</f>
        <v>0</v>
      </c>
      <c r="W67" s="7" t="n">
        <f aca="false">$F67</f>
        <v>0</v>
      </c>
      <c r="X67" s="7" t="n">
        <f aca="false">$F67</f>
        <v>0</v>
      </c>
      <c r="Y67" s="7" t="n">
        <f aca="false">$F67</f>
        <v>0</v>
      </c>
      <c r="Z67" s="7" t="n">
        <f aca="false">$G67</f>
        <v>0</v>
      </c>
      <c r="AA67" s="7" t="n">
        <f aca="false">$G67</f>
        <v>0</v>
      </c>
      <c r="AB67" s="7" t="n">
        <f aca="false">$G67</f>
        <v>0</v>
      </c>
      <c r="AC67" s="7" t="n">
        <f aca="false">$G67</f>
        <v>0</v>
      </c>
      <c r="AD67" s="7" t="n">
        <f aca="false">$H67</f>
        <v>0</v>
      </c>
      <c r="AE67" s="7" t="n">
        <f aca="false">$H67</f>
        <v>0</v>
      </c>
      <c r="AF67" s="7" t="n">
        <f aca="false">$H67</f>
        <v>0</v>
      </c>
      <c r="AG67" s="7" t="n">
        <f aca="false">$H67</f>
        <v>0</v>
      </c>
      <c r="AH67" s="7" t="n">
        <f aca="false">$H67</f>
        <v>0</v>
      </c>
      <c r="AI67" s="7" t="n">
        <f aca="false">$I67</f>
        <v>0</v>
      </c>
      <c r="AJ67" s="7" t="n">
        <f aca="false">$I67</f>
        <v>0</v>
      </c>
      <c r="AK67" s="7" t="n">
        <f aca="false">$I67</f>
        <v>0</v>
      </c>
      <c r="AL67" s="7" t="n">
        <f aca="false">$I67</f>
        <v>0</v>
      </c>
      <c r="AM67" s="7" t="n">
        <f aca="false">$J67</f>
        <v>0</v>
      </c>
      <c r="AN67" s="7" t="n">
        <f aca="false">$J67</f>
        <v>0</v>
      </c>
      <c r="AO67" s="7" t="n">
        <f aca="false">$J67</f>
        <v>0</v>
      </c>
      <c r="AP67" s="7" t="n">
        <f aca="false">$J67</f>
        <v>0</v>
      </c>
      <c r="AQ67" s="7" t="n">
        <f aca="false">$K67</f>
        <v>0</v>
      </c>
      <c r="AR67" s="7" t="n">
        <f aca="false">$K67</f>
        <v>0</v>
      </c>
      <c r="AS67" s="7" t="n">
        <f aca="false">$K67</f>
        <v>0</v>
      </c>
      <c r="AT67" s="7" t="n">
        <f aca="false">$K67</f>
        <v>0</v>
      </c>
      <c r="AU67" s="7" t="n">
        <f aca="false">$K67</f>
        <v>0</v>
      </c>
      <c r="AV67" s="7" t="n">
        <f aca="false">$L67</f>
        <v>0</v>
      </c>
      <c r="AW67" s="7" t="n">
        <f aca="false">$L67</f>
        <v>0</v>
      </c>
      <c r="AX67" s="7" t="n">
        <f aca="false">$L67</f>
        <v>0</v>
      </c>
      <c r="AY67" s="7" t="n">
        <f aca="false">$L67</f>
        <v>0</v>
      </c>
      <c r="AZ67" s="7" t="n">
        <f aca="false">$M67</f>
        <v>0</v>
      </c>
      <c r="BA67" s="7" t="n">
        <f aca="false">$M67</f>
        <v>0</v>
      </c>
      <c r="BB67" s="7" t="n">
        <f aca="false">$M67</f>
        <v>0</v>
      </c>
      <c r="BC67" s="7" t="n">
        <f aca="false">$M67</f>
        <v>0</v>
      </c>
      <c r="BD67" s="7" t="n">
        <f aca="false">$N67</f>
        <v>0</v>
      </c>
      <c r="BE67" s="7" t="n">
        <f aca="false">$N67</f>
        <v>0</v>
      </c>
      <c r="BF67" s="7" t="n">
        <f aca="false">$N67</f>
        <v>0</v>
      </c>
      <c r="BG67" s="7" t="n">
        <f aca="false">$N67</f>
        <v>0</v>
      </c>
      <c r="BH67" s="7" t="n">
        <f aca="false">$N67</f>
        <v>0</v>
      </c>
      <c r="BI67" s="7" t="n">
        <f aca="false">$O67</f>
        <v>0</v>
      </c>
      <c r="BJ67" s="7" t="n">
        <f aca="false">$O67</f>
        <v>0</v>
      </c>
      <c r="BK67" s="7" t="n">
        <f aca="false">$O67</f>
        <v>0</v>
      </c>
      <c r="BL67" s="7" t="n">
        <f aca="false">$O67</f>
        <v>0</v>
      </c>
      <c r="BM67" s="7" t="n">
        <f aca="false">$P67</f>
        <v>0</v>
      </c>
      <c r="BN67" s="7" t="n">
        <f aca="false">$P67</f>
        <v>0</v>
      </c>
      <c r="BO67" s="7" t="n">
        <f aca="false">$P67</f>
        <v>0</v>
      </c>
      <c r="BP67" s="7" t="n">
        <f aca="false">$P67</f>
        <v>0</v>
      </c>
    </row>
    <row r="68" customFormat="false" ht="15" hidden="false" customHeight="false" outlineLevel="0" collapsed="false">
      <c r="A68" s="0" t="s">
        <v>235</v>
      </c>
      <c r="B68" s="0" t="s">
        <v>132</v>
      </c>
      <c r="C68" s="0" t="s">
        <v>123</v>
      </c>
      <c r="D68" s="0" t="n">
        <f aca="false">SUM(Q68:BP68)</f>
        <v>387</v>
      </c>
      <c r="E68" s="13" t="n">
        <v>2</v>
      </c>
      <c r="F68" s="13" t="n">
        <v>3</v>
      </c>
      <c r="G68" s="13" t="n">
        <v>5</v>
      </c>
      <c r="H68" s="13" t="n">
        <v>6</v>
      </c>
      <c r="I68" s="13" t="n">
        <v>7</v>
      </c>
      <c r="J68" s="13" t="n">
        <v>8</v>
      </c>
      <c r="K68" s="13" t="n">
        <v>9</v>
      </c>
      <c r="L68" s="13" t="n">
        <v>10</v>
      </c>
      <c r="M68" s="13" t="n">
        <v>10</v>
      </c>
      <c r="N68" s="13" t="n">
        <v>10</v>
      </c>
      <c r="O68" s="13" t="n">
        <v>10</v>
      </c>
      <c r="P68" s="13" t="n">
        <v>10</v>
      </c>
      <c r="Q68" s="7" t="n">
        <f aca="false">$E68</f>
        <v>2</v>
      </c>
      <c r="R68" s="7" t="n">
        <f aca="false">$E68</f>
        <v>2</v>
      </c>
      <c r="S68" s="7" t="n">
        <f aca="false">$E68</f>
        <v>2</v>
      </c>
      <c r="T68" s="7" t="n">
        <f aca="false">$E68</f>
        <v>2</v>
      </c>
      <c r="U68" s="7" t="n">
        <f aca="false">$E68</f>
        <v>2</v>
      </c>
      <c r="V68" s="7" t="n">
        <f aca="false">$F68</f>
        <v>3</v>
      </c>
      <c r="W68" s="7" t="n">
        <f aca="false">$F68</f>
        <v>3</v>
      </c>
      <c r="X68" s="7" t="n">
        <f aca="false">$F68</f>
        <v>3</v>
      </c>
      <c r="Y68" s="7" t="n">
        <f aca="false">$F68</f>
        <v>3</v>
      </c>
      <c r="Z68" s="7" t="n">
        <f aca="false">$G68</f>
        <v>5</v>
      </c>
      <c r="AA68" s="7" t="n">
        <f aca="false">$G68</f>
        <v>5</v>
      </c>
      <c r="AB68" s="7" t="n">
        <f aca="false">$G68</f>
        <v>5</v>
      </c>
      <c r="AC68" s="7" t="n">
        <f aca="false">$G68</f>
        <v>5</v>
      </c>
      <c r="AD68" s="7" t="n">
        <f aca="false">$H68</f>
        <v>6</v>
      </c>
      <c r="AE68" s="7" t="n">
        <f aca="false">$H68</f>
        <v>6</v>
      </c>
      <c r="AF68" s="7" t="n">
        <f aca="false">$H68</f>
        <v>6</v>
      </c>
      <c r="AG68" s="7" t="n">
        <f aca="false">$H68</f>
        <v>6</v>
      </c>
      <c r="AH68" s="7" t="n">
        <f aca="false">$H68</f>
        <v>6</v>
      </c>
      <c r="AI68" s="7" t="n">
        <f aca="false">$I68</f>
        <v>7</v>
      </c>
      <c r="AJ68" s="7" t="n">
        <f aca="false">$I68</f>
        <v>7</v>
      </c>
      <c r="AK68" s="7" t="n">
        <f aca="false">$I68</f>
        <v>7</v>
      </c>
      <c r="AL68" s="7" t="n">
        <f aca="false">$I68</f>
        <v>7</v>
      </c>
      <c r="AM68" s="7" t="n">
        <f aca="false">$J68</f>
        <v>8</v>
      </c>
      <c r="AN68" s="7" t="n">
        <f aca="false">$J68</f>
        <v>8</v>
      </c>
      <c r="AO68" s="7" t="n">
        <f aca="false">$J68</f>
        <v>8</v>
      </c>
      <c r="AP68" s="7" t="n">
        <f aca="false">$J68</f>
        <v>8</v>
      </c>
      <c r="AQ68" s="7" t="n">
        <f aca="false">$K68</f>
        <v>9</v>
      </c>
      <c r="AR68" s="7" t="n">
        <f aca="false">$K68</f>
        <v>9</v>
      </c>
      <c r="AS68" s="7" t="n">
        <f aca="false">$K68</f>
        <v>9</v>
      </c>
      <c r="AT68" s="7" t="n">
        <f aca="false">$K68</f>
        <v>9</v>
      </c>
      <c r="AU68" s="7" t="n">
        <f aca="false">$K68</f>
        <v>9</v>
      </c>
      <c r="AV68" s="7" t="n">
        <f aca="false">$L68</f>
        <v>10</v>
      </c>
      <c r="AW68" s="7" t="n">
        <f aca="false">$L68</f>
        <v>10</v>
      </c>
      <c r="AX68" s="7" t="n">
        <f aca="false">$L68</f>
        <v>10</v>
      </c>
      <c r="AY68" s="7" t="n">
        <f aca="false">$L68</f>
        <v>10</v>
      </c>
      <c r="AZ68" s="7" t="n">
        <f aca="false">$M68</f>
        <v>10</v>
      </c>
      <c r="BA68" s="7" t="n">
        <f aca="false">$M68</f>
        <v>10</v>
      </c>
      <c r="BB68" s="7" t="n">
        <f aca="false">$M68</f>
        <v>10</v>
      </c>
      <c r="BC68" s="7" t="n">
        <f aca="false">$M68</f>
        <v>10</v>
      </c>
      <c r="BD68" s="7" t="n">
        <f aca="false">$N68</f>
        <v>10</v>
      </c>
      <c r="BE68" s="7" t="n">
        <f aca="false">$N68</f>
        <v>10</v>
      </c>
      <c r="BF68" s="7" t="n">
        <f aca="false">$N68</f>
        <v>10</v>
      </c>
      <c r="BG68" s="7" t="n">
        <f aca="false">$N68</f>
        <v>10</v>
      </c>
      <c r="BH68" s="7" t="n">
        <f aca="false">$N68</f>
        <v>10</v>
      </c>
      <c r="BI68" s="7" t="n">
        <f aca="false">$O68</f>
        <v>10</v>
      </c>
      <c r="BJ68" s="7" t="n">
        <f aca="false">$O68</f>
        <v>10</v>
      </c>
      <c r="BK68" s="7" t="n">
        <f aca="false">$O68</f>
        <v>10</v>
      </c>
      <c r="BL68" s="7" t="n">
        <f aca="false">$O68</f>
        <v>10</v>
      </c>
      <c r="BM68" s="7" t="n">
        <f aca="false">$P68</f>
        <v>10</v>
      </c>
      <c r="BN68" s="7" t="n">
        <f aca="false">$P68</f>
        <v>10</v>
      </c>
      <c r="BO68" s="7" t="n">
        <f aca="false">$P68</f>
        <v>10</v>
      </c>
      <c r="BP68" s="7" t="n">
        <f aca="false">$P68</f>
        <v>10</v>
      </c>
    </row>
    <row r="69" customFormat="false" ht="15" hidden="false" customHeight="false" outlineLevel="0" collapsed="false">
      <c r="A69" s="0" t="s">
        <v>235</v>
      </c>
      <c r="B69" s="0" t="s">
        <v>133</v>
      </c>
      <c r="C69" s="0" t="s">
        <v>115</v>
      </c>
      <c r="D69" s="0" t="n">
        <f aca="false">SUM(Q69:BP69)</f>
        <v>402</v>
      </c>
      <c r="E69" s="22" t="n">
        <v>0</v>
      </c>
      <c r="F69" s="22" t="n">
        <v>0</v>
      </c>
      <c r="G69" s="22" t="n">
        <v>1</v>
      </c>
      <c r="H69" s="22" t="n">
        <v>3</v>
      </c>
      <c r="I69" s="22" t="n">
        <v>5</v>
      </c>
      <c r="J69" s="22" t="n">
        <v>7</v>
      </c>
      <c r="K69" s="22" t="n">
        <v>9</v>
      </c>
      <c r="L69" s="22" t="n">
        <v>11</v>
      </c>
      <c r="M69" s="22" t="n">
        <v>13</v>
      </c>
      <c r="N69" s="22" t="n">
        <v>14</v>
      </c>
      <c r="O69" s="22" t="n">
        <v>15</v>
      </c>
      <c r="P69" s="22" t="n">
        <v>16</v>
      </c>
      <c r="Q69" s="7" t="n">
        <f aca="false">$E69</f>
        <v>0</v>
      </c>
      <c r="R69" s="7" t="n">
        <f aca="false">$E69</f>
        <v>0</v>
      </c>
      <c r="S69" s="7" t="n">
        <f aca="false">$E69</f>
        <v>0</v>
      </c>
      <c r="T69" s="7" t="n">
        <f aca="false">$E69</f>
        <v>0</v>
      </c>
      <c r="U69" s="7" t="n">
        <f aca="false">$E69</f>
        <v>0</v>
      </c>
      <c r="V69" s="7" t="n">
        <f aca="false">$F69</f>
        <v>0</v>
      </c>
      <c r="W69" s="7" t="n">
        <f aca="false">$F69</f>
        <v>0</v>
      </c>
      <c r="X69" s="7" t="n">
        <f aca="false">$F69</f>
        <v>0</v>
      </c>
      <c r="Y69" s="7" t="n">
        <f aca="false">$F69</f>
        <v>0</v>
      </c>
      <c r="Z69" s="7" t="n">
        <f aca="false">$G69</f>
        <v>1</v>
      </c>
      <c r="AA69" s="7" t="n">
        <f aca="false">$G69</f>
        <v>1</v>
      </c>
      <c r="AB69" s="7" t="n">
        <f aca="false">$G69</f>
        <v>1</v>
      </c>
      <c r="AC69" s="7" t="n">
        <f aca="false">$G69</f>
        <v>1</v>
      </c>
      <c r="AD69" s="7" t="n">
        <f aca="false">$H69</f>
        <v>3</v>
      </c>
      <c r="AE69" s="7" t="n">
        <f aca="false">$H69</f>
        <v>3</v>
      </c>
      <c r="AF69" s="7" t="n">
        <f aca="false">$H69</f>
        <v>3</v>
      </c>
      <c r="AG69" s="7" t="n">
        <f aca="false">$H69</f>
        <v>3</v>
      </c>
      <c r="AH69" s="7" t="n">
        <f aca="false">$H69</f>
        <v>3</v>
      </c>
      <c r="AI69" s="7" t="n">
        <f aca="false">$I69</f>
        <v>5</v>
      </c>
      <c r="AJ69" s="7" t="n">
        <f aca="false">$I69</f>
        <v>5</v>
      </c>
      <c r="AK69" s="7" t="n">
        <f aca="false">$I69</f>
        <v>5</v>
      </c>
      <c r="AL69" s="7" t="n">
        <f aca="false">$I69</f>
        <v>5</v>
      </c>
      <c r="AM69" s="7" t="n">
        <f aca="false">$J69</f>
        <v>7</v>
      </c>
      <c r="AN69" s="7" t="n">
        <f aca="false">$J69</f>
        <v>7</v>
      </c>
      <c r="AO69" s="7" t="n">
        <f aca="false">$J69</f>
        <v>7</v>
      </c>
      <c r="AP69" s="7" t="n">
        <f aca="false">$J69</f>
        <v>7</v>
      </c>
      <c r="AQ69" s="7" t="n">
        <f aca="false">$K69</f>
        <v>9</v>
      </c>
      <c r="AR69" s="7" t="n">
        <f aca="false">$K69</f>
        <v>9</v>
      </c>
      <c r="AS69" s="7" t="n">
        <f aca="false">$K69</f>
        <v>9</v>
      </c>
      <c r="AT69" s="7" t="n">
        <f aca="false">$K69</f>
        <v>9</v>
      </c>
      <c r="AU69" s="7" t="n">
        <f aca="false">$K69</f>
        <v>9</v>
      </c>
      <c r="AV69" s="7" t="n">
        <f aca="false">$L69</f>
        <v>11</v>
      </c>
      <c r="AW69" s="7" t="n">
        <f aca="false">$L69</f>
        <v>11</v>
      </c>
      <c r="AX69" s="7" t="n">
        <f aca="false">$L69</f>
        <v>11</v>
      </c>
      <c r="AY69" s="7" t="n">
        <f aca="false">$L69</f>
        <v>11</v>
      </c>
      <c r="AZ69" s="7" t="n">
        <f aca="false">$M69</f>
        <v>13</v>
      </c>
      <c r="BA69" s="7" t="n">
        <f aca="false">$M69</f>
        <v>13</v>
      </c>
      <c r="BB69" s="7" t="n">
        <f aca="false">$M69</f>
        <v>13</v>
      </c>
      <c r="BC69" s="7" t="n">
        <f aca="false">$M69</f>
        <v>13</v>
      </c>
      <c r="BD69" s="7" t="n">
        <f aca="false">$N69</f>
        <v>14</v>
      </c>
      <c r="BE69" s="7" t="n">
        <f aca="false">$N69</f>
        <v>14</v>
      </c>
      <c r="BF69" s="7" t="n">
        <f aca="false">$N69</f>
        <v>14</v>
      </c>
      <c r="BG69" s="7" t="n">
        <f aca="false">$N69</f>
        <v>14</v>
      </c>
      <c r="BH69" s="7" t="n">
        <f aca="false">$N69</f>
        <v>14</v>
      </c>
      <c r="BI69" s="7" t="n">
        <f aca="false">$O69</f>
        <v>15</v>
      </c>
      <c r="BJ69" s="7" t="n">
        <f aca="false">$O69</f>
        <v>15</v>
      </c>
      <c r="BK69" s="7" t="n">
        <f aca="false">$O69</f>
        <v>15</v>
      </c>
      <c r="BL69" s="7" t="n">
        <f aca="false">$O69</f>
        <v>15</v>
      </c>
      <c r="BM69" s="7" t="n">
        <f aca="false">$P69</f>
        <v>16</v>
      </c>
      <c r="BN69" s="7" t="n">
        <f aca="false">$P69</f>
        <v>16</v>
      </c>
      <c r="BO69" s="7" t="n">
        <f aca="false">$P69</f>
        <v>16</v>
      </c>
      <c r="BP69" s="7" t="n">
        <f aca="false">$P69</f>
        <v>16</v>
      </c>
    </row>
    <row r="70" customFormat="false" ht="15" hidden="false" customHeight="false" outlineLevel="0" collapsed="false">
      <c r="A70" s="0" t="s">
        <v>235</v>
      </c>
      <c r="B70" s="0" t="s">
        <v>133</v>
      </c>
      <c r="C70" s="0" t="s">
        <v>116</v>
      </c>
      <c r="D70" s="0" t="n">
        <f aca="false">SUM(Q70:BP70)</f>
        <v>222</v>
      </c>
      <c r="E70" s="22" t="n">
        <v>0</v>
      </c>
      <c r="F70" s="22" t="n">
        <v>0</v>
      </c>
      <c r="G70" s="22" t="n">
        <v>0</v>
      </c>
      <c r="H70" s="22" t="n">
        <v>1</v>
      </c>
      <c r="I70" s="22" t="n">
        <v>2</v>
      </c>
      <c r="J70" s="22" t="n">
        <v>4</v>
      </c>
      <c r="K70" s="22" t="n">
        <v>5</v>
      </c>
      <c r="L70" s="22" t="n">
        <v>6</v>
      </c>
      <c r="M70" s="22" t="n">
        <v>7</v>
      </c>
      <c r="N70" s="22" t="n">
        <v>8</v>
      </c>
      <c r="O70" s="22" t="n">
        <v>9</v>
      </c>
      <c r="P70" s="22" t="n">
        <v>10</v>
      </c>
      <c r="Q70" s="7" t="n">
        <f aca="false">$E70</f>
        <v>0</v>
      </c>
      <c r="R70" s="7" t="n">
        <f aca="false">$E70</f>
        <v>0</v>
      </c>
      <c r="S70" s="7" t="n">
        <f aca="false">$E70</f>
        <v>0</v>
      </c>
      <c r="T70" s="7" t="n">
        <f aca="false">$E70</f>
        <v>0</v>
      </c>
      <c r="U70" s="7" t="n">
        <f aca="false">$E70</f>
        <v>0</v>
      </c>
      <c r="V70" s="7" t="n">
        <f aca="false">$F70</f>
        <v>0</v>
      </c>
      <c r="W70" s="7" t="n">
        <f aca="false">$F70</f>
        <v>0</v>
      </c>
      <c r="X70" s="7" t="n">
        <f aca="false">$F70</f>
        <v>0</v>
      </c>
      <c r="Y70" s="7" t="n">
        <f aca="false">$F70</f>
        <v>0</v>
      </c>
      <c r="Z70" s="7" t="n">
        <f aca="false">$G70</f>
        <v>0</v>
      </c>
      <c r="AA70" s="7" t="n">
        <f aca="false">$G70</f>
        <v>0</v>
      </c>
      <c r="AB70" s="7" t="n">
        <f aca="false">$G70</f>
        <v>0</v>
      </c>
      <c r="AC70" s="7" t="n">
        <f aca="false">$G70</f>
        <v>0</v>
      </c>
      <c r="AD70" s="7" t="n">
        <f aca="false">$H70</f>
        <v>1</v>
      </c>
      <c r="AE70" s="7" t="n">
        <f aca="false">$H70</f>
        <v>1</v>
      </c>
      <c r="AF70" s="7" t="n">
        <f aca="false">$H70</f>
        <v>1</v>
      </c>
      <c r="AG70" s="7" t="n">
        <f aca="false">$H70</f>
        <v>1</v>
      </c>
      <c r="AH70" s="7" t="n">
        <f aca="false">$H70</f>
        <v>1</v>
      </c>
      <c r="AI70" s="7" t="n">
        <f aca="false">$I70</f>
        <v>2</v>
      </c>
      <c r="AJ70" s="7" t="n">
        <f aca="false">$I70</f>
        <v>2</v>
      </c>
      <c r="AK70" s="7" t="n">
        <f aca="false">$I70</f>
        <v>2</v>
      </c>
      <c r="AL70" s="7" t="n">
        <f aca="false">$I70</f>
        <v>2</v>
      </c>
      <c r="AM70" s="7" t="n">
        <f aca="false">$J70</f>
        <v>4</v>
      </c>
      <c r="AN70" s="7" t="n">
        <f aca="false">$J70</f>
        <v>4</v>
      </c>
      <c r="AO70" s="7" t="n">
        <f aca="false">$J70</f>
        <v>4</v>
      </c>
      <c r="AP70" s="7" t="n">
        <f aca="false">$J70</f>
        <v>4</v>
      </c>
      <c r="AQ70" s="7" t="n">
        <f aca="false">$K70</f>
        <v>5</v>
      </c>
      <c r="AR70" s="7" t="n">
        <f aca="false">$K70</f>
        <v>5</v>
      </c>
      <c r="AS70" s="7" t="n">
        <f aca="false">$K70</f>
        <v>5</v>
      </c>
      <c r="AT70" s="7" t="n">
        <f aca="false">$K70</f>
        <v>5</v>
      </c>
      <c r="AU70" s="7" t="n">
        <f aca="false">$K70</f>
        <v>5</v>
      </c>
      <c r="AV70" s="7" t="n">
        <f aca="false">$L70</f>
        <v>6</v>
      </c>
      <c r="AW70" s="7" t="n">
        <f aca="false">$L70</f>
        <v>6</v>
      </c>
      <c r="AX70" s="7" t="n">
        <f aca="false">$L70</f>
        <v>6</v>
      </c>
      <c r="AY70" s="7" t="n">
        <f aca="false">$L70</f>
        <v>6</v>
      </c>
      <c r="AZ70" s="7" t="n">
        <f aca="false">$M70</f>
        <v>7</v>
      </c>
      <c r="BA70" s="7" t="n">
        <f aca="false">$M70</f>
        <v>7</v>
      </c>
      <c r="BB70" s="7" t="n">
        <f aca="false">$M70</f>
        <v>7</v>
      </c>
      <c r="BC70" s="7" t="n">
        <f aca="false">$M70</f>
        <v>7</v>
      </c>
      <c r="BD70" s="7" t="n">
        <f aca="false">$N70</f>
        <v>8</v>
      </c>
      <c r="BE70" s="7" t="n">
        <f aca="false">$N70</f>
        <v>8</v>
      </c>
      <c r="BF70" s="7" t="n">
        <f aca="false">$N70</f>
        <v>8</v>
      </c>
      <c r="BG70" s="7" t="n">
        <f aca="false">$N70</f>
        <v>8</v>
      </c>
      <c r="BH70" s="7" t="n">
        <f aca="false">$N70</f>
        <v>8</v>
      </c>
      <c r="BI70" s="7" t="n">
        <f aca="false">$O70</f>
        <v>9</v>
      </c>
      <c r="BJ70" s="7" t="n">
        <f aca="false">$O70</f>
        <v>9</v>
      </c>
      <c r="BK70" s="7" t="n">
        <f aca="false">$O70</f>
        <v>9</v>
      </c>
      <c r="BL70" s="7" t="n">
        <f aca="false">$O70</f>
        <v>9</v>
      </c>
      <c r="BM70" s="7" t="n">
        <f aca="false">$P70</f>
        <v>10</v>
      </c>
      <c r="BN70" s="7" t="n">
        <f aca="false">$P70</f>
        <v>10</v>
      </c>
      <c r="BO70" s="7" t="n">
        <f aca="false">$P70</f>
        <v>10</v>
      </c>
      <c r="BP70" s="7" t="n">
        <f aca="false">$P70</f>
        <v>10</v>
      </c>
    </row>
    <row r="71" customFormat="false" ht="15" hidden="false" customHeight="false" outlineLevel="0" collapsed="false">
      <c r="A71" s="0" t="s">
        <v>235</v>
      </c>
      <c r="B71" s="0" t="s">
        <v>133</v>
      </c>
      <c r="C71" s="0" t="s">
        <v>117</v>
      </c>
      <c r="D71" s="0" t="n">
        <f aca="false">SUM(Q71:BP71)</f>
        <v>187</v>
      </c>
      <c r="E71" s="22" t="n">
        <v>0</v>
      </c>
      <c r="F71" s="22" t="n">
        <v>0</v>
      </c>
      <c r="G71" s="22" t="n">
        <v>0</v>
      </c>
      <c r="H71" s="22" t="n">
        <v>0</v>
      </c>
      <c r="I71" s="22" t="n">
        <v>0</v>
      </c>
      <c r="J71" s="22" t="n">
        <v>2</v>
      </c>
      <c r="K71" s="22" t="n">
        <v>3</v>
      </c>
      <c r="L71" s="22" t="n">
        <v>5</v>
      </c>
      <c r="M71" s="22" t="n">
        <v>7</v>
      </c>
      <c r="N71" s="22" t="n">
        <v>8</v>
      </c>
      <c r="O71" s="22" t="n">
        <v>9</v>
      </c>
      <c r="P71" s="22" t="n">
        <v>10</v>
      </c>
      <c r="Q71" s="7" t="n">
        <f aca="false">$E71</f>
        <v>0</v>
      </c>
      <c r="R71" s="7" t="n">
        <f aca="false">$E71</f>
        <v>0</v>
      </c>
      <c r="S71" s="7" t="n">
        <f aca="false">$E71</f>
        <v>0</v>
      </c>
      <c r="T71" s="7" t="n">
        <f aca="false">$E71</f>
        <v>0</v>
      </c>
      <c r="U71" s="7" t="n">
        <f aca="false">$E71</f>
        <v>0</v>
      </c>
      <c r="V71" s="7" t="n">
        <f aca="false">$F71</f>
        <v>0</v>
      </c>
      <c r="W71" s="7" t="n">
        <f aca="false">$F71</f>
        <v>0</v>
      </c>
      <c r="X71" s="7" t="n">
        <f aca="false">$F71</f>
        <v>0</v>
      </c>
      <c r="Y71" s="7" t="n">
        <f aca="false">$F71</f>
        <v>0</v>
      </c>
      <c r="Z71" s="7" t="n">
        <f aca="false">$G71</f>
        <v>0</v>
      </c>
      <c r="AA71" s="7" t="n">
        <f aca="false">$G71</f>
        <v>0</v>
      </c>
      <c r="AB71" s="7" t="n">
        <f aca="false">$G71</f>
        <v>0</v>
      </c>
      <c r="AC71" s="7" t="n">
        <f aca="false">$G71</f>
        <v>0</v>
      </c>
      <c r="AD71" s="7" t="n">
        <f aca="false">$H71</f>
        <v>0</v>
      </c>
      <c r="AE71" s="7" t="n">
        <f aca="false">$H71</f>
        <v>0</v>
      </c>
      <c r="AF71" s="7" t="n">
        <f aca="false">$H71</f>
        <v>0</v>
      </c>
      <c r="AG71" s="7" t="n">
        <f aca="false">$H71</f>
        <v>0</v>
      </c>
      <c r="AH71" s="7" t="n">
        <f aca="false">$H71</f>
        <v>0</v>
      </c>
      <c r="AI71" s="7" t="n">
        <f aca="false">$I71</f>
        <v>0</v>
      </c>
      <c r="AJ71" s="7" t="n">
        <f aca="false">$I71</f>
        <v>0</v>
      </c>
      <c r="AK71" s="7" t="n">
        <f aca="false">$I71</f>
        <v>0</v>
      </c>
      <c r="AL71" s="7" t="n">
        <f aca="false">$I71</f>
        <v>0</v>
      </c>
      <c r="AM71" s="7" t="n">
        <f aca="false">$J71</f>
        <v>2</v>
      </c>
      <c r="AN71" s="7" t="n">
        <f aca="false">$J71</f>
        <v>2</v>
      </c>
      <c r="AO71" s="7" t="n">
        <f aca="false">$J71</f>
        <v>2</v>
      </c>
      <c r="AP71" s="7" t="n">
        <f aca="false">$J71</f>
        <v>2</v>
      </c>
      <c r="AQ71" s="7" t="n">
        <f aca="false">$K71</f>
        <v>3</v>
      </c>
      <c r="AR71" s="7" t="n">
        <f aca="false">$K71</f>
        <v>3</v>
      </c>
      <c r="AS71" s="7" t="n">
        <f aca="false">$K71</f>
        <v>3</v>
      </c>
      <c r="AT71" s="7" t="n">
        <f aca="false">$K71</f>
        <v>3</v>
      </c>
      <c r="AU71" s="7" t="n">
        <f aca="false">$K71</f>
        <v>3</v>
      </c>
      <c r="AV71" s="7" t="n">
        <f aca="false">$L71</f>
        <v>5</v>
      </c>
      <c r="AW71" s="7" t="n">
        <f aca="false">$L71</f>
        <v>5</v>
      </c>
      <c r="AX71" s="7" t="n">
        <f aca="false">$L71</f>
        <v>5</v>
      </c>
      <c r="AY71" s="7" t="n">
        <f aca="false">$L71</f>
        <v>5</v>
      </c>
      <c r="AZ71" s="7" t="n">
        <f aca="false">$M71</f>
        <v>7</v>
      </c>
      <c r="BA71" s="7" t="n">
        <f aca="false">$M71</f>
        <v>7</v>
      </c>
      <c r="BB71" s="7" t="n">
        <f aca="false">$M71</f>
        <v>7</v>
      </c>
      <c r="BC71" s="7" t="n">
        <f aca="false">$M71</f>
        <v>7</v>
      </c>
      <c r="BD71" s="7" t="n">
        <f aca="false">$N71</f>
        <v>8</v>
      </c>
      <c r="BE71" s="7" t="n">
        <f aca="false">$N71</f>
        <v>8</v>
      </c>
      <c r="BF71" s="7" t="n">
        <f aca="false">$N71</f>
        <v>8</v>
      </c>
      <c r="BG71" s="7" t="n">
        <f aca="false">$N71</f>
        <v>8</v>
      </c>
      <c r="BH71" s="7" t="n">
        <f aca="false">$N71</f>
        <v>8</v>
      </c>
      <c r="BI71" s="7" t="n">
        <f aca="false">$O71</f>
        <v>9</v>
      </c>
      <c r="BJ71" s="7" t="n">
        <f aca="false">$O71</f>
        <v>9</v>
      </c>
      <c r="BK71" s="7" t="n">
        <f aca="false">$O71</f>
        <v>9</v>
      </c>
      <c r="BL71" s="7" t="n">
        <f aca="false">$O71</f>
        <v>9</v>
      </c>
      <c r="BM71" s="7" t="n">
        <f aca="false">$P71</f>
        <v>10</v>
      </c>
      <c r="BN71" s="7" t="n">
        <f aca="false">$P71</f>
        <v>10</v>
      </c>
      <c r="BO71" s="7" t="n">
        <f aca="false">$P71</f>
        <v>10</v>
      </c>
      <c r="BP71" s="7" t="n">
        <f aca="false">$P71</f>
        <v>10</v>
      </c>
    </row>
    <row r="72" customFormat="false" ht="15" hidden="false" customHeight="false" outlineLevel="0" collapsed="false">
      <c r="A72" s="0" t="s">
        <v>235</v>
      </c>
      <c r="B72" s="0" t="s">
        <v>133</v>
      </c>
      <c r="C72" s="0" t="s">
        <v>118</v>
      </c>
      <c r="D72" s="0" t="n">
        <f aca="false">SUM(Q72:BP72)</f>
        <v>51</v>
      </c>
      <c r="E72" s="22" t="n">
        <v>0</v>
      </c>
      <c r="F72" s="22" t="n">
        <v>0</v>
      </c>
      <c r="G72" s="22" t="n">
        <v>0</v>
      </c>
      <c r="H72" s="22" t="n">
        <v>0</v>
      </c>
      <c r="I72" s="22" t="n">
        <v>0</v>
      </c>
      <c r="J72" s="22" t="n">
        <v>0</v>
      </c>
      <c r="K72" s="22" t="n">
        <v>0</v>
      </c>
      <c r="L72" s="22" t="n">
        <v>0</v>
      </c>
      <c r="M72" s="22" t="n">
        <v>0</v>
      </c>
      <c r="N72" s="22" t="n">
        <v>3</v>
      </c>
      <c r="O72" s="22" t="n">
        <v>4</v>
      </c>
      <c r="P72" s="22" t="n">
        <v>5</v>
      </c>
      <c r="Q72" s="7" t="n">
        <f aca="false">$E72</f>
        <v>0</v>
      </c>
      <c r="R72" s="7" t="n">
        <f aca="false">$E72</f>
        <v>0</v>
      </c>
      <c r="S72" s="7" t="n">
        <f aca="false">$E72</f>
        <v>0</v>
      </c>
      <c r="T72" s="7" t="n">
        <f aca="false">$E72</f>
        <v>0</v>
      </c>
      <c r="U72" s="7" t="n">
        <f aca="false">$E72</f>
        <v>0</v>
      </c>
      <c r="V72" s="7" t="n">
        <f aca="false">$F72</f>
        <v>0</v>
      </c>
      <c r="W72" s="7" t="n">
        <f aca="false">$F72</f>
        <v>0</v>
      </c>
      <c r="X72" s="7" t="n">
        <f aca="false">$F72</f>
        <v>0</v>
      </c>
      <c r="Y72" s="7" t="n">
        <f aca="false">$F72</f>
        <v>0</v>
      </c>
      <c r="Z72" s="7" t="n">
        <f aca="false">$G72</f>
        <v>0</v>
      </c>
      <c r="AA72" s="7" t="n">
        <f aca="false">$G72</f>
        <v>0</v>
      </c>
      <c r="AB72" s="7" t="n">
        <f aca="false">$G72</f>
        <v>0</v>
      </c>
      <c r="AC72" s="7" t="n">
        <f aca="false">$G72</f>
        <v>0</v>
      </c>
      <c r="AD72" s="7" t="n">
        <f aca="false">$H72</f>
        <v>0</v>
      </c>
      <c r="AE72" s="7" t="n">
        <f aca="false">$H72</f>
        <v>0</v>
      </c>
      <c r="AF72" s="7" t="n">
        <f aca="false">$H72</f>
        <v>0</v>
      </c>
      <c r="AG72" s="7" t="n">
        <f aca="false">$H72</f>
        <v>0</v>
      </c>
      <c r="AH72" s="7" t="n">
        <f aca="false">$H72</f>
        <v>0</v>
      </c>
      <c r="AI72" s="7" t="n">
        <f aca="false">$I72</f>
        <v>0</v>
      </c>
      <c r="AJ72" s="7" t="n">
        <f aca="false">$I72</f>
        <v>0</v>
      </c>
      <c r="AK72" s="7" t="n">
        <f aca="false">$I72</f>
        <v>0</v>
      </c>
      <c r="AL72" s="7" t="n">
        <f aca="false">$I72</f>
        <v>0</v>
      </c>
      <c r="AM72" s="7" t="n">
        <f aca="false">$J72</f>
        <v>0</v>
      </c>
      <c r="AN72" s="7" t="n">
        <f aca="false">$J72</f>
        <v>0</v>
      </c>
      <c r="AO72" s="7" t="n">
        <f aca="false">$J72</f>
        <v>0</v>
      </c>
      <c r="AP72" s="7" t="n">
        <f aca="false">$J72</f>
        <v>0</v>
      </c>
      <c r="AQ72" s="7" t="n">
        <f aca="false">$K72</f>
        <v>0</v>
      </c>
      <c r="AR72" s="7" t="n">
        <f aca="false">$K72</f>
        <v>0</v>
      </c>
      <c r="AS72" s="7" t="n">
        <f aca="false">$K72</f>
        <v>0</v>
      </c>
      <c r="AT72" s="7" t="n">
        <f aca="false">$K72</f>
        <v>0</v>
      </c>
      <c r="AU72" s="7" t="n">
        <f aca="false">$K72</f>
        <v>0</v>
      </c>
      <c r="AV72" s="7" t="n">
        <f aca="false">$L72</f>
        <v>0</v>
      </c>
      <c r="AW72" s="7" t="n">
        <f aca="false">$L72</f>
        <v>0</v>
      </c>
      <c r="AX72" s="7" t="n">
        <f aca="false">$L72</f>
        <v>0</v>
      </c>
      <c r="AY72" s="7" t="n">
        <f aca="false">$L72</f>
        <v>0</v>
      </c>
      <c r="AZ72" s="7" t="n">
        <f aca="false">$M72</f>
        <v>0</v>
      </c>
      <c r="BA72" s="7" t="n">
        <f aca="false">$M72</f>
        <v>0</v>
      </c>
      <c r="BB72" s="7" t="n">
        <f aca="false">$M72</f>
        <v>0</v>
      </c>
      <c r="BC72" s="7" t="n">
        <f aca="false">$M72</f>
        <v>0</v>
      </c>
      <c r="BD72" s="7" t="n">
        <f aca="false">$N72</f>
        <v>3</v>
      </c>
      <c r="BE72" s="7" t="n">
        <f aca="false">$N72</f>
        <v>3</v>
      </c>
      <c r="BF72" s="7" t="n">
        <f aca="false">$N72</f>
        <v>3</v>
      </c>
      <c r="BG72" s="7" t="n">
        <f aca="false">$N72</f>
        <v>3</v>
      </c>
      <c r="BH72" s="7" t="n">
        <f aca="false">$N72</f>
        <v>3</v>
      </c>
      <c r="BI72" s="7" t="n">
        <f aca="false">$O72</f>
        <v>4</v>
      </c>
      <c r="BJ72" s="7" t="n">
        <f aca="false">$O72</f>
        <v>4</v>
      </c>
      <c r="BK72" s="7" t="n">
        <f aca="false">$O72</f>
        <v>4</v>
      </c>
      <c r="BL72" s="7" t="n">
        <f aca="false">$O72</f>
        <v>4</v>
      </c>
      <c r="BM72" s="7" t="n">
        <f aca="false">$P72</f>
        <v>5</v>
      </c>
      <c r="BN72" s="7" t="n">
        <f aca="false">$P72</f>
        <v>5</v>
      </c>
      <c r="BO72" s="7" t="n">
        <f aca="false">$P72</f>
        <v>5</v>
      </c>
      <c r="BP72" s="7" t="n">
        <f aca="false">$P72</f>
        <v>5</v>
      </c>
    </row>
    <row r="73" customFormat="false" ht="15" hidden="false" customHeight="false" outlineLevel="0" collapsed="false">
      <c r="A73" s="0" t="s">
        <v>235</v>
      </c>
      <c r="B73" s="0" t="s">
        <v>133</v>
      </c>
      <c r="C73" s="0" t="s">
        <v>119</v>
      </c>
      <c r="D73" s="0" t="n">
        <f aca="false">SUM(Q73:BP73)</f>
        <v>550</v>
      </c>
      <c r="E73" s="13" t="n">
        <v>3</v>
      </c>
      <c r="F73" s="13" t="n">
        <v>5</v>
      </c>
      <c r="G73" s="13" t="n">
        <v>7</v>
      </c>
      <c r="H73" s="13" t="n">
        <v>9</v>
      </c>
      <c r="I73" s="13" t="n">
        <v>10</v>
      </c>
      <c r="J73" s="13" t="n">
        <v>11</v>
      </c>
      <c r="K73" s="13" t="n">
        <v>12</v>
      </c>
      <c r="L73" s="13" t="n">
        <v>13</v>
      </c>
      <c r="M73" s="13" t="n">
        <v>14</v>
      </c>
      <c r="N73" s="13" t="n">
        <v>14</v>
      </c>
      <c r="O73" s="13" t="n">
        <v>15</v>
      </c>
      <c r="P73" s="13" t="n">
        <v>15</v>
      </c>
      <c r="Q73" s="7" t="n">
        <f aca="false">$E73</f>
        <v>3</v>
      </c>
      <c r="R73" s="7" t="n">
        <f aca="false">$E73</f>
        <v>3</v>
      </c>
      <c r="S73" s="7" t="n">
        <f aca="false">$E73</f>
        <v>3</v>
      </c>
      <c r="T73" s="7" t="n">
        <f aca="false">$E73</f>
        <v>3</v>
      </c>
      <c r="U73" s="7" t="n">
        <f aca="false">$E73</f>
        <v>3</v>
      </c>
      <c r="V73" s="7" t="n">
        <f aca="false">$F73</f>
        <v>5</v>
      </c>
      <c r="W73" s="7" t="n">
        <f aca="false">$F73</f>
        <v>5</v>
      </c>
      <c r="X73" s="7" t="n">
        <f aca="false">$F73</f>
        <v>5</v>
      </c>
      <c r="Y73" s="7" t="n">
        <f aca="false">$F73</f>
        <v>5</v>
      </c>
      <c r="Z73" s="7" t="n">
        <f aca="false">$G73</f>
        <v>7</v>
      </c>
      <c r="AA73" s="7" t="n">
        <f aca="false">$G73</f>
        <v>7</v>
      </c>
      <c r="AB73" s="7" t="n">
        <f aca="false">$G73</f>
        <v>7</v>
      </c>
      <c r="AC73" s="7" t="n">
        <f aca="false">$G73</f>
        <v>7</v>
      </c>
      <c r="AD73" s="7" t="n">
        <f aca="false">$H73</f>
        <v>9</v>
      </c>
      <c r="AE73" s="7" t="n">
        <f aca="false">$H73</f>
        <v>9</v>
      </c>
      <c r="AF73" s="7" t="n">
        <f aca="false">$H73</f>
        <v>9</v>
      </c>
      <c r="AG73" s="7" t="n">
        <f aca="false">$H73</f>
        <v>9</v>
      </c>
      <c r="AH73" s="7" t="n">
        <f aca="false">$H73</f>
        <v>9</v>
      </c>
      <c r="AI73" s="7" t="n">
        <f aca="false">$I73</f>
        <v>10</v>
      </c>
      <c r="AJ73" s="7" t="n">
        <f aca="false">$I73</f>
        <v>10</v>
      </c>
      <c r="AK73" s="7" t="n">
        <f aca="false">$I73</f>
        <v>10</v>
      </c>
      <c r="AL73" s="7" t="n">
        <f aca="false">$I73</f>
        <v>10</v>
      </c>
      <c r="AM73" s="7" t="n">
        <f aca="false">$J73</f>
        <v>11</v>
      </c>
      <c r="AN73" s="7" t="n">
        <f aca="false">$J73</f>
        <v>11</v>
      </c>
      <c r="AO73" s="7" t="n">
        <f aca="false">$J73</f>
        <v>11</v>
      </c>
      <c r="AP73" s="7" t="n">
        <f aca="false">$J73</f>
        <v>11</v>
      </c>
      <c r="AQ73" s="7" t="n">
        <f aca="false">$K73</f>
        <v>12</v>
      </c>
      <c r="AR73" s="7" t="n">
        <f aca="false">$K73</f>
        <v>12</v>
      </c>
      <c r="AS73" s="7" t="n">
        <f aca="false">$K73</f>
        <v>12</v>
      </c>
      <c r="AT73" s="7" t="n">
        <f aca="false">$K73</f>
        <v>12</v>
      </c>
      <c r="AU73" s="7" t="n">
        <f aca="false">$K73</f>
        <v>12</v>
      </c>
      <c r="AV73" s="7" t="n">
        <f aca="false">$L73</f>
        <v>13</v>
      </c>
      <c r="AW73" s="7" t="n">
        <f aca="false">$L73</f>
        <v>13</v>
      </c>
      <c r="AX73" s="7" t="n">
        <f aca="false">$L73</f>
        <v>13</v>
      </c>
      <c r="AY73" s="7" t="n">
        <f aca="false">$L73</f>
        <v>13</v>
      </c>
      <c r="AZ73" s="7" t="n">
        <f aca="false">$M73</f>
        <v>14</v>
      </c>
      <c r="BA73" s="7" t="n">
        <f aca="false">$M73</f>
        <v>14</v>
      </c>
      <c r="BB73" s="7" t="n">
        <f aca="false">$M73</f>
        <v>14</v>
      </c>
      <c r="BC73" s="7" t="n">
        <f aca="false">$M73</f>
        <v>14</v>
      </c>
      <c r="BD73" s="7" t="n">
        <f aca="false">$N73</f>
        <v>14</v>
      </c>
      <c r="BE73" s="7" t="n">
        <f aca="false">$N73</f>
        <v>14</v>
      </c>
      <c r="BF73" s="7" t="n">
        <f aca="false">$N73</f>
        <v>14</v>
      </c>
      <c r="BG73" s="7" t="n">
        <f aca="false">$N73</f>
        <v>14</v>
      </c>
      <c r="BH73" s="7" t="n">
        <f aca="false">$N73</f>
        <v>14</v>
      </c>
      <c r="BI73" s="7" t="n">
        <f aca="false">$O73</f>
        <v>15</v>
      </c>
      <c r="BJ73" s="7" t="n">
        <f aca="false">$O73</f>
        <v>15</v>
      </c>
      <c r="BK73" s="7" t="n">
        <f aca="false">$O73</f>
        <v>15</v>
      </c>
      <c r="BL73" s="7" t="n">
        <f aca="false">$O73</f>
        <v>15</v>
      </c>
      <c r="BM73" s="7" t="n">
        <f aca="false">$P73</f>
        <v>15</v>
      </c>
      <c r="BN73" s="7" t="n">
        <f aca="false">$P73</f>
        <v>15</v>
      </c>
      <c r="BO73" s="7" t="n">
        <f aca="false">$P73</f>
        <v>15</v>
      </c>
      <c r="BP73" s="7" t="n">
        <f aca="false">$P73</f>
        <v>15</v>
      </c>
    </row>
    <row r="74" customFormat="false" ht="15" hidden="false" customHeight="false" outlineLevel="0" collapsed="false">
      <c r="A74" s="0" t="s">
        <v>235</v>
      </c>
      <c r="B74" s="0" t="s">
        <v>133</v>
      </c>
      <c r="C74" s="0" t="s">
        <v>120</v>
      </c>
      <c r="D74" s="0" t="n">
        <f aca="false">SUM(Q74:BP74)</f>
        <v>572</v>
      </c>
      <c r="E74" s="13" t="n">
        <v>3</v>
      </c>
      <c r="F74" s="13" t="n">
        <v>5</v>
      </c>
      <c r="G74" s="13" t="n">
        <v>7</v>
      </c>
      <c r="H74" s="13" t="n">
        <v>9</v>
      </c>
      <c r="I74" s="13" t="n">
        <v>11</v>
      </c>
      <c r="J74" s="13" t="n">
        <v>12</v>
      </c>
      <c r="K74" s="13" t="n">
        <v>13</v>
      </c>
      <c r="L74" s="13" t="n">
        <v>14</v>
      </c>
      <c r="M74" s="13" t="n">
        <v>14</v>
      </c>
      <c r="N74" s="13" t="n">
        <v>15</v>
      </c>
      <c r="O74" s="13" t="n">
        <v>15</v>
      </c>
      <c r="P74" s="13" t="n">
        <v>15</v>
      </c>
      <c r="Q74" s="7" t="n">
        <f aca="false">$E74</f>
        <v>3</v>
      </c>
      <c r="R74" s="7" t="n">
        <f aca="false">$E74</f>
        <v>3</v>
      </c>
      <c r="S74" s="7" t="n">
        <f aca="false">$E74</f>
        <v>3</v>
      </c>
      <c r="T74" s="7" t="n">
        <f aca="false">$E74</f>
        <v>3</v>
      </c>
      <c r="U74" s="7" t="n">
        <f aca="false">$E74</f>
        <v>3</v>
      </c>
      <c r="V74" s="7" t="n">
        <f aca="false">$F74</f>
        <v>5</v>
      </c>
      <c r="W74" s="7" t="n">
        <f aca="false">$F74</f>
        <v>5</v>
      </c>
      <c r="X74" s="7" t="n">
        <f aca="false">$F74</f>
        <v>5</v>
      </c>
      <c r="Y74" s="7" t="n">
        <f aca="false">$F74</f>
        <v>5</v>
      </c>
      <c r="Z74" s="7" t="n">
        <f aca="false">$G74</f>
        <v>7</v>
      </c>
      <c r="AA74" s="7" t="n">
        <f aca="false">$G74</f>
        <v>7</v>
      </c>
      <c r="AB74" s="7" t="n">
        <f aca="false">$G74</f>
        <v>7</v>
      </c>
      <c r="AC74" s="7" t="n">
        <f aca="false">$G74</f>
        <v>7</v>
      </c>
      <c r="AD74" s="7" t="n">
        <f aca="false">$H74</f>
        <v>9</v>
      </c>
      <c r="AE74" s="7" t="n">
        <f aca="false">$H74</f>
        <v>9</v>
      </c>
      <c r="AF74" s="7" t="n">
        <f aca="false">$H74</f>
        <v>9</v>
      </c>
      <c r="AG74" s="7" t="n">
        <f aca="false">$H74</f>
        <v>9</v>
      </c>
      <c r="AH74" s="7" t="n">
        <f aca="false">$H74</f>
        <v>9</v>
      </c>
      <c r="AI74" s="7" t="n">
        <f aca="false">$I74</f>
        <v>11</v>
      </c>
      <c r="AJ74" s="7" t="n">
        <f aca="false">$I74</f>
        <v>11</v>
      </c>
      <c r="AK74" s="7" t="n">
        <f aca="false">$I74</f>
        <v>11</v>
      </c>
      <c r="AL74" s="7" t="n">
        <f aca="false">$I74</f>
        <v>11</v>
      </c>
      <c r="AM74" s="7" t="n">
        <f aca="false">$J74</f>
        <v>12</v>
      </c>
      <c r="AN74" s="7" t="n">
        <f aca="false">$J74</f>
        <v>12</v>
      </c>
      <c r="AO74" s="7" t="n">
        <f aca="false">$J74</f>
        <v>12</v>
      </c>
      <c r="AP74" s="7" t="n">
        <f aca="false">$J74</f>
        <v>12</v>
      </c>
      <c r="AQ74" s="7" t="n">
        <f aca="false">$K74</f>
        <v>13</v>
      </c>
      <c r="AR74" s="7" t="n">
        <f aca="false">$K74</f>
        <v>13</v>
      </c>
      <c r="AS74" s="7" t="n">
        <f aca="false">$K74</f>
        <v>13</v>
      </c>
      <c r="AT74" s="7" t="n">
        <f aca="false">$K74</f>
        <v>13</v>
      </c>
      <c r="AU74" s="7" t="n">
        <f aca="false">$K74</f>
        <v>13</v>
      </c>
      <c r="AV74" s="7" t="n">
        <f aca="false">$L74</f>
        <v>14</v>
      </c>
      <c r="AW74" s="7" t="n">
        <f aca="false">$L74</f>
        <v>14</v>
      </c>
      <c r="AX74" s="7" t="n">
        <f aca="false">$L74</f>
        <v>14</v>
      </c>
      <c r="AY74" s="7" t="n">
        <f aca="false">$L74</f>
        <v>14</v>
      </c>
      <c r="AZ74" s="7" t="n">
        <f aca="false">$M74</f>
        <v>14</v>
      </c>
      <c r="BA74" s="7" t="n">
        <f aca="false">$M74</f>
        <v>14</v>
      </c>
      <c r="BB74" s="7" t="n">
        <f aca="false">$M74</f>
        <v>14</v>
      </c>
      <c r="BC74" s="7" t="n">
        <f aca="false">$M74</f>
        <v>14</v>
      </c>
      <c r="BD74" s="7" t="n">
        <f aca="false">$N74</f>
        <v>15</v>
      </c>
      <c r="BE74" s="7" t="n">
        <f aca="false">$N74</f>
        <v>15</v>
      </c>
      <c r="BF74" s="7" t="n">
        <f aca="false">$N74</f>
        <v>15</v>
      </c>
      <c r="BG74" s="7" t="n">
        <f aca="false">$N74</f>
        <v>15</v>
      </c>
      <c r="BH74" s="7" t="n">
        <f aca="false">$N74</f>
        <v>15</v>
      </c>
      <c r="BI74" s="7" t="n">
        <f aca="false">$O74</f>
        <v>15</v>
      </c>
      <c r="BJ74" s="7" t="n">
        <f aca="false">$O74</f>
        <v>15</v>
      </c>
      <c r="BK74" s="7" t="n">
        <f aca="false">$O74</f>
        <v>15</v>
      </c>
      <c r="BL74" s="7" t="n">
        <f aca="false">$O74</f>
        <v>15</v>
      </c>
      <c r="BM74" s="7" t="n">
        <f aca="false">$P74</f>
        <v>15</v>
      </c>
      <c r="BN74" s="7" t="n">
        <f aca="false">$P74</f>
        <v>15</v>
      </c>
      <c r="BO74" s="7" t="n">
        <f aca="false">$P74</f>
        <v>15</v>
      </c>
      <c r="BP74" s="7" t="n">
        <f aca="false">$P74</f>
        <v>15</v>
      </c>
    </row>
    <row r="75" customFormat="false" ht="15" hidden="false" customHeight="false" outlineLevel="0" collapsed="false">
      <c r="A75" s="0" t="s">
        <v>235</v>
      </c>
      <c r="B75" s="0" t="s">
        <v>133</v>
      </c>
      <c r="C75" s="0" t="s">
        <v>121</v>
      </c>
      <c r="D75" s="0" t="n">
        <f aca="false">SUM(Q75:BP75)</f>
        <v>318</v>
      </c>
      <c r="E75" s="13" t="n">
        <v>2</v>
      </c>
      <c r="F75" s="13" t="n">
        <v>3</v>
      </c>
      <c r="G75" s="13" t="n">
        <v>4</v>
      </c>
      <c r="H75" s="13" t="n">
        <v>5</v>
      </c>
      <c r="I75" s="13" t="n">
        <v>6</v>
      </c>
      <c r="J75" s="13" t="n">
        <v>7</v>
      </c>
      <c r="K75" s="13" t="n">
        <v>7</v>
      </c>
      <c r="L75" s="13" t="n">
        <v>8</v>
      </c>
      <c r="M75" s="13" t="n">
        <v>8</v>
      </c>
      <c r="N75" s="13" t="n">
        <v>8</v>
      </c>
      <c r="O75" s="13" t="n">
        <v>8</v>
      </c>
      <c r="P75" s="13" t="n">
        <v>8</v>
      </c>
      <c r="Q75" s="7" t="n">
        <f aca="false">$E75</f>
        <v>2</v>
      </c>
      <c r="R75" s="7" t="n">
        <f aca="false">$E75</f>
        <v>2</v>
      </c>
      <c r="S75" s="7" t="n">
        <f aca="false">$E75</f>
        <v>2</v>
      </c>
      <c r="T75" s="7" t="n">
        <f aca="false">$E75</f>
        <v>2</v>
      </c>
      <c r="U75" s="7" t="n">
        <f aca="false">$E75</f>
        <v>2</v>
      </c>
      <c r="V75" s="7" t="n">
        <f aca="false">$F75</f>
        <v>3</v>
      </c>
      <c r="W75" s="7" t="n">
        <f aca="false">$F75</f>
        <v>3</v>
      </c>
      <c r="X75" s="7" t="n">
        <f aca="false">$F75</f>
        <v>3</v>
      </c>
      <c r="Y75" s="7" t="n">
        <f aca="false">$F75</f>
        <v>3</v>
      </c>
      <c r="Z75" s="7" t="n">
        <f aca="false">$G75</f>
        <v>4</v>
      </c>
      <c r="AA75" s="7" t="n">
        <f aca="false">$G75</f>
        <v>4</v>
      </c>
      <c r="AB75" s="7" t="n">
        <f aca="false">$G75</f>
        <v>4</v>
      </c>
      <c r="AC75" s="7" t="n">
        <f aca="false">$G75</f>
        <v>4</v>
      </c>
      <c r="AD75" s="7" t="n">
        <f aca="false">$H75</f>
        <v>5</v>
      </c>
      <c r="AE75" s="7" t="n">
        <f aca="false">$H75</f>
        <v>5</v>
      </c>
      <c r="AF75" s="7" t="n">
        <f aca="false">$H75</f>
        <v>5</v>
      </c>
      <c r="AG75" s="7" t="n">
        <f aca="false">$H75</f>
        <v>5</v>
      </c>
      <c r="AH75" s="7" t="n">
        <f aca="false">$H75</f>
        <v>5</v>
      </c>
      <c r="AI75" s="7" t="n">
        <f aca="false">$I75</f>
        <v>6</v>
      </c>
      <c r="AJ75" s="7" t="n">
        <f aca="false">$I75</f>
        <v>6</v>
      </c>
      <c r="AK75" s="7" t="n">
        <f aca="false">$I75</f>
        <v>6</v>
      </c>
      <c r="AL75" s="7" t="n">
        <f aca="false">$I75</f>
        <v>6</v>
      </c>
      <c r="AM75" s="7" t="n">
        <f aca="false">$J75</f>
        <v>7</v>
      </c>
      <c r="AN75" s="7" t="n">
        <f aca="false">$J75</f>
        <v>7</v>
      </c>
      <c r="AO75" s="7" t="n">
        <f aca="false">$J75</f>
        <v>7</v>
      </c>
      <c r="AP75" s="7" t="n">
        <f aca="false">$J75</f>
        <v>7</v>
      </c>
      <c r="AQ75" s="7" t="n">
        <f aca="false">$K75</f>
        <v>7</v>
      </c>
      <c r="AR75" s="7" t="n">
        <f aca="false">$K75</f>
        <v>7</v>
      </c>
      <c r="AS75" s="7" t="n">
        <f aca="false">$K75</f>
        <v>7</v>
      </c>
      <c r="AT75" s="7" t="n">
        <f aca="false">$K75</f>
        <v>7</v>
      </c>
      <c r="AU75" s="7" t="n">
        <f aca="false">$K75</f>
        <v>7</v>
      </c>
      <c r="AV75" s="7" t="n">
        <f aca="false">$L75</f>
        <v>8</v>
      </c>
      <c r="AW75" s="7" t="n">
        <f aca="false">$L75</f>
        <v>8</v>
      </c>
      <c r="AX75" s="7" t="n">
        <f aca="false">$L75</f>
        <v>8</v>
      </c>
      <c r="AY75" s="7" t="n">
        <f aca="false">$L75</f>
        <v>8</v>
      </c>
      <c r="AZ75" s="7" t="n">
        <f aca="false">$M75</f>
        <v>8</v>
      </c>
      <c r="BA75" s="7" t="n">
        <f aca="false">$M75</f>
        <v>8</v>
      </c>
      <c r="BB75" s="7" t="n">
        <f aca="false">$M75</f>
        <v>8</v>
      </c>
      <c r="BC75" s="7" t="n">
        <f aca="false">$M75</f>
        <v>8</v>
      </c>
      <c r="BD75" s="7" t="n">
        <f aca="false">$N75</f>
        <v>8</v>
      </c>
      <c r="BE75" s="7" t="n">
        <f aca="false">$N75</f>
        <v>8</v>
      </c>
      <c r="BF75" s="7" t="n">
        <f aca="false">$N75</f>
        <v>8</v>
      </c>
      <c r="BG75" s="7" t="n">
        <f aca="false">$N75</f>
        <v>8</v>
      </c>
      <c r="BH75" s="7" t="n">
        <f aca="false">$N75</f>
        <v>8</v>
      </c>
      <c r="BI75" s="7" t="n">
        <f aca="false">$O75</f>
        <v>8</v>
      </c>
      <c r="BJ75" s="7" t="n">
        <f aca="false">$O75</f>
        <v>8</v>
      </c>
      <c r="BK75" s="7" t="n">
        <f aca="false">$O75</f>
        <v>8</v>
      </c>
      <c r="BL75" s="7" t="n">
        <f aca="false">$O75</f>
        <v>8</v>
      </c>
      <c r="BM75" s="7" t="n">
        <f aca="false">$P75</f>
        <v>8</v>
      </c>
      <c r="BN75" s="7" t="n">
        <f aca="false">$P75</f>
        <v>8</v>
      </c>
      <c r="BO75" s="7" t="n">
        <f aca="false">$P75</f>
        <v>8</v>
      </c>
      <c r="BP75" s="7" t="n">
        <f aca="false">$P75</f>
        <v>8</v>
      </c>
    </row>
    <row r="76" customFormat="false" ht="15" hidden="false" customHeight="false" outlineLevel="0" collapsed="false">
      <c r="A76" s="0" t="s">
        <v>235</v>
      </c>
      <c r="B76" s="0" t="s">
        <v>133</v>
      </c>
      <c r="C76" s="0" t="s">
        <v>122</v>
      </c>
      <c r="D76" s="0" t="n">
        <f aca="false">SUM(Q76:BP76)</f>
        <v>0</v>
      </c>
      <c r="E76" s="13" t="n">
        <v>0</v>
      </c>
      <c r="F76" s="13" t="n">
        <v>0</v>
      </c>
      <c r="G76" s="13" t="n">
        <v>0</v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7" t="n">
        <f aca="false">$E76</f>
        <v>0</v>
      </c>
      <c r="R76" s="7" t="n">
        <f aca="false">$E76</f>
        <v>0</v>
      </c>
      <c r="S76" s="7" t="n">
        <f aca="false">$E76</f>
        <v>0</v>
      </c>
      <c r="T76" s="7" t="n">
        <f aca="false">$E76</f>
        <v>0</v>
      </c>
      <c r="U76" s="7" t="n">
        <f aca="false">$E76</f>
        <v>0</v>
      </c>
      <c r="V76" s="7" t="n">
        <f aca="false">$F76</f>
        <v>0</v>
      </c>
      <c r="W76" s="7" t="n">
        <f aca="false">$F76</f>
        <v>0</v>
      </c>
      <c r="X76" s="7" t="n">
        <f aca="false">$F76</f>
        <v>0</v>
      </c>
      <c r="Y76" s="7" t="n">
        <f aca="false">$F76</f>
        <v>0</v>
      </c>
      <c r="Z76" s="7" t="n">
        <f aca="false">$G76</f>
        <v>0</v>
      </c>
      <c r="AA76" s="7" t="n">
        <f aca="false">$G76</f>
        <v>0</v>
      </c>
      <c r="AB76" s="7" t="n">
        <f aca="false">$G76</f>
        <v>0</v>
      </c>
      <c r="AC76" s="7" t="n">
        <f aca="false">$G76</f>
        <v>0</v>
      </c>
      <c r="AD76" s="7" t="n">
        <f aca="false">$H76</f>
        <v>0</v>
      </c>
      <c r="AE76" s="7" t="n">
        <f aca="false">$H76</f>
        <v>0</v>
      </c>
      <c r="AF76" s="7" t="n">
        <f aca="false">$H76</f>
        <v>0</v>
      </c>
      <c r="AG76" s="7" t="n">
        <f aca="false">$H76</f>
        <v>0</v>
      </c>
      <c r="AH76" s="7" t="n">
        <f aca="false">$H76</f>
        <v>0</v>
      </c>
      <c r="AI76" s="7" t="n">
        <f aca="false">$I76</f>
        <v>0</v>
      </c>
      <c r="AJ76" s="7" t="n">
        <f aca="false">$I76</f>
        <v>0</v>
      </c>
      <c r="AK76" s="7" t="n">
        <f aca="false">$I76</f>
        <v>0</v>
      </c>
      <c r="AL76" s="7" t="n">
        <f aca="false">$I76</f>
        <v>0</v>
      </c>
      <c r="AM76" s="7" t="n">
        <f aca="false">$J76</f>
        <v>0</v>
      </c>
      <c r="AN76" s="7" t="n">
        <f aca="false">$J76</f>
        <v>0</v>
      </c>
      <c r="AO76" s="7" t="n">
        <f aca="false">$J76</f>
        <v>0</v>
      </c>
      <c r="AP76" s="7" t="n">
        <f aca="false">$J76</f>
        <v>0</v>
      </c>
      <c r="AQ76" s="7" t="n">
        <f aca="false">$K76</f>
        <v>0</v>
      </c>
      <c r="AR76" s="7" t="n">
        <f aca="false">$K76</f>
        <v>0</v>
      </c>
      <c r="AS76" s="7" t="n">
        <f aca="false">$K76</f>
        <v>0</v>
      </c>
      <c r="AT76" s="7" t="n">
        <f aca="false">$K76</f>
        <v>0</v>
      </c>
      <c r="AU76" s="7" t="n">
        <f aca="false">$K76</f>
        <v>0</v>
      </c>
      <c r="AV76" s="7" t="n">
        <f aca="false">$L76</f>
        <v>0</v>
      </c>
      <c r="AW76" s="7" t="n">
        <f aca="false">$L76</f>
        <v>0</v>
      </c>
      <c r="AX76" s="7" t="n">
        <f aca="false">$L76</f>
        <v>0</v>
      </c>
      <c r="AY76" s="7" t="n">
        <f aca="false">$L76</f>
        <v>0</v>
      </c>
      <c r="AZ76" s="7" t="n">
        <f aca="false">$M76</f>
        <v>0</v>
      </c>
      <c r="BA76" s="7" t="n">
        <f aca="false">$M76</f>
        <v>0</v>
      </c>
      <c r="BB76" s="7" t="n">
        <f aca="false">$M76</f>
        <v>0</v>
      </c>
      <c r="BC76" s="7" t="n">
        <f aca="false">$M76</f>
        <v>0</v>
      </c>
      <c r="BD76" s="7" t="n">
        <f aca="false">$N76</f>
        <v>0</v>
      </c>
      <c r="BE76" s="7" t="n">
        <f aca="false">$N76</f>
        <v>0</v>
      </c>
      <c r="BF76" s="7" t="n">
        <f aca="false">$N76</f>
        <v>0</v>
      </c>
      <c r="BG76" s="7" t="n">
        <f aca="false">$N76</f>
        <v>0</v>
      </c>
      <c r="BH76" s="7" t="n">
        <f aca="false">$N76</f>
        <v>0</v>
      </c>
      <c r="BI76" s="7" t="n">
        <f aca="false">$O76</f>
        <v>0</v>
      </c>
      <c r="BJ76" s="7" t="n">
        <f aca="false">$O76</f>
        <v>0</v>
      </c>
      <c r="BK76" s="7" t="n">
        <f aca="false">$O76</f>
        <v>0</v>
      </c>
      <c r="BL76" s="7" t="n">
        <f aca="false">$O76</f>
        <v>0</v>
      </c>
      <c r="BM76" s="7" t="n">
        <f aca="false">$P76</f>
        <v>0</v>
      </c>
      <c r="BN76" s="7" t="n">
        <f aca="false">$P76</f>
        <v>0</v>
      </c>
      <c r="BO76" s="7" t="n">
        <f aca="false">$P76</f>
        <v>0</v>
      </c>
      <c r="BP76" s="7" t="n">
        <f aca="false">$P76</f>
        <v>0</v>
      </c>
    </row>
    <row r="77" customFormat="false" ht="15" hidden="false" customHeight="false" outlineLevel="0" collapsed="false">
      <c r="A77" s="0" t="s">
        <v>235</v>
      </c>
      <c r="B77" s="0" t="s">
        <v>133</v>
      </c>
      <c r="C77" s="0" t="s">
        <v>123</v>
      </c>
      <c r="D77" s="0" t="n">
        <f aca="false">SUM(Q77:BP77)</f>
        <v>387</v>
      </c>
      <c r="E77" s="13" t="n">
        <v>2</v>
      </c>
      <c r="F77" s="13" t="n">
        <v>3</v>
      </c>
      <c r="G77" s="13" t="n">
        <v>5</v>
      </c>
      <c r="H77" s="13" t="n">
        <v>6</v>
      </c>
      <c r="I77" s="13" t="n">
        <v>7</v>
      </c>
      <c r="J77" s="13" t="n">
        <v>8</v>
      </c>
      <c r="K77" s="13" t="n">
        <v>9</v>
      </c>
      <c r="L77" s="13" t="n">
        <v>10</v>
      </c>
      <c r="M77" s="13" t="n">
        <v>10</v>
      </c>
      <c r="N77" s="13" t="n">
        <v>10</v>
      </c>
      <c r="O77" s="13" t="n">
        <v>10</v>
      </c>
      <c r="P77" s="13" t="n">
        <v>10</v>
      </c>
      <c r="Q77" s="7" t="n">
        <f aca="false">$E77</f>
        <v>2</v>
      </c>
      <c r="R77" s="7" t="n">
        <f aca="false">$E77</f>
        <v>2</v>
      </c>
      <c r="S77" s="7" t="n">
        <f aca="false">$E77</f>
        <v>2</v>
      </c>
      <c r="T77" s="7" t="n">
        <f aca="false">$E77</f>
        <v>2</v>
      </c>
      <c r="U77" s="7" t="n">
        <f aca="false">$E77</f>
        <v>2</v>
      </c>
      <c r="V77" s="7" t="n">
        <f aca="false">$F77</f>
        <v>3</v>
      </c>
      <c r="W77" s="7" t="n">
        <f aca="false">$F77</f>
        <v>3</v>
      </c>
      <c r="X77" s="7" t="n">
        <f aca="false">$F77</f>
        <v>3</v>
      </c>
      <c r="Y77" s="7" t="n">
        <f aca="false">$F77</f>
        <v>3</v>
      </c>
      <c r="Z77" s="7" t="n">
        <f aca="false">$G77</f>
        <v>5</v>
      </c>
      <c r="AA77" s="7" t="n">
        <f aca="false">$G77</f>
        <v>5</v>
      </c>
      <c r="AB77" s="7" t="n">
        <f aca="false">$G77</f>
        <v>5</v>
      </c>
      <c r="AC77" s="7" t="n">
        <f aca="false">$G77</f>
        <v>5</v>
      </c>
      <c r="AD77" s="7" t="n">
        <f aca="false">$H77</f>
        <v>6</v>
      </c>
      <c r="AE77" s="7" t="n">
        <f aca="false">$H77</f>
        <v>6</v>
      </c>
      <c r="AF77" s="7" t="n">
        <f aca="false">$H77</f>
        <v>6</v>
      </c>
      <c r="AG77" s="7" t="n">
        <f aca="false">$H77</f>
        <v>6</v>
      </c>
      <c r="AH77" s="7" t="n">
        <f aca="false">$H77</f>
        <v>6</v>
      </c>
      <c r="AI77" s="7" t="n">
        <f aca="false">$I77</f>
        <v>7</v>
      </c>
      <c r="AJ77" s="7" t="n">
        <f aca="false">$I77</f>
        <v>7</v>
      </c>
      <c r="AK77" s="7" t="n">
        <f aca="false">$I77</f>
        <v>7</v>
      </c>
      <c r="AL77" s="7" t="n">
        <f aca="false">$I77</f>
        <v>7</v>
      </c>
      <c r="AM77" s="7" t="n">
        <f aca="false">$J77</f>
        <v>8</v>
      </c>
      <c r="AN77" s="7" t="n">
        <f aca="false">$J77</f>
        <v>8</v>
      </c>
      <c r="AO77" s="7" t="n">
        <f aca="false">$J77</f>
        <v>8</v>
      </c>
      <c r="AP77" s="7" t="n">
        <f aca="false">$J77</f>
        <v>8</v>
      </c>
      <c r="AQ77" s="7" t="n">
        <f aca="false">$K77</f>
        <v>9</v>
      </c>
      <c r="AR77" s="7" t="n">
        <f aca="false">$K77</f>
        <v>9</v>
      </c>
      <c r="AS77" s="7" t="n">
        <f aca="false">$K77</f>
        <v>9</v>
      </c>
      <c r="AT77" s="7" t="n">
        <f aca="false">$K77</f>
        <v>9</v>
      </c>
      <c r="AU77" s="7" t="n">
        <f aca="false">$K77</f>
        <v>9</v>
      </c>
      <c r="AV77" s="7" t="n">
        <f aca="false">$L77</f>
        <v>10</v>
      </c>
      <c r="AW77" s="7" t="n">
        <f aca="false">$L77</f>
        <v>10</v>
      </c>
      <c r="AX77" s="7" t="n">
        <f aca="false">$L77</f>
        <v>10</v>
      </c>
      <c r="AY77" s="7" t="n">
        <f aca="false">$L77</f>
        <v>10</v>
      </c>
      <c r="AZ77" s="7" t="n">
        <f aca="false">$M77</f>
        <v>10</v>
      </c>
      <c r="BA77" s="7" t="n">
        <f aca="false">$M77</f>
        <v>10</v>
      </c>
      <c r="BB77" s="7" t="n">
        <f aca="false">$M77</f>
        <v>10</v>
      </c>
      <c r="BC77" s="7" t="n">
        <f aca="false">$M77</f>
        <v>10</v>
      </c>
      <c r="BD77" s="7" t="n">
        <f aca="false">$N77</f>
        <v>10</v>
      </c>
      <c r="BE77" s="7" t="n">
        <f aca="false">$N77</f>
        <v>10</v>
      </c>
      <c r="BF77" s="7" t="n">
        <f aca="false">$N77</f>
        <v>10</v>
      </c>
      <c r="BG77" s="7" t="n">
        <f aca="false">$N77</f>
        <v>10</v>
      </c>
      <c r="BH77" s="7" t="n">
        <f aca="false">$N77</f>
        <v>10</v>
      </c>
      <c r="BI77" s="7" t="n">
        <f aca="false">$O77</f>
        <v>10</v>
      </c>
      <c r="BJ77" s="7" t="n">
        <f aca="false">$O77</f>
        <v>10</v>
      </c>
      <c r="BK77" s="7" t="n">
        <f aca="false">$O77</f>
        <v>10</v>
      </c>
      <c r="BL77" s="7" t="n">
        <f aca="false">$O77</f>
        <v>10</v>
      </c>
      <c r="BM77" s="7" t="n">
        <f aca="false">$P77</f>
        <v>10</v>
      </c>
      <c r="BN77" s="7" t="n">
        <f aca="false">$P77</f>
        <v>10</v>
      </c>
      <c r="BO77" s="7" t="n">
        <f aca="false">$P77</f>
        <v>10</v>
      </c>
      <c r="BP77" s="7" t="n">
        <f aca="false">$P77</f>
        <v>10</v>
      </c>
    </row>
    <row r="78" customFormat="false" ht="15" hidden="false" customHeight="false" outlineLevel="0" collapsed="false">
      <c r="A78" s="0" t="s">
        <v>235</v>
      </c>
      <c r="B78" s="0" t="s">
        <v>134</v>
      </c>
      <c r="C78" s="0" t="s">
        <v>115</v>
      </c>
      <c r="D78" s="0" t="n">
        <f aca="false">SUM(Q78:BP78)</f>
        <v>175</v>
      </c>
      <c r="E78" s="22" t="n">
        <v>0</v>
      </c>
      <c r="F78" s="22" t="n">
        <v>0</v>
      </c>
      <c r="G78" s="22" t="n">
        <v>0</v>
      </c>
      <c r="H78" s="22" t="n">
        <v>1</v>
      </c>
      <c r="I78" s="22" t="n">
        <v>2</v>
      </c>
      <c r="J78" s="22" t="n">
        <v>3</v>
      </c>
      <c r="K78" s="22" t="n">
        <v>4</v>
      </c>
      <c r="L78" s="22" t="n">
        <v>5</v>
      </c>
      <c r="M78" s="22" t="n">
        <v>6</v>
      </c>
      <c r="N78" s="22" t="n">
        <v>6</v>
      </c>
      <c r="O78" s="22" t="n">
        <v>7</v>
      </c>
      <c r="P78" s="22" t="n">
        <v>7</v>
      </c>
      <c r="Q78" s="7" t="n">
        <f aca="false">$E78</f>
        <v>0</v>
      </c>
      <c r="R78" s="7" t="n">
        <f aca="false">$E78</f>
        <v>0</v>
      </c>
      <c r="S78" s="7" t="n">
        <f aca="false">$E78</f>
        <v>0</v>
      </c>
      <c r="T78" s="7" t="n">
        <f aca="false">$E78</f>
        <v>0</v>
      </c>
      <c r="U78" s="7" t="n">
        <f aca="false">$E78</f>
        <v>0</v>
      </c>
      <c r="V78" s="7" t="n">
        <f aca="false">$F78</f>
        <v>0</v>
      </c>
      <c r="W78" s="7" t="n">
        <f aca="false">$F78</f>
        <v>0</v>
      </c>
      <c r="X78" s="7" t="n">
        <f aca="false">$F78</f>
        <v>0</v>
      </c>
      <c r="Y78" s="7" t="n">
        <f aca="false">$F78</f>
        <v>0</v>
      </c>
      <c r="Z78" s="7" t="n">
        <f aca="false">$G78</f>
        <v>0</v>
      </c>
      <c r="AA78" s="7" t="n">
        <f aca="false">$G78</f>
        <v>0</v>
      </c>
      <c r="AB78" s="7" t="n">
        <f aca="false">$G78</f>
        <v>0</v>
      </c>
      <c r="AC78" s="7" t="n">
        <f aca="false">$G78</f>
        <v>0</v>
      </c>
      <c r="AD78" s="7" t="n">
        <f aca="false">$H78</f>
        <v>1</v>
      </c>
      <c r="AE78" s="7" t="n">
        <f aca="false">$H78</f>
        <v>1</v>
      </c>
      <c r="AF78" s="7" t="n">
        <f aca="false">$H78</f>
        <v>1</v>
      </c>
      <c r="AG78" s="7" t="n">
        <f aca="false">$H78</f>
        <v>1</v>
      </c>
      <c r="AH78" s="7" t="n">
        <f aca="false">$H78</f>
        <v>1</v>
      </c>
      <c r="AI78" s="7" t="n">
        <f aca="false">$I78</f>
        <v>2</v>
      </c>
      <c r="AJ78" s="7" t="n">
        <f aca="false">$I78</f>
        <v>2</v>
      </c>
      <c r="AK78" s="7" t="n">
        <f aca="false">$I78</f>
        <v>2</v>
      </c>
      <c r="AL78" s="7" t="n">
        <f aca="false">$I78</f>
        <v>2</v>
      </c>
      <c r="AM78" s="7" t="n">
        <f aca="false">$J78</f>
        <v>3</v>
      </c>
      <c r="AN78" s="7" t="n">
        <f aca="false">$J78</f>
        <v>3</v>
      </c>
      <c r="AO78" s="7" t="n">
        <f aca="false">$J78</f>
        <v>3</v>
      </c>
      <c r="AP78" s="7" t="n">
        <f aca="false">$J78</f>
        <v>3</v>
      </c>
      <c r="AQ78" s="7" t="n">
        <f aca="false">$K78</f>
        <v>4</v>
      </c>
      <c r="AR78" s="7" t="n">
        <f aca="false">$K78</f>
        <v>4</v>
      </c>
      <c r="AS78" s="7" t="n">
        <f aca="false">$K78</f>
        <v>4</v>
      </c>
      <c r="AT78" s="7" t="n">
        <f aca="false">$K78</f>
        <v>4</v>
      </c>
      <c r="AU78" s="7" t="n">
        <f aca="false">$K78</f>
        <v>4</v>
      </c>
      <c r="AV78" s="7" t="n">
        <f aca="false">$L78</f>
        <v>5</v>
      </c>
      <c r="AW78" s="7" t="n">
        <f aca="false">$L78</f>
        <v>5</v>
      </c>
      <c r="AX78" s="7" t="n">
        <f aca="false">$L78</f>
        <v>5</v>
      </c>
      <c r="AY78" s="7" t="n">
        <f aca="false">$L78</f>
        <v>5</v>
      </c>
      <c r="AZ78" s="7" t="n">
        <f aca="false">$M78</f>
        <v>6</v>
      </c>
      <c r="BA78" s="7" t="n">
        <f aca="false">$M78</f>
        <v>6</v>
      </c>
      <c r="BB78" s="7" t="n">
        <f aca="false">$M78</f>
        <v>6</v>
      </c>
      <c r="BC78" s="7" t="n">
        <f aca="false">$M78</f>
        <v>6</v>
      </c>
      <c r="BD78" s="7" t="n">
        <f aca="false">$N78</f>
        <v>6</v>
      </c>
      <c r="BE78" s="7" t="n">
        <f aca="false">$N78</f>
        <v>6</v>
      </c>
      <c r="BF78" s="7" t="n">
        <f aca="false">$N78</f>
        <v>6</v>
      </c>
      <c r="BG78" s="7" t="n">
        <f aca="false">$N78</f>
        <v>6</v>
      </c>
      <c r="BH78" s="7" t="n">
        <f aca="false">$N78</f>
        <v>6</v>
      </c>
      <c r="BI78" s="7" t="n">
        <f aca="false">$O78</f>
        <v>7</v>
      </c>
      <c r="BJ78" s="7" t="n">
        <f aca="false">$O78</f>
        <v>7</v>
      </c>
      <c r="BK78" s="7" t="n">
        <f aca="false">$O78</f>
        <v>7</v>
      </c>
      <c r="BL78" s="7" t="n">
        <f aca="false">$O78</f>
        <v>7</v>
      </c>
      <c r="BM78" s="7" t="n">
        <f aca="false">$P78</f>
        <v>7</v>
      </c>
      <c r="BN78" s="7" t="n">
        <f aca="false">$P78</f>
        <v>7</v>
      </c>
      <c r="BO78" s="7" t="n">
        <f aca="false">$P78</f>
        <v>7</v>
      </c>
      <c r="BP78" s="7" t="n">
        <f aca="false">$P78</f>
        <v>7</v>
      </c>
    </row>
    <row r="79" customFormat="false" ht="15" hidden="false" customHeight="false" outlineLevel="0" collapsed="false">
      <c r="A79" s="0" t="s">
        <v>235</v>
      </c>
      <c r="B79" s="0" t="s">
        <v>134</v>
      </c>
      <c r="C79" s="0" t="s">
        <v>116</v>
      </c>
      <c r="D79" s="0" t="n">
        <f aca="false">SUM(Q79:BP79)</f>
        <v>98</v>
      </c>
      <c r="E79" s="22" t="n">
        <v>0</v>
      </c>
      <c r="F79" s="22" t="n">
        <v>0</v>
      </c>
      <c r="G79" s="22" t="n">
        <v>0</v>
      </c>
      <c r="H79" s="22" t="n">
        <v>0</v>
      </c>
      <c r="I79" s="22" t="n">
        <v>1</v>
      </c>
      <c r="J79" s="22" t="n">
        <v>2</v>
      </c>
      <c r="K79" s="22" t="n">
        <v>2</v>
      </c>
      <c r="L79" s="22" t="n">
        <v>3</v>
      </c>
      <c r="M79" s="22" t="n">
        <v>3</v>
      </c>
      <c r="N79" s="22" t="n">
        <v>4</v>
      </c>
      <c r="O79" s="22" t="n">
        <v>4</v>
      </c>
      <c r="P79" s="22" t="n">
        <v>4</v>
      </c>
      <c r="Q79" s="7" t="n">
        <f aca="false">$E79</f>
        <v>0</v>
      </c>
      <c r="R79" s="7" t="n">
        <f aca="false">$E79</f>
        <v>0</v>
      </c>
      <c r="S79" s="7" t="n">
        <f aca="false">$E79</f>
        <v>0</v>
      </c>
      <c r="T79" s="7" t="n">
        <f aca="false">$E79</f>
        <v>0</v>
      </c>
      <c r="U79" s="7" t="n">
        <f aca="false">$E79</f>
        <v>0</v>
      </c>
      <c r="V79" s="7" t="n">
        <f aca="false">$F79</f>
        <v>0</v>
      </c>
      <c r="W79" s="7" t="n">
        <f aca="false">$F79</f>
        <v>0</v>
      </c>
      <c r="X79" s="7" t="n">
        <f aca="false">$F79</f>
        <v>0</v>
      </c>
      <c r="Y79" s="7" t="n">
        <f aca="false">$F79</f>
        <v>0</v>
      </c>
      <c r="Z79" s="7" t="n">
        <f aca="false">$G79</f>
        <v>0</v>
      </c>
      <c r="AA79" s="7" t="n">
        <f aca="false">$G79</f>
        <v>0</v>
      </c>
      <c r="AB79" s="7" t="n">
        <f aca="false">$G79</f>
        <v>0</v>
      </c>
      <c r="AC79" s="7" t="n">
        <f aca="false">$G79</f>
        <v>0</v>
      </c>
      <c r="AD79" s="7" t="n">
        <f aca="false">$H79</f>
        <v>0</v>
      </c>
      <c r="AE79" s="7" t="n">
        <f aca="false">$H79</f>
        <v>0</v>
      </c>
      <c r="AF79" s="7" t="n">
        <f aca="false">$H79</f>
        <v>0</v>
      </c>
      <c r="AG79" s="7" t="n">
        <f aca="false">$H79</f>
        <v>0</v>
      </c>
      <c r="AH79" s="7" t="n">
        <f aca="false">$H79</f>
        <v>0</v>
      </c>
      <c r="AI79" s="7" t="n">
        <f aca="false">$I79</f>
        <v>1</v>
      </c>
      <c r="AJ79" s="7" t="n">
        <f aca="false">$I79</f>
        <v>1</v>
      </c>
      <c r="AK79" s="7" t="n">
        <f aca="false">$I79</f>
        <v>1</v>
      </c>
      <c r="AL79" s="7" t="n">
        <f aca="false">$I79</f>
        <v>1</v>
      </c>
      <c r="AM79" s="7" t="n">
        <f aca="false">$J79</f>
        <v>2</v>
      </c>
      <c r="AN79" s="7" t="n">
        <f aca="false">$J79</f>
        <v>2</v>
      </c>
      <c r="AO79" s="7" t="n">
        <f aca="false">$J79</f>
        <v>2</v>
      </c>
      <c r="AP79" s="7" t="n">
        <f aca="false">$J79</f>
        <v>2</v>
      </c>
      <c r="AQ79" s="7" t="n">
        <f aca="false">$K79</f>
        <v>2</v>
      </c>
      <c r="AR79" s="7" t="n">
        <f aca="false">$K79</f>
        <v>2</v>
      </c>
      <c r="AS79" s="7" t="n">
        <f aca="false">$K79</f>
        <v>2</v>
      </c>
      <c r="AT79" s="7" t="n">
        <f aca="false">$K79</f>
        <v>2</v>
      </c>
      <c r="AU79" s="7" t="n">
        <f aca="false">$K79</f>
        <v>2</v>
      </c>
      <c r="AV79" s="7" t="n">
        <f aca="false">$L79</f>
        <v>3</v>
      </c>
      <c r="AW79" s="7" t="n">
        <f aca="false">$L79</f>
        <v>3</v>
      </c>
      <c r="AX79" s="7" t="n">
        <f aca="false">$L79</f>
        <v>3</v>
      </c>
      <c r="AY79" s="7" t="n">
        <f aca="false">$L79</f>
        <v>3</v>
      </c>
      <c r="AZ79" s="7" t="n">
        <f aca="false">$M79</f>
        <v>3</v>
      </c>
      <c r="BA79" s="7" t="n">
        <f aca="false">$M79</f>
        <v>3</v>
      </c>
      <c r="BB79" s="7" t="n">
        <f aca="false">$M79</f>
        <v>3</v>
      </c>
      <c r="BC79" s="7" t="n">
        <f aca="false">$M79</f>
        <v>3</v>
      </c>
      <c r="BD79" s="7" t="n">
        <f aca="false">$N79</f>
        <v>4</v>
      </c>
      <c r="BE79" s="7" t="n">
        <f aca="false">$N79</f>
        <v>4</v>
      </c>
      <c r="BF79" s="7" t="n">
        <f aca="false">$N79</f>
        <v>4</v>
      </c>
      <c r="BG79" s="7" t="n">
        <f aca="false">$N79</f>
        <v>4</v>
      </c>
      <c r="BH79" s="7" t="n">
        <f aca="false">$N79</f>
        <v>4</v>
      </c>
      <c r="BI79" s="7" t="n">
        <f aca="false">$O79</f>
        <v>4</v>
      </c>
      <c r="BJ79" s="7" t="n">
        <f aca="false">$O79</f>
        <v>4</v>
      </c>
      <c r="BK79" s="7" t="n">
        <f aca="false">$O79</f>
        <v>4</v>
      </c>
      <c r="BL79" s="7" t="n">
        <f aca="false">$O79</f>
        <v>4</v>
      </c>
      <c r="BM79" s="7" t="n">
        <f aca="false">$P79</f>
        <v>4</v>
      </c>
      <c r="BN79" s="7" t="n">
        <f aca="false">$P79</f>
        <v>4</v>
      </c>
      <c r="BO79" s="7" t="n">
        <f aca="false">$P79</f>
        <v>4</v>
      </c>
      <c r="BP79" s="7" t="n">
        <f aca="false">$P79</f>
        <v>4</v>
      </c>
    </row>
    <row r="80" customFormat="false" ht="15" hidden="false" customHeight="false" outlineLevel="0" collapsed="false">
      <c r="A80" s="0" t="s">
        <v>235</v>
      </c>
      <c r="B80" s="0" t="s">
        <v>134</v>
      </c>
      <c r="C80" s="0" t="s">
        <v>117</v>
      </c>
      <c r="D80" s="0" t="n">
        <f aca="false">SUM(Q80:BP80)</f>
        <v>60</v>
      </c>
      <c r="E80" s="22" t="n">
        <v>0</v>
      </c>
      <c r="F80" s="22" t="n">
        <v>0</v>
      </c>
      <c r="G80" s="22" t="n">
        <v>0</v>
      </c>
      <c r="H80" s="22" t="n">
        <v>0</v>
      </c>
      <c r="I80" s="22" t="n">
        <v>0</v>
      </c>
      <c r="J80" s="22" t="n">
        <v>0</v>
      </c>
      <c r="K80" s="22" t="n">
        <v>1</v>
      </c>
      <c r="L80" s="22" t="n">
        <v>2</v>
      </c>
      <c r="M80" s="22" t="n">
        <v>2</v>
      </c>
      <c r="N80" s="22" t="n">
        <v>3</v>
      </c>
      <c r="O80" s="22" t="n">
        <v>3</v>
      </c>
      <c r="P80" s="22" t="n">
        <v>3</v>
      </c>
      <c r="Q80" s="7" t="n">
        <f aca="false">$E80</f>
        <v>0</v>
      </c>
      <c r="R80" s="7" t="n">
        <f aca="false">$E80</f>
        <v>0</v>
      </c>
      <c r="S80" s="7" t="n">
        <f aca="false">$E80</f>
        <v>0</v>
      </c>
      <c r="T80" s="7" t="n">
        <f aca="false">$E80</f>
        <v>0</v>
      </c>
      <c r="U80" s="7" t="n">
        <f aca="false">$E80</f>
        <v>0</v>
      </c>
      <c r="V80" s="7" t="n">
        <f aca="false">$F80</f>
        <v>0</v>
      </c>
      <c r="W80" s="7" t="n">
        <f aca="false">$F80</f>
        <v>0</v>
      </c>
      <c r="X80" s="7" t="n">
        <f aca="false">$F80</f>
        <v>0</v>
      </c>
      <c r="Y80" s="7" t="n">
        <f aca="false">$F80</f>
        <v>0</v>
      </c>
      <c r="Z80" s="7" t="n">
        <f aca="false">$G80</f>
        <v>0</v>
      </c>
      <c r="AA80" s="7" t="n">
        <f aca="false">$G80</f>
        <v>0</v>
      </c>
      <c r="AB80" s="7" t="n">
        <f aca="false">$G80</f>
        <v>0</v>
      </c>
      <c r="AC80" s="7" t="n">
        <f aca="false">$G80</f>
        <v>0</v>
      </c>
      <c r="AD80" s="7" t="n">
        <f aca="false">$H80</f>
        <v>0</v>
      </c>
      <c r="AE80" s="7" t="n">
        <f aca="false">$H80</f>
        <v>0</v>
      </c>
      <c r="AF80" s="7" t="n">
        <f aca="false">$H80</f>
        <v>0</v>
      </c>
      <c r="AG80" s="7" t="n">
        <f aca="false">$H80</f>
        <v>0</v>
      </c>
      <c r="AH80" s="7" t="n">
        <f aca="false">$H80</f>
        <v>0</v>
      </c>
      <c r="AI80" s="7" t="n">
        <f aca="false">$I80</f>
        <v>0</v>
      </c>
      <c r="AJ80" s="7" t="n">
        <f aca="false">$I80</f>
        <v>0</v>
      </c>
      <c r="AK80" s="7" t="n">
        <f aca="false">$I80</f>
        <v>0</v>
      </c>
      <c r="AL80" s="7" t="n">
        <f aca="false">$I80</f>
        <v>0</v>
      </c>
      <c r="AM80" s="7" t="n">
        <f aca="false">$J80</f>
        <v>0</v>
      </c>
      <c r="AN80" s="7" t="n">
        <f aca="false">$J80</f>
        <v>0</v>
      </c>
      <c r="AO80" s="7" t="n">
        <f aca="false">$J80</f>
        <v>0</v>
      </c>
      <c r="AP80" s="7" t="n">
        <f aca="false">$J80</f>
        <v>0</v>
      </c>
      <c r="AQ80" s="7" t="n">
        <f aca="false">$K80</f>
        <v>1</v>
      </c>
      <c r="AR80" s="7" t="n">
        <f aca="false">$K80</f>
        <v>1</v>
      </c>
      <c r="AS80" s="7" t="n">
        <f aca="false">$K80</f>
        <v>1</v>
      </c>
      <c r="AT80" s="7" t="n">
        <f aca="false">$K80</f>
        <v>1</v>
      </c>
      <c r="AU80" s="7" t="n">
        <f aca="false">$K80</f>
        <v>1</v>
      </c>
      <c r="AV80" s="7" t="n">
        <f aca="false">$L80</f>
        <v>2</v>
      </c>
      <c r="AW80" s="7" t="n">
        <f aca="false">$L80</f>
        <v>2</v>
      </c>
      <c r="AX80" s="7" t="n">
        <f aca="false">$L80</f>
        <v>2</v>
      </c>
      <c r="AY80" s="7" t="n">
        <f aca="false">$L80</f>
        <v>2</v>
      </c>
      <c r="AZ80" s="7" t="n">
        <f aca="false">$M80</f>
        <v>2</v>
      </c>
      <c r="BA80" s="7" t="n">
        <f aca="false">$M80</f>
        <v>2</v>
      </c>
      <c r="BB80" s="7" t="n">
        <f aca="false">$M80</f>
        <v>2</v>
      </c>
      <c r="BC80" s="7" t="n">
        <f aca="false">$M80</f>
        <v>2</v>
      </c>
      <c r="BD80" s="7" t="n">
        <f aca="false">$N80</f>
        <v>3</v>
      </c>
      <c r="BE80" s="7" t="n">
        <f aca="false">$N80</f>
        <v>3</v>
      </c>
      <c r="BF80" s="7" t="n">
        <f aca="false">$N80</f>
        <v>3</v>
      </c>
      <c r="BG80" s="7" t="n">
        <f aca="false">$N80</f>
        <v>3</v>
      </c>
      <c r="BH80" s="7" t="n">
        <f aca="false">$N80</f>
        <v>3</v>
      </c>
      <c r="BI80" s="7" t="n">
        <f aca="false">$O80</f>
        <v>3</v>
      </c>
      <c r="BJ80" s="7" t="n">
        <f aca="false">$O80</f>
        <v>3</v>
      </c>
      <c r="BK80" s="7" t="n">
        <f aca="false">$O80</f>
        <v>3</v>
      </c>
      <c r="BL80" s="7" t="n">
        <f aca="false">$O80</f>
        <v>3</v>
      </c>
      <c r="BM80" s="7" t="n">
        <f aca="false">$P80</f>
        <v>3</v>
      </c>
      <c r="BN80" s="7" t="n">
        <f aca="false">$P80</f>
        <v>3</v>
      </c>
      <c r="BO80" s="7" t="n">
        <f aca="false">$P80</f>
        <v>3</v>
      </c>
      <c r="BP80" s="7" t="n">
        <f aca="false">$P80</f>
        <v>3</v>
      </c>
    </row>
    <row r="81" customFormat="false" ht="15" hidden="false" customHeight="false" outlineLevel="0" collapsed="false">
      <c r="A81" s="0" t="s">
        <v>235</v>
      </c>
      <c r="B81" s="0" t="s">
        <v>134</v>
      </c>
      <c r="C81" s="0" t="s">
        <v>118</v>
      </c>
      <c r="D81" s="0" t="n">
        <f aca="false">SUM(Q81:BP81)</f>
        <v>0</v>
      </c>
      <c r="E81" s="22" t="n">
        <v>0</v>
      </c>
      <c r="F81" s="22" t="n">
        <v>0</v>
      </c>
      <c r="G81" s="22" t="n">
        <v>0</v>
      </c>
      <c r="H81" s="22" t="n">
        <v>0</v>
      </c>
      <c r="I81" s="22" t="n">
        <v>0</v>
      </c>
      <c r="J81" s="22" t="n">
        <v>0</v>
      </c>
      <c r="K81" s="22" t="n">
        <v>0</v>
      </c>
      <c r="L81" s="22" t="n">
        <v>0</v>
      </c>
      <c r="M81" s="22" t="n">
        <v>0</v>
      </c>
      <c r="N81" s="22" t="n">
        <v>0</v>
      </c>
      <c r="O81" s="22" t="n">
        <v>0</v>
      </c>
      <c r="P81" s="22" t="n">
        <v>0</v>
      </c>
      <c r="Q81" s="7" t="n">
        <f aca="false">$E81</f>
        <v>0</v>
      </c>
      <c r="R81" s="7" t="n">
        <f aca="false">$E81</f>
        <v>0</v>
      </c>
      <c r="S81" s="7" t="n">
        <f aca="false">$E81</f>
        <v>0</v>
      </c>
      <c r="T81" s="7" t="n">
        <f aca="false">$E81</f>
        <v>0</v>
      </c>
      <c r="U81" s="7" t="n">
        <f aca="false">$E81</f>
        <v>0</v>
      </c>
      <c r="V81" s="7" t="n">
        <f aca="false">$F81</f>
        <v>0</v>
      </c>
      <c r="W81" s="7" t="n">
        <f aca="false">$F81</f>
        <v>0</v>
      </c>
      <c r="X81" s="7" t="n">
        <f aca="false">$F81</f>
        <v>0</v>
      </c>
      <c r="Y81" s="7" t="n">
        <f aca="false">$F81</f>
        <v>0</v>
      </c>
      <c r="Z81" s="7" t="n">
        <f aca="false">$G81</f>
        <v>0</v>
      </c>
      <c r="AA81" s="7" t="n">
        <f aca="false">$G81</f>
        <v>0</v>
      </c>
      <c r="AB81" s="7" t="n">
        <f aca="false">$G81</f>
        <v>0</v>
      </c>
      <c r="AC81" s="7" t="n">
        <f aca="false">$G81</f>
        <v>0</v>
      </c>
      <c r="AD81" s="7" t="n">
        <f aca="false">$H81</f>
        <v>0</v>
      </c>
      <c r="AE81" s="7" t="n">
        <f aca="false">$H81</f>
        <v>0</v>
      </c>
      <c r="AF81" s="7" t="n">
        <f aca="false">$H81</f>
        <v>0</v>
      </c>
      <c r="AG81" s="7" t="n">
        <f aca="false">$H81</f>
        <v>0</v>
      </c>
      <c r="AH81" s="7" t="n">
        <f aca="false">$H81</f>
        <v>0</v>
      </c>
      <c r="AI81" s="7" t="n">
        <f aca="false">$I81</f>
        <v>0</v>
      </c>
      <c r="AJ81" s="7" t="n">
        <f aca="false">$I81</f>
        <v>0</v>
      </c>
      <c r="AK81" s="7" t="n">
        <f aca="false">$I81</f>
        <v>0</v>
      </c>
      <c r="AL81" s="7" t="n">
        <f aca="false">$I81</f>
        <v>0</v>
      </c>
      <c r="AM81" s="7" t="n">
        <f aca="false">$J81</f>
        <v>0</v>
      </c>
      <c r="AN81" s="7" t="n">
        <f aca="false">$J81</f>
        <v>0</v>
      </c>
      <c r="AO81" s="7" t="n">
        <f aca="false">$J81</f>
        <v>0</v>
      </c>
      <c r="AP81" s="7" t="n">
        <f aca="false">$J81</f>
        <v>0</v>
      </c>
      <c r="AQ81" s="7" t="n">
        <f aca="false">$K81</f>
        <v>0</v>
      </c>
      <c r="AR81" s="7" t="n">
        <f aca="false">$K81</f>
        <v>0</v>
      </c>
      <c r="AS81" s="7" t="n">
        <f aca="false">$K81</f>
        <v>0</v>
      </c>
      <c r="AT81" s="7" t="n">
        <f aca="false">$K81</f>
        <v>0</v>
      </c>
      <c r="AU81" s="7" t="n">
        <f aca="false">$K81</f>
        <v>0</v>
      </c>
      <c r="AV81" s="7" t="n">
        <f aca="false">$L81</f>
        <v>0</v>
      </c>
      <c r="AW81" s="7" t="n">
        <f aca="false">$L81</f>
        <v>0</v>
      </c>
      <c r="AX81" s="7" t="n">
        <f aca="false">$L81</f>
        <v>0</v>
      </c>
      <c r="AY81" s="7" t="n">
        <f aca="false">$L81</f>
        <v>0</v>
      </c>
      <c r="AZ81" s="7" t="n">
        <f aca="false">$M81</f>
        <v>0</v>
      </c>
      <c r="BA81" s="7" t="n">
        <f aca="false">$M81</f>
        <v>0</v>
      </c>
      <c r="BB81" s="7" t="n">
        <f aca="false">$M81</f>
        <v>0</v>
      </c>
      <c r="BC81" s="7" t="n">
        <f aca="false">$M81</f>
        <v>0</v>
      </c>
      <c r="BD81" s="7" t="n">
        <f aca="false">$N81</f>
        <v>0</v>
      </c>
      <c r="BE81" s="7" t="n">
        <f aca="false">$N81</f>
        <v>0</v>
      </c>
      <c r="BF81" s="7" t="n">
        <f aca="false">$N81</f>
        <v>0</v>
      </c>
      <c r="BG81" s="7" t="n">
        <f aca="false">$N81</f>
        <v>0</v>
      </c>
      <c r="BH81" s="7" t="n">
        <f aca="false">$N81</f>
        <v>0</v>
      </c>
      <c r="BI81" s="7" t="n">
        <f aca="false">$O81</f>
        <v>0</v>
      </c>
      <c r="BJ81" s="7" t="n">
        <f aca="false">$O81</f>
        <v>0</v>
      </c>
      <c r="BK81" s="7" t="n">
        <f aca="false">$O81</f>
        <v>0</v>
      </c>
      <c r="BL81" s="7" t="n">
        <f aca="false">$O81</f>
        <v>0</v>
      </c>
      <c r="BM81" s="7" t="n">
        <f aca="false">$P81</f>
        <v>0</v>
      </c>
      <c r="BN81" s="7" t="n">
        <f aca="false">$P81</f>
        <v>0</v>
      </c>
      <c r="BO81" s="7" t="n">
        <f aca="false">$P81</f>
        <v>0</v>
      </c>
      <c r="BP81" s="7" t="n">
        <f aca="false">$P81</f>
        <v>0</v>
      </c>
    </row>
    <row r="82" customFormat="false" ht="15" hidden="false" customHeight="false" outlineLevel="0" collapsed="false">
      <c r="A82" s="0" t="s">
        <v>235</v>
      </c>
      <c r="B82" s="0" t="s">
        <v>134</v>
      </c>
      <c r="C82" s="0" t="s">
        <v>119</v>
      </c>
      <c r="D82" s="0" t="n">
        <f aca="false">SUM(Q82:BP82)</f>
        <v>168</v>
      </c>
      <c r="E82" s="13" t="n">
        <v>1</v>
      </c>
      <c r="F82" s="13" t="n">
        <v>1</v>
      </c>
      <c r="G82" s="13" t="n">
        <v>2</v>
      </c>
      <c r="H82" s="13" t="n">
        <v>2</v>
      </c>
      <c r="I82" s="13" t="n">
        <v>3</v>
      </c>
      <c r="J82" s="13" t="n">
        <v>3</v>
      </c>
      <c r="K82" s="13" t="n">
        <v>4</v>
      </c>
      <c r="L82" s="13" t="n">
        <v>4</v>
      </c>
      <c r="M82" s="13" t="n">
        <v>4</v>
      </c>
      <c r="N82" s="13" t="n">
        <v>5</v>
      </c>
      <c r="O82" s="13" t="n">
        <v>5</v>
      </c>
      <c r="P82" s="13" t="n">
        <v>5</v>
      </c>
      <c r="Q82" s="7" t="n">
        <f aca="false">$E82</f>
        <v>1</v>
      </c>
      <c r="R82" s="7" t="n">
        <f aca="false">$E82</f>
        <v>1</v>
      </c>
      <c r="S82" s="7" t="n">
        <f aca="false">$E82</f>
        <v>1</v>
      </c>
      <c r="T82" s="7" t="n">
        <f aca="false">$E82</f>
        <v>1</v>
      </c>
      <c r="U82" s="7" t="n">
        <f aca="false">$E82</f>
        <v>1</v>
      </c>
      <c r="V82" s="7" t="n">
        <f aca="false">$F82</f>
        <v>1</v>
      </c>
      <c r="W82" s="7" t="n">
        <f aca="false">$F82</f>
        <v>1</v>
      </c>
      <c r="X82" s="7" t="n">
        <f aca="false">$F82</f>
        <v>1</v>
      </c>
      <c r="Y82" s="7" t="n">
        <f aca="false">$F82</f>
        <v>1</v>
      </c>
      <c r="Z82" s="7" t="n">
        <f aca="false">$G82</f>
        <v>2</v>
      </c>
      <c r="AA82" s="7" t="n">
        <f aca="false">$G82</f>
        <v>2</v>
      </c>
      <c r="AB82" s="7" t="n">
        <f aca="false">$G82</f>
        <v>2</v>
      </c>
      <c r="AC82" s="7" t="n">
        <f aca="false">$G82</f>
        <v>2</v>
      </c>
      <c r="AD82" s="7" t="n">
        <f aca="false">$H82</f>
        <v>2</v>
      </c>
      <c r="AE82" s="7" t="n">
        <f aca="false">$H82</f>
        <v>2</v>
      </c>
      <c r="AF82" s="7" t="n">
        <f aca="false">$H82</f>
        <v>2</v>
      </c>
      <c r="AG82" s="7" t="n">
        <f aca="false">$H82</f>
        <v>2</v>
      </c>
      <c r="AH82" s="7" t="n">
        <f aca="false">$H82</f>
        <v>2</v>
      </c>
      <c r="AI82" s="7" t="n">
        <f aca="false">$I82</f>
        <v>3</v>
      </c>
      <c r="AJ82" s="7" t="n">
        <f aca="false">$I82</f>
        <v>3</v>
      </c>
      <c r="AK82" s="7" t="n">
        <f aca="false">$I82</f>
        <v>3</v>
      </c>
      <c r="AL82" s="7" t="n">
        <f aca="false">$I82</f>
        <v>3</v>
      </c>
      <c r="AM82" s="7" t="n">
        <f aca="false">$J82</f>
        <v>3</v>
      </c>
      <c r="AN82" s="7" t="n">
        <f aca="false">$J82</f>
        <v>3</v>
      </c>
      <c r="AO82" s="7" t="n">
        <f aca="false">$J82</f>
        <v>3</v>
      </c>
      <c r="AP82" s="7" t="n">
        <f aca="false">$J82</f>
        <v>3</v>
      </c>
      <c r="AQ82" s="7" t="n">
        <f aca="false">$K82</f>
        <v>4</v>
      </c>
      <c r="AR82" s="7" t="n">
        <f aca="false">$K82</f>
        <v>4</v>
      </c>
      <c r="AS82" s="7" t="n">
        <f aca="false">$K82</f>
        <v>4</v>
      </c>
      <c r="AT82" s="7" t="n">
        <f aca="false">$K82</f>
        <v>4</v>
      </c>
      <c r="AU82" s="7" t="n">
        <f aca="false">$K82</f>
        <v>4</v>
      </c>
      <c r="AV82" s="7" t="n">
        <f aca="false">$L82</f>
        <v>4</v>
      </c>
      <c r="AW82" s="7" t="n">
        <f aca="false">$L82</f>
        <v>4</v>
      </c>
      <c r="AX82" s="7" t="n">
        <f aca="false">$L82</f>
        <v>4</v>
      </c>
      <c r="AY82" s="7" t="n">
        <f aca="false">$L82</f>
        <v>4</v>
      </c>
      <c r="AZ82" s="7" t="n">
        <f aca="false">$M82</f>
        <v>4</v>
      </c>
      <c r="BA82" s="7" t="n">
        <f aca="false">$M82</f>
        <v>4</v>
      </c>
      <c r="BB82" s="7" t="n">
        <f aca="false">$M82</f>
        <v>4</v>
      </c>
      <c r="BC82" s="7" t="n">
        <f aca="false">$M82</f>
        <v>4</v>
      </c>
      <c r="BD82" s="7" t="n">
        <f aca="false">$N82</f>
        <v>5</v>
      </c>
      <c r="BE82" s="7" t="n">
        <f aca="false">$N82</f>
        <v>5</v>
      </c>
      <c r="BF82" s="7" t="n">
        <f aca="false">$N82</f>
        <v>5</v>
      </c>
      <c r="BG82" s="7" t="n">
        <f aca="false">$N82</f>
        <v>5</v>
      </c>
      <c r="BH82" s="7" t="n">
        <f aca="false">$N82</f>
        <v>5</v>
      </c>
      <c r="BI82" s="7" t="n">
        <f aca="false">$O82</f>
        <v>5</v>
      </c>
      <c r="BJ82" s="7" t="n">
        <f aca="false">$O82</f>
        <v>5</v>
      </c>
      <c r="BK82" s="7" t="n">
        <f aca="false">$O82</f>
        <v>5</v>
      </c>
      <c r="BL82" s="7" t="n">
        <f aca="false">$O82</f>
        <v>5</v>
      </c>
      <c r="BM82" s="7" t="n">
        <f aca="false">$P82</f>
        <v>5</v>
      </c>
      <c r="BN82" s="7" t="n">
        <f aca="false">$P82</f>
        <v>5</v>
      </c>
      <c r="BO82" s="7" t="n">
        <f aca="false">$P82</f>
        <v>5</v>
      </c>
      <c r="BP82" s="7" t="n">
        <f aca="false">$P82</f>
        <v>5</v>
      </c>
    </row>
    <row r="83" customFormat="false" ht="15" hidden="false" customHeight="false" outlineLevel="0" collapsed="false">
      <c r="A83" s="0" t="s">
        <v>235</v>
      </c>
      <c r="B83" s="0" t="s">
        <v>134</v>
      </c>
      <c r="C83" s="0" t="s">
        <v>120</v>
      </c>
      <c r="D83" s="0" t="n">
        <f aca="false">SUM(Q83:BP83)</f>
        <v>189</v>
      </c>
      <c r="E83" s="13" t="n">
        <v>1</v>
      </c>
      <c r="F83" s="13" t="n">
        <v>2</v>
      </c>
      <c r="G83" s="13" t="n">
        <v>2</v>
      </c>
      <c r="H83" s="13" t="n">
        <v>3</v>
      </c>
      <c r="I83" s="13" t="n">
        <v>3</v>
      </c>
      <c r="J83" s="13" t="n">
        <v>4</v>
      </c>
      <c r="K83" s="13" t="n">
        <v>4</v>
      </c>
      <c r="L83" s="13" t="n">
        <v>5</v>
      </c>
      <c r="M83" s="13" t="n">
        <v>5</v>
      </c>
      <c r="N83" s="13" t="n">
        <v>5</v>
      </c>
      <c r="O83" s="13" t="n">
        <v>5</v>
      </c>
      <c r="P83" s="13" t="n">
        <v>5</v>
      </c>
      <c r="Q83" s="7" t="n">
        <f aca="false">$E83</f>
        <v>1</v>
      </c>
      <c r="R83" s="7" t="n">
        <f aca="false">$E83</f>
        <v>1</v>
      </c>
      <c r="S83" s="7" t="n">
        <f aca="false">$E83</f>
        <v>1</v>
      </c>
      <c r="T83" s="7" t="n">
        <f aca="false">$E83</f>
        <v>1</v>
      </c>
      <c r="U83" s="7" t="n">
        <f aca="false">$E83</f>
        <v>1</v>
      </c>
      <c r="V83" s="7" t="n">
        <f aca="false">$F83</f>
        <v>2</v>
      </c>
      <c r="W83" s="7" t="n">
        <f aca="false">$F83</f>
        <v>2</v>
      </c>
      <c r="X83" s="7" t="n">
        <f aca="false">$F83</f>
        <v>2</v>
      </c>
      <c r="Y83" s="7" t="n">
        <f aca="false">$F83</f>
        <v>2</v>
      </c>
      <c r="Z83" s="7" t="n">
        <f aca="false">$G83</f>
        <v>2</v>
      </c>
      <c r="AA83" s="7" t="n">
        <f aca="false">$G83</f>
        <v>2</v>
      </c>
      <c r="AB83" s="7" t="n">
        <f aca="false">$G83</f>
        <v>2</v>
      </c>
      <c r="AC83" s="7" t="n">
        <f aca="false">$G83</f>
        <v>2</v>
      </c>
      <c r="AD83" s="7" t="n">
        <f aca="false">$H83</f>
        <v>3</v>
      </c>
      <c r="AE83" s="7" t="n">
        <f aca="false">$H83</f>
        <v>3</v>
      </c>
      <c r="AF83" s="7" t="n">
        <f aca="false">$H83</f>
        <v>3</v>
      </c>
      <c r="AG83" s="7" t="n">
        <f aca="false">$H83</f>
        <v>3</v>
      </c>
      <c r="AH83" s="7" t="n">
        <f aca="false">$H83</f>
        <v>3</v>
      </c>
      <c r="AI83" s="7" t="n">
        <f aca="false">$I83</f>
        <v>3</v>
      </c>
      <c r="AJ83" s="7" t="n">
        <f aca="false">$I83</f>
        <v>3</v>
      </c>
      <c r="AK83" s="7" t="n">
        <f aca="false">$I83</f>
        <v>3</v>
      </c>
      <c r="AL83" s="7" t="n">
        <f aca="false">$I83</f>
        <v>3</v>
      </c>
      <c r="AM83" s="7" t="n">
        <f aca="false">$J83</f>
        <v>4</v>
      </c>
      <c r="AN83" s="7" t="n">
        <f aca="false">$J83</f>
        <v>4</v>
      </c>
      <c r="AO83" s="7" t="n">
        <f aca="false">$J83</f>
        <v>4</v>
      </c>
      <c r="AP83" s="7" t="n">
        <f aca="false">$J83</f>
        <v>4</v>
      </c>
      <c r="AQ83" s="7" t="n">
        <f aca="false">$K83</f>
        <v>4</v>
      </c>
      <c r="AR83" s="7" t="n">
        <f aca="false">$K83</f>
        <v>4</v>
      </c>
      <c r="AS83" s="7" t="n">
        <f aca="false">$K83</f>
        <v>4</v>
      </c>
      <c r="AT83" s="7" t="n">
        <f aca="false">$K83</f>
        <v>4</v>
      </c>
      <c r="AU83" s="7" t="n">
        <f aca="false">$K83</f>
        <v>4</v>
      </c>
      <c r="AV83" s="7" t="n">
        <f aca="false">$L83</f>
        <v>5</v>
      </c>
      <c r="AW83" s="7" t="n">
        <f aca="false">$L83</f>
        <v>5</v>
      </c>
      <c r="AX83" s="7" t="n">
        <f aca="false">$L83</f>
        <v>5</v>
      </c>
      <c r="AY83" s="7" t="n">
        <f aca="false">$L83</f>
        <v>5</v>
      </c>
      <c r="AZ83" s="7" t="n">
        <f aca="false">$M83</f>
        <v>5</v>
      </c>
      <c r="BA83" s="7" t="n">
        <f aca="false">$M83</f>
        <v>5</v>
      </c>
      <c r="BB83" s="7" t="n">
        <f aca="false">$M83</f>
        <v>5</v>
      </c>
      <c r="BC83" s="7" t="n">
        <f aca="false">$M83</f>
        <v>5</v>
      </c>
      <c r="BD83" s="7" t="n">
        <f aca="false">$N83</f>
        <v>5</v>
      </c>
      <c r="BE83" s="7" t="n">
        <f aca="false">$N83</f>
        <v>5</v>
      </c>
      <c r="BF83" s="7" t="n">
        <f aca="false">$N83</f>
        <v>5</v>
      </c>
      <c r="BG83" s="7" t="n">
        <f aca="false">$N83</f>
        <v>5</v>
      </c>
      <c r="BH83" s="7" t="n">
        <f aca="false">$N83</f>
        <v>5</v>
      </c>
      <c r="BI83" s="7" t="n">
        <f aca="false">$O83</f>
        <v>5</v>
      </c>
      <c r="BJ83" s="7" t="n">
        <f aca="false">$O83</f>
        <v>5</v>
      </c>
      <c r="BK83" s="7" t="n">
        <f aca="false">$O83</f>
        <v>5</v>
      </c>
      <c r="BL83" s="7" t="n">
        <f aca="false">$O83</f>
        <v>5</v>
      </c>
      <c r="BM83" s="7" t="n">
        <f aca="false">$P83</f>
        <v>5</v>
      </c>
      <c r="BN83" s="7" t="n">
        <f aca="false">$P83</f>
        <v>5</v>
      </c>
      <c r="BO83" s="7" t="n">
        <f aca="false">$P83</f>
        <v>5</v>
      </c>
      <c r="BP83" s="7" t="n">
        <f aca="false">$P83</f>
        <v>5</v>
      </c>
    </row>
    <row r="84" customFormat="false" ht="15" hidden="false" customHeight="false" outlineLevel="0" collapsed="false">
      <c r="A84" s="0" t="s">
        <v>235</v>
      </c>
      <c r="B84" s="0" t="s">
        <v>134</v>
      </c>
      <c r="C84" s="0" t="s">
        <v>121</v>
      </c>
      <c r="D84" s="0" t="n">
        <f aca="false">SUM(Q84:BP84)</f>
        <v>98</v>
      </c>
      <c r="E84" s="13" t="n">
        <v>0</v>
      </c>
      <c r="F84" s="13" t="n">
        <v>0</v>
      </c>
      <c r="G84" s="13" t="n">
        <v>1</v>
      </c>
      <c r="H84" s="13" t="n">
        <v>1</v>
      </c>
      <c r="I84" s="13" t="n">
        <v>2</v>
      </c>
      <c r="J84" s="13" t="n">
        <v>2</v>
      </c>
      <c r="K84" s="13" t="n">
        <v>2</v>
      </c>
      <c r="L84" s="13" t="n">
        <v>3</v>
      </c>
      <c r="M84" s="13" t="n">
        <v>3</v>
      </c>
      <c r="N84" s="13" t="n">
        <v>3</v>
      </c>
      <c r="O84" s="13" t="n">
        <v>3</v>
      </c>
      <c r="P84" s="13" t="n">
        <v>3</v>
      </c>
      <c r="Q84" s="7" t="n">
        <f aca="false">$E84</f>
        <v>0</v>
      </c>
      <c r="R84" s="7" t="n">
        <f aca="false">$E84</f>
        <v>0</v>
      </c>
      <c r="S84" s="7" t="n">
        <f aca="false">$E84</f>
        <v>0</v>
      </c>
      <c r="T84" s="7" t="n">
        <f aca="false">$E84</f>
        <v>0</v>
      </c>
      <c r="U84" s="7" t="n">
        <f aca="false">$E84</f>
        <v>0</v>
      </c>
      <c r="V84" s="7" t="n">
        <f aca="false">$F84</f>
        <v>0</v>
      </c>
      <c r="W84" s="7" t="n">
        <f aca="false">$F84</f>
        <v>0</v>
      </c>
      <c r="X84" s="7" t="n">
        <f aca="false">$F84</f>
        <v>0</v>
      </c>
      <c r="Y84" s="7" t="n">
        <f aca="false">$F84</f>
        <v>0</v>
      </c>
      <c r="Z84" s="7" t="n">
        <f aca="false">$G84</f>
        <v>1</v>
      </c>
      <c r="AA84" s="7" t="n">
        <f aca="false">$G84</f>
        <v>1</v>
      </c>
      <c r="AB84" s="7" t="n">
        <f aca="false">$G84</f>
        <v>1</v>
      </c>
      <c r="AC84" s="7" t="n">
        <f aca="false">$G84</f>
        <v>1</v>
      </c>
      <c r="AD84" s="7" t="n">
        <f aca="false">$H84</f>
        <v>1</v>
      </c>
      <c r="AE84" s="7" t="n">
        <f aca="false">$H84</f>
        <v>1</v>
      </c>
      <c r="AF84" s="7" t="n">
        <f aca="false">$H84</f>
        <v>1</v>
      </c>
      <c r="AG84" s="7" t="n">
        <f aca="false">$H84</f>
        <v>1</v>
      </c>
      <c r="AH84" s="7" t="n">
        <f aca="false">$H84</f>
        <v>1</v>
      </c>
      <c r="AI84" s="7" t="n">
        <f aca="false">$I84</f>
        <v>2</v>
      </c>
      <c r="AJ84" s="7" t="n">
        <f aca="false">$I84</f>
        <v>2</v>
      </c>
      <c r="AK84" s="7" t="n">
        <f aca="false">$I84</f>
        <v>2</v>
      </c>
      <c r="AL84" s="7" t="n">
        <f aca="false">$I84</f>
        <v>2</v>
      </c>
      <c r="AM84" s="7" t="n">
        <f aca="false">$J84</f>
        <v>2</v>
      </c>
      <c r="AN84" s="7" t="n">
        <f aca="false">$J84</f>
        <v>2</v>
      </c>
      <c r="AO84" s="7" t="n">
        <f aca="false">$J84</f>
        <v>2</v>
      </c>
      <c r="AP84" s="7" t="n">
        <f aca="false">$J84</f>
        <v>2</v>
      </c>
      <c r="AQ84" s="7" t="n">
        <f aca="false">$K84</f>
        <v>2</v>
      </c>
      <c r="AR84" s="7" t="n">
        <f aca="false">$K84</f>
        <v>2</v>
      </c>
      <c r="AS84" s="7" t="n">
        <f aca="false">$K84</f>
        <v>2</v>
      </c>
      <c r="AT84" s="7" t="n">
        <f aca="false">$K84</f>
        <v>2</v>
      </c>
      <c r="AU84" s="7" t="n">
        <f aca="false">$K84</f>
        <v>2</v>
      </c>
      <c r="AV84" s="7" t="n">
        <f aca="false">$L84</f>
        <v>3</v>
      </c>
      <c r="AW84" s="7" t="n">
        <f aca="false">$L84</f>
        <v>3</v>
      </c>
      <c r="AX84" s="7" t="n">
        <f aca="false">$L84</f>
        <v>3</v>
      </c>
      <c r="AY84" s="7" t="n">
        <f aca="false">$L84</f>
        <v>3</v>
      </c>
      <c r="AZ84" s="7" t="n">
        <f aca="false">$M84</f>
        <v>3</v>
      </c>
      <c r="BA84" s="7" t="n">
        <f aca="false">$M84</f>
        <v>3</v>
      </c>
      <c r="BB84" s="7" t="n">
        <f aca="false">$M84</f>
        <v>3</v>
      </c>
      <c r="BC84" s="7" t="n">
        <f aca="false">$M84</f>
        <v>3</v>
      </c>
      <c r="BD84" s="7" t="n">
        <f aca="false">$N84</f>
        <v>3</v>
      </c>
      <c r="BE84" s="7" t="n">
        <f aca="false">$N84</f>
        <v>3</v>
      </c>
      <c r="BF84" s="7" t="n">
        <f aca="false">$N84</f>
        <v>3</v>
      </c>
      <c r="BG84" s="7" t="n">
        <f aca="false">$N84</f>
        <v>3</v>
      </c>
      <c r="BH84" s="7" t="n">
        <f aca="false">$N84</f>
        <v>3</v>
      </c>
      <c r="BI84" s="7" t="n">
        <f aca="false">$O84</f>
        <v>3</v>
      </c>
      <c r="BJ84" s="7" t="n">
        <f aca="false">$O84</f>
        <v>3</v>
      </c>
      <c r="BK84" s="7" t="n">
        <f aca="false">$O84</f>
        <v>3</v>
      </c>
      <c r="BL84" s="7" t="n">
        <f aca="false">$O84</f>
        <v>3</v>
      </c>
      <c r="BM84" s="7" t="n">
        <f aca="false">$P84</f>
        <v>3</v>
      </c>
      <c r="BN84" s="7" t="n">
        <f aca="false">$P84</f>
        <v>3</v>
      </c>
      <c r="BO84" s="7" t="n">
        <f aca="false">$P84</f>
        <v>3</v>
      </c>
      <c r="BP84" s="7" t="n">
        <f aca="false">$P84</f>
        <v>3</v>
      </c>
    </row>
    <row r="85" customFormat="false" ht="15" hidden="false" customHeight="false" outlineLevel="0" collapsed="false">
      <c r="A85" s="0" t="s">
        <v>235</v>
      </c>
      <c r="B85" s="0" t="s">
        <v>134</v>
      </c>
      <c r="C85" s="0" t="s">
        <v>122</v>
      </c>
      <c r="D85" s="0" t="n">
        <f aca="false">SUM(Q85:BP85)</f>
        <v>0</v>
      </c>
      <c r="E85" s="13" t="n">
        <v>0</v>
      </c>
      <c r="F85" s="13" t="n">
        <v>0</v>
      </c>
      <c r="G85" s="13" t="n">
        <v>0</v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7" t="n">
        <f aca="false">$E85</f>
        <v>0</v>
      </c>
      <c r="R85" s="7" t="n">
        <f aca="false">$E85</f>
        <v>0</v>
      </c>
      <c r="S85" s="7" t="n">
        <f aca="false">$E85</f>
        <v>0</v>
      </c>
      <c r="T85" s="7" t="n">
        <f aca="false">$E85</f>
        <v>0</v>
      </c>
      <c r="U85" s="7" t="n">
        <f aca="false">$E85</f>
        <v>0</v>
      </c>
      <c r="V85" s="7" t="n">
        <f aca="false">$F85</f>
        <v>0</v>
      </c>
      <c r="W85" s="7" t="n">
        <f aca="false">$F85</f>
        <v>0</v>
      </c>
      <c r="X85" s="7" t="n">
        <f aca="false">$F85</f>
        <v>0</v>
      </c>
      <c r="Y85" s="7" t="n">
        <f aca="false">$F85</f>
        <v>0</v>
      </c>
      <c r="Z85" s="7" t="n">
        <f aca="false">$G85</f>
        <v>0</v>
      </c>
      <c r="AA85" s="7" t="n">
        <f aca="false">$G85</f>
        <v>0</v>
      </c>
      <c r="AB85" s="7" t="n">
        <f aca="false">$G85</f>
        <v>0</v>
      </c>
      <c r="AC85" s="7" t="n">
        <f aca="false">$G85</f>
        <v>0</v>
      </c>
      <c r="AD85" s="7" t="n">
        <f aca="false">$H85</f>
        <v>0</v>
      </c>
      <c r="AE85" s="7" t="n">
        <f aca="false">$H85</f>
        <v>0</v>
      </c>
      <c r="AF85" s="7" t="n">
        <f aca="false">$H85</f>
        <v>0</v>
      </c>
      <c r="AG85" s="7" t="n">
        <f aca="false">$H85</f>
        <v>0</v>
      </c>
      <c r="AH85" s="7" t="n">
        <f aca="false">$H85</f>
        <v>0</v>
      </c>
      <c r="AI85" s="7" t="n">
        <f aca="false">$I85</f>
        <v>0</v>
      </c>
      <c r="AJ85" s="7" t="n">
        <f aca="false">$I85</f>
        <v>0</v>
      </c>
      <c r="AK85" s="7" t="n">
        <f aca="false">$I85</f>
        <v>0</v>
      </c>
      <c r="AL85" s="7" t="n">
        <f aca="false">$I85</f>
        <v>0</v>
      </c>
      <c r="AM85" s="7" t="n">
        <f aca="false">$J85</f>
        <v>0</v>
      </c>
      <c r="AN85" s="7" t="n">
        <f aca="false">$J85</f>
        <v>0</v>
      </c>
      <c r="AO85" s="7" t="n">
        <f aca="false">$J85</f>
        <v>0</v>
      </c>
      <c r="AP85" s="7" t="n">
        <f aca="false">$J85</f>
        <v>0</v>
      </c>
      <c r="AQ85" s="7" t="n">
        <f aca="false">$K85</f>
        <v>0</v>
      </c>
      <c r="AR85" s="7" t="n">
        <f aca="false">$K85</f>
        <v>0</v>
      </c>
      <c r="AS85" s="7" t="n">
        <f aca="false">$K85</f>
        <v>0</v>
      </c>
      <c r="AT85" s="7" t="n">
        <f aca="false">$K85</f>
        <v>0</v>
      </c>
      <c r="AU85" s="7" t="n">
        <f aca="false">$K85</f>
        <v>0</v>
      </c>
      <c r="AV85" s="7" t="n">
        <f aca="false">$L85</f>
        <v>0</v>
      </c>
      <c r="AW85" s="7" t="n">
        <f aca="false">$L85</f>
        <v>0</v>
      </c>
      <c r="AX85" s="7" t="n">
        <f aca="false">$L85</f>
        <v>0</v>
      </c>
      <c r="AY85" s="7" t="n">
        <f aca="false">$L85</f>
        <v>0</v>
      </c>
      <c r="AZ85" s="7" t="n">
        <f aca="false">$M85</f>
        <v>0</v>
      </c>
      <c r="BA85" s="7" t="n">
        <f aca="false">$M85</f>
        <v>0</v>
      </c>
      <c r="BB85" s="7" t="n">
        <f aca="false">$M85</f>
        <v>0</v>
      </c>
      <c r="BC85" s="7" t="n">
        <f aca="false">$M85</f>
        <v>0</v>
      </c>
      <c r="BD85" s="7" t="n">
        <f aca="false">$N85</f>
        <v>0</v>
      </c>
      <c r="BE85" s="7" t="n">
        <f aca="false">$N85</f>
        <v>0</v>
      </c>
      <c r="BF85" s="7" t="n">
        <f aca="false">$N85</f>
        <v>0</v>
      </c>
      <c r="BG85" s="7" t="n">
        <f aca="false">$N85</f>
        <v>0</v>
      </c>
      <c r="BH85" s="7" t="n">
        <f aca="false">$N85</f>
        <v>0</v>
      </c>
      <c r="BI85" s="7" t="n">
        <f aca="false">$O85</f>
        <v>0</v>
      </c>
      <c r="BJ85" s="7" t="n">
        <f aca="false">$O85</f>
        <v>0</v>
      </c>
      <c r="BK85" s="7" t="n">
        <f aca="false">$O85</f>
        <v>0</v>
      </c>
      <c r="BL85" s="7" t="n">
        <f aca="false">$O85</f>
        <v>0</v>
      </c>
      <c r="BM85" s="7" t="n">
        <f aca="false">$P85</f>
        <v>0</v>
      </c>
      <c r="BN85" s="7" t="n">
        <f aca="false">$P85</f>
        <v>0</v>
      </c>
      <c r="BO85" s="7" t="n">
        <f aca="false">$P85</f>
        <v>0</v>
      </c>
      <c r="BP85" s="7" t="n">
        <f aca="false">$P85</f>
        <v>0</v>
      </c>
    </row>
    <row r="86" customFormat="false" ht="15" hidden="false" customHeight="false" outlineLevel="0" collapsed="false">
      <c r="A86" s="0" t="s">
        <v>235</v>
      </c>
      <c r="B86" s="0" t="s">
        <v>134</v>
      </c>
      <c r="C86" s="0" t="s">
        <v>123</v>
      </c>
      <c r="D86" s="0" t="n">
        <f aca="false">SUM(Q86:BP86)</f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7" t="n">
        <f aca="false">$E86</f>
        <v>0</v>
      </c>
      <c r="R86" s="7" t="n">
        <f aca="false">$E86</f>
        <v>0</v>
      </c>
      <c r="S86" s="7" t="n">
        <f aca="false">$E86</f>
        <v>0</v>
      </c>
      <c r="T86" s="7" t="n">
        <f aca="false">$E86</f>
        <v>0</v>
      </c>
      <c r="U86" s="7" t="n">
        <f aca="false">$E86</f>
        <v>0</v>
      </c>
      <c r="V86" s="7" t="n">
        <f aca="false">$F86</f>
        <v>0</v>
      </c>
      <c r="W86" s="7" t="n">
        <f aca="false">$F86</f>
        <v>0</v>
      </c>
      <c r="X86" s="7" t="n">
        <f aca="false">$F86</f>
        <v>0</v>
      </c>
      <c r="Y86" s="7" t="n">
        <f aca="false">$F86</f>
        <v>0</v>
      </c>
      <c r="Z86" s="7" t="n">
        <f aca="false">$G86</f>
        <v>0</v>
      </c>
      <c r="AA86" s="7" t="n">
        <f aca="false">$G86</f>
        <v>0</v>
      </c>
      <c r="AB86" s="7" t="n">
        <f aca="false">$G86</f>
        <v>0</v>
      </c>
      <c r="AC86" s="7" t="n">
        <f aca="false">$G86</f>
        <v>0</v>
      </c>
      <c r="AD86" s="7" t="n">
        <f aca="false">$H86</f>
        <v>0</v>
      </c>
      <c r="AE86" s="7" t="n">
        <f aca="false">$H86</f>
        <v>0</v>
      </c>
      <c r="AF86" s="7" t="n">
        <f aca="false">$H86</f>
        <v>0</v>
      </c>
      <c r="AG86" s="7" t="n">
        <f aca="false">$H86</f>
        <v>0</v>
      </c>
      <c r="AH86" s="7" t="n">
        <f aca="false">$H86</f>
        <v>0</v>
      </c>
      <c r="AI86" s="7" t="n">
        <f aca="false">$I86</f>
        <v>0</v>
      </c>
      <c r="AJ86" s="7" t="n">
        <f aca="false">$I86</f>
        <v>0</v>
      </c>
      <c r="AK86" s="7" t="n">
        <f aca="false">$I86</f>
        <v>0</v>
      </c>
      <c r="AL86" s="7" t="n">
        <f aca="false">$I86</f>
        <v>0</v>
      </c>
      <c r="AM86" s="7" t="n">
        <f aca="false">$J86</f>
        <v>0</v>
      </c>
      <c r="AN86" s="7" t="n">
        <f aca="false">$J86</f>
        <v>0</v>
      </c>
      <c r="AO86" s="7" t="n">
        <f aca="false">$J86</f>
        <v>0</v>
      </c>
      <c r="AP86" s="7" t="n">
        <f aca="false">$J86</f>
        <v>0</v>
      </c>
      <c r="AQ86" s="7" t="n">
        <f aca="false">$K86</f>
        <v>0</v>
      </c>
      <c r="AR86" s="7" t="n">
        <f aca="false">$K86</f>
        <v>0</v>
      </c>
      <c r="AS86" s="7" t="n">
        <f aca="false">$K86</f>
        <v>0</v>
      </c>
      <c r="AT86" s="7" t="n">
        <f aca="false">$K86</f>
        <v>0</v>
      </c>
      <c r="AU86" s="7" t="n">
        <f aca="false">$K86</f>
        <v>0</v>
      </c>
      <c r="AV86" s="7" t="n">
        <f aca="false">$L86</f>
        <v>0</v>
      </c>
      <c r="AW86" s="7" t="n">
        <f aca="false">$L86</f>
        <v>0</v>
      </c>
      <c r="AX86" s="7" t="n">
        <f aca="false">$L86</f>
        <v>0</v>
      </c>
      <c r="AY86" s="7" t="n">
        <f aca="false">$L86</f>
        <v>0</v>
      </c>
      <c r="AZ86" s="7" t="n">
        <f aca="false">$M86</f>
        <v>0</v>
      </c>
      <c r="BA86" s="7" t="n">
        <f aca="false">$M86</f>
        <v>0</v>
      </c>
      <c r="BB86" s="7" t="n">
        <f aca="false">$M86</f>
        <v>0</v>
      </c>
      <c r="BC86" s="7" t="n">
        <f aca="false">$M86</f>
        <v>0</v>
      </c>
      <c r="BD86" s="7" t="n">
        <f aca="false">$N86</f>
        <v>0</v>
      </c>
      <c r="BE86" s="7" t="n">
        <f aca="false">$N86</f>
        <v>0</v>
      </c>
      <c r="BF86" s="7" t="n">
        <f aca="false">$N86</f>
        <v>0</v>
      </c>
      <c r="BG86" s="7" t="n">
        <f aca="false">$N86</f>
        <v>0</v>
      </c>
      <c r="BH86" s="7" t="n">
        <f aca="false">$N86</f>
        <v>0</v>
      </c>
      <c r="BI86" s="7" t="n">
        <f aca="false">$O86</f>
        <v>0</v>
      </c>
      <c r="BJ86" s="7" t="n">
        <f aca="false">$O86</f>
        <v>0</v>
      </c>
      <c r="BK86" s="7" t="n">
        <f aca="false">$O86</f>
        <v>0</v>
      </c>
      <c r="BL86" s="7" t="n">
        <f aca="false">$O86</f>
        <v>0</v>
      </c>
      <c r="BM86" s="7" t="n">
        <f aca="false">$P86</f>
        <v>0</v>
      </c>
      <c r="BN86" s="7" t="n">
        <f aca="false">$P86</f>
        <v>0</v>
      </c>
      <c r="BO86" s="7" t="n">
        <f aca="false">$P86</f>
        <v>0</v>
      </c>
      <c r="BP86" s="7" t="n">
        <f aca="false">$P86</f>
        <v>0</v>
      </c>
    </row>
    <row r="87" customFormat="false" ht="15" hidden="false" customHeight="false" outlineLevel="0" collapsed="false">
      <c r="A87" s="0" t="s">
        <v>235</v>
      </c>
      <c r="B87" s="0" t="s">
        <v>135</v>
      </c>
      <c r="C87" s="0" t="s">
        <v>115</v>
      </c>
      <c r="D87" s="0" t="n">
        <f aca="false">SUM(Q87:BP87)</f>
        <v>175</v>
      </c>
      <c r="E87" s="22" t="n">
        <v>0</v>
      </c>
      <c r="F87" s="22" t="n">
        <v>0</v>
      </c>
      <c r="G87" s="22" t="n">
        <v>0</v>
      </c>
      <c r="H87" s="22" t="n">
        <v>1</v>
      </c>
      <c r="I87" s="22" t="n">
        <v>2</v>
      </c>
      <c r="J87" s="22" t="n">
        <v>3</v>
      </c>
      <c r="K87" s="22" t="n">
        <v>4</v>
      </c>
      <c r="L87" s="22" t="n">
        <v>5</v>
      </c>
      <c r="M87" s="22" t="n">
        <v>6</v>
      </c>
      <c r="N87" s="22" t="n">
        <v>6</v>
      </c>
      <c r="O87" s="22" t="n">
        <v>7</v>
      </c>
      <c r="P87" s="22" t="n">
        <v>7</v>
      </c>
      <c r="Q87" s="7" t="n">
        <f aca="false">$E87</f>
        <v>0</v>
      </c>
      <c r="R87" s="7" t="n">
        <f aca="false">$E87</f>
        <v>0</v>
      </c>
      <c r="S87" s="7" t="n">
        <f aca="false">$E87</f>
        <v>0</v>
      </c>
      <c r="T87" s="7" t="n">
        <f aca="false">$E87</f>
        <v>0</v>
      </c>
      <c r="U87" s="7" t="n">
        <f aca="false">$E87</f>
        <v>0</v>
      </c>
      <c r="V87" s="7" t="n">
        <f aca="false">$F87</f>
        <v>0</v>
      </c>
      <c r="W87" s="7" t="n">
        <f aca="false">$F87</f>
        <v>0</v>
      </c>
      <c r="X87" s="7" t="n">
        <f aca="false">$F87</f>
        <v>0</v>
      </c>
      <c r="Y87" s="7" t="n">
        <f aca="false">$F87</f>
        <v>0</v>
      </c>
      <c r="Z87" s="7" t="n">
        <f aca="false">$G87</f>
        <v>0</v>
      </c>
      <c r="AA87" s="7" t="n">
        <f aca="false">$G87</f>
        <v>0</v>
      </c>
      <c r="AB87" s="7" t="n">
        <f aca="false">$G87</f>
        <v>0</v>
      </c>
      <c r="AC87" s="7" t="n">
        <f aca="false">$G87</f>
        <v>0</v>
      </c>
      <c r="AD87" s="7" t="n">
        <f aca="false">$H87</f>
        <v>1</v>
      </c>
      <c r="AE87" s="7" t="n">
        <f aca="false">$H87</f>
        <v>1</v>
      </c>
      <c r="AF87" s="7" t="n">
        <f aca="false">$H87</f>
        <v>1</v>
      </c>
      <c r="AG87" s="7" t="n">
        <f aca="false">$H87</f>
        <v>1</v>
      </c>
      <c r="AH87" s="7" t="n">
        <f aca="false">$H87</f>
        <v>1</v>
      </c>
      <c r="AI87" s="7" t="n">
        <f aca="false">$I87</f>
        <v>2</v>
      </c>
      <c r="AJ87" s="7" t="n">
        <f aca="false">$I87</f>
        <v>2</v>
      </c>
      <c r="AK87" s="7" t="n">
        <f aca="false">$I87</f>
        <v>2</v>
      </c>
      <c r="AL87" s="7" t="n">
        <f aca="false">$I87</f>
        <v>2</v>
      </c>
      <c r="AM87" s="7" t="n">
        <f aca="false">$J87</f>
        <v>3</v>
      </c>
      <c r="AN87" s="7" t="n">
        <f aca="false">$J87</f>
        <v>3</v>
      </c>
      <c r="AO87" s="7" t="n">
        <f aca="false">$J87</f>
        <v>3</v>
      </c>
      <c r="AP87" s="7" t="n">
        <f aca="false">$J87</f>
        <v>3</v>
      </c>
      <c r="AQ87" s="7" t="n">
        <f aca="false">$K87</f>
        <v>4</v>
      </c>
      <c r="AR87" s="7" t="n">
        <f aca="false">$K87</f>
        <v>4</v>
      </c>
      <c r="AS87" s="7" t="n">
        <f aca="false">$K87</f>
        <v>4</v>
      </c>
      <c r="AT87" s="7" t="n">
        <f aca="false">$K87</f>
        <v>4</v>
      </c>
      <c r="AU87" s="7" t="n">
        <f aca="false">$K87</f>
        <v>4</v>
      </c>
      <c r="AV87" s="7" t="n">
        <f aca="false">$L87</f>
        <v>5</v>
      </c>
      <c r="AW87" s="7" t="n">
        <f aca="false">$L87</f>
        <v>5</v>
      </c>
      <c r="AX87" s="7" t="n">
        <f aca="false">$L87</f>
        <v>5</v>
      </c>
      <c r="AY87" s="7" t="n">
        <f aca="false">$L87</f>
        <v>5</v>
      </c>
      <c r="AZ87" s="7" t="n">
        <f aca="false">$M87</f>
        <v>6</v>
      </c>
      <c r="BA87" s="7" t="n">
        <f aca="false">$M87</f>
        <v>6</v>
      </c>
      <c r="BB87" s="7" t="n">
        <f aca="false">$M87</f>
        <v>6</v>
      </c>
      <c r="BC87" s="7" t="n">
        <f aca="false">$M87</f>
        <v>6</v>
      </c>
      <c r="BD87" s="7" t="n">
        <f aca="false">$N87</f>
        <v>6</v>
      </c>
      <c r="BE87" s="7" t="n">
        <f aca="false">$N87</f>
        <v>6</v>
      </c>
      <c r="BF87" s="7" t="n">
        <f aca="false">$N87</f>
        <v>6</v>
      </c>
      <c r="BG87" s="7" t="n">
        <f aca="false">$N87</f>
        <v>6</v>
      </c>
      <c r="BH87" s="7" t="n">
        <f aca="false">$N87</f>
        <v>6</v>
      </c>
      <c r="BI87" s="7" t="n">
        <f aca="false">$O87</f>
        <v>7</v>
      </c>
      <c r="BJ87" s="7" t="n">
        <f aca="false">$O87</f>
        <v>7</v>
      </c>
      <c r="BK87" s="7" t="n">
        <f aca="false">$O87</f>
        <v>7</v>
      </c>
      <c r="BL87" s="7" t="n">
        <f aca="false">$O87</f>
        <v>7</v>
      </c>
      <c r="BM87" s="7" t="n">
        <f aca="false">$P87</f>
        <v>7</v>
      </c>
      <c r="BN87" s="7" t="n">
        <f aca="false">$P87</f>
        <v>7</v>
      </c>
      <c r="BO87" s="7" t="n">
        <f aca="false">$P87</f>
        <v>7</v>
      </c>
      <c r="BP87" s="7" t="n">
        <f aca="false">$P87</f>
        <v>7</v>
      </c>
    </row>
    <row r="88" customFormat="false" ht="15" hidden="false" customHeight="false" outlineLevel="0" collapsed="false">
      <c r="A88" s="0" t="s">
        <v>235</v>
      </c>
      <c r="B88" s="0" t="s">
        <v>135</v>
      </c>
      <c r="C88" s="0" t="s">
        <v>116</v>
      </c>
      <c r="D88" s="0" t="n">
        <f aca="false">SUM(Q88:BP88)</f>
        <v>98</v>
      </c>
      <c r="E88" s="22" t="n">
        <v>0</v>
      </c>
      <c r="F88" s="22" t="n">
        <v>0</v>
      </c>
      <c r="G88" s="22" t="n">
        <v>0</v>
      </c>
      <c r="H88" s="22" t="n">
        <v>0</v>
      </c>
      <c r="I88" s="22" t="n">
        <v>1</v>
      </c>
      <c r="J88" s="22" t="n">
        <v>2</v>
      </c>
      <c r="K88" s="22" t="n">
        <v>2</v>
      </c>
      <c r="L88" s="22" t="n">
        <v>3</v>
      </c>
      <c r="M88" s="22" t="n">
        <v>3</v>
      </c>
      <c r="N88" s="22" t="n">
        <v>4</v>
      </c>
      <c r="O88" s="22" t="n">
        <v>4</v>
      </c>
      <c r="P88" s="22" t="n">
        <v>4</v>
      </c>
      <c r="Q88" s="7" t="n">
        <f aca="false">$E88</f>
        <v>0</v>
      </c>
      <c r="R88" s="7" t="n">
        <f aca="false">$E88</f>
        <v>0</v>
      </c>
      <c r="S88" s="7" t="n">
        <f aca="false">$E88</f>
        <v>0</v>
      </c>
      <c r="T88" s="7" t="n">
        <f aca="false">$E88</f>
        <v>0</v>
      </c>
      <c r="U88" s="7" t="n">
        <f aca="false">$E88</f>
        <v>0</v>
      </c>
      <c r="V88" s="7" t="n">
        <f aca="false">$F88</f>
        <v>0</v>
      </c>
      <c r="W88" s="7" t="n">
        <f aca="false">$F88</f>
        <v>0</v>
      </c>
      <c r="X88" s="7" t="n">
        <f aca="false">$F88</f>
        <v>0</v>
      </c>
      <c r="Y88" s="7" t="n">
        <f aca="false">$F88</f>
        <v>0</v>
      </c>
      <c r="Z88" s="7" t="n">
        <f aca="false">$G88</f>
        <v>0</v>
      </c>
      <c r="AA88" s="7" t="n">
        <f aca="false">$G88</f>
        <v>0</v>
      </c>
      <c r="AB88" s="7" t="n">
        <f aca="false">$G88</f>
        <v>0</v>
      </c>
      <c r="AC88" s="7" t="n">
        <f aca="false">$G88</f>
        <v>0</v>
      </c>
      <c r="AD88" s="7" t="n">
        <f aca="false">$H88</f>
        <v>0</v>
      </c>
      <c r="AE88" s="7" t="n">
        <f aca="false">$H88</f>
        <v>0</v>
      </c>
      <c r="AF88" s="7" t="n">
        <f aca="false">$H88</f>
        <v>0</v>
      </c>
      <c r="AG88" s="7" t="n">
        <f aca="false">$H88</f>
        <v>0</v>
      </c>
      <c r="AH88" s="7" t="n">
        <f aca="false">$H88</f>
        <v>0</v>
      </c>
      <c r="AI88" s="7" t="n">
        <f aca="false">$I88</f>
        <v>1</v>
      </c>
      <c r="AJ88" s="7" t="n">
        <f aca="false">$I88</f>
        <v>1</v>
      </c>
      <c r="AK88" s="7" t="n">
        <f aca="false">$I88</f>
        <v>1</v>
      </c>
      <c r="AL88" s="7" t="n">
        <f aca="false">$I88</f>
        <v>1</v>
      </c>
      <c r="AM88" s="7" t="n">
        <f aca="false">$J88</f>
        <v>2</v>
      </c>
      <c r="AN88" s="7" t="n">
        <f aca="false">$J88</f>
        <v>2</v>
      </c>
      <c r="AO88" s="7" t="n">
        <f aca="false">$J88</f>
        <v>2</v>
      </c>
      <c r="AP88" s="7" t="n">
        <f aca="false">$J88</f>
        <v>2</v>
      </c>
      <c r="AQ88" s="7" t="n">
        <f aca="false">$K88</f>
        <v>2</v>
      </c>
      <c r="AR88" s="7" t="n">
        <f aca="false">$K88</f>
        <v>2</v>
      </c>
      <c r="AS88" s="7" t="n">
        <f aca="false">$K88</f>
        <v>2</v>
      </c>
      <c r="AT88" s="7" t="n">
        <f aca="false">$K88</f>
        <v>2</v>
      </c>
      <c r="AU88" s="7" t="n">
        <f aca="false">$K88</f>
        <v>2</v>
      </c>
      <c r="AV88" s="7" t="n">
        <f aca="false">$L88</f>
        <v>3</v>
      </c>
      <c r="AW88" s="7" t="n">
        <f aca="false">$L88</f>
        <v>3</v>
      </c>
      <c r="AX88" s="7" t="n">
        <f aca="false">$L88</f>
        <v>3</v>
      </c>
      <c r="AY88" s="7" t="n">
        <f aca="false">$L88</f>
        <v>3</v>
      </c>
      <c r="AZ88" s="7" t="n">
        <f aca="false">$M88</f>
        <v>3</v>
      </c>
      <c r="BA88" s="7" t="n">
        <f aca="false">$M88</f>
        <v>3</v>
      </c>
      <c r="BB88" s="7" t="n">
        <f aca="false">$M88</f>
        <v>3</v>
      </c>
      <c r="BC88" s="7" t="n">
        <f aca="false">$M88</f>
        <v>3</v>
      </c>
      <c r="BD88" s="7" t="n">
        <f aca="false">$N88</f>
        <v>4</v>
      </c>
      <c r="BE88" s="7" t="n">
        <f aca="false">$N88</f>
        <v>4</v>
      </c>
      <c r="BF88" s="7" t="n">
        <f aca="false">$N88</f>
        <v>4</v>
      </c>
      <c r="BG88" s="7" t="n">
        <f aca="false">$N88</f>
        <v>4</v>
      </c>
      <c r="BH88" s="7" t="n">
        <f aca="false">$N88</f>
        <v>4</v>
      </c>
      <c r="BI88" s="7" t="n">
        <f aca="false">$O88</f>
        <v>4</v>
      </c>
      <c r="BJ88" s="7" t="n">
        <f aca="false">$O88</f>
        <v>4</v>
      </c>
      <c r="BK88" s="7" t="n">
        <f aca="false">$O88</f>
        <v>4</v>
      </c>
      <c r="BL88" s="7" t="n">
        <f aca="false">$O88</f>
        <v>4</v>
      </c>
      <c r="BM88" s="7" t="n">
        <f aca="false">$P88</f>
        <v>4</v>
      </c>
      <c r="BN88" s="7" t="n">
        <f aca="false">$P88</f>
        <v>4</v>
      </c>
      <c r="BO88" s="7" t="n">
        <f aca="false">$P88</f>
        <v>4</v>
      </c>
      <c r="BP88" s="7" t="n">
        <f aca="false">$P88</f>
        <v>4</v>
      </c>
    </row>
    <row r="89" customFormat="false" ht="15" hidden="false" customHeight="false" outlineLevel="0" collapsed="false">
      <c r="A89" s="0" t="s">
        <v>235</v>
      </c>
      <c r="B89" s="0" t="s">
        <v>135</v>
      </c>
      <c r="C89" s="0" t="s">
        <v>117</v>
      </c>
      <c r="D89" s="0" t="n">
        <f aca="false">SUM(Q89:BP89)</f>
        <v>60</v>
      </c>
      <c r="E89" s="22" t="n">
        <v>0</v>
      </c>
      <c r="F89" s="22" t="n">
        <v>0</v>
      </c>
      <c r="G89" s="22" t="n">
        <v>0</v>
      </c>
      <c r="H89" s="22" t="n">
        <v>0</v>
      </c>
      <c r="I89" s="22" t="n">
        <v>0</v>
      </c>
      <c r="J89" s="22" t="n">
        <v>0</v>
      </c>
      <c r="K89" s="22" t="n">
        <v>1</v>
      </c>
      <c r="L89" s="22" t="n">
        <v>2</v>
      </c>
      <c r="M89" s="22" t="n">
        <v>2</v>
      </c>
      <c r="N89" s="22" t="n">
        <v>3</v>
      </c>
      <c r="O89" s="22" t="n">
        <v>3</v>
      </c>
      <c r="P89" s="22" t="n">
        <v>3</v>
      </c>
      <c r="Q89" s="7" t="n">
        <f aca="false">$E89</f>
        <v>0</v>
      </c>
      <c r="R89" s="7" t="n">
        <f aca="false">$E89</f>
        <v>0</v>
      </c>
      <c r="S89" s="7" t="n">
        <f aca="false">$E89</f>
        <v>0</v>
      </c>
      <c r="T89" s="7" t="n">
        <f aca="false">$E89</f>
        <v>0</v>
      </c>
      <c r="U89" s="7" t="n">
        <f aca="false">$E89</f>
        <v>0</v>
      </c>
      <c r="V89" s="7" t="n">
        <f aca="false">$F89</f>
        <v>0</v>
      </c>
      <c r="W89" s="7" t="n">
        <f aca="false">$F89</f>
        <v>0</v>
      </c>
      <c r="X89" s="7" t="n">
        <f aca="false">$F89</f>
        <v>0</v>
      </c>
      <c r="Y89" s="7" t="n">
        <f aca="false">$F89</f>
        <v>0</v>
      </c>
      <c r="Z89" s="7" t="n">
        <f aca="false">$G89</f>
        <v>0</v>
      </c>
      <c r="AA89" s="7" t="n">
        <f aca="false">$G89</f>
        <v>0</v>
      </c>
      <c r="AB89" s="7" t="n">
        <f aca="false">$G89</f>
        <v>0</v>
      </c>
      <c r="AC89" s="7" t="n">
        <f aca="false">$G89</f>
        <v>0</v>
      </c>
      <c r="AD89" s="7" t="n">
        <f aca="false">$H89</f>
        <v>0</v>
      </c>
      <c r="AE89" s="7" t="n">
        <f aca="false">$H89</f>
        <v>0</v>
      </c>
      <c r="AF89" s="7" t="n">
        <f aca="false">$H89</f>
        <v>0</v>
      </c>
      <c r="AG89" s="7" t="n">
        <f aca="false">$H89</f>
        <v>0</v>
      </c>
      <c r="AH89" s="7" t="n">
        <f aca="false">$H89</f>
        <v>0</v>
      </c>
      <c r="AI89" s="7" t="n">
        <f aca="false">$I89</f>
        <v>0</v>
      </c>
      <c r="AJ89" s="7" t="n">
        <f aca="false">$I89</f>
        <v>0</v>
      </c>
      <c r="AK89" s="7" t="n">
        <f aca="false">$I89</f>
        <v>0</v>
      </c>
      <c r="AL89" s="7" t="n">
        <f aca="false">$I89</f>
        <v>0</v>
      </c>
      <c r="AM89" s="7" t="n">
        <f aca="false">$J89</f>
        <v>0</v>
      </c>
      <c r="AN89" s="7" t="n">
        <f aca="false">$J89</f>
        <v>0</v>
      </c>
      <c r="AO89" s="7" t="n">
        <f aca="false">$J89</f>
        <v>0</v>
      </c>
      <c r="AP89" s="7" t="n">
        <f aca="false">$J89</f>
        <v>0</v>
      </c>
      <c r="AQ89" s="7" t="n">
        <f aca="false">$K89</f>
        <v>1</v>
      </c>
      <c r="AR89" s="7" t="n">
        <f aca="false">$K89</f>
        <v>1</v>
      </c>
      <c r="AS89" s="7" t="n">
        <f aca="false">$K89</f>
        <v>1</v>
      </c>
      <c r="AT89" s="7" t="n">
        <f aca="false">$K89</f>
        <v>1</v>
      </c>
      <c r="AU89" s="7" t="n">
        <f aca="false">$K89</f>
        <v>1</v>
      </c>
      <c r="AV89" s="7" t="n">
        <f aca="false">$L89</f>
        <v>2</v>
      </c>
      <c r="AW89" s="7" t="n">
        <f aca="false">$L89</f>
        <v>2</v>
      </c>
      <c r="AX89" s="7" t="n">
        <f aca="false">$L89</f>
        <v>2</v>
      </c>
      <c r="AY89" s="7" t="n">
        <f aca="false">$L89</f>
        <v>2</v>
      </c>
      <c r="AZ89" s="7" t="n">
        <f aca="false">$M89</f>
        <v>2</v>
      </c>
      <c r="BA89" s="7" t="n">
        <f aca="false">$M89</f>
        <v>2</v>
      </c>
      <c r="BB89" s="7" t="n">
        <f aca="false">$M89</f>
        <v>2</v>
      </c>
      <c r="BC89" s="7" t="n">
        <f aca="false">$M89</f>
        <v>2</v>
      </c>
      <c r="BD89" s="7" t="n">
        <f aca="false">$N89</f>
        <v>3</v>
      </c>
      <c r="BE89" s="7" t="n">
        <f aca="false">$N89</f>
        <v>3</v>
      </c>
      <c r="BF89" s="7" t="n">
        <f aca="false">$N89</f>
        <v>3</v>
      </c>
      <c r="BG89" s="7" t="n">
        <f aca="false">$N89</f>
        <v>3</v>
      </c>
      <c r="BH89" s="7" t="n">
        <f aca="false">$N89</f>
        <v>3</v>
      </c>
      <c r="BI89" s="7" t="n">
        <f aca="false">$O89</f>
        <v>3</v>
      </c>
      <c r="BJ89" s="7" t="n">
        <f aca="false">$O89</f>
        <v>3</v>
      </c>
      <c r="BK89" s="7" t="n">
        <f aca="false">$O89</f>
        <v>3</v>
      </c>
      <c r="BL89" s="7" t="n">
        <f aca="false">$O89</f>
        <v>3</v>
      </c>
      <c r="BM89" s="7" t="n">
        <f aca="false">$P89</f>
        <v>3</v>
      </c>
      <c r="BN89" s="7" t="n">
        <f aca="false">$P89</f>
        <v>3</v>
      </c>
      <c r="BO89" s="7" t="n">
        <f aca="false">$P89</f>
        <v>3</v>
      </c>
      <c r="BP89" s="7" t="n">
        <f aca="false">$P89</f>
        <v>3</v>
      </c>
    </row>
    <row r="90" customFormat="false" ht="15" hidden="false" customHeight="false" outlineLevel="0" collapsed="false">
      <c r="A90" s="0" t="s">
        <v>235</v>
      </c>
      <c r="B90" s="0" t="s">
        <v>135</v>
      </c>
      <c r="C90" s="0" t="s">
        <v>118</v>
      </c>
      <c r="D90" s="0" t="n">
        <f aca="false">SUM(Q90:BP90)</f>
        <v>0</v>
      </c>
      <c r="E90" s="22" t="n">
        <v>0</v>
      </c>
      <c r="F90" s="22" t="n">
        <v>0</v>
      </c>
      <c r="G90" s="22" t="n">
        <v>0</v>
      </c>
      <c r="H90" s="22" t="n">
        <v>0</v>
      </c>
      <c r="I90" s="22" t="n">
        <v>0</v>
      </c>
      <c r="J90" s="22" t="n">
        <v>0</v>
      </c>
      <c r="K90" s="22" t="n">
        <v>0</v>
      </c>
      <c r="L90" s="22" t="n">
        <v>0</v>
      </c>
      <c r="M90" s="22" t="n">
        <v>0</v>
      </c>
      <c r="N90" s="22" t="n">
        <v>0</v>
      </c>
      <c r="O90" s="22" t="n">
        <v>0</v>
      </c>
      <c r="P90" s="22" t="n">
        <v>0</v>
      </c>
      <c r="Q90" s="7" t="n">
        <f aca="false">$E90</f>
        <v>0</v>
      </c>
      <c r="R90" s="7" t="n">
        <f aca="false">$E90</f>
        <v>0</v>
      </c>
      <c r="S90" s="7" t="n">
        <f aca="false">$E90</f>
        <v>0</v>
      </c>
      <c r="T90" s="7" t="n">
        <f aca="false">$E90</f>
        <v>0</v>
      </c>
      <c r="U90" s="7" t="n">
        <f aca="false">$E90</f>
        <v>0</v>
      </c>
      <c r="V90" s="7" t="n">
        <f aca="false">$F90</f>
        <v>0</v>
      </c>
      <c r="W90" s="7" t="n">
        <f aca="false">$F90</f>
        <v>0</v>
      </c>
      <c r="X90" s="7" t="n">
        <f aca="false">$F90</f>
        <v>0</v>
      </c>
      <c r="Y90" s="7" t="n">
        <f aca="false">$F90</f>
        <v>0</v>
      </c>
      <c r="Z90" s="7" t="n">
        <f aca="false">$G90</f>
        <v>0</v>
      </c>
      <c r="AA90" s="7" t="n">
        <f aca="false">$G90</f>
        <v>0</v>
      </c>
      <c r="AB90" s="7" t="n">
        <f aca="false">$G90</f>
        <v>0</v>
      </c>
      <c r="AC90" s="7" t="n">
        <f aca="false">$G90</f>
        <v>0</v>
      </c>
      <c r="AD90" s="7" t="n">
        <f aca="false">$H90</f>
        <v>0</v>
      </c>
      <c r="AE90" s="7" t="n">
        <f aca="false">$H90</f>
        <v>0</v>
      </c>
      <c r="AF90" s="7" t="n">
        <f aca="false">$H90</f>
        <v>0</v>
      </c>
      <c r="AG90" s="7" t="n">
        <f aca="false">$H90</f>
        <v>0</v>
      </c>
      <c r="AH90" s="7" t="n">
        <f aca="false">$H90</f>
        <v>0</v>
      </c>
      <c r="AI90" s="7" t="n">
        <f aca="false">$I90</f>
        <v>0</v>
      </c>
      <c r="AJ90" s="7" t="n">
        <f aca="false">$I90</f>
        <v>0</v>
      </c>
      <c r="AK90" s="7" t="n">
        <f aca="false">$I90</f>
        <v>0</v>
      </c>
      <c r="AL90" s="7" t="n">
        <f aca="false">$I90</f>
        <v>0</v>
      </c>
      <c r="AM90" s="7" t="n">
        <f aca="false">$J90</f>
        <v>0</v>
      </c>
      <c r="AN90" s="7" t="n">
        <f aca="false">$J90</f>
        <v>0</v>
      </c>
      <c r="AO90" s="7" t="n">
        <f aca="false">$J90</f>
        <v>0</v>
      </c>
      <c r="AP90" s="7" t="n">
        <f aca="false">$J90</f>
        <v>0</v>
      </c>
      <c r="AQ90" s="7" t="n">
        <f aca="false">$K90</f>
        <v>0</v>
      </c>
      <c r="AR90" s="7" t="n">
        <f aca="false">$K90</f>
        <v>0</v>
      </c>
      <c r="AS90" s="7" t="n">
        <f aca="false">$K90</f>
        <v>0</v>
      </c>
      <c r="AT90" s="7" t="n">
        <f aca="false">$K90</f>
        <v>0</v>
      </c>
      <c r="AU90" s="7" t="n">
        <f aca="false">$K90</f>
        <v>0</v>
      </c>
      <c r="AV90" s="7" t="n">
        <f aca="false">$L90</f>
        <v>0</v>
      </c>
      <c r="AW90" s="7" t="n">
        <f aca="false">$L90</f>
        <v>0</v>
      </c>
      <c r="AX90" s="7" t="n">
        <f aca="false">$L90</f>
        <v>0</v>
      </c>
      <c r="AY90" s="7" t="n">
        <f aca="false">$L90</f>
        <v>0</v>
      </c>
      <c r="AZ90" s="7" t="n">
        <f aca="false">$M90</f>
        <v>0</v>
      </c>
      <c r="BA90" s="7" t="n">
        <f aca="false">$M90</f>
        <v>0</v>
      </c>
      <c r="BB90" s="7" t="n">
        <f aca="false">$M90</f>
        <v>0</v>
      </c>
      <c r="BC90" s="7" t="n">
        <f aca="false">$M90</f>
        <v>0</v>
      </c>
      <c r="BD90" s="7" t="n">
        <f aca="false">$N90</f>
        <v>0</v>
      </c>
      <c r="BE90" s="7" t="n">
        <f aca="false">$N90</f>
        <v>0</v>
      </c>
      <c r="BF90" s="7" t="n">
        <f aca="false">$N90</f>
        <v>0</v>
      </c>
      <c r="BG90" s="7" t="n">
        <f aca="false">$N90</f>
        <v>0</v>
      </c>
      <c r="BH90" s="7" t="n">
        <f aca="false">$N90</f>
        <v>0</v>
      </c>
      <c r="BI90" s="7" t="n">
        <f aca="false">$O90</f>
        <v>0</v>
      </c>
      <c r="BJ90" s="7" t="n">
        <f aca="false">$O90</f>
        <v>0</v>
      </c>
      <c r="BK90" s="7" t="n">
        <f aca="false">$O90</f>
        <v>0</v>
      </c>
      <c r="BL90" s="7" t="n">
        <f aca="false">$O90</f>
        <v>0</v>
      </c>
      <c r="BM90" s="7" t="n">
        <f aca="false">$P90</f>
        <v>0</v>
      </c>
      <c r="BN90" s="7" t="n">
        <f aca="false">$P90</f>
        <v>0</v>
      </c>
      <c r="BO90" s="7" t="n">
        <f aca="false">$P90</f>
        <v>0</v>
      </c>
      <c r="BP90" s="7" t="n">
        <f aca="false">$P90</f>
        <v>0</v>
      </c>
    </row>
    <row r="91" customFormat="false" ht="15" hidden="false" customHeight="false" outlineLevel="0" collapsed="false">
      <c r="A91" s="0" t="s">
        <v>235</v>
      </c>
      <c r="B91" s="0" t="s">
        <v>135</v>
      </c>
      <c r="C91" s="0" t="s">
        <v>119</v>
      </c>
      <c r="D91" s="0" t="n">
        <f aca="false">SUM(Q91:BP91)</f>
        <v>168</v>
      </c>
      <c r="E91" s="13" t="n">
        <v>1</v>
      </c>
      <c r="F91" s="13" t="n">
        <v>1</v>
      </c>
      <c r="G91" s="13" t="n">
        <v>2</v>
      </c>
      <c r="H91" s="13" t="n">
        <v>2</v>
      </c>
      <c r="I91" s="13" t="n">
        <v>3</v>
      </c>
      <c r="J91" s="13" t="n">
        <v>3</v>
      </c>
      <c r="K91" s="13" t="n">
        <v>4</v>
      </c>
      <c r="L91" s="13" t="n">
        <v>4</v>
      </c>
      <c r="M91" s="13" t="n">
        <v>4</v>
      </c>
      <c r="N91" s="13" t="n">
        <v>5</v>
      </c>
      <c r="O91" s="13" t="n">
        <v>5</v>
      </c>
      <c r="P91" s="13" t="n">
        <v>5</v>
      </c>
      <c r="Q91" s="7" t="n">
        <f aca="false">$E91</f>
        <v>1</v>
      </c>
      <c r="R91" s="7" t="n">
        <f aca="false">$E91</f>
        <v>1</v>
      </c>
      <c r="S91" s="7" t="n">
        <f aca="false">$E91</f>
        <v>1</v>
      </c>
      <c r="T91" s="7" t="n">
        <f aca="false">$E91</f>
        <v>1</v>
      </c>
      <c r="U91" s="7" t="n">
        <f aca="false">$E91</f>
        <v>1</v>
      </c>
      <c r="V91" s="7" t="n">
        <f aca="false">$F91</f>
        <v>1</v>
      </c>
      <c r="W91" s="7" t="n">
        <f aca="false">$F91</f>
        <v>1</v>
      </c>
      <c r="X91" s="7" t="n">
        <f aca="false">$F91</f>
        <v>1</v>
      </c>
      <c r="Y91" s="7" t="n">
        <f aca="false">$F91</f>
        <v>1</v>
      </c>
      <c r="Z91" s="7" t="n">
        <f aca="false">$G91</f>
        <v>2</v>
      </c>
      <c r="AA91" s="7" t="n">
        <f aca="false">$G91</f>
        <v>2</v>
      </c>
      <c r="AB91" s="7" t="n">
        <f aca="false">$G91</f>
        <v>2</v>
      </c>
      <c r="AC91" s="7" t="n">
        <f aca="false">$G91</f>
        <v>2</v>
      </c>
      <c r="AD91" s="7" t="n">
        <f aca="false">$H91</f>
        <v>2</v>
      </c>
      <c r="AE91" s="7" t="n">
        <f aca="false">$H91</f>
        <v>2</v>
      </c>
      <c r="AF91" s="7" t="n">
        <f aca="false">$H91</f>
        <v>2</v>
      </c>
      <c r="AG91" s="7" t="n">
        <f aca="false">$H91</f>
        <v>2</v>
      </c>
      <c r="AH91" s="7" t="n">
        <f aca="false">$H91</f>
        <v>2</v>
      </c>
      <c r="AI91" s="7" t="n">
        <f aca="false">$I91</f>
        <v>3</v>
      </c>
      <c r="AJ91" s="7" t="n">
        <f aca="false">$I91</f>
        <v>3</v>
      </c>
      <c r="AK91" s="7" t="n">
        <f aca="false">$I91</f>
        <v>3</v>
      </c>
      <c r="AL91" s="7" t="n">
        <f aca="false">$I91</f>
        <v>3</v>
      </c>
      <c r="AM91" s="7" t="n">
        <f aca="false">$J91</f>
        <v>3</v>
      </c>
      <c r="AN91" s="7" t="n">
        <f aca="false">$J91</f>
        <v>3</v>
      </c>
      <c r="AO91" s="7" t="n">
        <f aca="false">$J91</f>
        <v>3</v>
      </c>
      <c r="AP91" s="7" t="n">
        <f aca="false">$J91</f>
        <v>3</v>
      </c>
      <c r="AQ91" s="7" t="n">
        <f aca="false">$K91</f>
        <v>4</v>
      </c>
      <c r="AR91" s="7" t="n">
        <f aca="false">$K91</f>
        <v>4</v>
      </c>
      <c r="AS91" s="7" t="n">
        <f aca="false">$K91</f>
        <v>4</v>
      </c>
      <c r="AT91" s="7" t="n">
        <f aca="false">$K91</f>
        <v>4</v>
      </c>
      <c r="AU91" s="7" t="n">
        <f aca="false">$K91</f>
        <v>4</v>
      </c>
      <c r="AV91" s="7" t="n">
        <f aca="false">$L91</f>
        <v>4</v>
      </c>
      <c r="AW91" s="7" t="n">
        <f aca="false">$L91</f>
        <v>4</v>
      </c>
      <c r="AX91" s="7" t="n">
        <f aca="false">$L91</f>
        <v>4</v>
      </c>
      <c r="AY91" s="7" t="n">
        <f aca="false">$L91</f>
        <v>4</v>
      </c>
      <c r="AZ91" s="7" t="n">
        <f aca="false">$M91</f>
        <v>4</v>
      </c>
      <c r="BA91" s="7" t="n">
        <f aca="false">$M91</f>
        <v>4</v>
      </c>
      <c r="BB91" s="7" t="n">
        <f aca="false">$M91</f>
        <v>4</v>
      </c>
      <c r="BC91" s="7" t="n">
        <f aca="false">$M91</f>
        <v>4</v>
      </c>
      <c r="BD91" s="7" t="n">
        <f aca="false">$N91</f>
        <v>5</v>
      </c>
      <c r="BE91" s="7" t="n">
        <f aca="false">$N91</f>
        <v>5</v>
      </c>
      <c r="BF91" s="7" t="n">
        <f aca="false">$N91</f>
        <v>5</v>
      </c>
      <c r="BG91" s="7" t="n">
        <f aca="false">$N91</f>
        <v>5</v>
      </c>
      <c r="BH91" s="7" t="n">
        <f aca="false">$N91</f>
        <v>5</v>
      </c>
      <c r="BI91" s="7" t="n">
        <f aca="false">$O91</f>
        <v>5</v>
      </c>
      <c r="BJ91" s="7" t="n">
        <f aca="false">$O91</f>
        <v>5</v>
      </c>
      <c r="BK91" s="7" t="n">
        <f aca="false">$O91</f>
        <v>5</v>
      </c>
      <c r="BL91" s="7" t="n">
        <f aca="false">$O91</f>
        <v>5</v>
      </c>
      <c r="BM91" s="7" t="n">
        <f aca="false">$P91</f>
        <v>5</v>
      </c>
      <c r="BN91" s="7" t="n">
        <f aca="false">$P91</f>
        <v>5</v>
      </c>
      <c r="BO91" s="7" t="n">
        <f aca="false">$P91</f>
        <v>5</v>
      </c>
      <c r="BP91" s="7" t="n">
        <f aca="false">$P91</f>
        <v>5</v>
      </c>
    </row>
    <row r="92" customFormat="false" ht="15" hidden="false" customHeight="false" outlineLevel="0" collapsed="false">
      <c r="A92" s="0" t="s">
        <v>235</v>
      </c>
      <c r="B92" s="0" t="s">
        <v>135</v>
      </c>
      <c r="C92" s="0" t="s">
        <v>120</v>
      </c>
      <c r="D92" s="0" t="n">
        <f aca="false">SUM(Q92:BP92)</f>
        <v>189</v>
      </c>
      <c r="E92" s="13" t="n">
        <v>1</v>
      </c>
      <c r="F92" s="13" t="n">
        <v>2</v>
      </c>
      <c r="G92" s="13" t="n">
        <v>2</v>
      </c>
      <c r="H92" s="13" t="n">
        <v>3</v>
      </c>
      <c r="I92" s="13" t="n">
        <v>3</v>
      </c>
      <c r="J92" s="13" t="n">
        <v>4</v>
      </c>
      <c r="K92" s="13" t="n">
        <v>4</v>
      </c>
      <c r="L92" s="13" t="n">
        <v>5</v>
      </c>
      <c r="M92" s="13" t="n">
        <v>5</v>
      </c>
      <c r="N92" s="13" t="n">
        <v>5</v>
      </c>
      <c r="O92" s="13" t="n">
        <v>5</v>
      </c>
      <c r="P92" s="13" t="n">
        <v>5</v>
      </c>
      <c r="Q92" s="7" t="n">
        <f aca="false">$E92</f>
        <v>1</v>
      </c>
      <c r="R92" s="7" t="n">
        <f aca="false">$E92</f>
        <v>1</v>
      </c>
      <c r="S92" s="7" t="n">
        <f aca="false">$E92</f>
        <v>1</v>
      </c>
      <c r="T92" s="7" t="n">
        <f aca="false">$E92</f>
        <v>1</v>
      </c>
      <c r="U92" s="7" t="n">
        <f aca="false">$E92</f>
        <v>1</v>
      </c>
      <c r="V92" s="7" t="n">
        <f aca="false">$F92</f>
        <v>2</v>
      </c>
      <c r="W92" s="7" t="n">
        <f aca="false">$F92</f>
        <v>2</v>
      </c>
      <c r="X92" s="7" t="n">
        <f aca="false">$F92</f>
        <v>2</v>
      </c>
      <c r="Y92" s="7" t="n">
        <f aca="false">$F92</f>
        <v>2</v>
      </c>
      <c r="Z92" s="7" t="n">
        <f aca="false">$G92</f>
        <v>2</v>
      </c>
      <c r="AA92" s="7" t="n">
        <f aca="false">$G92</f>
        <v>2</v>
      </c>
      <c r="AB92" s="7" t="n">
        <f aca="false">$G92</f>
        <v>2</v>
      </c>
      <c r="AC92" s="7" t="n">
        <f aca="false">$G92</f>
        <v>2</v>
      </c>
      <c r="AD92" s="7" t="n">
        <f aca="false">$H92</f>
        <v>3</v>
      </c>
      <c r="AE92" s="7" t="n">
        <f aca="false">$H92</f>
        <v>3</v>
      </c>
      <c r="AF92" s="7" t="n">
        <f aca="false">$H92</f>
        <v>3</v>
      </c>
      <c r="AG92" s="7" t="n">
        <f aca="false">$H92</f>
        <v>3</v>
      </c>
      <c r="AH92" s="7" t="n">
        <f aca="false">$H92</f>
        <v>3</v>
      </c>
      <c r="AI92" s="7" t="n">
        <f aca="false">$I92</f>
        <v>3</v>
      </c>
      <c r="AJ92" s="7" t="n">
        <f aca="false">$I92</f>
        <v>3</v>
      </c>
      <c r="AK92" s="7" t="n">
        <f aca="false">$I92</f>
        <v>3</v>
      </c>
      <c r="AL92" s="7" t="n">
        <f aca="false">$I92</f>
        <v>3</v>
      </c>
      <c r="AM92" s="7" t="n">
        <f aca="false">$J92</f>
        <v>4</v>
      </c>
      <c r="AN92" s="7" t="n">
        <f aca="false">$J92</f>
        <v>4</v>
      </c>
      <c r="AO92" s="7" t="n">
        <f aca="false">$J92</f>
        <v>4</v>
      </c>
      <c r="AP92" s="7" t="n">
        <f aca="false">$J92</f>
        <v>4</v>
      </c>
      <c r="AQ92" s="7" t="n">
        <f aca="false">$K92</f>
        <v>4</v>
      </c>
      <c r="AR92" s="7" t="n">
        <f aca="false">$K92</f>
        <v>4</v>
      </c>
      <c r="AS92" s="7" t="n">
        <f aca="false">$K92</f>
        <v>4</v>
      </c>
      <c r="AT92" s="7" t="n">
        <f aca="false">$K92</f>
        <v>4</v>
      </c>
      <c r="AU92" s="7" t="n">
        <f aca="false">$K92</f>
        <v>4</v>
      </c>
      <c r="AV92" s="7" t="n">
        <f aca="false">$L92</f>
        <v>5</v>
      </c>
      <c r="AW92" s="7" t="n">
        <f aca="false">$L92</f>
        <v>5</v>
      </c>
      <c r="AX92" s="7" t="n">
        <f aca="false">$L92</f>
        <v>5</v>
      </c>
      <c r="AY92" s="7" t="n">
        <f aca="false">$L92</f>
        <v>5</v>
      </c>
      <c r="AZ92" s="7" t="n">
        <f aca="false">$M92</f>
        <v>5</v>
      </c>
      <c r="BA92" s="7" t="n">
        <f aca="false">$M92</f>
        <v>5</v>
      </c>
      <c r="BB92" s="7" t="n">
        <f aca="false">$M92</f>
        <v>5</v>
      </c>
      <c r="BC92" s="7" t="n">
        <f aca="false">$M92</f>
        <v>5</v>
      </c>
      <c r="BD92" s="7" t="n">
        <f aca="false">$N92</f>
        <v>5</v>
      </c>
      <c r="BE92" s="7" t="n">
        <f aca="false">$N92</f>
        <v>5</v>
      </c>
      <c r="BF92" s="7" t="n">
        <f aca="false">$N92</f>
        <v>5</v>
      </c>
      <c r="BG92" s="7" t="n">
        <f aca="false">$N92</f>
        <v>5</v>
      </c>
      <c r="BH92" s="7" t="n">
        <f aca="false">$N92</f>
        <v>5</v>
      </c>
      <c r="BI92" s="7" t="n">
        <f aca="false">$O92</f>
        <v>5</v>
      </c>
      <c r="BJ92" s="7" t="n">
        <f aca="false">$O92</f>
        <v>5</v>
      </c>
      <c r="BK92" s="7" t="n">
        <f aca="false">$O92</f>
        <v>5</v>
      </c>
      <c r="BL92" s="7" t="n">
        <f aca="false">$O92</f>
        <v>5</v>
      </c>
      <c r="BM92" s="7" t="n">
        <f aca="false">$P92</f>
        <v>5</v>
      </c>
      <c r="BN92" s="7" t="n">
        <f aca="false">$P92</f>
        <v>5</v>
      </c>
      <c r="BO92" s="7" t="n">
        <f aca="false">$P92</f>
        <v>5</v>
      </c>
      <c r="BP92" s="7" t="n">
        <f aca="false">$P92</f>
        <v>5</v>
      </c>
    </row>
    <row r="93" customFormat="false" ht="15" hidden="false" customHeight="false" outlineLevel="0" collapsed="false">
      <c r="A93" s="0" t="s">
        <v>235</v>
      </c>
      <c r="B93" s="0" t="s">
        <v>135</v>
      </c>
      <c r="C93" s="0" t="s">
        <v>121</v>
      </c>
      <c r="D93" s="0" t="n">
        <f aca="false">SUM(Q93:BP93)</f>
        <v>98</v>
      </c>
      <c r="E93" s="13" t="n">
        <v>0</v>
      </c>
      <c r="F93" s="13" t="n">
        <v>0</v>
      </c>
      <c r="G93" s="13" t="n">
        <v>1</v>
      </c>
      <c r="H93" s="13" t="n">
        <v>1</v>
      </c>
      <c r="I93" s="13" t="n">
        <v>2</v>
      </c>
      <c r="J93" s="13" t="n">
        <v>2</v>
      </c>
      <c r="K93" s="13" t="n">
        <v>2</v>
      </c>
      <c r="L93" s="13" t="n">
        <v>3</v>
      </c>
      <c r="M93" s="13" t="n">
        <v>3</v>
      </c>
      <c r="N93" s="13" t="n">
        <v>3</v>
      </c>
      <c r="O93" s="13" t="n">
        <v>3</v>
      </c>
      <c r="P93" s="13" t="n">
        <v>3</v>
      </c>
      <c r="Q93" s="7" t="n">
        <f aca="false">$E93</f>
        <v>0</v>
      </c>
      <c r="R93" s="7" t="n">
        <f aca="false">$E93</f>
        <v>0</v>
      </c>
      <c r="S93" s="7" t="n">
        <f aca="false">$E93</f>
        <v>0</v>
      </c>
      <c r="T93" s="7" t="n">
        <f aca="false">$E93</f>
        <v>0</v>
      </c>
      <c r="U93" s="7" t="n">
        <f aca="false">$E93</f>
        <v>0</v>
      </c>
      <c r="V93" s="7" t="n">
        <f aca="false">$F93</f>
        <v>0</v>
      </c>
      <c r="W93" s="7" t="n">
        <f aca="false">$F93</f>
        <v>0</v>
      </c>
      <c r="X93" s="7" t="n">
        <f aca="false">$F93</f>
        <v>0</v>
      </c>
      <c r="Y93" s="7" t="n">
        <f aca="false">$F93</f>
        <v>0</v>
      </c>
      <c r="Z93" s="7" t="n">
        <f aca="false">$G93</f>
        <v>1</v>
      </c>
      <c r="AA93" s="7" t="n">
        <f aca="false">$G93</f>
        <v>1</v>
      </c>
      <c r="AB93" s="7" t="n">
        <f aca="false">$G93</f>
        <v>1</v>
      </c>
      <c r="AC93" s="7" t="n">
        <f aca="false">$G93</f>
        <v>1</v>
      </c>
      <c r="AD93" s="7" t="n">
        <f aca="false">$H93</f>
        <v>1</v>
      </c>
      <c r="AE93" s="7" t="n">
        <f aca="false">$H93</f>
        <v>1</v>
      </c>
      <c r="AF93" s="7" t="n">
        <f aca="false">$H93</f>
        <v>1</v>
      </c>
      <c r="AG93" s="7" t="n">
        <f aca="false">$H93</f>
        <v>1</v>
      </c>
      <c r="AH93" s="7" t="n">
        <f aca="false">$H93</f>
        <v>1</v>
      </c>
      <c r="AI93" s="7" t="n">
        <f aca="false">$I93</f>
        <v>2</v>
      </c>
      <c r="AJ93" s="7" t="n">
        <f aca="false">$I93</f>
        <v>2</v>
      </c>
      <c r="AK93" s="7" t="n">
        <f aca="false">$I93</f>
        <v>2</v>
      </c>
      <c r="AL93" s="7" t="n">
        <f aca="false">$I93</f>
        <v>2</v>
      </c>
      <c r="AM93" s="7" t="n">
        <f aca="false">$J93</f>
        <v>2</v>
      </c>
      <c r="AN93" s="7" t="n">
        <f aca="false">$J93</f>
        <v>2</v>
      </c>
      <c r="AO93" s="7" t="n">
        <f aca="false">$J93</f>
        <v>2</v>
      </c>
      <c r="AP93" s="7" t="n">
        <f aca="false">$J93</f>
        <v>2</v>
      </c>
      <c r="AQ93" s="7" t="n">
        <f aca="false">$K93</f>
        <v>2</v>
      </c>
      <c r="AR93" s="7" t="n">
        <f aca="false">$K93</f>
        <v>2</v>
      </c>
      <c r="AS93" s="7" t="n">
        <f aca="false">$K93</f>
        <v>2</v>
      </c>
      <c r="AT93" s="7" t="n">
        <f aca="false">$K93</f>
        <v>2</v>
      </c>
      <c r="AU93" s="7" t="n">
        <f aca="false">$K93</f>
        <v>2</v>
      </c>
      <c r="AV93" s="7" t="n">
        <f aca="false">$L93</f>
        <v>3</v>
      </c>
      <c r="AW93" s="7" t="n">
        <f aca="false">$L93</f>
        <v>3</v>
      </c>
      <c r="AX93" s="7" t="n">
        <f aca="false">$L93</f>
        <v>3</v>
      </c>
      <c r="AY93" s="7" t="n">
        <f aca="false">$L93</f>
        <v>3</v>
      </c>
      <c r="AZ93" s="7" t="n">
        <f aca="false">$M93</f>
        <v>3</v>
      </c>
      <c r="BA93" s="7" t="n">
        <f aca="false">$M93</f>
        <v>3</v>
      </c>
      <c r="BB93" s="7" t="n">
        <f aca="false">$M93</f>
        <v>3</v>
      </c>
      <c r="BC93" s="7" t="n">
        <f aca="false">$M93</f>
        <v>3</v>
      </c>
      <c r="BD93" s="7" t="n">
        <f aca="false">$N93</f>
        <v>3</v>
      </c>
      <c r="BE93" s="7" t="n">
        <f aca="false">$N93</f>
        <v>3</v>
      </c>
      <c r="BF93" s="7" t="n">
        <f aca="false">$N93</f>
        <v>3</v>
      </c>
      <c r="BG93" s="7" t="n">
        <f aca="false">$N93</f>
        <v>3</v>
      </c>
      <c r="BH93" s="7" t="n">
        <f aca="false">$N93</f>
        <v>3</v>
      </c>
      <c r="BI93" s="7" t="n">
        <f aca="false">$O93</f>
        <v>3</v>
      </c>
      <c r="BJ93" s="7" t="n">
        <f aca="false">$O93</f>
        <v>3</v>
      </c>
      <c r="BK93" s="7" t="n">
        <f aca="false">$O93</f>
        <v>3</v>
      </c>
      <c r="BL93" s="7" t="n">
        <f aca="false">$O93</f>
        <v>3</v>
      </c>
      <c r="BM93" s="7" t="n">
        <f aca="false">$P93</f>
        <v>3</v>
      </c>
      <c r="BN93" s="7" t="n">
        <f aca="false">$P93</f>
        <v>3</v>
      </c>
      <c r="BO93" s="7" t="n">
        <f aca="false">$P93</f>
        <v>3</v>
      </c>
      <c r="BP93" s="7" t="n">
        <f aca="false">$P93</f>
        <v>3</v>
      </c>
    </row>
    <row r="94" customFormat="false" ht="15" hidden="false" customHeight="false" outlineLevel="0" collapsed="false">
      <c r="A94" s="0" t="s">
        <v>235</v>
      </c>
      <c r="B94" s="0" t="s">
        <v>135</v>
      </c>
      <c r="C94" s="0" t="s">
        <v>122</v>
      </c>
      <c r="D94" s="0" t="n">
        <f aca="false">SUM(Q94:BP94)</f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7" t="n">
        <f aca="false">$E94</f>
        <v>0</v>
      </c>
      <c r="R94" s="7" t="n">
        <f aca="false">$E94</f>
        <v>0</v>
      </c>
      <c r="S94" s="7" t="n">
        <f aca="false">$E94</f>
        <v>0</v>
      </c>
      <c r="T94" s="7" t="n">
        <f aca="false">$E94</f>
        <v>0</v>
      </c>
      <c r="U94" s="7" t="n">
        <f aca="false">$E94</f>
        <v>0</v>
      </c>
      <c r="V94" s="7" t="n">
        <f aca="false">$F94</f>
        <v>0</v>
      </c>
      <c r="W94" s="7" t="n">
        <f aca="false">$F94</f>
        <v>0</v>
      </c>
      <c r="X94" s="7" t="n">
        <f aca="false">$F94</f>
        <v>0</v>
      </c>
      <c r="Y94" s="7" t="n">
        <f aca="false">$F94</f>
        <v>0</v>
      </c>
      <c r="Z94" s="7" t="n">
        <f aca="false">$G94</f>
        <v>0</v>
      </c>
      <c r="AA94" s="7" t="n">
        <f aca="false">$G94</f>
        <v>0</v>
      </c>
      <c r="AB94" s="7" t="n">
        <f aca="false">$G94</f>
        <v>0</v>
      </c>
      <c r="AC94" s="7" t="n">
        <f aca="false">$G94</f>
        <v>0</v>
      </c>
      <c r="AD94" s="7" t="n">
        <f aca="false">$H94</f>
        <v>0</v>
      </c>
      <c r="AE94" s="7" t="n">
        <f aca="false">$H94</f>
        <v>0</v>
      </c>
      <c r="AF94" s="7" t="n">
        <f aca="false">$H94</f>
        <v>0</v>
      </c>
      <c r="AG94" s="7" t="n">
        <f aca="false">$H94</f>
        <v>0</v>
      </c>
      <c r="AH94" s="7" t="n">
        <f aca="false">$H94</f>
        <v>0</v>
      </c>
      <c r="AI94" s="7" t="n">
        <f aca="false">$I94</f>
        <v>0</v>
      </c>
      <c r="AJ94" s="7" t="n">
        <f aca="false">$I94</f>
        <v>0</v>
      </c>
      <c r="AK94" s="7" t="n">
        <f aca="false">$I94</f>
        <v>0</v>
      </c>
      <c r="AL94" s="7" t="n">
        <f aca="false">$I94</f>
        <v>0</v>
      </c>
      <c r="AM94" s="7" t="n">
        <f aca="false">$J94</f>
        <v>0</v>
      </c>
      <c r="AN94" s="7" t="n">
        <f aca="false">$J94</f>
        <v>0</v>
      </c>
      <c r="AO94" s="7" t="n">
        <f aca="false">$J94</f>
        <v>0</v>
      </c>
      <c r="AP94" s="7" t="n">
        <f aca="false">$J94</f>
        <v>0</v>
      </c>
      <c r="AQ94" s="7" t="n">
        <f aca="false">$K94</f>
        <v>0</v>
      </c>
      <c r="AR94" s="7" t="n">
        <f aca="false">$K94</f>
        <v>0</v>
      </c>
      <c r="AS94" s="7" t="n">
        <f aca="false">$K94</f>
        <v>0</v>
      </c>
      <c r="AT94" s="7" t="n">
        <f aca="false">$K94</f>
        <v>0</v>
      </c>
      <c r="AU94" s="7" t="n">
        <f aca="false">$K94</f>
        <v>0</v>
      </c>
      <c r="AV94" s="7" t="n">
        <f aca="false">$L94</f>
        <v>0</v>
      </c>
      <c r="AW94" s="7" t="n">
        <f aca="false">$L94</f>
        <v>0</v>
      </c>
      <c r="AX94" s="7" t="n">
        <f aca="false">$L94</f>
        <v>0</v>
      </c>
      <c r="AY94" s="7" t="n">
        <f aca="false">$L94</f>
        <v>0</v>
      </c>
      <c r="AZ94" s="7" t="n">
        <f aca="false">$M94</f>
        <v>0</v>
      </c>
      <c r="BA94" s="7" t="n">
        <f aca="false">$M94</f>
        <v>0</v>
      </c>
      <c r="BB94" s="7" t="n">
        <f aca="false">$M94</f>
        <v>0</v>
      </c>
      <c r="BC94" s="7" t="n">
        <f aca="false">$M94</f>
        <v>0</v>
      </c>
      <c r="BD94" s="7" t="n">
        <f aca="false">$N94</f>
        <v>0</v>
      </c>
      <c r="BE94" s="7" t="n">
        <f aca="false">$N94</f>
        <v>0</v>
      </c>
      <c r="BF94" s="7" t="n">
        <f aca="false">$N94</f>
        <v>0</v>
      </c>
      <c r="BG94" s="7" t="n">
        <f aca="false">$N94</f>
        <v>0</v>
      </c>
      <c r="BH94" s="7" t="n">
        <f aca="false">$N94</f>
        <v>0</v>
      </c>
      <c r="BI94" s="7" t="n">
        <f aca="false">$O94</f>
        <v>0</v>
      </c>
      <c r="BJ94" s="7" t="n">
        <f aca="false">$O94</f>
        <v>0</v>
      </c>
      <c r="BK94" s="7" t="n">
        <f aca="false">$O94</f>
        <v>0</v>
      </c>
      <c r="BL94" s="7" t="n">
        <f aca="false">$O94</f>
        <v>0</v>
      </c>
      <c r="BM94" s="7" t="n">
        <f aca="false">$P94</f>
        <v>0</v>
      </c>
      <c r="BN94" s="7" t="n">
        <f aca="false">$P94</f>
        <v>0</v>
      </c>
      <c r="BO94" s="7" t="n">
        <f aca="false">$P94</f>
        <v>0</v>
      </c>
      <c r="BP94" s="7" t="n">
        <f aca="false">$P94</f>
        <v>0</v>
      </c>
    </row>
    <row r="95" customFormat="false" ht="15" hidden="false" customHeight="false" outlineLevel="0" collapsed="false">
      <c r="A95" s="0" t="s">
        <v>235</v>
      </c>
      <c r="B95" s="0" t="s">
        <v>135</v>
      </c>
      <c r="C95" s="0" t="s">
        <v>123</v>
      </c>
      <c r="D95" s="0" t="n">
        <f aca="false">SUM(Q95:BP95)</f>
        <v>0</v>
      </c>
      <c r="E95" s="13" t="n">
        <v>0</v>
      </c>
      <c r="F95" s="13" t="n">
        <v>0</v>
      </c>
      <c r="G95" s="13" t="n">
        <v>0</v>
      </c>
      <c r="H95" s="13" t="n">
        <v>0</v>
      </c>
      <c r="I95" s="13" t="n">
        <v>0</v>
      </c>
      <c r="J95" s="13" t="n">
        <v>0</v>
      </c>
      <c r="K95" s="13" t="n">
        <v>0</v>
      </c>
      <c r="L95" s="13" t="n">
        <v>0</v>
      </c>
      <c r="M95" s="13" t="n">
        <v>0</v>
      </c>
      <c r="N95" s="13" t="n">
        <v>0</v>
      </c>
      <c r="O95" s="13" t="n">
        <v>0</v>
      </c>
      <c r="P95" s="13" t="n">
        <v>0</v>
      </c>
      <c r="Q95" s="7" t="n">
        <f aca="false">$E95</f>
        <v>0</v>
      </c>
      <c r="R95" s="7" t="n">
        <f aca="false">$E95</f>
        <v>0</v>
      </c>
      <c r="S95" s="7" t="n">
        <f aca="false">$E95</f>
        <v>0</v>
      </c>
      <c r="T95" s="7" t="n">
        <f aca="false">$E95</f>
        <v>0</v>
      </c>
      <c r="U95" s="7" t="n">
        <f aca="false">$E95</f>
        <v>0</v>
      </c>
      <c r="V95" s="7" t="n">
        <f aca="false">$F95</f>
        <v>0</v>
      </c>
      <c r="W95" s="7" t="n">
        <f aca="false">$F95</f>
        <v>0</v>
      </c>
      <c r="X95" s="7" t="n">
        <f aca="false">$F95</f>
        <v>0</v>
      </c>
      <c r="Y95" s="7" t="n">
        <f aca="false">$F95</f>
        <v>0</v>
      </c>
      <c r="Z95" s="7" t="n">
        <f aca="false">$G95</f>
        <v>0</v>
      </c>
      <c r="AA95" s="7" t="n">
        <f aca="false">$G95</f>
        <v>0</v>
      </c>
      <c r="AB95" s="7" t="n">
        <f aca="false">$G95</f>
        <v>0</v>
      </c>
      <c r="AC95" s="7" t="n">
        <f aca="false">$G95</f>
        <v>0</v>
      </c>
      <c r="AD95" s="7" t="n">
        <f aca="false">$H95</f>
        <v>0</v>
      </c>
      <c r="AE95" s="7" t="n">
        <f aca="false">$H95</f>
        <v>0</v>
      </c>
      <c r="AF95" s="7" t="n">
        <f aca="false">$H95</f>
        <v>0</v>
      </c>
      <c r="AG95" s="7" t="n">
        <f aca="false">$H95</f>
        <v>0</v>
      </c>
      <c r="AH95" s="7" t="n">
        <f aca="false">$H95</f>
        <v>0</v>
      </c>
      <c r="AI95" s="7" t="n">
        <f aca="false">$I95</f>
        <v>0</v>
      </c>
      <c r="AJ95" s="7" t="n">
        <f aca="false">$I95</f>
        <v>0</v>
      </c>
      <c r="AK95" s="7" t="n">
        <f aca="false">$I95</f>
        <v>0</v>
      </c>
      <c r="AL95" s="7" t="n">
        <f aca="false">$I95</f>
        <v>0</v>
      </c>
      <c r="AM95" s="7" t="n">
        <f aca="false">$J95</f>
        <v>0</v>
      </c>
      <c r="AN95" s="7" t="n">
        <f aca="false">$J95</f>
        <v>0</v>
      </c>
      <c r="AO95" s="7" t="n">
        <f aca="false">$J95</f>
        <v>0</v>
      </c>
      <c r="AP95" s="7" t="n">
        <f aca="false">$J95</f>
        <v>0</v>
      </c>
      <c r="AQ95" s="7" t="n">
        <f aca="false">$K95</f>
        <v>0</v>
      </c>
      <c r="AR95" s="7" t="n">
        <f aca="false">$K95</f>
        <v>0</v>
      </c>
      <c r="AS95" s="7" t="n">
        <f aca="false">$K95</f>
        <v>0</v>
      </c>
      <c r="AT95" s="7" t="n">
        <f aca="false">$K95</f>
        <v>0</v>
      </c>
      <c r="AU95" s="7" t="n">
        <f aca="false">$K95</f>
        <v>0</v>
      </c>
      <c r="AV95" s="7" t="n">
        <f aca="false">$L95</f>
        <v>0</v>
      </c>
      <c r="AW95" s="7" t="n">
        <f aca="false">$L95</f>
        <v>0</v>
      </c>
      <c r="AX95" s="7" t="n">
        <f aca="false">$L95</f>
        <v>0</v>
      </c>
      <c r="AY95" s="7" t="n">
        <f aca="false">$L95</f>
        <v>0</v>
      </c>
      <c r="AZ95" s="7" t="n">
        <f aca="false">$M95</f>
        <v>0</v>
      </c>
      <c r="BA95" s="7" t="n">
        <f aca="false">$M95</f>
        <v>0</v>
      </c>
      <c r="BB95" s="7" t="n">
        <f aca="false">$M95</f>
        <v>0</v>
      </c>
      <c r="BC95" s="7" t="n">
        <f aca="false">$M95</f>
        <v>0</v>
      </c>
      <c r="BD95" s="7" t="n">
        <f aca="false">$N95</f>
        <v>0</v>
      </c>
      <c r="BE95" s="7" t="n">
        <f aca="false">$N95</f>
        <v>0</v>
      </c>
      <c r="BF95" s="7" t="n">
        <f aca="false">$N95</f>
        <v>0</v>
      </c>
      <c r="BG95" s="7" t="n">
        <f aca="false">$N95</f>
        <v>0</v>
      </c>
      <c r="BH95" s="7" t="n">
        <f aca="false">$N95</f>
        <v>0</v>
      </c>
      <c r="BI95" s="7" t="n">
        <f aca="false">$O95</f>
        <v>0</v>
      </c>
      <c r="BJ95" s="7" t="n">
        <f aca="false">$O95</f>
        <v>0</v>
      </c>
      <c r="BK95" s="7" t="n">
        <f aca="false">$O95</f>
        <v>0</v>
      </c>
      <c r="BL95" s="7" t="n">
        <f aca="false">$O95</f>
        <v>0</v>
      </c>
      <c r="BM95" s="7" t="n">
        <f aca="false">$P95</f>
        <v>0</v>
      </c>
      <c r="BN95" s="7" t="n">
        <f aca="false">$P95</f>
        <v>0</v>
      </c>
      <c r="BO95" s="7" t="n">
        <f aca="false">$P95</f>
        <v>0</v>
      </c>
      <c r="BP95" s="7" t="n">
        <f aca="false">$P95</f>
        <v>0</v>
      </c>
    </row>
    <row r="96" customFormat="false" ht="15" hidden="false" customHeight="false" outlineLevel="0" collapsed="false">
      <c r="A96" s="0" t="s">
        <v>236</v>
      </c>
      <c r="B96" s="0" t="s">
        <v>126</v>
      </c>
      <c r="C96" s="0" t="s">
        <v>115</v>
      </c>
      <c r="D96" s="0" t="n">
        <f aca="false">SUM(Q96:BP96)</f>
        <v>703</v>
      </c>
      <c r="E96" s="22" t="n">
        <v>0</v>
      </c>
      <c r="F96" s="22" t="n">
        <v>0</v>
      </c>
      <c r="G96" s="22" t="n">
        <v>0</v>
      </c>
      <c r="H96" s="22" t="n">
        <v>0</v>
      </c>
      <c r="I96" s="22" t="n">
        <v>5</v>
      </c>
      <c r="J96" s="22" t="n">
        <v>10</v>
      </c>
      <c r="K96" s="22" t="n">
        <v>15</v>
      </c>
      <c r="L96" s="22" t="n">
        <v>20</v>
      </c>
      <c r="M96" s="22" t="n">
        <v>25</v>
      </c>
      <c r="N96" s="22" t="n">
        <v>28</v>
      </c>
      <c r="O96" s="22" t="n">
        <v>30</v>
      </c>
      <c r="P96" s="22" t="n">
        <v>32</v>
      </c>
      <c r="Q96" s="7" t="n">
        <f aca="false">$E96</f>
        <v>0</v>
      </c>
      <c r="R96" s="7" t="n">
        <f aca="false">$E96</f>
        <v>0</v>
      </c>
      <c r="S96" s="7" t="n">
        <f aca="false">$E96</f>
        <v>0</v>
      </c>
      <c r="T96" s="7" t="n">
        <f aca="false">$E96</f>
        <v>0</v>
      </c>
      <c r="U96" s="7" t="n">
        <f aca="false">$E96</f>
        <v>0</v>
      </c>
      <c r="V96" s="7" t="n">
        <f aca="false">$F96</f>
        <v>0</v>
      </c>
      <c r="W96" s="7" t="n">
        <f aca="false">$F96</f>
        <v>0</v>
      </c>
      <c r="X96" s="7" t="n">
        <f aca="false">$F96</f>
        <v>0</v>
      </c>
      <c r="Y96" s="7" t="n">
        <f aca="false">$F96</f>
        <v>0</v>
      </c>
      <c r="Z96" s="7" t="n">
        <f aca="false">$G96</f>
        <v>0</v>
      </c>
      <c r="AA96" s="7" t="n">
        <f aca="false">$G96</f>
        <v>0</v>
      </c>
      <c r="AB96" s="7" t="n">
        <f aca="false">$G96</f>
        <v>0</v>
      </c>
      <c r="AC96" s="7" t="n">
        <f aca="false">$G96</f>
        <v>0</v>
      </c>
      <c r="AD96" s="7" t="n">
        <f aca="false">$H96</f>
        <v>0</v>
      </c>
      <c r="AE96" s="7" t="n">
        <f aca="false">$H96</f>
        <v>0</v>
      </c>
      <c r="AF96" s="7" t="n">
        <f aca="false">$H96</f>
        <v>0</v>
      </c>
      <c r="AG96" s="7" t="n">
        <f aca="false">$H96</f>
        <v>0</v>
      </c>
      <c r="AH96" s="7" t="n">
        <f aca="false">$H96</f>
        <v>0</v>
      </c>
      <c r="AI96" s="7" t="n">
        <f aca="false">$I96</f>
        <v>5</v>
      </c>
      <c r="AJ96" s="7" t="n">
        <f aca="false">$I96</f>
        <v>5</v>
      </c>
      <c r="AK96" s="7" t="n">
        <f aca="false">$I96</f>
        <v>5</v>
      </c>
      <c r="AL96" s="7" t="n">
        <f aca="false">$I96</f>
        <v>5</v>
      </c>
      <c r="AM96" s="7" t="n">
        <f aca="false">$J96</f>
        <v>10</v>
      </c>
      <c r="AN96" s="7" t="n">
        <f aca="false">$J96</f>
        <v>10</v>
      </c>
      <c r="AO96" s="7" t="n">
        <f aca="false">$J96</f>
        <v>10</v>
      </c>
      <c r="AP96" s="7" t="n">
        <f aca="false">$J96</f>
        <v>10</v>
      </c>
      <c r="AQ96" s="7" t="n">
        <f aca="false">$K96</f>
        <v>15</v>
      </c>
      <c r="AR96" s="7" t="n">
        <f aca="false">$K96</f>
        <v>15</v>
      </c>
      <c r="AS96" s="7" t="n">
        <f aca="false">$K96</f>
        <v>15</v>
      </c>
      <c r="AT96" s="7" t="n">
        <f aca="false">$K96</f>
        <v>15</v>
      </c>
      <c r="AU96" s="7" t="n">
        <f aca="false">$K96</f>
        <v>15</v>
      </c>
      <c r="AV96" s="7" t="n">
        <f aca="false">$L96</f>
        <v>20</v>
      </c>
      <c r="AW96" s="7" t="n">
        <f aca="false">$L96</f>
        <v>20</v>
      </c>
      <c r="AX96" s="7" t="n">
        <f aca="false">$L96</f>
        <v>20</v>
      </c>
      <c r="AY96" s="7" t="n">
        <f aca="false">$L96</f>
        <v>20</v>
      </c>
      <c r="AZ96" s="7" t="n">
        <f aca="false">$M96</f>
        <v>25</v>
      </c>
      <c r="BA96" s="7" t="n">
        <f aca="false">$M96</f>
        <v>25</v>
      </c>
      <c r="BB96" s="7" t="n">
        <f aca="false">$M96</f>
        <v>25</v>
      </c>
      <c r="BC96" s="7" t="n">
        <f aca="false">$M96</f>
        <v>25</v>
      </c>
      <c r="BD96" s="7" t="n">
        <f aca="false">$N96</f>
        <v>28</v>
      </c>
      <c r="BE96" s="7" t="n">
        <f aca="false">$N96</f>
        <v>28</v>
      </c>
      <c r="BF96" s="7" t="n">
        <f aca="false">$N96</f>
        <v>28</v>
      </c>
      <c r="BG96" s="7" t="n">
        <f aca="false">$N96</f>
        <v>28</v>
      </c>
      <c r="BH96" s="7" t="n">
        <f aca="false">$N96</f>
        <v>28</v>
      </c>
      <c r="BI96" s="7" t="n">
        <f aca="false">$O96</f>
        <v>30</v>
      </c>
      <c r="BJ96" s="7" t="n">
        <f aca="false">$O96</f>
        <v>30</v>
      </c>
      <c r="BK96" s="7" t="n">
        <f aca="false">$O96</f>
        <v>30</v>
      </c>
      <c r="BL96" s="7" t="n">
        <f aca="false">$O96</f>
        <v>30</v>
      </c>
      <c r="BM96" s="7" t="n">
        <f aca="false">$P96</f>
        <v>32</v>
      </c>
      <c r="BN96" s="7" t="n">
        <f aca="false">$P96</f>
        <v>32</v>
      </c>
      <c r="BO96" s="7" t="n">
        <f aca="false">$P96</f>
        <v>32</v>
      </c>
      <c r="BP96" s="7" t="n">
        <f aca="false">$P96</f>
        <v>32</v>
      </c>
    </row>
    <row r="97" customFormat="false" ht="15" hidden="false" customHeight="false" outlineLevel="0" collapsed="false">
      <c r="A97" s="0" t="s">
        <v>236</v>
      </c>
      <c r="B97" s="0" t="s">
        <v>126</v>
      </c>
      <c r="C97" s="0" t="s">
        <v>116</v>
      </c>
      <c r="D97" s="0" t="n">
        <f aca="false">SUM(Q97:BP97)</f>
        <v>413</v>
      </c>
      <c r="E97" s="22" t="n">
        <v>0</v>
      </c>
      <c r="F97" s="22" t="n">
        <v>0</v>
      </c>
      <c r="G97" s="22" t="n">
        <v>0</v>
      </c>
      <c r="H97" s="22" t="n">
        <v>0</v>
      </c>
      <c r="I97" s="22" t="n">
        <v>2</v>
      </c>
      <c r="J97" s="22" t="n">
        <v>5</v>
      </c>
      <c r="K97" s="22" t="n">
        <v>8</v>
      </c>
      <c r="L97" s="22" t="n">
        <v>12</v>
      </c>
      <c r="M97" s="22" t="n">
        <v>15</v>
      </c>
      <c r="N97" s="22" t="n">
        <v>17</v>
      </c>
      <c r="O97" s="22" t="n">
        <v>18</v>
      </c>
      <c r="P97" s="22" t="n">
        <v>20</v>
      </c>
      <c r="Q97" s="7" t="n">
        <f aca="false">$E97</f>
        <v>0</v>
      </c>
      <c r="R97" s="7" t="n">
        <f aca="false">$E97</f>
        <v>0</v>
      </c>
      <c r="S97" s="7" t="n">
        <f aca="false">$E97</f>
        <v>0</v>
      </c>
      <c r="T97" s="7" t="n">
        <f aca="false">$E97</f>
        <v>0</v>
      </c>
      <c r="U97" s="7" t="n">
        <f aca="false">$E97</f>
        <v>0</v>
      </c>
      <c r="V97" s="7" t="n">
        <f aca="false">$F97</f>
        <v>0</v>
      </c>
      <c r="W97" s="7" t="n">
        <f aca="false">$F97</f>
        <v>0</v>
      </c>
      <c r="X97" s="7" t="n">
        <f aca="false">$F97</f>
        <v>0</v>
      </c>
      <c r="Y97" s="7" t="n">
        <f aca="false">$F97</f>
        <v>0</v>
      </c>
      <c r="Z97" s="7" t="n">
        <f aca="false">$G97</f>
        <v>0</v>
      </c>
      <c r="AA97" s="7" t="n">
        <f aca="false">$G97</f>
        <v>0</v>
      </c>
      <c r="AB97" s="7" t="n">
        <f aca="false">$G97</f>
        <v>0</v>
      </c>
      <c r="AC97" s="7" t="n">
        <f aca="false">$G97</f>
        <v>0</v>
      </c>
      <c r="AD97" s="7" t="n">
        <f aca="false">$H97</f>
        <v>0</v>
      </c>
      <c r="AE97" s="7" t="n">
        <f aca="false">$H97</f>
        <v>0</v>
      </c>
      <c r="AF97" s="7" t="n">
        <f aca="false">$H97</f>
        <v>0</v>
      </c>
      <c r="AG97" s="7" t="n">
        <f aca="false">$H97</f>
        <v>0</v>
      </c>
      <c r="AH97" s="7" t="n">
        <f aca="false">$H97</f>
        <v>0</v>
      </c>
      <c r="AI97" s="7" t="n">
        <f aca="false">$I97</f>
        <v>2</v>
      </c>
      <c r="AJ97" s="7" t="n">
        <f aca="false">$I97</f>
        <v>2</v>
      </c>
      <c r="AK97" s="7" t="n">
        <f aca="false">$I97</f>
        <v>2</v>
      </c>
      <c r="AL97" s="7" t="n">
        <f aca="false">$I97</f>
        <v>2</v>
      </c>
      <c r="AM97" s="7" t="n">
        <f aca="false">$J97</f>
        <v>5</v>
      </c>
      <c r="AN97" s="7" t="n">
        <f aca="false">$J97</f>
        <v>5</v>
      </c>
      <c r="AO97" s="7" t="n">
        <f aca="false">$J97</f>
        <v>5</v>
      </c>
      <c r="AP97" s="7" t="n">
        <f aca="false">$J97</f>
        <v>5</v>
      </c>
      <c r="AQ97" s="7" t="n">
        <f aca="false">$K97</f>
        <v>8</v>
      </c>
      <c r="AR97" s="7" t="n">
        <f aca="false">$K97</f>
        <v>8</v>
      </c>
      <c r="AS97" s="7" t="n">
        <f aca="false">$K97</f>
        <v>8</v>
      </c>
      <c r="AT97" s="7" t="n">
        <f aca="false">$K97</f>
        <v>8</v>
      </c>
      <c r="AU97" s="7" t="n">
        <f aca="false">$K97</f>
        <v>8</v>
      </c>
      <c r="AV97" s="7" t="n">
        <f aca="false">$L97</f>
        <v>12</v>
      </c>
      <c r="AW97" s="7" t="n">
        <f aca="false">$L97</f>
        <v>12</v>
      </c>
      <c r="AX97" s="7" t="n">
        <f aca="false">$L97</f>
        <v>12</v>
      </c>
      <c r="AY97" s="7" t="n">
        <f aca="false">$L97</f>
        <v>12</v>
      </c>
      <c r="AZ97" s="7" t="n">
        <f aca="false">$M97</f>
        <v>15</v>
      </c>
      <c r="BA97" s="7" t="n">
        <f aca="false">$M97</f>
        <v>15</v>
      </c>
      <c r="BB97" s="7" t="n">
        <f aca="false">$M97</f>
        <v>15</v>
      </c>
      <c r="BC97" s="7" t="n">
        <f aca="false">$M97</f>
        <v>15</v>
      </c>
      <c r="BD97" s="7" t="n">
        <f aca="false">$N97</f>
        <v>17</v>
      </c>
      <c r="BE97" s="7" t="n">
        <f aca="false">$N97</f>
        <v>17</v>
      </c>
      <c r="BF97" s="7" t="n">
        <f aca="false">$N97</f>
        <v>17</v>
      </c>
      <c r="BG97" s="7" t="n">
        <f aca="false">$N97</f>
        <v>17</v>
      </c>
      <c r="BH97" s="7" t="n">
        <f aca="false">$N97</f>
        <v>17</v>
      </c>
      <c r="BI97" s="7" t="n">
        <f aca="false">$O97</f>
        <v>18</v>
      </c>
      <c r="BJ97" s="7" t="n">
        <f aca="false">$O97</f>
        <v>18</v>
      </c>
      <c r="BK97" s="7" t="n">
        <f aca="false">$O97</f>
        <v>18</v>
      </c>
      <c r="BL97" s="7" t="n">
        <f aca="false">$O97</f>
        <v>18</v>
      </c>
      <c r="BM97" s="7" t="n">
        <f aca="false">$P97</f>
        <v>20</v>
      </c>
      <c r="BN97" s="7" t="n">
        <f aca="false">$P97</f>
        <v>20</v>
      </c>
      <c r="BO97" s="7" t="n">
        <f aca="false">$P97</f>
        <v>20</v>
      </c>
      <c r="BP97" s="7" t="n">
        <f aca="false">$P97</f>
        <v>20</v>
      </c>
    </row>
    <row r="98" customFormat="false" ht="15" hidden="false" customHeight="false" outlineLevel="0" collapsed="false">
      <c r="A98" s="0" t="s">
        <v>236</v>
      </c>
      <c r="B98" s="0" t="s">
        <v>126</v>
      </c>
      <c r="C98" s="0" t="s">
        <v>117</v>
      </c>
      <c r="D98" s="0" t="n">
        <f aca="false">SUM(Q98:BP98)</f>
        <v>0</v>
      </c>
      <c r="E98" s="22" t="n">
        <v>0</v>
      </c>
      <c r="F98" s="22" t="n">
        <v>0</v>
      </c>
      <c r="G98" s="22" t="n">
        <v>0</v>
      </c>
      <c r="H98" s="22" t="n">
        <v>0</v>
      </c>
      <c r="I98" s="22" t="n">
        <v>0</v>
      </c>
      <c r="J98" s="22" t="n">
        <v>0</v>
      </c>
      <c r="K98" s="22" t="n">
        <v>0</v>
      </c>
      <c r="L98" s="22" t="n">
        <v>0</v>
      </c>
      <c r="M98" s="22" t="n">
        <v>0</v>
      </c>
      <c r="N98" s="22" t="n">
        <v>0</v>
      </c>
      <c r="O98" s="22" t="n">
        <v>0</v>
      </c>
      <c r="P98" s="22" t="n">
        <v>0</v>
      </c>
      <c r="Q98" s="7" t="n">
        <f aca="false">$E98</f>
        <v>0</v>
      </c>
      <c r="R98" s="7" t="n">
        <f aca="false">$E98</f>
        <v>0</v>
      </c>
      <c r="S98" s="7" t="n">
        <f aca="false">$E98</f>
        <v>0</v>
      </c>
      <c r="T98" s="7" t="n">
        <f aca="false">$E98</f>
        <v>0</v>
      </c>
      <c r="U98" s="7" t="n">
        <f aca="false">$E98</f>
        <v>0</v>
      </c>
      <c r="V98" s="7" t="n">
        <f aca="false">$F98</f>
        <v>0</v>
      </c>
      <c r="W98" s="7" t="n">
        <f aca="false">$F98</f>
        <v>0</v>
      </c>
      <c r="X98" s="7" t="n">
        <f aca="false">$F98</f>
        <v>0</v>
      </c>
      <c r="Y98" s="7" t="n">
        <f aca="false">$F98</f>
        <v>0</v>
      </c>
      <c r="Z98" s="7" t="n">
        <f aca="false">$G98</f>
        <v>0</v>
      </c>
      <c r="AA98" s="7" t="n">
        <f aca="false">$G98</f>
        <v>0</v>
      </c>
      <c r="AB98" s="7" t="n">
        <f aca="false">$G98</f>
        <v>0</v>
      </c>
      <c r="AC98" s="7" t="n">
        <f aca="false">$G98</f>
        <v>0</v>
      </c>
      <c r="AD98" s="7" t="n">
        <f aca="false">$H98</f>
        <v>0</v>
      </c>
      <c r="AE98" s="7" t="n">
        <f aca="false">$H98</f>
        <v>0</v>
      </c>
      <c r="AF98" s="7" t="n">
        <f aca="false">$H98</f>
        <v>0</v>
      </c>
      <c r="AG98" s="7" t="n">
        <f aca="false">$H98</f>
        <v>0</v>
      </c>
      <c r="AH98" s="7" t="n">
        <f aca="false">$H98</f>
        <v>0</v>
      </c>
      <c r="AI98" s="7" t="n">
        <f aca="false">$I98</f>
        <v>0</v>
      </c>
      <c r="AJ98" s="7" t="n">
        <f aca="false">$I98</f>
        <v>0</v>
      </c>
      <c r="AK98" s="7" t="n">
        <f aca="false">$I98</f>
        <v>0</v>
      </c>
      <c r="AL98" s="7" t="n">
        <f aca="false">$I98</f>
        <v>0</v>
      </c>
      <c r="AM98" s="7" t="n">
        <f aca="false">$J98</f>
        <v>0</v>
      </c>
      <c r="AN98" s="7" t="n">
        <f aca="false">$J98</f>
        <v>0</v>
      </c>
      <c r="AO98" s="7" t="n">
        <f aca="false">$J98</f>
        <v>0</v>
      </c>
      <c r="AP98" s="7" t="n">
        <f aca="false">$J98</f>
        <v>0</v>
      </c>
      <c r="AQ98" s="7" t="n">
        <f aca="false">$K98</f>
        <v>0</v>
      </c>
      <c r="AR98" s="7" t="n">
        <f aca="false">$K98</f>
        <v>0</v>
      </c>
      <c r="AS98" s="7" t="n">
        <f aca="false">$K98</f>
        <v>0</v>
      </c>
      <c r="AT98" s="7" t="n">
        <f aca="false">$K98</f>
        <v>0</v>
      </c>
      <c r="AU98" s="7" t="n">
        <f aca="false">$K98</f>
        <v>0</v>
      </c>
      <c r="AV98" s="7" t="n">
        <f aca="false">$L98</f>
        <v>0</v>
      </c>
      <c r="AW98" s="7" t="n">
        <f aca="false">$L98</f>
        <v>0</v>
      </c>
      <c r="AX98" s="7" t="n">
        <f aca="false">$L98</f>
        <v>0</v>
      </c>
      <c r="AY98" s="7" t="n">
        <f aca="false">$L98</f>
        <v>0</v>
      </c>
      <c r="AZ98" s="7" t="n">
        <f aca="false">$M98</f>
        <v>0</v>
      </c>
      <c r="BA98" s="7" t="n">
        <f aca="false">$M98</f>
        <v>0</v>
      </c>
      <c r="BB98" s="7" t="n">
        <f aca="false">$M98</f>
        <v>0</v>
      </c>
      <c r="BC98" s="7" t="n">
        <f aca="false">$M98</f>
        <v>0</v>
      </c>
      <c r="BD98" s="7" t="n">
        <f aca="false">$N98</f>
        <v>0</v>
      </c>
      <c r="BE98" s="7" t="n">
        <f aca="false">$N98</f>
        <v>0</v>
      </c>
      <c r="BF98" s="7" t="n">
        <f aca="false">$N98</f>
        <v>0</v>
      </c>
      <c r="BG98" s="7" t="n">
        <f aca="false">$N98</f>
        <v>0</v>
      </c>
      <c r="BH98" s="7" t="n">
        <f aca="false">$N98</f>
        <v>0</v>
      </c>
      <c r="BI98" s="7" t="n">
        <f aca="false">$O98</f>
        <v>0</v>
      </c>
      <c r="BJ98" s="7" t="n">
        <f aca="false">$O98</f>
        <v>0</v>
      </c>
      <c r="BK98" s="7" t="n">
        <f aca="false">$O98</f>
        <v>0</v>
      </c>
      <c r="BL98" s="7" t="n">
        <f aca="false">$O98</f>
        <v>0</v>
      </c>
      <c r="BM98" s="7" t="n">
        <f aca="false">$P98</f>
        <v>0</v>
      </c>
      <c r="BN98" s="7" t="n">
        <f aca="false">$P98</f>
        <v>0</v>
      </c>
      <c r="BO98" s="7" t="n">
        <f aca="false">$P98</f>
        <v>0</v>
      </c>
      <c r="BP98" s="7" t="n">
        <f aca="false">$P98</f>
        <v>0</v>
      </c>
    </row>
    <row r="99" customFormat="false" ht="15" hidden="false" customHeight="false" outlineLevel="0" collapsed="false">
      <c r="A99" s="0" t="s">
        <v>236</v>
      </c>
      <c r="B99" s="0" t="s">
        <v>126</v>
      </c>
      <c r="C99" s="0" t="s">
        <v>118</v>
      </c>
      <c r="D99" s="0" t="n">
        <f aca="false">SUM(Q99:BP99)</f>
        <v>0</v>
      </c>
      <c r="E99" s="22" t="n">
        <v>0</v>
      </c>
      <c r="F99" s="22" t="n">
        <v>0</v>
      </c>
      <c r="G99" s="22" t="n">
        <v>0</v>
      </c>
      <c r="H99" s="22" t="n">
        <v>0</v>
      </c>
      <c r="I99" s="22" t="n">
        <v>0</v>
      </c>
      <c r="J99" s="22" t="n">
        <v>0</v>
      </c>
      <c r="K99" s="22" t="n">
        <v>0</v>
      </c>
      <c r="L99" s="22" t="n">
        <v>0</v>
      </c>
      <c r="M99" s="22" t="n">
        <v>0</v>
      </c>
      <c r="N99" s="22" t="n">
        <v>0</v>
      </c>
      <c r="O99" s="22" t="n">
        <v>0</v>
      </c>
      <c r="P99" s="22" t="n">
        <v>0</v>
      </c>
      <c r="Q99" s="7" t="n">
        <f aca="false">$E99</f>
        <v>0</v>
      </c>
      <c r="R99" s="7" t="n">
        <f aca="false">$E99</f>
        <v>0</v>
      </c>
      <c r="S99" s="7" t="n">
        <f aca="false">$E99</f>
        <v>0</v>
      </c>
      <c r="T99" s="7" t="n">
        <f aca="false">$E99</f>
        <v>0</v>
      </c>
      <c r="U99" s="7" t="n">
        <f aca="false">$E99</f>
        <v>0</v>
      </c>
      <c r="V99" s="7" t="n">
        <f aca="false">$F99</f>
        <v>0</v>
      </c>
      <c r="W99" s="7" t="n">
        <f aca="false">$F99</f>
        <v>0</v>
      </c>
      <c r="X99" s="7" t="n">
        <f aca="false">$F99</f>
        <v>0</v>
      </c>
      <c r="Y99" s="7" t="n">
        <f aca="false">$F99</f>
        <v>0</v>
      </c>
      <c r="Z99" s="7" t="n">
        <f aca="false">$G99</f>
        <v>0</v>
      </c>
      <c r="AA99" s="7" t="n">
        <f aca="false">$G99</f>
        <v>0</v>
      </c>
      <c r="AB99" s="7" t="n">
        <f aca="false">$G99</f>
        <v>0</v>
      </c>
      <c r="AC99" s="7" t="n">
        <f aca="false">$G99</f>
        <v>0</v>
      </c>
      <c r="AD99" s="7" t="n">
        <f aca="false">$H99</f>
        <v>0</v>
      </c>
      <c r="AE99" s="7" t="n">
        <f aca="false">$H99</f>
        <v>0</v>
      </c>
      <c r="AF99" s="7" t="n">
        <f aca="false">$H99</f>
        <v>0</v>
      </c>
      <c r="AG99" s="7" t="n">
        <f aca="false">$H99</f>
        <v>0</v>
      </c>
      <c r="AH99" s="7" t="n">
        <f aca="false">$H99</f>
        <v>0</v>
      </c>
      <c r="AI99" s="7" t="n">
        <f aca="false">$I99</f>
        <v>0</v>
      </c>
      <c r="AJ99" s="7" t="n">
        <f aca="false">$I99</f>
        <v>0</v>
      </c>
      <c r="AK99" s="7" t="n">
        <f aca="false">$I99</f>
        <v>0</v>
      </c>
      <c r="AL99" s="7" t="n">
        <f aca="false">$I99</f>
        <v>0</v>
      </c>
      <c r="AM99" s="7" t="n">
        <f aca="false">$J99</f>
        <v>0</v>
      </c>
      <c r="AN99" s="7" t="n">
        <f aca="false">$J99</f>
        <v>0</v>
      </c>
      <c r="AO99" s="7" t="n">
        <f aca="false">$J99</f>
        <v>0</v>
      </c>
      <c r="AP99" s="7" t="n">
        <f aca="false">$J99</f>
        <v>0</v>
      </c>
      <c r="AQ99" s="7" t="n">
        <f aca="false">$K99</f>
        <v>0</v>
      </c>
      <c r="AR99" s="7" t="n">
        <f aca="false">$K99</f>
        <v>0</v>
      </c>
      <c r="AS99" s="7" t="n">
        <f aca="false">$K99</f>
        <v>0</v>
      </c>
      <c r="AT99" s="7" t="n">
        <f aca="false">$K99</f>
        <v>0</v>
      </c>
      <c r="AU99" s="7" t="n">
        <f aca="false">$K99</f>
        <v>0</v>
      </c>
      <c r="AV99" s="7" t="n">
        <f aca="false">$L99</f>
        <v>0</v>
      </c>
      <c r="AW99" s="7" t="n">
        <f aca="false">$L99</f>
        <v>0</v>
      </c>
      <c r="AX99" s="7" t="n">
        <f aca="false">$L99</f>
        <v>0</v>
      </c>
      <c r="AY99" s="7" t="n">
        <f aca="false">$L99</f>
        <v>0</v>
      </c>
      <c r="AZ99" s="7" t="n">
        <f aca="false">$M99</f>
        <v>0</v>
      </c>
      <c r="BA99" s="7" t="n">
        <f aca="false">$M99</f>
        <v>0</v>
      </c>
      <c r="BB99" s="7" t="n">
        <f aca="false">$M99</f>
        <v>0</v>
      </c>
      <c r="BC99" s="7" t="n">
        <f aca="false">$M99</f>
        <v>0</v>
      </c>
      <c r="BD99" s="7" t="n">
        <f aca="false">$N99</f>
        <v>0</v>
      </c>
      <c r="BE99" s="7" t="n">
        <f aca="false">$N99</f>
        <v>0</v>
      </c>
      <c r="BF99" s="7" t="n">
        <f aca="false">$N99</f>
        <v>0</v>
      </c>
      <c r="BG99" s="7" t="n">
        <f aca="false">$N99</f>
        <v>0</v>
      </c>
      <c r="BH99" s="7" t="n">
        <f aca="false">$N99</f>
        <v>0</v>
      </c>
      <c r="BI99" s="7" t="n">
        <f aca="false">$O99</f>
        <v>0</v>
      </c>
      <c r="BJ99" s="7" t="n">
        <f aca="false">$O99</f>
        <v>0</v>
      </c>
      <c r="BK99" s="7" t="n">
        <f aca="false">$O99</f>
        <v>0</v>
      </c>
      <c r="BL99" s="7" t="n">
        <f aca="false">$O99</f>
        <v>0</v>
      </c>
      <c r="BM99" s="7" t="n">
        <f aca="false">$P99</f>
        <v>0</v>
      </c>
      <c r="BN99" s="7" t="n">
        <f aca="false">$P99</f>
        <v>0</v>
      </c>
      <c r="BO99" s="7" t="n">
        <f aca="false">$P99</f>
        <v>0</v>
      </c>
      <c r="BP99" s="7" t="n">
        <f aca="false">$P99</f>
        <v>0</v>
      </c>
    </row>
    <row r="100" customFormat="false" ht="15" hidden="false" customHeight="false" outlineLevel="0" collapsed="false">
      <c r="A100" s="0" t="s">
        <v>236</v>
      </c>
      <c r="B100" s="0" t="s">
        <v>126</v>
      </c>
      <c r="C100" s="0" t="s">
        <v>119</v>
      </c>
      <c r="D100" s="0" t="n">
        <f aca="false">SUM(Q100:BP100)</f>
        <v>498</v>
      </c>
      <c r="E100" s="13" t="n">
        <v>0</v>
      </c>
      <c r="F100" s="13" t="n">
        <v>0</v>
      </c>
      <c r="G100" s="13" t="n">
        <v>0</v>
      </c>
      <c r="H100" s="13" t="n">
        <v>0</v>
      </c>
      <c r="I100" s="13" t="n">
        <v>3</v>
      </c>
      <c r="J100" s="13" t="n">
        <v>6</v>
      </c>
      <c r="K100" s="13" t="n">
        <v>10</v>
      </c>
      <c r="L100" s="13" t="n">
        <v>14</v>
      </c>
      <c r="M100" s="13" t="n">
        <v>18</v>
      </c>
      <c r="N100" s="13" t="n">
        <v>20</v>
      </c>
      <c r="O100" s="13" t="n">
        <v>22</v>
      </c>
      <c r="P100" s="13" t="n">
        <v>24</v>
      </c>
      <c r="Q100" s="7" t="n">
        <f aca="false">$E100</f>
        <v>0</v>
      </c>
      <c r="R100" s="7" t="n">
        <f aca="false">$E100</f>
        <v>0</v>
      </c>
      <c r="S100" s="7" t="n">
        <f aca="false">$E100</f>
        <v>0</v>
      </c>
      <c r="T100" s="7" t="n">
        <f aca="false">$E100</f>
        <v>0</v>
      </c>
      <c r="U100" s="7" t="n">
        <f aca="false">$E100</f>
        <v>0</v>
      </c>
      <c r="V100" s="7" t="n">
        <f aca="false">$F100</f>
        <v>0</v>
      </c>
      <c r="W100" s="7" t="n">
        <f aca="false">$F100</f>
        <v>0</v>
      </c>
      <c r="X100" s="7" t="n">
        <f aca="false">$F100</f>
        <v>0</v>
      </c>
      <c r="Y100" s="7" t="n">
        <f aca="false">$F100</f>
        <v>0</v>
      </c>
      <c r="Z100" s="7" t="n">
        <f aca="false">$G100</f>
        <v>0</v>
      </c>
      <c r="AA100" s="7" t="n">
        <f aca="false">$G100</f>
        <v>0</v>
      </c>
      <c r="AB100" s="7" t="n">
        <f aca="false">$G100</f>
        <v>0</v>
      </c>
      <c r="AC100" s="7" t="n">
        <f aca="false">$G100</f>
        <v>0</v>
      </c>
      <c r="AD100" s="7" t="n">
        <f aca="false">$H100</f>
        <v>0</v>
      </c>
      <c r="AE100" s="7" t="n">
        <f aca="false">$H100</f>
        <v>0</v>
      </c>
      <c r="AF100" s="7" t="n">
        <f aca="false">$H100</f>
        <v>0</v>
      </c>
      <c r="AG100" s="7" t="n">
        <f aca="false">$H100</f>
        <v>0</v>
      </c>
      <c r="AH100" s="7" t="n">
        <f aca="false">$H100</f>
        <v>0</v>
      </c>
      <c r="AI100" s="7" t="n">
        <f aca="false">$I100</f>
        <v>3</v>
      </c>
      <c r="AJ100" s="7" t="n">
        <f aca="false">$I100</f>
        <v>3</v>
      </c>
      <c r="AK100" s="7" t="n">
        <f aca="false">$I100</f>
        <v>3</v>
      </c>
      <c r="AL100" s="7" t="n">
        <f aca="false">$I100</f>
        <v>3</v>
      </c>
      <c r="AM100" s="7" t="n">
        <f aca="false">$J100</f>
        <v>6</v>
      </c>
      <c r="AN100" s="7" t="n">
        <f aca="false">$J100</f>
        <v>6</v>
      </c>
      <c r="AO100" s="7" t="n">
        <f aca="false">$J100</f>
        <v>6</v>
      </c>
      <c r="AP100" s="7" t="n">
        <f aca="false">$J100</f>
        <v>6</v>
      </c>
      <c r="AQ100" s="7" t="n">
        <f aca="false">$K100</f>
        <v>10</v>
      </c>
      <c r="AR100" s="7" t="n">
        <f aca="false">$K100</f>
        <v>10</v>
      </c>
      <c r="AS100" s="7" t="n">
        <f aca="false">$K100</f>
        <v>10</v>
      </c>
      <c r="AT100" s="7" t="n">
        <f aca="false">$K100</f>
        <v>10</v>
      </c>
      <c r="AU100" s="7" t="n">
        <f aca="false">$K100</f>
        <v>10</v>
      </c>
      <c r="AV100" s="7" t="n">
        <f aca="false">$L100</f>
        <v>14</v>
      </c>
      <c r="AW100" s="7" t="n">
        <f aca="false">$L100</f>
        <v>14</v>
      </c>
      <c r="AX100" s="7" t="n">
        <f aca="false">$L100</f>
        <v>14</v>
      </c>
      <c r="AY100" s="7" t="n">
        <f aca="false">$L100</f>
        <v>14</v>
      </c>
      <c r="AZ100" s="7" t="n">
        <f aca="false">$M100</f>
        <v>18</v>
      </c>
      <c r="BA100" s="7" t="n">
        <f aca="false">$M100</f>
        <v>18</v>
      </c>
      <c r="BB100" s="7" t="n">
        <f aca="false">$M100</f>
        <v>18</v>
      </c>
      <c r="BC100" s="7" t="n">
        <f aca="false">$M100</f>
        <v>18</v>
      </c>
      <c r="BD100" s="7" t="n">
        <f aca="false">$N100</f>
        <v>20</v>
      </c>
      <c r="BE100" s="7" t="n">
        <f aca="false">$N100</f>
        <v>20</v>
      </c>
      <c r="BF100" s="7" t="n">
        <f aca="false">$N100</f>
        <v>20</v>
      </c>
      <c r="BG100" s="7" t="n">
        <f aca="false">$N100</f>
        <v>20</v>
      </c>
      <c r="BH100" s="7" t="n">
        <f aca="false">$N100</f>
        <v>20</v>
      </c>
      <c r="BI100" s="7" t="n">
        <f aca="false">$O100</f>
        <v>22</v>
      </c>
      <c r="BJ100" s="7" t="n">
        <f aca="false">$O100</f>
        <v>22</v>
      </c>
      <c r="BK100" s="7" t="n">
        <f aca="false">$O100</f>
        <v>22</v>
      </c>
      <c r="BL100" s="7" t="n">
        <f aca="false">$O100</f>
        <v>22</v>
      </c>
      <c r="BM100" s="7" t="n">
        <f aca="false">$P100</f>
        <v>24</v>
      </c>
      <c r="BN100" s="7" t="n">
        <f aca="false">$P100</f>
        <v>24</v>
      </c>
      <c r="BO100" s="7" t="n">
        <f aca="false">$P100</f>
        <v>24</v>
      </c>
      <c r="BP100" s="7" t="n">
        <f aca="false">$P100</f>
        <v>24</v>
      </c>
    </row>
    <row r="101" customFormat="false" ht="15" hidden="false" customHeight="false" outlineLevel="0" collapsed="false">
      <c r="A101" s="0" t="s">
        <v>236</v>
      </c>
      <c r="B101" s="0" t="s">
        <v>126</v>
      </c>
      <c r="C101" s="0" t="s">
        <v>120</v>
      </c>
      <c r="D101" s="0" t="n">
        <f aca="false">SUM(Q101:BP101)</f>
        <v>703</v>
      </c>
      <c r="E101" s="13" t="n">
        <v>0</v>
      </c>
      <c r="F101" s="13" t="n">
        <v>0</v>
      </c>
      <c r="G101" s="13" t="n">
        <v>0</v>
      </c>
      <c r="H101" s="13" t="n">
        <v>0</v>
      </c>
      <c r="I101" s="13" t="n">
        <v>5</v>
      </c>
      <c r="J101" s="13" t="n">
        <v>10</v>
      </c>
      <c r="K101" s="13" t="n">
        <v>15</v>
      </c>
      <c r="L101" s="13" t="n">
        <v>20</v>
      </c>
      <c r="M101" s="13" t="n">
        <v>25</v>
      </c>
      <c r="N101" s="13" t="n">
        <v>28</v>
      </c>
      <c r="O101" s="13" t="n">
        <v>30</v>
      </c>
      <c r="P101" s="13" t="n">
        <v>32</v>
      </c>
      <c r="Q101" s="7" t="n">
        <f aca="false">$E101</f>
        <v>0</v>
      </c>
      <c r="R101" s="7" t="n">
        <f aca="false">$E101</f>
        <v>0</v>
      </c>
      <c r="S101" s="7" t="n">
        <f aca="false">$E101</f>
        <v>0</v>
      </c>
      <c r="T101" s="7" t="n">
        <f aca="false">$E101</f>
        <v>0</v>
      </c>
      <c r="U101" s="7" t="n">
        <f aca="false">$E101</f>
        <v>0</v>
      </c>
      <c r="V101" s="7" t="n">
        <f aca="false">$F101</f>
        <v>0</v>
      </c>
      <c r="W101" s="7" t="n">
        <f aca="false">$F101</f>
        <v>0</v>
      </c>
      <c r="X101" s="7" t="n">
        <f aca="false">$F101</f>
        <v>0</v>
      </c>
      <c r="Y101" s="7" t="n">
        <f aca="false">$F101</f>
        <v>0</v>
      </c>
      <c r="Z101" s="7" t="n">
        <f aca="false">$G101</f>
        <v>0</v>
      </c>
      <c r="AA101" s="7" t="n">
        <f aca="false">$G101</f>
        <v>0</v>
      </c>
      <c r="AB101" s="7" t="n">
        <f aca="false">$G101</f>
        <v>0</v>
      </c>
      <c r="AC101" s="7" t="n">
        <f aca="false">$G101</f>
        <v>0</v>
      </c>
      <c r="AD101" s="7" t="n">
        <f aca="false">$H101</f>
        <v>0</v>
      </c>
      <c r="AE101" s="7" t="n">
        <f aca="false">$H101</f>
        <v>0</v>
      </c>
      <c r="AF101" s="7" t="n">
        <f aca="false">$H101</f>
        <v>0</v>
      </c>
      <c r="AG101" s="7" t="n">
        <f aca="false">$H101</f>
        <v>0</v>
      </c>
      <c r="AH101" s="7" t="n">
        <f aca="false">$H101</f>
        <v>0</v>
      </c>
      <c r="AI101" s="7" t="n">
        <f aca="false">$I101</f>
        <v>5</v>
      </c>
      <c r="AJ101" s="7" t="n">
        <f aca="false">$I101</f>
        <v>5</v>
      </c>
      <c r="AK101" s="7" t="n">
        <f aca="false">$I101</f>
        <v>5</v>
      </c>
      <c r="AL101" s="7" t="n">
        <f aca="false">$I101</f>
        <v>5</v>
      </c>
      <c r="AM101" s="7" t="n">
        <f aca="false">$J101</f>
        <v>10</v>
      </c>
      <c r="AN101" s="7" t="n">
        <f aca="false">$J101</f>
        <v>10</v>
      </c>
      <c r="AO101" s="7" t="n">
        <f aca="false">$J101</f>
        <v>10</v>
      </c>
      <c r="AP101" s="7" t="n">
        <f aca="false">$J101</f>
        <v>10</v>
      </c>
      <c r="AQ101" s="7" t="n">
        <f aca="false">$K101</f>
        <v>15</v>
      </c>
      <c r="AR101" s="7" t="n">
        <f aca="false">$K101</f>
        <v>15</v>
      </c>
      <c r="AS101" s="7" t="n">
        <f aca="false">$K101</f>
        <v>15</v>
      </c>
      <c r="AT101" s="7" t="n">
        <f aca="false">$K101</f>
        <v>15</v>
      </c>
      <c r="AU101" s="7" t="n">
        <f aca="false">$K101</f>
        <v>15</v>
      </c>
      <c r="AV101" s="7" t="n">
        <f aca="false">$L101</f>
        <v>20</v>
      </c>
      <c r="AW101" s="7" t="n">
        <f aca="false">$L101</f>
        <v>20</v>
      </c>
      <c r="AX101" s="7" t="n">
        <f aca="false">$L101</f>
        <v>20</v>
      </c>
      <c r="AY101" s="7" t="n">
        <f aca="false">$L101</f>
        <v>20</v>
      </c>
      <c r="AZ101" s="7" t="n">
        <f aca="false">$M101</f>
        <v>25</v>
      </c>
      <c r="BA101" s="7" t="n">
        <f aca="false">$M101</f>
        <v>25</v>
      </c>
      <c r="BB101" s="7" t="n">
        <f aca="false">$M101</f>
        <v>25</v>
      </c>
      <c r="BC101" s="7" t="n">
        <f aca="false">$M101</f>
        <v>25</v>
      </c>
      <c r="BD101" s="7" t="n">
        <f aca="false">$N101</f>
        <v>28</v>
      </c>
      <c r="BE101" s="7" t="n">
        <f aca="false">$N101</f>
        <v>28</v>
      </c>
      <c r="BF101" s="7" t="n">
        <f aca="false">$N101</f>
        <v>28</v>
      </c>
      <c r="BG101" s="7" t="n">
        <f aca="false">$N101</f>
        <v>28</v>
      </c>
      <c r="BH101" s="7" t="n">
        <f aca="false">$N101</f>
        <v>28</v>
      </c>
      <c r="BI101" s="7" t="n">
        <f aca="false">$O101</f>
        <v>30</v>
      </c>
      <c r="BJ101" s="7" t="n">
        <f aca="false">$O101</f>
        <v>30</v>
      </c>
      <c r="BK101" s="7" t="n">
        <f aca="false">$O101</f>
        <v>30</v>
      </c>
      <c r="BL101" s="7" t="n">
        <f aca="false">$O101</f>
        <v>30</v>
      </c>
      <c r="BM101" s="7" t="n">
        <f aca="false">$P101</f>
        <v>32</v>
      </c>
      <c r="BN101" s="7" t="n">
        <f aca="false">$P101</f>
        <v>32</v>
      </c>
      <c r="BO101" s="7" t="n">
        <f aca="false">$P101</f>
        <v>32</v>
      </c>
      <c r="BP101" s="7" t="n">
        <f aca="false">$P101</f>
        <v>32</v>
      </c>
    </row>
    <row r="102" customFormat="false" ht="15" hidden="false" customHeight="false" outlineLevel="0" collapsed="false">
      <c r="A102" s="0" t="s">
        <v>236</v>
      </c>
      <c r="B102" s="0" t="s">
        <v>126</v>
      </c>
      <c r="C102" s="0" t="s">
        <v>121</v>
      </c>
      <c r="D102" s="0" t="n">
        <f aca="false">SUM(Q102:BP102)</f>
        <v>460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3</v>
      </c>
      <c r="J102" s="13" t="n">
        <v>6</v>
      </c>
      <c r="K102" s="13" t="n">
        <v>10</v>
      </c>
      <c r="L102" s="13" t="n">
        <v>13</v>
      </c>
      <c r="M102" s="13" t="n">
        <v>16</v>
      </c>
      <c r="N102" s="13" t="n">
        <v>18</v>
      </c>
      <c r="O102" s="13" t="n">
        <v>20</v>
      </c>
      <c r="P102" s="13" t="n">
        <v>22</v>
      </c>
      <c r="Q102" s="7" t="n">
        <f aca="false">$E102</f>
        <v>0</v>
      </c>
      <c r="R102" s="7" t="n">
        <f aca="false">$E102</f>
        <v>0</v>
      </c>
      <c r="S102" s="7" t="n">
        <f aca="false">$E102</f>
        <v>0</v>
      </c>
      <c r="T102" s="7" t="n">
        <f aca="false">$E102</f>
        <v>0</v>
      </c>
      <c r="U102" s="7" t="n">
        <f aca="false">$E102</f>
        <v>0</v>
      </c>
      <c r="V102" s="7" t="n">
        <f aca="false">$F102</f>
        <v>0</v>
      </c>
      <c r="W102" s="7" t="n">
        <f aca="false">$F102</f>
        <v>0</v>
      </c>
      <c r="X102" s="7" t="n">
        <f aca="false">$F102</f>
        <v>0</v>
      </c>
      <c r="Y102" s="7" t="n">
        <f aca="false">$F102</f>
        <v>0</v>
      </c>
      <c r="Z102" s="7" t="n">
        <f aca="false">$G102</f>
        <v>0</v>
      </c>
      <c r="AA102" s="7" t="n">
        <f aca="false">$G102</f>
        <v>0</v>
      </c>
      <c r="AB102" s="7" t="n">
        <f aca="false">$G102</f>
        <v>0</v>
      </c>
      <c r="AC102" s="7" t="n">
        <f aca="false">$G102</f>
        <v>0</v>
      </c>
      <c r="AD102" s="7" t="n">
        <f aca="false">$H102</f>
        <v>0</v>
      </c>
      <c r="AE102" s="7" t="n">
        <f aca="false">$H102</f>
        <v>0</v>
      </c>
      <c r="AF102" s="7" t="n">
        <f aca="false">$H102</f>
        <v>0</v>
      </c>
      <c r="AG102" s="7" t="n">
        <f aca="false">$H102</f>
        <v>0</v>
      </c>
      <c r="AH102" s="7" t="n">
        <f aca="false">$H102</f>
        <v>0</v>
      </c>
      <c r="AI102" s="7" t="n">
        <f aca="false">$I102</f>
        <v>3</v>
      </c>
      <c r="AJ102" s="7" t="n">
        <f aca="false">$I102</f>
        <v>3</v>
      </c>
      <c r="AK102" s="7" t="n">
        <f aca="false">$I102</f>
        <v>3</v>
      </c>
      <c r="AL102" s="7" t="n">
        <f aca="false">$I102</f>
        <v>3</v>
      </c>
      <c r="AM102" s="7" t="n">
        <f aca="false">$J102</f>
        <v>6</v>
      </c>
      <c r="AN102" s="7" t="n">
        <f aca="false">$J102</f>
        <v>6</v>
      </c>
      <c r="AO102" s="7" t="n">
        <f aca="false">$J102</f>
        <v>6</v>
      </c>
      <c r="AP102" s="7" t="n">
        <f aca="false">$J102</f>
        <v>6</v>
      </c>
      <c r="AQ102" s="7" t="n">
        <f aca="false">$K102</f>
        <v>10</v>
      </c>
      <c r="AR102" s="7" t="n">
        <f aca="false">$K102</f>
        <v>10</v>
      </c>
      <c r="AS102" s="7" t="n">
        <f aca="false">$K102</f>
        <v>10</v>
      </c>
      <c r="AT102" s="7" t="n">
        <f aca="false">$K102</f>
        <v>10</v>
      </c>
      <c r="AU102" s="7" t="n">
        <f aca="false">$K102</f>
        <v>10</v>
      </c>
      <c r="AV102" s="7" t="n">
        <f aca="false">$L102</f>
        <v>13</v>
      </c>
      <c r="AW102" s="7" t="n">
        <f aca="false">$L102</f>
        <v>13</v>
      </c>
      <c r="AX102" s="7" t="n">
        <f aca="false">$L102</f>
        <v>13</v>
      </c>
      <c r="AY102" s="7" t="n">
        <f aca="false">$L102</f>
        <v>13</v>
      </c>
      <c r="AZ102" s="7" t="n">
        <f aca="false">$M102</f>
        <v>16</v>
      </c>
      <c r="BA102" s="7" t="n">
        <f aca="false">$M102</f>
        <v>16</v>
      </c>
      <c r="BB102" s="7" t="n">
        <f aca="false">$M102</f>
        <v>16</v>
      </c>
      <c r="BC102" s="7" t="n">
        <f aca="false">$M102</f>
        <v>16</v>
      </c>
      <c r="BD102" s="7" t="n">
        <f aca="false">$N102</f>
        <v>18</v>
      </c>
      <c r="BE102" s="7" t="n">
        <f aca="false">$N102</f>
        <v>18</v>
      </c>
      <c r="BF102" s="7" t="n">
        <f aca="false">$N102</f>
        <v>18</v>
      </c>
      <c r="BG102" s="7" t="n">
        <f aca="false">$N102</f>
        <v>18</v>
      </c>
      <c r="BH102" s="7" t="n">
        <f aca="false">$N102</f>
        <v>18</v>
      </c>
      <c r="BI102" s="7" t="n">
        <f aca="false">$O102</f>
        <v>20</v>
      </c>
      <c r="BJ102" s="7" t="n">
        <f aca="false">$O102</f>
        <v>20</v>
      </c>
      <c r="BK102" s="7" t="n">
        <f aca="false">$O102</f>
        <v>20</v>
      </c>
      <c r="BL102" s="7" t="n">
        <f aca="false">$O102</f>
        <v>20</v>
      </c>
      <c r="BM102" s="7" t="n">
        <f aca="false">$P102</f>
        <v>22</v>
      </c>
      <c r="BN102" s="7" t="n">
        <f aca="false">$P102</f>
        <v>22</v>
      </c>
      <c r="BO102" s="7" t="n">
        <f aca="false">$P102</f>
        <v>22</v>
      </c>
      <c r="BP102" s="7" t="n">
        <f aca="false">$P102</f>
        <v>22</v>
      </c>
    </row>
    <row r="103" customFormat="false" ht="15" hidden="false" customHeight="false" outlineLevel="0" collapsed="false">
      <c r="A103" s="0" t="s">
        <v>236</v>
      </c>
      <c r="B103" s="0" t="s">
        <v>126</v>
      </c>
      <c r="C103" s="0" t="s">
        <v>122</v>
      </c>
      <c r="D103" s="0" t="n">
        <f aca="false">SUM(Q103:BP103)</f>
        <v>0</v>
      </c>
      <c r="E103" s="13" t="n">
        <v>0</v>
      </c>
      <c r="F103" s="13" t="n">
        <v>0</v>
      </c>
      <c r="G103" s="13" t="n">
        <v>0</v>
      </c>
      <c r="H103" s="13" t="n">
        <v>0</v>
      </c>
      <c r="I103" s="13" t="n">
        <v>0</v>
      </c>
      <c r="J103" s="13" t="n">
        <v>0</v>
      </c>
      <c r="K103" s="13" t="n">
        <v>0</v>
      </c>
      <c r="L103" s="13" t="n">
        <v>0</v>
      </c>
      <c r="M103" s="13" t="n">
        <v>0</v>
      </c>
      <c r="N103" s="13" t="n">
        <v>0</v>
      </c>
      <c r="O103" s="13" t="n">
        <v>0</v>
      </c>
      <c r="P103" s="13" t="n">
        <v>0</v>
      </c>
      <c r="Q103" s="7" t="n">
        <f aca="false">$E103</f>
        <v>0</v>
      </c>
      <c r="R103" s="7" t="n">
        <f aca="false">$E103</f>
        <v>0</v>
      </c>
      <c r="S103" s="7" t="n">
        <f aca="false">$E103</f>
        <v>0</v>
      </c>
      <c r="T103" s="7" t="n">
        <f aca="false">$E103</f>
        <v>0</v>
      </c>
      <c r="U103" s="7" t="n">
        <f aca="false">$E103</f>
        <v>0</v>
      </c>
      <c r="V103" s="7" t="n">
        <f aca="false">$F103</f>
        <v>0</v>
      </c>
      <c r="W103" s="7" t="n">
        <f aca="false">$F103</f>
        <v>0</v>
      </c>
      <c r="X103" s="7" t="n">
        <f aca="false">$F103</f>
        <v>0</v>
      </c>
      <c r="Y103" s="7" t="n">
        <f aca="false">$F103</f>
        <v>0</v>
      </c>
      <c r="Z103" s="7" t="n">
        <f aca="false">$G103</f>
        <v>0</v>
      </c>
      <c r="AA103" s="7" t="n">
        <f aca="false">$G103</f>
        <v>0</v>
      </c>
      <c r="AB103" s="7" t="n">
        <f aca="false">$G103</f>
        <v>0</v>
      </c>
      <c r="AC103" s="7" t="n">
        <f aca="false">$G103</f>
        <v>0</v>
      </c>
      <c r="AD103" s="7" t="n">
        <f aca="false">$H103</f>
        <v>0</v>
      </c>
      <c r="AE103" s="7" t="n">
        <f aca="false">$H103</f>
        <v>0</v>
      </c>
      <c r="AF103" s="7" t="n">
        <f aca="false">$H103</f>
        <v>0</v>
      </c>
      <c r="AG103" s="7" t="n">
        <f aca="false">$H103</f>
        <v>0</v>
      </c>
      <c r="AH103" s="7" t="n">
        <f aca="false">$H103</f>
        <v>0</v>
      </c>
      <c r="AI103" s="7" t="n">
        <f aca="false">$I103</f>
        <v>0</v>
      </c>
      <c r="AJ103" s="7" t="n">
        <f aca="false">$I103</f>
        <v>0</v>
      </c>
      <c r="AK103" s="7" t="n">
        <f aca="false">$I103</f>
        <v>0</v>
      </c>
      <c r="AL103" s="7" t="n">
        <f aca="false">$I103</f>
        <v>0</v>
      </c>
      <c r="AM103" s="7" t="n">
        <f aca="false">$J103</f>
        <v>0</v>
      </c>
      <c r="AN103" s="7" t="n">
        <f aca="false">$J103</f>
        <v>0</v>
      </c>
      <c r="AO103" s="7" t="n">
        <f aca="false">$J103</f>
        <v>0</v>
      </c>
      <c r="AP103" s="7" t="n">
        <f aca="false">$J103</f>
        <v>0</v>
      </c>
      <c r="AQ103" s="7" t="n">
        <f aca="false">$K103</f>
        <v>0</v>
      </c>
      <c r="AR103" s="7" t="n">
        <f aca="false">$K103</f>
        <v>0</v>
      </c>
      <c r="AS103" s="7" t="n">
        <f aca="false">$K103</f>
        <v>0</v>
      </c>
      <c r="AT103" s="7" t="n">
        <f aca="false">$K103</f>
        <v>0</v>
      </c>
      <c r="AU103" s="7" t="n">
        <f aca="false">$K103</f>
        <v>0</v>
      </c>
      <c r="AV103" s="7" t="n">
        <f aca="false">$L103</f>
        <v>0</v>
      </c>
      <c r="AW103" s="7" t="n">
        <f aca="false">$L103</f>
        <v>0</v>
      </c>
      <c r="AX103" s="7" t="n">
        <f aca="false">$L103</f>
        <v>0</v>
      </c>
      <c r="AY103" s="7" t="n">
        <f aca="false">$L103</f>
        <v>0</v>
      </c>
      <c r="AZ103" s="7" t="n">
        <f aca="false">$M103</f>
        <v>0</v>
      </c>
      <c r="BA103" s="7" t="n">
        <f aca="false">$M103</f>
        <v>0</v>
      </c>
      <c r="BB103" s="7" t="n">
        <f aca="false">$M103</f>
        <v>0</v>
      </c>
      <c r="BC103" s="7" t="n">
        <f aca="false">$M103</f>
        <v>0</v>
      </c>
      <c r="BD103" s="7" t="n">
        <f aca="false">$N103</f>
        <v>0</v>
      </c>
      <c r="BE103" s="7" t="n">
        <f aca="false">$N103</f>
        <v>0</v>
      </c>
      <c r="BF103" s="7" t="n">
        <f aca="false">$N103</f>
        <v>0</v>
      </c>
      <c r="BG103" s="7" t="n">
        <f aca="false">$N103</f>
        <v>0</v>
      </c>
      <c r="BH103" s="7" t="n">
        <f aca="false">$N103</f>
        <v>0</v>
      </c>
      <c r="BI103" s="7" t="n">
        <f aca="false">$O103</f>
        <v>0</v>
      </c>
      <c r="BJ103" s="7" t="n">
        <f aca="false">$O103</f>
        <v>0</v>
      </c>
      <c r="BK103" s="7" t="n">
        <f aca="false">$O103</f>
        <v>0</v>
      </c>
      <c r="BL103" s="7" t="n">
        <f aca="false">$O103</f>
        <v>0</v>
      </c>
      <c r="BM103" s="7" t="n">
        <f aca="false">$P103</f>
        <v>0</v>
      </c>
      <c r="BN103" s="7" t="n">
        <f aca="false">$P103</f>
        <v>0</v>
      </c>
      <c r="BO103" s="7" t="n">
        <f aca="false">$P103</f>
        <v>0</v>
      </c>
      <c r="BP103" s="7" t="n">
        <f aca="false">$P103</f>
        <v>0</v>
      </c>
    </row>
    <row r="104" customFormat="false" ht="15" hidden="false" customHeight="false" outlineLevel="0" collapsed="false">
      <c r="A104" s="0" t="s">
        <v>236</v>
      </c>
      <c r="B104" s="0" t="s">
        <v>126</v>
      </c>
      <c r="C104" s="0" t="s">
        <v>123</v>
      </c>
      <c r="D104" s="0" t="n">
        <f aca="false">SUM(Q104:BP104)</f>
        <v>0</v>
      </c>
      <c r="E104" s="13" t="n">
        <v>0</v>
      </c>
      <c r="F104" s="13" t="n">
        <v>0</v>
      </c>
      <c r="G104" s="13" t="n">
        <v>0</v>
      </c>
      <c r="H104" s="13" t="n">
        <v>0</v>
      </c>
      <c r="I104" s="13" t="n">
        <v>0</v>
      </c>
      <c r="J104" s="13" t="n">
        <v>0</v>
      </c>
      <c r="K104" s="13" t="n">
        <v>0</v>
      </c>
      <c r="L104" s="13" t="n">
        <v>0</v>
      </c>
      <c r="M104" s="13" t="n">
        <v>0</v>
      </c>
      <c r="N104" s="13" t="n">
        <v>0</v>
      </c>
      <c r="O104" s="13" t="n">
        <v>0</v>
      </c>
      <c r="P104" s="13" t="n">
        <v>0</v>
      </c>
      <c r="Q104" s="7" t="n">
        <f aca="false">$E104</f>
        <v>0</v>
      </c>
      <c r="R104" s="7" t="n">
        <f aca="false">$E104</f>
        <v>0</v>
      </c>
      <c r="S104" s="7" t="n">
        <f aca="false">$E104</f>
        <v>0</v>
      </c>
      <c r="T104" s="7" t="n">
        <f aca="false">$E104</f>
        <v>0</v>
      </c>
      <c r="U104" s="7" t="n">
        <f aca="false">$E104</f>
        <v>0</v>
      </c>
      <c r="V104" s="7" t="n">
        <f aca="false">$F104</f>
        <v>0</v>
      </c>
      <c r="W104" s="7" t="n">
        <f aca="false">$F104</f>
        <v>0</v>
      </c>
      <c r="X104" s="7" t="n">
        <f aca="false">$F104</f>
        <v>0</v>
      </c>
      <c r="Y104" s="7" t="n">
        <f aca="false">$F104</f>
        <v>0</v>
      </c>
      <c r="Z104" s="7" t="n">
        <f aca="false">$G104</f>
        <v>0</v>
      </c>
      <c r="AA104" s="7" t="n">
        <f aca="false">$G104</f>
        <v>0</v>
      </c>
      <c r="AB104" s="7" t="n">
        <f aca="false">$G104</f>
        <v>0</v>
      </c>
      <c r="AC104" s="7" t="n">
        <f aca="false">$G104</f>
        <v>0</v>
      </c>
      <c r="AD104" s="7" t="n">
        <f aca="false">$H104</f>
        <v>0</v>
      </c>
      <c r="AE104" s="7" t="n">
        <f aca="false">$H104</f>
        <v>0</v>
      </c>
      <c r="AF104" s="7" t="n">
        <f aca="false">$H104</f>
        <v>0</v>
      </c>
      <c r="AG104" s="7" t="n">
        <f aca="false">$H104</f>
        <v>0</v>
      </c>
      <c r="AH104" s="7" t="n">
        <f aca="false">$H104</f>
        <v>0</v>
      </c>
      <c r="AI104" s="7" t="n">
        <f aca="false">$I104</f>
        <v>0</v>
      </c>
      <c r="AJ104" s="7" t="n">
        <f aca="false">$I104</f>
        <v>0</v>
      </c>
      <c r="AK104" s="7" t="n">
        <f aca="false">$I104</f>
        <v>0</v>
      </c>
      <c r="AL104" s="7" t="n">
        <f aca="false">$I104</f>
        <v>0</v>
      </c>
      <c r="AM104" s="7" t="n">
        <f aca="false">$J104</f>
        <v>0</v>
      </c>
      <c r="AN104" s="7" t="n">
        <f aca="false">$J104</f>
        <v>0</v>
      </c>
      <c r="AO104" s="7" t="n">
        <f aca="false">$J104</f>
        <v>0</v>
      </c>
      <c r="AP104" s="7" t="n">
        <f aca="false">$J104</f>
        <v>0</v>
      </c>
      <c r="AQ104" s="7" t="n">
        <f aca="false">$K104</f>
        <v>0</v>
      </c>
      <c r="AR104" s="7" t="n">
        <f aca="false">$K104</f>
        <v>0</v>
      </c>
      <c r="AS104" s="7" t="n">
        <f aca="false">$K104</f>
        <v>0</v>
      </c>
      <c r="AT104" s="7" t="n">
        <f aca="false">$K104</f>
        <v>0</v>
      </c>
      <c r="AU104" s="7" t="n">
        <f aca="false">$K104</f>
        <v>0</v>
      </c>
      <c r="AV104" s="7" t="n">
        <f aca="false">$L104</f>
        <v>0</v>
      </c>
      <c r="AW104" s="7" t="n">
        <f aca="false">$L104</f>
        <v>0</v>
      </c>
      <c r="AX104" s="7" t="n">
        <f aca="false">$L104</f>
        <v>0</v>
      </c>
      <c r="AY104" s="7" t="n">
        <f aca="false">$L104</f>
        <v>0</v>
      </c>
      <c r="AZ104" s="7" t="n">
        <f aca="false">$M104</f>
        <v>0</v>
      </c>
      <c r="BA104" s="7" t="n">
        <f aca="false">$M104</f>
        <v>0</v>
      </c>
      <c r="BB104" s="7" t="n">
        <f aca="false">$M104</f>
        <v>0</v>
      </c>
      <c r="BC104" s="7" t="n">
        <f aca="false">$M104</f>
        <v>0</v>
      </c>
      <c r="BD104" s="7" t="n">
        <f aca="false">$N104</f>
        <v>0</v>
      </c>
      <c r="BE104" s="7" t="n">
        <f aca="false">$N104</f>
        <v>0</v>
      </c>
      <c r="BF104" s="7" t="n">
        <f aca="false">$N104</f>
        <v>0</v>
      </c>
      <c r="BG104" s="7" t="n">
        <f aca="false">$N104</f>
        <v>0</v>
      </c>
      <c r="BH104" s="7" t="n">
        <f aca="false">$N104</f>
        <v>0</v>
      </c>
      <c r="BI104" s="7" t="n">
        <f aca="false">$O104</f>
        <v>0</v>
      </c>
      <c r="BJ104" s="7" t="n">
        <f aca="false">$O104</f>
        <v>0</v>
      </c>
      <c r="BK104" s="7" t="n">
        <f aca="false">$O104</f>
        <v>0</v>
      </c>
      <c r="BL104" s="7" t="n">
        <f aca="false">$O104</f>
        <v>0</v>
      </c>
      <c r="BM104" s="7" t="n">
        <f aca="false">$P104</f>
        <v>0</v>
      </c>
      <c r="BN104" s="7" t="n">
        <f aca="false">$P104</f>
        <v>0</v>
      </c>
      <c r="BO104" s="7" t="n">
        <f aca="false">$P104</f>
        <v>0</v>
      </c>
      <c r="BP104" s="7" t="n">
        <f aca="false">$P104</f>
        <v>0</v>
      </c>
    </row>
    <row r="105" customFormat="false" ht="15" hidden="false" customHeight="false" outlineLevel="0" collapsed="false">
      <c r="A105" s="0" t="s">
        <v>236</v>
      </c>
      <c r="B105" s="0" t="s">
        <v>127</v>
      </c>
      <c r="C105" s="0" t="s">
        <v>115</v>
      </c>
      <c r="D105" s="0" t="n">
        <f aca="false">SUM(Q105:BP105)</f>
        <v>0</v>
      </c>
      <c r="E105" s="22" t="n">
        <v>0</v>
      </c>
      <c r="F105" s="22" t="n">
        <v>0</v>
      </c>
      <c r="G105" s="22" t="n">
        <v>0</v>
      </c>
      <c r="H105" s="22" t="n">
        <v>0</v>
      </c>
      <c r="I105" s="22" t="n">
        <v>0</v>
      </c>
      <c r="J105" s="22" t="n">
        <v>0</v>
      </c>
      <c r="K105" s="22" t="n">
        <v>0</v>
      </c>
      <c r="L105" s="22" t="n">
        <v>0</v>
      </c>
      <c r="M105" s="22" t="n">
        <v>0</v>
      </c>
      <c r="N105" s="22" t="n">
        <v>0</v>
      </c>
      <c r="O105" s="22" t="n">
        <v>0</v>
      </c>
      <c r="P105" s="22" t="n">
        <v>0</v>
      </c>
      <c r="Q105" s="7" t="n">
        <f aca="false">$E105</f>
        <v>0</v>
      </c>
      <c r="R105" s="7" t="n">
        <f aca="false">$E105</f>
        <v>0</v>
      </c>
      <c r="S105" s="7" t="n">
        <f aca="false">$E105</f>
        <v>0</v>
      </c>
      <c r="T105" s="7" t="n">
        <f aca="false">$E105</f>
        <v>0</v>
      </c>
      <c r="U105" s="7" t="n">
        <f aca="false">$E105</f>
        <v>0</v>
      </c>
      <c r="V105" s="7" t="n">
        <f aca="false">$F105</f>
        <v>0</v>
      </c>
      <c r="W105" s="7" t="n">
        <f aca="false">$F105</f>
        <v>0</v>
      </c>
      <c r="X105" s="7" t="n">
        <f aca="false">$F105</f>
        <v>0</v>
      </c>
      <c r="Y105" s="7" t="n">
        <f aca="false">$F105</f>
        <v>0</v>
      </c>
      <c r="Z105" s="7" t="n">
        <f aca="false">$G105</f>
        <v>0</v>
      </c>
      <c r="AA105" s="7" t="n">
        <f aca="false">$G105</f>
        <v>0</v>
      </c>
      <c r="AB105" s="7" t="n">
        <f aca="false">$G105</f>
        <v>0</v>
      </c>
      <c r="AC105" s="7" t="n">
        <f aca="false">$G105</f>
        <v>0</v>
      </c>
      <c r="AD105" s="7" t="n">
        <f aca="false">$H105</f>
        <v>0</v>
      </c>
      <c r="AE105" s="7" t="n">
        <f aca="false">$H105</f>
        <v>0</v>
      </c>
      <c r="AF105" s="7" t="n">
        <f aca="false">$H105</f>
        <v>0</v>
      </c>
      <c r="AG105" s="7" t="n">
        <f aca="false">$H105</f>
        <v>0</v>
      </c>
      <c r="AH105" s="7" t="n">
        <f aca="false">$H105</f>
        <v>0</v>
      </c>
      <c r="AI105" s="7" t="n">
        <f aca="false">$I105</f>
        <v>0</v>
      </c>
      <c r="AJ105" s="7" t="n">
        <f aca="false">$I105</f>
        <v>0</v>
      </c>
      <c r="AK105" s="7" t="n">
        <f aca="false">$I105</f>
        <v>0</v>
      </c>
      <c r="AL105" s="7" t="n">
        <f aca="false">$I105</f>
        <v>0</v>
      </c>
      <c r="AM105" s="7" t="n">
        <f aca="false">$J105</f>
        <v>0</v>
      </c>
      <c r="AN105" s="7" t="n">
        <f aca="false">$J105</f>
        <v>0</v>
      </c>
      <c r="AO105" s="7" t="n">
        <f aca="false">$J105</f>
        <v>0</v>
      </c>
      <c r="AP105" s="7" t="n">
        <f aca="false">$J105</f>
        <v>0</v>
      </c>
      <c r="AQ105" s="7" t="n">
        <f aca="false">$K105</f>
        <v>0</v>
      </c>
      <c r="AR105" s="7" t="n">
        <f aca="false">$K105</f>
        <v>0</v>
      </c>
      <c r="AS105" s="7" t="n">
        <f aca="false">$K105</f>
        <v>0</v>
      </c>
      <c r="AT105" s="7" t="n">
        <f aca="false">$K105</f>
        <v>0</v>
      </c>
      <c r="AU105" s="7" t="n">
        <f aca="false">$K105</f>
        <v>0</v>
      </c>
      <c r="AV105" s="7" t="n">
        <f aca="false">$L105</f>
        <v>0</v>
      </c>
      <c r="AW105" s="7" t="n">
        <f aca="false">$L105</f>
        <v>0</v>
      </c>
      <c r="AX105" s="7" t="n">
        <f aca="false">$L105</f>
        <v>0</v>
      </c>
      <c r="AY105" s="7" t="n">
        <f aca="false">$L105</f>
        <v>0</v>
      </c>
      <c r="AZ105" s="7" t="n">
        <f aca="false">$M105</f>
        <v>0</v>
      </c>
      <c r="BA105" s="7" t="n">
        <f aca="false">$M105</f>
        <v>0</v>
      </c>
      <c r="BB105" s="7" t="n">
        <f aca="false">$M105</f>
        <v>0</v>
      </c>
      <c r="BC105" s="7" t="n">
        <f aca="false">$M105</f>
        <v>0</v>
      </c>
      <c r="BD105" s="7" t="n">
        <f aca="false">$N105</f>
        <v>0</v>
      </c>
      <c r="BE105" s="7" t="n">
        <f aca="false">$N105</f>
        <v>0</v>
      </c>
      <c r="BF105" s="7" t="n">
        <f aca="false">$N105</f>
        <v>0</v>
      </c>
      <c r="BG105" s="7" t="n">
        <f aca="false">$N105</f>
        <v>0</v>
      </c>
      <c r="BH105" s="7" t="n">
        <f aca="false">$N105</f>
        <v>0</v>
      </c>
      <c r="BI105" s="7" t="n">
        <f aca="false">$O105</f>
        <v>0</v>
      </c>
      <c r="BJ105" s="7" t="n">
        <f aca="false">$O105</f>
        <v>0</v>
      </c>
      <c r="BK105" s="7" t="n">
        <f aca="false">$O105</f>
        <v>0</v>
      </c>
      <c r="BL105" s="7" t="n">
        <f aca="false">$O105</f>
        <v>0</v>
      </c>
      <c r="BM105" s="7" t="n">
        <f aca="false">$P105</f>
        <v>0</v>
      </c>
      <c r="BN105" s="7" t="n">
        <f aca="false">$P105</f>
        <v>0</v>
      </c>
      <c r="BO105" s="7" t="n">
        <f aca="false">$P105</f>
        <v>0</v>
      </c>
      <c r="BP105" s="7" t="n">
        <f aca="false">$P105</f>
        <v>0</v>
      </c>
    </row>
    <row r="106" customFormat="false" ht="15" hidden="false" customHeight="false" outlineLevel="0" collapsed="false">
      <c r="A106" s="0" t="s">
        <v>236</v>
      </c>
      <c r="B106" s="0" t="s">
        <v>127</v>
      </c>
      <c r="C106" s="0" t="s">
        <v>116</v>
      </c>
      <c r="D106" s="0" t="n">
        <f aca="false">SUM(Q106:BP106)</f>
        <v>0</v>
      </c>
      <c r="E106" s="22" t="n">
        <v>0</v>
      </c>
      <c r="F106" s="22" t="n">
        <v>0</v>
      </c>
      <c r="G106" s="22" t="n">
        <v>0</v>
      </c>
      <c r="H106" s="22" t="n">
        <v>0</v>
      </c>
      <c r="I106" s="22" t="n">
        <v>0</v>
      </c>
      <c r="J106" s="22" t="n">
        <v>0</v>
      </c>
      <c r="K106" s="22" t="n">
        <v>0</v>
      </c>
      <c r="L106" s="22" t="n">
        <v>0</v>
      </c>
      <c r="M106" s="22" t="n">
        <v>0</v>
      </c>
      <c r="N106" s="22" t="n">
        <v>0</v>
      </c>
      <c r="O106" s="22" t="n">
        <v>0</v>
      </c>
      <c r="P106" s="22" t="n">
        <v>0</v>
      </c>
      <c r="Q106" s="7" t="n">
        <f aca="false">$E106</f>
        <v>0</v>
      </c>
      <c r="R106" s="7" t="n">
        <f aca="false">$E106</f>
        <v>0</v>
      </c>
      <c r="S106" s="7" t="n">
        <f aca="false">$E106</f>
        <v>0</v>
      </c>
      <c r="T106" s="7" t="n">
        <f aca="false">$E106</f>
        <v>0</v>
      </c>
      <c r="U106" s="7" t="n">
        <f aca="false">$E106</f>
        <v>0</v>
      </c>
      <c r="V106" s="7" t="n">
        <f aca="false">$F106</f>
        <v>0</v>
      </c>
      <c r="W106" s="7" t="n">
        <f aca="false">$F106</f>
        <v>0</v>
      </c>
      <c r="X106" s="7" t="n">
        <f aca="false">$F106</f>
        <v>0</v>
      </c>
      <c r="Y106" s="7" t="n">
        <f aca="false">$F106</f>
        <v>0</v>
      </c>
      <c r="Z106" s="7" t="n">
        <f aca="false">$G106</f>
        <v>0</v>
      </c>
      <c r="AA106" s="7" t="n">
        <f aca="false">$G106</f>
        <v>0</v>
      </c>
      <c r="AB106" s="7" t="n">
        <f aca="false">$G106</f>
        <v>0</v>
      </c>
      <c r="AC106" s="7" t="n">
        <f aca="false">$G106</f>
        <v>0</v>
      </c>
      <c r="AD106" s="7" t="n">
        <f aca="false">$H106</f>
        <v>0</v>
      </c>
      <c r="AE106" s="7" t="n">
        <f aca="false">$H106</f>
        <v>0</v>
      </c>
      <c r="AF106" s="7" t="n">
        <f aca="false">$H106</f>
        <v>0</v>
      </c>
      <c r="AG106" s="7" t="n">
        <f aca="false">$H106</f>
        <v>0</v>
      </c>
      <c r="AH106" s="7" t="n">
        <f aca="false">$H106</f>
        <v>0</v>
      </c>
      <c r="AI106" s="7" t="n">
        <f aca="false">$I106</f>
        <v>0</v>
      </c>
      <c r="AJ106" s="7" t="n">
        <f aca="false">$I106</f>
        <v>0</v>
      </c>
      <c r="AK106" s="7" t="n">
        <f aca="false">$I106</f>
        <v>0</v>
      </c>
      <c r="AL106" s="7" t="n">
        <f aca="false">$I106</f>
        <v>0</v>
      </c>
      <c r="AM106" s="7" t="n">
        <f aca="false">$J106</f>
        <v>0</v>
      </c>
      <c r="AN106" s="7" t="n">
        <f aca="false">$J106</f>
        <v>0</v>
      </c>
      <c r="AO106" s="7" t="n">
        <f aca="false">$J106</f>
        <v>0</v>
      </c>
      <c r="AP106" s="7" t="n">
        <f aca="false">$J106</f>
        <v>0</v>
      </c>
      <c r="AQ106" s="7" t="n">
        <f aca="false">$K106</f>
        <v>0</v>
      </c>
      <c r="AR106" s="7" t="n">
        <f aca="false">$K106</f>
        <v>0</v>
      </c>
      <c r="AS106" s="7" t="n">
        <f aca="false">$K106</f>
        <v>0</v>
      </c>
      <c r="AT106" s="7" t="n">
        <f aca="false">$K106</f>
        <v>0</v>
      </c>
      <c r="AU106" s="7" t="n">
        <f aca="false">$K106</f>
        <v>0</v>
      </c>
      <c r="AV106" s="7" t="n">
        <f aca="false">$L106</f>
        <v>0</v>
      </c>
      <c r="AW106" s="7" t="n">
        <f aca="false">$L106</f>
        <v>0</v>
      </c>
      <c r="AX106" s="7" t="n">
        <f aca="false">$L106</f>
        <v>0</v>
      </c>
      <c r="AY106" s="7" t="n">
        <f aca="false">$L106</f>
        <v>0</v>
      </c>
      <c r="AZ106" s="7" t="n">
        <f aca="false">$M106</f>
        <v>0</v>
      </c>
      <c r="BA106" s="7" t="n">
        <f aca="false">$M106</f>
        <v>0</v>
      </c>
      <c r="BB106" s="7" t="n">
        <f aca="false">$M106</f>
        <v>0</v>
      </c>
      <c r="BC106" s="7" t="n">
        <f aca="false">$M106</f>
        <v>0</v>
      </c>
      <c r="BD106" s="7" t="n">
        <f aca="false">$N106</f>
        <v>0</v>
      </c>
      <c r="BE106" s="7" t="n">
        <f aca="false">$N106</f>
        <v>0</v>
      </c>
      <c r="BF106" s="7" t="n">
        <f aca="false">$N106</f>
        <v>0</v>
      </c>
      <c r="BG106" s="7" t="n">
        <f aca="false">$N106</f>
        <v>0</v>
      </c>
      <c r="BH106" s="7" t="n">
        <f aca="false">$N106</f>
        <v>0</v>
      </c>
      <c r="BI106" s="7" t="n">
        <f aca="false">$O106</f>
        <v>0</v>
      </c>
      <c r="BJ106" s="7" t="n">
        <f aca="false">$O106</f>
        <v>0</v>
      </c>
      <c r="BK106" s="7" t="n">
        <f aca="false">$O106</f>
        <v>0</v>
      </c>
      <c r="BL106" s="7" t="n">
        <f aca="false">$O106</f>
        <v>0</v>
      </c>
      <c r="BM106" s="7" t="n">
        <f aca="false">$P106</f>
        <v>0</v>
      </c>
      <c r="BN106" s="7" t="n">
        <f aca="false">$P106</f>
        <v>0</v>
      </c>
      <c r="BO106" s="7" t="n">
        <f aca="false">$P106</f>
        <v>0</v>
      </c>
      <c r="BP106" s="7" t="n">
        <f aca="false">$P106</f>
        <v>0</v>
      </c>
    </row>
    <row r="107" customFormat="false" ht="15" hidden="false" customHeight="false" outlineLevel="0" collapsed="false">
      <c r="A107" s="0" t="s">
        <v>236</v>
      </c>
      <c r="B107" s="0" t="s">
        <v>127</v>
      </c>
      <c r="C107" s="0" t="s">
        <v>117</v>
      </c>
      <c r="D107" s="0" t="n">
        <f aca="false">SUM(Q107:BP107)</f>
        <v>0</v>
      </c>
      <c r="E107" s="22" t="n">
        <v>0</v>
      </c>
      <c r="F107" s="22" t="n">
        <v>0</v>
      </c>
      <c r="G107" s="22" t="n">
        <v>0</v>
      </c>
      <c r="H107" s="22" t="n">
        <v>0</v>
      </c>
      <c r="I107" s="22" t="n">
        <v>0</v>
      </c>
      <c r="J107" s="22" t="n">
        <v>0</v>
      </c>
      <c r="K107" s="22" t="n">
        <v>0</v>
      </c>
      <c r="L107" s="22" t="n">
        <v>0</v>
      </c>
      <c r="M107" s="22" t="n">
        <v>0</v>
      </c>
      <c r="N107" s="22" t="n">
        <v>0</v>
      </c>
      <c r="O107" s="22" t="n">
        <v>0</v>
      </c>
      <c r="P107" s="22" t="n">
        <v>0</v>
      </c>
      <c r="Q107" s="7" t="n">
        <f aca="false">$E107</f>
        <v>0</v>
      </c>
      <c r="R107" s="7" t="n">
        <f aca="false">$E107</f>
        <v>0</v>
      </c>
      <c r="S107" s="7" t="n">
        <f aca="false">$E107</f>
        <v>0</v>
      </c>
      <c r="T107" s="7" t="n">
        <f aca="false">$E107</f>
        <v>0</v>
      </c>
      <c r="U107" s="7" t="n">
        <f aca="false">$E107</f>
        <v>0</v>
      </c>
      <c r="V107" s="7" t="n">
        <f aca="false">$F107</f>
        <v>0</v>
      </c>
      <c r="W107" s="7" t="n">
        <f aca="false">$F107</f>
        <v>0</v>
      </c>
      <c r="X107" s="7" t="n">
        <f aca="false">$F107</f>
        <v>0</v>
      </c>
      <c r="Y107" s="7" t="n">
        <f aca="false">$F107</f>
        <v>0</v>
      </c>
      <c r="Z107" s="7" t="n">
        <f aca="false">$G107</f>
        <v>0</v>
      </c>
      <c r="AA107" s="7" t="n">
        <f aca="false">$G107</f>
        <v>0</v>
      </c>
      <c r="AB107" s="7" t="n">
        <f aca="false">$G107</f>
        <v>0</v>
      </c>
      <c r="AC107" s="7" t="n">
        <f aca="false">$G107</f>
        <v>0</v>
      </c>
      <c r="AD107" s="7" t="n">
        <f aca="false">$H107</f>
        <v>0</v>
      </c>
      <c r="AE107" s="7" t="n">
        <f aca="false">$H107</f>
        <v>0</v>
      </c>
      <c r="AF107" s="7" t="n">
        <f aca="false">$H107</f>
        <v>0</v>
      </c>
      <c r="AG107" s="7" t="n">
        <f aca="false">$H107</f>
        <v>0</v>
      </c>
      <c r="AH107" s="7" t="n">
        <f aca="false">$H107</f>
        <v>0</v>
      </c>
      <c r="AI107" s="7" t="n">
        <f aca="false">$I107</f>
        <v>0</v>
      </c>
      <c r="AJ107" s="7" t="n">
        <f aca="false">$I107</f>
        <v>0</v>
      </c>
      <c r="AK107" s="7" t="n">
        <f aca="false">$I107</f>
        <v>0</v>
      </c>
      <c r="AL107" s="7" t="n">
        <f aca="false">$I107</f>
        <v>0</v>
      </c>
      <c r="AM107" s="7" t="n">
        <f aca="false">$J107</f>
        <v>0</v>
      </c>
      <c r="AN107" s="7" t="n">
        <f aca="false">$J107</f>
        <v>0</v>
      </c>
      <c r="AO107" s="7" t="n">
        <f aca="false">$J107</f>
        <v>0</v>
      </c>
      <c r="AP107" s="7" t="n">
        <f aca="false">$J107</f>
        <v>0</v>
      </c>
      <c r="AQ107" s="7" t="n">
        <f aca="false">$K107</f>
        <v>0</v>
      </c>
      <c r="AR107" s="7" t="n">
        <f aca="false">$K107</f>
        <v>0</v>
      </c>
      <c r="AS107" s="7" t="n">
        <f aca="false">$K107</f>
        <v>0</v>
      </c>
      <c r="AT107" s="7" t="n">
        <f aca="false">$K107</f>
        <v>0</v>
      </c>
      <c r="AU107" s="7" t="n">
        <f aca="false">$K107</f>
        <v>0</v>
      </c>
      <c r="AV107" s="7" t="n">
        <f aca="false">$L107</f>
        <v>0</v>
      </c>
      <c r="AW107" s="7" t="n">
        <f aca="false">$L107</f>
        <v>0</v>
      </c>
      <c r="AX107" s="7" t="n">
        <f aca="false">$L107</f>
        <v>0</v>
      </c>
      <c r="AY107" s="7" t="n">
        <f aca="false">$L107</f>
        <v>0</v>
      </c>
      <c r="AZ107" s="7" t="n">
        <f aca="false">$M107</f>
        <v>0</v>
      </c>
      <c r="BA107" s="7" t="n">
        <f aca="false">$M107</f>
        <v>0</v>
      </c>
      <c r="BB107" s="7" t="n">
        <f aca="false">$M107</f>
        <v>0</v>
      </c>
      <c r="BC107" s="7" t="n">
        <f aca="false">$M107</f>
        <v>0</v>
      </c>
      <c r="BD107" s="7" t="n">
        <f aca="false">$N107</f>
        <v>0</v>
      </c>
      <c r="BE107" s="7" t="n">
        <f aca="false">$N107</f>
        <v>0</v>
      </c>
      <c r="BF107" s="7" t="n">
        <f aca="false">$N107</f>
        <v>0</v>
      </c>
      <c r="BG107" s="7" t="n">
        <f aca="false">$N107</f>
        <v>0</v>
      </c>
      <c r="BH107" s="7" t="n">
        <f aca="false">$N107</f>
        <v>0</v>
      </c>
      <c r="BI107" s="7" t="n">
        <f aca="false">$O107</f>
        <v>0</v>
      </c>
      <c r="BJ107" s="7" t="n">
        <f aca="false">$O107</f>
        <v>0</v>
      </c>
      <c r="BK107" s="7" t="n">
        <f aca="false">$O107</f>
        <v>0</v>
      </c>
      <c r="BL107" s="7" t="n">
        <f aca="false">$O107</f>
        <v>0</v>
      </c>
      <c r="BM107" s="7" t="n">
        <f aca="false">$P107</f>
        <v>0</v>
      </c>
      <c r="BN107" s="7" t="n">
        <f aca="false">$P107</f>
        <v>0</v>
      </c>
      <c r="BO107" s="7" t="n">
        <f aca="false">$P107</f>
        <v>0</v>
      </c>
      <c r="BP107" s="7" t="n">
        <f aca="false">$P107</f>
        <v>0</v>
      </c>
    </row>
    <row r="108" customFormat="false" ht="15" hidden="false" customHeight="false" outlineLevel="0" collapsed="false">
      <c r="A108" s="0" t="s">
        <v>236</v>
      </c>
      <c r="B108" s="0" t="s">
        <v>127</v>
      </c>
      <c r="C108" s="0" t="s">
        <v>118</v>
      </c>
      <c r="D108" s="0" t="n">
        <f aca="false">SUM(Q108:BP108)</f>
        <v>0</v>
      </c>
      <c r="E108" s="22" t="n">
        <v>0</v>
      </c>
      <c r="F108" s="22" t="n">
        <v>0</v>
      </c>
      <c r="G108" s="22" t="n">
        <v>0</v>
      </c>
      <c r="H108" s="22" t="n">
        <v>0</v>
      </c>
      <c r="I108" s="22" t="n">
        <v>0</v>
      </c>
      <c r="J108" s="22" t="n">
        <v>0</v>
      </c>
      <c r="K108" s="22" t="n">
        <v>0</v>
      </c>
      <c r="L108" s="22" t="n">
        <v>0</v>
      </c>
      <c r="M108" s="22" t="n">
        <v>0</v>
      </c>
      <c r="N108" s="22" t="n">
        <v>0</v>
      </c>
      <c r="O108" s="22" t="n">
        <v>0</v>
      </c>
      <c r="P108" s="22" t="n">
        <v>0</v>
      </c>
      <c r="Q108" s="7" t="n">
        <f aca="false">$E108</f>
        <v>0</v>
      </c>
      <c r="R108" s="7" t="n">
        <f aca="false">$E108</f>
        <v>0</v>
      </c>
      <c r="S108" s="7" t="n">
        <f aca="false">$E108</f>
        <v>0</v>
      </c>
      <c r="T108" s="7" t="n">
        <f aca="false">$E108</f>
        <v>0</v>
      </c>
      <c r="U108" s="7" t="n">
        <f aca="false">$E108</f>
        <v>0</v>
      </c>
      <c r="V108" s="7" t="n">
        <f aca="false">$F108</f>
        <v>0</v>
      </c>
      <c r="W108" s="7" t="n">
        <f aca="false">$F108</f>
        <v>0</v>
      </c>
      <c r="X108" s="7" t="n">
        <f aca="false">$F108</f>
        <v>0</v>
      </c>
      <c r="Y108" s="7" t="n">
        <f aca="false">$F108</f>
        <v>0</v>
      </c>
      <c r="Z108" s="7" t="n">
        <f aca="false">$G108</f>
        <v>0</v>
      </c>
      <c r="AA108" s="7" t="n">
        <f aca="false">$G108</f>
        <v>0</v>
      </c>
      <c r="AB108" s="7" t="n">
        <f aca="false">$G108</f>
        <v>0</v>
      </c>
      <c r="AC108" s="7" t="n">
        <f aca="false">$G108</f>
        <v>0</v>
      </c>
      <c r="AD108" s="7" t="n">
        <f aca="false">$H108</f>
        <v>0</v>
      </c>
      <c r="AE108" s="7" t="n">
        <f aca="false">$H108</f>
        <v>0</v>
      </c>
      <c r="AF108" s="7" t="n">
        <f aca="false">$H108</f>
        <v>0</v>
      </c>
      <c r="AG108" s="7" t="n">
        <f aca="false">$H108</f>
        <v>0</v>
      </c>
      <c r="AH108" s="7" t="n">
        <f aca="false">$H108</f>
        <v>0</v>
      </c>
      <c r="AI108" s="7" t="n">
        <f aca="false">$I108</f>
        <v>0</v>
      </c>
      <c r="AJ108" s="7" t="n">
        <f aca="false">$I108</f>
        <v>0</v>
      </c>
      <c r="AK108" s="7" t="n">
        <f aca="false">$I108</f>
        <v>0</v>
      </c>
      <c r="AL108" s="7" t="n">
        <f aca="false">$I108</f>
        <v>0</v>
      </c>
      <c r="AM108" s="7" t="n">
        <f aca="false">$J108</f>
        <v>0</v>
      </c>
      <c r="AN108" s="7" t="n">
        <f aca="false">$J108</f>
        <v>0</v>
      </c>
      <c r="AO108" s="7" t="n">
        <f aca="false">$J108</f>
        <v>0</v>
      </c>
      <c r="AP108" s="7" t="n">
        <f aca="false">$J108</f>
        <v>0</v>
      </c>
      <c r="AQ108" s="7" t="n">
        <f aca="false">$K108</f>
        <v>0</v>
      </c>
      <c r="AR108" s="7" t="n">
        <f aca="false">$K108</f>
        <v>0</v>
      </c>
      <c r="AS108" s="7" t="n">
        <f aca="false">$K108</f>
        <v>0</v>
      </c>
      <c r="AT108" s="7" t="n">
        <f aca="false">$K108</f>
        <v>0</v>
      </c>
      <c r="AU108" s="7" t="n">
        <f aca="false">$K108</f>
        <v>0</v>
      </c>
      <c r="AV108" s="7" t="n">
        <f aca="false">$L108</f>
        <v>0</v>
      </c>
      <c r="AW108" s="7" t="n">
        <f aca="false">$L108</f>
        <v>0</v>
      </c>
      <c r="AX108" s="7" t="n">
        <f aca="false">$L108</f>
        <v>0</v>
      </c>
      <c r="AY108" s="7" t="n">
        <f aca="false">$L108</f>
        <v>0</v>
      </c>
      <c r="AZ108" s="7" t="n">
        <f aca="false">$M108</f>
        <v>0</v>
      </c>
      <c r="BA108" s="7" t="n">
        <f aca="false">$M108</f>
        <v>0</v>
      </c>
      <c r="BB108" s="7" t="n">
        <f aca="false">$M108</f>
        <v>0</v>
      </c>
      <c r="BC108" s="7" t="n">
        <f aca="false">$M108</f>
        <v>0</v>
      </c>
      <c r="BD108" s="7" t="n">
        <f aca="false">$N108</f>
        <v>0</v>
      </c>
      <c r="BE108" s="7" t="n">
        <f aca="false">$N108</f>
        <v>0</v>
      </c>
      <c r="BF108" s="7" t="n">
        <f aca="false">$N108</f>
        <v>0</v>
      </c>
      <c r="BG108" s="7" t="n">
        <f aca="false">$N108</f>
        <v>0</v>
      </c>
      <c r="BH108" s="7" t="n">
        <f aca="false">$N108</f>
        <v>0</v>
      </c>
      <c r="BI108" s="7" t="n">
        <f aca="false">$O108</f>
        <v>0</v>
      </c>
      <c r="BJ108" s="7" t="n">
        <f aca="false">$O108</f>
        <v>0</v>
      </c>
      <c r="BK108" s="7" t="n">
        <f aca="false">$O108</f>
        <v>0</v>
      </c>
      <c r="BL108" s="7" t="n">
        <f aca="false">$O108</f>
        <v>0</v>
      </c>
      <c r="BM108" s="7" t="n">
        <f aca="false">$P108</f>
        <v>0</v>
      </c>
      <c r="BN108" s="7" t="n">
        <f aca="false">$P108</f>
        <v>0</v>
      </c>
      <c r="BO108" s="7" t="n">
        <f aca="false">$P108</f>
        <v>0</v>
      </c>
      <c r="BP108" s="7" t="n">
        <f aca="false">$P108</f>
        <v>0</v>
      </c>
    </row>
    <row r="109" customFormat="false" ht="15" hidden="false" customHeight="false" outlineLevel="0" collapsed="false">
      <c r="A109" s="0" t="s">
        <v>236</v>
      </c>
      <c r="B109" s="0" t="s">
        <v>127</v>
      </c>
      <c r="C109" s="0" t="s">
        <v>119</v>
      </c>
      <c r="D109" s="0" t="n">
        <f aca="false">SUM(Q109:BP109)</f>
        <v>0</v>
      </c>
      <c r="E109" s="13" t="n">
        <v>0</v>
      </c>
      <c r="F109" s="13" t="n">
        <v>0</v>
      </c>
      <c r="G109" s="13" t="n">
        <v>0</v>
      </c>
      <c r="H109" s="13" t="n">
        <v>0</v>
      </c>
      <c r="I109" s="13" t="n">
        <v>0</v>
      </c>
      <c r="J109" s="13" t="n">
        <v>0</v>
      </c>
      <c r="K109" s="13" t="n">
        <v>0</v>
      </c>
      <c r="L109" s="13" t="n">
        <v>0</v>
      </c>
      <c r="M109" s="13" t="n">
        <v>0</v>
      </c>
      <c r="N109" s="13" t="n">
        <v>0</v>
      </c>
      <c r="O109" s="13" t="n">
        <v>0</v>
      </c>
      <c r="P109" s="13" t="n">
        <v>0</v>
      </c>
      <c r="Q109" s="7" t="n">
        <f aca="false">$E109</f>
        <v>0</v>
      </c>
      <c r="R109" s="7" t="n">
        <f aca="false">$E109</f>
        <v>0</v>
      </c>
      <c r="S109" s="7" t="n">
        <f aca="false">$E109</f>
        <v>0</v>
      </c>
      <c r="T109" s="7" t="n">
        <f aca="false">$E109</f>
        <v>0</v>
      </c>
      <c r="U109" s="7" t="n">
        <f aca="false">$E109</f>
        <v>0</v>
      </c>
      <c r="V109" s="7" t="n">
        <f aca="false">$F109</f>
        <v>0</v>
      </c>
      <c r="W109" s="7" t="n">
        <f aca="false">$F109</f>
        <v>0</v>
      </c>
      <c r="X109" s="7" t="n">
        <f aca="false">$F109</f>
        <v>0</v>
      </c>
      <c r="Y109" s="7" t="n">
        <f aca="false">$F109</f>
        <v>0</v>
      </c>
      <c r="Z109" s="7" t="n">
        <f aca="false">$G109</f>
        <v>0</v>
      </c>
      <c r="AA109" s="7" t="n">
        <f aca="false">$G109</f>
        <v>0</v>
      </c>
      <c r="AB109" s="7" t="n">
        <f aca="false">$G109</f>
        <v>0</v>
      </c>
      <c r="AC109" s="7" t="n">
        <f aca="false">$G109</f>
        <v>0</v>
      </c>
      <c r="AD109" s="7" t="n">
        <f aca="false">$H109</f>
        <v>0</v>
      </c>
      <c r="AE109" s="7" t="n">
        <f aca="false">$H109</f>
        <v>0</v>
      </c>
      <c r="AF109" s="7" t="n">
        <f aca="false">$H109</f>
        <v>0</v>
      </c>
      <c r="AG109" s="7" t="n">
        <f aca="false">$H109</f>
        <v>0</v>
      </c>
      <c r="AH109" s="7" t="n">
        <f aca="false">$H109</f>
        <v>0</v>
      </c>
      <c r="AI109" s="7" t="n">
        <f aca="false">$I109</f>
        <v>0</v>
      </c>
      <c r="AJ109" s="7" t="n">
        <f aca="false">$I109</f>
        <v>0</v>
      </c>
      <c r="AK109" s="7" t="n">
        <f aca="false">$I109</f>
        <v>0</v>
      </c>
      <c r="AL109" s="7" t="n">
        <f aca="false">$I109</f>
        <v>0</v>
      </c>
      <c r="AM109" s="7" t="n">
        <f aca="false">$J109</f>
        <v>0</v>
      </c>
      <c r="AN109" s="7" t="n">
        <f aca="false">$J109</f>
        <v>0</v>
      </c>
      <c r="AO109" s="7" t="n">
        <f aca="false">$J109</f>
        <v>0</v>
      </c>
      <c r="AP109" s="7" t="n">
        <f aca="false">$J109</f>
        <v>0</v>
      </c>
      <c r="AQ109" s="7" t="n">
        <f aca="false">$K109</f>
        <v>0</v>
      </c>
      <c r="AR109" s="7" t="n">
        <f aca="false">$K109</f>
        <v>0</v>
      </c>
      <c r="AS109" s="7" t="n">
        <f aca="false">$K109</f>
        <v>0</v>
      </c>
      <c r="AT109" s="7" t="n">
        <f aca="false">$K109</f>
        <v>0</v>
      </c>
      <c r="AU109" s="7" t="n">
        <f aca="false">$K109</f>
        <v>0</v>
      </c>
      <c r="AV109" s="7" t="n">
        <f aca="false">$L109</f>
        <v>0</v>
      </c>
      <c r="AW109" s="7" t="n">
        <f aca="false">$L109</f>
        <v>0</v>
      </c>
      <c r="AX109" s="7" t="n">
        <f aca="false">$L109</f>
        <v>0</v>
      </c>
      <c r="AY109" s="7" t="n">
        <f aca="false">$L109</f>
        <v>0</v>
      </c>
      <c r="AZ109" s="7" t="n">
        <f aca="false">$M109</f>
        <v>0</v>
      </c>
      <c r="BA109" s="7" t="n">
        <f aca="false">$M109</f>
        <v>0</v>
      </c>
      <c r="BB109" s="7" t="n">
        <f aca="false">$M109</f>
        <v>0</v>
      </c>
      <c r="BC109" s="7" t="n">
        <f aca="false">$M109</f>
        <v>0</v>
      </c>
      <c r="BD109" s="7" t="n">
        <f aca="false">$N109</f>
        <v>0</v>
      </c>
      <c r="BE109" s="7" t="n">
        <f aca="false">$N109</f>
        <v>0</v>
      </c>
      <c r="BF109" s="7" t="n">
        <f aca="false">$N109</f>
        <v>0</v>
      </c>
      <c r="BG109" s="7" t="n">
        <f aca="false">$N109</f>
        <v>0</v>
      </c>
      <c r="BH109" s="7" t="n">
        <f aca="false">$N109</f>
        <v>0</v>
      </c>
      <c r="BI109" s="7" t="n">
        <f aca="false">$O109</f>
        <v>0</v>
      </c>
      <c r="BJ109" s="7" t="n">
        <f aca="false">$O109</f>
        <v>0</v>
      </c>
      <c r="BK109" s="7" t="n">
        <f aca="false">$O109</f>
        <v>0</v>
      </c>
      <c r="BL109" s="7" t="n">
        <f aca="false">$O109</f>
        <v>0</v>
      </c>
      <c r="BM109" s="7" t="n">
        <f aca="false">$P109</f>
        <v>0</v>
      </c>
      <c r="BN109" s="7" t="n">
        <f aca="false">$P109</f>
        <v>0</v>
      </c>
      <c r="BO109" s="7" t="n">
        <f aca="false">$P109</f>
        <v>0</v>
      </c>
      <c r="BP109" s="7" t="n">
        <f aca="false">$P109</f>
        <v>0</v>
      </c>
    </row>
    <row r="110" customFormat="false" ht="15" hidden="false" customHeight="false" outlineLevel="0" collapsed="false">
      <c r="A110" s="0" t="s">
        <v>236</v>
      </c>
      <c r="B110" s="0" t="s">
        <v>127</v>
      </c>
      <c r="C110" s="0" t="s">
        <v>120</v>
      </c>
      <c r="D110" s="0" t="n">
        <f aca="false">SUM(Q110:BP110)</f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</v>
      </c>
      <c r="Q110" s="7" t="n">
        <f aca="false">$E110</f>
        <v>0</v>
      </c>
      <c r="R110" s="7" t="n">
        <f aca="false">$E110</f>
        <v>0</v>
      </c>
      <c r="S110" s="7" t="n">
        <f aca="false">$E110</f>
        <v>0</v>
      </c>
      <c r="T110" s="7" t="n">
        <f aca="false">$E110</f>
        <v>0</v>
      </c>
      <c r="U110" s="7" t="n">
        <f aca="false">$E110</f>
        <v>0</v>
      </c>
      <c r="V110" s="7" t="n">
        <f aca="false">$F110</f>
        <v>0</v>
      </c>
      <c r="W110" s="7" t="n">
        <f aca="false">$F110</f>
        <v>0</v>
      </c>
      <c r="X110" s="7" t="n">
        <f aca="false">$F110</f>
        <v>0</v>
      </c>
      <c r="Y110" s="7" t="n">
        <f aca="false">$F110</f>
        <v>0</v>
      </c>
      <c r="Z110" s="7" t="n">
        <f aca="false">$G110</f>
        <v>0</v>
      </c>
      <c r="AA110" s="7" t="n">
        <f aca="false">$G110</f>
        <v>0</v>
      </c>
      <c r="AB110" s="7" t="n">
        <f aca="false">$G110</f>
        <v>0</v>
      </c>
      <c r="AC110" s="7" t="n">
        <f aca="false">$G110</f>
        <v>0</v>
      </c>
      <c r="AD110" s="7" t="n">
        <f aca="false">$H110</f>
        <v>0</v>
      </c>
      <c r="AE110" s="7" t="n">
        <f aca="false">$H110</f>
        <v>0</v>
      </c>
      <c r="AF110" s="7" t="n">
        <f aca="false">$H110</f>
        <v>0</v>
      </c>
      <c r="AG110" s="7" t="n">
        <f aca="false">$H110</f>
        <v>0</v>
      </c>
      <c r="AH110" s="7" t="n">
        <f aca="false">$H110</f>
        <v>0</v>
      </c>
      <c r="AI110" s="7" t="n">
        <f aca="false">$I110</f>
        <v>0</v>
      </c>
      <c r="AJ110" s="7" t="n">
        <f aca="false">$I110</f>
        <v>0</v>
      </c>
      <c r="AK110" s="7" t="n">
        <f aca="false">$I110</f>
        <v>0</v>
      </c>
      <c r="AL110" s="7" t="n">
        <f aca="false">$I110</f>
        <v>0</v>
      </c>
      <c r="AM110" s="7" t="n">
        <f aca="false">$J110</f>
        <v>0</v>
      </c>
      <c r="AN110" s="7" t="n">
        <f aca="false">$J110</f>
        <v>0</v>
      </c>
      <c r="AO110" s="7" t="n">
        <f aca="false">$J110</f>
        <v>0</v>
      </c>
      <c r="AP110" s="7" t="n">
        <f aca="false">$J110</f>
        <v>0</v>
      </c>
      <c r="AQ110" s="7" t="n">
        <f aca="false">$K110</f>
        <v>0</v>
      </c>
      <c r="AR110" s="7" t="n">
        <f aca="false">$K110</f>
        <v>0</v>
      </c>
      <c r="AS110" s="7" t="n">
        <f aca="false">$K110</f>
        <v>0</v>
      </c>
      <c r="AT110" s="7" t="n">
        <f aca="false">$K110</f>
        <v>0</v>
      </c>
      <c r="AU110" s="7" t="n">
        <f aca="false">$K110</f>
        <v>0</v>
      </c>
      <c r="AV110" s="7" t="n">
        <f aca="false">$L110</f>
        <v>0</v>
      </c>
      <c r="AW110" s="7" t="n">
        <f aca="false">$L110</f>
        <v>0</v>
      </c>
      <c r="AX110" s="7" t="n">
        <f aca="false">$L110</f>
        <v>0</v>
      </c>
      <c r="AY110" s="7" t="n">
        <f aca="false">$L110</f>
        <v>0</v>
      </c>
      <c r="AZ110" s="7" t="n">
        <f aca="false">$M110</f>
        <v>0</v>
      </c>
      <c r="BA110" s="7" t="n">
        <f aca="false">$M110</f>
        <v>0</v>
      </c>
      <c r="BB110" s="7" t="n">
        <f aca="false">$M110</f>
        <v>0</v>
      </c>
      <c r="BC110" s="7" t="n">
        <f aca="false">$M110</f>
        <v>0</v>
      </c>
      <c r="BD110" s="7" t="n">
        <f aca="false">$N110</f>
        <v>0</v>
      </c>
      <c r="BE110" s="7" t="n">
        <f aca="false">$N110</f>
        <v>0</v>
      </c>
      <c r="BF110" s="7" t="n">
        <f aca="false">$N110</f>
        <v>0</v>
      </c>
      <c r="BG110" s="7" t="n">
        <f aca="false">$N110</f>
        <v>0</v>
      </c>
      <c r="BH110" s="7" t="n">
        <f aca="false">$N110</f>
        <v>0</v>
      </c>
      <c r="BI110" s="7" t="n">
        <f aca="false">$O110</f>
        <v>0</v>
      </c>
      <c r="BJ110" s="7" t="n">
        <f aca="false">$O110</f>
        <v>0</v>
      </c>
      <c r="BK110" s="7" t="n">
        <f aca="false">$O110</f>
        <v>0</v>
      </c>
      <c r="BL110" s="7" t="n">
        <f aca="false">$O110</f>
        <v>0</v>
      </c>
      <c r="BM110" s="7" t="n">
        <f aca="false">$P110</f>
        <v>0</v>
      </c>
      <c r="BN110" s="7" t="n">
        <f aca="false">$P110</f>
        <v>0</v>
      </c>
      <c r="BO110" s="7" t="n">
        <f aca="false">$P110</f>
        <v>0</v>
      </c>
      <c r="BP110" s="7" t="n">
        <f aca="false">$P110</f>
        <v>0</v>
      </c>
    </row>
    <row r="111" customFormat="false" ht="15" hidden="false" customHeight="false" outlineLevel="0" collapsed="false">
      <c r="A111" s="0" t="s">
        <v>236</v>
      </c>
      <c r="B111" s="0" t="s">
        <v>127</v>
      </c>
      <c r="C111" s="0" t="s">
        <v>121</v>
      </c>
      <c r="D111" s="0" t="n">
        <f aca="false">SUM(Q111:BP111)</f>
        <v>0</v>
      </c>
      <c r="E111" s="13" t="n">
        <v>0</v>
      </c>
      <c r="F111" s="13" t="n">
        <v>0</v>
      </c>
      <c r="G111" s="13" t="n">
        <v>0</v>
      </c>
      <c r="H111" s="13" t="n">
        <v>0</v>
      </c>
      <c r="I111" s="13" t="n">
        <v>0</v>
      </c>
      <c r="J111" s="13" t="n">
        <v>0</v>
      </c>
      <c r="K111" s="13" t="n">
        <v>0</v>
      </c>
      <c r="L111" s="13" t="n">
        <v>0</v>
      </c>
      <c r="M111" s="13" t="n">
        <v>0</v>
      </c>
      <c r="N111" s="13" t="n">
        <v>0</v>
      </c>
      <c r="O111" s="13" t="n">
        <v>0</v>
      </c>
      <c r="P111" s="13" t="n">
        <v>0</v>
      </c>
      <c r="Q111" s="7" t="n">
        <f aca="false">$E111</f>
        <v>0</v>
      </c>
      <c r="R111" s="7" t="n">
        <f aca="false">$E111</f>
        <v>0</v>
      </c>
      <c r="S111" s="7" t="n">
        <f aca="false">$E111</f>
        <v>0</v>
      </c>
      <c r="T111" s="7" t="n">
        <f aca="false">$E111</f>
        <v>0</v>
      </c>
      <c r="U111" s="7" t="n">
        <f aca="false">$E111</f>
        <v>0</v>
      </c>
      <c r="V111" s="7" t="n">
        <f aca="false">$F111</f>
        <v>0</v>
      </c>
      <c r="W111" s="7" t="n">
        <f aca="false">$F111</f>
        <v>0</v>
      </c>
      <c r="X111" s="7" t="n">
        <f aca="false">$F111</f>
        <v>0</v>
      </c>
      <c r="Y111" s="7" t="n">
        <f aca="false">$F111</f>
        <v>0</v>
      </c>
      <c r="Z111" s="7" t="n">
        <f aca="false">$G111</f>
        <v>0</v>
      </c>
      <c r="AA111" s="7" t="n">
        <f aca="false">$G111</f>
        <v>0</v>
      </c>
      <c r="AB111" s="7" t="n">
        <f aca="false">$G111</f>
        <v>0</v>
      </c>
      <c r="AC111" s="7" t="n">
        <f aca="false">$G111</f>
        <v>0</v>
      </c>
      <c r="AD111" s="7" t="n">
        <f aca="false">$H111</f>
        <v>0</v>
      </c>
      <c r="AE111" s="7" t="n">
        <f aca="false">$H111</f>
        <v>0</v>
      </c>
      <c r="AF111" s="7" t="n">
        <f aca="false">$H111</f>
        <v>0</v>
      </c>
      <c r="AG111" s="7" t="n">
        <f aca="false">$H111</f>
        <v>0</v>
      </c>
      <c r="AH111" s="7" t="n">
        <f aca="false">$H111</f>
        <v>0</v>
      </c>
      <c r="AI111" s="7" t="n">
        <f aca="false">$I111</f>
        <v>0</v>
      </c>
      <c r="AJ111" s="7" t="n">
        <f aca="false">$I111</f>
        <v>0</v>
      </c>
      <c r="AK111" s="7" t="n">
        <f aca="false">$I111</f>
        <v>0</v>
      </c>
      <c r="AL111" s="7" t="n">
        <f aca="false">$I111</f>
        <v>0</v>
      </c>
      <c r="AM111" s="7" t="n">
        <f aca="false">$J111</f>
        <v>0</v>
      </c>
      <c r="AN111" s="7" t="n">
        <f aca="false">$J111</f>
        <v>0</v>
      </c>
      <c r="AO111" s="7" t="n">
        <f aca="false">$J111</f>
        <v>0</v>
      </c>
      <c r="AP111" s="7" t="n">
        <f aca="false">$J111</f>
        <v>0</v>
      </c>
      <c r="AQ111" s="7" t="n">
        <f aca="false">$K111</f>
        <v>0</v>
      </c>
      <c r="AR111" s="7" t="n">
        <f aca="false">$K111</f>
        <v>0</v>
      </c>
      <c r="AS111" s="7" t="n">
        <f aca="false">$K111</f>
        <v>0</v>
      </c>
      <c r="AT111" s="7" t="n">
        <f aca="false">$K111</f>
        <v>0</v>
      </c>
      <c r="AU111" s="7" t="n">
        <f aca="false">$K111</f>
        <v>0</v>
      </c>
      <c r="AV111" s="7" t="n">
        <f aca="false">$L111</f>
        <v>0</v>
      </c>
      <c r="AW111" s="7" t="n">
        <f aca="false">$L111</f>
        <v>0</v>
      </c>
      <c r="AX111" s="7" t="n">
        <f aca="false">$L111</f>
        <v>0</v>
      </c>
      <c r="AY111" s="7" t="n">
        <f aca="false">$L111</f>
        <v>0</v>
      </c>
      <c r="AZ111" s="7" t="n">
        <f aca="false">$M111</f>
        <v>0</v>
      </c>
      <c r="BA111" s="7" t="n">
        <f aca="false">$M111</f>
        <v>0</v>
      </c>
      <c r="BB111" s="7" t="n">
        <f aca="false">$M111</f>
        <v>0</v>
      </c>
      <c r="BC111" s="7" t="n">
        <f aca="false">$M111</f>
        <v>0</v>
      </c>
      <c r="BD111" s="7" t="n">
        <f aca="false">$N111</f>
        <v>0</v>
      </c>
      <c r="BE111" s="7" t="n">
        <f aca="false">$N111</f>
        <v>0</v>
      </c>
      <c r="BF111" s="7" t="n">
        <f aca="false">$N111</f>
        <v>0</v>
      </c>
      <c r="BG111" s="7" t="n">
        <f aca="false">$N111</f>
        <v>0</v>
      </c>
      <c r="BH111" s="7" t="n">
        <f aca="false">$N111</f>
        <v>0</v>
      </c>
      <c r="BI111" s="7" t="n">
        <f aca="false">$O111</f>
        <v>0</v>
      </c>
      <c r="BJ111" s="7" t="n">
        <f aca="false">$O111</f>
        <v>0</v>
      </c>
      <c r="BK111" s="7" t="n">
        <f aca="false">$O111</f>
        <v>0</v>
      </c>
      <c r="BL111" s="7" t="n">
        <f aca="false">$O111</f>
        <v>0</v>
      </c>
      <c r="BM111" s="7" t="n">
        <f aca="false">$P111</f>
        <v>0</v>
      </c>
      <c r="BN111" s="7" t="n">
        <f aca="false">$P111</f>
        <v>0</v>
      </c>
      <c r="BO111" s="7" t="n">
        <f aca="false">$P111</f>
        <v>0</v>
      </c>
      <c r="BP111" s="7" t="n">
        <f aca="false">$P111</f>
        <v>0</v>
      </c>
    </row>
    <row r="112" customFormat="false" ht="15" hidden="false" customHeight="false" outlineLevel="0" collapsed="false">
      <c r="A112" s="0" t="s">
        <v>236</v>
      </c>
      <c r="B112" s="0" t="s">
        <v>127</v>
      </c>
      <c r="C112" s="0" t="s">
        <v>122</v>
      </c>
      <c r="D112" s="0" t="n">
        <f aca="false">SUM(Q112:BP112)</f>
        <v>0</v>
      </c>
      <c r="E112" s="13" t="n">
        <v>0</v>
      </c>
      <c r="F112" s="13" t="n">
        <v>0</v>
      </c>
      <c r="G112" s="13" t="n">
        <v>0</v>
      </c>
      <c r="H112" s="13" t="n">
        <v>0</v>
      </c>
      <c r="I112" s="13" t="n">
        <v>0</v>
      </c>
      <c r="J112" s="13" t="n">
        <v>0</v>
      </c>
      <c r="K112" s="13" t="n">
        <v>0</v>
      </c>
      <c r="L112" s="13" t="n">
        <v>0</v>
      </c>
      <c r="M112" s="13" t="n">
        <v>0</v>
      </c>
      <c r="N112" s="13" t="n">
        <v>0</v>
      </c>
      <c r="O112" s="13" t="n">
        <v>0</v>
      </c>
      <c r="P112" s="13" t="n">
        <v>0</v>
      </c>
      <c r="Q112" s="7" t="n">
        <f aca="false">$E112</f>
        <v>0</v>
      </c>
      <c r="R112" s="7" t="n">
        <f aca="false">$E112</f>
        <v>0</v>
      </c>
      <c r="S112" s="7" t="n">
        <f aca="false">$E112</f>
        <v>0</v>
      </c>
      <c r="T112" s="7" t="n">
        <f aca="false">$E112</f>
        <v>0</v>
      </c>
      <c r="U112" s="7" t="n">
        <f aca="false">$E112</f>
        <v>0</v>
      </c>
      <c r="V112" s="7" t="n">
        <f aca="false">$F112</f>
        <v>0</v>
      </c>
      <c r="W112" s="7" t="n">
        <f aca="false">$F112</f>
        <v>0</v>
      </c>
      <c r="X112" s="7" t="n">
        <f aca="false">$F112</f>
        <v>0</v>
      </c>
      <c r="Y112" s="7" t="n">
        <f aca="false">$F112</f>
        <v>0</v>
      </c>
      <c r="Z112" s="7" t="n">
        <f aca="false">$G112</f>
        <v>0</v>
      </c>
      <c r="AA112" s="7" t="n">
        <f aca="false">$G112</f>
        <v>0</v>
      </c>
      <c r="AB112" s="7" t="n">
        <f aca="false">$G112</f>
        <v>0</v>
      </c>
      <c r="AC112" s="7" t="n">
        <f aca="false">$G112</f>
        <v>0</v>
      </c>
      <c r="AD112" s="7" t="n">
        <f aca="false">$H112</f>
        <v>0</v>
      </c>
      <c r="AE112" s="7" t="n">
        <f aca="false">$H112</f>
        <v>0</v>
      </c>
      <c r="AF112" s="7" t="n">
        <f aca="false">$H112</f>
        <v>0</v>
      </c>
      <c r="AG112" s="7" t="n">
        <f aca="false">$H112</f>
        <v>0</v>
      </c>
      <c r="AH112" s="7" t="n">
        <f aca="false">$H112</f>
        <v>0</v>
      </c>
      <c r="AI112" s="7" t="n">
        <f aca="false">$I112</f>
        <v>0</v>
      </c>
      <c r="AJ112" s="7" t="n">
        <f aca="false">$I112</f>
        <v>0</v>
      </c>
      <c r="AK112" s="7" t="n">
        <f aca="false">$I112</f>
        <v>0</v>
      </c>
      <c r="AL112" s="7" t="n">
        <f aca="false">$I112</f>
        <v>0</v>
      </c>
      <c r="AM112" s="7" t="n">
        <f aca="false">$J112</f>
        <v>0</v>
      </c>
      <c r="AN112" s="7" t="n">
        <f aca="false">$J112</f>
        <v>0</v>
      </c>
      <c r="AO112" s="7" t="n">
        <f aca="false">$J112</f>
        <v>0</v>
      </c>
      <c r="AP112" s="7" t="n">
        <f aca="false">$J112</f>
        <v>0</v>
      </c>
      <c r="AQ112" s="7" t="n">
        <f aca="false">$K112</f>
        <v>0</v>
      </c>
      <c r="AR112" s="7" t="n">
        <f aca="false">$K112</f>
        <v>0</v>
      </c>
      <c r="AS112" s="7" t="n">
        <f aca="false">$K112</f>
        <v>0</v>
      </c>
      <c r="AT112" s="7" t="n">
        <f aca="false">$K112</f>
        <v>0</v>
      </c>
      <c r="AU112" s="7" t="n">
        <f aca="false">$K112</f>
        <v>0</v>
      </c>
      <c r="AV112" s="7" t="n">
        <f aca="false">$L112</f>
        <v>0</v>
      </c>
      <c r="AW112" s="7" t="n">
        <f aca="false">$L112</f>
        <v>0</v>
      </c>
      <c r="AX112" s="7" t="n">
        <f aca="false">$L112</f>
        <v>0</v>
      </c>
      <c r="AY112" s="7" t="n">
        <f aca="false">$L112</f>
        <v>0</v>
      </c>
      <c r="AZ112" s="7" t="n">
        <f aca="false">$M112</f>
        <v>0</v>
      </c>
      <c r="BA112" s="7" t="n">
        <f aca="false">$M112</f>
        <v>0</v>
      </c>
      <c r="BB112" s="7" t="n">
        <f aca="false">$M112</f>
        <v>0</v>
      </c>
      <c r="BC112" s="7" t="n">
        <f aca="false">$M112</f>
        <v>0</v>
      </c>
      <c r="BD112" s="7" t="n">
        <f aca="false">$N112</f>
        <v>0</v>
      </c>
      <c r="BE112" s="7" t="n">
        <f aca="false">$N112</f>
        <v>0</v>
      </c>
      <c r="BF112" s="7" t="n">
        <f aca="false">$N112</f>
        <v>0</v>
      </c>
      <c r="BG112" s="7" t="n">
        <f aca="false">$N112</f>
        <v>0</v>
      </c>
      <c r="BH112" s="7" t="n">
        <f aca="false">$N112</f>
        <v>0</v>
      </c>
      <c r="BI112" s="7" t="n">
        <f aca="false">$O112</f>
        <v>0</v>
      </c>
      <c r="BJ112" s="7" t="n">
        <f aca="false">$O112</f>
        <v>0</v>
      </c>
      <c r="BK112" s="7" t="n">
        <f aca="false">$O112</f>
        <v>0</v>
      </c>
      <c r="BL112" s="7" t="n">
        <f aca="false">$O112</f>
        <v>0</v>
      </c>
      <c r="BM112" s="7" t="n">
        <f aca="false">$P112</f>
        <v>0</v>
      </c>
      <c r="BN112" s="7" t="n">
        <f aca="false">$P112</f>
        <v>0</v>
      </c>
      <c r="BO112" s="7" t="n">
        <f aca="false">$P112</f>
        <v>0</v>
      </c>
      <c r="BP112" s="7" t="n">
        <f aca="false">$P112</f>
        <v>0</v>
      </c>
    </row>
    <row r="113" customFormat="false" ht="15" hidden="false" customHeight="false" outlineLevel="0" collapsed="false">
      <c r="A113" s="0" t="s">
        <v>236</v>
      </c>
      <c r="B113" s="0" t="s">
        <v>127</v>
      </c>
      <c r="C113" s="0" t="s">
        <v>123</v>
      </c>
      <c r="D113" s="0" t="n">
        <f aca="false">SUM(Q113:BP113)</f>
        <v>0</v>
      </c>
      <c r="E113" s="13" t="n">
        <v>0</v>
      </c>
      <c r="F113" s="13" t="n">
        <v>0</v>
      </c>
      <c r="G113" s="13" t="n">
        <v>0</v>
      </c>
      <c r="H113" s="13" t="n">
        <v>0</v>
      </c>
      <c r="I113" s="13" t="n">
        <v>0</v>
      </c>
      <c r="J113" s="13" t="n">
        <v>0</v>
      </c>
      <c r="K113" s="13" t="n">
        <v>0</v>
      </c>
      <c r="L113" s="13" t="n">
        <v>0</v>
      </c>
      <c r="M113" s="13" t="n">
        <v>0</v>
      </c>
      <c r="N113" s="13" t="n">
        <v>0</v>
      </c>
      <c r="O113" s="13" t="n">
        <v>0</v>
      </c>
      <c r="P113" s="13" t="n">
        <v>0</v>
      </c>
      <c r="Q113" s="7" t="n">
        <f aca="false">$E113</f>
        <v>0</v>
      </c>
      <c r="R113" s="7" t="n">
        <f aca="false">$E113</f>
        <v>0</v>
      </c>
      <c r="S113" s="7" t="n">
        <f aca="false">$E113</f>
        <v>0</v>
      </c>
      <c r="T113" s="7" t="n">
        <f aca="false">$E113</f>
        <v>0</v>
      </c>
      <c r="U113" s="7" t="n">
        <f aca="false">$E113</f>
        <v>0</v>
      </c>
      <c r="V113" s="7" t="n">
        <f aca="false">$F113</f>
        <v>0</v>
      </c>
      <c r="W113" s="7" t="n">
        <f aca="false">$F113</f>
        <v>0</v>
      </c>
      <c r="X113" s="7" t="n">
        <f aca="false">$F113</f>
        <v>0</v>
      </c>
      <c r="Y113" s="7" t="n">
        <f aca="false">$F113</f>
        <v>0</v>
      </c>
      <c r="Z113" s="7" t="n">
        <f aca="false">$G113</f>
        <v>0</v>
      </c>
      <c r="AA113" s="7" t="n">
        <f aca="false">$G113</f>
        <v>0</v>
      </c>
      <c r="AB113" s="7" t="n">
        <f aca="false">$G113</f>
        <v>0</v>
      </c>
      <c r="AC113" s="7" t="n">
        <f aca="false">$G113</f>
        <v>0</v>
      </c>
      <c r="AD113" s="7" t="n">
        <f aca="false">$H113</f>
        <v>0</v>
      </c>
      <c r="AE113" s="7" t="n">
        <f aca="false">$H113</f>
        <v>0</v>
      </c>
      <c r="AF113" s="7" t="n">
        <f aca="false">$H113</f>
        <v>0</v>
      </c>
      <c r="AG113" s="7" t="n">
        <f aca="false">$H113</f>
        <v>0</v>
      </c>
      <c r="AH113" s="7" t="n">
        <f aca="false">$H113</f>
        <v>0</v>
      </c>
      <c r="AI113" s="7" t="n">
        <f aca="false">$I113</f>
        <v>0</v>
      </c>
      <c r="AJ113" s="7" t="n">
        <f aca="false">$I113</f>
        <v>0</v>
      </c>
      <c r="AK113" s="7" t="n">
        <f aca="false">$I113</f>
        <v>0</v>
      </c>
      <c r="AL113" s="7" t="n">
        <f aca="false">$I113</f>
        <v>0</v>
      </c>
      <c r="AM113" s="7" t="n">
        <f aca="false">$J113</f>
        <v>0</v>
      </c>
      <c r="AN113" s="7" t="n">
        <f aca="false">$J113</f>
        <v>0</v>
      </c>
      <c r="AO113" s="7" t="n">
        <f aca="false">$J113</f>
        <v>0</v>
      </c>
      <c r="AP113" s="7" t="n">
        <f aca="false">$J113</f>
        <v>0</v>
      </c>
      <c r="AQ113" s="7" t="n">
        <f aca="false">$K113</f>
        <v>0</v>
      </c>
      <c r="AR113" s="7" t="n">
        <f aca="false">$K113</f>
        <v>0</v>
      </c>
      <c r="AS113" s="7" t="n">
        <f aca="false">$K113</f>
        <v>0</v>
      </c>
      <c r="AT113" s="7" t="n">
        <f aca="false">$K113</f>
        <v>0</v>
      </c>
      <c r="AU113" s="7" t="n">
        <f aca="false">$K113</f>
        <v>0</v>
      </c>
      <c r="AV113" s="7" t="n">
        <f aca="false">$L113</f>
        <v>0</v>
      </c>
      <c r="AW113" s="7" t="n">
        <f aca="false">$L113</f>
        <v>0</v>
      </c>
      <c r="AX113" s="7" t="n">
        <f aca="false">$L113</f>
        <v>0</v>
      </c>
      <c r="AY113" s="7" t="n">
        <f aca="false">$L113</f>
        <v>0</v>
      </c>
      <c r="AZ113" s="7" t="n">
        <f aca="false">$M113</f>
        <v>0</v>
      </c>
      <c r="BA113" s="7" t="n">
        <f aca="false">$M113</f>
        <v>0</v>
      </c>
      <c r="BB113" s="7" t="n">
        <f aca="false">$M113</f>
        <v>0</v>
      </c>
      <c r="BC113" s="7" t="n">
        <f aca="false">$M113</f>
        <v>0</v>
      </c>
      <c r="BD113" s="7" t="n">
        <f aca="false">$N113</f>
        <v>0</v>
      </c>
      <c r="BE113" s="7" t="n">
        <f aca="false">$N113</f>
        <v>0</v>
      </c>
      <c r="BF113" s="7" t="n">
        <f aca="false">$N113</f>
        <v>0</v>
      </c>
      <c r="BG113" s="7" t="n">
        <f aca="false">$N113</f>
        <v>0</v>
      </c>
      <c r="BH113" s="7" t="n">
        <f aca="false">$N113</f>
        <v>0</v>
      </c>
      <c r="BI113" s="7" t="n">
        <f aca="false">$O113</f>
        <v>0</v>
      </c>
      <c r="BJ113" s="7" t="n">
        <f aca="false">$O113</f>
        <v>0</v>
      </c>
      <c r="BK113" s="7" t="n">
        <f aca="false">$O113</f>
        <v>0</v>
      </c>
      <c r="BL113" s="7" t="n">
        <f aca="false">$O113</f>
        <v>0</v>
      </c>
      <c r="BM113" s="7" t="n">
        <f aca="false">$P113</f>
        <v>0</v>
      </c>
      <c r="BN113" s="7" t="n">
        <f aca="false">$P113</f>
        <v>0</v>
      </c>
      <c r="BO113" s="7" t="n">
        <f aca="false">$P113</f>
        <v>0</v>
      </c>
      <c r="BP113" s="7" t="n">
        <f aca="false">$P113</f>
        <v>0</v>
      </c>
    </row>
    <row r="114" customFormat="false" ht="15" hidden="false" customHeight="false" outlineLevel="0" collapsed="false">
      <c r="A114" s="0" t="s">
        <v>236</v>
      </c>
      <c r="B114" s="0" t="s">
        <v>128</v>
      </c>
      <c r="C114" s="0" t="s">
        <v>115</v>
      </c>
      <c r="D114" s="0" t="n">
        <f aca="false">SUM(Q114:BP114)</f>
        <v>0</v>
      </c>
      <c r="E114" s="22" t="n">
        <v>0</v>
      </c>
      <c r="F114" s="22" t="n">
        <v>0</v>
      </c>
      <c r="G114" s="22" t="n">
        <v>0</v>
      </c>
      <c r="H114" s="22" t="n">
        <v>0</v>
      </c>
      <c r="I114" s="22" t="n">
        <v>0</v>
      </c>
      <c r="J114" s="22" t="n">
        <v>0</v>
      </c>
      <c r="K114" s="22" t="n">
        <v>0</v>
      </c>
      <c r="L114" s="22" t="n">
        <v>0</v>
      </c>
      <c r="M114" s="22" t="n">
        <v>0</v>
      </c>
      <c r="N114" s="22" t="n">
        <v>0</v>
      </c>
      <c r="O114" s="22" t="n">
        <v>0</v>
      </c>
      <c r="P114" s="22" t="n">
        <v>0</v>
      </c>
      <c r="Q114" s="7" t="n">
        <f aca="false">$E114</f>
        <v>0</v>
      </c>
      <c r="R114" s="7" t="n">
        <f aca="false">$E114</f>
        <v>0</v>
      </c>
      <c r="S114" s="7" t="n">
        <f aca="false">$E114</f>
        <v>0</v>
      </c>
      <c r="T114" s="7" t="n">
        <f aca="false">$E114</f>
        <v>0</v>
      </c>
      <c r="U114" s="7" t="n">
        <f aca="false">$E114</f>
        <v>0</v>
      </c>
      <c r="V114" s="7" t="n">
        <f aca="false">$F114</f>
        <v>0</v>
      </c>
      <c r="W114" s="7" t="n">
        <f aca="false">$F114</f>
        <v>0</v>
      </c>
      <c r="X114" s="7" t="n">
        <f aca="false">$F114</f>
        <v>0</v>
      </c>
      <c r="Y114" s="7" t="n">
        <f aca="false">$F114</f>
        <v>0</v>
      </c>
      <c r="Z114" s="7" t="n">
        <f aca="false">$G114</f>
        <v>0</v>
      </c>
      <c r="AA114" s="7" t="n">
        <f aca="false">$G114</f>
        <v>0</v>
      </c>
      <c r="AB114" s="7" t="n">
        <f aca="false">$G114</f>
        <v>0</v>
      </c>
      <c r="AC114" s="7" t="n">
        <f aca="false">$G114</f>
        <v>0</v>
      </c>
      <c r="AD114" s="7" t="n">
        <f aca="false">$H114</f>
        <v>0</v>
      </c>
      <c r="AE114" s="7" t="n">
        <f aca="false">$H114</f>
        <v>0</v>
      </c>
      <c r="AF114" s="7" t="n">
        <f aca="false">$H114</f>
        <v>0</v>
      </c>
      <c r="AG114" s="7" t="n">
        <f aca="false">$H114</f>
        <v>0</v>
      </c>
      <c r="AH114" s="7" t="n">
        <f aca="false">$H114</f>
        <v>0</v>
      </c>
      <c r="AI114" s="7" t="n">
        <f aca="false">$I114</f>
        <v>0</v>
      </c>
      <c r="AJ114" s="7" t="n">
        <f aca="false">$I114</f>
        <v>0</v>
      </c>
      <c r="AK114" s="7" t="n">
        <f aca="false">$I114</f>
        <v>0</v>
      </c>
      <c r="AL114" s="7" t="n">
        <f aca="false">$I114</f>
        <v>0</v>
      </c>
      <c r="AM114" s="7" t="n">
        <f aca="false">$J114</f>
        <v>0</v>
      </c>
      <c r="AN114" s="7" t="n">
        <f aca="false">$J114</f>
        <v>0</v>
      </c>
      <c r="AO114" s="7" t="n">
        <f aca="false">$J114</f>
        <v>0</v>
      </c>
      <c r="AP114" s="7" t="n">
        <f aca="false">$J114</f>
        <v>0</v>
      </c>
      <c r="AQ114" s="7" t="n">
        <f aca="false">$K114</f>
        <v>0</v>
      </c>
      <c r="AR114" s="7" t="n">
        <f aca="false">$K114</f>
        <v>0</v>
      </c>
      <c r="AS114" s="7" t="n">
        <f aca="false">$K114</f>
        <v>0</v>
      </c>
      <c r="AT114" s="7" t="n">
        <f aca="false">$K114</f>
        <v>0</v>
      </c>
      <c r="AU114" s="7" t="n">
        <f aca="false">$K114</f>
        <v>0</v>
      </c>
      <c r="AV114" s="7" t="n">
        <f aca="false">$L114</f>
        <v>0</v>
      </c>
      <c r="AW114" s="7" t="n">
        <f aca="false">$L114</f>
        <v>0</v>
      </c>
      <c r="AX114" s="7" t="n">
        <f aca="false">$L114</f>
        <v>0</v>
      </c>
      <c r="AY114" s="7" t="n">
        <f aca="false">$L114</f>
        <v>0</v>
      </c>
      <c r="AZ114" s="7" t="n">
        <f aca="false">$M114</f>
        <v>0</v>
      </c>
      <c r="BA114" s="7" t="n">
        <f aca="false">$M114</f>
        <v>0</v>
      </c>
      <c r="BB114" s="7" t="n">
        <f aca="false">$M114</f>
        <v>0</v>
      </c>
      <c r="BC114" s="7" t="n">
        <f aca="false">$M114</f>
        <v>0</v>
      </c>
      <c r="BD114" s="7" t="n">
        <f aca="false">$N114</f>
        <v>0</v>
      </c>
      <c r="BE114" s="7" t="n">
        <f aca="false">$N114</f>
        <v>0</v>
      </c>
      <c r="BF114" s="7" t="n">
        <f aca="false">$N114</f>
        <v>0</v>
      </c>
      <c r="BG114" s="7" t="n">
        <f aca="false">$N114</f>
        <v>0</v>
      </c>
      <c r="BH114" s="7" t="n">
        <f aca="false">$N114</f>
        <v>0</v>
      </c>
      <c r="BI114" s="7" t="n">
        <f aca="false">$O114</f>
        <v>0</v>
      </c>
      <c r="BJ114" s="7" t="n">
        <f aca="false">$O114</f>
        <v>0</v>
      </c>
      <c r="BK114" s="7" t="n">
        <f aca="false">$O114</f>
        <v>0</v>
      </c>
      <c r="BL114" s="7" t="n">
        <f aca="false">$O114</f>
        <v>0</v>
      </c>
      <c r="BM114" s="7" t="n">
        <f aca="false">$P114</f>
        <v>0</v>
      </c>
      <c r="BN114" s="7" t="n">
        <f aca="false">$P114</f>
        <v>0</v>
      </c>
      <c r="BO114" s="7" t="n">
        <f aca="false">$P114</f>
        <v>0</v>
      </c>
      <c r="BP114" s="7" t="n">
        <f aca="false">$P114</f>
        <v>0</v>
      </c>
    </row>
    <row r="115" customFormat="false" ht="15" hidden="false" customHeight="false" outlineLevel="0" collapsed="false">
      <c r="A115" s="0" t="s">
        <v>236</v>
      </c>
      <c r="B115" s="0" t="s">
        <v>128</v>
      </c>
      <c r="C115" s="0" t="s">
        <v>116</v>
      </c>
      <c r="D115" s="0" t="n">
        <f aca="false">SUM(Q115:BP115)</f>
        <v>0</v>
      </c>
      <c r="E115" s="22" t="n">
        <v>0</v>
      </c>
      <c r="F115" s="22" t="n">
        <v>0</v>
      </c>
      <c r="G115" s="22" t="n">
        <v>0</v>
      </c>
      <c r="H115" s="22" t="n">
        <v>0</v>
      </c>
      <c r="I115" s="22" t="n">
        <v>0</v>
      </c>
      <c r="J115" s="22" t="n">
        <v>0</v>
      </c>
      <c r="K115" s="22" t="n">
        <v>0</v>
      </c>
      <c r="L115" s="22" t="n">
        <v>0</v>
      </c>
      <c r="M115" s="22" t="n">
        <v>0</v>
      </c>
      <c r="N115" s="22" t="n">
        <v>0</v>
      </c>
      <c r="O115" s="22" t="n">
        <v>0</v>
      </c>
      <c r="P115" s="22" t="n">
        <v>0</v>
      </c>
      <c r="Q115" s="7" t="n">
        <f aca="false">$E115</f>
        <v>0</v>
      </c>
      <c r="R115" s="7" t="n">
        <f aca="false">$E115</f>
        <v>0</v>
      </c>
      <c r="S115" s="7" t="n">
        <f aca="false">$E115</f>
        <v>0</v>
      </c>
      <c r="T115" s="7" t="n">
        <f aca="false">$E115</f>
        <v>0</v>
      </c>
      <c r="U115" s="7" t="n">
        <f aca="false">$E115</f>
        <v>0</v>
      </c>
      <c r="V115" s="7" t="n">
        <f aca="false">$F115</f>
        <v>0</v>
      </c>
      <c r="W115" s="7" t="n">
        <f aca="false">$F115</f>
        <v>0</v>
      </c>
      <c r="X115" s="7" t="n">
        <f aca="false">$F115</f>
        <v>0</v>
      </c>
      <c r="Y115" s="7" t="n">
        <f aca="false">$F115</f>
        <v>0</v>
      </c>
      <c r="Z115" s="7" t="n">
        <f aca="false">$G115</f>
        <v>0</v>
      </c>
      <c r="AA115" s="7" t="n">
        <f aca="false">$G115</f>
        <v>0</v>
      </c>
      <c r="AB115" s="7" t="n">
        <f aca="false">$G115</f>
        <v>0</v>
      </c>
      <c r="AC115" s="7" t="n">
        <f aca="false">$G115</f>
        <v>0</v>
      </c>
      <c r="AD115" s="7" t="n">
        <f aca="false">$H115</f>
        <v>0</v>
      </c>
      <c r="AE115" s="7" t="n">
        <f aca="false">$H115</f>
        <v>0</v>
      </c>
      <c r="AF115" s="7" t="n">
        <f aca="false">$H115</f>
        <v>0</v>
      </c>
      <c r="AG115" s="7" t="n">
        <f aca="false">$H115</f>
        <v>0</v>
      </c>
      <c r="AH115" s="7" t="n">
        <f aca="false">$H115</f>
        <v>0</v>
      </c>
      <c r="AI115" s="7" t="n">
        <f aca="false">$I115</f>
        <v>0</v>
      </c>
      <c r="AJ115" s="7" t="n">
        <f aca="false">$I115</f>
        <v>0</v>
      </c>
      <c r="AK115" s="7" t="n">
        <f aca="false">$I115</f>
        <v>0</v>
      </c>
      <c r="AL115" s="7" t="n">
        <f aca="false">$I115</f>
        <v>0</v>
      </c>
      <c r="AM115" s="7" t="n">
        <f aca="false">$J115</f>
        <v>0</v>
      </c>
      <c r="AN115" s="7" t="n">
        <f aca="false">$J115</f>
        <v>0</v>
      </c>
      <c r="AO115" s="7" t="n">
        <f aca="false">$J115</f>
        <v>0</v>
      </c>
      <c r="AP115" s="7" t="n">
        <f aca="false">$J115</f>
        <v>0</v>
      </c>
      <c r="AQ115" s="7" t="n">
        <f aca="false">$K115</f>
        <v>0</v>
      </c>
      <c r="AR115" s="7" t="n">
        <f aca="false">$K115</f>
        <v>0</v>
      </c>
      <c r="AS115" s="7" t="n">
        <f aca="false">$K115</f>
        <v>0</v>
      </c>
      <c r="AT115" s="7" t="n">
        <f aca="false">$K115</f>
        <v>0</v>
      </c>
      <c r="AU115" s="7" t="n">
        <f aca="false">$K115</f>
        <v>0</v>
      </c>
      <c r="AV115" s="7" t="n">
        <f aca="false">$L115</f>
        <v>0</v>
      </c>
      <c r="AW115" s="7" t="n">
        <f aca="false">$L115</f>
        <v>0</v>
      </c>
      <c r="AX115" s="7" t="n">
        <f aca="false">$L115</f>
        <v>0</v>
      </c>
      <c r="AY115" s="7" t="n">
        <f aca="false">$L115</f>
        <v>0</v>
      </c>
      <c r="AZ115" s="7" t="n">
        <f aca="false">$M115</f>
        <v>0</v>
      </c>
      <c r="BA115" s="7" t="n">
        <f aca="false">$M115</f>
        <v>0</v>
      </c>
      <c r="BB115" s="7" t="n">
        <f aca="false">$M115</f>
        <v>0</v>
      </c>
      <c r="BC115" s="7" t="n">
        <f aca="false">$M115</f>
        <v>0</v>
      </c>
      <c r="BD115" s="7" t="n">
        <f aca="false">$N115</f>
        <v>0</v>
      </c>
      <c r="BE115" s="7" t="n">
        <f aca="false">$N115</f>
        <v>0</v>
      </c>
      <c r="BF115" s="7" t="n">
        <f aca="false">$N115</f>
        <v>0</v>
      </c>
      <c r="BG115" s="7" t="n">
        <f aca="false">$N115</f>
        <v>0</v>
      </c>
      <c r="BH115" s="7" t="n">
        <f aca="false">$N115</f>
        <v>0</v>
      </c>
      <c r="BI115" s="7" t="n">
        <f aca="false">$O115</f>
        <v>0</v>
      </c>
      <c r="BJ115" s="7" t="n">
        <f aca="false">$O115</f>
        <v>0</v>
      </c>
      <c r="BK115" s="7" t="n">
        <f aca="false">$O115</f>
        <v>0</v>
      </c>
      <c r="BL115" s="7" t="n">
        <f aca="false">$O115</f>
        <v>0</v>
      </c>
      <c r="BM115" s="7" t="n">
        <f aca="false">$P115</f>
        <v>0</v>
      </c>
      <c r="BN115" s="7" t="n">
        <f aca="false">$P115</f>
        <v>0</v>
      </c>
      <c r="BO115" s="7" t="n">
        <f aca="false">$P115</f>
        <v>0</v>
      </c>
      <c r="BP115" s="7" t="n">
        <f aca="false">$P115</f>
        <v>0</v>
      </c>
    </row>
    <row r="116" customFormat="false" ht="15" hidden="false" customHeight="false" outlineLevel="0" collapsed="false">
      <c r="A116" s="0" t="s">
        <v>236</v>
      </c>
      <c r="B116" s="0" t="s">
        <v>128</v>
      </c>
      <c r="C116" s="0" t="s">
        <v>117</v>
      </c>
      <c r="D116" s="0" t="n">
        <f aca="false">SUM(Q116:BP116)</f>
        <v>0</v>
      </c>
      <c r="E116" s="22" t="n">
        <v>0</v>
      </c>
      <c r="F116" s="22" t="n">
        <v>0</v>
      </c>
      <c r="G116" s="22" t="n">
        <v>0</v>
      </c>
      <c r="H116" s="22" t="n">
        <v>0</v>
      </c>
      <c r="I116" s="22" t="n">
        <v>0</v>
      </c>
      <c r="J116" s="22" t="n">
        <v>0</v>
      </c>
      <c r="K116" s="22" t="n">
        <v>0</v>
      </c>
      <c r="L116" s="22" t="n">
        <v>0</v>
      </c>
      <c r="M116" s="22" t="n">
        <v>0</v>
      </c>
      <c r="N116" s="22" t="n">
        <v>0</v>
      </c>
      <c r="O116" s="22" t="n">
        <v>0</v>
      </c>
      <c r="P116" s="22" t="n">
        <v>0</v>
      </c>
      <c r="Q116" s="7" t="n">
        <f aca="false">$E116</f>
        <v>0</v>
      </c>
      <c r="R116" s="7" t="n">
        <f aca="false">$E116</f>
        <v>0</v>
      </c>
      <c r="S116" s="7" t="n">
        <f aca="false">$E116</f>
        <v>0</v>
      </c>
      <c r="T116" s="7" t="n">
        <f aca="false">$E116</f>
        <v>0</v>
      </c>
      <c r="U116" s="7" t="n">
        <f aca="false">$E116</f>
        <v>0</v>
      </c>
      <c r="V116" s="7" t="n">
        <f aca="false">$F116</f>
        <v>0</v>
      </c>
      <c r="W116" s="7" t="n">
        <f aca="false">$F116</f>
        <v>0</v>
      </c>
      <c r="X116" s="7" t="n">
        <f aca="false">$F116</f>
        <v>0</v>
      </c>
      <c r="Y116" s="7" t="n">
        <f aca="false">$F116</f>
        <v>0</v>
      </c>
      <c r="Z116" s="7" t="n">
        <f aca="false">$G116</f>
        <v>0</v>
      </c>
      <c r="AA116" s="7" t="n">
        <f aca="false">$G116</f>
        <v>0</v>
      </c>
      <c r="AB116" s="7" t="n">
        <f aca="false">$G116</f>
        <v>0</v>
      </c>
      <c r="AC116" s="7" t="n">
        <f aca="false">$G116</f>
        <v>0</v>
      </c>
      <c r="AD116" s="7" t="n">
        <f aca="false">$H116</f>
        <v>0</v>
      </c>
      <c r="AE116" s="7" t="n">
        <f aca="false">$H116</f>
        <v>0</v>
      </c>
      <c r="AF116" s="7" t="n">
        <f aca="false">$H116</f>
        <v>0</v>
      </c>
      <c r="AG116" s="7" t="n">
        <f aca="false">$H116</f>
        <v>0</v>
      </c>
      <c r="AH116" s="7" t="n">
        <f aca="false">$H116</f>
        <v>0</v>
      </c>
      <c r="AI116" s="7" t="n">
        <f aca="false">$I116</f>
        <v>0</v>
      </c>
      <c r="AJ116" s="7" t="n">
        <f aca="false">$I116</f>
        <v>0</v>
      </c>
      <c r="AK116" s="7" t="n">
        <f aca="false">$I116</f>
        <v>0</v>
      </c>
      <c r="AL116" s="7" t="n">
        <f aca="false">$I116</f>
        <v>0</v>
      </c>
      <c r="AM116" s="7" t="n">
        <f aca="false">$J116</f>
        <v>0</v>
      </c>
      <c r="AN116" s="7" t="n">
        <f aca="false">$J116</f>
        <v>0</v>
      </c>
      <c r="AO116" s="7" t="n">
        <f aca="false">$J116</f>
        <v>0</v>
      </c>
      <c r="AP116" s="7" t="n">
        <f aca="false">$J116</f>
        <v>0</v>
      </c>
      <c r="AQ116" s="7" t="n">
        <f aca="false">$K116</f>
        <v>0</v>
      </c>
      <c r="AR116" s="7" t="n">
        <f aca="false">$K116</f>
        <v>0</v>
      </c>
      <c r="AS116" s="7" t="n">
        <f aca="false">$K116</f>
        <v>0</v>
      </c>
      <c r="AT116" s="7" t="n">
        <f aca="false">$K116</f>
        <v>0</v>
      </c>
      <c r="AU116" s="7" t="n">
        <f aca="false">$K116</f>
        <v>0</v>
      </c>
      <c r="AV116" s="7" t="n">
        <f aca="false">$L116</f>
        <v>0</v>
      </c>
      <c r="AW116" s="7" t="n">
        <f aca="false">$L116</f>
        <v>0</v>
      </c>
      <c r="AX116" s="7" t="n">
        <f aca="false">$L116</f>
        <v>0</v>
      </c>
      <c r="AY116" s="7" t="n">
        <f aca="false">$L116</f>
        <v>0</v>
      </c>
      <c r="AZ116" s="7" t="n">
        <f aca="false">$M116</f>
        <v>0</v>
      </c>
      <c r="BA116" s="7" t="n">
        <f aca="false">$M116</f>
        <v>0</v>
      </c>
      <c r="BB116" s="7" t="n">
        <f aca="false">$M116</f>
        <v>0</v>
      </c>
      <c r="BC116" s="7" t="n">
        <f aca="false">$M116</f>
        <v>0</v>
      </c>
      <c r="BD116" s="7" t="n">
        <f aca="false">$N116</f>
        <v>0</v>
      </c>
      <c r="BE116" s="7" t="n">
        <f aca="false">$N116</f>
        <v>0</v>
      </c>
      <c r="BF116" s="7" t="n">
        <f aca="false">$N116</f>
        <v>0</v>
      </c>
      <c r="BG116" s="7" t="n">
        <f aca="false">$N116</f>
        <v>0</v>
      </c>
      <c r="BH116" s="7" t="n">
        <f aca="false">$N116</f>
        <v>0</v>
      </c>
      <c r="BI116" s="7" t="n">
        <f aca="false">$O116</f>
        <v>0</v>
      </c>
      <c r="BJ116" s="7" t="n">
        <f aca="false">$O116</f>
        <v>0</v>
      </c>
      <c r="BK116" s="7" t="n">
        <f aca="false">$O116</f>
        <v>0</v>
      </c>
      <c r="BL116" s="7" t="n">
        <f aca="false">$O116</f>
        <v>0</v>
      </c>
      <c r="BM116" s="7" t="n">
        <f aca="false">$P116</f>
        <v>0</v>
      </c>
      <c r="BN116" s="7" t="n">
        <f aca="false">$P116</f>
        <v>0</v>
      </c>
      <c r="BO116" s="7" t="n">
        <f aca="false">$P116</f>
        <v>0</v>
      </c>
      <c r="BP116" s="7" t="n">
        <f aca="false">$P116</f>
        <v>0</v>
      </c>
    </row>
    <row r="117" customFormat="false" ht="15" hidden="false" customHeight="false" outlineLevel="0" collapsed="false">
      <c r="A117" s="0" t="s">
        <v>236</v>
      </c>
      <c r="B117" s="0" t="s">
        <v>128</v>
      </c>
      <c r="C117" s="0" t="s">
        <v>118</v>
      </c>
      <c r="D117" s="0" t="n">
        <f aca="false">SUM(Q117:BP117)</f>
        <v>0</v>
      </c>
      <c r="E117" s="22" t="n">
        <v>0</v>
      </c>
      <c r="F117" s="22" t="n">
        <v>0</v>
      </c>
      <c r="G117" s="22" t="n">
        <v>0</v>
      </c>
      <c r="H117" s="22" t="n">
        <v>0</v>
      </c>
      <c r="I117" s="22" t="n">
        <v>0</v>
      </c>
      <c r="J117" s="22" t="n">
        <v>0</v>
      </c>
      <c r="K117" s="22" t="n">
        <v>0</v>
      </c>
      <c r="L117" s="22" t="n">
        <v>0</v>
      </c>
      <c r="M117" s="22" t="n">
        <v>0</v>
      </c>
      <c r="N117" s="22" t="n">
        <v>0</v>
      </c>
      <c r="O117" s="22" t="n">
        <v>0</v>
      </c>
      <c r="P117" s="22" t="n">
        <v>0</v>
      </c>
      <c r="Q117" s="7" t="n">
        <f aca="false">$E117</f>
        <v>0</v>
      </c>
      <c r="R117" s="7" t="n">
        <f aca="false">$E117</f>
        <v>0</v>
      </c>
      <c r="S117" s="7" t="n">
        <f aca="false">$E117</f>
        <v>0</v>
      </c>
      <c r="T117" s="7" t="n">
        <f aca="false">$E117</f>
        <v>0</v>
      </c>
      <c r="U117" s="7" t="n">
        <f aca="false">$E117</f>
        <v>0</v>
      </c>
      <c r="V117" s="7" t="n">
        <f aca="false">$F117</f>
        <v>0</v>
      </c>
      <c r="W117" s="7" t="n">
        <f aca="false">$F117</f>
        <v>0</v>
      </c>
      <c r="X117" s="7" t="n">
        <f aca="false">$F117</f>
        <v>0</v>
      </c>
      <c r="Y117" s="7" t="n">
        <f aca="false">$F117</f>
        <v>0</v>
      </c>
      <c r="Z117" s="7" t="n">
        <f aca="false">$G117</f>
        <v>0</v>
      </c>
      <c r="AA117" s="7" t="n">
        <f aca="false">$G117</f>
        <v>0</v>
      </c>
      <c r="AB117" s="7" t="n">
        <f aca="false">$G117</f>
        <v>0</v>
      </c>
      <c r="AC117" s="7" t="n">
        <f aca="false">$G117</f>
        <v>0</v>
      </c>
      <c r="AD117" s="7" t="n">
        <f aca="false">$H117</f>
        <v>0</v>
      </c>
      <c r="AE117" s="7" t="n">
        <f aca="false">$H117</f>
        <v>0</v>
      </c>
      <c r="AF117" s="7" t="n">
        <f aca="false">$H117</f>
        <v>0</v>
      </c>
      <c r="AG117" s="7" t="n">
        <f aca="false">$H117</f>
        <v>0</v>
      </c>
      <c r="AH117" s="7" t="n">
        <f aca="false">$H117</f>
        <v>0</v>
      </c>
      <c r="AI117" s="7" t="n">
        <f aca="false">$I117</f>
        <v>0</v>
      </c>
      <c r="AJ117" s="7" t="n">
        <f aca="false">$I117</f>
        <v>0</v>
      </c>
      <c r="AK117" s="7" t="n">
        <f aca="false">$I117</f>
        <v>0</v>
      </c>
      <c r="AL117" s="7" t="n">
        <f aca="false">$I117</f>
        <v>0</v>
      </c>
      <c r="AM117" s="7" t="n">
        <f aca="false">$J117</f>
        <v>0</v>
      </c>
      <c r="AN117" s="7" t="n">
        <f aca="false">$J117</f>
        <v>0</v>
      </c>
      <c r="AO117" s="7" t="n">
        <f aca="false">$J117</f>
        <v>0</v>
      </c>
      <c r="AP117" s="7" t="n">
        <f aca="false">$J117</f>
        <v>0</v>
      </c>
      <c r="AQ117" s="7" t="n">
        <f aca="false">$K117</f>
        <v>0</v>
      </c>
      <c r="AR117" s="7" t="n">
        <f aca="false">$K117</f>
        <v>0</v>
      </c>
      <c r="AS117" s="7" t="n">
        <f aca="false">$K117</f>
        <v>0</v>
      </c>
      <c r="AT117" s="7" t="n">
        <f aca="false">$K117</f>
        <v>0</v>
      </c>
      <c r="AU117" s="7" t="n">
        <f aca="false">$K117</f>
        <v>0</v>
      </c>
      <c r="AV117" s="7" t="n">
        <f aca="false">$L117</f>
        <v>0</v>
      </c>
      <c r="AW117" s="7" t="n">
        <f aca="false">$L117</f>
        <v>0</v>
      </c>
      <c r="AX117" s="7" t="n">
        <f aca="false">$L117</f>
        <v>0</v>
      </c>
      <c r="AY117" s="7" t="n">
        <f aca="false">$L117</f>
        <v>0</v>
      </c>
      <c r="AZ117" s="7" t="n">
        <f aca="false">$M117</f>
        <v>0</v>
      </c>
      <c r="BA117" s="7" t="n">
        <f aca="false">$M117</f>
        <v>0</v>
      </c>
      <c r="BB117" s="7" t="n">
        <f aca="false">$M117</f>
        <v>0</v>
      </c>
      <c r="BC117" s="7" t="n">
        <f aca="false">$M117</f>
        <v>0</v>
      </c>
      <c r="BD117" s="7" t="n">
        <f aca="false">$N117</f>
        <v>0</v>
      </c>
      <c r="BE117" s="7" t="n">
        <f aca="false">$N117</f>
        <v>0</v>
      </c>
      <c r="BF117" s="7" t="n">
        <f aca="false">$N117</f>
        <v>0</v>
      </c>
      <c r="BG117" s="7" t="n">
        <f aca="false">$N117</f>
        <v>0</v>
      </c>
      <c r="BH117" s="7" t="n">
        <f aca="false">$N117</f>
        <v>0</v>
      </c>
      <c r="BI117" s="7" t="n">
        <f aca="false">$O117</f>
        <v>0</v>
      </c>
      <c r="BJ117" s="7" t="n">
        <f aca="false">$O117</f>
        <v>0</v>
      </c>
      <c r="BK117" s="7" t="n">
        <f aca="false">$O117</f>
        <v>0</v>
      </c>
      <c r="BL117" s="7" t="n">
        <f aca="false">$O117</f>
        <v>0</v>
      </c>
      <c r="BM117" s="7" t="n">
        <f aca="false">$P117</f>
        <v>0</v>
      </c>
      <c r="BN117" s="7" t="n">
        <f aca="false">$P117</f>
        <v>0</v>
      </c>
      <c r="BO117" s="7" t="n">
        <f aca="false">$P117</f>
        <v>0</v>
      </c>
      <c r="BP117" s="7" t="n">
        <f aca="false">$P117</f>
        <v>0</v>
      </c>
    </row>
    <row r="118" customFormat="false" ht="15" hidden="false" customHeight="false" outlineLevel="0" collapsed="false">
      <c r="A118" s="0" t="s">
        <v>236</v>
      </c>
      <c r="B118" s="0" t="s">
        <v>128</v>
      </c>
      <c r="C118" s="0" t="s">
        <v>119</v>
      </c>
      <c r="D118" s="0" t="n">
        <f aca="false">SUM(Q118:BP118)</f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7" t="n">
        <f aca="false">$E118</f>
        <v>0</v>
      </c>
      <c r="R118" s="7" t="n">
        <f aca="false">$E118</f>
        <v>0</v>
      </c>
      <c r="S118" s="7" t="n">
        <f aca="false">$E118</f>
        <v>0</v>
      </c>
      <c r="T118" s="7" t="n">
        <f aca="false">$E118</f>
        <v>0</v>
      </c>
      <c r="U118" s="7" t="n">
        <f aca="false">$E118</f>
        <v>0</v>
      </c>
      <c r="V118" s="7" t="n">
        <f aca="false">$F118</f>
        <v>0</v>
      </c>
      <c r="W118" s="7" t="n">
        <f aca="false">$F118</f>
        <v>0</v>
      </c>
      <c r="X118" s="7" t="n">
        <f aca="false">$F118</f>
        <v>0</v>
      </c>
      <c r="Y118" s="7" t="n">
        <f aca="false">$F118</f>
        <v>0</v>
      </c>
      <c r="Z118" s="7" t="n">
        <f aca="false">$G118</f>
        <v>0</v>
      </c>
      <c r="AA118" s="7" t="n">
        <f aca="false">$G118</f>
        <v>0</v>
      </c>
      <c r="AB118" s="7" t="n">
        <f aca="false">$G118</f>
        <v>0</v>
      </c>
      <c r="AC118" s="7" t="n">
        <f aca="false">$G118</f>
        <v>0</v>
      </c>
      <c r="AD118" s="7" t="n">
        <f aca="false">$H118</f>
        <v>0</v>
      </c>
      <c r="AE118" s="7" t="n">
        <f aca="false">$H118</f>
        <v>0</v>
      </c>
      <c r="AF118" s="7" t="n">
        <f aca="false">$H118</f>
        <v>0</v>
      </c>
      <c r="AG118" s="7" t="n">
        <f aca="false">$H118</f>
        <v>0</v>
      </c>
      <c r="AH118" s="7" t="n">
        <f aca="false">$H118</f>
        <v>0</v>
      </c>
      <c r="AI118" s="7" t="n">
        <f aca="false">$I118</f>
        <v>0</v>
      </c>
      <c r="AJ118" s="7" t="n">
        <f aca="false">$I118</f>
        <v>0</v>
      </c>
      <c r="AK118" s="7" t="n">
        <f aca="false">$I118</f>
        <v>0</v>
      </c>
      <c r="AL118" s="7" t="n">
        <f aca="false">$I118</f>
        <v>0</v>
      </c>
      <c r="AM118" s="7" t="n">
        <f aca="false">$J118</f>
        <v>0</v>
      </c>
      <c r="AN118" s="7" t="n">
        <f aca="false">$J118</f>
        <v>0</v>
      </c>
      <c r="AO118" s="7" t="n">
        <f aca="false">$J118</f>
        <v>0</v>
      </c>
      <c r="AP118" s="7" t="n">
        <f aca="false">$J118</f>
        <v>0</v>
      </c>
      <c r="AQ118" s="7" t="n">
        <f aca="false">$K118</f>
        <v>0</v>
      </c>
      <c r="AR118" s="7" t="n">
        <f aca="false">$K118</f>
        <v>0</v>
      </c>
      <c r="AS118" s="7" t="n">
        <f aca="false">$K118</f>
        <v>0</v>
      </c>
      <c r="AT118" s="7" t="n">
        <f aca="false">$K118</f>
        <v>0</v>
      </c>
      <c r="AU118" s="7" t="n">
        <f aca="false">$K118</f>
        <v>0</v>
      </c>
      <c r="AV118" s="7" t="n">
        <f aca="false">$L118</f>
        <v>0</v>
      </c>
      <c r="AW118" s="7" t="n">
        <f aca="false">$L118</f>
        <v>0</v>
      </c>
      <c r="AX118" s="7" t="n">
        <f aca="false">$L118</f>
        <v>0</v>
      </c>
      <c r="AY118" s="7" t="n">
        <f aca="false">$L118</f>
        <v>0</v>
      </c>
      <c r="AZ118" s="7" t="n">
        <f aca="false">$M118</f>
        <v>0</v>
      </c>
      <c r="BA118" s="7" t="n">
        <f aca="false">$M118</f>
        <v>0</v>
      </c>
      <c r="BB118" s="7" t="n">
        <f aca="false">$M118</f>
        <v>0</v>
      </c>
      <c r="BC118" s="7" t="n">
        <f aca="false">$M118</f>
        <v>0</v>
      </c>
      <c r="BD118" s="7" t="n">
        <f aca="false">$N118</f>
        <v>0</v>
      </c>
      <c r="BE118" s="7" t="n">
        <f aca="false">$N118</f>
        <v>0</v>
      </c>
      <c r="BF118" s="7" t="n">
        <f aca="false">$N118</f>
        <v>0</v>
      </c>
      <c r="BG118" s="7" t="n">
        <f aca="false">$N118</f>
        <v>0</v>
      </c>
      <c r="BH118" s="7" t="n">
        <f aca="false">$N118</f>
        <v>0</v>
      </c>
      <c r="BI118" s="7" t="n">
        <f aca="false">$O118</f>
        <v>0</v>
      </c>
      <c r="BJ118" s="7" t="n">
        <f aca="false">$O118</f>
        <v>0</v>
      </c>
      <c r="BK118" s="7" t="n">
        <f aca="false">$O118</f>
        <v>0</v>
      </c>
      <c r="BL118" s="7" t="n">
        <f aca="false">$O118</f>
        <v>0</v>
      </c>
      <c r="BM118" s="7" t="n">
        <f aca="false">$P118</f>
        <v>0</v>
      </c>
      <c r="BN118" s="7" t="n">
        <f aca="false">$P118</f>
        <v>0</v>
      </c>
      <c r="BO118" s="7" t="n">
        <f aca="false">$P118</f>
        <v>0</v>
      </c>
      <c r="BP118" s="7" t="n">
        <f aca="false">$P118</f>
        <v>0</v>
      </c>
    </row>
    <row r="119" customFormat="false" ht="15" hidden="false" customHeight="false" outlineLevel="0" collapsed="false">
      <c r="A119" s="0" t="s">
        <v>236</v>
      </c>
      <c r="B119" s="0" t="s">
        <v>128</v>
      </c>
      <c r="C119" s="0" t="s">
        <v>120</v>
      </c>
      <c r="D119" s="0" t="n">
        <f aca="false">SUM(Q119:BP119)</f>
        <v>0</v>
      </c>
      <c r="E119" s="13" t="n">
        <v>0</v>
      </c>
      <c r="F119" s="13" t="n">
        <v>0</v>
      </c>
      <c r="G119" s="13" t="n">
        <v>0</v>
      </c>
      <c r="H119" s="13" t="n">
        <v>0</v>
      </c>
      <c r="I119" s="13" t="n">
        <v>0</v>
      </c>
      <c r="J119" s="13" t="n">
        <v>0</v>
      </c>
      <c r="K119" s="13" t="n">
        <v>0</v>
      </c>
      <c r="L119" s="13" t="n">
        <v>0</v>
      </c>
      <c r="M119" s="13" t="n">
        <v>0</v>
      </c>
      <c r="N119" s="13" t="n">
        <v>0</v>
      </c>
      <c r="O119" s="13" t="n">
        <v>0</v>
      </c>
      <c r="P119" s="13" t="n">
        <v>0</v>
      </c>
      <c r="Q119" s="7" t="n">
        <f aca="false">$E119</f>
        <v>0</v>
      </c>
      <c r="R119" s="7" t="n">
        <f aca="false">$E119</f>
        <v>0</v>
      </c>
      <c r="S119" s="7" t="n">
        <f aca="false">$E119</f>
        <v>0</v>
      </c>
      <c r="T119" s="7" t="n">
        <f aca="false">$E119</f>
        <v>0</v>
      </c>
      <c r="U119" s="7" t="n">
        <f aca="false">$E119</f>
        <v>0</v>
      </c>
      <c r="V119" s="7" t="n">
        <f aca="false">$F119</f>
        <v>0</v>
      </c>
      <c r="W119" s="7" t="n">
        <f aca="false">$F119</f>
        <v>0</v>
      </c>
      <c r="X119" s="7" t="n">
        <f aca="false">$F119</f>
        <v>0</v>
      </c>
      <c r="Y119" s="7" t="n">
        <f aca="false">$F119</f>
        <v>0</v>
      </c>
      <c r="Z119" s="7" t="n">
        <f aca="false">$G119</f>
        <v>0</v>
      </c>
      <c r="AA119" s="7" t="n">
        <f aca="false">$G119</f>
        <v>0</v>
      </c>
      <c r="AB119" s="7" t="n">
        <f aca="false">$G119</f>
        <v>0</v>
      </c>
      <c r="AC119" s="7" t="n">
        <f aca="false">$G119</f>
        <v>0</v>
      </c>
      <c r="AD119" s="7" t="n">
        <f aca="false">$H119</f>
        <v>0</v>
      </c>
      <c r="AE119" s="7" t="n">
        <f aca="false">$H119</f>
        <v>0</v>
      </c>
      <c r="AF119" s="7" t="n">
        <f aca="false">$H119</f>
        <v>0</v>
      </c>
      <c r="AG119" s="7" t="n">
        <f aca="false">$H119</f>
        <v>0</v>
      </c>
      <c r="AH119" s="7" t="n">
        <f aca="false">$H119</f>
        <v>0</v>
      </c>
      <c r="AI119" s="7" t="n">
        <f aca="false">$I119</f>
        <v>0</v>
      </c>
      <c r="AJ119" s="7" t="n">
        <f aca="false">$I119</f>
        <v>0</v>
      </c>
      <c r="AK119" s="7" t="n">
        <f aca="false">$I119</f>
        <v>0</v>
      </c>
      <c r="AL119" s="7" t="n">
        <f aca="false">$I119</f>
        <v>0</v>
      </c>
      <c r="AM119" s="7" t="n">
        <f aca="false">$J119</f>
        <v>0</v>
      </c>
      <c r="AN119" s="7" t="n">
        <f aca="false">$J119</f>
        <v>0</v>
      </c>
      <c r="AO119" s="7" t="n">
        <f aca="false">$J119</f>
        <v>0</v>
      </c>
      <c r="AP119" s="7" t="n">
        <f aca="false">$J119</f>
        <v>0</v>
      </c>
      <c r="AQ119" s="7" t="n">
        <f aca="false">$K119</f>
        <v>0</v>
      </c>
      <c r="AR119" s="7" t="n">
        <f aca="false">$K119</f>
        <v>0</v>
      </c>
      <c r="AS119" s="7" t="n">
        <f aca="false">$K119</f>
        <v>0</v>
      </c>
      <c r="AT119" s="7" t="n">
        <f aca="false">$K119</f>
        <v>0</v>
      </c>
      <c r="AU119" s="7" t="n">
        <f aca="false">$K119</f>
        <v>0</v>
      </c>
      <c r="AV119" s="7" t="n">
        <f aca="false">$L119</f>
        <v>0</v>
      </c>
      <c r="AW119" s="7" t="n">
        <f aca="false">$L119</f>
        <v>0</v>
      </c>
      <c r="AX119" s="7" t="n">
        <f aca="false">$L119</f>
        <v>0</v>
      </c>
      <c r="AY119" s="7" t="n">
        <f aca="false">$L119</f>
        <v>0</v>
      </c>
      <c r="AZ119" s="7" t="n">
        <f aca="false">$M119</f>
        <v>0</v>
      </c>
      <c r="BA119" s="7" t="n">
        <f aca="false">$M119</f>
        <v>0</v>
      </c>
      <c r="BB119" s="7" t="n">
        <f aca="false">$M119</f>
        <v>0</v>
      </c>
      <c r="BC119" s="7" t="n">
        <f aca="false">$M119</f>
        <v>0</v>
      </c>
      <c r="BD119" s="7" t="n">
        <f aca="false">$N119</f>
        <v>0</v>
      </c>
      <c r="BE119" s="7" t="n">
        <f aca="false">$N119</f>
        <v>0</v>
      </c>
      <c r="BF119" s="7" t="n">
        <f aca="false">$N119</f>
        <v>0</v>
      </c>
      <c r="BG119" s="7" t="n">
        <f aca="false">$N119</f>
        <v>0</v>
      </c>
      <c r="BH119" s="7" t="n">
        <f aca="false">$N119</f>
        <v>0</v>
      </c>
      <c r="BI119" s="7" t="n">
        <f aca="false">$O119</f>
        <v>0</v>
      </c>
      <c r="BJ119" s="7" t="n">
        <f aca="false">$O119</f>
        <v>0</v>
      </c>
      <c r="BK119" s="7" t="n">
        <f aca="false">$O119</f>
        <v>0</v>
      </c>
      <c r="BL119" s="7" t="n">
        <f aca="false">$O119</f>
        <v>0</v>
      </c>
      <c r="BM119" s="7" t="n">
        <f aca="false">$P119</f>
        <v>0</v>
      </c>
      <c r="BN119" s="7" t="n">
        <f aca="false">$P119</f>
        <v>0</v>
      </c>
      <c r="BO119" s="7" t="n">
        <f aca="false">$P119</f>
        <v>0</v>
      </c>
      <c r="BP119" s="7" t="n">
        <f aca="false">$P119</f>
        <v>0</v>
      </c>
    </row>
    <row r="120" customFormat="false" ht="15" hidden="false" customHeight="false" outlineLevel="0" collapsed="false">
      <c r="A120" s="0" t="s">
        <v>236</v>
      </c>
      <c r="B120" s="0" t="s">
        <v>128</v>
      </c>
      <c r="C120" s="0" t="s">
        <v>121</v>
      </c>
      <c r="D120" s="0" t="n">
        <f aca="false">SUM(Q120:BP120)</f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7" t="n">
        <f aca="false">$E120</f>
        <v>0</v>
      </c>
      <c r="R120" s="7" t="n">
        <f aca="false">$E120</f>
        <v>0</v>
      </c>
      <c r="S120" s="7" t="n">
        <f aca="false">$E120</f>
        <v>0</v>
      </c>
      <c r="T120" s="7" t="n">
        <f aca="false">$E120</f>
        <v>0</v>
      </c>
      <c r="U120" s="7" t="n">
        <f aca="false">$E120</f>
        <v>0</v>
      </c>
      <c r="V120" s="7" t="n">
        <f aca="false">$F120</f>
        <v>0</v>
      </c>
      <c r="W120" s="7" t="n">
        <f aca="false">$F120</f>
        <v>0</v>
      </c>
      <c r="X120" s="7" t="n">
        <f aca="false">$F120</f>
        <v>0</v>
      </c>
      <c r="Y120" s="7" t="n">
        <f aca="false">$F120</f>
        <v>0</v>
      </c>
      <c r="Z120" s="7" t="n">
        <f aca="false">$G120</f>
        <v>0</v>
      </c>
      <c r="AA120" s="7" t="n">
        <f aca="false">$G120</f>
        <v>0</v>
      </c>
      <c r="AB120" s="7" t="n">
        <f aca="false">$G120</f>
        <v>0</v>
      </c>
      <c r="AC120" s="7" t="n">
        <f aca="false">$G120</f>
        <v>0</v>
      </c>
      <c r="AD120" s="7" t="n">
        <f aca="false">$H120</f>
        <v>0</v>
      </c>
      <c r="AE120" s="7" t="n">
        <f aca="false">$H120</f>
        <v>0</v>
      </c>
      <c r="AF120" s="7" t="n">
        <f aca="false">$H120</f>
        <v>0</v>
      </c>
      <c r="AG120" s="7" t="n">
        <f aca="false">$H120</f>
        <v>0</v>
      </c>
      <c r="AH120" s="7" t="n">
        <f aca="false">$H120</f>
        <v>0</v>
      </c>
      <c r="AI120" s="7" t="n">
        <f aca="false">$I120</f>
        <v>0</v>
      </c>
      <c r="AJ120" s="7" t="n">
        <f aca="false">$I120</f>
        <v>0</v>
      </c>
      <c r="AK120" s="7" t="n">
        <f aca="false">$I120</f>
        <v>0</v>
      </c>
      <c r="AL120" s="7" t="n">
        <f aca="false">$I120</f>
        <v>0</v>
      </c>
      <c r="AM120" s="7" t="n">
        <f aca="false">$J120</f>
        <v>0</v>
      </c>
      <c r="AN120" s="7" t="n">
        <f aca="false">$J120</f>
        <v>0</v>
      </c>
      <c r="AO120" s="7" t="n">
        <f aca="false">$J120</f>
        <v>0</v>
      </c>
      <c r="AP120" s="7" t="n">
        <f aca="false">$J120</f>
        <v>0</v>
      </c>
      <c r="AQ120" s="7" t="n">
        <f aca="false">$K120</f>
        <v>0</v>
      </c>
      <c r="AR120" s="7" t="n">
        <f aca="false">$K120</f>
        <v>0</v>
      </c>
      <c r="AS120" s="7" t="n">
        <f aca="false">$K120</f>
        <v>0</v>
      </c>
      <c r="AT120" s="7" t="n">
        <f aca="false">$K120</f>
        <v>0</v>
      </c>
      <c r="AU120" s="7" t="n">
        <f aca="false">$K120</f>
        <v>0</v>
      </c>
      <c r="AV120" s="7" t="n">
        <f aca="false">$L120</f>
        <v>0</v>
      </c>
      <c r="AW120" s="7" t="n">
        <f aca="false">$L120</f>
        <v>0</v>
      </c>
      <c r="AX120" s="7" t="n">
        <f aca="false">$L120</f>
        <v>0</v>
      </c>
      <c r="AY120" s="7" t="n">
        <f aca="false">$L120</f>
        <v>0</v>
      </c>
      <c r="AZ120" s="7" t="n">
        <f aca="false">$M120</f>
        <v>0</v>
      </c>
      <c r="BA120" s="7" t="n">
        <f aca="false">$M120</f>
        <v>0</v>
      </c>
      <c r="BB120" s="7" t="n">
        <f aca="false">$M120</f>
        <v>0</v>
      </c>
      <c r="BC120" s="7" t="n">
        <f aca="false">$M120</f>
        <v>0</v>
      </c>
      <c r="BD120" s="7" t="n">
        <f aca="false">$N120</f>
        <v>0</v>
      </c>
      <c r="BE120" s="7" t="n">
        <f aca="false">$N120</f>
        <v>0</v>
      </c>
      <c r="BF120" s="7" t="n">
        <f aca="false">$N120</f>
        <v>0</v>
      </c>
      <c r="BG120" s="7" t="n">
        <f aca="false">$N120</f>
        <v>0</v>
      </c>
      <c r="BH120" s="7" t="n">
        <f aca="false">$N120</f>
        <v>0</v>
      </c>
      <c r="BI120" s="7" t="n">
        <f aca="false">$O120</f>
        <v>0</v>
      </c>
      <c r="BJ120" s="7" t="n">
        <f aca="false">$O120</f>
        <v>0</v>
      </c>
      <c r="BK120" s="7" t="n">
        <f aca="false">$O120</f>
        <v>0</v>
      </c>
      <c r="BL120" s="7" t="n">
        <f aca="false">$O120</f>
        <v>0</v>
      </c>
      <c r="BM120" s="7" t="n">
        <f aca="false">$P120</f>
        <v>0</v>
      </c>
      <c r="BN120" s="7" t="n">
        <f aca="false">$P120</f>
        <v>0</v>
      </c>
      <c r="BO120" s="7" t="n">
        <f aca="false">$P120</f>
        <v>0</v>
      </c>
      <c r="BP120" s="7" t="n">
        <f aca="false">$P120</f>
        <v>0</v>
      </c>
    </row>
    <row r="121" customFormat="false" ht="15" hidden="false" customHeight="false" outlineLevel="0" collapsed="false">
      <c r="A121" s="0" t="s">
        <v>236</v>
      </c>
      <c r="B121" s="0" t="s">
        <v>128</v>
      </c>
      <c r="C121" s="0" t="s">
        <v>122</v>
      </c>
      <c r="D121" s="0" t="n">
        <f aca="false">SUM(Q121:BP121)</f>
        <v>0</v>
      </c>
      <c r="E121" s="13" t="n">
        <v>0</v>
      </c>
      <c r="F121" s="13" t="n">
        <v>0</v>
      </c>
      <c r="G121" s="13" t="n">
        <v>0</v>
      </c>
      <c r="H121" s="13" t="n">
        <v>0</v>
      </c>
      <c r="I121" s="13" t="n">
        <v>0</v>
      </c>
      <c r="J121" s="13" t="n">
        <v>0</v>
      </c>
      <c r="K121" s="13" t="n">
        <v>0</v>
      </c>
      <c r="L121" s="13" t="n">
        <v>0</v>
      </c>
      <c r="M121" s="13" t="n">
        <v>0</v>
      </c>
      <c r="N121" s="13" t="n">
        <v>0</v>
      </c>
      <c r="O121" s="13" t="n">
        <v>0</v>
      </c>
      <c r="P121" s="13" t="n">
        <v>0</v>
      </c>
      <c r="Q121" s="7" t="n">
        <f aca="false">$E121</f>
        <v>0</v>
      </c>
      <c r="R121" s="7" t="n">
        <f aca="false">$E121</f>
        <v>0</v>
      </c>
      <c r="S121" s="7" t="n">
        <f aca="false">$E121</f>
        <v>0</v>
      </c>
      <c r="T121" s="7" t="n">
        <f aca="false">$E121</f>
        <v>0</v>
      </c>
      <c r="U121" s="7" t="n">
        <f aca="false">$E121</f>
        <v>0</v>
      </c>
      <c r="V121" s="7" t="n">
        <f aca="false">$F121</f>
        <v>0</v>
      </c>
      <c r="W121" s="7" t="n">
        <f aca="false">$F121</f>
        <v>0</v>
      </c>
      <c r="X121" s="7" t="n">
        <f aca="false">$F121</f>
        <v>0</v>
      </c>
      <c r="Y121" s="7" t="n">
        <f aca="false">$F121</f>
        <v>0</v>
      </c>
      <c r="Z121" s="7" t="n">
        <f aca="false">$G121</f>
        <v>0</v>
      </c>
      <c r="AA121" s="7" t="n">
        <f aca="false">$G121</f>
        <v>0</v>
      </c>
      <c r="AB121" s="7" t="n">
        <f aca="false">$G121</f>
        <v>0</v>
      </c>
      <c r="AC121" s="7" t="n">
        <f aca="false">$G121</f>
        <v>0</v>
      </c>
      <c r="AD121" s="7" t="n">
        <f aca="false">$H121</f>
        <v>0</v>
      </c>
      <c r="AE121" s="7" t="n">
        <f aca="false">$H121</f>
        <v>0</v>
      </c>
      <c r="AF121" s="7" t="n">
        <f aca="false">$H121</f>
        <v>0</v>
      </c>
      <c r="AG121" s="7" t="n">
        <f aca="false">$H121</f>
        <v>0</v>
      </c>
      <c r="AH121" s="7" t="n">
        <f aca="false">$H121</f>
        <v>0</v>
      </c>
      <c r="AI121" s="7" t="n">
        <f aca="false">$I121</f>
        <v>0</v>
      </c>
      <c r="AJ121" s="7" t="n">
        <f aca="false">$I121</f>
        <v>0</v>
      </c>
      <c r="AK121" s="7" t="n">
        <f aca="false">$I121</f>
        <v>0</v>
      </c>
      <c r="AL121" s="7" t="n">
        <f aca="false">$I121</f>
        <v>0</v>
      </c>
      <c r="AM121" s="7" t="n">
        <f aca="false">$J121</f>
        <v>0</v>
      </c>
      <c r="AN121" s="7" t="n">
        <f aca="false">$J121</f>
        <v>0</v>
      </c>
      <c r="AO121" s="7" t="n">
        <f aca="false">$J121</f>
        <v>0</v>
      </c>
      <c r="AP121" s="7" t="n">
        <f aca="false">$J121</f>
        <v>0</v>
      </c>
      <c r="AQ121" s="7" t="n">
        <f aca="false">$K121</f>
        <v>0</v>
      </c>
      <c r="AR121" s="7" t="n">
        <f aca="false">$K121</f>
        <v>0</v>
      </c>
      <c r="AS121" s="7" t="n">
        <f aca="false">$K121</f>
        <v>0</v>
      </c>
      <c r="AT121" s="7" t="n">
        <f aca="false">$K121</f>
        <v>0</v>
      </c>
      <c r="AU121" s="7" t="n">
        <f aca="false">$K121</f>
        <v>0</v>
      </c>
      <c r="AV121" s="7" t="n">
        <f aca="false">$L121</f>
        <v>0</v>
      </c>
      <c r="AW121" s="7" t="n">
        <f aca="false">$L121</f>
        <v>0</v>
      </c>
      <c r="AX121" s="7" t="n">
        <f aca="false">$L121</f>
        <v>0</v>
      </c>
      <c r="AY121" s="7" t="n">
        <f aca="false">$L121</f>
        <v>0</v>
      </c>
      <c r="AZ121" s="7" t="n">
        <f aca="false">$M121</f>
        <v>0</v>
      </c>
      <c r="BA121" s="7" t="n">
        <f aca="false">$M121</f>
        <v>0</v>
      </c>
      <c r="BB121" s="7" t="n">
        <f aca="false">$M121</f>
        <v>0</v>
      </c>
      <c r="BC121" s="7" t="n">
        <f aca="false">$M121</f>
        <v>0</v>
      </c>
      <c r="BD121" s="7" t="n">
        <f aca="false">$N121</f>
        <v>0</v>
      </c>
      <c r="BE121" s="7" t="n">
        <f aca="false">$N121</f>
        <v>0</v>
      </c>
      <c r="BF121" s="7" t="n">
        <f aca="false">$N121</f>
        <v>0</v>
      </c>
      <c r="BG121" s="7" t="n">
        <f aca="false">$N121</f>
        <v>0</v>
      </c>
      <c r="BH121" s="7" t="n">
        <f aca="false">$N121</f>
        <v>0</v>
      </c>
      <c r="BI121" s="7" t="n">
        <f aca="false">$O121</f>
        <v>0</v>
      </c>
      <c r="BJ121" s="7" t="n">
        <f aca="false">$O121</f>
        <v>0</v>
      </c>
      <c r="BK121" s="7" t="n">
        <f aca="false">$O121</f>
        <v>0</v>
      </c>
      <c r="BL121" s="7" t="n">
        <f aca="false">$O121</f>
        <v>0</v>
      </c>
      <c r="BM121" s="7" t="n">
        <f aca="false">$P121</f>
        <v>0</v>
      </c>
      <c r="BN121" s="7" t="n">
        <f aca="false">$P121</f>
        <v>0</v>
      </c>
      <c r="BO121" s="7" t="n">
        <f aca="false">$P121</f>
        <v>0</v>
      </c>
      <c r="BP121" s="7" t="n">
        <f aca="false">$P121</f>
        <v>0</v>
      </c>
    </row>
    <row r="122" customFormat="false" ht="15" hidden="false" customHeight="false" outlineLevel="0" collapsed="false">
      <c r="A122" s="0" t="s">
        <v>236</v>
      </c>
      <c r="B122" s="0" t="s">
        <v>128</v>
      </c>
      <c r="C122" s="0" t="s">
        <v>123</v>
      </c>
      <c r="D122" s="0" t="n">
        <f aca="false">SUM(Q122:BP122)</f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7" t="n">
        <f aca="false">$E122</f>
        <v>0</v>
      </c>
      <c r="R122" s="7" t="n">
        <f aca="false">$E122</f>
        <v>0</v>
      </c>
      <c r="S122" s="7" t="n">
        <f aca="false">$E122</f>
        <v>0</v>
      </c>
      <c r="T122" s="7" t="n">
        <f aca="false">$E122</f>
        <v>0</v>
      </c>
      <c r="U122" s="7" t="n">
        <f aca="false">$E122</f>
        <v>0</v>
      </c>
      <c r="V122" s="7" t="n">
        <f aca="false">$F122</f>
        <v>0</v>
      </c>
      <c r="W122" s="7" t="n">
        <f aca="false">$F122</f>
        <v>0</v>
      </c>
      <c r="X122" s="7" t="n">
        <f aca="false">$F122</f>
        <v>0</v>
      </c>
      <c r="Y122" s="7" t="n">
        <f aca="false">$F122</f>
        <v>0</v>
      </c>
      <c r="Z122" s="7" t="n">
        <f aca="false">$G122</f>
        <v>0</v>
      </c>
      <c r="AA122" s="7" t="n">
        <f aca="false">$G122</f>
        <v>0</v>
      </c>
      <c r="AB122" s="7" t="n">
        <f aca="false">$G122</f>
        <v>0</v>
      </c>
      <c r="AC122" s="7" t="n">
        <f aca="false">$G122</f>
        <v>0</v>
      </c>
      <c r="AD122" s="7" t="n">
        <f aca="false">$H122</f>
        <v>0</v>
      </c>
      <c r="AE122" s="7" t="n">
        <f aca="false">$H122</f>
        <v>0</v>
      </c>
      <c r="AF122" s="7" t="n">
        <f aca="false">$H122</f>
        <v>0</v>
      </c>
      <c r="AG122" s="7" t="n">
        <f aca="false">$H122</f>
        <v>0</v>
      </c>
      <c r="AH122" s="7" t="n">
        <f aca="false">$H122</f>
        <v>0</v>
      </c>
      <c r="AI122" s="7" t="n">
        <f aca="false">$I122</f>
        <v>0</v>
      </c>
      <c r="AJ122" s="7" t="n">
        <f aca="false">$I122</f>
        <v>0</v>
      </c>
      <c r="AK122" s="7" t="n">
        <f aca="false">$I122</f>
        <v>0</v>
      </c>
      <c r="AL122" s="7" t="n">
        <f aca="false">$I122</f>
        <v>0</v>
      </c>
      <c r="AM122" s="7" t="n">
        <f aca="false">$J122</f>
        <v>0</v>
      </c>
      <c r="AN122" s="7" t="n">
        <f aca="false">$J122</f>
        <v>0</v>
      </c>
      <c r="AO122" s="7" t="n">
        <f aca="false">$J122</f>
        <v>0</v>
      </c>
      <c r="AP122" s="7" t="n">
        <f aca="false">$J122</f>
        <v>0</v>
      </c>
      <c r="AQ122" s="7" t="n">
        <f aca="false">$K122</f>
        <v>0</v>
      </c>
      <c r="AR122" s="7" t="n">
        <f aca="false">$K122</f>
        <v>0</v>
      </c>
      <c r="AS122" s="7" t="n">
        <f aca="false">$K122</f>
        <v>0</v>
      </c>
      <c r="AT122" s="7" t="n">
        <f aca="false">$K122</f>
        <v>0</v>
      </c>
      <c r="AU122" s="7" t="n">
        <f aca="false">$K122</f>
        <v>0</v>
      </c>
      <c r="AV122" s="7" t="n">
        <f aca="false">$L122</f>
        <v>0</v>
      </c>
      <c r="AW122" s="7" t="n">
        <f aca="false">$L122</f>
        <v>0</v>
      </c>
      <c r="AX122" s="7" t="n">
        <f aca="false">$L122</f>
        <v>0</v>
      </c>
      <c r="AY122" s="7" t="n">
        <f aca="false">$L122</f>
        <v>0</v>
      </c>
      <c r="AZ122" s="7" t="n">
        <f aca="false">$M122</f>
        <v>0</v>
      </c>
      <c r="BA122" s="7" t="n">
        <f aca="false">$M122</f>
        <v>0</v>
      </c>
      <c r="BB122" s="7" t="n">
        <f aca="false">$M122</f>
        <v>0</v>
      </c>
      <c r="BC122" s="7" t="n">
        <f aca="false">$M122</f>
        <v>0</v>
      </c>
      <c r="BD122" s="7" t="n">
        <f aca="false">$N122</f>
        <v>0</v>
      </c>
      <c r="BE122" s="7" t="n">
        <f aca="false">$N122</f>
        <v>0</v>
      </c>
      <c r="BF122" s="7" t="n">
        <f aca="false">$N122</f>
        <v>0</v>
      </c>
      <c r="BG122" s="7" t="n">
        <f aca="false">$N122</f>
        <v>0</v>
      </c>
      <c r="BH122" s="7" t="n">
        <f aca="false">$N122</f>
        <v>0</v>
      </c>
      <c r="BI122" s="7" t="n">
        <f aca="false">$O122</f>
        <v>0</v>
      </c>
      <c r="BJ122" s="7" t="n">
        <f aca="false">$O122</f>
        <v>0</v>
      </c>
      <c r="BK122" s="7" t="n">
        <f aca="false">$O122</f>
        <v>0</v>
      </c>
      <c r="BL122" s="7" t="n">
        <f aca="false">$O122</f>
        <v>0</v>
      </c>
      <c r="BM122" s="7" t="n">
        <f aca="false">$P122</f>
        <v>0</v>
      </c>
      <c r="BN122" s="7" t="n">
        <f aca="false">$P122</f>
        <v>0</v>
      </c>
      <c r="BO122" s="7" t="n">
        <f aca="false">$P122</f>
        <v>0</v>
      </c>
      <c r="BP122" s="7" t="n">
        <f aca="false">$P122</f>
        <v>0</v>
      </c>
    </row>
    <row r="123" customFormat="false" ht="15" hidden="false" customHeight="false" outlineLevel="0" collapsed="false">
      <c r="A123" s="0" t="s">
        <v>236</v>
      </c>
      <c r="B123" s="0" t="s">
        <v>129</v>
      </c>
      <c r="C123" s="0" t="s">
        <v>115</v>
      </c>
      <c r="D123" s="0" t="n">
        <f aca="false">SUM(Q123:BP123)</f>
        <v>0</v>
      </c>
      <c r="E123" s="22" t="n">
        <v>0</v>
      </c>
      <c r="F123" s="22" t="n">
        <v>0</v>
      </c>
      <c r="G123" s="22" t="n">
        <v>0</v>
      </c>
      <c r="H123" s="22" t="n">
        <v>0</v>
      </c>
      <c r="I123" s="22" t="n">
        <v>0</v>
      </c>
      <c r="J123" s="22" t="n">
        <v>0</v>
      </c>
      <c r="K123" s="22" t="n">
        <v>0</v>
      </c>
      <c r="L123" s="22" t="n">
        <v>0</v>
      </c>
      <c r="M123" s="22" t="n">
        <v>0</v>
      </c>
      <c r="N123" s="22" t="n">
        <v>0</v>
      </c>
      <c r="O123" s="22" t="n">
        <v>0</v>
      </c>
      <c r="P123" s="22" t="n">
        <v>0</v>
      </c>
      <c r="Q123" s="7" t="n">
        <f aca="false">$E123</f>
        <v>0</v>
      </c>
      <c r="R123" s="7" t="n">
        <f aca="false">$E123</f>
        <v>0</v>
      </c>
      <c r="S123" s="7" t="n">
        <f aca="false">$E123</f>
        <v>0</v>
      </c>
      <c r="T123" s="7" t="n">
        <f aca="false">$E123</f>
        <v>0</v>
      </c>
      <c r="U123" s="7" t="n">
        <f aca="false">$E123</f>
        <v>0</v>
      </c>
      <c r="V123" s="7" t="n">
        <f aca="false">$F123</f>
        <v>0</v>
      </c>
      <c r="W123" s="7" t="n">
        <f aca="false">$F123</f>
        <v>0</v>
      </c>
      <c r="X123" s="7" t="n">
        <f aca="false">$F123</f>
        <v>0</v>
      </c>
      <c r="Y123" s="7" t="n">
        <f aca="false">$F123</f>
        <v>0</v>
      </c>
      <c r="Z123" s="7" t="n">
        <f aca="false">$G123</f>
        <v>0</v>
      </c>
      <c r="AA123" s="7" t="n">
        <f aca="false">$G123</f>
        <v>0</v>
      </c>
      <c r="AB123" s="7" t="n">
        <f aca="false">$G123</f>
        <v>0</v>
      </c>
      <c r="AC123" s="7" t="n">
        <f aca="false">$G123</f>
        <v>0</v>
      </c>
      <c r="AD123" s="7" t="n">
        <f aca="false">$H123</f>
        <v>0</v>
      </c>
      <c r="AE123" s="7" t="n">
        <f aca="false">$H123</f>
        <v>0</v>
      </c>
      <c r="AF123" s="7" t="n">
        <f aca="false">$H123</f>
        <v>0</v>
      </c>
      <c r="AG123" s="7" t="n">
        <f aca="false">$H123</f>
        <v>0</v>
      </c>
      <c r="AH123" s="7" t="n">
        <f aca="false">$H123</f>
        <v>0</v>
      </c>
      <c r="AI123" s="7" t="n">
        <f aca="false">$I123</f>
        <v>0</v>
      </c>
      <c r="AJ123" s="7" t="n">
        <f aca="false">$I123</f>
        <v>0</v>
      </c>
      <c r="AK123" s="7" t="n">
        <f aca="false">$I123</f>
        <v>0</v>
      </c>
      <c r="AL123" s="7" t="n">
        <f aca="false">$I123</f>
        <v>0</v>
      </c>
      <c r="AM123" s="7" t="n">
        <f aca="false">$J123</f>
        <v>0</v>
      </c>
      <c r="AN123" s="7" t="n">
        <f aca="false">$J123</f>
        <v>0</v>
      </c>
      <c r="AO123" s="7" t="n">
        <f aca="false">$J123</f>
        <v>0</v>
      </c>
      <c r="AP123" s="7" t="n">
        <f aca="false">$J123</f>
        <v>0</v>
      </c>
      <c r="AQ123" s="7" t="n">
        <f aca="false">$K123</f>
        <v>0</v>
      </c>
      <c r="AR123" s="7" t="n">
        <f aca="false">$K123</f>
        <v>0</v>
      </c>
      <c r="AS123" s="7" t="n">
        <f aca="false">$K123</f>
        <v>0</v>
      </c>
      <c r="AT123" s="7" t="n">
        <f aca="false">$K123</f>
        <v>0</v>
      </c>
      <c r="AU123" s="7" t="n">
        <f aca="false">$K123</f>
        <v>0</v>
      </c>
      <c r="AV123" s="7" t="n">
        <f aca="false">$L123</f>
        <v>0</v>
      </c>
      <c r="AW123" s="7" t="n">
        <f aca="false">$L123</f>
        <v>0</v>
      </c>
      <c r="AX123" s="7" t="n">
        <f aca="false">$L123</f>
        <v>0</v>
      </c>
      <c r="AY123" s="7" t="n">
        <f aca="false">$L123</f>
        <v>0</v>
      </c>
      <c r="AZ123" s="7" t="n">
        <f aca="false">$M123</f>
        <v>0</v>
      </c>
      <c r="BA123" s="7" t="n">
        <f aca="false">$M123</f>
        <v>0</v>
      </c>
      <c r="BB123" s="7" t="n">
        <f aca="false">$M123</f>
        <v>0</v>
      </c>
      <c r="BC123" s="7" t="n">
        <f aca="false">$M123</f>
        <v>0</v>
      </c>
      <c r="BD123" s="7" t="n">
        <f aca="false">$N123</f>
        <v>0</v>
      </c>
      <c r="BE123" s="7" t="n">
        <f aca="false">$N123</f>
        <v>0</v>
      </c>
      <c r="BF123" s="7" t="n">
        <f aca="false">$N123</f>
        <v>0</v>
      </c>
      <c r="BG123" s="7" t="n">
        <f aca="false">$N123</f>
        <v>0</v>
      </c>
      <c r="BH123" s="7" t="n">
        <f aca="false">$N123</f>
        <v>0</v>
      </c>
      <c r="BI123" s="7" t="n">
        <f aca="false">$O123</f>
        <v>0</v>
      </c>
      <c r="BJ123" s="7" t="n">
        <f aca="false">$O123</f>
        <v>0</v>
      </c>
      <c r="BK123" s="7" t="n">
        <f aca="false">$O123</f>
        <v>0</v>
      </c>
      <c r="BL123" s="7" t="n">
        <f aca="false">$O123</f>
        <v>0</v>
      </c>
      <c r="BM123" s="7" t="n">
        <f aca="false">$P123</f>
        <v>0</v>
      </c>
      <c r="BN123" s="7" t="n">
        <f aca="false">$P123</f>
        <v>0</v>
      </c>
      <c r="BO123" s="7" t="n">
        <f aca="false">$P123</f>
        <v>0</v>
      </c>
      <c r="BP123" s="7" t="n">
        <f aca="false">$P123</f>
        <v>0</v>
      </c>
    </row>
    <row r="124" customFormat="false" ht="15" hidden="false" customHeight="false" outlineLevel="0" collapsed="false">
      <c r="A124" s="0" t="s">
        <v>236</v>
      </c>
      <c r="B124" s="0" t="s">
        <v>129</v>
      </c>
      <c r="C124" s="0" t="s">
        <v>116</v>
      </c>
      <c r="D124" s="0" t="n">
        <f aca="false">SUM(Q124:BP124)</f>
        <v>0</v>
      </c>
      <c r="E124" s="22" t="n">
        <v>0</v>
      </c>
      <c r="F124" s="22" t="n">
        <v>0</v>
      </c>
      <c r="G124" s="22" t="n">
        <v>0</v>
      </c>
      <c r="H124" s="22" t="n">
        <v>0</v>
      </c>
      <c r="I124" s="22" t="n">
        <v>0</v>
      </c>
      <c r="J124" s="22" t="n">
        <v>0</v>
      </c>
      <c r="K124" s="22" t="n">
        <v>0</v>
      </c>
      <c r="L124" s="22" t="n">
        <v>0</v>
      </c>
      <c r="M124" s="22" t="n">
        <v>0</v>
      </c>
      <c r="N124" s="22" t="n">
        <v>0</v>
      </c>
      <c r="O124" s="22" t="n">
        <v>0</v>
      </c>
      <c r="P124" s="22" t="n">
        <v>0</v>
      </c>
      <c r="Q124" s="7" t="n">
        <f aca="false">$E124</f>
        <v>0</v>
      </c>
      <c r="R124" s="7" t="n">
        <f aca="false">$E124</f>
        <v>0</v>
      </c>
      <c r="S124" s="7" t="n">
        <f aca="false">$E124</f>
        <v>0</v>
      </c>
      <c r="T124" s="7" t="n">
        <f aca="false">$E124</f>
        <v>0</v>
      </c>
      <c r="U124" s="7" t="n">
        <f aca="false">$E124</f>
        <v>0</v>
      </c>
      <c r="V124" s="7" t="n">
        <f aca="false">$F124</f>
        <v>0</v>
      </c>
      <c r="W124" s="7" t="n">
        <f aca="false">$F124</f>
        <v>0</v>
      </c>
      <c r="X124" s="7" t="n">
        <f aca="false">$F124</f>
        <v>0</v>
      </c>
      <c r="Y124" s="7" t="n">
        <f aca="false">$F124</f>
        <v>0</v>
      </c>
      <c r="Z124" s="7" t="n">
        <f aca="false">$G124</f>
        <v>0</v>
      </c>
      <c r="AA124" s="7" t="n">
        <f aca="false">$G124</f>
        <v>0</v>
      </c>
      <c r="AB124" s="7" t="n">
        <f aca="false">$G124</f>
        <v>0</v>
      </c>
      <c r="AC124" s="7" t="n">
        <f aca="false">$G124</f>
        <v>0</v>
      </c>
      <c r="AD124" s="7" t="n">
        <f aca="false">$H124</f>
        <v>0</v>
      </c>
      <c r="AE124" s="7" t="n">
        <f aca="false">$H124</f>
        <v>0</v>
      </c>
      <c r="AF124" s="7" t="n">
        <f aca="false">$H124</f>
        <v>0</v>
      </c>
      <c r="AG124" s="7" t="n">
        <f aca="false">$H124</f>
        <v>0</v>
      </c>
      <c r="AH124" s="7" t="n">
        <f aca="false">$H124</f>
        <v>0</v>
      </c>
      <c r="AI124" s="7" t="n">
        <f aca="false">$I124</f>
        <v>0</v>
      </c>
      <c r="AJ124" s="7" t="n">
        <f aca="false">$I124</f>
        <v>0</v>
      </c>
      <c r="AK124" s="7" t="n">
        <f aca="false">$I124</f>
        <v>0</v>
      </c>
      <c r="AL124" s="7" t="n">
        <f aca="false">$I124</f>
        <v>0</v>
      </c>
      <c r="AM124" s="7" t="n">
        <f aca="false">$J124</f>
        <v>0</v>
      </c>
      <c r="AN124" s="7" t="n">
        <f aca="false">$J124</f>
        <v>0</v>
      </c>
      <c r="AO124" s="7" t="n">
        <f aca="false">$J124</f>
        <v>0</v>
      </c>
      <c r="AP124" s="7" t="n">
        <f aca="false">$J124</f>
        <v>0</v>
      </c>
      <c r="AQ124" s="7" t="n">
        <f aca="false">$K124</f>
        <v>0</v>
      </c>
      <c r="AR124" s="7" t="n">
        <f aca="false">$K124</f>
        <v>0</v>
      </c>
      <c r="AS124" s="7" t="n">
        <f aca="false">$K124</f>
        <v>0</v>
      </c>
      <c r="AT124" s="7" t="n">
        <f aca="false">$K124</f>
        <v>0</v>
      </c>
      <c r="AU124" s="7" t="n">
        <f aca="false">$K124</f>
        <v>0</v>
      </c>
      <c r="AV124" s="7" t="n">
        <f aca="false">$L124</f>
        <v>0</v>
      </c>
      <c r="AW124" s="7" t="n">
        <f aca="false">$L124</f>
        <v>0</v>
      </c>
      <c r="AX124" s="7" t="n">
        <f aca="false">$L124</f>
        <v>0</v>
      </c>
      <c r="AY124" s="7" t="n">
        <f aca="false">$L124</f>
        <v>0</v>
      </c>
      <c r="AZ124" s="7" t="n">
        <f aca="false">$M124</f>
        <v>0</v>
      </c>
      <c r="BA124" s="7" t="n">
        <f aca="false">$M124</f>
        <v>0</v>
      </c>
      <c r="BB124" s="7" t="n">
        <f aca="false">$M124</f>
        <v>0</v>
      </c>
      <c r="BC124" s="7" t="n">
        <f aca="false">$M124</f>
        <v>0</v>
      </c>
      <c r="BD124" s="7" t="n">
        <f aca="false">$N124</f>
        <v>0</v>
      </c>
      <c r="BE124" s="7" t="n">
        <f aca="false">$N124</f>
        <v>0</v>
      </c>
      <c r="BF124" s="7" t="n">
        <f aca="false">$N124</f>
        <v>0</v>
      </c>
      <c r="BG124" s="7" t="n">
        <f aca="false">$N124</f>
        <v>0</v>
      </c>
      <c r="BH124" s="7" t="n">
        <f aca="false">$N124</f>
        <v>0</v>
      </c>
      <c r="BI124" s="7" t="n">
        <f aca="false">$O124</f>
        <v>0</v>
      </c>
      <c r="BJ124" s="7" t="n">
        <f aca="false">$O124</f>
        <v>0</v>
      </c>
      <c r="BK124" s="7" t="n">
        <f aca="false">$O124</f>
        <v>0</v>
      </c>
      <c r="BL124" s="7" t="n">
        <f aca="false">$O124</f>
        <v>0</v>
      </c>
      <c r="BM124" s="7" t="n">
        <f aca="false">$P124</f>
        <v>0</v>
      </c>
      <c r="BN124" s="7" t="n">
        <f aca="false">$P124</f>
        <v>0</v>
      </c>
      <c r="BO124" s="7" t="n">
        <f aca="false">$P124</f>
        <v>0</v>
      </c>
      <c r="BP124" s="7" t="n">
        <f aca="false">$P124</f>
        <v>0</v>
      </c>
    </row>
    <row r="125" customFormat="false" ht="15" hidden="false" customHeight="false" outlineLevel="0" collapsed="false">
      <c r="A125" s="0" t="s">
        <v>236</v>
      </c>
      <c r="B125" s="0" t="s">
        <v>129</v>
      </c>
      <c r="C125" s="0" t="s">
        <v>117</v>
      </c>
      <c r="D125" s="0" t="n">
        <f aca="false">SUM(Q125:BP125)</f>
        <v>0</v>
      </c>
      <c r="E125" s="22" t="n">
        <v>0</v>
      </c>
      <c r="F125" s="22" t="n">
        <v>0</v>
      </c>
      <c r="G125" s="22" t="n">
        <v>0</v>
      </c>
      <c r="H125" s="22" t="n">
        <v>0</v>
      </c>
      <c r="I125" s="22" t="n">
        <v>0</v>
      </c>
      <c r="J125" s="22" t="n">
        <v>0</v>
      </c>
      <c r="K125" s="22" t="n">
        <v>0</v>
      </c>
      <c r="L125" s="22" t="n">
        <v>0</v>
      </c>
      <c r="M125" s="22" t="n">
        <v>0</v>
      </c>
      <c r="N125" s="22" t="n">
        <v>0</v>
      </c>
      <c r="O125" s="22" t="n">
        <v>0</v>
      </c>
      <c r="P125" s="22" t="n">
        <v>0</v>
      </c>
      <c r="Q125" s="7" t="n">
        <f aca="false">$E125</f>
        <v>0</v>
      </c>
      <c r="R125" s="7" t="n">
        <f aca="false">$E125</f>
        <v>0</v>
      </c>
      <c r="S125" s="7" t="n">
        <f aca="false">$E125</f>
        <v>0</v>
      </c>
      <c r="T125" s="7" t="n">
        <f aca="false">$E125</f>
        <v>0</v>
      </c>
      <c r="U125" s="7" t="n">
        <f aca="false">$E125</f>
        <v>0</v>
      </c>
      <c r="V125" s="7" t="n">
        <f aca="false">$F125</f>
        <v>0</v>
      </c>
      <c r="W125" s="7" t="n">
        <f aca="false">$F125</f>
        <v>0</v>
      </c>
      <c r="X125" s="7" t="n">
        <f aca="false">$F125</f>
        <v>0</v>
      </c>
      <c r="Y125" s="7" t="n">
        <f aca="false">$F125</f>
        <v>0</v>
      </c>
      <c r="Z125" s="7" t="n">
        <f aca="false">$G125</f>
        <v>0</v>
      </c>
      <c r="AA125" s="7" t="n">
        <f aca="false">$G125</f>
        <v>0</v>
      </c>
      <c r="AB125" s="7" t="n">
        <f aca="false">$G125</f>
        <v>0</v>
      </c>
      <c r="AC125" s="7" t="n">
        <f aca="false">$G125</f>
        <v>0</v>
      </c>
      <c r="AD125" s="7" t="n">
        <f aca="false">$H125</f>
        <v>0</v>
      </c>
      <c r="AE125" s="7" t="n">
        <f aca="false">$H125</f>
        <v>0</v>
      </c>
      <c r="AF125" s="7" t="n">
        <f aca="false">$H125</f>
        <v>0</v>
      </c>
      <c r="AG125" s="7" t="n">
        <f aca="false">$H125</f>
        <v>0</v>
      </c>
      <c r="AH125" s="7" t="n">
        <f aca="false">$H125</f>
        <v>0</v>
      </c>
      <c r="AI125" s="7" t="n">
        <f aca="false">$I125</f>
        <v>0</v>
      </c>
      <c r="AJ125" s="7" t="n">
        <f aca="false">$I125</f>
        <v>0</v>
      </c>
      <c r="AK125" s="7" t="n">
        <f aca="false">$I125</f>
        <v>0</v>
      </c>
      <c r="AL125" s="7" t="n">
        <f aca="false">$I125</f>
        <v>0</v>
      </c>
      <c r="AM125" s="7" t="n">
        <f aca="false">$J125</f>
        <v>0</v>
      </c>
      <c r="AN125" s="7" t="n">
        <f aca="false">$J125</f>
        <v>0</v>
      </c>
      <c r="AO125" s="7" t="n">
        <f aca="false">$J125</f>
        <v>0</v>
      </c>
      <c r="AP125" s="7" t="n">
        <f aca="false">$J125</f>
        <v>0</v>
      </c>
      <c r="AQ125" s="7" t="n">
        <f aca="false">$K125</f>
        <v>0</v>
      </c>
      <c r="AR125" s="7" t="n">
        <f aca="false">$K125</f>
        <v>0</v>
      </c>
      <c r="AS125" s="7" t="n">
        <f aca="false">$K125</f>
        <v>0</v>
      </c>
      <c r="AT125" s="7" t="n">
        <f aca="false">$K125</f>
        <v>0</v>
      </c>
      <c r="AU125" s="7" t="n">
        <f aca="false">$K125</f>
        <v>0</v>
      </c>
      <c r="AV125" s="7" t="n">
        <f aca="false">$L125</f>
        <v>0</v>
      </c>
      <c r="AW125" s="7" t="n">
        <f aca="false">$L125</f>
        <v>0</v>
      </c>
      <c r="AX125" s="7" t="n">
        <f aca="false">$L125</f>
        <v>0</v>
      </c>
      <c r="AY125" s="7" t="n">
        <f aca="false">$L125</f>
        <v>0</v>
      </c>
      <c r="AZ125" s="7" t="n">
        <f aca="false">$M125</f>
        <v>0</v>
      </c>
      <c r="BA125" s="7" t="n">
        <f aca="false">$M125</f>
        <v>0</v>
      </c>
      <c r="BB125" s="7" t="n">
        <f aca="false">$M125</f>
        <v>0</v>
      </c>
      <c r="BC125" s="7" t="n">
        <f aca="false">$M125</f>
        <v>0</v>
      </c>
      <c r="BD125" s="7" t="n">
        <f aca="false">$N125</f>
        <v>0</v>
      </c>
      <c r="BE125" s="7" t="n">
        <f aca="false">$N125</f>
        <v>0</v>
      </c>
      <c r="BF125" s="7" t="n">
        <f aca="false">$N125</f>
        <v>0</v>
      </c>
      <c r="BG125" s="7" t="n">
        <f aca="false">$N125</f>
        <v>0</v>
      </c>
      <c r="BH125" s="7" t="n">
        <f aca="false">$N125</f>
        <v>0</v>
      </c>
      <c r="BI125" s="7" t="n">
        <f aca="false">$O125</f>
        <v>0</v>
      </c>
      <c r="BJ125" s="7" t="n">
        <f aca="false">$O125</f>
        <v>0</v>
      </c>
      <c r="BK125" s="7" t="n">
        <f aca="false">$O125</f>
        <v>0</v>
      </c>
      <c r="BL125" s="7" t="n">
        <f aca="false">$O125</f>
        <v>0</v>
      </c>
      <c r="BM125" s="7" t="n">
        <f aca="false">$P125</f>
        <v>0</v>
      </c>
      <c r="BN125" s="7" t="n">
        <f aca="false">$P125</f>
        <v>0</v>
      </c>
      <c r="BO125" s="7" t="n">
        <f aca="false">$P125</f>
        <v>0</v>
      </c>
      <c r="BP125" s="7" t="n">
        <f aca="false">$P125</f>
        <v>0</v>
      </c>
    </row>
    <row r="126" customFormat="false" ht="15" hidden="false" customHeight="false" outlineLevel="0" collapsed="false">
      <c r="A126" s="0" t="s">
        <v>236</v>
      </c>
      <c r="B126" s="0" t="s">
        <v>129</v>
      </c>
      <c r="C126" s="0" t="s">
        <v>118</v>
      </c>
      <c r="D126" s="0" t="n">
        <f aca="false">SUM(Q126:BP126)</f>
        <v>0</v>
      </c>
      <c r="E126" s="22" t="n">
        <v>0</v>
      </c>
      <c r="F126" s="22" t="n">
        <v>0</v>
      </c>
      <c r="G126" s="22" t="n">
        <v>0</v>
      </c>
      <c r="H126" s="22" t="n">
        <v>0</v>
      </c>
      <c r="I126" s="22" t="n">
        <v>0</v>
      </c>
      <c r="J126" s="22" t="n">
        <v>0</v>
      </c>
      <c r="K126" s="22" t="n">
        <v>0</v>
      </c>
      <c r="L126" s="22" t="n">
        <v>0</v>
      </c>
      <c r="M126" s="22" t="n">
        <v>0</v>
      </c>
      <c r="N126" s="22" t="n">
        <v>0</v>
      </c>
      <c r="O126" s="22" t="n">
        <v>0</v>
      </c>
      <c r="P126" s="22" t="n">
        <v>0</v>
      </c>
      <c r="Q126" s="7" t="n">
        <f aca="false">$E126</f>
        <v>0</v>
      </c>
      <c r="R126" s="7" t="n">
        <f aca="false">$E126</f>
        <v>0</v>
      </c>
      <c r="S126" s="7" t="n">
        <f aca="false">$E126</f>
        <v>0</v>
      </c>
      <c r="T126" s="7" t="n">
        <f aca="false">$E126</f>
        <v>0</v>
      </c>
      <c r="U126" s="7" t="n">
        <f aca="false">$E126</f>
        <v>0</v>
      </c>
      <c r="V126" s="7" t="n">
        <f aca="false">$F126</f>
        <v>0</v>
      </c>
      <c r="W126" s="7" t="n">
        <f aca="false">$F126</f>
        <v>0</v>
      </c>
      <c r="X126" s="7" t="n">
        <f aca="false">$F126</f>
        <v>0</v>
      </c>
      <c r="Y126" s="7" t="n">
        <f aca="false">$F126</f>
        <v>0</v>
      </c>
      <c r="Z126" s="7" t="n">
        <f aca="false">$G126</f>
        <v>0</v>
      </c>
      <c r="AA126" s="7" t="n">
        <f aca="false">$G126</f>
        <v>0</v>
      </c>
      <c r="AB126" s="7" t="n">
        <f aca="false">$G126</f>
        <v>0</v>
      </c>
      <c r="AC126" s="7" t="n">
        <f aca="false">$G126</f>
        <v>0</v>
      </c>
      <c r="AD126" s="7" t="n">
        <f aca="false">$H126</f>
        <v>0</v>
      </c>
      <c r="AE126" s="7" t="n">
        <f aca="false">$H126</f>
        <v>0</v>
      </c>
      <c r="AF126" s="7" t="n">
        <f aca="false">$H126</f>
        <v>0</v>
      </c>
      <c r="AG126" s="7" t="n">
        <f aca="false">$H126</f>
        <v>0</v>
      </c>
      <c r="AH126" s="7" t="n">
        <f aca="false">$H126</f>
        <v>0</v>
      </c>
      <c r="AI126" s="7" t="n">
        <f aca="false">$I126</f>
        <v>0</v>
      </c>
      <c r="AJ126" s="7" t="n">
        <f aca="false">$I126</f>
        <v>0</v>
      </c>
      <c r="AK126" s="7" t="n">
        <f aca="false">$I126</f>
        <v>0</v>
      </c>
      <c r="AL126" s="7" t="n">
        <f aca="false">$I126</f>
        <v>0</v>
      </c>
      <c r="AM126" s="7" t="n">
        <f aca="false">$J126</f>
        <v>0</v>
      </c>
      <c r="AN126" s="7" t="n">
        <f aca="false">$J126</f>
        <v>0</v>
      </c>
      <c r="AO126" s="7" t="n">
        <f aca="false">$J126</f>
        <v>0</v>
      </c>
      <c r="AP126" s="7" t="n">
        <f aca="false">$J126</f>
        <v>0</v>
      </c>
      <c r="AQ126" s="7" t="n">
        <f aca="false">$K126</f>
        <v>0</v>
      </c>
      <c r="AR126" s="7" t="n">
        <f aca="false">$K126</f>
        <v>0</v>
      </c>
      <c r="AS126" s="7" t="n">
        <f aca="false">$K126</f>
        <v>0</v>
      </c>
      <c r="AT126" s="7" t="n">
        <f aca="false">$K126</f>
        <v>0</v>
      </c>
      <c r="AU126" s="7" t="n">
        <f aca="false">$K126</f>
        <v>0</v>
      </c>
      <c r="AV126" s="7" t="n">
        <f aca="false">$L126</f>
        <v>0</v>
      </c>
      <c r="AW126" s="7" t="n">
        <f aca="false">$L126</f>
        <v>0</v>
      </c>
      <c r="AX126" s="7" t="n">
        <f aca="false">$L126</f>
        <v>0</v>
      </c>
      <c r="AY126" s="7" t="n">
        <f aca="false">$L126</f>
        <v>0</v>
      </c>
      <c r="AZ126" s="7" t="n">
        <f aca="false">$M126</f>
        <v>0</v>
      </c>
      <c r="BA126" s="7" t="n">
        <f aca="false">$M126</f>
        <v>0</v>
      </c>
      <c r="BB126" s="7" t="n">
        <f aca="false">$M126</f>
        <v>0</v>
      </c>
      <c r="BC126" s="7" t="n">
        <f aca="false">$M126</f>
        <v>0</v>
      </c>
      <c r="BD126" s="7" t="n">
        <f aca="false">$N126</f>
        <v>0</v>
      </c>
      <c r="BE126" s="7" t="n">
        <f aca="false">$N126</f>
        <v>0</v>
      </c>
      <c r="BF126" s="7" t="n">
        <f aca="false">$N126</f>
        <v>0</v>
      </c>
      <c r="BG126" s="7" t="n">
        <f aca="false">$N126</f>
        <v>0</v>
      </c>
      <c r="BH126" s="7" t="n">
        <f aca="false">$N126</f>
        <v>0</v>
      </c>
      <c r="BI126" s="7" t="n">
        <f aca="false">$O126</f>
        <v>0</v>
      </c>
      <c r="BJ126" s="7" t="n">
        <f aca="false">$O126</f>
        <v>0</v>
      </c>
      <c r="BK126" s="7" t="n">
        <f aca="false">$O126</f>
        <v>0</v>
      </c>
      <c r="BL126" s="7" t="n">
        <f aca="false">$O126</f>
        <v>0</v>
      </c>
      <c r="BM126" s="7" t="n">
        <f aca="false">$P126</f>
        <v>0</v>
      </c>
      <c r="BN126" s="7" t="n">
        <f aca="false">$P126</f>
        <v>0</v>
      </c>
      <c r="BO126" s="7" t="n">
        <f aca="false">$P126</f>
        <v>0</v>
      </c>
      <c r="BP126" s="7" t="n">
        <f aca="false">$P126</f>
        <v>0</v>
      </c>
    </row>
    <row r="127" customFormat="false" ht="15" hidden="false" customHeight="false" outlineLevel="0" collapsed="false">
      <c r="A127" s="0" t="s">
        <v>236</v>
      </c>
      <c r="B127" s="0" t="s">
        <v>129</v>
      </c>
      <c r="C127" s="0" t="s">
        <v>119</v>
      </c>
      <c r="D127" s="0" t="n">
        <f aca="false">SUM(Q127:BP127)</f>
        <v>0</v>
      </c>
      <c r="E127" s="13" t="n">
        <v>0</v>
      </c>
      <c r="F127" s="13" t="n">
        <v>0</v>
      </c>
      <c r="G127" s="13" t="n">
        <v>0</v>
      </c>
      <c r="H127" s="13" t="n">
        <v>0</v>
      </c>
      <c r="I127" s="13" t="n">
        <v>0</v>
      </c>
      <c r="J127" s="13" t="n">
        <v>0</v>
      </c>
      <c r="K127" s="13" t="n">
        <v>0</v>
      </c>
      <c r="L127" s="13" t="n">
        <v>0</v>
      </c>
      <c r="M127" s="13" t="n">
        <v>0</v>
      </c>
      <c r="N127" s="13" t="n">
        <v>0</v>
      </c>
      <c r="O127" s="13" t="n">
        <v>0</v>
      </c>
      <c r="P127" s="13" t="n">
        <v>0</v>
      </c>
      <c r="Q127" s="7" t="n">
        <f aca="false">$E127</f>
        <v>0</v>
      </c>
      <c r="R127" s="7" t="n">
        <f aca="false">$E127</f>
        <v>0</v>
      </c>
      <c r="S127" s="7" t="n">
        <f aca="false">$E127</f>
        <v>0</v>
      </c>
      <c r="T127" s="7" t="n">
        <f aca="false">$E127</f>
        <v>0</v>
      </c>
      <c r="U127" s="7" t="n">
        <f aca="false">$E127</f>
        <v>0</v>
      </c>
      <c r="V127" s="7" t="n">
        <f aca="false">$F127</f>
        <v>0</v>
      </c>
      <c r="W127" s="7" t="n">
        <f aca="false">$F127</f>
        <v>0</v>
      </c>
      <c r="X127" s="7" t="n">
        <f aca="false">$F127</f>
        <v>0</v>
      </c>
      <c r="Y127" s="7" t="n">
        <f aca="false">$F127</f>
        <v>0</v>
      </c>
      <c r="Z127" s="7" t="n">
        <f aca="false">$G127</f>
        <v>0</v>
      </c>
      <c r="AA127" s="7" t="n">
        <f aca="false">$G127</f>
        <v>0</v>
      </c>
      <c r="AB127" s="7" t="n">
        <f aca="false">$G127</f>
        <v>0</v>
      </c>
      <c r="AC127" s="7" t="n">
        <f aca="false">$G127</f>
        <v>0</v>
      </c>
      <c r="AD127" s="7" t="n">
        <f aca="false">$H127</f>
        <v>0</v>
      </c>
      <c r="AE127" s="7" t="n">
        <f aca="false">$H127</f>
        <v>0</v>
      </c>
      <c r="AF127" s="7" t="n">
        <f aca="false">$H127</f>
        <v>0</v>
      </c>
      <c r="AG127" s="7" t="n">
        <f aca="false">$H127</f>
        <v>0</v>
      </c>
      <c r="AH127" s="7" t="n">
        <f aca="false">$H127</f>
        <v>0</v>
      </c>
      <c r="AI127" s="7" t="n">
        <f aca="false">$I127</f>
        <v>0</v>
      </c>
      <c r="AJ127" s="7" t="n">
        <f aca="false">$I127</f>
        <v>0</v>
      </c>
      <c r="AK127" s="7" t="n">
        <f aca="false">$I127</f>
        <v>0</v>
      </c>
      <c r="AL127" s="7" t="n">
        <f aca="false">$I127</f>
        <v>0</v>
      </c>
      <c r="AM127" s="7" t="n">
        <f aca="false">$J127</f>
        <v>0</v>
      </c>
      <c r="AN127" s="7" t="n">
        <f aca="false">$J127</f>
        <v>0</v>
      </c>
      <c r="AO127" s="7" t="n">
        <f aca="false">$J127</f>
        <v>0</v>
      </c>
      <c r="AP127" s="7" t="n">
        <f aca="false">$J127</f>
        <v>0</v>
      </c>
      <c r="AQ127" s="7" t="n">
        <f aca="false">$K127</f>
        <v>0</v>
      </c>
      <c r="AR127" s="7" t="n">
        <f aca="false">$K127</f>
        <v>0</v>
      </c>
      <c r="AS127" s="7" t="n">
        <f aca="false">$K127</f>
        <v>0</v>
      </c>
      <c r="AT127" s="7" t="n">
        <f aca="false">$K127</f>
        <v>0</v>
      </c>
      <c r="AU127" s="7" t="n">
        <f aca="false">$K127</f>
        <v>0</v>
      </c>
      <c r="AV127" s="7" t="n">
        <f aca="false">$L127</f>
        <v>0</v>
      </c>
      <c r="AW127" s="7" t="n">
        <f aca="false">$L127</f>
        <v>0</v>
      </c>
      <c r="AX127" s="7" t="n">
        <f aca="false">$L127</f>
        <v>0</v>
      </c>
      <c r="AY127" s="7" t="n">
        <f aca="false">$L127</f>
        <v>0</v>
      </c>
      <c r="AZ127" s="7" t="n">
        <f aca="false">$M127</f>
        <v>0</v>
      </c>
      <c r="BA127" s="7" t="n">
        <f aca="false">$M127</f>
        <v>0</v>
      </c>
      <c r="BB127" s="7" t="n">
        <f aca="false">$M127</f>
        <v>0</v>
      </c>
      <c r="BC127" s="7" t="n">
        <f aca="false">$M127</f>
        <v>0</v>
      </c>
      <c r="BD127" s="7" t="n">
        <f aca="false">$N127</f>
        <v>0</v>
      </c>
      <c r="BE127" s="7" t="n">
        <f aca="false">$N127</f>
        <v>0</v>
      </c>
      <c r="BF127" s="7" t="n">
        <f aca="false">$N127</f>
        <v>0</v>
      </c>
      <c r="BG127" s="7" t="n">
        <f aca="false">$N127</f>
        <v>0</v>
      </c>
      <c r="BH127" s="7" t="n">
        <f aca="false">$N127</f>
        <v>0</v>
      </c>
      <c r="BI127" s="7" t="n">
        <f aca="false">$O127</f>
        <v>0</v>
      </c>
      <c r="BJ127" s="7" t="n">
        <f aca="false">$O127</f>
        <v>0</v>
      </c>
      <c r="BK127" s="7" t="n">
        <f aca="false">$O127</f>
        <v>0</v>
      </c>
      <c r="BL127" s="7" t="n">
        <f aca="false">$O127</f>
        <v>0</v>
      </c>
      <c r="BM127" s="7" t="n">
        <f aca="false">$P127</f>
        <v>0</v>
      </c>
      <c r="BN127" s="7" t="n">
        <f aca="false">$P127</f>
        <v>0</v>
      </c>
      <c r="BO127" s="7" t="n">
        <f aca="false">$P127</f>
        <v>0</v>
      </c>
      <c r="BP127" s="7" t="n">
        <f aca="false">$P127</f>
        <v>0</v>
      </c>
    </row>
    <row r="128" customFormat="false" ht="15" hidden="false" customHeight="false" outlineLevel="0" collapsed="false">
      <c r="A128" s="0" t="s">
        <v>236</v>
      </c>
      <c r="B128" s="0" t="s">
        <v>129</v>
      </c>
      <c r="C128" s="0" t="s">
        <v>120</v>
      </c>
      <c r="D128" s="0" t="n">
        <f aca="false">SUM(Q128:BP128)</f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7" t="n">
        <f aca="false">$E128</f>
        <v>0</v>
      </c>
      <c r="R128" s="7" t="n">
        <f aca="false">$E128</f>
        <v>0</v>
      </c>
      <c r="S128" s="7" t="n">
        <f aca="false">$E128</f>
        <v>0</v>
      </c>
      <c r="T128" s="7" t="n">
        <f aca="false">$E128</f>
        <v>0</v>
      </c>
      <c r="U128" s="7" t="n">
        <f aca="false">$E128</f>
        <v>0</v>
      </c>
      <c r="V128" s="7" t="n">
        <f aca="false">$F128</f>
        <v>0</v>
      </c>
      <c r="W128" s="7" t="n">
        <f aca="false">$F128</f>
        <v>0</v>
      </c>
      <c r="X128" s="7" t="n">
        <f aca="false">$F128</f>
        <v>0</v>
      </c>
      <c r="Y128" s="7" t="n">
        <f aca="false">$F128</f>
        <v>0</v>
      </c>
      <c r="Z128" s="7" t="n">
        <f aca="false">$G128</f>
        <v>0</v>
      </c>
      <c r="AA128" s="7" t="n">
        <f aca="false">$G128</f>
        <v>0</v>
      </c>
      <c r="AB128" s="7" t="n">
        <f aca="false">$G128</f>
        <v>0</v>
      </c>
      <c r="AC128" s="7" t="n">
        <f aca="false">$G128</f>
        <v>0</v>
      </c>
      <c r="AD128" s="7" t="n">
        <f aca="false">$H128</f>
        <v>0</v>
      </c>
      <c r="AE128" s="7" t="n">
        <f aca="false">$H128</f>
        <v>0</v>
      </c>
      <c r="AF128" s="7" t="n">
        <f aca="false">$H128</f>
        <v>0</v>
      </c>
      <c r="AG128" s="7" t="n">
        <f aca="false">$H128</f>
        <v>0</v>
      </c>
      <c r="AH128" s="7" t="n">
        <f aca="false">$H128</f>
        <v>0</v>
      </c>
      <c r="AI128" s="7" t="n">
        <f aca="false">$I128</f>
        <v>0</v>
      </c>
      <c r="AJ128" s="7" t="n">
        <f aca="false">$I128</f>
        <v>0</v>
      </c>
      <c r="AK128" s="7" t="n">
        <f aca="false">$I128</f>
        <v>0</v>
      </c>
      <c r="AL128" s="7" t="n">
        <f aca="false">$I128</f>
        <v>0</v>
      </c>
      <c r="AM128" s="7" t="n">
        <f aca="false">$J128</f>
        <v>0</v>
      </c>
      <c r="AN128" s="7" t="n">
        <f aca="false">$J128</f>
        <v>0</v>
      </c>
      <c r="AO128" s="7" t="n">
        <f aca="false">$J128</f>
        <v>0</v>
      </c>
      <c r="AP128" s="7" t="n">
        <f aca="false">$J128</f>
        <v>0</v>
      </c>
      <c r="AQ128" s="7" t="n">
        <f aca="false">$K128</f>
        <v>0</v>
      </c>
      <c r="AR128" s="7" t="n">
        <f aca="false">$K128</f>
        <v>0</v>
      </c>
      <c r="AS128" s="7" t="n">
        <f aca="false">$K128</f>
        <v>0</v>
      </c>
      <c r="AT128" s="7" t="n">
        <f aca="false">$K128</f>
        <v>0</v>
      </c>
      <c r="AU128" s="7" t="n">
        <f aca="false">$K128</f>
        <v>0</v>
      </c>
      <c r="AV128" s="7" t="n">
        <f aca="false">$L128</f>
        <v>0</v>
      </c>
      <c r="AW128" s="7" t="n">
        <f aca="false">$L128</f>
        <v>0</v>
      </c>
      <c r="AX128" s="7" t="n">
        <f aca="false">$L128</f>
        <v>0</v>
      </c>
      <c r="AY128" s="7" t="n">
        <f aca="false">$L128</f>
        <v>0</v>
      </c>
      <c r="AZ128" s="7" t="n">
        <f aca="false">$M128</f>
        <v>0</v>
      </c>
      <c r="BA128" s="7" t="n">
        <f aca="false">$M128</f>
        <v>0</v>
      </c>
      <c r="BB128" s="7" t="n">
        <f aca="false">$M128</f>
        <v>0</v>
      </c>
      <c r="BC128" s="7" t="n">
        <f aca="false">$M128</f>
        <v>0</v>
      </c>
      <c r="BD128" s="7" t="n">
        <f aca="false">$N128</f>
        <v>0</v>
      </c>
      <c r="BE128" s="7" t="n">
        <f aca="false">$N128</f>
        <v>0</v>
      </c>
      <c r="BF128" s="7" t="n">
        <f aca="false">$N128</f>
        <v>0</v>
      </c>
      <c r="BG128" s="7" t="n">
        <f aca="false">$N128</f>
        <v>0</v>
      </c>
      <c r="BH128" s="7" t="n">
        <f aca="false">$N128</f>
        <v>0</v>
      </c>
      <c r="BI128" s="7" t="n">
        <f aca="false">$O128</f>
        <v>0</v>
      </c>
      <c r="BJ128" s="7" t="n">
        <f aca="false">$O128</f>
        <v>0</v>
      </c>
      <c r="BK128" s="7" t="n">
        <f aca="false">$O128</f>
        <v>0</v>
      </c>
      <c r="BL128" s="7" t="n">
        <f aca="false">$O128</f>
        <v>0</v>
      </c>
      <c r="BM128" s="7" t="n">
        <f aca="false">$P128</f>
        <v>0</v>
      </c>
      <c r="BN128" s="7" t="n">
        <f aca="false">$P128</f>
        <v>0</v>
      </c>
      <c r="BO128" s="7" t="n">
        <f aca="false">$P128</f>
        <v>0</v>
      </c>
      <c r="BP128" s="7" t="n">
        <f aca="false">$P128</f>
        <v>0</v>
      </c>
    </row>
    <row r="129" customFormat="false" ht="15" hidden="false" customHeight="false" outlineLevel="0" collapsed="false">
      <c r="A129" s="0" t="s">
        <v>236</v>
      </c>
      <c r="B129" s="0" t="s">
        <v>129</v>
      </c>
      <c r="C129" s="0" t="s">
        <v>121</v>
      </c>
      <c r="D129" s="0" t="n">
        <f aca="false">SUM(Q129:BP129)</f>
        <v>0</v>
      </c>
      <c r="E129" s="13" t="n">
        <v>0</v>
      </c>
      <c r="F129" s="13" t="n">
        <v>0</v>
      </c>
      <c r="G129" s="13" t="n">
        <v>0</v>
      </c>
      <c r="H129" s="13" t="n">
        <v>0</v>
      </c>
      <c r="I129" s="13" t="n">
        <v>0</v>
      </c>
      <c r="J129" s="13" t="n">
        <v>0</v>
      </c>
      <c r="K129" s="13" t="n">
        <v>0</v>
      </c>
      <c r="L129" s="13" t="n">
        <v>0</v>
      </c>
      <c r="M129" s="13" t="n">
        <v>0</v>
      </c>
      <c r="N129" s="13" t="n">
        <v>0</v>
      </c>
      <c r="O129" s="13" t="n">
        <v>0</v>
      </c>
      <c r="P129" s="13" t="n">
        <v>0</v>
      </c>
      <c r="Q129" s="7" t="n">
        <f aca="false">$E129</f>
        <v>0</v>
      </c>
      <c r="R129" s="7" t="n">
        <f aca="false">$E129</f>
        <v>0</v>
      </c>
      <c r="S129" s="7" t="n">
        <f aca="false">$E129</f>
        <v>0</v>
      </c>
      <c r="T129" s="7" t="n">
        <f aca="false">$E129</f>
        <v>0</v>
      </c>
      <c r="U129" s="7" t="n">
        <f aca="false">$E129</f>
        <v>0</v>
      </c>
      <c r="V129" s="7" t="n">
        <f aca="false">$F129</f>
        <v>0</v>
      </c>
      <c r="W129" s="7" t="n">
        <f aca="false">$F129</f>
        <v>0</v>
      </c>
      <c r="X129" s="7" t="n">
        <f aca="false">$F129</f>
        <v>0</v>
      </c>
      <c r="Y129" s="7" t="n">
        <f aca="false">$F129</f>
        <v>0</v>
      </c>
      <c r="Z129" s="7" t="n">
        <f aca="false">$G129</f>
        <v>0</v>
      </c>
      <c r="AA129" s="7" t="n">
        <f aca="false">$G129</f>
        <v>0</v>
      </c>
      <c r="AB129" s="7" t="n">
        <f aca="false">$G129</f>
        <v>0</v>
      </c>
      <c r="AC129" s="7" t="n">
        <f aca="false">$G129</f>
        <v>0</v>
      </c>
      <c r="AD129" s="7" t="n">
        <f aca="false">$H129</f>
        <v>0</v>
      </c>
      <c r="AE129" s="7" t="n">
        <f aca="false">$H129</f>
        <v>0</v>
      </c>
      <c r="AF129" s="7" t="n">
        <f aca="false">$H129</f>
        <v>0</v>
      </c>
      <c r="AG129" s="7" t="n">
        <f aca="false">$H129</f>
        <v>0</v>
      </c>
      <c r="AH129" s="7" t="n">
        <f aca="false">$H129</f>
        <v>0</v>
      </c>
      <c r="AI129" s="7" t="n">
        <f aca="false">$I129</f>
        <v>0</v>
      </c>
      <c r="AJ129" s="7" t="n">
        <f aca="false">$I129</f>
        <v>0</v>
      </c>
      <c r="AK129" s="7" t="n">
        <f aca="false">$I129</f>
        <v>0</v>
      </c>
      <c r="AL129" s="7" t="n">
        <f aca="false">$I129</f>
        <v>0</v>
      </c>
      <c r="AM129" s="7" t="n">
        <f aca="false">$J129</f>
        <v>0</v>
      </c>
      <c r="AN129" s="7" t="n">
        <f aca="false">$J129</f>
        <v>0</v>
      </c>
      <c r="AO129" s="7" t="n">
        <f aca="false">$J129</f>
        <v>0</v>
      </c>
      <c r="AP129" s="7" t="n">
        <f aca="false">$J129</f>
        <v>0</v>
      </c>
      <c r="AQ129" s="7" t="n">
        <f aca="false">$K129</f>
        <v>0</v>
      </c>
      <c r="AR129" s="7" t="n">
        <f aca="false">$K129</f>
        <v>0</v>
      </c>
      <c r="AS129" s="7" t="n">
        <f aca="false">$K129</f>
        <v>0</v>
      </c>
      <c r="AT129" s="7" t="n">
        <f aca="false">$K129</f>
        <v>0</v>
      </c>
      <c r="AU129" s="7" t="n">
        <f aca="false">$K129</f>
        <v>0</v>
      </c>
      <c r="AV129" s="7" t="n">
        <f aca="false">$L129</f>
        <v>0</v>
      </c>
      <c r="AW129" s="7" t="n">
        <f aca="false">$L129</f>
        <v>0</v>
      </c>
      <c r="AX129" s="7" t="n">
        <f aca="false">$L129</f>
        <v>0</v>
      </c>
      <c r="AY129" s="7" t="n">
        <f aca="false">$L129</f>
        <v>0</v>
      </c>
      <c r="AZ129" s="7" t="n">
        <f aca="false">$M129</f>
        <v>0</v>
      </c>
      <c r="BA129" s="7" t="n">
        <f aca="false">$M129</f>
        <v>0</v>
      </c>
      <c r="BB129" s="7" t="n">
        <f aca="false">$M129</f>
        <v>0</v>
      </c>
      <c r="BC129" s="7" t="n">
        <f aca="false">$M129</f>
        <v>0</v>
      </c>
      <c r="BD129" s="7" t="n">
        <f aca="false">$N129</f>
        <v>0</v>
      </c>
      <c r="BE129" s="7" t="n">
        <f aca="false">$N129</f>
        <v>0</v>
      </c>
      <c r="BF129" s="7" t="n">
        <f aca="false">$N129</f>
        <v>0</v>
      </c>
      <c r="BG129" s="7" t="n">
        <f aca="false">$N129</f>
        <v>0</v>
      </c>
      <c r="BH129" s="7" t="n">
        <f aca="false">$N129</f>
        <v>0</v>
      </c>
      <c r="BI129" s="7" t="n">
        <f aca="false">$O129</f>
        <v>0</v>
      </c>
      <c r="BJ129" s="7" t="n">
        <f aca="false">$O129</f>
        <v>0</v>
      </c>
      <c r="BK129" s="7" t="n">
        <f aca="false">$O129</f>
        <v>0</v>
      </c>
      <c r="BL129" s="7" t="n">
        <f aca="false">$O129</f>
        <v>0</v>
      </c>
      <c r="BM129" s="7" t="n">
        <f aca="false">$P129</f>
        <v>0</v>
      </c>
      <c r="BN129" s="7" t="n">
        <f aca="false">$P129</f>
        <v>0</v>
      </c>
      <c r="BO129" s="7" t="n">
        <f aca="false">$P129</f>
        <v>0</v>
      </c>
      <c r="BP129" s="7" t="n">
        <f aca="false">$P129</f>
        <v>0</v>
      </c>
    </row>
    <row r="130" customFormat="false" ht="15" hidden="false" customHeight="false" outlineLevel="0" collapsed="false">
      <c r="A130" s="0" t="s">
        <v>236</v>
      </c>
      <c r="B130" s="0" t="s">
        <v>129</v>
      </c>
      <c r="C130" s="0" t="s">
        <v>122</v>
      </c>
      <c r="D130" s="0" t="n">
        <f aca="false">SUM(Q130:BP130)</f>
        <v>0</v>
      </c>
      <c r="E130" s="13" t="n">
        <v>0</v>
      </c>
      <c r="F130" s="13" t="n">
        <v>0</v>
      </c>
      <c r="G130" s="13" t="n">
        <v>0</v>
      </c>
      <c r="H130" s="13" t="n">
        <v>0</v>
      </c>
      <c r="I130" s="13" t="n">
        <v>0</v>
      </c>
      <c r="J130" s="13" t="n">
        <v>0</v>
      </c>
      <c r="K130" s="13" t="n">
        <v>0</v>
      </c>
      <c r="L130" s="13" t="n">
        <v>0</v>
      </c>
      <c r="M130" s="13" t="n">
        <v>0</v>
      </c>
      <c r="N130" s="13" t="n">
        <v>0</v>
      </c>
      <c r="O130" s="13" t="n">
        <v>0</v>
      </c>
      <c r="P130" s="13" t="n">
        <v>0</v>
      </c>
      <c r="Q130" s="7" t="n">
        <f aca="false">$E130</f>
        <v>0</v>
      </c>
      <c r="R130" s="7" t="n">
        <f aca="false">$E130</f>
        <v>0</v>
      </c>
      <c r="S130" s="7" t="n">
        <f aca="false">$E130</f>
        <v>0</v>
      </c>
      <c r="T130" s="7" t="n">
        <f aca="false">$E130</f>
        <v>0</v>
      </c>
      <c r="U130" s="7" t="n">
        <f aca="false">$E130</f>
        <v>0</v>
      </c>
      <c r="V130" s="7" t="n">
        <f aca="false">$F130</f>
        <v>0</v>
      </c>
      <c r="W130" s="7" t="n">
        <f aca="false">$F130</f>
        <v>0</v>
      </c>
      <c r="X130" s="7" t="n">
        <f aca="false">$F130</f>
        <v>0</v>
      </c>
      <c r="Y130" s="7" t="n">
        <f aca="false">$F130</f>
        <v>0</v>
      </c>
      <c r="Z130" s="7" t="n">
        <f aca="false">$G130</f>
        <v>0</v>
      </c>
      <c r="AA130" s="7" t="n">
        <f aca="false">$G130</f>
        <v>0</v>
      </c>
      <c r="AB130" s="7" t="n">
        <f aca="false">$G130</f>
        <v>0</v>
      </c>
      <c r="AC130" s="7" t="n">
        <f aca="false">$G130</f>
        <v>0</v>
      </c>
      <c r="AD130" s="7" t="n">
        <f aca="false">$H130</f>
        <v>0</v>
      </c>
      <c r="AE130" s="7" t="n">
        <f aca="false">$H130</f>
        <v>0</v>
      </c>
      <c r="AF130" s="7" t="n">
        <f aca="false">$H130</f>
        <v>0</v>
      </c>
      <c r="AG130" s="7" t="n">
        <f aca="false">$H130</f>
        <v>0</v>
      </c>
      <c r="AH130" s="7" t="n">
        <f aca="false">$H130</f>
        <v>0</v>
      </c>
      <c r="AI130" s="7" t="n">
        <f aca="false">$I130</f>
        <v>0</v>
      </c>
      <c r="AJ130" s="7" t="n">
        <f aca="false">$I130</f>
        <v>0</v>
      </c>
      <c r="AK130" s="7" t="n">
        <f aca="false">$I130</f>
        <v>0</v>
      </c>
      <c r="AL130" s="7" t="n">
        <f aca="false">$I130</f>
        <v>0</v>
      </c>
      <c r="AM130" s="7" t="n">
        <f aca="false">$J130</f>
        <v>0</v>
      </c>
      <c r="AN130" s="7" t="n">
        <f aca="false">$J130</f>
        <v>0</v>
      </c>
      <c r="AO130" s="7" t="n">
        <f aca="false">$J130</f>
        <v>0</v>
      </c>
      <c r="AP130" s="7" t="n">
        <f aca="false">$J130</f>
        <v>0</v>
      </c>
      <c r="AQ130" s="7" t="n">
        <f aca="false">$K130</f>
        <v>0</v>
      </c>
      <c r="AR130" s="7" t="n">
        <f aca="false">$K130</f>
        <v>0</v>
      </c>
      <c r="AS130" s="7" t="n">
        <f aca="false">$K130</f>
        <v>0</v>
      </c>
      <c r="AT130" s="7" t="n">
        <f aca="false">$K130</f>
        <v>0</v>
      </c>
      <c r="AU130" s="7" t="n">
        <f aca="false">$K130</f>
        <v>0</v>
      </c>
      <c r="AV130" s="7" t="n">
        <f aca="false">$L130</f>
        <v>0</v>
      </c>
      <c r="AW130" s="7" t="n">
        <f aca="false">$L130</f>
        <v>0</v>
      </c>
      <c r="AX130" s="7" t="n">
        <f aca="false">$L130</f>
        <v>0</v>
      </c>
      <c r="AY130" s="7" t="n">
        <f aca="false">$L130</f>
        <v>0</v>
      </c>
      <c r="AZ130" s="7" t="n">
        <f aca="false">$M130</f>
        <v>0</v>
      </c>
      <c r="BA130" s="7" t="n">
        <f aca="false">$M130</f>
        <v>0</v>
      </c>
      <c r="BB130" s="7" t="n">
        <f aca="false">$M130</f>
        <v>0</v>
      </c>
      <c r="BC130" s="7" t="n">
        <f aca="false">$M130</f>
        <v>0</v>
      </c>
      <c r="BD130" s="7" t="n">
        <f aca="false">$N130</f>
        <v>0</v>
      </c>
      <c r="BE130" s="7" t="n">
        <f aca="false">$N130</f>
        <v>0</v>
      </c>
      <c r="BF130" s="7" t="n">
        <f aca="false">$N130</f>
        <v>0</v>
      </c>
      <c r="BG130" s="7" t="n">
        <f aca="false">$N130</f>
        <v>0</v>
      </c>
      <c r="BH130" s="7" t="n">
        <f aca="false">$N130</f>
        <v>0</v>
      </c>
      <c r="BI130" s="7" t="n">
        <f aca="false">$O130</f>
        <v>0</v>
      </c>
      <c r="BJ130" s="7" t="n">
        <f aca="false">$O130</f>
        <v>0</v>
      </c>
      <c r="BK130" s="7" t="n">
        <f aca="false">$O130</f>
        <v>0</v>
      </c>
      <c r="BL130" s="7" t="n">
        <f aca="false">$O130</f>
        <v>0</v>
      </c>
      <c r="BM130" s="7" t="n">
        <f aca="false">$P130</f>
        <v>0</v>
      </c>
      <c r="BN130" s="7" t="n">
        <f aca="false">$P130</f>
        <v>0</v>
      </c>
      <c r="BO130" s="7" t="n">
        <f aca="false">$P130</f>
        <v>0</v>
      </c>
      <c r="BP130" s="7" t="n">
        <f aca="false">$P130</f>
        <v>0</v>
      </c>
    </row>
    <row r="131" customFormat="false" ht="15" hidden="false" customHeight="false" outlineLevel="0" collapsed="false">
      <c r="A131" s="0" t="s">
        <v>236</v>
      </c>
      <c r="B131" s="0" t="s">
        <v>129</v>
      </c>
      <c r="C131" s="0" t="s">
        <v>123</v>
      </c>
      <c r="D131" s="0" t="n">
        <f aca="false">SUM(Q131:BP131)</f>
        <v>0</v>
      </c>
      <c r="E131" s="13" t="n">
        <v>0</v>
      </c>
      <c r="F131" s="13" t="n">
        <v>0</v>
      </c>
      <c r="G131" s="13" t="n">
        <v>0</v>
      </c>
      <c r="H131" s="13" t="n">
        <v>0</v>
      </c>
      <c r="I131" s="13" t="n">
        <v>0</v>
      </c>
      <c r="J131" s="13" t="n">
        <v>0</v>
      </c>
      <c r="K131" s="13" t="n">
        <v>0</v>
      </c>
      <c r="L131" s="13" t="n">
        <v>0</v>
      </c>
      <c r="M131" s="13" t="n">
        <v>0</v>
      </c>
      <c r="N131" s="13" t="n">
        <v>0</v>
      </c>
      <c r="O131" s="13" t="n">
        <v>0</v>
      </c>
      <c r="P131" s="13" t="n">
        <v>0</v>
      </c>
      <c r="Q131" s="7" t="n">
        <f aca="false">$E131</f>
        <v>0</v>
      </c>
      <c r="R131" s="7" t="n">
        <f aca="false">$E131</f>
        <v>0</v>
      </c>
      <c r="S131" s="7" t="n">
        <f aca="false">$E131</f>
        <v>0</v>
      </c>
      <c r="T131" s="7" t="n">
        <f aca="false">$E131</f>
        <v>0</v>
      </c>
      <c r="U131" s="7" t="n">
        <f aca="false">$E131</f>
        <v>0</v>
      </c>
      <c r="V131" s="7" t="n">
        <f aca="false">$F131</f>
        <v>0</v>
      </c>
      <c r="W131" s="7" t="n">
        <f aca="false">$F131</f>
        <v>0</v>
      </c>
      <c r="X131" s="7" t="n">
        <f aca="false">$F131</f>
        <v>0</v>
      </c>
      <c r="Y131" s="7" t="n">
        <f aca="false">$F131</f>
        <v>0</v>
      </c>
      <c r="Z131" s="7" t="n">
        <f aca="false">$G131</f>
        <v>0</v>
      </c>
      <c r="AA131" s="7" t="n">
        <f aca="false">$G131</f>
        <v>0</v>
      </c>
      <c r="AB131" s="7" t="n">
        <f aca="false">$G131</f>
        <v>0</v>
      </c>
      <c r="AC131" s="7" t="n">
        <f aca="false">$G131</f>
        <v>0</v>
      </c>
      <c r="AD131" s="7" t="n">
        <f aca="false">$H131</f>
        <v>0</v>
      </c>
      <c r="AE131" s="7" t="n">
        <f aca="false">$H131</f>
        <v>0</v>
      </c>
      <c r="AF131" s="7" t="n">
        <f aca="false">$H131</f>
        <v>0</v>
      </c>
      <c r="AG131" s="7" t="n">
        <f aca="false">$H131</f>
        <v>0</v>
      </c>
      <c r="AH131" s="7" t="n">
        <f aca="false">$H131</f>
        <v>0</v>
      </c>
      <c r="AI131" s="7" t="n">
        <f aca="false">$I131</f>
        <v>0</v>
      </c>
      <c r="AJ131" s="7" t="n">
        <f aca="false">$I131</f>
        <v>0</v>
      </c>
      <c r="AK131" s="7" t="n">
        <f aca="false">$I131</f>
        <v>0</v>
      </c>
      <c r="AL131" s="7" t="n">
        <f aca="false">$I131</f>
        <v>0</v>
      </c>
      <c r="AM131" s="7" t="n">
        <f aca="false">$J131</f>
        <v>0</v>
      </c>
      <c r="AN131" s="7" t="n">
        <f aca="false">$J131</f>
        <v>0</v>
      </c>
      <c r="AO131" s="7" t="n">
        <f aca="false">$J131</f>
        <v>0</v>
      </c>
      <c r="AP131" s="7" t="n">
        <f aca="false">$J131</f>
        <v>0</v>
      </c>
      <c r="AQ131" s="7" t="n">
        <f aca="false">$K131</f>
        <v>0</v>
      </c>
      <c r="AR131" s="7" t="n">
        <f aca="false">$K131</f>
        <v>0</v>
      </c>
      <c r="AS131" s="7" t="n">
        <f aca="false">$K131</f>
        <v>0</v>
      </c>
      <c r="AT131" s="7" t="n">
        <f aca="false">$K131</f>
        <v>0</v>
      </c>
      <c r="AU131" s="7" t="n">
        <f aca="false">$K131</f>
        <v>0</v>
      </c>
      <c r="AV131" s="7" t="n">
        <f aca="false">$L131</f>
        <v>0</v>
      </c>
      <c r="AW131" s="7" t="n">
        <f aca="false">$L131</f>
        <v>0</v>
      </c>
      <c r="AX131" s="7" t="n">
        <f aca="false">$L131</f>
        <v>0</v>
      </c>
      <c r="AY131" s="7" t="n">
        <f aca="false">$L131</f>
        <v>0</v>
      </c>
      <c r="AZ131" s="7" t="n">
        <f aca="false">$M131</f>
        <v>0</v>
      </c>
      <c r="BA131" s="7" t="n">
        <f aca="false">$M131</f>
        <v>0</v>
      </c>
      <c r="BB131" s="7" t="n">
        <f aca="false">$M131</f>
        <v>0</v>
      </c>
      <c r="BC131" s="7" t="n">
        <f aca="false">$M131</f>
        <v>0</v>
      </c>
      <c r="BD131" s="7" t="n">
        <f aca="false">$N131</f>
        <v>0</v>
      </c>
      <c r="BE131" s="7" t="n">
        <f aca="false">$N131</f>
        <v>0</v>
      </c>
      <c r="BF131" s="7" t="n">
        <f aca="false">$N131</f>
        <v>0</v>
      </c>
      <c r="BG131" s="7" t="n">
        <f aca="false">$N131</f>
        <v>0</v>
      </c>
      <c r="BH131" s="7" t="n">
        <f aca="false">$N131</f>
        <v>0</v>
      </c>
      <c r="BI131" s="7" t="n">
        <f aca="false">$O131</f>
        <v>0</v>
      </c>
      <c r="BJ131" s="7" t="n">
        <f aca="false">$O131</f>
        <v>0</v>
      </c>
      <c r="BK131" s="7" t="n">
        <f aca="false">$O131</f>
        <v>0</v>
      </c>
      <c r="BL131" s="7" t="n">
        <f aca="false">$O131</f>
        <v>0</v>
      </c>
      <c r="BM131" s="7" t="n">
        <f aca="false">$P131</f>
        <v>0</v>
      </c>
      <c r="BN131" s="7" t="n">
        <f aca="false">$P131</f>
        <v>0</v>
      </c>
      <c r="BO131" s="7" t="n">
        <f aca="false">$P131</f>
        <v>0</v>
      </c>
      <c r="BP131" s="7" t="n">
        <f aca="false">$P131</f>
        <v>0</v>
      </c>
    </row>
    <row r="132" customFormat="false" ht="15" hidden="false" customHeight="false" outlineLevel="0" collapsed="false">
      <c r="A132" s="0" t="s">
        <v>236</v>
      </c>
      <c r="B132" s="0" t="s">
        <v>130</v>
      </c>
      <c r="C132" s="0" t="s">
        <v>115</v>
      </c>
      <c r="D132" s="0" t="n">
        <f aca="false">SUM(Q132:BP132)</f>
        <v>0</v>
      </c>
      <c r="E132" s="22" t="n">
        <v>0</v>
      </c>
      <c r="F132" s="22" t="n">
        <v>0</v>
      </c>
      <c r="G132" s="22" t="n">
        <v>0</v>
      </c>
      <c r="H132" s="22" t="n">
        <v>0</v>
      </c>
      <c r="I132" s="22" t="n">
        <v>0</v>
      </c>
      <c r="J132" s="22" t="n">
        <v>0</v>
      </c>
      <c r="K132" s="22" t="n">
        <v>0</v>
      </c>
      <c r="L132" s="22" t="n">
        <v>0</v>
      </c>
      <c r="M132" s="22" t="n">
        <v>0</v>
      </c>
      <c r="N132" s="22" t="n">
        <v>0</v>
      </c>
      <c r="O132" s="22" t="n">
        <v>0</v>
      </c>
      <c r="P132" s="22" t="n">
        <v>0</v>
      </c>
      <c r="Q132" s="7" t="n">
        <f aca="false">$E132</f>
        <v>0</v>
      </c>
      <c r="R132" s="7" t="n">
        <f aca="false">$E132</f>
        <v>0</v>
      </c>
      <c r="S132" s="7" t="n">
        <f aca="false">$E132</f>
        <v>0</v>
      </c>
      <c r="T132" s="7" t="n">
        <f aca="false">$E132</f>
        <v>0</v>
      </c>
      <c r="U132" s="7" t="n">
        <f aca="false">$E132</f>
        <v>0</v>
      </c>
      <c r="V132" s="7" t="n">
        <f aca="false">$F132</f>
        <v>0</v>
      </c>
      <c r="W132" s="7" t="n">
        <f aca="false">$F132</f>
        <v>0</v>
      </c>
      <c r="X132" s="7" t="n">
        <f aca="false">$F132</f>
        <v>0</v>
      </c>
      <c r="Y132" s="7" t="n">
        <f aca="false">$F132</f>
        <v>0</v>
      </c>
      <c r="Z132" s="7" t="n">
        <f aca="false">$G132</f>
        <v>0</v>
      </c>
      <c r="AA132" s="7" t="n">
        <f aca="false">$G132</f>
        <v>0</v>
      </c>
      <c r="AB132" s="7" t="n">
        <f aca="false">$G132</f>
        <v>0</v>
      </c>
      <c r="AC132" s="7" t="n">
        <f aca="false">$G132</f>
        <v>0</v>
      </c>
      <c r="AD132" s="7" t="n">
        <f aca="false">$H132</f>
        <v>0</v>
      </c>
      <c r="AE132" s="7" t="n">
        <f aca="false">$H132</f>
        <v>0</v>
      </c>
      <c r="AF132" s="7" t="n">
        <f aca="false">$H132</f>
        <v>0</v>
      </c>
      <c r="AG132" s="7" t="n">
        <f aca="false">$H132</f>
        <v>0</v>
      </c>
      <c r="AH132" s="7" t="n">
        <f aca="false">$H132</f>
        <v>0</v>
      </c>
      <c r="AI132" s="7" t="n">
        <f aca="false">$I132</f>
        <v>0</v>
      </c>
      <c r="AJ132" s="7" t="n">
        <f aca="false">$I132</f>
        <v>0</v>
      </c>
      <c r="AK132" s="7" t="n">
        <f aca="false">$I132</f>
        <v>0</v>
      </c>
      <c r="AL132" s="7" t="n">
        <f aca="false">$I132</f>
        <v>0</v>
      </c>
      <c r="AM132" s="7" t="n">
        <f aca="false">$J132</f>
        <v>0</v>
      </c>
      <c r="AN132" s="7" t="n">
        <f aca="false">$J132</f>
        <v>0</v>
      </c>
      <c r="AO132" s="7" t="n">
        <f aca="false">$J132</f>
        <v>0</v>
      </c>
      <c r="AP132" s="7" t="n">
        <f aca="false">$J132</f>
        <v>0</v>
      </c>
      <c r="AQ132" s="7" t="n">
        <f aca="false">$K132</f>
        <v>0</v>
      </c>
      <c r="AR132" s="7" t="n">
        <f aca="false">$K132</f>
        <v>0</v>
      </c>
      <c r="AS132" s="7" t="n">
        <f aca="false">$K132</f>
        <v>0</v>
      </c>
      <c r="AT132" s="7" t="n">
        <f aca="false">$K132</f>
        <v>0</v>
      </c>
      <c r="AU132" s="7" t="n">
        <f aca="false">$K132</f>
        <v>0</v>
      </c>
      <c r="AV132" s="7" t="n">
        <f aca="false">$L132</f>
        <v>0</v>
      </c>
      <c r="AW132" s="7" t="n">
        <f aca="false">$L132</f>
        <v>0</v>
      </c>
      <c r="AX132" s="7" t="n">
        <f aca="false">$L132</f>
        <v>0</v>
      </c>
      <c r="AY132" s="7" t="n">
        <f aca="false">$L132</f>
        <v>0</v>
      </c>
      <c r="AZ132" s="7" t="n">
        <f aca="false">$M132</f>
        <v>0</v>
      </c>
      <c r="BA132" s="7" t="n">
        <f aca="false">$M132</f>
        <v>0</v>
      </c>
      <c r="BB132" s="7" t="n">
        <f aca="false">$M132</f>
        <v>0</v>
      </c>
      <c r="BC132" s="7" t="n">
        <f aca="false">$M132</f>
        <v>0</v>
      </c>
      <c r="BD132" s="7" t="n">
        <f aca="false">$N132</f>
        <v>0</v>
      </c>
      <c r="BE132" s="7" t="n">
        <f aca="false">$N132</f>
        <v>0</v>
      </c>
      <c r="BF132" s="7" t="n">
        <f aca="false">$N132</f>
        <v>0</v>
      </c>
      <c r="BG132" s="7" t="n">
        <f aca="false">$N132</f>
        <v>0</v>
      </c>
      <c r="BH132" s="7" t="n">
        <f aca="false">$N132</f>
        <v>0</v>
      </c>
      <c r="BI132" s="7" t="n">
        <f aca="false">$O132</f>
        <v>0</v>
      </c>
      <c r="BJ132" s="7" t="n">
        <f aca="false">$O132</f>
        <v>0</v>
      </c>
      <c r="BK132" s="7" t="n">
        <f aca="false">$O132</f>
        <v>0</v>
      </c>
      <c r="BL132" s="7" t="n">
        <f aca="false">$O132</f>
        <v>0</v>
      </c>
      <c r="BM132" s="7" t="n">
        <f aca="false">$P132</f>
        <v>0</v>
      </c>
      <c r="BN132" s="7" t="n">
        <f aca="false">$P132</f>
        <v>0</v>
      </c>
      <c r="BO132" s="7" t="n">
        <f aca="false">$P132</f>
        <v>0</v>
      </c>
      <c r="BP132" s="7" t="n">
        <f aca="false">$P132</f>
        <v>0</v>
      </c>
    </row>
    <row r="133" customFormat="false" ht="15" hidden="false" customHeight="false" outlineLevel="0" collapsed="false">
      <c r="A133" s="0" t="s">
        <v>236</v>
      </c>
      <c r="B133" s="0" t="s">
        <v>130</v>
      </c>
      <c r="C133" s="0" t="s">
        <v>116</v>
      </c>
      <c r="D133" s="0" t="n">
        <f aca="false">SUM(Q133:BP133)</f>
        <v>0</v>
      </c>
      <c r="E133" s="22" t="n">
        <v>0</v>
      </c>
      <c r="F133" s="22" t="n">
        <v>0</v>
      </c>
      <c r="G133" s="22" t="n">
        <v>0</v>
      </c>
      <c r="H133" s="22" t="n">
        <v>0</v>
      </c>
      <c r="I133" s="22" t="n">
        <v>0</v>
      </c>
      <c r="J133" s="22" t="n">
        <v>0</v>
      </c>
      <c r="K133" s="22" t="n">
        <v>0</v>
      </c>
      <c r="L133" s="22" t="n">
        <v>0</v>
      </c>
      <c r="M133" s="22" t="n">
        <v>0</v>
      </c>
      <c r="N133" s="22" t="n">
        <v>0</v>
      </c>
      <c r="O133" s="22" t="n">
        <v>0</v>
      </c>
      <c r="P133" s="22" t="n">
        <v>0</v>
      </c>
      <c r="Q133" s="7" t="n">
        <f aca="false">$E133</f>
        <v>0</v>
      </c>
      <c r="R133" s="7" t="n">
        <f aca="false">$E133</f>
        <v>0</v>
      </c>
      <c r="S133" s="7" t="n">
        <f aca="false">$E133</f>
        <v>0</v>
      </c>
      <c r="T133" s="7" t="n">
        <f aca="false">$E133</f>
        <v>0</v>
      </c>
      <c r="U133" s="7" t="n">
        <f aca="false">$E133</f>
        <v>0</v>
      </c>
      <c r="V133" s="7" t="n">
        <f aca="false">$F133</f>
        <v>0</v>
      </c>
      <c r="W133" s="7" t="n">
        <f aca="false">$F133</f>
        <v>0</v>
      </c>
      <c r="X133" s="7" t="n">
        <f aca="false">$F133</f>
        <v>0</v>
      </c>
      <c r="Y133" s="7" t="n">
        <f aca="false">$F133</f>
        <v>0</v>
      </c>
      <c r="Z133" s="7" t="n">
        <f aca="false">$G133</f>
        <v>0</v>
      </c>
      <c r="AA133" s="7" t="n">
        <f aca="false">$G133</f>
        <v>0</v>
      </c>
      <c r="AB133" s="7" t="n">
        <f aca="false">$G133</f>
        <v>0</v>
      </c>
      <c r="AC133" s="7" t="n">
        <f aca="false">$G133</f>
        <v>0</v>
      </c>
      <c r="AD133" s="7" t="n">
        <f aca="false">$H133</f>
        <v>0</v>
      </c>
      <c r="AE133" s="7" t="n">
        <f aca="false">$H133</f>
        <v>0</v>
      </c>
      <c r="AF133" s="7" t="n">
        <f aca="false">$H133</f>
        <v>0</v>
      </c>
      <c r="AG133" s="7" t="n">
        <f aca="false">$H133</f>
        <v>0</v>
      </c>
      <c r="AH133" s="7" t="n">
        <f aca="false">$H133</f>
        <v>0</v>
      </c>
      <c r="AI133" s="7" t="n">
        <f aca="false">$I133</f>
        <v>0</v>
      </c>
      <c r="AJ133" s="7" t="n">
        <f aca="false">$I133</f>
        <v>0</v>
      </c>
      <c r="AK133" s="7" t="n">
        <f aca="false">$I133</f>
        <v>0</v>
      </c>
      <c r="AL133" s="7" t="n">
        <f aca="false">$I133</f>
        <v>0</v>
      </c>
      <c r="AM133" s="7" t="n">
        <f aca="false">$J133</f>
        <v>0</v>
      </c>
      <c r="AN133" s="7" t="n">
        <f aca="false">$J133</f>
        <v>0</v>
      </c>
      <c r="AO133" s="7" t="n">
        <f aca="false">$J133</f>
        <v>0</v>
      </c>
      <c r="AP133" s="7" t="n">
        <f aca="false">$J133</f>
        <v>0</v>
      </c>
      <c r="AQ133" s="7" t="n">
        <f aca="false">$K133</f>
        <v>0</v>
      </c>
      <c r="AR133" s="7" t="n">
        <f aca="false">$K133</f>
        <v>0</v>
      </c>
      <c r="AS133" s="7" t="n">
        <f aca="false">$K133</f>
        <v>0</v>
      </c>
      <c r="AT133" s="7" t="n">
        <f aca="false">$K133</f>
        <v>0</v>
      </c>
      <c r="AU133" s="7" t="n">
        <f aca="false">$K133</f>
        <v>0</v>
      </c>
      <c r="AV133" s="7" t="n">
        <f aca="false">$L133</f>
        <v>0</v>
      </c>
      <c r="AW133" s="7" t="n">
        <f aca="false">$L133</f>
        <v>0</v>
      </c>
      <c r="AX133" s="7" t="n">
        <f aca="false">$L133</f>
        <v>0</v>
      </c>
      <c r="AY133" s="7" t="n">
        <f aca="false">$L133</f>
        <v>0</v>
      </c>
      <c r="AZ133" s="7" t="n">
        <f aca="false">$M133</f>
        <v>0</v>
      </c>
      <c r="BA133" s="7" t="n">
        <f aca="false">$M133</f>
        <v>0</v>
      </c>
      <c r="BB133" s="7" t="n">
        <f aca="false">$M133</f>
        <v>0</v>
      </c>
      <c r="BC133" s="7" t="n">
        <f aca="false">$M133</f>
        <v>0</v>
      </c>
      <c r="BD133" s="7" t="n">
        <f aca="false">$N133</f>
        <v>0</v>
      </c>
      <c r="BE133" s="7" t="n">
        <f aca="false">$N133</f>
        <v>0</v>
      </c>
      <c r="BF133" s="7" t="n">
        <f aca="false">$N133</f>
        <v>0</v>
      </c>
      <c r="BG133" s="7" t="n">
        <f aca="false">$N133</f>
        <v>0</v>
      </c>
      <c r="BH133" s="7" t="n">
        <f aca="false">$N133</f>
        <v>0</v>
      </c>
      <c r="BI133" s="7" t="n">
        <f aca="false">$O133</f>
        <v>0</v>
      </c>
      <c r="BJ133" s="7" t="n">
        <f aca="false">$O133</f>
        <v>0</v>
      </c>
      <c r="BK133" s="7" t="n">
        <f aca="false">$O133</f>
        <v>0</v>
      </c>
      <c r="BL133" s="7" t="n">
        <f aca="false">$O133</f>
        <v>0</v>
      </c>
      <c r="BM133" s="7" t="n">
        <f aca="false">$P133</f>
        <v>0</v>
      </c>
      <c r="BN133" s="7" t="n">
        <f aca="false">$P133</f>
        <v>0</v>
      </c>
      <c r="BO133" s="7" t="n">
        <f aca="false">$P133</f>
        <v>0</v>
      </c>
      <c r="BP133" s="7" t="n">
        <f aca="false">$P133</f>
        <v>0</v>
      </c>
    </row>
    <row r="134" customFormat="false" ht="15" hidden="false" customHeight="false" outlineLevel="0" collapsed="false">
      <c r="A134" s="0" t="s">
        <v>236</v>
      </c>
      <c r="B134" s="0" t="s">
        <v>130</v>
      </c>
      <c r="C134" s="0" t="s">
        <v>117</v>
      </c>
      <c r="D134" s="0" t="n">
        <f aca="false">SUM(Q134:BP134)</f>
        <v>0</v>
      </c>
      <c r="E134" s="22" t="n">
        <v>0</v>
      </c>
      <c r="F134" s="22" t="n">
        <v>0</v>
      </c>
      <c r="G134" s="22" t="n">
        <v>0</v>
      </c>
      <c r="H134" s="22" t="n">
        <v>0</v>
      </c>
      <c r="I134" s="22" t="n">
        <v>0</v>
      </c>
      <c r="J134" s="22" t="n">
        <v>0</v>
      </c>
      <c r="K134" s="22" t="n">
        <v>0</v>
      </c>
      <c r="L134" s="22" t="n">
        <v>0</v>
      </c>
      <c r="M134" s="22" t="n">
        <v>0</v>
      </c>
      <c r="N134" s="22" t="n">
        <v>0</v>
      </c>
      <c r="O134" s="22" t="n">
        <v>0</v>
      </c>
      <c r="P134" s="22" t="n">
        <v>0</v>
      </c>
      <c r="Q134" s="7" t="n">
        <f aca="false">$E134</f>
        <v>0</v>
      </c>
      <c r="R134" s="7" t="n">
        <f aca="false">$E134</f>
        <v>0</v>
      </c>
      <c r="S134" s="7" t="n">
        <f aca="false">$E134</f>
        <v>0</v>
      </c>
      <c r="T134" s="7" t="n">
        <f aca="false">$E134</f>
        <v>0</v>
      </c>
      <c r="U134" s="7" t="n">
        <f aca="false">$E134</f>
        <v>0</v>
      </c>
      <c r="V134" s="7" t="n">
        <f aca="false">$F134</f>
        <v>0</v>
      </c>
      <c r="W134" s="7" t="n">
        <f aca="false">$F134</f>
        <v>0</v>
      </c>
      <c r="X134" s="7" t="n">
        <f aca="false">$F134</f>
        <v>0</v>
      </c>
      <c r="Y134" s="7" t="n">
        <f aca="false">$F134</f>
        <v>0</v>
      </c>
      <c r="Z134" s="7" t="n">
        <f aca="false">$G134</f>
        <v>0</v>
      </c>
      <c r="AA134" s="7" t="n">
        <f aca="false">$G134</f>
        <v>0</v>
      </c>
      <c r="AB134" s="7" t="n">
        <f aca="false">$G134</f>
        <v>0</v>
      </c>
      <c r="AC134" s="7" t="n">
        <f aca="false">$G134</f>
        <v>0</v>
      </c>
      <c r="AD134" s="7" t="n">
        <f aca="false">$H134</f>
        <v>0</v>
      </c>
      <c r="AE134" s="7" t="n">
        <f aca="false">$H134</f>
        <v>0</v>
      </c>
      <c r="AF134" s="7" t="n">
        <f aca="false">$H134</f>
        <v>0</v>
      </c>
      <c r="AG134" s="7" t="n">
        <f aca="false">$H134</f>
        <v>0</v>
      </c>
      <c r="AH134" s="7" t="n">
        <f aca="false">$H134</f>
        <v>0</v>
      </c>
      <c r="AI134" s="7" t="n">
        <f aca="false">$I134</f>
        <v>0</v>
      </c>
      <c r="AJ134" s="7" t="n">
        <f aca="false">$I134</f>
        <v>0</v>
      </c>
      <c r="AK134" s="7" t="n">
        <f aca="false">$I134</f>
        <v>0</v>
      </c>
      <c r="AL134" s="7" t="n">
        <f aca="false">$I134</f>
        <v>0</v>
      </c>
      <c r="AM134" s="7" t="n">
        <f aca="false">$J134</f>
        <v>0</v>
      </c>
      <c r="AN134" s="7" t="n">
        <f aca="false">$J134</f>
        <v>0</v>
      </c>
      <c r="AO134" s="7" t="n">
        <f aca="false">$J134</f>
        <v>0</v>
      </c>
      <c r="AP134" s="7" t="n">
        <f aca="false">$J134</f>
        <v>0</v>
      </c>
      <c r="AQ134" s="7" t="n">
        <f aca="false">$K134</f>
        <v>0</v>
      </c>
      <c r="AR134" s="7" t="n">
        <f aca="false">$K134</f>
        <v>0</v>
      </c>
      <c r="AS134" s="7" t="n">
        <f aca="false">$K134</f>
        <v>0</v>
      </c>
      <c r="AT134" s="7" t="n">
        <f aca="false">$K134</f>
        <v>0</v>
      </c>
      <c r="AU134" s="7" t="n">
        <f aca="false">$K134</f>
        <v>0</v>
      </c>
      <c r="AV134" s="7" t="n">
        <f aca="false">$L134</f>
        <v>0</v>
      </c>
      <c r="AW134" s="7" t="n">
        <f aca="false">$L134</f>
        <v>0</v>
      </c>
      <c r="AX134" s="7" t="n">
        <f aca="false">$L134</f>
        <v>0</v>
      </c>
      <c r="AY134" s="7" t="n">
        <f aca="false">$L134</f>
        <v>0</v>
      </c>
      <c r="AZ134" s="7" t="n">
        <f aca="false">$M134</f>
        <v>0</v>
      </c>
      <c r="BA134" s="7" t="n">
        <f aca="false">$M134</f>
        <v>0</v>
      </c>
      <c r="BB134" s="7" t="n">
        <f aca="false">$M134</f>
        <v>0</v>
      </c>
      <c r="BC134" s="7" t="n">
        <f aca="false">$M134</f>
        <v>0</v>
      </c>
      <c r="BD134" s="7" t="n">
        <f aca="false">$N134</f>
        <v>0</v>
      </c>
      <c r="BE134" s="7" t="n">
        <f aca="false">$N134</f>
        <v>0</v>
      </c>
      <c r="BF134" s="7" t="n">
        <f aca="false">$N134</f>
        <v>0</v>
      </c>
      <c r="BG134" s="7" t="n">
        <f aca="false">$N134</f>
        <v>0</v>
      </c>
      <c r="BH134" s="7" t="n">
        <f aca="false">$N134</f>
        <v>0</v>
      </c>
      <c r="BI134" s="7" t="n">
        <f aca="false">$O134</f>
        <v>0</v>
      </c>
      <c r="BJ134" s="7" t="n">
        <f aca="false">$O134</f>
        <v>0</v>
      </c>
      <c r="BK134" s="7" t="n">
        <f aca="false">$O134</f>
        <v>0</v>
      </c>
      <c r="BL134" s="7" t="n">
        <f aca="false">$O134</f>
        <v>0</v>
      </c>
      <c r="BM134" s="7" t="n">
        <f aca="false">$P134</f>
        <v>0</v>
      </c>
      <c r="BN134" s="7" t="n">
        <f aca="false">$P134</f>
        <v>0</v>
      </c>
      <c r="BO134" s="7" t="n">
        <f aca="false">$P134</f>
        <v>0</v>
      </c>
      <c r="BP134" s="7" t="n">
        <f aca="false">$P134</f>
        <v>0</v>
      </c>
    </row>
    <row r="135" customFormat="false" ht="15" hidden="false" customHeight="false" outlineLevel="0" collapsed="false">
      <c r="A135" s="0" t="s">
        <v>236</v>
      </c>
      <c r="B135" s="0" t="s">
        <v>130</v>
      </c>
      <c r="C135" s="0" t="s">
        <v>118</v>
      </c>
      <c r="D135" s="0" t="n">
        <f aca="false">SUM(Q135:BP135)</f>
        <v>0</v>
      </c>
      <c r="E135" s="22" t="n">
        <v>0</v>
      </c>
      <c r="F135" s="22" t="n">
        <v>0</v>
      </c>
      <c r="G135" s="22" t="n">
        <v>0</v>
      </c>
      <c r="H135" s="22" t="n">
        <v>0</v>
      </c>
      <c r="I135" s="22" t="n">
        <v>0</v>
      </c>
      <c r="J135" s="22" t="n">
        <v>0</v>
      </c>
      <c r="K135" s="22" t="n">
        <v>0</v>
      </c>
      <c r="L135" s="22" t="n">
        <v>0</v>
      </c>
      <c r="M135" s="22" t="n">
        <v>0</v>
      </c>
      <c r="N135" s="22" t="n">
        <v>0</v>
      </c>
      <c r="O135" s="22" t="n">
        <v>0</v>
      </c>
      <c r="P135" s="22" t="n">
        <v>0</v>
      </c>
      <c r="Q135" s="7" t="n">
        <f aca="false">$E135</f>
        <v>0</v>
      </c>
      <c r="R135" s="7" t="n">
        <f aca="false">$E135</f>
        <v>0</v>
      </c>
      <c r="S135" s="7" t="n">
        <f aca="false">$E135</f>
        <v>0</v>
      </c>
      <c r="T135" s="7" t="n">
        <f aca="false">$E135</f>
        <v>0</v>
      </c>
      <c r="U135" s="7" t="n">
        <f aca="false">$E135</f>
        <v>0</v>
      </c>
      <c r="V135" s="7" t="n">
        <f aca="false">$F135</f>
        <v>0</v>
      </c>
      <c r="W135" s="7" t="n">
        <f aca="false">$F135</f>
        <v>0</v>
      </c>
      <c r="X135" s="7" t="n">
        <f aca="false">$F135</f>
        <v>0</v>
      </c>
      <c r="Y135" s="7" t="n">
        <f aca="false">$F135</f>
        <v>0</v>
      </c>
      <c r="Z135" s="7" t="n">
        <f aca="false">$G135</f>
        <v>0</v>
      </c>
      <c r="AA135" s="7" t="n">
        <f aca="false">$G135</f>
        <v>0</v>
      </c>
      <c r="AB135" s="7" t="n">
        <f aca="false">$G135</f>
        <v>0</v>
      </c>
      <c r="AC135" s="7" t="n">
        <f aca="false">$G135</f>
        <v>0</v>
      </c>
      <c r="AD135" s="7" t="n">
        <f aca="false">$H135</f>
        <v>0</v>
      </c>
      <c r="AE135" s="7" t="n">
        <f aca="false">$H135</f>
        <v>0</v>
      </c>
      <c r="AF135" s="7" t="n">
        <f aca="false">$H135</f>
        <v>0</v>
      </c>
      <c r="AG135" s="7" t="n">
        <f aca="false">$H135</f>
        <v>0</v>
      </c>
      <c r="AH135" s="7" t="n">
        <f aca="false">$H135</f>
        <v>0</v>
      </c>
      <c r="AI135" s="7" t="n">
        <f aca="false">$I135</f>
        <v>0</v>
      </c>
      <c r="AJ135" s="7" t="n">
        <f aca="false">$I135</f>
        <v>0</v>
      </c>
      <c r="AK135" s="7" t="n">
        <f aca="false">$I135</f>
        <v>0</v>
      </c>
      <c r="AL135" s="7" t="n">
        <f aca="false">$I135</f>
        <v>0</v>
      </c>
      <c r="AM135" s="7" t="n">
        <f aca="false">$J135</f>
        <v>0</v>
      </c>
      <c r="AN135" s="7" t="n">
        <f aca="false">$J135</f>
        <v>0</v>
      </c>
      <c r="AO135" s="7" t="n">
        <f aca="false">$J135</f>
        <v>0</v>
      </c>
      <c r="AP135" s="7" t="n">
        <f aca="false">$J135</f>
        <v>0</v>
      </c>
      <c r="AQ135" s="7" t="n">
        <f aca="false">$K135</f>
        <v>0</v>
      </c>
      <c r="AR135" s="7" t="n">
        <f aca="false">$K135</f>
        <v>0</v>
      </c>
      <c r="AS135" s="7" t="n">
        <f aca="false">$K135</f>
        <v>0</v>
      </c>
      <c r="AT135" s="7" t="n">
        <f aca="false">$K135</f>
        <v>0</v>
      </c>
      <c r="AU135" s="7" t="n">
        <f aca="false">$K135</f>
        <v>0</v>
      </c>
      <c r="AV135" s="7" t="n">
        <f aca="false">$L135</f>
        <v>0</v>
      </c>
      <c r="AW135" s="7" t="n">
        <f aca="false">$L135</f>
        <v>0</v>
      </c>
      <c r="AX135" s="7" t="n">
        <f aca="false">$L135</f>
        <v>0</v>
      </c>
      <c r="AY135" s="7" t="n">
        <f aca="false">$L135</f>
        <v>0</v>
      </c>
      <c r="AZ135" s="7" t="n">
        <f aca="false">$M135</f>
        <v>0</v>
      </c>
      <c r="BA135" s="7" t="n">
        <f aca="false">$M135</f>
        <v>0</v>
      </c>
      <c r="BB135" s="7" t="n">
        <f aca="false">$M135</f>
        <v>0</v>
      </c>
      <c r="BC135" s="7" t="n">
        <f aca="false">$M135</f>
        <v>0</v>
      </c>
      <c r="BD135" s="7" t="n">
        <f aca="false">$N135</f>
        <v>0</v>
      </c>
      <c r="BE135" s="7" t="n">
        <f aca="false">$N135</f>
        <v>0</v>
      </c>
      <c r="BF135" s="7" t="n">
        <f aca="false">$N135</f>
        <v>0</v>
      </c>
      <c r="BG135" s="7" t="n">
        <f aca="false">$N135</f>
        <v>0</v>
      </c>
      <c r="BH135" s="7" t="n">
        <f aca="false">$N135</f>
        <v>0</v>
      </c>
      <c r="BI135" s="7" t="n">
        <f aca="false">$O135</f>
        <v>0</v>
      </c>
      <c r="BJ135" s="7" t="n">
        <f aca="false">$O135</f>
        <v>0</v>
      </c>
      <c r="BK135" s="7" t="n">
        <f aca="false">$O135</f>
        <v>0</v>
      </c>
      <c r="BL135" s="7" t="n">
        <f aca="false">$O135</f>
        <v>0</v>
      </c>
      <c r="BM135" s="7" t="n">
        <f aca="false">$P135</f>
        <v>0</v>
      </c>
      <c r="BN135" s="7" t="n">
        <f aca="false">$P135</f>
        <v>0</v>
      </c>
      <c r="BO135" s="7" t="n">
        <f aca="false">$P135</f>
        <v>0</v>
      </c>
      <c r="BP135" s="7" t="n">
        <f aca="false">$P135</f>
        <v>0</v>
      </c>
    </row>
    <row r="136" customFormat="false" ht="15" hidden="false" customHeight="false" outlineLevel="0" collapsed="false">
      <c r="A136" s="0" t="s">
        <v>236</v>
      </c>
      <c r="B136" s="0" t="s">
        <v>130</v>
      </c>
      <c r="C136" s="0" t="s">
        <v>119</v>
      </c>
      <c r="D136" s="0" t="n">
        <f aca="false">SUM(Q136:BP136)</f>
        <v>0</v>
      </c>
      <c r="E136" s="13" t="n">
        <v>0</v>
      </c>
      <c r="F136" s="13" t="n">
        <v>0</v>
      </c>
      <c r="G136" s="13" t="n">
        <v>0</v>
      </c>
      <c r="H136" s="13" t="n">
        <v>0</v>
      </c>
      <c r="I136" s="13" t="n">
        <v>0</v>
      </c>
      <c r="J136" s="13" t="n">
        <v>0</v>
      </c>
      <c r="K136" s="13" t="n">
        <v>0</v>
      </c>
      <c r="L136" s="13" t="n">
        <v>0</v>
      </c>
      <c r="M136" s="13" t="n">
        <v>0</v>
      </c>
      <c r="N136" s="13" t="n">
        <v>0</v>
      </c>
      <c r="O136" s="13" t="n">
        <v>0</v>
      </c>
      <c r="P136" s="13" t="n">
        <v>0</v>
      </c>
      <c r="Q136" s="7" t="n">
        <f aca="false">$E136</f>
        <v>0</v>
      </c>
      <c r="R136" s="7" t="n">
        <f aca="false">$E136</f>
        <v>0</v>
      </c>
      <c r="S136" s="7" t="n">
        <f aca="false">$E136</f>
        <v>0</v>
      </c>
      <c r="T136" s="7" t="n">
        <f aca="false">$E136</f>
        <v>0</v>
      </c>
      <c r="U136" s="7" t="n">
        <f aca="false">$E136</f>
        <v>0</v>
      </c>
      <c r="V136" s="7" t="n">
        <f aca="false">$F136</f>
        <v>0</v>
      </c>
      <c r="W136" s="7" t="n">
        <f aca="false">$F136</f>
        <v>0</v>
      </c>
      <c r="X136" s="7" t="n">
        <f aca="false">$F136</f>
        <v>0</v>
      </c>
      <c r="Y136" s="7" t="n">
        <f aca="false">$F136</f>
        <v>0</v>
      </c>
      <c r="Z136" s="7" t="n">
        <f aca="false">$G136</f>
        <v>0</v>
      </c>
      <c r="AA136" s="7" t="n">
        <f aca="false">$G136</f>
        <v>0</v>
      </c>
      <c r="AB136" s="7" t="n">
        <f aca="false">$G136</f>
        <v>0</v>
      </c>
      <c r="AC136" s="7" t="n">
        <f aca="false">$G136</f>
        <v>0</v>
      </c>
      <c r="AD136" s="7" t="n">
        <f aca="false">$H136</f>
        <v>0</v>
      </c>
      <c r="AE136" s="7" t="n">
        <f aca="false">$H136</f>
        <v>0</v>
      </c>
      <c r="AF136" s="7" t="n">
        <f aca="false">$H136</f>
        <v>0</v>
      </c>
      <c r="AG136" s="7" t="n">
        <f aca="false">$H136</f>
        <v>0</v>
      </c>
      <c r="AH136" s="7" t="n">
        <f aca="false">$H136</f>
        <v>0</v>
      </c>
      <c r="AI136" s="7" t="n">
        <f aca="false">$I136</f>
        <v>0</v>
      </c>
      <c r="AJ136" s="7" t="n">
        <f aca="false">$I136</f>
        <v>0</v>
      </c>
      <c r="AK136" s="7" t="n">
        <f aca="false">$I136</f>
        <v>0</v>
      </c>
      <c r="AL136" s="7" t="n">
        <f aca="false">$I136</f>
        <v>0</v>
      </c>
      <c r="AM136" s="7" t="n">
        <f aca="false">$J136</f>
        <v>0</v>
      </c>
      <c r="AN136" s="7" t="n">
        <f aca="false">$J136</f>
        <v>0</v>
      </c>
      <c r="AO136" s="7" t="n">
        <f aca="false">$J136</f>
        <v>0</v>
      </c>
      <c r="AP136" s="7" t="n">
        <f aca="false">$J136</f>
        <v>0</v>
      </c>
      <c r="AQ136" s="7" t="n">
        <f aca="false">$K136</f>
        <v>0</v>
      </c>
      <c r="AR136" s="7" t="n">
        <f aca="false">$K136</f>
        <v>0</v>
      </c>
      <c r="AS136" s="7" t="n">
        <f aca="false">$K136</f>
        <v>0</v>
      </c>
      <c r="AT136" s="7" t="n">
        <f aca="false">$K136</f>
        <v>0</v>
      </c>
      <c r="AU136" s="7" t="n">
        <f aca="false">$K136</f>
        <v>0</v>
      </c>
      <c r="AV136" s="7" t="n">
        <f aca="false">$L136</f>
        <v>0</v>
      </c>
      <c r="AW136" s="7" t="n">
        <f aca="false">$L136</f>
        <v>0</v>
      </c>
      <c r="AX136" s="7" t="n">
        <f aca="false">$L136</f>
        <v>0</v>
      </c>
      <c r="AY136" s="7" t="n">
        <f aca="false">$L136</f>
        <v>0</v>
      </c>
      <c r="AZ136" s="7" t="n">
        <f aca="false">$M136</f>
        <v>0</v>
      </c>
      <c r="BA136" s="7" t="n">
        <f aca="false">$M136</f>
        <v>0</v>
      </c>
      <c r="BB136" s="7" t="n">
        <f aca="false">$M136</f>
        <v>0</v>
      </c>
      <c r="BC136" s="7" t="n">
        <f aca="false">$M136</f>
        <v>0</v>
      </c>
      <c r="BD136" s="7" t="n">
        <f aca="false">$N136</f>
        <v>0</v>
      </c>
      <c r="BE136" s="7" t="n">
        <f aca="false">$N136</f>
        <v>0</v>
      </c>
      <c r="BF136" s="7" t="n">
        <f aca="false">$N136</f>
        <v>0</v>
      </c>
      <c r="BG136" s="7" t="n">
        <f aca="false">$N136</f>
        <v>0</v>
      </c>
      <c r="BH136" s="7" t="n">
        <f aca="false">$N136</f>
        <v>0</v>
      </c>
      <c r="BI136" s="7" t="n">
        <f aca="false">$O136</f>
        <v>0</v>
      </c>
      <c r="BJ136" s="7" t="n">
        <f aca="false">$O136</f>
        <v>0</v>
      </c>
      <c r="BK136" s="7" t="n">
        <f aca="false">$O136</f>
        <v>0</v>
      </c>
      <c r="BL136" s="7" t="n">
        <f aca="false">$O136</f>
        <v>0</v>
      </c>
      <c r="BM136" s="7" t="n">
        <f aca="false">$P136</f>
        <v>0</v>
      </c>
      <c r="BN136" s="7" t="n">
        <f aca="false">$P136</f>
        <v>0</v>
      </c>
      <c r="BO136" s="7" t="n">
        <f aca="false">$P136</f>
        <v>0</v>
      </c>
      <c r="BP136" s="7" t="n">
        <f aca="false">$P136</f>
        <v>0</v>
      </c>
    </row>
    <row r="137" customFormat="false" ht="15" hidden="false" customHeight="false" outlineLevel="0" collapsed="false">
      <c r="A137" s="0" t="s">
        <v>236</v>
      </c>
      <c r="B137" s="0" t="s">
        <v>130</v>
      </c>
      <c r="C137" s="0" t="s">
        <v>120</v>
      </c>
      <c r="D137" s="0" t="n">
        <f aca="false">SUM(Q137:BP137)</f>
        <v>0</v>
      </c>
      <c r="E137" s="13" t="n">
        <v>0</v>
      </c>
      <c r="F137" s="13" t="n">
        <v>0</v>
      </c>
      <c r="G137" s="13" t="n">
        <v>0</v>
      </c>
      <c r="H137" s="13" t="n">
        <v>0</v>
      </c>
      <c r="I137" s="13" t="n">
        <v>0</v>
      </c>
      <c r="J137" s="13" t="n">
        <v>0</v>
      </c>
      <c r="K137" s="13" t="n">
        <v>0</v>
      </c>
      <c r="L137" s="13" t="n">
        <v>0</v>
      </c>
      <c r="M137" s="13" t="n">
        <v>0</v>
      </c>
      <c r="N137" s="13" t="n">
        <v>0</v>
      </c>
      <c r="O137" s="13" t="n">
        <v>0</v>
      </c>
      <c r="P137" s="13" t="n">
        <v>0</v>
      </c>
      <c r="Q137" s="7" t="n">
        <f aca="false">$E137</f>
        <v>0</v>
      </c>
      <c r="R137" s="7" t="n">
        <f aca="false">$E137</f>
        <v>0</v>
      </c>
      <c r="S137" s="7" t="n">
        <f aca="false">$E137</f>
        <v>0</v>
      </c>
      <c r="T137" s="7" t="n">
        <f aca="false">$E137</f>
        <v>0</v>
      </c>
      <c r="U137" s="7" t="n">
        <f aca="false">$E137</f>
        <v>0</v>
      </c>
      <c r="V137" s="7" t="n">
        <f aca="false">$F137</f>
        <v>0</v>
      </c>
      <c r="W137" s="7" t="n">
        <f aca="false">$F137</f>
        <v>0</v>
      </c>
      <c r="X137" s="7" t="n">
        <f aca="false">$F137</f>
        <v>0</v>
      </c>
      <c r="Y137" s="7" t="n">
        <f aca="false">$F137</f>
        <v>0</v>
      </c>
      <c r="Z137" s="7" t="n">
        <f aca="false">$G137</f>
        <v>0</v>
      </c>
      <c r="AA137" s="7" t="n">
        <f aca="false">$G137</f>
        <v>0</v>
      </c>
      <c r="AB137" s="7" t="n">
        <f aca="false">$G137</f>
        <v>0</v>
      </c>
      <c r="AC137" s="7" t="n">
        <f aca="false">$G137</f>
        <v>0</v>
      </c>
      <c r="AD137" s="7" t="n">
        <f aca="false">$H137</f>
        <v>0</v>
      </c>
      <c r="AE137" s="7" t="n">
        <f aca="false">$H137</f>
        <v>0</v>
      </c>
      <c r="AF137" s="7" t="n">
        <f aca="false">$H137</f>
        <v>0</v>
      </c>
      <c r="AG137" s="7" t="n">
        <f aca="false">$H137</f>
        <v>0</v>
      </c>
      <c r="AH137" s="7" t="n">
        <f aca="false">$H137</f>
        <v>0</v>
      </c>
      <c r="AI137" s="7" t="n">
        <f aca="false">$I137</f>
        <v>0</v>
      </c>
      <c r="AJ137" s="7" t="n">
        <f aca="false">$I137</f>
        <v>0</v>
      </c>
      <c r="AK137" s="7" t="n">
        <f aca="false">$I137</f>
        <v>0</v>
      </c>
      <c r="AL137" s="7" t="n">
        <f aca="false">$I137</f>
        <v>0</v>
      </c>
      <c r="AM137" s="7" t="n">
        <f aca="false">$J137</f>
        <v>0</v>
      </c>
      <c r="AN137" s="7" t="n">
        <f aca="false">$J137</f>
        <v>0</v>
      </c>
      <c r="AO137" s="7" t="n">
        <f aca="false">$J137</f>
        <v>0</v>
      </c>
      <c r="AP137" s="7" t="n">
        <f aca="false">$J137</f>
        <v>0</v>
      </c>
      <c r="AQ137" s="7" t="n">
        <f aca="false">$K137</f>
        <v>0</v>
      </c>
      <c r="AR137" s="7" t="n">
        <f aca="false">$K137</f>
        <v>0</v>
      </c>
      <c r="AS137" s="7" t="n">
        <f aca="false">$K137</f>
        <v>0</v>
      </c>
      <c r="AT137" s="7" t="n">
        <f aca="false">$K137</f>
        <v>0</v>
      </c>
      <c r="AU137" s="7" t="n">
        <f aca="false">$K137</f>
        <v>0</v>
      </c>
      <c r="AV137" s="7" t="n">
        <f aca="false">$L137</f>
        <v>0</v>
      </c>
      <c r="AW137" s="7" t="n">
        <f aca="false">$L137</f>
        <v>0</v>
      </c>
      <c r="AX137" s="7" t="n">
        <f aca="false">$L137</f>
        <v>0</v>
      </c>
      <c r="AY137" s="7" t="n">
        <f aca="false">$L137</f>
        <v>0</v>
      </c>
      <c r="AZ137" s="7" t="n">
        <f aca="false">$M137</f>
        <v>0</v>
      </c>
      <c r="BA137" s="7" t="n">
        <f aca="false">$M137</f>
        <v>0</v>
      </c>
      <c r="BB137" s="7" t="n">
        <f aca="false">$M137</f>
        <v>0</v>
      </c>
      <c r="BC137" s="7" t="n">
        <f aca="false">$M137</f>
        <v>0</v>
      </c>
      <c r="BD137" s="7" t="n">
        <f aca="false">$N137</f>
        <v>0</v>
      </c>
      <c r="BE137" s="7" t="n">
        <f aca="false">$N137</f>
        <v>0</v>
      </c>
      <c r="BF137" s="7" t="n">
        <f aca="false">$N137</f>
        <v>0</v>
      </c>
      <c r="BG137" s="7" t="n">
        <f aca="false">$N137</f>
        <v>0</v>
      </c>
      <c r="BH137" s="7" t="n">
        <f aca="false">$N137</f>
        <v>0</v>
      </c>
      <c r="BI137" s="7" t="n">
        <f aca="false">$O137</f>
        <v>0</v>
      </c>
      <c r="BJ137" s="7" t="n">
        <f aca="false">$O137</f>
        <v>0</v>
      </c>
      <c r="BK137" s="7" t="n">
        <f aca="false">$O137</f>
        <v>0</v>
      </c>
      <c r="BL137" s="7" t="n">
        <f aca="false">$O137</f>
        <v>0</v>
      </c>
      <c r="BM137" s="7" t="n">
        <f aca="false">$P137</f>
        <v>0</v>
      </c>
      <c r="BN137" s="7" t="n">
        <f aca="false">$P137</f>
        <v>0</v>
      </c>
      <c r="BO137" s="7" t="n">
        <f aca="false">$P137</f>
        <v>0</v>
      </c>
      <c r="BP137" s="7" t="n">
        <f aca="false">$P137</f>
        <v>0</v>
      </c>
    </row>
    <row r="138" customFormat="false" ht="15" hidden="false" customHeight="false" outlineLevel="0" collapsed="false">
      <c r="A138" s="0" t="s">
        <v>236</v>
      </c>
      <c r="B138" s="0" t="s">
        <v>130</v>
      </c>
      <c r="C138" s="0" t="s">
        <v>121</v>
      </c>
      <c r="D138" s="0" t="n">
        <f aca="false">SUM(Q138:BP138)</f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7" t="n">
        <f aca="false">$E138</f>
        <v>0</v>
      </c>
      <c r="R138" s="7" t="n">
        <f aca="false">$E138</f>
        <v>0</v>
      </c>
      <c r="S138" s="7" t="n">
        <f aca="false">$E138</f>
        <v>0</v>
      </c>
      <c r="T138" s="7" t="n">
        <f aca="false">$E138</f>
        <v>0</v>
      </c>
      <c r="U138" s="7" t="n">
        <f aca="false">$E138</f>
        <v>0</v>
      </c>
      <c r="V138" s="7" t="n">
        <f aca="false">$F138</f>
        <v>0</v>
      </c>
      <c r="W138" s="7" t="n">
        <f aca="false">$F138</f>
        <v>0</v>
      </c>
      <c r="X138" s="7" t="n">
        <f aca="false">$F138</f>
        <v>0</v>
      </c>
      <c r="Y138" s="7" t="n">
        <f aca="false">$F138</f>
        <v>0</v>
      </c>
      <c r="Z138" s="7" t="n">
        <f aca="false">$G138</f>
        <v>0</v>
      </c>
      <c r="AA138" s="7" t="n">
        <f aca="false">$G138</f>
        <v>0</v>
      </c>
      <c r="AB138" s="7" t="n">
        <f aca="false">$G138</f>
        <v>0</v>
      </c>
      <c r="AC138" s="7" t="n">
        <f aca="false">$G138</f>
        <v>0</v>
      </c>
      <c r="AD138" s="7" t="n">
        <f aca="false">$H138</f>
        <v>0</v>
      </c>
      <c r="AE138" s="7" t="n">
        <f aca="false">$H138</f>
        <v>0</v>
      </c>
      <c r="AF138" s="7" t="n">
        <f aca="false">$H138</f>
        <v>0</v>
      </c>
      <c r="AG138" s="7" t="n">
        <f aca="false">$H138</f>
        <v>0</v>
      </c>
      <c r="AH138" s="7" t="n">
        <f aca="false">$H138</f>
        <v>0</v>
      </c>
      <c r="AI138" s="7" t="n">
        <f aca="false">$I138</f>
        <v>0</v>
      </c>
      <c r="AJ138" s="7" t="n">
        <f aca="false">$I138</f>
        <v>0</v>
      </c>
      <c r="AK138" s="7" t="n">
        <f aca="false">$I138</f>
        <v>0</v>
      </c>
      <c r="AL138" s="7" t="n">
        <f aca="false">$I138</f>
        <v>0</v>
      </c>
      <c r="AM138" s="7" t="n">
        <f aca="false">$J138</f>
        <v>0</v>
      </c>
      <c r="AN138" s="7" t="n">
        <f aca="false">$J138</f>
        <v>0</v>
      </c>
      <c r="AO138" s="7" t="n">
        <f aca="false">$J138</f>
        <v>0</v>
      </c>
      <c r="AP138" s="7" t="n">
        <f aca="false">$J138</f>
        <v>0</v>
      </c>
      <c r="AQ138" s="7" t="n">
        <f aca="false">$K138</f>
        <v>0</v>
      </c>
      <c r="AR138" s="7" t="n">
        <f aca="false">$K138</f>
        <v>0</v>
      </c>
      <c r="AS138" s="7" t="n">
        <f aca="false">$K138</f>
        <v>0</v>
      </c>
      <c r="AT138" s="7" t="n">
        <f aca="false">$K138</f>
        <v>0</v>
      </c>
      <c r="AU138" s="7" t="n">
        <f aca="false">$K138</f>
        <v>0</v>
      </c>
      <c r="AV138" s="7" t="n">
        <f aca="false">$L138</f>
        <v>0</v>
      </c>
      <c r="AW138" s="7" t="n">
        <f aca="false">$L138</f>
        <v>0</v>
      </c>
      <c r="AX138" s="7" t="n">
        <f aca="false">$L138</f>
        <v>0</v>
      </c>
      <c r="AY138" s="7" t="n">
        <f aca="false">$L138</f>
        <v>0</v>
      </c>
      <c r="AZ138" s="7" t="n">
        <f aca="false">$M138</f>
        <v>0</v>
      </c>
      <c r="BA138" s="7" t="n">
        <f aca="false">$M138</f>
        <v>0</v>
      </c>
      <c r="BB138" s="7" t="n">
        <f aca="false">$M138</f>
        <v>0</v>
      </c>
      <c r="BC138" s="7" t="n">
        <f aca="false">$M138</f>
        <v>0</v>
      </c>
      <c r="BD138" s="7" t="n">
        <f aca="false">$N138</f>
        <v>0</v>
      </c>
      <c r="BE138" s="7" t="n">
        <f aca="false">$N138</f>
        <v>0</v>
      </c>
      <c r="BF138" s="7" t="n">
        <f aca="false">$N138</f>
        <v>0</v>
      </c>
      <c r="BG138" s="7" t="n">
        <f aca="false">$N138</f>
        <v>0</v>
      </c>
      <c r="BH138" s="7" t="n">
        <f aca="false">$N138</f>
        <v>0</v>
      </c>
      <c r="BI138" s="7" t="n">
        <f aca="false">$O138</f>
        <v>0</v>
      </c>
      <c r="BJ138" s="7" t="n">
        <f aca="false">$O138</f>
        <v>0</v>
      </c>
      <c r="BK138" s="7" t="n">
        <f aca="false">$O138</f>
        <v>0</v>
      </c>
      <c r="BL138" s="7" t="n">
        <f aca="false">$O138</f>
        <v>0</v>
      </c>
      <c r="BM138" s="7" t="n">
        <f aca="false">$P138</f>
        <v>0</v>
      </c>
      <c r="BN138" s="7" t="n">
        <f aca="false">$P138</f>
        <v>0</v>
      </c>
      <c r="BO138" s="7" t="n">
        <f aca="false">$P138</f>
        <v>0</v>
      </c>
      <c r="BP138" s="7" t="n">
        <f aca="false">$P138</f>
        <v>0</v>
      </c>
    </row>
    <row r="139" customFormat="false" ht="15" hidden="false" customHeight="false" outlineLevel="0" collapsed="false">
      <c r="A139" s="0" t="s">
        <v>236</v>
      </c>
      <c r="B139" s="0" t="s">
        <v>130</v>
      </c>
      <c r="C139" s="0" t="s">
        <v>122</v>
      </c>
      <c r="D139" s="0" t="n">
        <f aca="false">SUM(Q139:BP139)</f>
        <v>0</v>
      </c>
      <c r="E139" s="13" t="n">
        <v>0</v>
      </c>
      <c r="F139" s="13" t="n">
        <v>0</v>
      </c>
      <c r="G139" s="13" t="n">
        <v>0</v>
      </c>
      <c r="H139" s="13" t="n">
        <v>0</v>
      </c>
      <c r="I139" s="13" t="n">
        <v>0</v>
      </c>
      <c r="J139" s="13" t="n">
        <v>0</v>
      </c>
      <c r="K139" s="13" t="n">
        <v>0</v>
      </c>
      <c r="L139" s="13" t="n">
        <v>0</v>
      </c>
      <c r="M139" s="13" t="n">
        <v>0</v>
      </c>
      <c r="N139" s="13" t="n">
        <v>0</v>
      </c>
      <c r="O139" s="13" t="n">
        <v>0</v>
      </c>
      <c r="P139" s="13" t="n">
        <v>0</v>
      </c>
      <c r="Q139" s="7" t="n">
        <f aca="false">$E139</f>
        <v>0</v>
      </c>
      <c r="R139" s="7" t="n">
        <f aca="false">$E139</f>
        <v>0</v>
      </c>
      <c r="S139" s="7" t="n">
        <f aca="false">$E139</f>
        <v>0</v>
      </c>
      <c r="T139" s="7" t="n">
        <f aca="false">$E139</f>
        <v>0</v>
      </c>
      <c r="U139" s="7" t="n">
        <f aca="false">$E139</f>
        <v>0</v>
      </c>
      <c r="V139" s="7" t="n">
        <f aca="false">$F139</f>
        <v>0</v>
      </c>
      <c r="W139" s="7" t="n">
        <f aca="false">$F139</f>
        <v>0</v>
      </c>
      <c r="X139" s="7" t="n">
        <f aca="false">$F139</f>
        <v>0</v>
      </c>
      <c r="Y139" s="7" t="n">
        <f aca="false">$F139</f>
        <v>0</v>
      </c>
      <c r="Z139" s="7" t="n">
        <f aca="false">$G139</f>
        <v>0</v>
      </c>
      <c r="AA139" s="7" t="n">
        <f aca="false">$G139</f>
        <v>0</v>
      </c>
      <c r="AB139" s="7" t="n">
        <f aca="false">$G139</f>
        <v>0</v>
      </c>
      <c r="AC139" s="7" t="n">
        <f aca="false">$G139</f>
        <v>0</v>
      </c>
      <c r="AD139" s="7" t="n">
        <f aca="false">$H139</f>
        <v>0</v>
      </c>
      <c r="AE139" s="7" t="n">
        <f aca="false">$H139</f>
        <v>0</v>
      </c>
      <c r="AF139" s="7" t="n">
        <f aca="false">$H139</f>
        <v>0</v>
      </c>
      <c r="AG139" s="7" t="n">
        <f aca="false">$H139</f>
        <v>0</v>
      </c>
      <c r="AH139" s="7" t="n">
        <f aca="false">$H139</f>
        <v>0</v>
      </c>
      <c r="AI139" s="7" t="n">
        <f aca="false">$I139</f>
        <v>0</v>
      </c>
      <c r="AJ139" s="7" t="n">
        <f aca="false">$I139</f>
        <v>0</v>
      </c>
      <c r="AK139" s="7" t="n">
        <f aca="false">$I139</f>
        <v>0</v>
      </c>
      <c r="AL139" s="7" t="n">
        <f aca="false">$I139</f>
        <v>0</v>
      </c>
      <c r="AM139" s="7" t="n">
        <f aca="false">$J139</f>
        <v>0</v>
      </c>
      <c r="AN139" s="7" t="n">
        <f aca="false">$J139</f>
        <v>0</v>
      </c>
      <c r="AO139" s="7" t="n">
        <f aca="false">$J139</f>
        <v>0</v>
      </c>
      <c r="AP139" s="7" t="n">
        <f aca="false">$J139</f>
        <v>0</v>
      </c>
      <c r="AQ139" s="7" t="n">
        <f aca="false">$K139</f>
        <v>0</v>
      </c>
      <c r="AR139" s="7" t="n">
        <f aca="false">$K139</f>
        <v>0</v>
      </c>
      <c r="AS139" s="7" t="n">
        <f aca="false">$K139</f>
        <v>0</v>
      </c>
      <c r="AT139" s="7" t="n">
        <f aca="false">$K139</f>
        <v>0</v>
      </c>
      <c r="AU139" s="7" t="n">
        <f aca="false">$K139</f>
        <v>0</v>
      </c>
      <c r="AV139" s="7" t="n">
        <f aca="false">$L139</f>
        <v>0</v>
      </c>
      <c r="AW139" s="7" t="n">
        <f aca="false">$L139</f>
        <v>0</v>
      </c>
      <c r="AX139" s="7" t="n">
        <f aca="false">$L139</f>
        <v>0</v>
      </c>
      <c r="AY139" s="7" t="n">
        <f aca="false">$L139</f>
        <v>0</v>
      </c>
      <c r="AZ139" s="7" t="n">
        <f aca="false">$M139</f>
        <v>0</v>
      </c>
      <c r="BA139" s="7" t="n">
        <f aca="false">$M139</f>
        <v>0</v>
      </c>
      <c r="BB139" s="7" t="n">
        <f aca="false">$M139</f>
        <v>0</v>
      </c>
      <c r="BC139" s="7" t="n">
        <f aca="false">$M139</f>
        <v>0</v>
      </c>
      <c r="BD139" s="7" t="n">
        <f aca="false">$N139</f>
        <v>0</v>
      </c>
      <c r="BE139" s="7" t="n">
        <f aca="false">$N139</f>
        <v>0</v>
      </c>
      <c r="BF139" s="7" t="n">
        <f aca="false">$N139</f>
        <v>0</v>
      </c>
      <c r="BG139" s="7" t="n">
        <f aca="false">$N139</f>
        <v>0</v>
      </c>
      <c r="BH139" s="7" t="n">
        <f aca="false">$N139</f>
        <v>0</v>
      </c>
      <c r="BI139" s="7" t="n">
        <f aca="false">$O139</f>
        <v>0</v>
      </c>
      <c r="BJ139" s="7" t="n">
        <f aca="false">$O139</f>
        <v>0</v>
      </c>
      <c r="BK139" s="7" t="n">
        <f aca="false">$O139</f>
        <v>0</v>
      </c>
      <c r="BL139" s="7" t="n">
        <f aca="false">$O139</f>
        <v>0</v>
      </c>
      <c r="BM139" s="7" t="n">
        <f aca="false">$P139</f>
        <v>0</v>
      </c>
      <c r="BN139" s="7" t="n">
        <f aca="false">$P139</f>
        <v>0</v>
      </c>
      <c r="BO139" s="7" t="n">
        <f aca="false">$P139</f>
        <v>0</v>
      </c>
      <c r="BP139" s="7" t="n">
        <f aca="false">$P139</f>
        <v>0</v>
      </c>
    </row>
    <row r="140" customFormat="false" ht="15" hidden="false" customHeight="false" outlineLevel="0" collapsed="false">
      <c r="A140" s="0" t="s">
        <v>236</v>
      </c>
      <c r="B140" s="0" t="s">
        <v>130</v>
      </c>
      <c r="C140" s="0" t="s">
        <v>123</v>
      </c>
      <c r="D140" s="0" t="n">
        <f aca="false">SUM(Q140:BP140)</f>
        <v>0</v>
      </c>
      <c r="E140" s="13" t="n">
        <v>0</v>
      </c>
      <c r="F140" s="13" t="n">
        <v>0</v>
      </c>
      <c r="G140" s="13" t="n">
        <v>0</v>
      </c>
      <c r="H140" s="13" t="n">
        <v>0</v>
      </c>
      <c r="I140" s="13" t="n">
        <v>0</v>
      </c>
      <c r="J140" s="13" t="n">
        <v>0</v>
      </c>
      <c r="K140" s="13" t="n">
        <v>0</v>
      </c>
      <c r="L140" s="13" t="n">
        <v>0</v>
      </c>
      <c r="M140" s="13" t="n">
        <v>0</v>
      </c>
      <c r="N140" s="13" t="n">
        <v>0</v>
      </c>
      <c r="O140" s="13" t="n">
        <v>0</v>
      </c>
      <c r="P140" s="13" t="n">
        <v>0</v>
      </c>
      <c r="Q140" s="7" t="n">
        <f aca="false">$E140</f>
        <v>0</v>
      </c>
      <c r="R140" s="7" t="n">
        <f aca="false">$E140</f>
        <v>0</v>
      </c>
      <c r="S140" s="7" t="n">
        <f aca="false">$E140</f>
        <v>0</v>
      </c>
      <c r="T140" s="7" t="n">
        <f aca="false">$E140</f>
        <v>0</v>
      </c>
      <c r="U140" s="7" t="n">
        <f aca="false">$E140</f>
        <v>0</v>
      </c>
      <c r="V140" s="7" t="n">
        <f aca="false">$F140</f>
        <v>0</v>
      </c>
      <c r="W140" s="7" t="n">
        <f aca="false">$F140</f>
        <v>0</v>
      </c>
      <c r="X140" s="7" t="n">
        <f aca="false">$F140</f>
        <v>0</v>
      </c>
      <c r="Y140" s="7" t="n">
        <f aca="false">$F140</f>
        <v>0</v>
      </c>
      <c r="Z140" s="7" t="n">
        <f aca="false">$G140</f>
        <v>0</v>
      </c>
      <c r="AA140" s="7" t="n">
        <f aca="false">$G140</f>
        <v>0</v>
      </c>
      <c r="AB140" s="7" t="n">
        <f aca="false">$G140</f>
        <v>0</v>
      </c>
      <c r="AC140" s="7" t="n">
        <f aca="false">$G140</f>
        <v>0</v>
      </c>
      <c r="AD140" s="7" t="n">
        <f aca="false">$H140</f>
        <v>0</v>
      </c>
      <c r="AE140" s="7" t="n">
        <f aca="false">$H140</f>
        <v>0</v>
      </c>
      <c r="AF140" s="7" t="n">
        <f aca="false">$H140</f>
        <v>0</v>
      </c>
      <c r="AG140" s="7" t="n">
        <f aca="false">$H140</f>
        <v>0</v>
      </c>
      <c r="AH140" s="7" t="n">
        <f aca="false">$H140</f>
        <v>0</v>
      </c>
      <c r="AI140" s="7" t="n">
        <f aca="false">$I140</f>
        <v>0</v>
      </c>
      <c r="AJ140" s="7" t="n">
        <f aca="false">$I140</f>
        <v>0</v>
      </c>
      <c r="AK140" s="7" t="n">
        <f aca="false">$I140</f>
        <v>0</v>
      </c>
      <c r="AL140" s="7" t="n">
        <f aca="false">$I140</f>
        <v>0</v>
      </c>
      <c r="AM140" s="7" t="n">
        <f aca="false">$J140</f>
        <v>0</v>
      </c>
      <c r="AN140" s="7" t="n">
        <f aca="false">$J140</f>
        <v>0</v>
      </c>
      <c r="AO140" s="7" t="n">
        <f aca="false">$J140</f>
        <v>0</v>
      </c>
      <c r="AP140" s="7" t="n">
        <f aca="false">$J140</f>
        <v>0</v>
      </c>
      <c r="AQ140" s="7" t="n">
        <f aca="false">$K140</f>
        <v>0</v>
      </c>
      <c r="AR140" s="7" t="n">
        <f aca="false">$K140</f>
        <v>0</v>
      </c>
      <c r="AS140" s="7" t="n">
        <f aca="false">$K140</f>
        <v>0</v>
      </c>
      <c r="AT140" s="7" t="n">
        <f aca="false">$K140</f>
        <v>0</v>
      </c>
      <c r="AU140" s="7" t="n">
        <f aca="false">$K140</f>
        <v>0</v>
      </c>
      <c r="AV140" s="7" t="n">
        <f aca="false">$L140</f>
        <v>0</v>
      </c>
      <c r="AW140" s="7" t="n">
        <f aca="false">$L140</f>
        <v>0</v>
      </c>
      <c r="AX140" s="7" t="n">
        <f aca="false">$L140</f>
        <v>0</v>
      </c>
      <c r="AY140" s="7" t="n">
        <f aca="false">$L140</f>
        <v>0</v>
      </c>
      <c r="AZ140" s="7" t="n">
        <f aca="false">$M140</f>
        <v>0</v>
      </c>
      <c r="BA140" s="7" t="n">
        <f aca="false">$M140</f>
        <v>0</v>
      </c>
      <c r="BB140" s="7" t="n">
        <f aca="false">$M140</f>
        <v>0</v>
      </c>
      <c r="BC140" s="7" t="n">
        <f aca="false">$M140</f>
        <v>0</v>
      </c>
      <c r="BD140" s="7" t="n">
        <f aca="false">$N140</f>
        <v>0</v>
      </c>
      <c r="BE140" s="7" t="n">
        <f aca="false">$N140</f>
        <v>0</v>
      </c>
      <c r="BF140" s="7" t="n">
        <f aca="false">$N140</f>
        <v>0</v>
      </c>
      <c r="BG140" s="7" t="n">
        <f aca="false">$N140</f>
        <v>0</v>
      </c>
      <c r="BH140" s="7" t="n">
        <f aca="false">$N140</f>
        <v>0</v>
      </c>
      <c r="BI140" s="7" t="n">
        <f aca="false">$O140</f>
        <v>0</v>
      </c>
      <c r="BJ140" s="7" t="n">
        <f aca="false">$O140</f>
        <v>0</v>
      </c>
      <c r="BK140" s="7" t="n">
        <f aca="false">$O140</f>
        <v>0</v>
      </c>
      <c r="BL140" s="7" t="n">
        <f aca="false">$O140</f>
        <v>0</v>
      </c>
      <c r="BM140" s="7" t="n">
        <f aca="false">$P140</f>
        <v>0</v>
      </c>
      <c r="BN140" s="7" t="n">
        <f aca="false">$P140</f>
        <v>0</v>
      </c>
      <c r="BO140" s="7" t="n">
        <f aca="false">$P140</f>
        <v>0</v>
      </c>
      <c r="BP140" s="7" t="n">
        <f aca="false">$P140</f>
        <v>0</v>
      </c>
    </row>
    <row r="141" customFormat="false" ht="15" hidden="false" customHeight="false" outlineLevel="0" collapsed="false">
      <c r="A141" s="0" t="s">
        <v>236</v>
      </c>
      <c r="B141" s="0" t="s">
        <v>131</v>
      </c>
      <c r="C141" s="0" t="s">
        <v>115</v>
      </c>
      <c r="D141" s="0" t="n">
        <f aca="false">SUM(Q141:BP141)</f>
        <v>0</v>
      </c>
      <c r="E141" s="22" t="n">
        <v>0</v>
      </c>
      <c r="F141" s="22" t="n">
        <v>0</v>
      </c>
      <c r="G141" s="22" t="n">
        <v>0</v>
      </c>
      <c r="H141" s="22" t="n">
        <v>0</v>
      </c>
      <c r="I141" s="22" t="n">
        <v>0</v>
      </c>
      <c r="J141" s="22" t="n">
        <v>0</v>
      </c>
      <c r="K141" s="22" t="n">
        <v>0</v>
      </c>
      <c r="L141" s="22" t="n">
        <v>0</v>
      </c>
      <c r="M141" s="22" t="n">
        <v>0</v>
      </c>
      <c r="N141" s="22" t="n">
        <v>0</v>
      </c>
      <c r="O141" s="22" t="n">
        <v>0</v>
      </c>
      <c r="P141" s="22" t="n">
        <v>0</v>
      </c>
      <c r="Q141" s="7" t="n">
        <f aca="false">$E141</f>
        <v>0</v>
      </c>
      <c r="R141" s="7" t="n">
        <f aca="false">$E141</f>
        <v>0</v>
      </c>
      <c r="S141" s="7" t="n">
        <f aca="false">$E141</f>
        <v>0</v>
      </c>
      <c r="T141" s="7" t="n">
        <f aca="false">$E141</f>
        <v>0</v>
      </c>
      <c r="U141" s="7" t="n">
        <f aca="false">$E141</f>
        <v>0</v>
      </c>
      <c r="V141" s="7" t="n">
        <f aca="false">$F141</f>
        <v>0</v>
      </c>
      <c r="W141" s="7" t="n">
        <f aca="false">$F141</f>
        <v>0</v>
      </c>
      <c r="X141" s="7" t="n">
        <f aca="false">$F141</f>
        <v>0</v>
      </c>
      <c r="Y141" s="7" t="n">
        <f aca="false">$F141</f>
        <v>0</v>
      </c>
      <c r="Z141" s="7" t="n">
        <f aca="false">$G141</f>
        <v>0</v>
      </c>
      <c r="AA141" s="7" t="n">
        <f aca="false">$G141</f>
        <v>0</v>
      </c>
      <c r="AB141" s="7" t="n">
        <f aca="false">$G141</f>
        <v>0</v>
      </c>
      <c r="AC141" s="7" t="n">
        <f aca="false">$G141</f>
        <v>0</v>
      </c>
      <c r="AD141" s="7" t="n">
        <f aca="false">$H141</f>
        <v>0</v>
      </c>
      <c r="AE141" s="7" t="n">
        <f aca="false">$H141</f>
        <v>0</v>
      </c>
      <c r="AF141" s="7" t="n">
        <f aca="false">$H141</f>
        <v>0</v>
      </c>
      <c r="AG141" s="7" t="n">
        <f aca="false">$H141</f>
        <v>0</v>
      </c>
      <c r="AH141" s="7" t="n">
        <f aca="false">$H141</f>
        <v>0</v>
      </c>
      <c r="AI141" s="7" t="n">
        <f aca="false">$I141</f>
        <v>0</v>
      </c>
      <c r="AJ141" s="7" t="n">
        <f aca="false">$I141</f>
        <v>0</v>
      </c>
      <c r="AK141" s="7" t="n">
        <f aca="false">$I141</f>
        <v>0</v>
      </c>
      <c r="AL141" s="7" t="n">
        <f aca="false">$I141</f>
        <v>0</v>
      </c>
      <c r="AM141" s="7" t="n">
        <f aca="false">$J141</f>
        <v>0</v>
      </c>
      <c r="AN141" s="7" t="n">
        <f aca="false">$J141</f>
        <v>0</v>
      </c>
      <c r="AO141" s="7" t="n">
        <f aca="false">$J141</f>
        <v>0</v>
      </c>
      <c r="AP141" s="7" t="n">
        <f aca="false">$J141</f>
        <v>0</v>
      </c>
      <c r="AQ141" s="7" t="n">
        <f aca="false">$K141</f>
        <v>0</v>
      </c>
      <c r="AR141" s="7" t="n">
        <f aca="false">$K141</f>
        <v>0</v>
      </c>
      <c r="AS141" s="7" t="n">
        <f aca="false">$K141</f>
        <v>0</v>
      </c>
      <c r="AT141" s="7" t="n">
        <f aca="false">$K141</f>
        <v>0</v>
      </c>
      <c r="AU141" s="7" t="n">
        <f aca="false">$K141</f>
        <v>0</v>
      </c>
      <c r="AV141" s="7" t="n">
        <f aca="false">$L141</f>
        <v>0</v>
      </c>
      <c r="AW141" s="7" t="n">
        <f aca="false">$L141</f>
        <v>0</v>
      </c>
      <c r="AX141" s="7" t="n">
        <f aca="false">$L141</f>
        <v>0</v>
      </c>
      <c r="AY141" s="7" t="n">
        <f aca="false">$L141</f>
        <v>0</v>
      </c>
      <c r="AZ141" s="7" t="n">
        <f aca="false">$M141</f>
        <v>0</v>
      </c>
      <c r="BA141" s="7" t="n">
        <f aca="false">$M141</f>
        <v>0</v>
      </c>
      <c r="BB141" s="7" t="n">
        <f aca="false">$M141</f>
        <v>0</v>
      </c>
      <c r="BC141" s="7" t="n">
        <f aca="false">$M141</f>
        <v>0</v>
      </c>
      <c r="BD141" s="7" t="n">
        <f aca="false">$N141</f>
        <v>0</v>
      </c>
      <c r="BE141" s="7" t="n">
        <f aca="false">$N141</f>
        <v>0</v>
      </c>
      <c r="BF141" s="7" t="n">
        <f aca="false">$N141</f>
        <v>0</v>
      </c>
      <c r="BG141" s="7" t="n">
        <f aca="false">$N141</f>
        <v>0</v>
      </c>
      <c r="BH141" s="7" t="n">
        <f aca="false">$N141</f>
        <v>0</v>
      </c>
      <c r="BI141" s="7" t="n">
        <f aca="false">$O141</f>
        <v>0</v>
      </c>
      <c r="BJ141" s="7" t="n">
        <f aca="false">$O141</f>
        <v>0</v>
      </c>
      <c r="BK141" s="7" t="n">
        <f aca="false">$O141</f>
        <v>0</v>
      </c>
      <c r="BL141" s="7" t="n">
        <f aca="false">$O141</f>
        <v>0</v>
      </c>
      <c r="BM141" s="7" t="n">
        <f aca="false">$P141</f>
        <v>0</v>
      </c>
      <c r="BN141" s="7" t="n">
        <f aca="false">$P141</f>
        <v>0</v>
      </c>
      <c r="BO141" s="7" t="n">
        <f aca="false">$P141</f>
        <v>0</v>
      </c>
      <c r="BP141" s="7" t="n">
        <f aca="false">$P141</f>
        <v>0</v>
      </c>
    </row>
    <row r="142" customFormat="false" ht="15" hidden="false" customHeight="false" outlineLevel="0" collapsed="false">
      <c r="A142" s="0" t="s">
        <v>236</v>
      </c>
      <c r="B142" s="0" t="s">
        <v>131</v>
      </c>
      <c r="C142" s="0" t="s">
        <v>116</v>
      </c>
      <c r="D142" s="0" t="n">
        <f aca="false">SUM(Q142:BP142)</f>
        <v>0</v>
      </c>
      <c r="E142" s="22" t="n">
        <v>0</v>
      </c>
      <c r="F142" s="22" t="n">
        <v>0</v>
      </c>
      <c r="G142" s="22" t="n">
        <v>0</v>
      </c>
      <c r="H142" s="22" t="n">
        <v>0</v>
      </c>
      <c r="I142" s="22" t="n">
        <v>0</v>
      </c>
      <c r="J142" s="22" t="n">
        <v>0</v>
      </c>
      <c r="K142" s="22" t="n">
        <v>0</v>
      </c>
      <c r="L142" s="22" t="n">
        <v>0</v>
      </c>
      <c r="M142" s="22" t="n">
        <v>0</v>
      </c>
      <c r="N142" s="22" t="n">
        <v>0</v>
      </c>
      <c r="O142" s="22" t="n">
        <v>0</v>
      </c>
      <c r="P142" s="22" t="n">
        <v>0</v>
      </c>
      <c r="Q142" s="7" t="n">
        <f aca="false">$E142</f>
        <v>0</v>
      </c>
      <c r="R142" s="7" t="n">
        <f aca="false">$E142</f>
        <v>0</v>
      </c>
      <c r="S142" s="7" t="n">
        <f aca="false">$E142</f>
        <v>0</v>
      </c>
      <c r="T142" s="7" t="n">
        <f aca="false">$E142</f>
        <v>0</v>
      </c>
      <c r="U142" s="7" t="n">
        <f aca="false">$E142</f>
        <v>0</v>
      </c>
      <c r="V142" s="7" t="n">
        <f aca="false">$F142</f>
        <v>0</v>
      </c>
      <c r="W142" s="7" t="n">
        <f aca="false">$F142</f>
        <v>0</v>
      </c>
      <c r="X142" s="7" t="n">
        <f aca="false">$F142</f>
        <v>0</v>
      </c>
      <c r="Y142" s="7" t="n">
        <f aca="false">$F142</f>
        <v>0</v>
      </c>
      <c r="Z142" s="7" t="n">
        <f aca="false">$G142</f>
        <v>0</v>
      </c>
      <c r="AA142" s="7" t="n">
        <f aca="false">$G142</f>
        <v>0</v>
      </c>
      <c r="AB142" s="7" t="n">
        <f aca="false">$G142</f>
        <v>0</v>
      </c>
      <c r="AC142" s="7" t="n">
        <f aca="false">$G142</f>
        <v>0</v>
      </c>
      <c r="AD142" s="7" t="n">
        <f aca="false">$H142</f>
        <v>0</v>
      </c>
      <c r="AE142" s="7" t="n">
        <f aca="false">$H142</f>
        <v>0</v>
      </c>
      <c r="AF142" s="7" t="n">
        <f aca="false">$H142</f>
        <v>0</v>
      </c>
      <c r="AG142" s="7" t="n">
        <f aca="false">$H142</f>
        <v>0</v>
      </c>
      <c r="AH142" s="7" t="n">
        <f aca="false">$H142</f>
        <v>0</v>
      </c>
      <c r="AI142" s="7" t="n">
        <f aca="false">$I142</f>
        <v>0</v>
      </c>
      <c r="AJ142" s="7" t="n">
        <f aca="false">$I142</f>
        <v>0</v>
      </c>
      <c r="AK142" s="7" t="n">
        <f aca="false">$I142</f>
        <v>0</v>
      </c>
      <c r="AL142" s="7" t="n">
        <f aca="false">$I142</f>
        <v>0</v>
      </c>
      <c r="AM142" s="7" t="n">
        <f aca="false">$J142</f>
        <v>0</v>
      </c>
      <c r="AN142" s="7" t="n">
        <f aca="false">$J142</f>
        <v>0</v>
      </c>
      <c r="AO142" s="7" t="n">
        <f aca="false">$J142</f>
        <v>0</v>
      </c>
      <c r="AP142" s="7" t="n">
        <f aca="false">$J142</f>
        <v>0</v>
      </c>
      <c r="AQ142" s="7" t="n">
        <f aca="false">$K142</f>
        <v>0</v>
      </c>
      <c r="AR142" s="7" t="n">
        <f aca="false">$K142</f>
        <v>0</v>
      </c>
      <c r="AS142" s="7" t="n">
        <f aca="false">$K142</f>
        <v>0</v>
      </c>
      <c r="AT142" s="7" t="n">
        <f aca="false">$K142</f>
        <v>0</v>
      </c>
      <c r="AU142" s="7" t="n">
        <f aca="false">$K142</f>
        <v>0</v>
      </c>
      <c r="AV142" s="7" t="n">
        <f aca="false">$L142</f>
        <v>0</v>
      </c>
      <c r="AW142" s="7" t="n">
        <f aca="false">$L142</f>
        <v>0</v>
      </c>
      <c r="AX142" s="7" t="n">
        <f aca="false">$L142</f>
        <v>0</v>
      </c>
      <c r="AY142" s="7" t="n">
        <f aca="false">$L142</f>
        <v>0</v>
      </c>
      <c r="AZ142" s="7" t="n">
        <f aca="false">$M142</f>
        <v>0</v>
      </c>
      <c r="BA142" s="7" t="n">
        <f aca="false">$M142</f>
        <v>0</v>
      </c>
      <c r="BB142" s="7" t="n">
        <f aca="false">$M142</f>
        <v>0</v>
      </c>
      <c r="BC142" s="7" t="n">
        <f aca="false">$M142</f>
        <v>0</v>
      </c>
      <c r="BD142" s="7" t="n">
        <f aca="false">$N142</f>
        <v>0</v>
      </c>
      <c r="BE142" s="7" t="n">
        <f aca="false">$N142</f>
        <v>0</v>
      </c>
      <c r="BF142" s="7" t="n">
        <f aca="false">$N142</f>
        <v>0</v>
      </c>
      <c r="BG142" s="7" t="n">
        <f aca="false">$N142</f>
        <v>0</v>
      </c>
      <c r="BH142" s="7" t="n">
        <f aca="false">$N142</f>
        <v>0</v>
      </c>
      <c r="BI142" s="7" t="n">
        <f aca="false">$O142</f>
        <v>0</v>
      </c>
      <c r="BJ142" s="7" t="n">
        <f aca="false">$O142</f>
        <v>0</v>
      </c>
      <c r="BK142" s="7" t="n">
        <f aca="false">$O142</f>
        <v>0</v>
      </c>
      <c r="BL142" s="7" t="n">
        <f aca="false">$O142</f>
        <v>0</v>
      </c>
      <c r="BM142" s="7" t="n">
        <f aca="false">$P142</f>
        <v>0</v>
      </c>
      <c r="BN142" s="7" t="n">
        <f aca="false">$P142</f>
        <v>0</v>
      </c>
      <c r="BO142" s="7" t="n">
        <f aca="false">$P142</f>
        <v>0</v>
      </c>
      <c r="BP142" s="7" t="n">
        <f aca="false">$P142</f>
        <v>0</v>
      </c>
    </row>
    <row r="143" customFormat="false" ht="15" hidden="false" customHeight="false" outlineLevel="0" collapsed="false">
      <c r="A143" s="0" t="s">
        <v>236</v>
      </c>
      <c r="B143" s="0" t="s">
        <v>131</v>
      </c>
      <c r="C143" s="0" t="s">
        <v>117</v>
      </c>
      <c r="D143" s="0" t="n">
        <f aca="false">SUM(Q143:BP143)</f>
        <v>0</v>
      </c>
      <c r="E143" s="22" t="n">
        <v>0</v>
      </c>
      <c r="F143" s="22" t="n">
        <v>0</v>
      </c>
      <c r="G143" s="22" t="n">
        <v>0</v>
      </c>
      <c r="H143" s="22" t="n">
        <v>0</v>
      </c>
      <c r="I143" s="22" t="n">
        <v>0</v>
      </c>
      <c r="J143" s="22" t="n">
        <v>0</v>
      </c>
      <c r="K143" s="22" t="n">
        <v>0</v>
      </c>
      <c r="L143" s="22" t="n">
        <v>0</v>
      </c>
      <c r="M143" s="22" t="n">
        <v>0</v>
      </c>
      <c r="N143" s="22" t="n">
        <v>0</v>
      </c>
      <c r="O143" s="22" t="n">
        <v>0</v>
      </c>
      <c r="P143" s="22" t="n">
        <v>0</v>
      </c>
      <c r="Q143" s="7" t="n">
        <f aca="false">$E143</f>
        <v>0</v>
      </c>
      <c r="R143" s="7" t="n">
        <f aca="false">$E143</f>
        <v>0</v>
      </c>
      <c r="S143" s="7" t="n">
        <f aca="false">$E143</f>
        <v>0</v>
      </c>
      <c r="T143" s="7" t="n">
        <f aca="false">$E143</f>
        <v>0</v>
      </c>
      <c r="U143" s="7" t="n">
        <f aca="false">$E143</f>
        <v>0</v>
      </c>
      <c r="V143" s="7" t="n">
        <f aca="false">$F143</f>
        <v>0</v>
      </c>
      <c r="W143" s="7" t="n">
        <f aca="false">$F143</f>
        <v>0</v>
      </c>
      <c r="X143" s="7" t="n">
        <f aca="false">$F143</f>
        <v>0</v>
      </c>
      <c r="Y143" s="7" t="n">
        <f aca="false">$F143</f>
        <v>0</v>
      </c>
      <c r="Z143" s="7" t="n">
        <f aca="false">$G143</f>
        <v>0</v>
      </c>
      <c r="AA143" s="7" t="n">
        <f aca="false">$G143</f>
        <v>0</v>
      </c>
      <c r="AB143" s="7" t="n">
        <f aca="false">$G143</f>
        <v>0</v>
      </c>
      <c r="AC143" s="7" t="n">
        <f aca="false">$G143</f>
        <v>0</v>
      </c>
      <c r="AD143" s="7" t="n">
        <f aca="false">$H143</f>
        <v>0</v>
      </c>
      <c r="AE143" s="7" t="n">
        <f aca="false">$H143</f>
        <v>0</v>
      </c>
      <c r="AF143" s="7" t="n">
        <f aca="false">$H143</f>
        <v>0</v>
      </c>
      <c r="AG143" s="7" t="n">
        <f aca="false">$H143</f>
        <v>0</v>
      </c>
      <c r="AH143" s="7" t="n">
        <f aca="false">$H143</f>
        <v>0</v>
      </c>
      <c r="AI143" s="7" t="n">
        <f aca="false">$I143</f>
        <v>0</v>
      </c>
      <c r="AJ143" s="7" t="n">
        <f aca="false">$I143</f>
        <v>0</v>
      </c>
      <c r="AK143" s="7" t="n">
        <f aca="false">$I143</f>
        <v>0</v>
      </c>
      <c r="AL143" s="7" t="n">
        <f aca="false">$I143</f>
        <v>0</v>
      </c>
      <c r="AM143" s="7" t="n">
        <f aca="false">$J143</f>
        <v>0</v>
      </c>
      <c r="AN143" s="7" t="n">
        <f aca="false">$J143</f>
        <v>0</v>
      </c>
      <c r="AO143" s="7" t="n">
        <f aca="false">$J143</f>
        <v>0</v>
      </c>
      <c r="AP143" s="7" t="n">
        <f aca="false">$J143</f>
        <v>0</v>
      </c>
      <c r="AQ143" s="7" t="n">
        <f aca="false">$K143</f>
        <v>0</v>
      </c>
      <c r="AR143" s="7" t="n">
        <f aca="false">$K143</f>
        <v>0</v>
      </c>
      <c r="AS143" s="7" t="n">
        <f aca="false">$K143</f>
        <v>0</v>
      </c>
      <c r="AT143" s="7" t="n">
        <f aca="false">$K143</f>
        <v>0</v>
      </c>
      <c r="AU143" s="7" t="n">
        <f aca="false">$K143</f>
        <v>0</v>
      </c>
      <c r="AV143" s="7" t="n">
        <f aca="false">$L143</f>
        <v>0</v>
      </c>
      <c r="AW143" s="7" t="n">
        <f aca="false">$L143</f>
        <v>0</v>
      </c>
      <c r="AX143" s="7" t="n">
        <f aca="false">$L143</f>
        <v>0</v>
      </c>
      <c r="AY143" s="7" t="n">
        <f aca="false">$L143</f>
        <v>0</v>
      </c>
      <c r="AZ143" s="7" t="n">
        <f aca="false">$M143</f>
        <v>0</v>
      </c>
      <c r="BA143" s="7" t="n">
        <f aca="false">$M143</f>
        <v>0</v>
      </c>
      <c r="BB143" s="7" t="n">
        <f aca="false">$M143</f>
        <v>0</v>
      </c>
      <c r="BC143" s="7" t="n">
        <f aca="false">$M143</f>
        <v>0</v>
      </c>
      <c r="BD143" s="7" t="n">
        <f aca="false">$N143</f>
        <v>0</v>
      </c>
      <c r="BE143" s="7" t="n">
        <f aca="false">$N143</f>
        <v>0</v>
      </c>
      <c r="BF143" s="7" t="n">
        <f aca="false">$N143</f>
        <v>0</v>
      </c>
      <c r="BG143" s="7" t="n">
        <f aca="false">$N143</f>
        <v>0</v>
      </c>
      <c r="BH143" s="7" t="n">
        <f aca="false">$N143</f>
        <v>0</v>
      </c>
      <c r="BI143" s="7" t="n">
        <f aca="false">$O143</f>
        <v>0</v>
      </c>
      <c r="BJ143" s="7" t="n">
        <f aca="false">$O143</f>
        <v>0</v>
      </c>
      <c r="BK143" s="7" t="n">
        <f aca="false">$O143</f>
        <v>0</v>
      </c>
      <c r="BL143" s="7" t="n">
        <f aca="false">$O143</f>
        <v>0</v>
      </c>
      <c r="BM143" s="7" t="n">
        <f aca="false">$P143</f>
        <v>0</v>
      </c>
      <c r="BN143" s="7" t="n">
        <f aca="false">$P143</f>
        <v>0</v>
      </c>
      <c r="BO143" s="7" t="n">
        <f aca="false">$P143</f>
        <v>0</v>
      </c>
      <c r="BP143" s="7" t="n">
        <f aca="false">$P143</f>
        <v>0</v>
      </c>
    </row>
    <row r="144" customFormat="false" ht="15" hidden="false" customHeight="false" outlineLevel="0" collapsed="false">
      <c r="A144" s="0" t="s">
        <v>236</v>
      </c>
      <c r="B144" s="0" t="s">
        <v>131</v>
      </c>
      <c r="C144" s="0" t="s">
        <v>118</v>
      </c>
      <c r="D144" s="0" t="n">
        <f aca="false">SUM(Q144:BP144)</f>
        <v>0</v>
      </c>
      <c r="E144" s="22" t="n">
        <v>0</v>
      </c>
      <c r="F144" s="22" t="n">
        <v>0</v>
      </c>
      <c r="G144" s="22" t="n">
        <v>0</v>
      </c>
      <c r="H144" s="22" t="n">
        <v>0</v>
      </c>
      <c r="I144" s="22" t="n">
        <v>0</v>
      </c>
      <c r="J144" s="22" t="n">
        <v>0</v>
      </c>
      <c r="K144" s="22" t="n">
        <v>0</v>
      </c>
      <c r="L144" s="22" t="n">
        <v>0</v>
      </c>
      <c r="M144" s="22" t="n">
        <v>0</v>
      </c>
      <c r="N144" s="22" t="n">
        <v>0</v>
      </c>
      <c r="O144" s="22" t="n">
        <v>0</v>
      </c>
      <c r="P144" s="22" t="n">
        <v>0</v>
      </c>
      <c r="Q144" s="7" t="n">
        <f aca="false">$E144</f>
        <v>0</v>
      </c>
      <c r="R144" s="7" t="n">
        <f aca="false">$E144</f>
        <v>0</v>
      </c>
      <c r="S144" s="7" t="n">
        <f aca="false">$E144</f>
        <v>0</v>
      </c>
      <c r="T144" s="7" t="n">
        <f aca="false">$E144</f>
        <v>0</v>
      </c>
      <c r="U144" s="7" t="n">
        <f aca="false">$E144</f>
        <v>0</v>
      </c>
      <c r="V144" s="7" t="n">
        <f aca="false">$F144</f>
        <v>0</v>
      </c>
      <c r="W144" s="7" t="n">
        <f aca="false">$F144</f>
        <v>0</v>
      </c>
      <c r="X144" s="7" t="n">
        <f aca="false">$F144</f>
        <v>0</v>
      </c>
      <c r="Y144" s="7" t="n">
        <f aca="false">$F144</f>
        <v>0</v>
      </c>
      <c r="Z144" s="7" t="n">
        <f aca="false">$G144</f>
        <v>0</v>
      </c>
      <c r="AA144" s="7" t="n">
        <f aca="false">$G144</f>
        <v>0</v>
      </c>
      <c r="AB144" s="7" t="n">
        <f aca="false">$G144</f>
        <v>0</v>
      </c>
      <c r="AC144" s="7" t="n">
        <f aca="false">$G144</f>
        <v>0</v>
      </c>
      <c r="AD144" s="7" t="n">
        <f aca="false">$H144</f>
        <v>0</v>
      </c>
      <c r="AE144" s="7" t="n">
        <f aca="false">$H144</f>
        <v>0</v>
      </c>
      <c r="AF144" s="7" t="n">
        <f aca="false">$H144</f>
        <v>0</v>
      </c>
      <c r="AG144" s="7" t="n">
        <f aca="false">$H144</f>
        <v>0</v>
      </c>
      <c r="AH144" s="7" t="n">
        <f aca="false">$H144</f>
        <v>0</v>
      </c>
      <c r="AI144" s="7" t="n">
        <f aca="false">$I144</f>
        <v>0</v>
      </c>
      <c r="AJ144" s="7" t="n">
        <f aca="false">$I144</f>
        <v>0</v>
      </c>
      <c r="AK144" s="7" t="n">
        <f aca="false">$I144</f>
        <v>0</v>
      </c>
      <c r="AL144" s="7" t="n">
        <f aca="false">$I144</f>
        <v>0</v>
      </c>
      <c r="AM144" s="7" t="n">
        <f aca="false">$J144</f>
        <v>0</v>
      </c>
      <c r="AN144" s="7" t="n">
        <f aca="false">$J144</f>
        <v>0</v>
      </c>
      <c r="AO144" s="7" t="n">
        <f aca="false">$J144</f>
        <v>0</v>
      </c>
      <c r="AP144" s="7" t="n">
        <f aca="false">$J144</f>
        <v>0</v>
      </c>
      <c r="AQ144" s="7" t="n">
        <f aca="false">$K144</f>
        <v>0</v>
      </c>
      <c r="AR144" s="7" t="n">
        <f aca="false">$K144</f>
        <v>0</v>
      </c>
      <c r="AS144" s="7" t="n">
        <f aca="false">$K144</f>
        <v>0</v>
      </c>
      <c r="AT144" s="7" t="n">
        <f aca="false">$K144</f>
        <v>0</v>
      </c>
      <c r="AU144" s="7" t="n">
        <f aca="false">$K144</f>
        <v>0</v>
      </c>
      <c r="AV144" s="7" t="n">
        <f aca="false">$L144</f>
        <v>0</v>
      </c>
      <c r="AW144" s="7" t="n">
        <f aca="false">$L144</f>
        <v>0</v>
      </c>
      <c r="AX144" s="7" t="n">
        <f aca="false">$L144</f>
        <v>0</v>
      </c>
      <c r="AY144" s="7" t="n">
        <f aca="false">$L144</f>
        <v>0</v>
      </c>
      <c r="AZ144" s="7" t="n">
        <f aca="false">$M144</f>
        <v>0</v>
      </c>
      <c r="BA144" s="7" t="n">
        <f aca="false">$M144</f>
        <v>0</v>
      </c>
      <c r="BB144" s="7" t="n">
        <f aca="false">$M144</f>
        <v>0</v>
      </c>
      <c r="BC144" s="7" t="n">
        <f aca="false">$M144</f>
        <v>0</v>
      </c>
      <c r="BD144" s="7" t="n">
        <f aca="false">$N144</f>
        <v>0</v>
      </c>
      <c r="BE144" s="7" t="n">
        <f aca="false">$N144</f>
        <v>0</v>
      </c>
      <c r="BF144" s="7" t="n">
        <f aca="false">$N144</f>
        <v>0</v>
      </c>
      <c r="BG144" s="7" t="n">
        <f aca="false">$N144</f>
        <v>0</v>
      </c>
      <c r="BH144" s="7" t="n">
        <f aca="false">$N144</f>
        <v>0</v>
      </c>
      <c r="BI144" s="7" t="n">
        <f aca="false">$O144</f>
        <v>0</v>
      </c>
      <c r="BJ144" s="7" t="n">
        <f aca="false">$O144</f>
        <v>0</v>
      </c>
      <c r="BK144" s="7" t="n">
        <f aca="false">$O144</f>
        <v>0</v>
      </c>
      <c r="BL144" s="7" t="n">
        <f aca="false">$O144</f>
        <v>0</v>
      </c>
      <c r="BM144" s="7" t="n">
        <f aca="false">$P144</f>
        <v>0</v>
      </c>
      <c r="BN144" s="7" t="n">
        <f aca="false">$P144</f>
        <v>0</v>
      </c>
      <c r="BO144" s="7" t="n">
        <f aca="false">$P144</f>
        <v>0</v>
      </c>
      <c r="BP144" s="7" t="n">
        <f aca="false">$P144</f>
        <v>0</v>
      </c>
    </row>
    <row r="145" customFormat="false" ht="15" hidden="false" customHeight="false" outlineLevel="0" collapsed="false">
      <c r="A145" s="0" t="s">
        <v>236</v>
      </c>
      <c r="B145" s="0" t="s">
        <v>131</v>
      </c>
      <c r="C145" s="0" t="s">
        <v>119</v>
      </c>
      <c r="D145" s="0" t="n">
        <f aca="false">SUM(Q145:BP145)</f>
        <v>0</v>
      </c>
      <c r="E145" s="13" t="n">
        <v>0</v>
      </c>
      <c r="F145" s="13" t="n">
        <v>0</v>
      </c>
      <c r="G145" s="13" t="n">
        <v>0</v>
      </c>
      <c r="H145" s="13" t="n">
        <v>0</v>
      </c>
      <c r="I145" s="13" t="n">
        <v>0</v>
      </c>
      <c r="J145" s="13" t="n">
        <v>0</v>
      </c>
      <c r="K145" s="13" t="n">
        <v>0</v>
      </c>
      <c r="L145" s="13" t="n">
        <v>0</v>
      </c>
      <c r="M145" s="13" t="n">
        <v>0</v>
      </c>
      <c r="N145" s="13" t="n">
        <v>0</v>
      </c>
      <c r="O145" s="13" t="n">
        <v>0</v>
      </c>
      <c r="P145" s="13" t="n">
        <v>0</v>
      </c>
      <c r="Q145" s="7" t="n">
        <f aca="false">$E145</f>
        <v>0</v>
      </c>
      <c r="R145" s="7" t="n">
        <f aca="false">$E145</f>
        <v>0</v>
      </c>
      <c r="S145" s="7" t="n">
        <f aca="false">$E145</f>
        <v>0</v>
      </c>
      <c r="T145" s="7" t="n">
        <f aca="false">$E145</f>
        <v>0</v>
      </c>
      <c r="U145" s="7" t="n">
        <f aca="false">$E145</f>
        <v>0</v>
      </c>
      <c r="V145" s="7" t="n">
        <f aca="false">$F145</f>
        <v>0</v>
      </c>
      <c r="W145" s="7" t="n">
        <f aca="false">$F145</f>
        <v>0</v>
      </c>
      <c r="X145" s="7" t="n">
        <f aca="false">$F145</f>
        <v>0</v>
      </c>
      <c r="Y145" s="7" t="n">
        <f aca="false">$F145</f>
        <v>0</v>
      </c>
      <c r="Z145" s="7" t="n">
        <f aca="false">$G145</f>
        <v>0</v>
      </c>
      <c r="AA145" s="7" t="n">
        <f aca="false">$G145</f>
        <v>0</v>
      </c>
      <c r="AB145" s="7" t="n">
        <f aca="false">$G145</f>
        <v>0</v>
      </c>
      <c r="AC145" s="7" t="n">
        <f aca="false">$G145</f>
        <v>0</v>
      </c>
      <c r="AD145" s="7" t="n">
        <f aca="false">$H145</f>
        <v>0</v>
      </c>
      <c r="AE145" s="7" t="n">
        <f aca="false">$H145</f>
        <v>0</v>
      </c>
      <c r="AF145" s="7" t="n">
        <f aca="false">$H145</f>
        <v>0</v>
      </c>
      <c r="AG145" s="7" t="n">
        <f aca="false">$H145</f>
        <v>0</v>
      </c>
      <c r="AH145" s="7" t="n">
        <f aca="false">$H145</f>
        <v>0</v>
      </c>
      <c r="AI145" s="7" t="n">
        <f aca="false">$I145</f>
        <v>0</v>
      </c>
      <c r="AJ145" s="7" t="n">
        <f aca="false">$I145</f>
        <v>0</v>
      </c>
      <c r="AK145" s="7" t="n">
        <f aca="false">$I145</f>
        <v>0</v>
      </c>
      <c r="AL145" s="7" t="n">
        <f aca="false">$I145</f>
        <v>0</v>
      </c>
      <c r="AM145" s="7" t="n">
        <f aca="false">$J145</f>
        <v>0</v>
      </c>
      <c r="AN145" s="7" t="n">
        <f aca="false">$J145</f>
        <v>0</v>
      </c>
      <c r="AO145" s="7" t="n">
        <f aca="false">$J145</f>
        <v>0</v>
      </c>
      <c r="AP145" s="7" t="n">
        <f aca="false">$J145</f>
        <v>0</v>
      </c>
      <c r="AQ145" s="7" t="n">
        <f aca="false">$K145</f>
        <v>0</v>
      </c>
      <c r="AR145" s="7" t="n">
        <f aca="false">$K145</f>
        <v>0</v>
      </c>
      <c r="AS145" s="7" t="n">
        <f aca="false">$K145</f>
        <v>0</v>
      </c>
      <c r="AT145" s="7" t="n">
        <f aca="false">$K145</f>
        <v>0</v>
      </c>
      <c r="AU145" s="7" t="n">
        <f aca="false">$K145</f>
        <v>0</v>
      </c>
      <c r="AV145" s="7" t="n">
        <f aca="false">$L145</f>
        <v>0</v>
      </c>
      <c r="AW145" s="7" t="n">
        <f aca="false">$L145</f>
        <v>0</v>
      </c>
      <c r="AX145" s="7" t="n">
        <f aca="false">$L145</f>
        <v>0</v>
      </c>
      <c r="AY145" s="7" t="n">
        <f aca="false">$L145</f>
        <v>0</v>
      </c>
      <c r="AZ145" s="7" t="n">
        <f aca="false">$M145</f>
        <v>0</v>
      </c>
      <c r="BA145" s="7" t="n">
        <f aca="false">$M145</f>
        <v>0</v>
      </c>
      <c r="BB145" s="7" t="n">
        <f aca="false">$M145</f>
        <v>0</v>
      </c>
      <c r="BC145" s="7" t="n">
        <f aca="false">$M145</f>
        <v>0</v>
      </c>
      <c r="BD145" s="7" t="n">
        <f aca="false">$N145</f>
        <v>0</v>
      </c>
      <c r="BE145" s="7" t="n">
        <f aca="false">$N145</f>
        <v>0</v>
      </c>
      <c r="BF145" s="7" t="n">
        <f aca="false">$N145</f>
        <v>0</v>
      </c>
      <c r="BG145" s="7" t="n">
        <f aca="false">$N145</f>
        <v>0</v>
      </c>
      <c r="BH145" s="7" t="n">
        <f aca="false">$N145</f>
        <v>0</v>
      </c>
      <c r="BI145" s="7" t="n">
        <f aca="false">$O145</f>
        <v>0</v>
      </c>
      <c r="BJ145" s="7" t="n">
        <f aca="false">$O145</f>
        <v>0</v>
      </c>
      <c r="BK145" s="7" t="n">
        <f aca="false">$O145</f>
        <v>0</v>
      </c>
      <c r="BL145" s="7" t="n">
        <f aca="false">$O145</f>
        <v>0</v>
      </c>
      <c r="BM145" s="7" t="n">
        <f aca="false">$P145</f>
        <v>0</v>
      </c>
      <c r="BN145" s="7" t="n">
        <f aca="false">$P145</f>
        <v>0</v>
      </c>
      <c r="BO145" s="7" t="n">
        <f aca="false">$P145</f>
        <v>0</v>
      </c>
      <c r="BP145" s="7" t="n">
        <f aca="false">$P145</f>
        <v>0</v>
      </c>
    </row>
    <row r="146" customFormat="false" ht="15" hidden="false" customHeight="false" outlineLevel="0" collapsed="false">
      <c r="A146" s="0" t="s">
        <v>236</v>
      </c>
      <c r="B146" s="0" t="s">
        <v>131</v>
      </c>
      <c r="C146" s="0" t="s">
        <v>120</v>
      </c>
      <c r="D146" s="0" t="n">
        <f aca="false">SUM(Q146:BP146)</f>
        <v>0</v>
      </c>
      <c r="E146" s="13" t="n">
        <v>0</v>
      </c>
      <c r="F146" s="13" t="n">
        <v>0</v>
      </c>
      <c r="G146" s="13" t="n">
        <v>0</v>
      </c>
      <c r="H146" s="13" t="n">
        <v>0</v>
      </c>
      <c r="I146" s="13" t="n">
        <v>0</v>
      </c>
      <c r="J146" s="13" t="n">
        <v>0</v>
      </c>
      <c r="K146" s="13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7" t="n">
        <f aca="false">$E146</f>
        <v>0</v>
      </c>
      <c r="R146" s="7" t="n">
        <f aca="false">$E146</f>
        <v>0</v>
      </c>
      <c r="S146" s="7" t="n">
        <f aca="false">$E146</f>
        <v>0</v>
      </c>
      <c r="T146" s="7" t="n">
        <f aca="false">$E146</f>
        <v>0</v>
      </c>
      <c r="U146" s="7" t="n">
        <f aca="false">$E146</f>
        <v>0</v>
      </c>
      <c r="V146" s="7" t="n">
        <f aca="false">$F146</f>
        <v>0</v>
      </c>
      <c r="W146" s="7" t="n">
        <f aca="false">$F146</f>
        <v>0</v>
      </c>
      <c r="X146" s="7" t="n">
        <f aca="false">$F146</f>
        <v>0</v>
      </c>
      <c r="Y146" s="7" t="n">
        <f aca="false">$F146</f>
        <v>0</v>
      </c>
      <c r="Z146" s="7" t="n">
        <f aca="false">$G146</f>
        <v>0</v>
      </c>
      <c r="AA146" s="7" t="n">
        <f aca="false">$G146</f>
        <v>0</v>
      </c>
      <c r="AB146" s="7" t="n">
        <f aca="false">$G146</f>
        <v>0</v>
      </c>
      <c r="AC146" s="7" t="n">
        <f aca="false">$G146</f>
        <v>0</v>
      </c>
      <c r="AD146" s="7" t="n">
        <f aca="false">$H146</f>
        <v>0</v>
      </c>
      <c r="AE146" s="7" t="n">
        <f aca="false">$H146</f>
        <v>0</v>
      </c>
      <c r="AF146" s="7" t="n">
        <f aca="false">$H146</f>
        <v>0</v>
      </c>
      <c r="AG146" s="7" t="n">
        <f aca="false">$H146</f>
        <v>0</v>
      </c>
      <c r="AH146" s="7" t="n">
        <f aca="false">$H146</f>
        <v>0</v>
      </c>
      <c r="AI146" s="7" t="n">
        <f aca="false">$I146</f>
        <v>0</v>
      </c>
      <c r="AJ146" s="7" t="n">
        <f aca="false">$I146</f>
        <v>0</v>
      </c>
      <c r="AK146" s="7" t="n">
        <f aca="false">$I146</f>
        <v>0</v>
      </c>
      <c r="AL146" s="7" t="n">
        <f aca="false">$I146</f>
        <v>0</v>
      </c>
      <c r="AM146" s="7" t="n">
        <f aca="false">$J146</f>
        <v>0</v>
      </c>
      <c r="AN146" s="7" t="n">
        <f aca="false">$J146</f>
        <v>0</v>
      </c>
      <c r="AO146" s="7" t="n">
        <f aca="false">$J146</f>
        <v>0</v>
      </c>
      <c r="AP146" s="7" t="n">
        <f aca="false">$J146</f>
        <v>0</v>
      </c>
      <c r="AQ146" s="7" t="n">
        <f aca="false">$K146</f>
        <v>0</v>
      </c>
      <c r="AR146" s="7" t="n">
        <f aca="false">$K146</f>
        <v>0</v>
      </c>
      <c r="AS146" s="7" t="n">
        <f aca="false">$K146</f>
        <v>0</v>
      </c>
      <c r="AT146" s="7" t="n">
        <f aca="false">$K146</f>
        <v>0</v>
      </c>
      <c r="AU146" s="7" t="n">
        <f aca="false">$K146</f>
        <v>0</v>
      </c>
      <c r="AV146" s="7" t="n">
        <f aca="false">$L146</f>
        <v>0</v>
      </c>
      <c r="AW146" s="7" t="n">
        <f aca="false">$L146</f>
        <v>0</v>
      </c>
      <c r="AX146" s="7" t="n">
        <f aca="false">$L146</f>
        <v>0</v>
      </c>
      <c r="AY146" s="7" t="n">
        <f aca="false">$L146</f>
        <v>0</v>
      </c>
      <c r="AZ146" s="7" t="n">
        <f aca="false">$M146</f>
        <v>0</v>
      </c>
      <c r="BA146" s="7" t="n">
        <f aca="false">$M146</f>
        <v>0</v>
      </c>
      <c r="BB146" s="7" t="n">
        <f aca="false">$M146</f>
        <v>0</v>
      </c>
      <c r="BC146" s="7" t="n">
        <f aca="false">$M146</f>
        <v>0</v>
      </c>
      <c r="BD146" s="7" t="n">
        <f aca="false">$N146</f>
        <v>0</v>
      </c>
      <c r="BE146" s="7" t="n">
        <f aca="false">$N146</f>
        <v>0</v>
      </c>
      <c r="BF146" s="7" t="n">
        <f aca="false">$N146</f>
        <v>0</v>
      </c>
      <c r="BG146" s="7" t="n">
        <f aca="false">$N146</f>
        <v>0</v>
      </c>
      <c r="BH146" s="7" t="n">
        <f aca="false">$N146</f>
        <v>0</v>
      </c>
      <c r="BI146" s="7" t="n">
        <f aca="false">$O146</f>
        <v>0</v>
      </c>
      <c r="BJ146" s="7" t="n">
        <f aca="false">$O146</f>
        <v>0</v>
      </c>
      <c r="BK146" s="7" t="n">
        <f aca="false">$O146</f>
        <v>0</v>
      </c>
      <c r="BL146" s="7" t="n">
        <f aca="false">$O146</f>
        <v>0</v>
      </c>
      <c r="BM146" s="7" t="n">
        <f aca="false">$P146</f>
        <v>0</v>
      </c>
      <c r="BN146" s="7" t="n">
        <f aca="false">$P146</f>
        <v>0</v>
      </c>
      <c r="BO146" s="7" t="n">
        <f aca="false">$P146</f>
        <v>0</v>
      </c>
      <c r="BP146" s="7" t="n">
        <f aca="false">$P146</f>
        <v>0</v>
      </c>
    </row>
    <row r="147" customFormat="false" ht="15" hidden="false" customHeight="false" outlineLevel="0" collapsed="false">
      <c r="A147" s="0" t="s">
        <v>236</v>
      </c>
      <c r="B147" s="0" t="s">
        <v>131</v>
      </c>
      <c r="C147" s="0" t="s">
        <v>121</v>
      </c>
      <c r="D147" s="0" t="n">
        <f aca="false">SUM(Q147:BP147)</f>
        <v>0</v>
      </c>
      <c r="E147" s="13" t="n">
        <v>0</v>
      </c>
      <c r="F147" s="13" t="n">
        <v>0</v>
      </c>
      <c r="G147" s="13" t="n">
        <v>0</v>
      </c>
      <c r="H147" s="13" t="n">
        <v>0</v>
      </c>
      <c r="I147" s="13" t="n">
        <v>0</v>
      </c>
      <c r="J147" s="13" t="n">
        <v>0</v>
      </c>
      <c r="K147" s="13" t="n">
        <v>0</v>
      </c>
      <c r="L147" s="13" t="n">
        <v>0</v>
      </c>
      <c r="M147" s="13" t="n">
        <v>0</v>
      </c>
      <c r="N147" s="13" t="n">
        <v>0</v>
      </c>
      <c r="O147" s="13" t="n">
        <v>0</v>
      </c>
      <c r="P147" s="13" t="n">
        <v>0</v>
      </c>
      <c r="Q147" s="7" t="n">
        <f aca="false">$E147</f>
        <v>0</v>
      </c>
      <c r="R147" s="7" t="n">
        <f aca="false">$E147</f>
        <v>0</v>
      </c>
      <c r="S147" s="7" t="n">
        <f aca="false">$E147</f>
        <v>0</v>
      </c>
      <c r="T147" s="7" t="n">
        <f aca="false">$E147</f>
        <v>0</v>
      </c>
      <c r="U147" s="7" t="n">
        <f aca="false">$E147</f>
        <v>0</v>
      </c>
      <c r="V147" s="7" t="n">
        <f aca="false">$F147</f>
        <v>0</v>
      </c>
      <c r="W147" s="7" t="n">
        <f aca="false">$F147</f>
        <v>0</v>
      </c>
      <c r="X147" s="7" t="n">
        <f aca="false">$F147</f>
        <v>0</v>
      </c>
      <c r="Y147" s="7" t="n">
        <f aca="false">$F147</f>
        <v>0</v>
      </c>
      <c r="Z147" s="7" t="n">
        <f aca="false">$G147</f>
        <v>0</v>
      </c>
      <c r="AA147" s="7" t="n">
        <f aca="false">$G147</f>
        <v>0</v>
      </c>
      <c r="AB147" s="7" t="n">
        <f aca="false">$G147</f>
        <v>0</v>
      </c>
      <c r="AC147" s="7" t="n">
        <f aca="false">$G147</f>
        <v>0</v>
      </c>
      <c r="AD147" s="7" t="n">
        <f aca="false">$H147</f>
        <v>0</v>
      </c>
      <c r="AE147" s="7" t="n">
        <f aca="false">$H147</f>
        <v>0</v>
      </c>
      <c r="AF147" s="7" t="n">
        <f aca="false">$H147</f>
        <v>0</v>
      </c>
      <c r="AG147" s="7" t="n">
        <f aca="false">$H147</f>
        <v>0</v>
      </c>
      <c r="AH147" s="7" t="n">
        <f aca="false">$H147</f>
        <v>0</v>
      </c>
      <c r="AI147" s="7" t="n">
        <f aca="false">$I147</f>
        <v>0</v>
      </c>
      <c r="AJ147" s="7" t="n">
        <f aca="false">$I147</f>
        <v>0</v>
      </c>
      <c r="AK147" s="7" t="n">
        <f aca="false">$I147</f>
        <v>0</v>
      </c>
      <c r="AL147" s="7" t="n">
        <f aca="false">$I147</f>
        <v>0</v>
      </c>
      <c r="AM147" s="7" t="n">
        <f aca="false">$J147</f>
        <v>0</v>
      </c>
      <c r="AN147" s="7" t="n">
        <f aca="false">$J147</f>
        <v>0</v>
      </c>
      <c r="AO147" s="7" t="n">
        <f aca="false">$J147</f>
        <v>0</v>
      </c>
      <c r="AP147" s="7" t="n">
        <f aca="false">$J147</f>
        <v>0</v>
      </c>
      <c r="AQ147" s="7" t="n">
        <f aca="false">$K147</f>
        <v>0</v>
      </c>
      <c r="AR147" s="7" t="n">
        <f aca="false">$K147</f>
        <v>0</v>
      </c>
      <c r="AS147" s="7" t="n">
        <f aca="false">$K147</f>
        <v>0</v>
      </c>
      <c r="AT147" s="7" t="n">
        <f aca="false">$K147</f>
        <v>0</v>
      </c>
      <c r="AU147" s="7" t="n">
        <f aca="false">$K147</f>
        <v>0</v>
      </c>
      <c r="AV147" s="7" t="n">
        <f aca="false">$L147</f>
        <v>0</v>
      </c>
      <c r="AW147" s="7" t="n">
        <f aca="false">$L147</f>
        <v>0</v>
      </c>
      <c r="AX147" s="7" t="n">
        <f aca="false">$L147</f>
        <v>0</v>
      </c>
      <c r="AY147" s="7" t="n">
        <f aca="false">$L147</f>
        <v>0</v>
      </c>
      <c r="AZ147" s="7" t="n">
        <f aca="false">$M147</f>
        <v>0</v>
      </c>
      <c r="BA147" s="7" t="n">
        <f aca="false">$M147</f>
        <v>0</v>
      </c>
      <c r="BB147" s="7" t="n">
        <f aca="false">$M147</f>
        <v>0</v>
      </c>
      <c r="BC147" s="7" t="n">
        <f aca="false">$M147</f>
        <v>0</v>
      </c>
      <c r="BD147" s="7" t="n">
        <f aca="false">$N147</f>
        <v>0</v>
      </c>
      <c r="BE147" s="7" t="n">
        <f aca="false">$N147</f>
        <v>0</v>
      </c>
      <c r="BF147" s="7" t="n">
        <f aca="false">$N147</f>
        <v>0</v>
      </c>
      <c r="BG147" s="7" t="n">
        <f aca="false">$N147</f>
        <v>0</v>
      </c>
      <c r="BH147" s="7" t="n">
        <f aca="false">$N147</f>
        <v>0</v>
      </c>
      <c r="BI147" s="7" t="n">
        <f aca="false">$O147</f>
        <v>0</v>
      </c>
      <c r="BJ147" s="7" t="n">
        <f aca="false">$O147</f>
        <v>0</v>
      </c>
      <c r="BK147" s="7" t="n">
        <f aca="false">$O147</f>
        <v>0</v>
      </c>
      <c r="BL147" s="7" t="n">
        <f aca="false">$O147</f>
        <v>0</v>
      </c>
      <c r="BM147" s="7" t="n">
        <f aca="false">$P147</f>
        <v>0</v>
      </c>
      <c r="BN147" s="7" t="n">
        <f aca="false">$P147</f>
        <v>0</v>
      </c>
      <c r="BO147" s="7" t="n">
        <f aca="false">$P147</f>
        <v>0</v>
      </c>
      <c r="BP147" s="7" t="n">
        <f aca="false">$P147</f>
        <v>0</v>
      </c>
    </row>
    <row r="148" customFormat="false" ht="15" hidden="false" customHeight="false" outlineLevel="0" collapsed="false">
      <c r="A148" s="0" t="s">
        <v>236</v>
      </c>
      <c r="B148" s="0" t="s">
        <v>131</v>
      </c>
      <c r="C148" s="0" t="s">
        <v>122</v>
      </c>
      <c r="D148" s="0" t="n">
        <f aca="false">SUM(Q148:BP148)</f>
        <v>0</v>
      </c>
      <c r="E148" s="13" t="n">
        <v>0</v>
      </c>
      <c r="F148" s="13" t="n">
        <v>0</v>
      </c>
      <c r="G148" s="13" t="n">
        <v>0</v>
      </c>
      <c r="H148" s="13" t="n">
        <v>0</v>
      </c>
      <c r="I148" s="13" t="n">
        <v>0</v>
      </c>
      <c r="J148" s="13" t="n">
        <v>0</v>
      </c>
      <c r="K148" s="13" t="n">
        <v>0</v>
      </c>
      <c r="L148" s="13" t="n">
        <v>0</v>
      </c>
      <c r="M148" s="13" t="n">
        <v>0</v>
      </c>
      <c r="N148" s="13" t="n">
        <v>0</v>
      </c>
      <c r="O148" s="13" t="n">
        <v>0</v>
      </c>
      <c r="P148" s="13" t="n">
        <v>0</v>
      </c>
      <c r="Q148" s="7" t="n">
        <f aca="false">$E148</f>
        <v>0</v>
      </c>
      <c r="R148" s="7" t="n">
        <f aca="false">$E148</f>
        <v>0</v>
      </c>
      <c r="S148" s="7" t="n">
        <f aca="false">$E148</f>
        <v>0</v>
      </c>
      <c r="T148" s="7" t="n">
        <f aca="false">$E148</f>
        <v>0</v>
      </c>
      <c r="U148" s="7" t="n">
        <f aca="false">$E148</f>
        <v>0</v>
      </c>
      <c r="V148" s="7" t="n">
        <f aca="false">$F148</f>
        <v>0</v>
      </c>
      <c r="W148" s="7" t="n">
        <f aca="false">$F148</f>
        <v>0</v>
      </c>
      <c r="X148" s="7" t="n">
        <f aca="false">$F148</f>
        <v>0</v>
      </c>
      <c r="Y148" s="7" t="n">
        <f aca="false">$F148</f>
        <v>0</v>
      </c>
      <c r="Z148" s="7" t="n">
        <f aca="false">$G148</f>
        <v>0</v>
      </c>
      <c r="AA148" s="7" t="n">
        <f aca="false">$G148</f>
        <v>0</v>
      </c>
      <c r="AB148" s="7" t="n">
        <f aca="false">$G148</f>
        <v>0</v>
      </c>
      <c r="AC148" s="7" t="n">
        <f aca="false">$G148</f>
        <v>0</v>
      </c>
      <c r="AD148" s="7" t="n">
        <f aca="false">$H148</f>
        <v>0</v>
      </c>
      <c r="AE148" s="7" t="n">
        <f aca="false">$H148</f>
        <v>0</v>
      </c>
      <c r="AF148" s="7" t="n">
        <f aca="false">$H148</f>
        <v>0</v>
      </c>
      <c r="AG148" s="7" t="n">
        <f aca="false">$H148</f>
        <v>0</v>
      </c>
      <c r="AH148" s="7" t="n">
        <f aca="false">$H148</f>
        <v>0</v>
      </c>
      <c r="AI148" s="7" t="n">
        <f aca="false">$I148</f>
        <v>0</v>
      </c>
      <c r="AJ148" s="7" t="n">
        <f aca="false">$I148</f>
        <v>0</v>
      </c>
      <c r="AK148" s="7" t="n">
        <f aca="false">$I148</f>
        <v>0</v>
      </c>
      <c r="AL148" s="7" t="n">
        <f aca="false">$I148</f>
        <v>0</v>
      </c>
      <c r="AM148" s="7" t="n">
        <f aca="false">$J148</f>
        <v>0</v>
      </c>
      <c r="AN148" s="7" t="n">
        <f aca="false">$J148</f>
        <v>0</v>
      </c>
      <c r="AO148" s="7" t="n">
        <f aca="false">$J148</f>
        <v>0</v>
      </c>
      <c r="AP148" s="7" t="n">
        <f aca="false">$J148</f>
        <v>0</v>
      </c>
      <c r="AQ148" s="7" t="n">
        <f aca="false">$K148</f>
        <v>0</v>
      </c>
      <c r="AR148" s="7" t="n">
        <f aca="false">$K148</f>
        <v>0</v>
      </c>
      <c r="AS148" s="7" t="n">
        <f aca="false">$K148</f>
        <v>0</v>
      </c>
      <c r="AT148" s="7" t="n">
        <f aca="false">$K148</f>
        <v>0</v>
      </c>
      <c r="AU148" s="7" t="n">
        <f aca="false">$K148</f>
        <v>0</v>
      </c>
      <c r="AV148" s="7" t="n">
        <f aca="false">$L148</f>
        <v>0</v>
      </c>
      <c r="AW148" s="7" t="n">
        <f aca="false">$L148</f>
        <v>0</v>
      </c>
      <c r="AX148" s="7" t="n">
        <f aca="false">$L148</f>
        <v>0</v>
      </c>
      <c r="AY148" s="7" t="n">
        <f aca="false">$L148</f>
        <v>0</v>
      </c>
      <c r="AZ148" s="7" t="n">
        <f aca="false">$M148</f>
        <v>0</v>
      </c>
      <c r="BA148" s="7" t="n">
        <f aca="false">$M148</f>
        <v>0</v>
      </c>
      <c r="BB148" s="7" t="n">
        <f aca="false">$M148</f>
        <v>0</v>
      </c>
      <c r="BC148" s="7" t="n">
        <f aca="false">$M148</f>
        <v>0</v>
      </c>
      <c r="BD148" s="7" t="n">
        <f aca="false">$N148</f>
        <v>0</v>
      </c>
      <c r="BE148" s="7" t="n">
        <f aca="false">$N148</f>
        <v>0</v>
      </c>
      <c r="BF148" s="7" t="n">
        <f aca="false">$N148</f>
        <v>0</v>
      </c>
      <c r="BG148" s="7" t="n">
        <f aca="false">$N148</f>
        <v>0</v>
      </c>
      <c r="BH148" s="7" t="n">
        <f aca="false">$N148</f>
        <v>0</v>
      </c>
      <c r="BI148" s="7" t="n">
        <f aca="false">$O148</f>
        <v>0</v>
      </c>
      <c r="BJ148" s="7" t="n">
        <f aca="false">$O148</f>
        <v>0</v>
      </c>
      <c r="BK148" s="7" t="n">
        <f aca="false">$O148</f>
        <v>0</v>
      </c>
      <c r="BL148" s="7" t="n">
        <f aca="false">$O148</f>
        <v>0</v>
      </c>
      <c r="BM148" s="7" t="n">
        <f aca="false">$P148</f>
        <v>0</v>
      </c>
      <c r="BN148" s="7" t="n">
        <f aca="false">$P148</f>
        <v>0</v>
      </c>
      <c r="BO148" s="7" t="n">
        <f aca="false">$P148</f>
        <v>0</v>
      </c>
      <c r="BP148" s="7" t="n">
        <f aca="false">$P148</f>
        <v>0</v>
      </c>
    </row>
    <row r="149" customFormat="false" ht="15" hidden="false" customHeight="false" outlineLevel="0" collapsed="false">
      <c r="A149" s="0" t="s">
        <v>236</v>
      </c>
      <c r="B149" s="0" t="s">
        <v>131</v>
      </c>
      <c r="C149" s="0" t="s">
        <v>123</v>
      </c>
      <c r="D149" s="0" t="n">
        <f aca="false">SUM(Q149:BP149)</f>
        <v>0</v>
      </c>
      <c r="E149" s="13" t="n">
        <v>0</v>
      </c>
      <c r="F149" s="13" t="n">
        <v>0</v>
      </c>
      <c r="G149" s="13" t="n">
        <v>0</v>
      </c>
      <c r="H149" s="13" t="n">
        <v>0</v>
      </c>
      <c r="I149" s="13" t="n">
        <v>0</v>
      </c>
      <c r="J149" s="13" t="n">
        <v>0</v>
      </c>
      <c r="K149" s="13" t="n">
        <v>0</v>
      </c>
      <c r="L149" s="13" t="n">
        <v>0</v>
      </c>
      <c r="M149" s="13" t="n">
        <v>0</v>
      </c>
      <c r="N149" s="13" t="n">
        <v>0</v>
      </c>
      <c r="O149" s="13" t="n">
        <v>0</v>
      </c>
      <c r="P149" s="13" t="n">
        <v>0</v>
      </c>
      <c r="Q149" s="7" t="n">
        <f aca="false">$E149</f>
        <v>0</v>
      </c>
      <c r="R149" s="7" t="n">
        <f aca="false">$E149</f>
        <v>0</v>
      </c>
      <c r="S149" s="7" t="n">
        <f aca="false">$E149</f>
        <v>0</v>
      </c>
      <c r="T149" s="7" t="n">
        <f aca="false">$E149</f>
        <v>0</v>
      </c>
      <c r="U149" s="7" t="n">
        <f aca="false">$E149</f>
        <v>0</v>
      </c>
      <c r="V149" s="7" t="n">
        <f aca="false">$F149</f>
        <v>0</v>
      </c>
      <c r="W149" s="7" t="n">
        <f aca="false">$F149</f>
        <v>0</v>
      </c>
      <c r="X149" s="7" t="n">
        <f aca="false">$F149</f>
        <v>0</v>
      </c>
      <c r="Y149" s="7" t="n">
        <f aca="false">$F149</f>
        <v>0</v>
      </c>
      <c r="Z149" s="7" t="n">
        <f aca="false">$G149</f>
        <v>0</v>
      </c>
      <c r="AA149" s="7" t="n">
        <f aca="false">$G149</f>
        <v>0</v>
      </c>
      <c r="AB149" s="7" t="n">
        <f aca="false">$G149</f>
        <v>0</v>
      </c>
      <c r="AC149" s="7" t="n">
        <f aca="false">$G149</f>
        <v>0</v>
      </c>
      <c r="AD149" s="7" t="n">
        <f aca="false">$H149</f>
        <v>0</v>
      </c>
      <c r="AE149" s="7" t="n">
        <f aca="false">$H149</f>
        <v>0</v>
      </c>
      <c r="AF149" s="7" t="n">
        <f aca="false">$H149</f>
        <v>0</v>
      </c>
      <c r="AG149" s="7" t="n">
        <f aca="false">$H149</f>
        <v>0</v>
      </c>
      <c r="AH149" s="7" t="n">
        <f aca="false">$H149</f>
        <v>0</v>
      </c>
      <c r="AI149" s="7" t="n">
        <f aca="false">$I149</f>
        <v>0</v>
      </c>
      <c r="AJ149" s="7" t="n">
        <f aca="false">$I149</f>
        <v>0</v>
      </c>
      <c r="AK149" s="7" t="n">
        <f aca="false">$I149</f>
        <v>0</v>
      </c>
      <c r="AL149" s="7" t="n">
        <f aca="false">$I149</f>
        <v>0</v>
      </c>
      <c r="AM149" s="7" t="n">
        <f aca="false">$J149</f>
        <v>0</v>
      </c>
      <c r="AN149" s="7" t="n">
        <f aca="false">$J149</f>
        <v>0</v>
      </c>
      <c r="AO149" s="7" t="n">
        <f aca="false">$J149</f>
        <v>0</v>
      </c>
      <c r="AP149" s="7" t="n">
        <f aca="false">$J149</f>
        <v>0</v>
      </c>
      <c r="AQ149" s="7" t="n">
        <f aca="false">$K149</f>
        <v>0</v>
      </c>
      <c r="AR149" s="7" t="n">
        <f aca="false">$K149</f>
        <v>0</v>
      </c>
      <c r="AS149" s="7" t="n">
        <f aca="false">$K149</f>
        <v>0</v>
      </c>
      <c r="AT149" s="7" t="n">
        <f aca="false">$K149</f>
        <v>0</v>
      </c>
      <c r="AU149" s="7" t="n">
        <f aca="false">$K149</f>
        <v>0</v>
      </c>
      <c r="AV149" s="7" t="n">
        <f aca="false">$L149</f>
        <v>0</v>
      </c>
      <c r="AW149" s="7" t="n">
        <f aca="false">$L149</f>
        <v>0</v>
      </c>
      <c r="AX149" s="7" t="n">
        <f aca="false">$L149</f>
        <v>0</v>
      </c>
      <c r="AY149" s="7" t="n">
        <f aca="false">$L149</f>
        <v>0</v>
      </c>
      <c r="AZ149" s="7" t="n">
        <f aca="false">$M149</f>
        <v>0</v>
      </c>
      <c r="BA149" s="7" t="n">
        <f aca="false">$M149</f>
        <v>0</v>
      </c>
      <c r="BB149" s="7" t="n">
        <f aca="false">$M149</f>
        <v>0</v>
      </c>
      <c r="BC149" s="7" t="n">
        <f aca="false">$M149</f>
        <v>0</v>
      </c>
      <c r="BD149" s="7" t="n">
        <f aca="false">$N149</f>
        <v>0</v>
      </c>
      <c r="BE149" s="7" t="n">
        <f aca="false">$N149</f>
        <v>0</v>
      </c>
      <c r="BF149" s="7" t="n">
        <f aca="false">$N149</f>
        <v>0</v>
      </c>
      <c r="BG149" s="7" t="n">
        <f aca="false">$N149</f>
        <v>0</v>
      </c>
      <c r="BH149" s="7" t="n">
        <f aca="false">$N149</f>
        <v>0</v>
      </c>
      <c r="BI149" s="7" t="n">
        <f aca="false">$O149</f>
        <v>0</v>
      </c>
      <c r="BJ149" s="7" t="n">
        <f aca="false">$O149</f>
        <v>0</v>
      </c>
      <c r="BK149" s="7" t="n">
        <f aca="false">$O149</f>
        <v>0</v>
      </c>
      <c r="BL149" s="7" t="n">
        <f aca="false">$O149</f>
        <v>0</v>
      </c>
      <c r="BM149" s="7" t="n">
        <f aca="false">$P149</f>
        <v>0</v>
      </c>
      <c r="BN149" s="7" t="n">
        <f aca="false">$P149</f>
        <v>0</v>
      </c>
      <c r="BO149" s="7" t="n">
        <f aca="false">$P149</f>
        <v>0</v>
      </c>
      <c r="BP149" s="7" t="n">
        <f aca="false">$P149</f>
        <v>0</v>
      </c>
    </row>
    <row r="150" customFormat="false" ht="15" hidden="false" customHeight="false" outlineLevel="0" collapsed="false">
      <c r="A150" s="0" t="s">
        <v>236</v>
      </c>
      <c r="B150" s="0" t="s">
        <v>132</v>
      </c>
      <c r="C150" s="0" t="s">
        <v>115</v>
      </c>
      <c r="D150" s="0" t="n">
        <f aca="false">SUM(Q150:BP150)</f>
        <v>0</v>
      </c>
      <c r="E150" s="22" t="n">
        <v>0</v>
      </c>
      <c r="F150" s="22" t="n">
        <v>0</v>
      </c>
      <c r="G150" s="22" t="n">
        <v>0</v>
      </c>
      <c r="H150" s="22" t="n">
        <v>0</v>
      </c>
      <c r="I150" s="22" t="n">
        <v>0</v>
      </c>
      <c r="J150" s="22" t="n">
        <v>0</v>
      </c>
      <c r="K150" s="22" t="n">
        <v>0</v>
      </c>
      <c r="L150" s="22" t="n">
        <v>0</v>
      </c>
      <c r="M150" s="22" t="n">
        <v>0</v>
      </c>
      <c r="N150" s="22" t="n">
        <v>0</v>
      </c>
      <c r="O150" s="22" t="n">
        <v>0</v>
      </c>
      <c r="P150" s="22" t="n">
        <v>0</v>
      </c>
      <c r="Q150" s="7" t="n">
        <f aca="false">$E150</f>
        <v>0</v>
      </c>
      <c r="R150" s="7" t="n">
        <f aca="false">$E150</f>
        <v>0</v>
      </c>
      <c r="S150" s="7" t="n">
        <f aca="false">$E150</f>
        <v>0</v>
      </c>
      <c r="T150" s="7" t="n">
        <f aca="false">$E150</f>
        <v>0</v>
      </c>
      <c r="U150" s="7" t="n">
        <f aca="false">$E150</f>
        <v>0</v>
      </c>
      <c r="V150" s="7" t="n">
        <f aca="false">$F150</f>
        <v>0</v>
      </c>
      <c r="W150" s="7" t="n">
        <f aca="false">$F150</f>
        <v>0</v>
      </c>
      <c r="X150" s="7" t="n">
        <f aca="false">$F150</f>
        <v>0</v>
      </c>
      <c r="Y150" s="7" t="n">
        <f aca="false">$F150</f>
        <v>0</v>
      </c>
      <c r="Z150" s="7" t="n">
        <f aca="false">$G150</f>
        <v>0</v>
      </c>
      <c r="AA150" s="7" t="n">
        <f aca="false">$G150</f>
        <v>0</v>
      </c>
      <c r="AB150" s="7" t="n">
        <f aca="false">$G150</f>
        <v>0</v>
      </c>
      <c r="AC150" s="7" t="n">
        <f aca="false">$G150</f>
        <v>0</v>
      </c>
      <c r="AD150" s="7" t="n">
        <f aca="false">$H150</f>
        <v>0</v>
      </c>
      <c r="AE150" s="7" t="n">
        <f aca="false">$H150</f>
        <v>0</v>
      </c>
      <c r="AF150" s="7" t="n">
        <f aca="false">$H150</f>
        <v>0</v>
      </c>
      <c r="AG150" s="7" t="n">
        <f aca="false">$H150</f>
        <v>0</v>
      </c>
      <c r="AH150" s="7" t="n">
        <f aca="false">$H150</f>
        <v>0</v>
      </c>
      <c r="AI150" s="7" t="n">
        <f aca="false">$I150</f>
        <v>0</v>
      </c>
      <c r="AJ150" s="7" t="n">
        <f aca="false">$I150</f>
        <v>0</v>
      </c>
      <c r="AK150" s="7" t="n">
        <f aca="false">$I150</f>
        <v>0</v>
      </c>
      <c r="AL150" s="7" t="n">
        <f aca="false">$I150</f>
        <v>0</v>
      </c>
      <c r="AM150" s="7" t="n">
        <f aca="false">$J150</f>
        <v>0</v>
      </c>
      <c r="AN150" s="7" t="n">
        <f aca="false">$J150</f>
        <v>0</v>
      </c>
      <c r="AO150" s="7" t="n">
        <f aca="false">$J150</f>
        <v>0</v>
      </c>
      <c r="AP150" s="7" t="n">
        <f aca="false">$J150</f>
        <v>0</v>
      </c>
      <c r="AQ150" s="7" t="n">
        <f aca="false">$K150</f>
        <v>0</v>
      </c>
      <c r="AR150" s="7" t="n">
        <f aca="false">$K150</f>
        <v>0</v>
      </c>
      <c r="AS150" s="7" t="n">
        <f aca="false">$K150</f>
        <v>0</v>
      </c>
      <c r="AT150" s="7" t="n">
        <f aca="false">$K150</f>
        <v>0</v>
      </c>
      <c r="AU150" s="7" t="n">
        <f aca="false">$K150</f>
        <v>0</v>
      </c>
      <c r="AV150" s="7" t="n">
        <f aca="false">$L150</f>
        <v>0</v>
      </c>
      <c r="AW150" s="7" t="n">
        <f aca="false">$L150</f>
        <v>0</v>
      </c>
      <c r="AX150" s="7" t="n">
        <f aca="false">$L150</f>
        <v>0</v>
      </c>
      <c r="AY150" s="7" t="n">
        <f aca="false">$L150</f>
        <v>0</v>
      </c>
      <c r="AZ150" s="7" t="n">
        <f aca="false">$M150</f>
        <v>0</v>
      </c>
      <c r="BA150" s="7" t="n">
        <f aca="false">$M150</f>
        <v>0</v>
      </c>
      <c r="BB150" s="7" t="n">
        <f aca="false">$M150</f>
        <v>0</v>
      </c>
      <c r="BC150" s="7" t="n">
        <f aca="false">$M150</f>
        <v>0</v>
      </c>
      <c r="BD150" s="7" t="n">
        <f aca="false">$N150</f>
        <v>0</v>
      </c>
      <c r="BE150" s="7" t="n">
        <f aca="false">$N150</f>
        <v>0</v>
      </c>
      <c r="BF150" s="7" t="n">
        <f aca="false">$N150</f>
        <v>0</v>
      </c>
      <c r="BG150" s="7" t="n">
        <f aca="false">$N150</f>
        <v>0</v>
      </c>
      <c r="BH150" s="7" t="n">
        <f aca="false">$N150</f>
        <v>0</v>
      </c>
      <c r="BI150" s="7" t="n">
        <f aca="false">$O150</f>
        <v>0</v>
      </c>
      <c r="BJ150" s="7" t="n">
        <f aca="false">$O150</f>
        <v>0</v>
      </c>
      <c r="BK150" s="7" t="n">
        <f aca="false">$O150</f>
        <v>0</v>
      </c>
      <c r="BL150" s="7" t="n">
        <f aca="false">$O150</f>
        <v>0</v>
      </c>
      <c r="BM150" s="7" t="n">
        <f aca="false">$P150</f>
        <v>0</v>
      </c>
      <c r="BN150" s="7" t="n">
        <f aca="false">$P150</f>
        <v>0</v>
      </c>
      <c r="BO150" s="7" t="n">
        <f aca="false">$P150</f>
        <v>0</v>
      </c>
      <c r="BP150" s="7" t="n">
        <f aca="false">$P150</f>
        <v>0</v>
      </c>
    </row>
    <row r="151" customFormat="false" ht="15" hidden="false" customHeight="false" outlineLevel="0" collapsed="false">
      <c r="A151" s="0" t="s">
        <v>236</v>
      </c>
      <c r="B151" s="0" t="s">
        <v>132</v>
      </c>
      <c r="C151" s="0" t="s">
        <v>116</v>
      </c>
      <c r="D151" s="0" t="n">
        <f aca="false">SUM(Q151:BP151)</f>
        <v>0</v>
      </c>
      <c r="E151" s="22" t="n">
        <v>0</v>
      </c>
      <c r="F151" s="22" t="n">
        <v>0</v>
      </c>
      <c r="G151" s="22" t="n">
        <v>0</v>
      </c>
      <c r="H151" s="22" t="n">
        <v>0</v>
      </c>
      <c r="I151" s="22" t="n">
        <v>0</v>
      </c>
      <c r="J151" s="22" t="n">
        <v>0</v>
      </c>
      <c r="K151" s="22" t="n">
        <v>0</v>
      </c>
      <c r="L151" s="22" t="n">
        <v>0</v>
      </c>
      <c r="M151" s="22" t="n">
        <v>0</v>
      </c>
      <c r="N151" s="22" t="n">
        <v>0</v>
      </c>
      <c r="O151" s="22" t="n">
        <v>0</v>
      </c>
      <c r="P151" s="22" t="n">
        <v>0</v>
      </c>
      <c r="Q151" s="7" t="n">
        <f aca="false">$E151</f>
        <v>0</v>
      </c>
      <c r="R151" s="7" t="n">
        <f aca="false">$E151</f>
        <v>0</v>
      </c>
      <c r="S151" s="7" t="n">
        <f aca="false">$E151</f>
        <v>0</v>
      </c>
      <c r="T151" s="7" t="n">
        <f aca="false">$E151</f>
        <v>0</v>
      </c>
      <c r="U151" s="7" t="n">
        <f aca="false">$E151</f>
        <v>0</v>
      </c>
      <c r="V151" s="7" t="n">
        <f aca="false">$F151</f>
        <v>0</v>
      </c>
      <c r="W151" s="7" t="n">
        <f aca="false">$F151</f>
        <v>0</v>
      </c>
      <c r="X151" s="7" t="n">
        <f aca="false">$F151</f>
        <v>0</v>
      </c>
      <c r="Y151" s="7" t="n">
        <f aca="false">$F151</f>
        <v>0</v>
      </c>
      <c r="Z151" s="7" t="n">
        <f aca="false">$G151</f>
        <v>0</v>
      </c>
      <c r="AA151" s="7" t="n">
        <f aca="false">$G151</f>
        <v>0</v>
      </c>
      <c r="AB151" s="7" t="n">
        <f aca="false">$G151</f>
        <v>0</v>
      </c>
      <c r="AC151" s="7" t="n">
        <f aca="false">$G151</f>
        <v>0</v>
      </c>
      <c r="AD151" s="7" t="n">
        <f aca="false">$H151</f>
        <v>0</v>
      </c>
      <c r="AE151" s="7" t="n">
        <f aca="false">$H151</f>
        <v>0</v>
      </c>
      <c r="AF151" s="7" t="n">
        <f aca="false">$H151</f>
        <v>0</v>
      </c>
      <c r="AG151" s="7" t="n">
        <f aca="false">$H151</f>
        <v>0</v>
      </c>
      <c r="AH151" s="7" t="n">
        <f aca="false">$H151</f>
        <v>0</v>
      </c>
      <c r="AI151" s="7" t="n">
        <f aca="false">$I151</f>
        <v>0</v>
      </c>
      <c r="AJ151" s="7" t="n">
        <f aca="false">$I151</f>
        <v>0</v>
      </c>
      <c r="AK151" s="7" t="n">
        <f aca="false">$I151</f>
        <v>0</v>
      </c>
      <c r="AL151" s="7" t="n">
        <f aca="false">$I151</f>
        <v>0</v>
      </c>
      <c r="AM151" s="7" t="n">
        <f aca="false">$J151</f>
        <v>0</v>
      </c>
      <c r="AN151" s="7" t="n">
        <f aca="false">$J151</f>
        <v>0</v>
      </c>
      <c r="AO151" s="7" t="n">
        <f aca="false">$J151</f>
        <v>0</v>
      </c>
      <c r="AP151" s="7" t="n">
        <f aca="false">$J151</f>
        <v>0</v>
      </c>
      <c r="AQ151" s="7" t="n">
        <f aca="false">$K151</f>
        <v>0</v>
      </c>
      <c r="AR151" s="7" t="n">
        <f aca="false">$K151</f>
        <v>0</v>
      </c>
      <c r="AS151" s="7" t="n">
        <f aca="false">$K151</f>
        <v>0</v>
      </c>
      <c r="AT151" s="7" t="n">
        <f aca="false">$K151</f>
        <v>0</v>
      </c>
      <c r="AU151" s="7" t="n">
        <f aca="false">$K151</f>
        <v>0</v>
      </c>
      <c r="AV151" s="7" t="n">
        <f aca="false">$L151</f>
        <v>0</v>
      </c>
      <c r="AW151" s="7" t="n">
        <f aca="false">$L151</f>
        <v>0</v>
      </c>
      <c r="AX151" s="7" t="n">
        <f aca="false">$L151</f>
        <v>0</v>
      </c>
      <c r="AY151" s="7" t="n">
        <f aca="false">$L151</f>
        <v>0</v>
      </c>
      <c r="AZ151" s="7" t="n">
        <f aca="false">$M151</f>
        <v>0</v>
      </c>
      <c r="BA151" s="7" t="n">
        <f aca="false">$M151</f>
        <v>0</v>
      </c>
      <c r="BB151" s="7" t="n">
        <f aca="false">$M151</f>
        <v>0</v>
      </c>
      <c r="BC151" s="7" t="n">
        <f aca="false">$M151</f>
        <v>0</v>
      </c>
      <c r="BD151" s="7" t="n">
        <f aca="false">$N151</f>
        <v>0</v>
      </c>
      <c r="BE151" s="7" t="n">
        <f aca="false">$N151</f>
        <v>0</v>
      </c>
      <c r="BF151" s="7" t="n">
        <f aca="false">$N151</f>
        <v>0</v>
      </c>
      <c r="BG151" s="7" t="n">
        <f aca="false">$N151</f>
        <v>0</v>
      </c>
      <c r="BH151" s="7" t="n">
        <f aca="false">$N151</f>
        <v>0</v>
      </c>
      <c r="BI151" s="7" t="n">
        <f aca="false">$O151</f>
        <v>0</v>
      </c>
      <c r="BJ151" s="7" t="n">
        <f aca="false">$O151</f>
        <v>0</v>
      </c>
      <c r="BK151" s="7" t="n">
        <f aca="false">$O151</f>
        <v>0</v>
      </c>
      <c r="BL151" s="7" t="n">
        <f aca="false">$O151</f>
        <v>0</v>
      </c>
      <c r="BM151" s="7" t="n">
        <f aca="false">$P151</f>
        <v>0</v>
      </c>
      <c r="BN151" s="7" t="n">
        <f aca="false">$P151</f>
        <v>0</v>
      </c>
      <c r="BO151" s="7" t="n">
        <f aca="false">$P151</f>
        <v>0</v>
      </c>
      <c r="BP151" s="7" t="n">
        <f aca="false">$P151</f>
        <v>0</v>
      </c>
    </row>
    <row r="152" customFormat="false" ht="15" hidden="false" customHeight="false" outlineLevel="0" collapsed="false">
      <c r="A152" s="0" t="s">
        <v>236</v>
      </c>
      <c r="B152" s="0" t="s">
        <v>132</v>
      </c>
      <c r="C152" s="0" t="s">
        <v>117</v>
      </c>
      <c r="D152" s="0" t="n">
        <f aca="false">SUM(Q152:BP152)</f>
        <v>0</v>
      </c>
      <c r="E152" s="22" t="n">
        <v>0</v>
      </c>
      <c r="F152" s="22" t="n">
        <v>0</v>
      </c>
      <c r="G152" s="22" t="n">
        <v>0</v>
      </c>
      <c r="H152" s="22" t="n">
        <v>0</v>
      </c>
      <c r="I152" s="22" t="n">
        <v>0</v>
      </c>
      <c r="J152" s="22" t="n">
        <v>0</v>
      </c>
      <c r="K152" s="22" t="n">
        <v>0</v>
      </c>
      <c r="L152" s="22" t="n">
        <v>0</v>
      </c>
      <c r="M152" s="22" t="n">
        <v>0</v>
      </c>
      <c r="N152" s="22" t="n">
        <v>0</v>
      </c>
      <c r="O152" s="22" t="n">
        <v>0</v>
      </c>
      <c r="P152" s="22" t="n">
        <v>0</v>
      </c>
      <c r="Q152" s="7" t="n">
        <f aca="false">$E152</f>
        <v>0</v>
      </c>
      <c r="R152" s="7" t="n">
        <f aca="false">$E152</f>
        <v>0</v>
      </c>
      <c r="S152" s="7" t="n">
        <f aca="false">$E152</f>
        <v>0</v>
      </c>
      <c r="T152" s="7" t="n">
        <f aca="false">$E152</f>
        <v>0</v>
      </c>
      <c r="U152" s="7" t="n">
        <f aca="false">$E152</f>
        <v>0</v>
      </c>
      <c r="V152" s="7" t="n">
        <f aca="false">$F152</f>
        <v>0</v>
      </c>
      <c r="W152" s="7" t="n">
        <f aca="false">$F152</f>
        <v>0</v>
      </c>
      <c r="X152" s="7" t="n">
        <f aca="false">$F152</f>
        <v>0</v>
      </c>
      <c r="Y152" s="7" t="n">
        <f aca="false">$F152</f>
        <v>0</v>
      </c>
      <c r="Z152" s="7" t="n">
        <f aca="false">$G152</f>
        <v>0</v>
      </c>
      <c r="AA152" s="7" t="n">
        <f aca="false">$G152</f>
        <v>0</v>
      </c>
      <c r="AB152" s="7" t="n">
        <f aca="false">$G152</f>
        <v>0</v>
      </c>
      <c r="AC152" s="7" t="n">
        <f aca="false">$G152</f>
        <v>0</v>
      </c>
      <c r="AD152" s="7" t="n">
        <f aca="false">$H152</f>
        <v>0</v>
      </c>
      <c r="AE152" s="7" t="n">
        <f aca="false">$H152</f>
        <v>0</v>
      </c>
      <c r="AF152" s="7" t="n">
        <f aca="false">$H152</f>
        <v>0</v>
      </c>
      <c r="AG152" s="7" t="n">
        <f aca="false">$H152</f>
        <v>0</v>
      </c>
      <c r="AH152" s="7" t="n">
        <f aca="false">$H152</f>
        <v>0</v>
      </c>
      <c r="AI152" s="7" t="n">
        <f aca="false">$I152</f>
        <v>0</v>
      </c>
      <c r="AJ152" s="7" t="n">
        <f aca="false">$I152</f>
        <v>0</v>
      </c>
      <c r="AK152" s="7" t="n">
        <f aca="false">$I152</f>
        <v>0</v>
      </c>
      <c r="AL152" s="7" t="n">
        <f aca="false">$I152</f>
        <v>0</v>
      </c>
      <c r="AM152" s="7" t="n">
        <f aca="false">$J152</f>
        <v>0</v>
      </c>
      <c r="AN152" s="7" t="n">
        <f aca="false">$J152</f>
        <v>0</v>
      </c>
      <c r="AO152" s="7" t="n">
        <f aca="false">$J152</f>
        <v>0</v>
      </c>
      <c r="AP152" s="7" t="n">
        <f aca="false">$J152</f>
        <v>0</v>
      </c>
      <c r="AQ152" s="7" t="n">
        <f aca="false">$K152</f>
        <v>0</v>
      </c>
      <c r="AR152" s="7" t="n">
        <f aca="false">$K152</f>
        <v>0</v>
      </c>
      <c r="AS152" s="7" t="n">
        <f aca="false">$K152</f>
        <v>0</v>
      </c>
      <c r="AT152" s="7" t="n">
        <f aca="false">$K152</f>
        <v>0</v>
      </c>
      <c r="AU152" s="7" t="n">
        <f aca="false">$K152</f>
        <v>0</v>
      </c>
      <c r="AV152" s="7" t="n">
        <f aca="false">$L152</f>
        <v>0</v>
      </c>
      <c r="AW152" s="7" t="n">
        <f aca="false">$L152</f>
        <v>0</v>
      </c>
      <c r="AX152" s="7" t="n">
        <f aca="false">$L152</f>
        <v>0</v>
      </c>
      <c r="AY152" s="7" t="n">
        <f aca="false">$L152</f>
        <v>0</v>
      </c>
      <c r="AZ152" s="7" t="n">
        <f aca="false">$M152</f>
        <v>0</v>
      </c>
      <c r="BA152" s="7" t="n">
        <f aca="false">$M152</f>
        <v>0</v>
      </c>
      <c r="BB152" s="7" t="n">
        <f aca="false">$M152</f>
        <v>0</v>
      </c>
      <c r="BC152" s="7" t="n">
        <f aca="false">$M152</f>
        <v>0</v>
      </c>
      <c r="BD152" s="7" t="n">
        <f aca="false">$N152</f>
        <v>0</v>
      </c>
      <c r="BE152" s="7" t="n">
        <f aca="false">$N152</f>
        <v>0</v>
      </c>
      <c r="BF152" s="7" t="n">
        <f aca="false">$N152</f>
        <v>0</v>
      </c>
      <c r="BG152" s="7" t="n">
        <f aca="false">$N152</f>
        <v>0</v>
      </c>
      <c r="BH152" s="7" t="n">
        <f aca="false">$N152</f>
        <v>0</v>
      </c>
      <c r="BI152" s="7" t="n">
        <f aca="false">$O152</f>
        <v>0</v>
      </c>
      <c r="BJ152" s="7" t="n">
        <f aca="false">$O152</f>
        <v>0</v>
      </c>
      <c r="BK152" s="7" t="n">
        <f aca="false">$O152</f>
        <v>0</v>
      </c>
      <c r="BL152" s="7" t="n">
        <f aca="false">$O152</f>
        <v>0</v>
      </c>
      <c r="BM152" s="7" t="n">
        <f aca="false">$P152</f>
        <v>0</v>
      </c>
      <c r="BN152" s="7" t="n">
        <f aca="false">$P152</f>
        <v>0</v>
      </c>
      <c r="BO152" s="7" t="n">
        <f aca="false">$P152</f>
        <v>0</v>
      </c>
      <c r="BP152" s="7" t="n">
        <f aca="false">$P152</f>
        <v>0</v>
      </c>
    </row>
    <row r="153" customFormat="false" ht="15" hidden="false" customHeight="false" outlineLevel="0" collapsed="false">
      <c r="A153" s="0" t="s">
        <v>236</v>
      </c>
      <c r="B153" s="0" t="s">
        <v>132</v>
      </c>
      <c r="C153" s="0" t="s">
        <v>118</v>
      </c>
      <c r="D153" s="0" t="n">
        <f aca="false">SUM(Q153:BP153)</f>
        <v>0</v>
      </c>
      <c r="E153" s="22" t="n">
        <v>0</v>
      </c>
      <c r="F153" s="22" t="n">
        <v>0</v>
      </c>
      <c r="G153" s="22" t="n">
        <v>0</v>
      </c>
      <c r="H153" s="22" t="n">
        <v>0</v>
      </c>
      <c r="I153" s="22" t="n">
        <v>0</v>
      </c>
      <c r="J153" s="22" t="n">
        <v>0</v>
      </c>
      <c r="K153" s="22" t="n">
        <v>0</v>
      </c>
      <c r="L153" s="22" t="n">
        <v>0</v>
      </c>
      <c r="M153" s="22" t="n">
        <v>0</v>
      </c>
      <c r="N153" s="22" t="n">
        <v>0</v>
      </c>
      <c r="O153" s="22" t="n">
        <v>0</v>
      </c>
      <c r="P153" s="22" t="n">
        <v>0</v>
      </c>
      <c r="Q153" s="7" t="n">
        <f aca="false">$E153</f>
        <v>0</v>
      </c>
      <c r="R153" s="7" t="n">
        <f aca="false">$E153</f>
        <v>0</v>
      </c>
      <c r="S153" s="7" t="n">
        <f aca="false">$E153</f>
        <v>0</v>
      </c>
      <c r="T153" s="7" t="n">
        <f aca="false">$E153</f>
        <v>0</v>
      </c>
      <c r="U153" s="7" t="n">
        <f aca="false">$E153</f>
        <v>0</v>
      </c>
      <c r="V153" s="7" t="n">
        <f aca="false">$F153</f>
        <v>0</v>
      </c>
      <c r="W153" s="7" t="n">
        <f aca="false">$F153</f>
        <v>0</v>
      </c>
      <c r="X153" s="7" t="n">
        <f aca="false">$F153</f>
        <v>0</v>
      </c>
      <c r="Y153" s="7" t="n">
        <f aca="false">$F153</f>
        <v>0</v>
      </c>
      <c r="Z153" s="7" t="n">
        <f aca="false">$G153</f>
        <v>0</v>
      </c>
      <c r="AA153" s="7" t="n">
        <f aca="false">$G153</f>
        <v>0</v>
      </c>
      <c r="AB153" s="7" t="n">
        <f aca="false">$G153</f>
        <v>0</v>
      </c>
      <c r="AC153" s="7" t="n">
        <f aca="false">$G153</f>
        <v>0</v>
      </c>
      <c r="AD153" s="7" t="n">
        <f aca="false">$H153</f>
        <v>0</v>
      </c>
      <c r="AE153" s="7" t="n">
        <f aca="false">$H153</f>
        <v>0</v>
      </c>
      <c r="AF153" s="7" t="n">
        <f aca="false">$H153</f>
        <v>0</v>
      </c>
      <c r="AG153" s="7" t="n">
        <f aca="false">$H153</f>
        <v>0</v>
      </c>
      <c r="AH153" s="7" t="n">
        <f aca="false">$H153</f>
        <v>0</v>
      </c>
      <c r="AI153" s="7" t="n">
        <f aca="false">$I153</f>
        <v>0</v>
      </c>
      <c r="AJ153" s="7" t="n">
        <f aca="false">$I153</f>
        <v>0</v>
      </c>
      <c r="AK153" s="7" t="n">
        <f aca="false">$I153</f>
        <v>0</v>
      </c>
      <c r="AL153" s="7" t="n">
        <f aca="false">$I153</f>
        <v>0</v>
      </c>
      <c r="AM153" s="7" t="n">
        <f aca="false">$J153</f>
        <v>0</v>
      </c>
      <c r="AN153" s="7" t="n">
        <f aca="false">$J153</f>
        <v>0</v>
      </c>
      <c r="AO153" s="7" t="n">
        <f aca="false">$J153</f>
        <v>0</v>
      </c>
      <c r="AP153" s="7" t="n">
        <f aca="false">$J153</f>
        <v>0</v>
      </c>
      <c r="AQ153" s="7" t="n">
        <f aca="false">$K153</f>
        <v>0</v>
      </c>
      <c r="AR153" s="7" t="n">
        <f aca="false">$K153</f>
        <v>0</v>
      </c>
      <c r="AS153" s="7" t="n">
        <f aca="false">$K153</f>
        <v>0</v>
      </c>
      <c r="AT153" s="7" t="n">
        <f aca="false">$K153</f>
        <v>0</v>
      </c>
      <c r="AU153" s="7" t="n">
        <f aca="false">$K153</f>
        <v>0</v>
      </c>
      <c r="AV153" s="7" t="n">
        <f aca="false">$L153</f>
        <v>0</v>
      </c>
      <c r="AW153" s="7" t="n">
        <f aca="false">$L153</f>
        <v>0</v>
      </c>
      <c r="AX153" s="7" t="n">
        <f aca="false">$L153</f>
        <v>0</v>
      </c>
      <c r="AY153" s="7" t="n">
        <f aca="false">$L153</f>
        <v>0</v>
      </c>
      <c r="AZ153" s="7" t="n">
        <f aca="false">$M153</f>
        <v>0</v>
      </c>
      <c r="BA153" s="7" t="n">
        <f aca="false">$M153</f>
        <v>0</v>
      </c>
      <c r="BB153" s="7" t="n">
        <f aca="false">$M153</f>
        <v>0</v>
      </c>
      <c r="BC153" s="7" t="n">
        <f aca="false">$M153</f>
        <v>0</v>
      </c>
      <c r="BD153" s="7" t="n">
        <f aca="false">$N153</f>
        <v>0</v>
      </c>
      <c r="BE153" s="7" t="n">
        <f aca="false">$N153</f>
        <v>0</v>
      </c>
      <c r="BF153" s="7" t="n">
        <f aca="false">$N153</f>
        <v>0</v>
      </c>
      <c r="BG153" s="7" t="n">
        <f aca="false">$N153</f>
        <v>0</v>
      </c>
      <c r="BH153" s="7" t="n">
        <f aca="false">$N153</f>
        <v>0</v>
      </c>
      <c r="BI153" s="7" t="n">
        <f aca="false">$O153</f>
        <v>0</v>
      </c>
      <c r="BJ153" s="7" t="n">
        <f aca="false">$O153</f>
        <v>0</v>
      </c>
      <c r="BK153" s="7" t="n">
        <f aca="false">$O153</f>
        <v>0</v>
      </c>
      <c r="BL153" s="7" t="n">
        <f aca="false">$O153</f>
        <v>0</v>
      </c>
      <c r="BM153" s="7" t="n">
        <f aca="false">$P153</f>
        <v>0</v>
      </c>
      <c r="BN153" s="7" t="n">
        <f aca="false">$P153</f>
        <v>0</v>
      </c>
      <c r="BO153" s="7" t="n">
        <f aca="false">$P153</f>
        <v>0</v>
      </c>
      <c r="BP153" s="7" t="n">
        <f aca="false">$P153</f>
        <v>0</v>
      </c>
    </row>
    <row r="154" customFormat="false" ht="15" hidden="false" customHeight="false" outlineLevel="0" collapsed="false">
      <c r="A154" s="0" t="s">
        <v>236</v>
      </c>
      <c r="B154" s="0" t="s">
        <v>132</v>
      </c>
      <c r="C154" s="0" t="s">
        <v>119</v>
      </c>
      <c r="D154" s="0" t="n">
        <f aca="false">SUM(Q154:BP154)</f>
        <v>0</v>
      </c>
      <c r="E154" s="13" t="n">
        <v>0</v>
      </c>
      <c r="F154" s="13" t="n">
        <v>0</v>
      </c>
      <c r="G154" s="13" t="n">
        <v>0</v>
      </c>
      <c r="H154" s="13" t="n">
        <v>0</v>
      </c>
      <c r="I154" s="13" t="n">
        <v>0</v>
      </c>
      <c r="J154" s="13" t="n">
        <v>0</v>
      </c>
      <c r="K154" s="13" t="n">
        <v>0</v>
      </c>
      <c r="L154" s="13" t="n">
        <v>0</v>
      </c>
      <c r="M154" s="13" t="n">
        <v>0</v>
      </c>
      <c r="N154" s="13" t="n">
        <v>0</v>
      </c>
      <c r="O154" s="13" t="n">
        <v>0</v>
      </c>
      <c r="P154" s="13" t="n">
        <v>0</v>
      </c>
      <c r="Q154" s="7" t="n">
        <f aca="false">$E154</f>
        <v>0</v>
      </c>
      <c r="R154" s="7" t="n">
        <f aca="false">$E154</f>
        <v>0</v>
      </c>
      <c r="S154" s="7" t="n">
        <f aca="false">$E154</f>
        <v>0</v>
      </c>
      <c r="T154" s="7" t="n">
        <f aca="false">$E154</f>
        <v>0</v>
      </c>
      <c r="U154" s="7" t="n">
        <f aca="false">$E154</f>
        <v>0</v>
      </c>
      <c r="V154" s="7" t="n">
        <f aca="false">$F154</f>
        <v>0</v>
      </c>
      <c r="W154" s="7" t="n">
        <f aca="false">$F154</f>
        <v>0</v>
      </c>
      <c r="X154" s="7" t="n">
        <f aca="false">$F154</f>
        <v>0</v>
      </c>
      <c r="Y154" s="7" t="n">
        <f aca="false">$F154</f>
        <v>0</v>
      </c>
      <c r="Z154" s="7" t="n">
        <f aca="false">$G154</f>
        <v>0</v>
      </c>
      <c r="AA154" s="7" t="n">
        <f aca="false">$G154</f>
        <v>0</v>
      </c>
      <c r="AB154" s="7" t="n">
        <f aca="false">$G154</f>
        <v>0</v>
      </c>
      <c r="AC154" s="7" t="n">
        <f aca="false">$G154</f>
        <v>0</v>
      </c>
      <c r="AD154" s="7" t="n">
        <f aca="false">$H154</f>
        <v>0</v>
      </c>
      <c r="AE154" s="7" t="n">
        <f aca="false">$H154</f>
        <v>0</v>
      </c>
      <c r="AF154" s="7" t="n">
        <f aca="false">$H154</f>
        <v>0</v>
      </c>
      <c r="AG154" s="7" t="n">
        <f aca="false">$H154</f>
        <v>0</v>
      </c>
      <c r="AH154" s="7" t="n">
        <f aca="false">$H154</f>
        <v>0</v>
      </c>
      <c r="AI154" s="7" t="n">
        <f aca="false">$I154</f>
        <v>0</v>
      </c>
      <c r="AJ154" s="7" t="n">
        <f aca="false">$I154</f>
        <v>0</v>
      </c>
      <c r="AK154" s="7" t="n">
        <f aca="false">$I154</f>
        <v>0</v>
      </c>
      <c r="AL154" s="7" t="n">
        <f aca="false">$I154</f>
        <v>0</v>
      </c>
      <c r="AM154" s="7" t="n">
        <f aca="false">$J154</f>
        <v>0</v>
      </c>
      <c r="AN154" s="7" t="n">
        <f aca="false">$J154</f>
        <v>0</v>
      </c>
      <c r="AO154" s="7" t="n">
        <f aca="false">$J154</f>
        <v>0</v>
      </c>
      <c r="AP154" s="7" t="n">
        <f aca="false">$J154</f>
        <v>0</v>
      </c>
      <c r="AQ154" s="7" t="n">
        <f aca="false">$K154</f>
        <v>0</v>
      </c>
      <c r="AR154" s="7" t="n">
        <f aca="false">$K154</f>
        <v>0</v>
      </c>
      <c r="AS154" s="7" t="n">
        <f aca="false">$K154</f>
        <v>0</v>
      </c>
      <c r="AT154" s="7" t="n">
        <f aca="false">$K154</f>
        <v>0</v>
      </c>
      <c r="AU154" s="7" t="n">
        <f aca="false">$K154</f>
        <v>0</v>
      </c>
      <c r="AV154" s="7" t="n">
        <f aca="false">$L154</f>
        <v>0</v>
      </c>
      <c r="AW154" s="7" t="n">
        <f aca="false">$L154</f>
        <v>0</v>
      </c>
      <c r="AX154" s="7" t="n">
        <f aca="false">$L154</f>
        <v>0</v>
      </c>
      <c r="AY154" s="7" t="n">
        <f aca="false">$L154</f>
        <v>0</v>
      </c>
      <c r="AZ154" s="7" t="n">
        <f aca="false">$M154</f>
        <v>0</v>
      </c>
      <c r="BA154" s="7" t="n">
        <f aca="false">$M154</f>
        <v>0</v>
      </c>
      <c r="BB154" s="7" t="n">
        <f aca="false">$M154</f>
        <v>0</v>
      </c>
      <c r="BC154" s="7" t="n">
        <f aca="false">$M154</f>
        <v>0</v>
      </c>
      <c r="BD154" s="7" t="n">
        <f aca="false">$N154</f>
        <v>0</v>
      </c>
      <c r="BE154" s="7" t="n">
        <f aca="false">$N154</f>
        <v>0</v>
      </c>
      <c r="BF154" s="7" t="n">
        <f aca="false">$N154</f>
        <v>0</v>
      </c>
      <c r="BG154" s="7" t="n">
        <f aca="false">$N154</f>
        <v>0</v>
      </c>
      <c r="BH154" s="7" t="n">
        <f aca="false">$N154</f>
        <v>0</v>
      </c>
      <c r="BI154" s="7" t="n">
        <f aca="false">$O154</f>
        <v>0</v>
      </c>
      <c r="BJ154" s="7" t="n">
        <f aca="false">$O154</f>
        <v>0</v>
      </c>
      <c r="BK154" s="7" t="n">
        <f aca="false">$O154</f>
        <v>0</v>
      </c>
      <c r="BL154" s="7" t="n">
        <f aca="false">$O154</f>
        <v>0</v>
      </c>
      <c r="BM154" s="7" t="n">
        <f aca="false">$P154</f>
        <v>0</v>
      </c>
      <c r="BN154" s="7" t="n">
        <f aca="false">$P154</f>
        <v>0</v>
      </c>
      <c r="BO154" s="7" t="n">
        <f aca="false">$P154</f>
        <v>0</v>
      </c>
      <c r="BP154" s="7" t="n">
        <f aca="false">$P154</f>
        <v>0</v>
      </c>
    </row>
    <row r="155" customFormat="false" ht="15" hidden="false" customHeight="false" outlineLevel="0" collapsed="false">
      <c r="A155" s="0" t="s">
        <v>236</v>
      </c>
      <c r="B155" s="0" t="s">
        <v>132</v>
      </c>
      <c r="C155" s="0" t="s">
        <v>120</v>
      </c>
      <c r="D155" s="0" t="n">
        <f aca="false">SUM(Q155:BP155)</f>
        <v>0</v>
      </c>
      <c r="E155" s="13" t="n">
        <v>0</v>
      </c>
      <c r="F155" s="13" t="n">
        <v>0</v>
      </c>
      <c r="G155" s="13" t="n">
        <v>0</v>
      </c>
      <c r="H155" s="13" t="n">
        <v>0</v>
      </c>
      <c r="I155" s="13" t="n">
        <v>0</v>
      </c>
      <c r="J155" s="13" t="n">
        <v>0</v>
      </c>
      <c r="K155" s="13" t="n">
        <v>0</v>
      </c>
      <c r="L155" s="13" t="n">
        <v>0</v>
      </c>
      <c r="M155" s="13" t="n">
        <v>0</v>
      </c>
      <c r="N155" s="13" t="n">
        <v>0</v>
      </c>
      <c r="O155" s="13" t="n">
        <v>0</v>
      </c>
      <c r="P155" s="13" t="n">
        <v>0</v>
      </c>
      <c r="Q155" s="7" t="n">
        <f aca="false">$E155</f>
        <v>0</v>
      </c>
      <c r="R155" s="7" t="n">
        <f aca="false">$E155</f>
        <v>0</v>
      </c>
      <c r="S155" s="7" t="n">
        <f aca="false">$E155</f>
        <v>0</v>
      </c>
      <c r="T155" s="7" t="n">
        <f aca="false">$E155</f>
        <v>0</v>
      </c>
      <c r="U155" s="7" t="n">
        <f aca="false">$E155</f>
        <v>0</v>
      </c>
      <c r="V155" s="7" t="n">
        <f aca="false">$F155</f>
        <v>0</v>
      </c>
      <c r="W155" s="7" t="n">
        <f aca="false">$F155</f>
        <v>0</v>
      </c>
      <c r="X155" s="7" t="n">
        <f aca="false">$F155</f>
        <v>0</v>
      </c>
      <c r="Y155" s="7" t="n">
        <f aca="false">$F155</f>
        <v>0</v>
      </c>
      <c r="Z155" s="7" t="n">
        <f aca="false">$G155</f>
        <v>0</v>
      </c>
      <c r="AA155" s="7" t="n">
        <f aca="false">$G155</f>
        <v>0</v>
      </c>
      <c r="AB155" s="7" t="n">
        <f aca="false">$G155</f>
        <v>0</v>
      </c>
      <c r="AC155" s="7" t="n">
        <f aca="false">$G155</f>
        <v>0</v>
      </c>
      <c r="AD155" s="7" t="n">
        <f aca="false">$H155</f>
        <v>0</v>
      </c>
      <c r="AE155" s="7" t="n">
        <f aca="false">$H155</f>
        <v>0</v>
      </c>
      <c r="AF155" s="7" t="n">
        <f aca="false">$H155</f>
        <v>0</v>
      </c>
      <c r="AG155" s="7" t="n">
        <f aca="false">$H155</f>
        <v>0</v>
      </c>
      <c r="AH155" s="7" t="n">
        <f aca="false">$H155</f>
        <v>0</v>
      </c>
      <c r="AI155" s="7" t="n">
        <f aca="false">$I155</f>
        <v>0</v>
      </c>
      <c r="AJ155" s="7" t="n">
        <f aca="false">$I155</f>
        <v>0</v>
      </c>
      <c r="AK155" s="7" t="n">
        <f aca="false">$I155</f>
        <v>0</v>
      </c>
      <c r="AL155" s="7" t="n">
        <f aca="false">$I155</f>
        <v>0</v>
      </c>
      <c r="AM155" s="7" t="n">
        <f aca="false">$J155</f>
        <v>0</v>
      </c>
      <c r="AN155" s="7" t="n">
        <f aca="false">$J155</f>
        <v>0</v>
      </c>
      <c r="AO155" s="7" t="n">
        <f aca="false">$J155</f>
        <v>0</v>
      </c>
      <c r="AP155" s="7" t="n">
        <f aca="false">$J155</f>
        <v>0</v>
      </c>
      <c r="AQ155" s="7" t="n">
        <f aca="false">$K155</f>
        <v>0</v>
      </c>
      <c r="AR155" s="7" t="n">
        <f aca="false">$K155</f>
        <v>0</v>
      </c>
      <c r="AS155" s="7" t="n">
        <f aca="false">$K155</f>
        <v>0</v>
      </c>
      <c r="AT155" s="7" t="n">
        <f aca="false">$K155</f>
        <v>0</v>
      </c>
      <c r="AU155" s="7" t="n">
        <f aca="false">$K155</f>
        <v>0</v>
      </c>
      <c r="AV155" s="7" t="n">
        <f aca="false">$L155</f>
        <v>0</v>
      </c>
      <c r="AW155" s="7" t="n">
        <f aca="false">$L155</f>
        <v>0</v>
      </c>
      <c r="AX155" s="7" t="n">
        <f aca="false">$L155</f>
        <v>0</v>
      </c>
      <c r="AY155" s="7" t="n">
        <f aca="false">$L155</f>
        <v>0</v>
      </c>
      <c r="AZ155" s="7" t="n">
        <f aca="false">$M155</f>
        <v>0</v>
      </c>
      <c r="BA155" s="7" t="n">
        <f aca="false">$M155</f>
        <v>0</v>
      </c>
      <c r="BB155" s="7" t="n">
        <f aca="false">$M155</f>
        <v>0</v>
      </c>
      <c r="BC155" s="7" t="n">
        <f aca="false">$M155</f>
        <v>0</v>
      </c>
      <c r="BD155" s="7" t="n">
        <f aca="false">$N155</f>
        <v>0</v>
      </c>
      <c r="BE155" s="7" t="n">
        <f aca="false">$N155</f>
        <v>0</v>
      </c>
      <c r="BF155" s="7" t="n">
        <f aca="false">$N155</f>
        <v>0</v>
      </c>
      <c r="BG155" s="7" t="n">
        <f aca="false">$N155</f>
        <v>0</v>
      </c>
      <c r="BH155" s="7" t="n">
        <f aca="false">$N155</f>
        <v>0</v>
      </c>
      <c r="BI155" s="7" t="n">
        <f aca="false">$O155</f>
        <v>0</v>
      </c>
      <c r="BJ155" s="7" t="n">
        <f aca="false">$O155</f>
        <v>0</v>
      </c>
      <c r="BK155" s="7" t="n">
        <f aca="false">$O155</f>
        <v>0</v>
      </c>
      <c r="BL155" s="7" t="n">
        <f aca="false">$O155</f>
        <v>0</v>
      </c>
      <c r="BM155" s="7" t="n">
        <f aca="false">$P155</f>
        <v>0</v>
      </c>
      <c r="BN155" s="7" t="n">
        <f aca="false">$P155</f>
        <v>0</v>
      </c>
      <c r="BO155" s="7" t="n">
        <f aca="false">$P155</f>
        <v>0</v>
      </c>
      <c r="BP155" s="7" t="n">
        <f aca="false">$P155</f>
        <v>0</v>
      </c>
    </row>
    <row r="156" customFormat="false" ht="15" hidden="false" customHeight="false" outlineLevel="0" collapsed="false">
      <c r="A156" s="0" t="s">
        <v>236</v>
      </c>
      <c r="B156" s="0" t="s">
        <v>132</v>
      </c>
      <c r="C156" s="0" t="s">
        <v>121</v>
      </c>
      <c r="D156" s="0" t="n">
        <f aca="false">SUM(Q156:BP156)</f>
        <v>0</v>
      </c>
      <c r="E156" s="13" t="n">
        <v>0</v>
      </c>
      <c r="F156" s="13" t="n">
        <v>0</v>
      </c>
      <c r="G156" s="13" t="n">
        <v>0</v>
      </c>
      <c r="H156" s="13" t="n">
        <v>0</v>
      </c>
      <c r="I156" s="13" t="n">
        <v>0</v>
      </c>
      <c r="J156" s="13" t="n">
        <v>0</v>
      </c>
      <c r="K156" s="13" t="n">
        <v>0</v>
      </c>
      <c r="L156" s="13" t="n">
        <v>0</v>
      </c>
      <c r="M156" s="13" t="n">
        <v>0</v>
      </c>
      <c r="N156" s="13" t="n">
        <v>0</v>
      </c>
      <c r="O156" s="13" t="n">
        <v>0</v>
      </c>
      <c r="P156" s="13" t="n">
        <v>0</v>
      </c>
      <c r="Q156" s="7" t="n">
        <f aca="false">$E156</f>
        <v>0</v>
      </c>
      <c r="R156" s="7" t="n">
        <f aca="false">$E156</f>
        <v>0</v>
      </c>
      <c r="S156" s="7" t="n">
        <f aca="false">$E156</f>
        <v>0</v>
      </c>
      <c r="T156" s="7" t="n">
        <f aca="false">$E156</f>
        <v>0</v>
      </c>
      <c r="U156" s="7" t="n">
        <f aca="false">$E156</f>
        <v>0</v>
      </c>
      <c r="V156" s="7" t="n">
        <f aca="false">$F156</f>
        <v>0</v>
      </c>
      <c r="W156" s="7" t="n">
        <f aca="false">$F156</f>
        <v>0</v>
      </c>
      <c r="X156" s="7" t="n">
        <f aca="false">$F156</f>
        <v>0</v>
      </c>
      <c r="Y156" s="7" t="n">
        <f aca="false">$F156</f>
        <v>0</v>
      </c>
      <c r="Z156" s="7" t="n">
        <f aca="false">$G156</f>
        <v>0</v>
      </c>
      <c r="AA156" s="7" t="n">
        <f aca="false">$G156</f>
        <v>0</v>
      </c>
      <c r="AB156" s="7" t="n">
        <f aca="false">$G156</f>
        <v>0</v>
      </c>
      <c r="AC156" s="7" t="n">
        <f aca="false">$G156</f>
        <v>0</v>
      </c>
      <c r="AD156" s="7" t="n">
        <f aca="false">$H156</f>
        <v>0</v>
      </c>
      <c r="AE156" s="7" t="n">
        <f aca="false">$H156</f>
        <v>0</v>
      </c>
      <c r="AF156" s="7" t="n">
        <f aca="false">$H156</f>
        <v>0</v>
      </c>
      <c r="AG156" s="7" t="n">
        <f aca="false">$H156</f>
        <v>0</v>
      </c>
      <c r="AH156" s="7" t="n">
        <f aca="false">$H156</f>
        <v>0</v>
      </c>
      <c r="AI156" s="7" t="n">
        <f aca="false">$I156</f>
        <v>0</v>
      </c>
      <c r="AJ156" s="7" t="n">
        <f aca="false">$I156</f>
        <v>0</v>
      </c>
      <c r="AK156" s="7" t="n">
        <f aca="false">$I156</f>
        <v>0</v>
      </c>
      <c r="AL156" s="7" t="n">
        <f aca="false">$I156</f>
        <v>0</v>
      </c>
      <c r="AM156" s="7" t="n">
        <f aca="false">$J156</f>
        <v>0</v>
      </c>
      <c r="AN156" s="7" t="n">
        <f aca="false">$J156</f>
        <v>0</v>
      </c>
      <c r="AO156" s="7" t="n">
        <f aca="false">$J156</f>
        <v>0</v>
      </c>
      <c r="AP156" s="7" t="n">
        <f aca="false">$J156</f>
        <v>0</v>
      </c>
      <c r="AQ156" s="7" t="n">
        <f aca="false">$K156</f>
        <v>0</v>
      </c>
      <c r="AR156" s="7" t="n">
        <f aca="false">$K156</f>
        <v>0</v>
      </c>
      <c r="AS156" s="7" t="n">
        <f aca="false">$K156</f>
        <v>0</v>
      </c>
      <c r="AT156" s="7" t="n">
        <f aca="false">$K156</f>
        <v>0</v>
      </c>
      <c r="AU156" s="7" t="n">
        <f aca="false">$K156</f>
        <v>0</v>
      </c>
      <c r="AV156" s="7" t="n">
        <f aca="false">$L156</f>
        <v>0</v>
      </c>
      <c r="AW156" s="7" t="n">
        <f aca="false">$L156</f>
        <v>0</v>
      </c>
      <c r="AX156" s="7" t="n">
        <f aca="false">$L156</f>
        <v>0</v>
      </c>
      <c r="AY156" s="7" t="n">
        <f aca="false">$L156</f>
        <v>0</v>
      </c>
      <c r="AZ156" s="7" t="n">
        <f aca="false">$M156</f>
        <v>0</v>
      </c>
      <c r="BA156" s="7" t="n">
        <f aca="false">$M156</f>
        <v>0</v>
      </c>
      <c r="BB156" s="7" t="n">
        <f aca="false">$M156</f>
        <v>0</v>
      </c>
      <c r="BC156" s="7" t="n">
        <f aca="false">$M156</f>
        <v>0</v>
      </c>
      <c r="BD156" s="7" t="n">
        <f aca="false">$N156</f>
        <v>0</v>
      </c>
      <c r="BE156" s="7" t="n">
        <f aca="false">$N156</f>
        <v>0</v>
      </c>
      <c r="BF156" s="7" t="n">
        <f aca="false">$N156</f>
        <v>0</v>
      </c>
      <c r="BG156" s="7" t="n">
        <f aca="false">$N156</f>
        <v>0</v>
      </c>
      <c r="BH156" s="7" t="n">
        <f aca="false">$N156</f>
        <v>0</v>
      </c>
      <c r="BI156" s="7" t="n">
        <f aca="false">$O156</f>
        <v>0</v>
      </c>
      <c r="BJ156" s="7" t="n">
        <f aca="false">$O156</f>
        <v>0</v>
      </c>
      <c r="BK156" s="7" t="n">
        <f aca="false">$O156</f>
        <v>0</v>
      </c>
      <c r="BL156" s="7" t="n">
        <f aca="false">$O156</f>
        <v>0</v>
      </c>
      <c r="BM156" s="7" t="n">
        <f aca="false">$P156</f>
        <v>0</v>
      </c>
      <c r="BN156" s="7" t="n">
        <f aca="false">$P156</f>
        <v>0</v>
      </c>
      <c r="BO156" s="7" t="n">
        <f aca="false">$P156</f>
        <v>0</v>
      </c>
      <c r="BP156" s="7" t="n">
        <f aca="false">$P156</f>
        <v>0</v>
      </c>
    </row>
    <row r="157" customFormat="false" ht="15" hidden="false" customHeight="false" outlineLevel="0" collapsed="false">
      <c r="A157" s="0" t="s">
        <v>236</v>
      </c>
      <c r="B157" s="0" t="s">
        <v>132</v>
      </c>
      <c r="C157" s="0" t="s">
        <v>122</v>
      </c>
      <c r="D157" s="0" t="n">
        <f aca="false">SUM(Q157:BP157)</f>
        <v>0</v>
      </c>
      <c r="E157" s="13" t="n">
        <v>0</v>
      </c>
      <c r="F157" s="13" t="n">
        <v>0</v>
      </c>
      <c r="G157" s="13" t="n">
        <v>0</v>
      </c>
      <c r="H157" s="13" t="n">
        <v>0</v>
      </c>
      <c r="I157" s="13" t="n">
        <v>0</v>
      </c>
      <c r="J157" s="13" t="n">
        <v>0</v>
      </c>
      <c r="K157" s="13" t="n">
        <v>0</v>
      </c>
      <c r="L157" s="13" t="n">
        <v>0</v>
      </c>
      <c r="M157" s="13" t="n">
        <v>0</v>
      </c>
      <c r="N157" s="13" t="n">
        <v>0</v>
      </c>
      <c r="O157" s="13" t="n">
        <v>0</v>
      </c>
      <c r="P157" s="13" t="n">
        <v>0</v>
      </c>
      <c r="Q157" s="7" t="n">
        <f aca="false">$E157</f>
        <v>0</v>
      </c>
      <c r="R157" s="7" t="n">
        <f aca="false">$E157</f>
        <v>0</v>
      </c>
      <c r="S157" s="7" t="n">
        <f aca="false">$E157</f>
        <v>0</v>
      </c>
      <c r="T157" s="7" t="n">
        <f aca="false">$E157</f>
        <v>0</v>
      </c>
      <c r="U157" s="7" t="n">
        <f aca="false">$E157</f>
        <v>0</v>
      </c>
      <c r="V157" s="7" t="n">
        <f aca="false">$F157</f>
        <v>0</v>
      </c>
      <c r="W157" s="7" t="n">
        <f aca="false">$F157</f>
        <v>0</v>
      </c>
      <c r="X157" s="7" t="n">
        <f aca="false">$F157</f>
        <v>0</v>
      </c>
      <c r="Y157" s="7" t="n">
        <f aca="false">$F157</f>
        <v>0</v>
      </c>
      <c r="Z157" s="7" t="n">
        <f aca="false">$G157</f>
        <v>0</v>
      </c>
      <c r="AA157" s="7" t="n">
        <f aca="false">$G157</f>
        <v>0</v>
      </c>
      <c r="AB157" s="7" t="n">
        <f aca="false">$G157</f>
        <v>0</v>
      </c>
      <c r="AC157" s="7" t="n">
        <f aca="false">$G157</f>
        <v>0</v>
      </c>
      <c r="AD157" s="7" t="n">
        <f aca="false">$H157</f>
        <v>0</v>
      </c>
      <c r="AE157" s="7" t="n">
        <f aca="false">$H157</f>
        <v>0</v>
      </c>
      <c r="AF157" s="7" t="n">
        <f aca="false">$H157</f>
        <v>0</v>
      </c>
      <c r="AG157" s="7" t="n">
        <f aca="false">$H157</f>
        <v>0</v>
      </c>
      <c r="AH157" s="7" t="n">
        <f aca="false">$H157</f>
        <v>0</v>
      </c>
      <c r="AI157" s="7" t="n">
        <f aca="false">$I157</f>
        <v>0</v>
      </c>
      <c r="AJ157" s="7" t="n">
        <f aca="false">$I157</f>
        <v>0</v>
      </c>
      <c r="AK157" s="7" t="n">
        <f aca="false">$I157</f>
        <v>0</v>
      </c>
      <c r="AL157" s="7" t="n">
        <f aca="false">$I157</f>
        <v>0</v>
      </c>
      <c r="AM157" s="7" t="n">
        <f aca="false">$J157</f>
        <v>0</v>
      </c>
      <c r="AN157" s="7" t="n">
        <f aca="false">$J157</f>
        <v>0</v>
      </c>
      <c r="AO157" s="7" t="n">
        <f aca="false">$J157</f>
        <v>0</v>
      </c>
      <c r="AP157" s="7" t="n">
        <f aca="false">$J157</f>
        <v>0</v>
      </c>
      <c r="AQ157" s="7" t="n">
        <f aca="false">$K157</f>
        <v>0</v>
      </c>
      <c r="AR157" s="7" t="n">
        <f aca="false">$K157</f>
        <v>0</v>
      </c>
      <c r="AS157" s="7" t="n">
        <f aca="false">$K157</f>
        <v>0</v>
      </c>
      <c r="AT157" s="7" t="n">
        <f aca="false">$K157</f>
        <v>0</v>
      </c>
      <c r="AU157" s="7" t="n">
        <f aca="false">$K157</f>
        <v>0</v>
      </c>
      <c r="AV157" s="7" t="n">
        <f aca="false">$L157</f>
        <v>0</v>
      </c>
      <c r="AW157" s="7" t="n">
        <f aca="false">$L157</f>
        <v>0</v>
      </c>
      <c r="AX157" s="7" t="n">
        <f aca="false">$L157</f>
        <v>0</v>
      </c>
      <c r="AY157" s="7" t="n">
        <f aca="false">$L157</f>
        <v>0</v>
      </c>
      <c r="AZ157" s="7" t="n">
        <f aca="false">$M157</f>
        <v>0</v>
      </c>
      <c r="BA157" s="7" t="n">
        <f aca="false">$M157</f>
        <v>0</v>
      </c>
      <c r="BB157" s="7" t="n">
        <f aca="false">$M157</f>
        <v>0</v>
      </c>
      <c r="BC157" s="7" t="n">
        <f aca="false">$M157</f>
        <v>0</v>
      </c>
      <c r="BD157" s="7" t="n">
        <f aca="false">$N157</f>
        <v>0</v>
      </c>
      <c r="BE157" s="7" t="n">
        <f aca="false">$N157</f>
        <v>0</v>
      </c>
      <c r="BF157" s="7" t="n">
        <f aca="false">$N157</f>
        <v>0</v>
      </c>
      <c r="BG157" s="7" t="n">
        <f aca="false">$N157</f>
        <v>0</v>
      </c>
      <c r="BH157" s="7" t="n">
        <f aca="false">$N157</f>
        <v>0</v>
      </c>
      <c r="BI157" s="7" t="n">
        <f aca="false">$O157</f>
        <v>0</v>
      </c>
      <c r="BJ157" s="7" t="n">
        <f aca="false">$O157</f>
        <v>0</v>
      </c>
      <c r="BK157" s="7" t="n">
        <f aca="false">$O157</f>
        <v>0</v>
      </c>
      <c r="BL157" s="7" t="n">
        <f aca="false">$O157</f>
        <v>0</v>
      </c>
      <c r="BM157" s="7" t="n">
        <f aca="false">$P157</f>
        <v>0</v>
      </c>
      <c r="BN157" s="7" t="n">
        <f aca="false">$P157</f>
        <v>0</v>
      </c>
      <c r="BO157" s="7" t="n">
        <f aca="false">$P157</f>
        <v>0</v>
      </c>
      <c r="BP157" s="7" t="n">
        <f aca="false">$P157</f>
        <v>0</v>
      </c>
    </row>
    <row r="158" customFormat="false" ht="15" hidden="false" customHeight="false" outlineLevel="0" collapsed="false">
      <c r="A158" s="0" t="s">
        <v>236</v>
      </c>
      <c r="B158" s="0" t="s">
        <v>132</v>
      </c>
      <c r="C158" s="0" t="s">
        <v>123</v>
      </c>
      <c r="D158" s="0" t="n">
        <f aca="false">SUM(Q158:BP158)</f>
        <v>0</v>
      </c>
      <c r="E158" s="13" t="n">
        <v>0</v>
      </c>
      <c r="F158" s="13" t="n">
        <v>0</v>
      </c>
      <c r="G158" s="13" t="n">
        <v>0</v>
      </c>
      <c r="H158" s="13" t="n">
        <v>0</v>
      </c>
      <c r="I158" s="13" t="n">
        <v>0</v>
      </c>
      <c r="J158" s="13" t="n">
        <v>0</v>
      </c>
      <c r="K158" s="13" t="n">
        <v>0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7" t="n">
        <f aca="false">$E158</f>
        <v>0</v>
      </c>
      <c r="R158" s="7" t="n">
        <f aca="false">$E158</f>
        <v>0</v>
      </c>
      <c r="S158" s="7" t="n">
        <f aca="false">$E158</f>
        <v>0</v>
      </c>
      <c r="T158" s="7" t="n">
        <f aca="false">$E158</f>
        <v>0</v>
      </c>
      <c r="U158" s="7" t="n">
        <f aca="false">$E158</f>
        <v>0</v>
      </c>
      <c r="V158" s="7" t="n">
        <f aca="false">$F158</f>
        <v>0</v>
      </c>
      <c r="W158" s="7" t="n">
        <f aca="false">$F158</f>
        <v>0</v>
      </c>
      <c r="X158" s="7" t="n">
        <f aca="false">$F158</f>
        <v>0</v>
      </c>
      <c r="Y158" s="7" t="n">
        <f aca="false">$F158</f>
        <v>0</v>
      </c>
      <c r="Z158" s="7" t="n">
        <f aca="false">$G158</f>
        <v>0</v>
      </c>
      <c r="AA158" s="7" t="n">
        <f aca="false">$G158</f>
        <v>0</v>
      </c>
      <c r="AB158" s="7" t="n">
        <f aca="false">$G158</f>
        <v>0</v>
      </c>
      <c r="AC158" s="7" t="n">
        <f aca="false">$G158</f>
        <v>0</v>
      </c>
      <c r="AD158" s="7" t="n">
        <f aca="false">$H158</f>
        <v>0</v>
      </c>
      <c r="AE158" s="7" t="n">
        <f aca="false">$H158</f>
        <v>0</v>
      </c>
      <c r="AF158" s="7" t="n">
        <f aca="false">$H158</f>
        <v>0</v>
      </c>
      <c r="AG158" s="7" t="n">
        <f aca="false">$H158</f>
        <v>0</v>
      </c>
      <c r="AH158" s="7" t="n">
        <f aca="false">$H158</f>
        <v>0</v>
      </c>
      <c r="AI158" s="7" t="n">
        <f aca="false">$I158</f>
        <v>0</v>
      </c>
      <c r="AJ158" s="7" t="n">
        <f aca="false">$I158</f>
        <v>0</v>
      </c>
      <c r="AK158" s="7" t="n">
        <f aca="false">$I158</f>
        <v>0</v>
      </c>
      <c r="AL158" s="7" t="n">
        <f aca="false">$I158</f>
        <v>0</v>
      </c>
      <c r="AM158" s="7" t="n">
        <f aca="false">$J158</f>
        <v>0</v>
      </c>
      <c r="AN158" s="7" t="n">
        <f aca="false">$J158</f>
        <v>0</v>
      </c>
      <c r="AO158" s="7" t="n">
        <f aca="false">$J158</f>
        <v>0</v>
      </c>
      <c r="AP158" s="7" t="n">
        <f aca="false">$J158</f>
        <v>0</v>
      </c>
      <c r="AQ158" s="7" t="n">
        <f aca="false">$K158</f>
        <v>0</v>
      </c>
      <c r="AR158" s="7" t="n">
        <f aca="false">$K158</f>
        <v>0</v>
      </c>
      <c r="AS158" s="7" t="n">
        <f aca="false">$K158</f>
        <v>0</v>
      </c>
      <c r="AT158" s="7" t="n">
        <f aca="false">$K158</f>
        <v>0</v>
      </c>
      <c r="AU158" s="7" t="n">
        <f aca="false">$K158</f>
        <v>0</v>
      </c>
      <c r="AV158" s="7" t="n">
        <f aca="false">$L158</f>
        <v>0</v>
      </c>
      <c r="AW158" s="7" t="n">
        <f aca="false">$L158</f>
        <v>0</v>
      </c>
      <c r="AX158" s="7" t="n">
        <f aca="false">$L158</f>
        <v>0</v>
      </c>
      <c r="AY158" s="7" t="n">
        <f aca="false">$L158</f>
        <v>0</v>
      </c>
      <c r="AZ158" s="7" t="n">
        <f aca="false">$M158</f>
        <v>0</v>
      </c>
      <c r="BA158" s="7" t="n">
        <f aca="false">$M158</f>
        <v>0</v>
      </c>
      <c r="BB158" s="7" t="n">
        <f aca="false">$M158</f>
        <v>0</v>
      </c>
      <c r="BC158" s="7" t="n">
        <f aca="false">$M158</f>
        <v>0</v>
      </c>
      <c r="BD158" s="7" t="n">
        <f aca="false">$N158</f>
        <v>0</v>
      </c>
      <c r="BE158" s="7" t="n">
        <f aca="false">$N158</f>
        <v>0</v>
      </c>
      <c r="BF158" s="7" t="n">
        <f aca="false">$N158</f>
        <v>0</v>
      </c>
      <c r="BG158" s="7" t="n">
        <f aca="false">$N158</f>
        <v>0</v>
      </c>
      <c r="BH158" s="7" t="n">
        <f aca="false">$N158</f>
        <v>0</v>
      </c>
      <c r="BI158" s="7" t="n">
        <f aca="false">$O158</f>
        <v>0</v>
      </c>
      <c r="BJ158" s="7" t="n">
        <f aca="false">$O158</f>
        <v>0</v>
      </c>
      <c r="BK158" s="7" t="n">
        <f aca="false">$O158</f>
        <v>0</v>
      </c>
      <c r="BL158" s="7" t="n">
        <f aca="false">$O158</f>
        <v>0</v>
      </c>
      <c r="BM158" s="7" t="n">
        <f aca="false">$P158</f>
        <v>0</v>
      </c>
      <c r="BN158" s="7" t="n">
        <f aca="false">$P158</f>
        <v>0</v>
      </c>
      <c r="BO158" s="7" t="n">
        <f aca="false">$P158</f>
        <v>0</v>
      </c>
      <c r="BP158" s="7" t="n">
        <f aca="false">$P158</f>
        <v>0</v>
      </c>
    </row>
    <row r="159" customFormat="false" ht="15" hidden="false" customHeight="false" outlineLevel="0" collapsed="false">
      <c r="A159" s="0" t="s">
        <v>236</v>
      </c>
      <c r="B159" s="0" t="s">
        <v>133</v>
      </c>
      <c r="C159" s="0" t="s">
        <v>115</v>
      </c>
      <c r="D159" s="0" t="n">
        <f aca="false">SUM(Q159:BP159)</f>
        <v>0</v>
      </c>
      <c r="E159" s="22" t="n">
        <v>0</v>
      </c>
      <c r="F159" s="22" t="n">
        <v>0</v>
      </c>
      <c r="G159" s="22" t="n">
        <v>0</v>
      </c>
      <c r="H159" s="22" t="n">
        <v>0</v>
      </c>
      <c r="I159" s="22" t="n">
        <v>0</v>
      </c>
      <c r="J159" s="22" t="n">
        <v>0</v>
      </c>
      <c r="K159" s="22" t="n">
        <v>0</v>
      </c>
      <c r="L159" s="22" t="n">
        <v>0</v>
      </c>
      <c r="M159" s="22" t="n">
        <v>0</v>
      </c>
      <c r="N159" s="22" t="n">
        <v>0</v>
      </c>
      <c r="O159" s="22" t="n">
        <v>0</v>
      </c>
      <c r="P159" s="22" t="n">
        <v>0</v>
      </c>
      <c r="Q159" s="7" t="n">
        <f aca="false">$E159</f>
        <v>0</v>
      </c>
      <c r="R159" s="7" t="n">
        <f aca="false">$E159</f>
        <v>0</v>
      </c>
      <c r="S159" s="7" t="n">
        <f aca="false">$E159</f>
        <v>0</v>
      </c>
      <c r="T159" s="7" t="n">
        <f aca="false">$E159</f>
        <v>0</v>
      </c>
      <c r="U159" s="7" t="n">
        <f aca="false">$E159</f>
        <v>0</v>
      </c>
      <c r="V159" s="7" t="n">
        <f aca="false">$F159</f>
        <v>0</v>
      </c>
      <c r="W159" s="7" t="n">
        <f aca="false">$F159</f>
        <v>0</v>
      </c>
      <c r="X159" s="7" t="n">
        <f aca="false">$F159</f>
        <v>0</v>
      </c>
      <c r="Y159" s="7" t="n">
        <f aca="false">$F159</f>
        <v>0</v>
      </c>
      <c r="Z159" s="7" t="n">
        <f aca="false">$G159</f>
        <v>0</v>
      </c>
      <c r="AA159" s="7" t="n">
        <f aca="false">$G159</f>
        <v>0</v>
      </c>
      <c r="AB159" s="7" t="n">
        <f aca="false">$G159</f>
        <v>0</v>
      </c>
      <c r="AC159" s="7" t="n">
        <f aca="false">$G159</f>
        <v>0</v>
      </c>
      <c r="AD159" s="7" t="n">
        <f aca="false">$H159</f>
        <v>0</v>
      </c>
      <c r="AE159" s="7" t="n">
        <f aca="false">$H159</f>
        <v>0</v>
      </c>
      <c r="AF159" s="7" t="n">
        <f aca="false">$H159</f>
        <v>0</v>
      </c>
      <c r="AG159" s="7" t="n">
        <f aca="false">$H159</f>
        <v>0</v>
      </c>
      <c r="AH159" s="7" t="n">
        <f aca="false">$H159</f>
        <v>0</v>
      </c>
      <c r="AI159" s="7" t="n">
        <f aca="false">$I159</f>
        <v>0</v>
      </c>
      <c r="AJ159" s="7" t="n">
        <f aca="false">$I159</f>
        <v>0</v>
      </c>
      <c r="AK159" s="7" t="n">
        <f aca="false">$I159</f>
        <v>0</v>
      </c>
      <c r="AL159" s="7" t="n">
        <f aca="false">$I159</f>
        <v>0</v>
      </c>
      <c r="AM159" s="7" t="n">
        <f aca="false">$J159</f>
        <v>0</v>
      </c>
      <c r="AN159" s="7" t="n">
        <f aca="false">$J159</f>
        <v>0</v>
      </c>
      <c r="AO159" s="7" t="n">
        <f aca="false">$J159</f>
        <v>0</v>
      </c>
      <c r="AP159" s="7" t="n">
        <f aca="false">$J159</f>
        <v>0</v>
      </c>
      <c r="AQ159" s="7" t="n">
        <f aca="false">$K159</f>
        <v>0</v>
      </c>
      <c r="AR159" s="7" t="n">
        <f aca="false">$K159</f>
        <v>0</v>
      </c>
      <c r="AS159" s="7" t="n">
        <f aca="false">$K159</f>
        <v>0</v>
      </c>
      <c r="AT159" s="7" t="n">
        <f aca="false">$K159</f>
        <v>0</v>
      </c>
      <c r="AU159" s="7" t="n">
        <f aca="false">$K159</f>
        <v>0</v>
      </c>
      <c r="AV159" s="7" t="n">
        <f aca="false">$L159</f>
        <v>0</v>
      </c>
      <c r="AW159" s="7" t="n">
        <f aca="false">$L159</f>
        <v>0</v>
      </c>
      <c r="AX159" s="7" t="n">
        <f aca="false">$L159</f>
        <v>0</v>
      </c>
      <c r="AY159" s="7" t="n">
        <f aca="false">$L159</f>
        <v>0</v>
      </c>
      <c r="AZ159" s="7" t="n">
        <f aca="false">$M159</f>
        <v>0</v>
      </c>
      <c r="BA159" s="7" t="n">
        <f aca="false">$M159</f>
        <v>0</v>
      </c>
      <c r="BB159" s="7" t="n">
        <f aca="false">$M159</f>
        <v>0</v>
      </c>
      <c r="BC159" s="7" t="n">
        <f aca="false">$M159</f>
        <v>0</v>
      </c>
      <c r="BD159" s="7" t="n">
        <f aca="false">$N159</f>
        <v>0</v>
      </c>
      <c r="BE159" s="7" t="n">
        <f aca="false">$N159</f>
        <v>0</v>
      </c>
      <c r="BF159" s="7" t="n">
        <f aca="false">$N159</f>
        <v>0</v>
      </c>
      <c r="BG159" s="7" t="n">
        <f aca="false">$N159</f>
        <v>0</v>
      </c>
      <c r="BH159" s="7" t="n">
        <f aca="false">$N159</f>
        <v>0</v>
      </c>
      <c r="BI159" s="7" t="n">
        <f aca="false">$O159</f>
        <v>0</v>
      </c>
      <c r="BJ159" s="7" t="n">
        <f aca="false">$O159</f>
        <v>0</v>
      </c>
      <c r="BK159" s="7" t="n">
        <f aca="false">$O159</f>
        <v>0</v>
      </c>
      <c r="BL159" s="7" t="n">
        <f aca="false">$O159</f>
        <v>0</v>
      </c>
      <c r="BM159" s="7" t="n">
        <f aca="false">$P159</f>
        <v>0</v>
      </c>
      <c r="BN159" s="7" t="n">
        <f aca="false">$P159</f>
        <v>0</v>
      </c>
      <c r="BO159" s="7" t="n">
        <f aca="false">$P159</f>
        <v>0</v>
      </c>
      <c r="BP159" s="7" t="n">
        <f aca="false">$P159</f>
        <v>0</v>
      </c>
    </row>
    <row r="160" customFormat="false" ht="15" hidden="false" customHeight="false" outlineLevel="0" collapsed="false">
      <c r="A160" s="0" t="s">
        <v>236</v>
      </c>
      <c r="B160" s="0" t="s">
        <v>133</v>
      </c>
      <c r="C160" s="0" t="s">
        <v>116</v>
      </c>
      <c r="D160" s="0" t="n">
        <f aca="false">SUM(Q160:BP160)</f>
        <v>0</v>
      </c>
      <c r="E160" s="22" t="n">
        <v>0</v>
      </c>
      <c r="F160" s="22" t="n">
        <v>0</v>
      </c>
      <c r="G160" s="22" t="n">
        <v>0</v>
      </c>
      <c r="H160" s="22" t="n">
        <v>0</v>
      </c>
      <c r="I160" s="22" t="n">
        <v>0</v>
      </c>
      <c r="J160" s="22" t="n">
        <v>0</v>
      </c>
      <c r="K160" s="22" t="n">
        <v>0</v>
      </c>
      <c r="L160" s="22" t="n">
        <v>0</v>
      </c>
      <c r="M160" s="22" t="n">
        <v>0</v>
      </c>
      <c r="N160" s="22" t="n">
        <v>0</v>
      </c>
      <c r="O160" s="22" t="n">
        <v>0</v>
      </c>
      <c r="P160" s="22" t="n">
        <v>0</v>
      </c>
      <c r="Q160" s="7" t="n">
        <f aca="false">$E160</f>
        <v>0</v>
      </c>
      <c r="R160" s="7" t="n">
        <f aca="false">$E160</f>
        <v>0</v>
      </c>
      <c r="S160" s="7" t="n">
        <f aca="false">$E160</f>
        <v>0</v>
      </c>
      <c r="T160" s="7" t="n">
        <f aca="false">$E160</f>
        <v>0</v>
      </c>
      <c r="U160" s="7" t="n">
        <f aca="false">$E160</f>
        <v>0</v>
      </c>
      <c r="V160" s="7" t="n">
        <f aca="false">$F160</f>
        <v>0</v>
      </c>
      <c r="W160" s="7" t="n">
        <f aca="false">$F160</f>
        <v>0</v>
      </c>
      <c r="X160" s="7" t="n">
        <f aca="false">$F160</f>
        <v>0</v>
      </c>
      <c r="Y160" s="7" t="n">
        <f aca="false">$F160</f>
        <v>0</v>
      </c>
      <c r="Z160" s="7" t="n">
        <f aca="false">$G160</f>
        <v>0</v>
      </c>
      <c r="AA160" s="7" t="n">
        <f aca="false">$G160</f>
        <v>0</v>
      </c>
      <c r="AB160" s="7" t="n">
        <f aca="false">$G160</f>
        <v>0</v>
      </c>
      <c r="AC160" s="7" t="n">
        <f aca="false">$G160</f>
        <v>0</v>
      </c>
      <c r="AD160" s="7" t="n">
        <f aca="false">$H160</f>
        <v>0</v>
      </c>
      <c r="AE160" s="7" t="n">
        <f aca="false">$H160</f>
        <v>0</v>
      </c>
      <c r="AF160" s="7" t="n">
        <f aca="false">$H160</f>
        <v>0</v>
      </c>
      <c r="AG160" s="7" t="n">
        <f aca="false">$H160</f>
        <v>0</v>
      </c>
      <c r="AH160" s="7" t="n">
        <f aca="false">$H160</f>
        <v>0</v>
      </c>
      <c r="AI160" s="7" t="n">
        <f aca="false">$I160</f>
        <v>0</v>
      </c>
      <c r="AJ160" s="7" t="n">
        <f aca="false">$I160</f>
        <v>0</v>
      </c>
      <c r="AK160" s="7" t="n">
        <f aca="false">$I160</f>
        <v>0</v>
      </c>
      <c r="AL160" s="7" t="n">
        <f aca="false">$I160</f>
        <v>0</v>
      </c>
      <c r="AM160" s="7" t="n">
        <f aca="false">$J160</f>
        <v>0</v>
      </c>
      <c r="AN160" s="7" t="n">
        <f aca="false">$J160</f>
        <v>0</v>
      </c>
      <c r="AO160" s="7" t="n">
        <f aca="false">$J160</f>
        <v>0</v>
      </c>
      <c r="AP160" s="7" t="n">
        <f aca="false">$J160</f>
        <v>0</v>
      </c>
      <c r="AQ160" s="7" t="n">
        <f aca="false">$K160</f>
        <v>0</v>
      </c>
      <c r="AR160" s="7" t="n">
        <f aca="false">$K160</f>
        <v>0</v>
      </c>
      <c r="AS160" s="7" t="n">
        <f aca="false">$K160</f>
        <v>0</v>
      </c>
      <c r="AT160" s="7" t="n">
        <f aca="false">$K160</f>
        <v>0</v>
      </c>
      <c r="AU160" s="7" t="n">
        <f aca="false">$K160</f>
        <v>0</v>
      </c>
      <c r="AV160" s="7" t="n">
        <f aca="false">$L160</f>
        <v>0</v>
      </c>
      <c r="AW160" s="7" t="n">
        <f aca="false">$L160</f>
        <v>0</v>
      </c>
      <c r="AX160" s="7" t="n">
        <f aca="false">$L160</f>
        <v>0</v>
      </c>
      <c r="AY160" s="7" t="n">
        <f aca="false">$L160</f>
        <v>0</v>
      </c>
      <c r="AZ160" s="7" t="n">
        <f aca="false">$M160</f>
        <v>0</v>
      </c>
      <c r="BA160" s="7" t="n">
        <f aca="false">$M160</f>
        <v>0</v>
      </c>
      <c r="BB160" s="7" t="n">
        <f aca="false">$M160</f>
        <v>0</v>
      </c>
      <c r="BC160" s="7" t="n">
        <f aca="false">$M160</f>
        <v>0</v>
      </c>
      <c r="BD160" s="7" t="n">
        <f aca="false">$N160</f>
        <v>0</v>
      </c>
      <c r="BE160" s="7" t="n">
        <f aca="false">$N160</f>
        <v>0</v>
      </c>
      <c r="BF160" s="7" t="n">
        <f aca="false">$N160</f>
        <v>0</v>
      </c>
      <c r="BG160" s="7" t="n">
        <f aca="false">$N160</f>
        <v>0</v>
      </c>
      <c r="BH160" s="7" t="n">
        <f aca="false">$N160</f>
        <v>0</v>
      </c>
      <c r="BI160" s="7" t="n">
        <f aca="false">$O160</f>
        <v>0</v>
      </c>
      <c r="BJ160" s="7" t="n">
        <f aca="false">$O160</f>
        <v>0</v>
      </c>
      <c r="BK160" s="7" t="n">
        <f aca="false">$O160</f>
        <v>0</v>
      </c>
      <c r="BL160" s="7" t="n">
        <f aca="false">$O160</f>
        <v>0</v>
      </c>
      <c r="BM160" s="7" t="n">
        <f aca="false">$P160</f>
        <v>0</v>
      </c>
      <c r="BN160" s="7" t="n">
        <f aca="false">$P160</f>
        <v>0</v>
      </c>
      <c r="BO160" s="7" t="n">
        <f aca="false">$P160</f>
        <v>0</v>
      </c>
      <c r="BP160" s="7" t="n">
        <f aca="false">$P160</f>
        <v>0</v>
      </c>
    </row>
    <row r="161" customFormat="false" ht="15" hidden="false" customHeight="false" outlineLevel="0" collapsed="false">
      <c r="A161" s="0" t="s">
        <v>236</v>
      </c>
      <c r="B161" s="0" t="s">
        <v>133</v>
      </c>
      <c r="C161" s="0" t="s">
        <v>117</v>
      </c>
      <c r="D161" s="0" t="n">
        <f aca="false">SUM(Q161:BP161)</f>
        <v>0</v>
      </c>
      <c r="E161" s="22" t="n">
        <v>0</v>
      </c>
      <c r="F161" s="22" t="n">
        <v>0</v>
      </c>
      <c r="G161" s="22" t="n">
        <v>0</v>
      </c>
      <c r="H161" s="22" t="n">
        <v>0</v>
      </c>
      <c r="I161" s="22" t="n">
        <v>0</v>
      </c>
      <c r="J161" s="22" t="n">
        <v>0</v>
      </c>
      <c r="K161" s="22" t="n">
        <v>0</v>
      </c>
      <c r="L161" s="22" t="n">
        <v>0</v>
      </c>
      <c r="M161" s="22" t="n">
        <v>0</v>
      </c>
      <c r="N161" s="22" t="n">
        <v>0</v>
      </c>
      <c r="O161" s="22" t="n">
        <v>0</v>
      </c>
      <c r="P161" s="22" t="n">
        <v>0</v>
      </c>
      <c r="Q161" s="7" t="n">
        <f aca="false">$E161</f>
        <v>0</v>
      </c>
      <c r="R161" s="7" t="n">
        <f aca="false">$E161</f>
        <v>0</v>
      </c>
      <c r="S161" s="7" t="n">
        <f aca="false">$E161</f>
        <v>0</v>
      </c>
      <c r="T161" s="7" t="n">
        <f aca="false">$E161</f>
        <v>0</v>
      </c>
      <c r="U161" s="7" t="n">
        <f aca="false">$E161</f>
        <v>0</v>
      </c>
      <c r="V161" s="7" t="n">
        <f aca="false">$F161</f>
        <v>0</v>
      </c>
      <c r="W161" s="7" t="n">
        <f aca="false">$F161</f>
        <v>0</v>
      </c>
      <c r="X161" s="7" t="n">
        <f aca="false">$F161</f>
        <v>0</v>
      </c>
      <c r="Y161" s="7" t="n">
        <f aca="false">$F161</f>
        <v>0</v>
      </c>
      <c r="Z161" s="7" t="n">
        <f aca="false">$G161</f>
        <v>0</v>
      </c>
      <c r="AA161" s="7" t="n">
        <f aca="false">$G161</f>
        <v>0</v>
      </c>
      <c r="AB161" s="7" t="n">
        <f aca="false">$G161</f>
        <v>0</v>
      </c>
      <c r="AC161" s="7" t="n">
        <f aca="false">$G161</f>
        <v>0</v>
      </c>
      <c r="AD161" s="7" t="n">
        <f aca="false">$H161</f>
        <v>0</v>
      </c>
      <c r="AE161" s="7" t="n">
        <f aca="false">$H161</f>
        <v>0</v>
      </c>
      <c r="AF161" s="7" t="n">
        <f aca="false">$H161</f>
        <v>0</v>
      </c>
      <c r="AG161" s="7" t="n">
        <f aca="false">$H161</f>
        <v>0</v>
      </c>
      <c r="AH161" s="7" t="n">
        <f aca="false">$H161</f>
        <v>0</v>
      </c>
      <c r="AI161" s="7" t="n">
        <f aca="false">$I161</f>
        <v>0</v>
      </c>
      <c r="AJ161" s="7" t="n">
        <f aca="false">$I161</f>
        <v>0</v>
      </c>
      <c r="AK161" s="7" t="n">
        <f aca="false">$I161</f>
        <v>0</v>
      </c>
      <c r="AL161" s="7" t="n">
        <f aca="false">$I161</f>
        <v>0</v>
      </c>
      <c r="AM161" s="7" t="n">
        <f aca="false">$J161</f>
        <v>0</v>
      </c>
      <c r="AN161" s="7" t="n">
        <f aca="false">$J161</f>
        <v>0</v>
      </c>
      <c r="AO161" s="7" t="n">
        <f aca="false">$J161</f>
        <v>0</v>
      </c>
      <c r="AP161" s="7" t="n">
        <f aca="false">$J161</f>
        <v>0</v>
      </c>
      <c r="AQ161" s="7" t="n">
        <f aca="false">$K161</f>
        <v>0</v>
      </c>
      <c r="AR161" s="7" t="n">
        <f aca="false">$K161</f>
        <v>0</v>
      </c>
      <c r="AS161" s="7" t="n">
        <f aca="false">$K161</f>
        <v>0</v>
      </c>
      <c r="AT161" s="7" t="n">
        <f aca="false">$K161</f>
        <v>0</v>
      </c>
      <c r="AU161" s="7" t="n">
        <f aca="false">$K161</f>
        <v>0</v>
      </c>
      <c r="AV161" s="7" t="n">
        <f aca="false">$L161</f>
        <v>0</v>
      </c>
      <c r="AW161" s="7" t="n">
        <f aca="false">$L161</f>
        <v>0</v>
      </c>
      <c r="AX161" s="7" t="n">
        <f aca="false">$L161</f>
        <v>0</v>
      </c>
      <c r="AY161" s="7" t="n">
        <f aca="false">$L161</f>
        <v>0</v>
      </c>
      <c r="AZ161" s="7" t="n">
        <f aca="false">$M161</f>
        <v>0</v>
      </c>
      <c r="BA161" s="7" t="n">
        <f aca="false">$M161</f>
        <v>0</v>
      </c>
      <c r="BB161" s="7" t="n">
        <f aca="false">$M161</f>
        <v>0</v>
      </c>
      <c r="BC161" s="7" t="n">
        <f aca="false">$M161</f>
        <v>0</v>
      </c>
      <c r="BD161" s="7" t="n">
        <f aca="false">$N161</f>
        <v>0</v>
      </c>
      <c r="BE161" s="7" t="n">
        <f aca="false">$N161</f>
        <v>0</v>
      </c>
      <c r="BF161" s="7" t="n">
        <f aca="false">$N161</f>
        <v>0</v>
      </c>
      <c r="BG161" s="7" t="n">
        <f aca="false">$N161</f>
        <v>0</v>
      </c>
      <c r="BH161" s="7" t="n">
        <f aca="false">$N161</f>
        <v>0</v>
      </c>
      <c r="BI161" s="7" t="n">
        <f aca="false">$O161</f>
        <v>0</v>
      </c>
      <c r="BJ161" s="7" t="n">
        <f aca="false">$O161</f>
        <v>0</v>
      </c>
      <c r="BK161" s="7" t="n">
        <f aca="false">$O161</f>
        <v>0</v>
      </c>
      <c r="BL161" s="7" t="n">
        <f aca="false">$O161</f>
        <v>0</v>
      </c>
      <c r="BM161" s="7" t="n">
        <f aca="false">$P161</f>
        <v>0</v>
      </c>
      <c r="BN161" s="7" t="n">
        <f aca="false">$P161</f>
        <v>0</v>
      </c>
      <c r="BO161" s="7" t="n">
        <f aca="false">$P161</f>
        <v>0</v>
      </c>
      <c r="BP161" s="7" t="n">
        <f aca="false">$P161</f>
        <v>0</v>
      </c>
    </row>
    <row r="162" customFormat="false" ht="15" hidden="false" customHeight="false" outlineLevel="0" collapsed="false">
      <c r="A162" s="0" t="s">
        <v>236</v>
      </c>
      <c r="B162" s="0" t="s">
        <v>133</v>
      </c>
      <c r="C162" s="0" t="s">
        <v>118</v>
      </c>
      <c r="D162" s="0" t="n">
        <f aca="false">SUM(Q162:BP162)</f>
        <v>0</v>
      </c>
      <c r="E162" s="22" t="n">
        <v>0</v>
      </c>
      <c r="F162" s="22" t="n">
        <v>0</v>
      </c>
      <c r="G162" s="22" t="n">
        <v>0</v>
      </c>
      <c r="H162" s="22" t="n">
        <v>0</v>
      </c>
      <c r="I162" s="22" t="n">
        <v>0</v>
      </c>
      <c r="J162" s="22" t="n">
        <v>0</v>
      </c>
      <c r="K162" s="22" t="n">
        <v>0</v>
      </c>
      <c r="L162" s="22" t="n">
        <v>0</v>
      </c>
      <c r="M162" s="22" t="n">
        <v>0</v>
      </c>
      <c r="N162" s="22" t="n">
        <v>0</v>
      </c>
      <c r="O162" s="22" t="n">
        <v>0</v>
      </c>
      <c r="P162" s="22" t="n">
        <v>0</v>
      </c>
      <c r="Q162" s="7" t="n">
        <f aca="false">$E162</f>
        <v>0</v>
      </c>
      <c r="R162" s="7" t="n">
        <f aca="false">$E162</f>
        <v>0</v>
      </c>
      <c r="S162" s="7" t="n">
        <f aca="false">$E162</f>
        <v>0</v>
      </c>
      <c r="T162" s="7" t="n">
        <f aca="false">$E162</f>
        <v>0</v>
      </c>
      <c r="U162" s="7" t="n">
        <f aca="false">$E162</f>
        <v>0</v>
      </c>
      <c r="V162" s="7" t="n">
        <f aca="false">$F162</f>
        <v>0</v>
      </c>
      <c r="W162" s="7" t="n">
        <f aca="false">$F162</f>
        <v>0</v>
      </c>
      <c r="X162" s="7" t="n">
        <f aca="false">$F162</f>
        <v>0</v>
      </c>
      <c r="Y162" s="7" t="n">
        <f aca="false">$F162</f>
        <v>0</v>
      </c>
      <c r="Z162" s="7" t="n">
        <f aca="false">$G162</f>
        <v>0</v>
      </c>
      <c r="AA162" s="7" t="n">
        <f aca="false">$G162</f>
        <v>0</v>
      </c>
      <c r="AB162" s="7" t="n">
        <f aca="false">$G162</f>
        <v>0</v>
      </c>
      <c r="AC162" s="7" t="n">
        <f aca="false">$G162</f>
        <v>0</v>
      </c>
      <c r="AD162" s="7" t="n">
        <f aca="false">$H162</f>
        <v>0</v>
      </c>
      <c r="AE162" s="7" t="n">
        <f aca="false">$H162</f>
        <v>0</v>
      </c>
      <c r="AF162" s="7" t="n">
        <f aca="false">$H162</f>
        <v>0</v>
      </c>
      <c r="AG162" s="7" t="n">
        <f aca="false">$H162</f>
        <v>0</v>
      </c>
      <c r="AH162" s="7" t="n">
        <f aca="false">$H162</f>
        <v>0</v>
      </c>
      <c r="AI162" s="7" t="n">
        <f aca="false">$I162</f>
        <v>0</v>
      </c>
      <c r="AJ162" s="7" t="n">
        <f aca="false">$I162</f>
        <v>0</v>
      </c>
      <c r="AK162" s="7" t="n">
        <f aca="false">$I162</f>
        <v>0</v>
      </c>
      <c r="AL162" s="7" t="n">
        <f aca="false">$I162</f>
        <v>0</v>
      </c>
      <c r="AM162" s="7" t="n">
        <f aca="false">$J162</f>
        <v>0</v>
      </c>
      <c r="AN162" s="7" t="n">
        <f aca="false">$J162</f>
        <v>0</v>
      </c>
      <c r="AO162" s="7" t="n">
        <f aca="false">$J162</f>
        <v>0</v>
      </c>
      <c r="AP162" s="7" t="n">
        <f aca="false">$J162</f>
        <v>0</v>
      </c>
      <c r="AQ162" s="7" t="n">
        <f aca="false">$K162</f>
        <v>0</v>
      </c>
      <c r="AR162" s="7" t="n">
        <f aca="false">$K162</f>
        <v>0</v>
      </c>
      <c r="AS162" s="7" t="n">
        <f aca="false">$K162</f>
        <v>0</v>
      </c>
      <c r="AT162" s="7" t="n">
        <f aca="false">$K162</f>
        <v>0</v>
      </c>
      <c r="AU162" s="7" t="n">
        <f aca="false">$K162</f>
        <v>0</v>
      </c>
      <c r="AV162" s="7" t="n">
        <f aca="false">$L162</f>
        <v>0</v>
      </c>
      <c r="AW162" s="7" t="n">
        <f aca="false">$L162</f>
        <v>0</v>
      </c>
      <c r="AX162" s="7" t="n">
        <f aca="false">$L162</f>
        <v>0</v>
      </c>
      <c r="AY162" s="7" t="n">
        <f aca="false">$L162</f>
        <v>0</v>
      </c>
      <c r="AZ162" s="7" t="n">
        <f aca="false">$M162</f>
        <v>0</v>
      </c>
      <c r="BA162" s="7" t="n">
        <f aca="false">$M162</f>
        <v>0</v>
      </c>
      <c r="BB162" s="7" t="n">
        <f aca="false">$M162</f>
        <v>0</v>
      </c>
      <c r="BC162" s="7" t="n">
        <f aca="false">$M162</f>
        <v>0</v>
      </c>
      <c r="BD162" s="7" t="n">
        <f aca="false">$N162</f>
        <v>0</v>
      </c>
      <c r="BE162" s="7" t="n">
        <f aca="false">$N162</f>
        <v>0</v>
      </c>
      <c r="BF162" s="7" t="n">
        <f aca="false">$N162</f>
        <v>0</v>
      </c>
      <c r="BG162" s="7" t="n">
        <f aca="false">$N162</f>
        <v>0</v>
      </c>
      <c r="BH162" s="7" t="n">
        <f aca="false">$N162</f>
        <v>0</v>
      </c>
      <c r="BI162" s="7" t="n">
        <f aca="false">$O162</f>
        <v>0</v>
      </c>
      <c r="BJ162" s="7" t="n">
        <f aca="false">$O162</f>
        <v>0</v>
      </c>
      <c r="BK162" s="7" t="n">
        <f aca="false">$O162</f>
        <v>0</v>
      </c>
      <c r="BL162" s="7" t="n">
        <f aca="false">$O162</f>
        <v>0</v>
      </c>
      <c r="BM162" s="7" t="n">
        <f aca="false">$P162</f>
        <v>0</v>
      </c>
      <c r="BN162" s="7" t="n">
        <f aca="false">$P162</f>
        <v>0</v>
      </c>
      <c r="BO162" s="7" t="n">
        <f aca="false">$P162</f>
        <v>0</v>
      </c>
      <c r="BP162" s="7" t="n">
        <f aca="false">$P162</f>
        <v>0</v>
      </c>
    </row>
    <row r="163" customFormat="false" ht="15" hidden="false" customHeight="false" outlineLevel="0" collapsed="false">
      <c r="A163" s="0" t="s">
        <v>236</v>
      </c>
      <c r="B163" s="0" t="s">
        <v>133</v>
      </c>
      <c r="C163" s="0" t="s">
        <v>119</v>
      </c>
      <c r="D163" s="0" t="n">
        <f aca="false">SUM(Q163:BP163)</f>
        <v>0</v>
      </c>
      <c r="E163" s="13" t="n">
        <v>0</v>
      </c>
      <c r="F163" s="13" t="n">
        <v>0</v>
      </c>
      <c r="G163" s="13" t="n">
        <v>0</v>
      </c>
      <c r="H163" s="13" t="n">
        <v>0</v>
      </c>
      <c r="I163" s="13" t="n">
        <v>0</v>
      </c>
      <c r="J163" s="13" t="n">
        <v>0</v>
      </c>
      <c r="K163" s="13" t="n">
        <v>0</v>
      </c>
      <c r="L163" s="13" t="n">
        <v>0</v>
      </c>
      <c r="M163" s="13" t="n">
        <v>0</v>
      </c>
      <c r="N163" s="13" t="n">
        <v>0</v>
      </c>
      <c r="O163" s="13" t="n">
        <v>0</v>
      </c>
      <c r="P163" s="13" t="n">
        <v>0</v>
      </c>
      <c r="Q163" s="7" t="n">
        <f aca="false">$E163</f>
        <v>0</v>
      </c>
      <c r="R163" s="7" t="n">
        <f aca="false">$E163</f>
        <v>0</v>
      </c>
      <c r="S163" s="7" t="n">
        <f aca="false">$E163</f>
        <v>0</v>
      </c>
      <c r="T163" s="7" t="n">
        <f aca="false">$E163</f>
        <v>0</v>
      </c>
      <c r="U163" s="7" t="n">
        <f aca="false">$E163</f>
        <v>0</v>
      </c>
      <c r="V163" s="7" t="n">
        <f aca="false">$F163</f>
        <v>0</v>
      </c>
      <c r="W163" s="7" t="n">
        <f aca="false">$F163</f>
        <v>0</v>
      </c>
      <c r="X163" s="7" t="n">
        <f aca="false">$F163</f>
        <v>0</v>
      </c>
      <c r="Y163" s="7" t="n">
        <f aca="false">$F163</f>
        <v>0</v>
      </c>
      <c r="Z163" s="7" t="n">
        <f aca="false">$G163</f>
        <v>0</v>
      </c>
      <c r="AA163" s="7" t="n">
        <f aca="false">$G163</f>
        <v>0</v>
      </c>
      <c r="AB163" s="7" t="n">
        <f aca="false">$G163</f>
        <v>0</v>
      </c>
      <c r="AC163" s="7" t="n">
        <f aca="false">$G163</f>
        <v>0</v>
      </c>
      <c r="AD163" s="7" t="n">
        <f aca="false">$H163</f>
        <v>0</v>
      </c>
      <c r="AE163" s="7" t="n">
        <f aca="false">$H163</f>
        <v>0</v>
      </c>
      <c r="AF163" s="7" t="n">
        <f aca="false">$H163</f>
        <v>0</v>
      </c>
      <c r="AG163" s="7" t="n">
        <f aca="false">$H163</f>
        <v>0</v>
      </c>
      <c r="AH163" s="7" t="n">
        <f aca="false">$H163</f>
        <v>0</v>
      </c>
      <c r="AI163" s="7" t="n">
        <f aca="false">$I163</f>
        <v>0</v>
      </c>
      <c r="AJ163" s="7" t="n">
        <f aca="false">$I163</f>
        <v>0</v>
      </c>
      <c r="AK163" s="7" t="n">
        <f aca="false">$I163</f>
        <v>0</v>
      </c>
      <c r="AL163" s="7" t="n">
        <f aca="false">$I163</f>
        <v>0</v>
      </c>
      <c r="AM163" s="7" t="n">
        <f aca="false">$J163</f>
        <v>0</v>
      </c>
      <c r="AN163" s="7" t="n">
        <f aca="false">$J163</f>
        <v>0</v>
      </c>
      <c r="AO163" s="7" t="n">
        <f aca="false">$J163</f>
        <v>0</v>
      </c>
      <c r="AP163" s="7" t="n">
        <f aca="false">$J163</f>
        <v>0</v>
      </c>
      <c r="AQ163" s="7" t="n">
        <f aca="false">$K163</f>
        <v>0</v>
      </c>
      <c r="AR163" s="7" t="n">
        <f aca="false">$K163</f>
        <v>0</v>
      </c>
      <c r="AS163" s="7" t="n">
        <f aca="false">$K163</f>
        <v>0</v>
      </c>
      <c r="AT163" s="7" t="n">
        <f aca="false">$K163</f>
        <v>0</v>
      </c>
      <c r="AU163" s="7" t="n">
        <f aca="false">$K163</f>
        <v>0</v>
      </c>
      <c r="AV163" s="7" t="n">
        <f aca="false">$L163</f>
        <v>0</v>
      </c>
      <c r="AW163" s="7" t="n">
        <f aca="false">$L163</f>
        <v>0</v>
      </c>
      <c r="AX163" s="7" t="n">
        <f aca="false">$L163</f>
        <v>0</v>
      </c>
      <c r="AY163" s="7" t="n">
        <f aca="false">$L163</f>
        <v>0</v>
      </c>
      <c r="AZ163" s="7" t="n">
        <f aca="false">$M163</f>
        <v>0</v>
      </c>
      <c r="BA163" s="7" t="n">
        <f aca="false">$M163</f>
        <v>0</v>
      </c>
      <c r="BB163" s="7" t="n">
        <f aca="false">$M163</f>
        <v>0</v>
      </c>
      <c r="BC163" s="7" t="n">
        <f aca="false">$M163</f>
        <v>0</v>
      </c>
      <c r="BD163" s="7" t="n">
        <f aca="false">$N163</f>
        <v>0</v>
      </c>
      <c r="BE163" s="7" t="n">
        <f aca="false">$N163</f>
        <v>0</v>
      </c>
      <c r="BF163" s="7" t="n">
        <f aca="false">$N163</f>
        <v>0</v>
      </c>
      <c r="BG163" s="7" t="n">
        <f aca="false">$N163</f>
        <v>0</v>
      </c>
      <c r="BH163" s="7" t="n">
        <f aca="false">$N163</f>
        <v>0</v>
      </c>
      <c r="BI163" s="7" t="n">
        <f aca="false">$O163</f>
        <v>0</v>
      </c>
      <c r="BJ163" s="7" t="n">
        <f aca="false">$O163</f>
        <v>0</v>
      </c>
      <c r="BK163" s="7" t="n">
        <f aca="false">$O163</f>
        <v>0</v>
      </c>
      <c r="BL163" s="7" t="n">
        <f aca="false">$O163</f>
        <v>0</v>
      </c>
      <c r="BM163" s="7" t="n">
        <f aca="false">$P163</f>
        <v>0</v>
      </c>
      <c r="BN163" s="7" t="n">
        <f aca="false">$P163</f>
        <v>0</v>
      </c>
      <c r="BO163" s="7" t="n">
        <f aca="false">$P163</f>
        <v>0</v>
      </c>
      <c r="BP163" s="7" t="n">
        <f aca="false">$P163</f>
        <v>0</v>
      </c>
    </row>
    <row r="164" customFormat="false" ht="15" hidden="false" customHeight="false" outlineLevel="0" collapsed="false">
      <c r="A164" s="0" t="s">
        <v>236</v>
      </c>
      <c r="B164" s="0" t="s">
        <v>133</v>
      </c>
      <c r="C164" s="0" t="s">
        <v>120</v>
      </c>
      <c r="D164" s="0" t="n">
        <f aca="false">SUM(Q164:BP164)</f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7" t="n">
        <f aca="false">$E164</f>
        <v>0</v>
      </c>
      <c r="R164" s="7" t="n">
        <f aca="false">$E164</f>
        <v>0</v>
      </c>
      <c r="S164" s="7" t="n">
        <f aca="false">$E164</f>
        <v>0</v>
      </c>
      <c r="T164" s="7" t="n">
        <f aca="false">$E164</f>
        <v>0</v>
      </c>
      <c r="U164" s="7" t="n">
        <f aca="false">$E164</f>
        <v>0</v>
      </c>
      <c r="V164" s="7" t="n">
        <f aca="false">$F164</f>
        <v>0</v>
      </c>
      <c r="W164" s="7" t="n">
        <f aca="false">$F164</f>
        <v>0</v>
      </c>
      <c r="X164" s="7" t="n">
        <f aca="false">$F164</f>
        <v>0</v>
      </c>
      <c r="Y164" s="7" t="n">
        <f aca="false">$F164</f>
        <v>0</v>
      </c>
      <c r="Z164" s="7" t="n">
        <f aca="false">$G164</f>
        <v>0</v>
      </c>
      <c r="AA164" s="7" t="n">
        <f aca="false">$G164</f>
        <v>0</v>
      </c>
      <c r="AB164" s="7" t="n">
        <f aca="false">$G164</f>
        <v>0</v>
      </c>
      <c r="AC164" s="7" t="n">
        <f aca="false">$G164</f>
        <v>0</v>
      </c>
      <c r="AD164" s="7" t="n">
        <f aca="false">$H164</f>
        <v>0</v>
      </c>
      <c r="AE164" s="7" t="n">
        <f aca="false">$H164</f>
        <v>0</v>
      </c>
      <c r="AF164" s="7" t="n">
        <f aca="false">$H164</f>
        <v>0</v>
      </c>
      <c r="AG164" s="7" t="n">
        <f aca="false">$H164</f>
        <v>0</v>
      </c>
      <c r="AH164" s="7" t="n">
        <f aca="false">$H164</f>
        <v>0</v>
      </c>
      <c r="AI164" s="7" t="n">
        <f aca="false">$I164</f>
        <v>0</v>
      </c>
      <c r="AJ164" s="7" t="n">
        <f aca="false">$I164</f>
        <v>0</v>
      </c>
      <c r="AK164" s="7" t="n">
        <f aca="false">$I164</f>
        <v>0</v>
      </c>
      <c r="AL164" s="7" t="n">
        <f aca="false">$I164</f>
        <v>0</v>
      </c>
      <c r="AM164" s="7" t="n">
        <f aca="false">$J164</f>
        <v>0</v>
      </c>
      <c r="AN164" s="7" t="n">
        <f aca="false">$J164</f>
        <v>0</v>
      </c>
      <c r="AO164" s="7" t="n">
        <f aca="false">$J164</f>
        <v>0</v>
      </c>
      <c r="AP164" s="7" t="n">
        <f aca="false">$J164</f>
        <v>0</v>
      </c>
      <c r="AQ164" s="7" t="n">
        <f aca="false">$K164</f>
        <v>0</v>
      </c>
      <c r="AR164" s="7" t="n">
        <f aca="false">$K164</f>
        <v>0</v>
      </c>
      <c r="AS164" s="7" t="n">
        <f aca="false">$K164</f>
        <v>0</v>
      </c>
      <c r="AT164" s="7" t="n">
        <f aca="false">$K164</f>
        <v>0</v>
      </c>
      <c r="AU164" s="7" t="n">
        <f aca="false">$K164</f>
        <v>0</v>
      </c>
      <c r="AV164" s="7" t="n">
        <f aca="false">$L164</f>
        <v>0</v>
      </c>
      <c r="AW164" s="7" t="n">
        <f aca="false">$L164</f>
        <v>0</v>
      </c>
      <c r="AX164" s="7" t="n">
        <f aca="false">$L164</f>
        <v>0</v>
      </c>
      <c r="AY164" s="7" t="n">
        <f aca="false">$L164</f>
        <v>0</v>
      </c>
      <c r="AZ164" s="7" t="n">
        <f aca="false">$M164</f>
        <v>0</v>
      </c>
      <c r="BA164" s="7" t="n">
        <f aca="false">$M164</f>
        <v>0</v>
      </c>
      <c r="BB164" s="7" t="n">
        <f aca="false">$M164</f>
        <v>0</v>
      </c>
      <c r="BC164" s="7" t="n">
        <f aca="false">$M164</f>
        <v>0</v>
      </c>
      <c r="BD164" s="7" t="n">
        <f aca="false">$N164</f>
        <v>0</v>
      </c>
      <c r="BE164" s="7" t="n">
        <f aca="false">$N164</f>
        <v>0</v>
      </c>
      <c r="BF164" s="7" t="n">
        <f aca="false">$N164</f>
        <v>0</v>
      </c>
      <c r="BG164" s="7" t="n">
        <f aca="false">$N164</f>
        <v>0</v>
      </c>
      <c r="BH164" s="7" t="n">
        <f aca="false">$N164</f>
        <v>0</v>
      </c>
      <c r="BI164" s="7" t="n">
        <f aca="false">$O164</f>
        <v>0</v>
      </c>
      <c r="BJ164" s="7" t="n">
        <f aca="false">$O164</f>
        <v>0</v>
      </c>
      <c r="BK164" s="7" t="n">
        <f aca="false">$O164</f>
        <v>0</v>
      </c>
      <c r="BL164" s="7" t="n">
        <f aca="false">$O164</f>
        <v>0</v>
      </c>
      <c r="BM164" s="7" t="n">
        <f aca="false">$P164</f>
        <v>0</v>
      </c>
      <c r="BN164" s="7" t="n">
        <f aca="false">$P164</f>
        <v>0</v>
      </c>
      <c r="BO164" s="7" t="n">
        <f aca="false">$P164</f>
        <v>0</v>
      </c>
      <c r="BP164" s="7" t="n">
        <f aca="false">$P164</f>
        <v>0</v>
      </c>
    </row>
    <row r="165" customFormat="false" ht="15" hidden="false" customHeight="false" outlineLevel="0" collapsed="false">
      <c r="A165" s="0" t="s">
        <v>236</v>
      </c>
      <c r="B165" s="0" t="s">
        <v>133</v>
      </c>
      <c r="C165" s="0" t="s">
        <v>121</v>
      </c>
      <c r="D165" s="0" t="n">
        <f aca="false">SUM(Q165:BP165)</f>
        <v>0</v>
      </c>
      <c r="E165" s="13" t="n">
        <v>0</v>
      </c>
      <c r="F165" s="13" t="n">
        <v>0</v>
      </c>
      <c r="G165" s="13" t="n">
        <v>0</v>
      </c>
      <c r="H165" s="13" t="n">
        <v>0</v>
      </c>
      <c r="I165" s="13" t="n">
        <v>0</v>
      </c>
      <c r="J165" s="13" t="n">
        <v>0</v>
      </c>
      <c r="K165" s="13" t="n">
        <v>0</v>
      </c>
      <c r="L165" s="13" t="n">
        <v>0</v>
      </c>
      <c r="M165" s="13" t="n">
        <v>0</v>
      </c>
      <c r="N165" s="13" t="n">
        <v>0</v>
      </c>
      <c r="O165" s="13" t="n">
        <v>0</v>
      </c>
      <c r="P165" s="13" t="n">
        <v>0</v>
      </c>
      <c r="Q165" s="7" t="n">
        <f aca="false">$E165</f>
        <v>0</v>
      </c>
      <c r="R165" s="7" t="n">
        <f aca="false">$E165</f>
        <v>0</v>
      </c>
      <c r="S165" s="7" t="n">
        <f aca="false">$E165</f>
        <v>0</v>
      </c>
      <c r="T165" s="7" t="n">
        <f aca="false">$E165</f>
        <v>0</v>
      </c>
      <c r="U165" s="7" t="n">
        <f aca="false">$E165</f>
        <v>0</v>
      </c>
      <c r="V165" s="7" t="n">
        <f aca="false">$F165</f>
        <v>0</v>
      </c>
      <c r="W165" s="7" t="n">
        <f aca="false">$F165</f>
        <v>0</v>
      </c>
      <c r="X165" s="7" t="n">
        <f aca="false">$F165</f>
        <v>0</v>
      </c>
      <c r="Y165" s="7" t="n">
        <f aca="false">$F165</f>
        <v>0</v>
      </c>
      <c r="Z165" s="7" t="n">
        <f aca="false">$G165</f>
        <v>0</v>
      </c>
      <c r="AA165" s="7" t="n">
        <f aca="false">$G165</f>
        <v>0</v>
      </c>
      <c r="AB165" s="7" t="n">
        <f aca="false">$G165</f>
        <v>0</v>
      </c>
      <c r="AC165" s="7" t="n">
        <f aca="false">$G165</f>
        <v>0</v>
      </c>
      <c r="AD165" s="7" t="n">
        <f aca="false">$H165</f>
        <v>0</v>
      </c>
      <c r="AE165" s="7" t="n">
        <f aca="false">$H165</f>
        <v>0</v>
      </c>
      <c r="AF165" s="7" t="n">
        <f aca="false">$H165</f>
        <v>0</v>
      </c>
      <c r="AG165" s="7" t="n">
        <f aca="false">$H165</f>
        <v>0</v>
      </c>
      <c r="AH165" s="7" t="n">
        <f aca="false">$H165</f>
        <v>0</v>
      </c>
      <c r="AI165" s="7" t="n">
        <f aca="false">$I165</f>
        <v>0</v>
      </c>
      <c r="AJ165" s="7" t="n">
        <f aca="false">$I165</f>
        <v>0</v>
      </c>
      <c r="AK165" s="7" t="n">
        <f aca="false">$I165</f>
        <v>0</v>
      </c>
      <c r="AL165" s="7" t="n">
        <f aca="false">$I165</f>
        <v>0</v>
      </c>
      <c r="AM165" s="7" t="n">
        <f aca="false">$J165</f>
        <v>0</v>
      </c>
      <c r="AN165" s="7" t="n">
        <f aca="false">$J165</f>
        <v>0</v>
      </c>
      <c r="AO165" s="7" t="n">
        <f aca="false">$J165</f>
        <v>0</v>
      </c>
      <c r="AP165" s="7" t="n">
        <f aca="false">$J165</f>
        <v>0</v>
      </c>
      <c r="AQ165" s="7" t="n">
        <f aca="false">$K165</f>
        <v>0</v>
      </c>
      <c r="AR165" s="7" t="n">
        <f aca="false">$K165</f>
        <v>0</v>
      </c>
      <c r="AS165" s="7" t="n">
        <f aca="false">$K165</f>
        <v>0</v>
      </c>
      <c r="AT165" s="7" t="n">
        <f aca="false">$K165</f>
        <v>0</v>
      </c>
      <c r="AU165" s="7" t="n">
        <f aca="false">$K165</f>
        <v>0</v>
      </c>
      <c r="AV165" s="7" t="n">
        <f aca="false">$L165</f>
        <v>0</v>
      </c>
      <c r="AW165" s="7" t="n">
        <f aca="false">$L165</f>
        <v>0</v>
      </c>
      <c r="AX165" s="7" t="n">
        <f aca="false">$L165</f>
        <v>0</v>
      </c>
      <c r="AY165" s="7" t="n">
        <f aca="false">$L165</f>
        <v>0</v>
      </c>
      <c r="AZ165" s="7" t="n">
        <f aca="false">$M165</f>
        <v>0</v>
      </c>
      <c r="BA165" s="7" t="n">
        <f aca="false">$M165</f>
        <v>0</v>
      </c>
      <c r="BB165" s="7" t="n">
        <f aca="false">$M165</f>
        <v>0</v>
      </c>
      <c r="BC165" s="7" t="n">
        <f aca="false">$M165</f>
        <v>0</v>
      </c>
      <c r="BD165" s="7" t="n">
        <f aca="false">$N165</f>
        <v>0</v>
      </c>
      <c r="BE165" s="7" t="n">
        <f aca="false">$N165</f>
        <v>0</v>
      </c>
      <c r="BF165" s="7" t="n">
        <f aca="false">$N165</f>
        <v>0</v>
      </c>
      <c r="BG165" s="7" t="n">
        <f aca="false">$N165</f>
        <v>0</v>
      </c>
      <c r="BH165" s="7" t="n">
        <f aca="false">$N165</f>
        <v>0</v>
      </c>
      <c r="BI165" s="7" t="n">
        <f aca="false">$O165</f>
        <v>0</v>
      </c>
      <c r="BJ165" s="7" t="n">
        <f aca="false">$O165</f>
        <v>0</v>
      </c>
      <c r="BK165" s="7" t="n">
        <f aca="false">$O165</f>
        <v>0</v>
      </c>
      <c r="BL165" s="7" t="n">
        <f aca="false">$O165</f>
        <v>0</v>
      </c>
      <c r="BM165" s="7" t="n">
        <f aca="false">$P165</f>
        <v>0</v>
      </c>
      <c r="BN165" s="7" t="n">
        <f aca="false">$P165</f>
        <v>0</v>
      </c>
      <c r="BO165" s="7" t="n">
        <f aca="false">$P165</f>
        <v>0</v>
      </c>
      <c r="BP165" s="7" t="n">
        <f aca="false">$P165</f>
        <v>0</v>
      </c>
    </row>
    <row r="166" customFormat="false" ht="15" hidden="false" customHeight="false" outlineLevel="0" collapsed="false">
      <c r="A166" s="0" t="s">
        <v>236</v>
      </c>
      <c r="B166" s="0" t="s">
        <v>133</v>
      </c>
      <c r="C166" s="0" t="s">
        <v>122</v>
      </c>
      <c r="D166" s="0" t="n">
        <f aca="false">SUM(Q166:BP166)</f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</v>
      </c>
      <c r="J166" s="13" t="n">
        <v>0</v>
      </c>
      <c r="K166" s="13" t="n">
        <v>0</v>
      </c>
      <c r="L166" s="13" t="n">
        <v>0</v>
      </c>
      <c r="M166" s="13" t="n">
        <v>0</v>
      </c>
      <c r="N166" s="13" t="n">
        <v>0</v>
      </c>
      <c r="O166" s="13" t="n">
        <v>0</v>
      </c>
      <c r="P166" s="13" t="n">
        <v>0</v>
      </c>
      <c r="Q166" s="7" t="n">
        <f aca="false">$E166</f>
        <v>0</v>
      </c>
      <c r="R166" s="7" t="n">
        <f aca="false">$E166</f>
        <v>0</v>
      </c>
      <c r="S166" s="7" t="n">
        <f aca="false">$E166</f>
        <v>0</v>
      </c>
      <c r="T166" s="7" t="n">
        <f aca="false">$E166</f>
        <v>0</v>
      </c>
      <c r="U166" s="7" t="n">
        <f aca="false">$E166</f>
        <v>0</v>
      </c>
      <c r="V166" s="7" t="n">
        <f aca="false">$F166</f>
        <v>0</v>
      </c>
      <c r="W166" s="7" t="n">
        <f aca="false">$F166</f>
        <v>0</v>
      </c>
      <c r="X166" s="7" t="n">
        <f aca="false">$F166</f>
        <v>0</v>
      </c>
      <c r="Y166" s="7" t="n">
        <f aca="false">$F166</f>
        <v>0</v>
      </c>
      <c r="Z166" s="7" t="n">
        <f aca="false">$G166</f>
        <v>0</v>
      </c>
      <c r="AA166" s="7" t="n">
        <f aca="false">$G166</f>
        <v>0</v>
      </c>
      <c r="AB166" s="7" t="n">
        <f aca="false">$G166</f>
        <v>0</v>
      </c>
      <c r="AC166" s="7" t="n">
        <f aca="false">$G166</f>
        <v>0</v>
      </c>
      <c r="AD166" s="7" t="n">
        <f aca="false">$H166</f>
        <v>0</v>
      </c>
      <c r="AE166" s="7" t="n">
        <f aca="false">$H166</f>
        <v>0</v>
      </c>
      <c r="AF166" s="7" t="n">
        <f aca="false">$H166</f>
        <v>0</v>
      </c>
      <c r="AG166" s="7" t="n">
        <f aca="false">$H166</f>
        <v>0</v>
      </c>
      <c r="AH166" s="7" t="n">
        <f aca="false">$H166</f>
        <v>0</v>
      </c>
      <c r="AI166" s="7" t="n">
        <f aca="false">$I166</f>
        <v>0</v>
      </c>
      <c r="AJ166" s="7" t="n">
        <f aca="false">$I166</f>
        <v>0</v>
      </c>
      <c r="AK166" s="7" t="n">
        <f aca="false">$I166</f>
        <v>0</v>
      </c>
      <c r="AL166" s="7" t="n">
        <f aca="false">$I166</f>
        <v>0</v>
      </c>
      <c r="AM166" s="7" t="n">
        <f aca="false">$J166</f>
        <v>0</v>
      </c>
      <c r="AN166" s="7" t="n">
        <f aca="false">$J166</f>
        <v>0</v>
      </c>
      <c r="AO166" s="7" t="n">
        <f aca="false">$J166</f>
        <v>0</v>
      </c>
      <c r="AP166" s="7" t="n">
        <f aca="false">$J166</f>
        <v>0</v>
      </c>
      <c r="AQ166" s="7" t="n">
        <f aca="false">$K166</f>
        <v>0</v>
      </c>
      <c r="AR166" s="7" t="n">
        <f aca="false">$K166</f>
        <v>0</v>
      </c>
      <c r="AS166" s="7" t="n">
        <f aca="false">$K166</f>
        <v>0</v>
      </c>
      <c r="AT166" s="7" t="n">
        <f aca="false">$K166</f>
        <v>0</v>
      </c>
      <c r="AU166" s="7" t="n">
        <f aca="false">$K166</f>
        <v>0</v>
      </c>
      <c r="AV166" s="7" t="n">
        <f aca="false">$L166</f>
        <v>0</v>
      </c>
      <c r="AW166" s="7" t="n">
        <f aca="false">$L166</f>
        <v>0</v>
      </c>
      <c r="AX166" s="7" t="n">
        <f aca="false">$L166</f>
        <v>0</v>
      </c>
      <c r="AY166" s="7" t="n">
        <f aca="false">$L166</f>
        <v>0</v>
      </c>
      <c r="AZ166" s="7" t="n">
        <f aca="false">$M166</f>
        <v>0</v>
      </c>
      <c r="BA166" s="7" t="n">
        <f aca="false">$M166</f>
        <v>0</v>
      </c>
      <c r="BB166" s="7" t="n">
        <f aca="false">$M166</f>
        <v>0</v>
      </c>
      <c r="BC166" s="7" t="n">
        <f aca="false">$M166</f>
        <v>0</v>
      </c>
      <c r="BD166" s="7" t="n">
        <f aca="false">$N166</f>
        <v>0</v>
      </c>
      <c r="BE166" s="7" t="n">
        <f aca="false">$N166</f>
        <v>0</v>
      </c>
      <c r="BF166" s="7" t="n">
        <f aca="false">$N166</f>
        <v>0</v>
      </c>
      <c r="BG166" s="7" t="n">
        <f aca="false">$N166</f>
        <v>0</v>
      </c>
      <c r="BH166" s="7" t="n">
        <f aca="false">$N166</f>
        <v>0</v>
      </c>
      <c r="BI166" s="7" t="n">
        <f aca="false">$O166</f>
        <v>0</v>
      </c>
      <c r="BJ166" s="7" t="n">
        <f aca="false">$O166</f>
        <v>0</v>
      </c>
      <c r="BK166" s="7" t="n">
        <f aca="false">$O166</f>
        <v>0</v>
      </c>
      <c r="BL166" s="7" t="n">
        <f aca="false">$O166</f>
        <v>0</v>
      </c>
      <c r="BM166" s="7" t="n">
        <f aca="false">$P166</f>
        <v>0</v>
      </c>
      <c r="BN166" s="7" t="n">
        <f aca="false">$P166</f>
        <v>0</v>
      </c>
      <c r="BO166" s="7" t="n">
        <f aca="false">$P166</f>
        <v>0</v>
      </c>
      <c r="BP166" s="7" t="n">
        <f aca="false">$P166</f>
        <v>0</v>
      </c>
    </row>
    <row r="167" customFormat="false" ht="15" hidden="false" customHeight="false" outlineLevel="0" collapsed="false">
      <c r="A167" s="0" t="s">
        <v>236</v>
      </c>
      <c r="B167" s="0" t="s">
        <v>133</v>
      </c>
      <c r="C167" s="0" t="s">
        <v>123</v>
      </c>
      <c r="D167" s="0" t="n">
        <f aca="false">SUM(Q167:BP167)</f>
        <v>0</v>
      </c>
      <c r="E167" s="13" t="n">
        <v>0</v>
      </c>
      <c r="F167" s="13" t="n">
        <v>0</v>
      </c>
      <c r="G167" s="13" t="n">
        <v>0</v>
      </c>
      <c r="H167" s="13" t="n">
        <v>0</v>
      </c>
      <c r="I167" s="13" t="n">
        <v>0</v>
      </c>
      <c r="J167" s="13" t="n">
        <v>0</v>
      </c>
      <c r="K167" s="13" t="n">
        <v>0</v>
      </c>
      <c r="L167" s="13" t="n">
        <v>0</v>
      </c>
      <c r="M167" s="13" t="n">
        <v>0</v>
      </c>
      <c r="N167" s="13" t="n">
        <v>0</v>
      </c>
      <c r="O167" s="13" t="n">
        <v>0</v>
      </c>
      <c r="P167" s="13" t="n">
        <v>0</v>
      </c>
      <c r="Q167" s="7" t="n">
        <f aca="false">$E167</f>
        <v>0</v>
      </c>
      <c r="R167" s="7" t="n">
        <f aca="false">$E167</f>
        <v>0</v>
      </c>
      <c r="S167" s="7" t="n">
        <f aca="false">$E167</f>
        <v>0</v>
      </c>
      <c r="T167" s="7" t="n">
        <f aca="false">$E167</f>
        <v>0</v>
      </c>
      <c r="U167" s="7" t="n">
        <f aca="false">$E167</f>
        <v>0</v>
      </c>
      <c r="V167" s="7" t="n">
        <f aca="false">$F167</f>
        <v>0</v>
      </c>
      <c r="W167" s="7" t="n">
        <f aca="false">$F167</f>
        <v>0</v>
      </c>
      <c r="X167" s="7" t="n">
        <f aca="false">$F167</f>
        <v>0</v>
      </c>
      <c r="Y167" s="7" t="n">
        <f aca="false">$F167</f>
        <v>0</v>
      </c>
      <c r="Z167" s="7" t="n">
        <f aca="false">$G167</f>
        <v>0</v>
      </c>
      <c r="AA167" s="7" t="n">
        <f aca="false">$G167</f>
        <v>0</v>
      </c>
      <c r="AB167" s="7" t="n">
        <f aca="false">$G167</f>
        <v>0</v>
      </c>
      <c r="AC167" s="7" t="n">
        <f aca="false">$G167</f>
        <v>0</v>
      </c>
      <c r="AD167" s="7" t="n">
        <f aca="false">$H167</f>
        <v>0</v>
      </c>
      <c r="AE167" s="7" t="n">
        <f aca="false">$H167</f>
        <v>0</v>
      </c>
      <c r="AF167" s="7" t="n">
        <f aca="false">$H167</f>
        <v>0</v>
      </c>
      <c r="AG167" s="7" t="n">
        <f aca="false">$H167</f>
        <v>0</v>
      </c>
      <c r="AH167" s="7" t="n">
        <f aca="false">$H167</f>
        <v>0</v>
      </c>
      <c r="AI167" s="7" t="n">
        <f aca="false">$I167</f>
        <v>0</v>
      </c>
      <c r="AJ167" s="7" t="n">
        <f aca="false">$I167</f>
        <v>0</v>
      </c>
      <c r="AK167" s="7" t="n">
        <f aca="false">$I167</f>
        <v>0</v>
      </c>
      <c r="AL167" s="7" t="n">
        <f aca="false">$I167</f>
        <v>0</v>
      </c>
      <c r="AM167" s="7" t="n">
        <f aca="false">$J167</f>
        <v>0</v>
      </c>
      <c r="AN167" s="7" t="n">
        <f aca="false">$J167</f>
        <v>0</v>
      </c>
      <c r="AO167" s="7" t="n">
        <f aca="false">$J167</f>
        <v>0</v>
      </c>
      <c r="AP167" s="7" t="n">
        <f aca="false">$J167</f>
        <v>0</v>
      </c>
      <c r="AQ167" s="7" t="n">
        <f aca="false">$K167</f>
        <v>0</v>
      </c>
      <c r="AR167" s="7" t="n">
        <f aca="false">$K167</f>
        <v>0</v>
      </c>
      <c r="AS167" s="7" t="n">
        <f aca="false">$K167</f>
        <v>0</v>
      </c>
      <c r="AT167" s="7" t="n">
        <f aca="false">$K167</f>
        <v>0</v>
      </c>
      <c r="AU167" s="7" t="n">
        <f aca="false">$K167</f>
        <v>0</v>
      </c>
      <c r="AV167" s="7" t="n">
        <f aca="false">$L167</f>
        <v>0</v>
      </c>
      <c r="AW167" s="7" t="n">
        <f aca="false">$L167</f>
        <v>0</v>
      </c>
      <c r="AX167" s="7" t="n">
        <f aca="false">$L167</f>
        <v>0</v>
      </c>
      <c r="AY167" s="7" t="n">
        <f aca="false">$L167</f>
        <v>0</v>
      </c>
      <c r="AZ167" s="7" t="n">
        <f aca="false">$M167</f>
        <v>0</v>
      </c>
      <c r="BA167" s="7" t="n">
        <f aca="false">$M167</f>
        <v>0</v>
      </c>
      <c r="BB167" s="7" t="n">
        <f aca="false">$M167</f>
        <v>0</v>
      </c>
      <c r="BC167" s="7" t="n">
        <f aca="false">$M167</f>
        <v>0</v>
      </c>
      <c r="BD167" s="7" t="n">
        <f aca="false">$N167</f>
        <v>0</v>
      </c>
      <c r="BE167" s="7" t="n">
        <f aca="false">$N167</f>
        <v>0</v>
      </c>
      <c r="BF167" s="7" t="n">
        <f aca="false">$N167</f>
        <v>0</v>
      </c>
      <c r="BG167" s="7" t="n">
        <f aca="false">$N167</f>
        <v>0</v>
      </c>
      <c r="BH167" s="7" t="n">
        <f aca="false">$N167</f>
        <v>0</v>
      </c>
      <c r="BI167" s="7" t="n">
        <f aca="false">$O167</f>
        <v>0</v>
      </c>
      <c r="BJ167" s="7" t="n">
        <f aca="false">$O167</f>
        <v>0</v>
      </c>
      <c r="BK167" s="7" t="n">
        <f aca="false">$O167</f>
        <v>0</v>
      </c>
      <c r="BL167" s="7" t="n">
        <f aca="false">$O167</f>
        <v>0</v>
      </c>
      <c r="BM167" s="7" t="n">
        <f aca="false">$P167</f>
        <v>0</v>
      </c>
      <c r="BN167" s="7" t="n">
        <f aca="false">$P167</f>
        <v>0</v>
      </c>
      <c r="BO167" s="7" t="n">
        <f aca="false">$P167</f>
        <v>0</v>
      </c>
      <c r="BP167" s="7" t="n">
        <f aca="false">$P167</f>
        <v>0</v>
      </c>
    </row>
    <row r="168" customFormat="false" ht="15" hidden="false" customHeight="false" outlineLevel="0" collapsed="false">
      <c r="A168" s="0" t="s">
        <v>236</v>
      </c>
      <c r="B168" s="0" t="s">
        <v>134</v>
      </c>
      <c r="C168" s="0" t="s">
        <v>115</v>
      </c>
      <c r="D168" s="0" t="n">
        <f aca="false">SUM(Q168:BP168)</f>
        <v>0</v>
      </c>
      <c r="E168" s="22" t="n">
        <v>0</v>
      </c>
      <c r="F168" s="22" t="n">
        <v>0</v>
      </c>
      <c r="G168" s="22" t="n">
        <v>0</v>
      </c>
      <c r="H168" s="22" t="n">
        <v>0</v>
      </c>
      <c r="I168" s="22" t="n">
        <v>0</v>
      </c>
      <c r="J168" s="22" t="n">
        <v>0</v>
      </c>
      <c r="K168" s="22" t="n">
        <v>0</v>
      </c>
      <c r="L168" s="22" t="n">
        <v>0</v>
      </c>
      <c r="M168" s="22" t="n">
        <v>0</v>
      </c>
      <c r="N168" s="22" t="n">
        <v>0</v>
      </c>
      <c r="O168" s="22" t="n">
        <v>0</v>
      </c>
      <c r="P168" s="22" t="n">
        <v>0</v>
      </c>
      <c r="Q168" s="7" t="n">
        <f aca="false">$E168</f>
        <v>0</v>
      </c>
      <c r="R168" s="7" t="n">
        <f aca="false">$E168</f>
        <v>0</v>
      </c>
      <c r="S168" s="7" t="n">
        <f aca="false">$E168</f>
        <v>0</v>
      </c>
      <c r="T168" s="7" t="n">
        <f aca="false">$E168</f>
        <v>0</v>
      </c>
      <c r="U168" s="7" t="n">
        <f aca="false">$E168</f>
        <v>0</v>
      </c>
      <c r="V168" s="7" t="n">
        <f aca="false">$F168</f>
        <v>0</v>
      </c>
      <c r="W168" s="7" t="n">
        <f aca="false">$F168</f>
        <v>0</v>
      </c>
      <c r="X168" s="7" t="n">
        <f aca="false">$F168</f>
        <v>0</v>
      </c>
      <c r="Y168" s="7" t="n">
        <f aca="false">$F168</f>
        <v>0</v>
      </c>
      <c r="Z168" s="7" t="n">
        <f aca="false">$G168</f>
        <v>0</v>
      </c>
      <c r="AA168" s="7" t="n">
        <f aca="false">$G168</f>
        <v>0</v>
      </c>
      <c r="AB168" s="7" t="n">
        <f aca="false">$G168</f>
        <v>0</v>
      </c>
      <c r="AC168" s="7" t="n">
        <f aca="false">$G168</f>
        <v>0</v>
      </c>
      <c r="AD168" s="7" t="n">
        <f aca="false">$H168</f>
        <v>0</v>
      </c>
      <c r="AE168" s="7" t="n">
        <f aca="false">$H168</f>
        <v>0</v>
      </c>
      <c r="AF168" s="7" t="n">
        <f aca="false">$H168</f>
        <v>0</v>
      </c>
      <c r="AG168" s="7" t="n">
        <f aca="false">$H168</f>
        <v>0</v>
      </c>
      <c r="AH168" s="7" t="n">
        <f aca="false">$H168</f>
        <v>0</v>
      </c>
      <c r="AI168" s="7" t="n">
        <f aca="false">$I168</f>
        <v>0</v>
      </c>
      <c r="AJ168" s="7" t="n">
        <f aca="false">$I168</f>
        <v>0</v>
      </c>
      <c r="AK168" s="7" t="n">
        <f aca="false">$I168</f>
        <v>0</v>
      </c>
      <c r="AL168" s="7" t="n">
        <f aca="false">$I168</f>
        <v>0</v>
      </c>
      <c r="AM168" s="7" t="n">
        <f aca="false">$J168</f>
        <v>0</v>
      </c>
      <c r="AN168" s="7" t="n">
        <f aca="false">$J168</f>
        <v>0</v>
      </c>
      <c r="AO168" s="7" t="n">
        <f aca="false">$J168</f>
        <v>0</v>
      </c>
      <c r="AP168" s="7" t="n">
        <f aca="false">$J168</f>
        <v>0</v>
      </c>
      <c r="AQ168" s="7" t="n">
        <f aca="false">$K168</f>
        <v>0</v>
      </c>
      <c r="AR168" s="7" t="n">
        <f aca="false">$K168</f>
        <v>0</v>
      </c>
      <c r="AS168" s="7" t="n">
        <f aca="false">$K168</f>
        <v>0</v>
      </c>
      <c r="AT168" s="7" t="n">
        <f aca="false">$K168</f>
        <v>0</v>
      </c>
      <c r="AU168" s="7" t="n">
        <f aca="false">$K168</f>
        <v>0</v>
      </c>
      <c r="AV168" s="7" t="n">
        <f aca="false">$L168</f>
        <v>0</v>
      </c>
      <c r="AW168" s="7" t="n">
        <f aca="false">$L168</f>
        <v>0</v>
      </c>
      <c r="AX168" s="7" t="n">
        <f aca="false">$L168</f>
        <v>0</v>
      </c>
      <c r="AY168" s="7" t="n">
        <f aca="false">$L168</f>
        <v>0</v>
      </c>
      <c r="AZ168" s="7" t="n">
        <f aca="false">$M168</f>
        <v>0</v>
      </c>
      <c r="BA168" s="7" t="n">
        <f aca="false">$M168</f>
        <v>0</v>
      </c>
      <c r="BB168" s="7" t="n">
        <f aca="false">$M168</f>
        <v>0</v>
      </c>
      <c r="BC168" s="7" t="n">
        <f aca="false">$M168</f>
        <v>0</v>
      </c>
      <c r="BD168" s="7" t="n">
        <f aca="false">$N168</f>
        <v>0</v>
      </c>
      <c r="BE168" s="7" t="n">
        <f aca="false">$N168</f>
        <v>0</v>
      </c>
      <c r="BF168" s="7" t="n">
        <f aca="false">$N168</f>
        <v>0</v>
      </c>
      <c r="BG168" s="7" t="n">
        <f aca="false">$N168</f>
        <v>0</v>
      </c>
      <c r="BH168" s="7" t="n">
        <f aca="false">$N168</f>
        <v>0</v>
      </c>
      <c r="BI168" s="7" t="n">
        <f aca="false">$O168</f>
        <v>0</v>
      </c>
      <c r="BJ168" s="7" t="n">
        <f aca="false">$O168</f>
        <v>0</v>
      </c>
      <c r="BK168" s="7" t="n">
        <f aca="false">$O168</f>
        <v>0</v>
      </c>
      <c r="BL168" s="7" t="n">
        <f aca="false">$O168</f>
        <v>0</v>
      </c>
      <c r="BM168" s="7" t="n">
        <f aca="false">$P168</f>
        <v>0</v>
      </c>
      <c r="BN168" s="7" t="n">
        <f aca="false">$P168</f>
        <v>0</v>
      </c>
      <c r="BO168" s="7" t="n">
        <f aca="false">$P168</f>
        <v>0</v>
      </c>
      <c r="BP168" s="7" t="n">
        <f aca="false">$P168</f>
        <v>0</v>
      </c>
    </row>
    <row r="169" customFormat="false" ht="15" hidden="false" customHeight="false" outlineLevel="0" collapsed="false">
      <c r="A169" s="0" t="s">
        <v>236</v>
      </c>
      <c r="B169" s="0" t="s">
        <v>134</v>
      </c>
      <c r="C169" s="0" t="s">
        <v>116</v>
      </c>
      <c r="D169" s="0" t="n">
        <f aca="false">SUM(Q169:BP169)</f>
        <v>0</v>
      </c>
      <c r="E169" s="22" t="n">
        <v>0</v>
      </c>
      <c r="F169" s="22" t="n">
        <v>0</v>
      </c>
      <c r="G169" s="22" t="n">
        <v>0</v>
      </c>
      <c r="H169" s="22" t="n">
        <v>0</v>
      </c>
      <c r="I169" s="22" t="n">
        <v>0</v>
      </c>
      <c r="J169" s="22" t="n">
        <v>0</v>
      </c>
      <c r="K169" s="22" t="n">
        <v>0</v>
      </c>
      <c r="L169" s="22" t="n">
        <v>0</v>
      </c>
      <c r="M169" s="22" t="n">
        <v>0</v>
      </c>
      <c r="N169" s="22" t="n">
        <v>0</v>
      </c>
      <c r="O169" s="22" t="n">
        <v>0</v>
      </c>
      <c r="P169" s="22" t="n">
        <v>0</v>
      </c>
      <c r="Q169" s="7" t="n">
        <f aca="false">$E169</f>
        <v>0</v>
      </c>
      <c r="R169" s="7" t="n">
        <f aca="false">$E169</f>
        <v>0</v>
      </c>
      <c r="S169" s="7" t="n">
        <f aca="false">$E169</f>
        <v>0</v>
      </c>
      <c r="T169" s="7" t="n">
        <f aca="false">$E169</f>
        <v>0</v>
      </c>
      <c r="U169" s="7" t="n">
        <f aca="false">$E169</f>
        <v>0</v>
      </c>
      <c r="V169" s="7" t="n">
        <f aca="false">$F169</f>
        <v>0</v>
      </c>
      <c r="W169" s="7" t="n">
        <f aca="false">$F169</f>
        <v>0</v>
      </c>
      <c r="X169" s="7" t="n">
        <f aca="false">$F169</f>
        <v>0</v>
      </c>
      <c r="Y169" s="7" t="n">
        <f aca="false">$F169</f>
        <v>0</v>
      </c>
      <c r="Z169" s="7" t="n">
        <f aca="false">$G169</f>
        <v>0</v>
      </c>
      <c r="AA169" s="7" t="n">
        <f aca="false">$G169</f>
        <v>0</v>
      </c>
      <c r="AB169" s="7" t="n">
        <f aca="false">$G169</f>
        <v>0</v>
      </c>
      <c r="AC169" s="7" t="n">
        <f aca="false">$G169</f>
        <v>0</v>
      </c>
      <c r="AD169" s="7" t="n">
        <f aca="false">$H169</f>
        <v>0</v>
      </c>
      <c r="AE169" s="7" t="n">
        <f aca="false">$H169</f>
        <v>0</v>
      </c>
      <c r="AF169" s="7" t="n">
        <f aca="false">$H169</f>
        <v>0</v>
      </c>
      <c r="AG169" s="7" t="n">
        <f aca="false">$H169</f>
        <v>0</v>
      </c>
      <c r="AH169" s="7" t="n">
        <f aca="false">$H169</f>
        <v>0</v>
      </c>
      <c r="AI169" s="7" t="n">
        <f aca="false">$I169</f>
        <v>0</v>
      </c>
      <c r="AJ169" s="7" t="n">
        <f aca="false">$I169</f>
        <v>0</v>
      </c>
      <c r="AK169" s="7" t="n">
        <f aca="false">$I169</f>
        <v>0</v>
      </c>
      <c r="AL169" s="7" t="n">
        <f aca="false">$I169</f>
        <v>0</v>
      </c>
      <c r="AM169" s="7" t="n">
        <f aca="false">$J169</f>
        <v>0</v>
      </c>
      <c r="AN169" s="7" t="n">
        <f aca="false">$J169</f>
        <v>0</v>
      </c>
      <c r="AO169" s="7" t="n">
        <f aca="false">$J169</f>
        <v>0</v>
      </c>
      <c r="AP169" s="7" t="n">
        <f aca="false">$J169</f>
        <v>0</v>
      </c>
      <c r="AQ169" s="7" t="n">
        <f aca="false">$K169</f>
        <v>0</v>
      </c>
      <c r="AR169" s="7" t="n">
        <f aca="false">$K169</f>
        <v>0</v>
      </c>
      <c r="AS169" s="7" t="n">
        <f aca="false">$K169</f>
        <v>0</v>
      </c>
      <c r="AT169" s="7" t="n">
        <f aca="false">$K169</f>
        <v>0</v>
      </c>
      <c r="AU169" s="7" t="n">
        <f aca="false">$K169</f>
        <v>0</v>
      </c>
      <c r="AV169" s="7" t="n">
        <f aca="false">$L169</f>
        <v>0</v>
      </c>
      <c r="AW169" s="7" t="n">
        <f aca="false">$L169</f>
        <v>0</v>
      </c>
      <c r="AX169" s="7" t="n">
        <f aca="false">$L169</f>
        <v>0</v>
      </c>
      <c r="AY169" s="7" t="n">
        <f aca="false">$L169</f>
        <v>0</v>
      </c>
      <c r="AZ169" s="7" t="n">
        <f aca="false">$M169</f>
        <v>0</v>
      </c>
      <c r="BA169" s="7" t="n">
        <f aca="false">$M169</f>
        <v>0</v>
      </c>
      <c r="BB169" s="7" t="n">
        <f aca="false">$M169</f>
        <v>0</v>
      </c>
      <c r="BC169" s="7" t="n">
        <f aca="false">$M169</f>
        <v>0</v>
      </c>
      <c r="BD169" s="7" t="n">
        <f aca="false">$N169</f>
        <v>0</v>
      </c>
      <c r="BE169" s="7" t="n">
        <f aca="false">$N169</f>
        <v>0</v>
      </c>
      <c r="BF169" s="7" t="n">
        <f aca="false">$N169</f>
        <v>0</v>
      </c>
      <c r="BG169" s="7" t="n">
        <f aca="false">$N169</f>
        <v>0</v>
      </c>
      <c r="BH169" s="7" t="n">
        <f aca="false">$N169</f>
        <v>0</v>
      </c>
      <c r="BI169" s="7" t="n">
        <f aca="false">$O169</f>
        <v>0</v>
      </c>
      <c r="BJ169" s="7" t="n">
        <f aca="false">$O169</f>
        <v>0</v>
      </c>
      <c r="BK169" s="7" t="n">
        <f aca="false">$O169</f>
        <v>0</v>
      </c>
      <c r="BL169" s="7" t="n">
        <f aca="false">$O169</f>
        <v>0</v>
      </c>
      <c r="BM169" s="7" t="n">
        <f aca="false">$P169</f>
        <v>0</v>
      </c>
      <c r="BN169" s="7" t="n">
        <f aca="false">$P169</f>
        <v>0</v>
      </c>
      <c r="BO169" s="7" t="n">
        <f aca="false">$P169</f>
        <v>0</v>
      </c>
      <c r="BP169" s="7" t="n">
        <f aca="false">$P169</f>
        <v>0</v>
      </c>
    </row>
    <row r="170" customFormat="false" ht="15" hidden="false" customHeight="false" outlineLevel="0" collapsed="false">
      <c r="A170" s="0" t="s">
        <v>236</v>
      </c>
      <c r="B170" s="0" t="s">
        <v>134</v>
      </c>
      <c r="C170" s="0" t="s">
        <v>117</v>
      </c>
      <c r="D170" s="0" t="n">
        <f aca="false">SUM(Q170:BP170)</f>
        <v>0</v>
      </c>
      <c r="E170" s="22" t="n">
        <v>0</v>
      </c>
      <c r="F170" s="22" t="n">
        <v>0</v>
      </c>
      <c r="G170" s="22" t="n">
        <v>0</v>
      </c>
      <c r="H170" s="22" t="n">
        <v>0</v>
      </c>
      <c r="I170" s="22" t="n">
        <v>0</v>
      </c>
      <c r="J170" s="22" t="n">
        <v>0</v>
      </c>
      <c r="K170" s="22" t="n">
        <v>0</v>
      </c>
      <c r="L170" s="22" t="n">
        <v>0</v>
      </c>
      <c r="M170" s="22" t="n">
        <v>0</v>
      </c>
      <c r="N170" s="22" t="n">
        <v>0</v>
      </c>
      <c r="O170" s="22" t="n">
        <v>0</v>
      </c>
      <c r="P170" s="22" t="n">
        <v>0</v>
      </c>
      <c r="Q170" s="7" t="n">
        <f aca="false">$E170</f>
        <v>0</v>
      </c>
      <c r="R170" s="7" t="n">
        <f aca="false">$E170</f>
        <v>0</v>
      </c>
      <c r="S170" s="7" t="n">
        <f aca="false">$E170</f>
        <v>0</v>
      </c>
      <c r="T170" s="7" t="n">
        <f aca="false">$E170</f>
        <v>0</v>
      </c>
      <c r="U170" s="7" t="n">
        <f aca="false">$E170</f>
        <v>0</v>
      </c>
      <c r="V170" s="7" t="n">
        <f aca="false">$F170</f>
        <v>0</v>
      </c>
      <c r="W170" s="7" t="n">
        <f aca="false">$F170</f>
        <v>0</v>
      </c>
      <c r="X170" s="7" t="n">
        <f aca="false">$F170</f>
        <v>0</v>
      </c>
      <c r="Y170" s="7" t="n">
        <f aca="false">$F170</f>
        <v>0</v>
      </c>
      <c r="Z170" s="7" t="n">
        <f aca="false">$G170</f>
        <v>0</v>
      </c>
      <c r="AA170" s="7" t="n">
        <f aca="false">$G170</f>
        <v>0</v>
      </c>
      <c r="AB170" s="7" t="n">
        <f aca="false">$G170</f>
        <v>0</v>
      </c>
      <c r="AC170" s="7" t="n">
        <f aca="false">$G170</f>
        <v>0</v>
      </c>
      <c r="AD170" s="7" t="n">
        <f aca="false">$H170</f>
        <v>0</v>
      </c>
      <c r="AE170" s="7" t="n">
        <f aca="false">$H170</f>
        <v>0</v>
      </c>
      <c r="AF170" s="7" t="n">
        <f aca="false">$H170</f>
        <v>0</v>
      </c>
      <c r="AG170" s="7" t="n">
        <f aca="false">$H170</f>
        <v>0</v>
      </c>
      <c r="AH170" s="7" t="n">
        <f aca="false">$H170</f>
        <v>0</v>
      </c>
      <c r="AI170" s="7" t="n">
        <f aca="false">$I170</f>
        <v>0</v>
      </c>
      <c r="AJ170" s="7" t="n">
        <f aca="false">$I170</f>
        <v>0</v>
      </c>
      <c r="AK170" s="7" t="n">
        <f aca="false">$I170</f>
        <v>0</v>
      </c>
      <c r="AL170" s="7" t="n">
        <f aca="false">$I170</f>
        <v>0</v>
      </c>
      <c r="AM170" s="7" t="n">
        <f aca="false">$J170</f>
        <v>0</v>
      </c>
      <c r="AN170" s="7" t="n">
        <f aca="false">$J170</f>
        <v>0</v>
      </c>
      <c r="AO170" s="7" t="n">
        <f aca="false">$J170</f>
        <v>0</v>
      </c>
      <c r="AP170" s="7" t="n">
        <f aca="false">$J170</f>
        <v>0</v>
      </c>
      <c r="AQ170" s="7" t="n">
        <f aca="false">$K170</f>
        <v>0</v>
      </c>
      <c r="AR170" s="7" t="n">
        <f aca="false">$K170</f>
        <v>0</v>
      </c>
      <c r="AS170" s="7" t="n">
        <f aca="false">$K170</f>
        <v>0</v>
      </c>
      <c r="AT170" s="7" t="n">
        <f aca="false">$K170</f>
        <v>0</v>
      </c>
      <c r="AU170" s="7" t="n">
        <f aca="false">$K170</f>
        <v>0</v>
      </c>
      <c r="AV170" s="7" t="n">
        <f aca="false">$L170</f>
        <v>0</v>
      </c>
      <c r="AW170" s="7" t="n">
        <f aca="false">$L170</f>
        <v>0</v>
      </c>
      <c r="AX170" s="7" t="n">
        <f aca="false">$L170</f>
        <v>0</v>
      </c>
      <c r="AY170" s="7" t="n">
        <f aca="false">$L170</f>
        <v>0</v>
      </c>
      <c r="AZ170" s="7" t="n">
        <f aca="false">$M170</f>
        <v>0</v>
      </c>
      <c r="BA170" s="7" t="n">
        <f aca="false">$M170</f>
        <v>0</v>
      </c>
      <c r="BB170" s="7" t="n">
        <f aca="false">$M170</f>
        <v>0</v>
      </c>
      <c r="BC170" s="7" t="n">
        <f aca="false">$M170</f>
        <v>0</v>
      </c>
      <c r="BD170" s="7" t="n">
        <f aca="false">$N170</f>
        <v>0</v>
      </c>
      <c r="BE170" s="7" t="n">
        <f aca="false">$N170</f>
        <v>0</v>
      </c>
      <c r="BF170" s="7" t="n">
        <f aca="false">$N170</f>
        <v>0</v>
      </c>
      <c r="BG170" s="7" t="n">
        <f aca="false">$N170</f>
        <v>0</v>
      </c>
      <c r="BH170" s="7" t="n">
        <f aca="false">$N170</f>
        <v>0</v>
      </c>
      <c r="BI170" s="7" t="n">
        <f aca="false">$O170</f>
        <v>0</v>
      </c>
      <c r="BJ170" s="7" t="n">
        <f aca="false">$O170</f>
        <v>0</v>
      </c>
      <c r="BK170" s="7" t="n">
        <f aca="false">$O170</f>
        <v>0</v>
      </c>
      <c r="BL170" s="7" t="n">
        <f aca="false">$O170</f>
        <v>0</v>
      </c>
      <c r="BM170" s="7" t="n">
        <f aca="false">$P170</f>
        <v>0</v>
      </c>
      <c r="BN170" s="7" t="n">
        <f aca="false">$P170</f>
        <v>0</v>
      </c>
      <c r="BO170" s="7" t="n">
        <f aca="false">$P170</f>
        <v>0</v>
      </c>
      <c r="BP170" s="7" t="n">
        <f aca="false">$P170</f>
        <v>0</v>
      </c>
    </row>
    <row r="171" customFormat="false" ht="15" hidden="false" customHeight="false" outlineLevel="0" collapsed="false">
      <c r="A171" s="0" t="s">
        <v>236</v>
      </c>
      <c r="B171" s="0" t="s">
        <v>134</v>
      </c>
      <c r="C171" s="0" t="s">
        <v>118</v>
      </c>
      <c r="D171" s="0" t="n">
        <f aca="false">SUM(Q171:BP171)</f>
        <v>0</v>
      </c>
      <c r="E171" s="22" t="n">
        <v>0</v>
      </c>
      <c r="F171" s="22" t="n">
        <v>0</v>
      </c>
      <c r="G171" s="22" t="n">
        <v>0</v>
      </c>
      <c r="H171" s="22" t="n">
        <v>0</v>
      </c>
      <c r="I171" s="22" t="n">
        <v>0</v>
      </c>
      <c r="J171" s="22" t="n">
        <v>0</v>
      </c>
      <c r="K171" s="22" t="n">
        <v>0</v>
      </c>
      <c r="L171" s="22" t="n">
        <v>0</v>
      </c>
      <c r="M171" s="22" t="n">
        <v>0</v>
      </c>
      <c r="N171" s="22" t="n">
        <v>0</v>
      </c>
      <c r="O171" s="22" t="n">
        <v>0</v>
      </c>
      <c r="P171" s="22" t="n">
        <v>0</v>
      </c>
      <c r="Q171" s="7" t="n">
        <f aca="false">$E171</f>
        <v>0</v>
      </c>
      <c r="R171" s="7" t="n">
        <f aca="false">$E171</f>
        <v>0</v>
      </c>
      <c r="S171" s="7" t="n">
        <f aca="false">$E171</f>
        <v>0</v>
      </c>
      <c r="T171" s="7" t="n">
        <f aca="false">$E171</f>
        <v>0</v>
      </c>
      <c r="U171" s="7" t="n">
        <f aca="false">$E171</f>
        <v>0</v>
      </c>
      <c r="V171" s="7" t="n">
        <f aca="false">$F171</f>
        <v>0</v>
      </c>
      <c r="W171" s="7" t="n">
        <f aca="false">$F171</f>
        <v>0</v>
      </c>
      <c r="X171" s="7" t="n">
        <f aca="false">$F171</f>
        <v>0</v>
      </c>
      <c r="Y171" s="7" t="n">
        <f aca="false">$F171</f>
        <v>0</v>
      </c>
      <c r="Z171" s="7" t="n">
        <f aca="false">$G171</f>
        <v>0</v>
      </c>
      <c r="AA171" s="7" t="n">
        <f aca="false">$G171</f>
        <v>0</v>
      </c>
      <c r="AB171" s="7" t="n">
        <f aca="false">$G171</f>
        <v>0</v>
      </c>
      <c r="AC171" s="7" t="n">
        <f aca="false">$G171</f>
        <v>0</v>
      </c>
      <c r="AD171" s="7" t="n">
        <f aca="false">$H171</f>
        <v>0</v>
      </c>
      <c r="AE171" s="7" t="n">
        <f aca="false">$H171</f>
        <v>0</v>
      </c>
      <c r="AF171" s="7" t="n">
        <f aca="false">$H171</f>
        <v>0</v>
      </c>
      <c r="AG171" s="7" t="n">
        <f aca="false">$H171</f>
        <v>0</v>
      </c>
      <c r="AH171" s="7" t="n">
        <f aca="false">$H171</f>
        <v>0</v>
      </c>
      <c r="AI171" s="7" t="n">
        <f aca="false">$I171</f>
        <v>0</v>
      </c>
      <c r="AJ171" s="7" t="n">
        <f aca="false">$I171</f>
        <v>0</v>
      </c>
      <c r="AK171" s="7" t="n">
        <f aca="false">$I171</f>
        <v>0</v>
      </c>
      <c r="AL171" s="7" t="n">
        <f aca="false">$I171</f>
        <v>0</v>
      </c>
      <c r="AM171" s="7" t="n">
        <f aca="false">$J171</f>
        <v>0</v>
      </c>
      <c r="AN171" s="7" t="n">
        <f aca="false">$J171</f>
        <v>0</v>
      </c>
      <c r="AO171" s="7" t="n">
        <f aca="false">$J171</f>
        <v>0</v>
      </c>
      <c r="AP171" s="7" t="n">
        <f aca="false">$J171</f>
        <v>0</v>
      </c>
      <c r="AQ171" s="7" t="n">
        <f aca="false">$K171</f>
        <v>0</v>
      </c>
      <c r="AR171" s="7" t="n">
        <f aca="false">$K171</f>
        <v>0</v>
      </c>
      <c r="AS171" s="7" t="n">
        <f aca="false">$K171</f>
        <v>0</v>
      </c>
      <c r="AT171" s="7" t="n">
        <f aca="false">$K171</f>
        <v>0</v>
      </c>
      <c r="AU171" s="7" t="n">
        <f aca="false">$K171</f>
        <v>0</v>
      </c>
      <c r="AV171" s="7" t="n">
        <f aca="false">$L171</f>
        <v>0</v>
      </c>
      <c r="AW171" s="7" t="n">
        <f aca="false">$L171</f>
        <v>0</v>
      </c>
      <c r="AX171" s="7" t="n">
        <f aca="false">$L171</f>
        <v>0</v>
      </c>
      <c r="AY171" s="7" t="n">
        <f aca="false">$L171</f>
        <v>0</v>
      </c>
      <c r="AZ171" s="7" t="n">
        <f aca="false">$M171</f>
        <v>0</v>
      </c>
      <c r="BA171" s="7" t="n">
        <f aca="false">$M171</f>
        <v>0</v>
      </c>
      <c r="BB171" s="7" t="n">
        <f aca="false">$M171</f>
        <v>0</v>
      </c>
      <c r="BC171" s="7" t="n">
        <f aca="false">$M171</f>
        <v>0</v>
      </c>
      <c r="BD171" s="7" t="n">
        <f aca="false">$N171</f>
        <v>0</v>
      </c>
      <c r="BE171" s="7" t="n">
        <f aca="false">$N171</f>
        <v>0</v>
      </c>
      <c r="BF171" s="7" t="n">
        <f aca="false">$N171</f>
        <v>0</v>
      </c>
      <c r="BG171" s="7" t="n">
        <f aca="false">$N171</f>
        <v>0</v>
      </c>
      <c r="BH171" s="7" t="n">
        <f aca="false">$N171</f>
        <v>0</v>
      </c>
      <c r="BI171" s="7" t="n">
        <f aca="false">$O171</f>
        <v>0</v>
      </c>
      <c r="BJ171" s="7" t="n">
        <f aca="false">$O171</f>
        <v>0</v>
      </c>
      <c r="BK171" s="7" t="n">
        <f aca="false">$O171</f>
        <v>0</v>
      </c>
      <c r="BL171" s="7" t="n">
        <f aca="false">$O171</f>
        <v>0</v>
      </c>
      <c r="BM171" s="7" t="n">
        <f aca="false">$P171</f>
        <v>0</v>
      </c>
      <c r="BN171" s="7" t="n">
        <f aca="false">$P171</f>
        <v>0</v>
      </c>
      <c r="BO171" s="7" t="n">
        <f aca="false">$P171</f>
        <v>0</v>
      </c>
      <c r="BP171" s="7" t="n">
        <f aca="false">$P171</f>
        <v>0</v>
      </c>
    </row>
    <row r="172" customFormat="false" ht="15" hidden="false" customHeight="false" outlineLevel="0" collapsed="false">
      <c r="A172" s="0" t="s">
        <v>236</v>
      </c>
      <c r="B172" s="0" t="s">
        <v>134</v>
      </c>
      <c r="C172" s="0" t="s">
        <v>119</v>
      </c>
      <c r="D172" s="0" t="n">
        <f aca="false">SUM(Q172:BP172)</f>
        <v>0</v>
      </c>
      <c r="E172" s="13" t="n">
        <v>0</v>
      </c>
      <c r="F172" s="13" t="n">
        <v>0</v>
      </c>
      <c r="G172" s="13" t="n">
        <v>0</v>
      </c>
      <c r="H172" s="13" t="n">
        <v>0</v>
      </c>
      <c r="I172" s="13" t="n">
        <v>0</v>
      </c>
      <c r="J172" s="13" t="n">
        <v>0</v>
      </c>
      <c r="K172" s="13" t="n">
        <v>0</v>
      </c>
      <c r="L172" s="13" t="n">
        <v>0</v>
      </c>
      <c r="M172" s="13" t="n">
        <v>0</v>
      </c>
      <c r="N172" s="13" t="n">
        <v>0</v>
      </c>
      <c r="O172" s="13" t="n">
        <v>0</v>
      </c>
      <c r="P172" s="13" t="n">
        <v>0</v>
      </c>
      <c r="Q172" s="7" t="n">
        <f aca="false">$E172</f>
        <v>0</v>
      </c>
      <c r="R172" s="7" t="n">
        <f aca="false">$E172</f>
        <v>0</v>
      </c>
      <c r="S172" s="7" t="n">
        <f aca="false">$E172</f>
        <v>0</v>
      </c>
      <c r="T172" s="7" t="n">
        <f aca="false">$E172</f>
        <v>0</v>
      </c>
      <c r="U172" s="7" t="n">
        <f aca="false">$E172</f>
        <v>0</v>
      </c>
      <c r="V172" s="7" t="n">
        <f aca="false">$F172</f>
        <v>0</v>
      </c>
      <c r="W172" s="7" t="n">
        <f aca="false">$F172</f>
        <v>0</v>
      </c>
      <c r="X172" s="7" t="n">
        <f aca="false">$F172</f>
        <v>0</v>
      </c>
      <c r="Y172" s="7" t="n">
        <f aca="false">$F172</f>
        <v>0</v>
      </c>
      <c r="Z172" s="7" t="n">
        <f aca="false">$G172</f>
        <v>0</v>
      </c>
      <c r="AA172" s="7" t="n">
        <f aca="false">$G172</f>
        <v>0</v>
      </c>
      <c r="AB172" s="7" t="n">
        <f aca="false">$G172</f>
        <v>0</v>
      </c>
      <c r="AC172" s="7" t="n">
        <f aca="false">$G172</f>
        <v>0</v>
      </c>
      <c r="AD172" s="7" t="n">
        <f aca="false">$H172</f>
        <v>0</v>
      </c>
      <c r="AE172" s="7" t="n">
        <f aca="false">$H172</f>
        <v>0</v>
      </c>
      <c r="AF172" s="7" t="n">
        <f aca="false">$H172</f>
        <v>0</v>
      </c>
      <c r="AG172" s="7" t="n">
        <f aca="false">$H172</f>
        <v>0</v>
      </c>
      <c r="AH172" s="7" t="n">
        <f aca="false">$H172</f>
        <v>0</v>
      </c>
      <c r="AI172" s="7" t="n">
        <f aca="false">$I172</f>
        <v>0</v>
      </c>
      <c r="AJ172" s="7" t="n">
        <f aca="false">$I172</f>
        <v>0</v>
      </c>
      <c r="AK172" s="7" t="n">
        <f aca="false">$I172</f>
        <v>0</v>
      </c>
      <c r="AL172" s="7" t="n">
        <f aca="false">$I172</f>
        <v>0</v>
      </c>
      <c r="AM172" s="7" t="n">
        <f aca="false">$J172</f>
        <v>0</v>
      </c>
      <c r="AN172" s="7" t="n">
        <f aca="false">$J172</f>
        <v>0</v>
      </c>
      <c r="AO172" s="7" t="n">
        <f aca="false">$J172</f>
        <v>0</v>
      </c>
      <c r="AP172" s="7" t="n">
        <f aca="false">$J172</f>
        <v>0</v>
      </c>
      <c r="AQ172" s="7" t="n">
        <f aca="false">$K172</f>
        <v>0</v>
      </c>
      <c r="AR172" s="7" t="n">
        <f aca="false">$K172</f>
        <v>0</v>
      </c>
      <c r="AS172" s="7" t="n">
        <f aca="false">$K172</f>
        <v>0</v>
      </c>
      <c r="AT172" s="7" t="n">
        <f aca="false">$K172</f>
        <v>0</v>
      </c>
      <c r="AU172" s="7" t="n">
        <f aca="false">$K172</f>
        <v>0</v>
      </c>
      <c r="AV172" s="7" t="n">
        <f aca="false">$L172</f>
        <v>0</v>
      </c>
      <c r="AW172" s="7" t="n">
        <f aca="false">$L172</f>
        <v>0</v>
      </c>
      <c r="AX172" s="7" t="n">
        <f aca="false">$L172</f>
        <v>0</v>
      </c>
      <c r="AY172" s="7" t="n">
        <f aca="false">$L172</f>
        <v>0</v>
      </c>
      <c r="AZ172" s="7" t="n">
        <f aca="false">$M172</f>
        <v>0</v>
      </c>
      <c r="BA172" s="7" t="n">
        <f aca="false">$M172</f>
        <v>0</v>
      </c>
      <c r="BB172" s="7" t="n">
        <f aca="false">$M172</f>
        <v>0</v>
      </c>
      <c r="BC172" s="7" t="n">
        <f aca="false">$M172</f>
        <v>0</v>
      </c>
      <c r="BD172" s="7" t="n">
        <f aca="false">$N172</f>
        <v>0</v>
      </c>
      <c r="BE172" s="7" t="n">
        <f aca="false">$N172</f>
        <v>0</v>
      </c>
      <c r="BF172" s="7" t="n">
        <f aca="false">$N172</f>
        <v>0</v>
      </c>
      <c r="BG172" s="7" t="n">
        <f aca="false">$N172</f>
        <v>0</v>
      </c>
      <c r="BH172" s="7" t="n">
        <f aca="false">$N172</f>
        <v>0</v>
      </c>
      <c r="BI172" s="7" t="n">
        <f aca="false">$O172</f>
        <v>0</v>
      </c>
      <c r="BJ172" s="7" t="n">
        <f aca="false">$O172</f>
        <v>0</v>
      </c>
      <c r="BK172" s="7" t="n">
        <f aca="false">$O172</f>
        <v>0</v>
      </c>
      <c r="BL172" s="7" t="n">
        <f aca="false">$O172</f>
        <v>0</v>
      </c>
      <c r="BM172" s="7" t="n">
        <f aca="false">$P172</f>
        <v>0</v>
      </c>
      <c r="BN172" s="7" t="n">
        <f aca="false">$P172</f>
        <v>0</v>
      </c>
      <c r="BO172" s="7" t="n">
        <f aca="false">$P172</f>
        <v>0</v>
      </c>
      <c r="BP172" s="7" t="n">
        <f aca="false">$P172</f>
        <v>0</v>
      </c>
    </row>
    <row r="173" customFormat="false" ht="15" hidden="false" customHeight="false" outlineLevel="0" collapsed="false">
      <c r="A173" s="0" t="s">
        <v>236</v>
      </c>
      <c r="B173" s="0" t="s">
        <v>134</v>
      </c>
      <c r="C173" s="0" t="s">
        <v>120</v>
      </c>
      <c r="D173" s="0" t="n">
        <f aca="false">SUM(Q173:BP173)</f>
        <v>0</v>
      </c>
      <c r="E173" s="13" t="n">
        <v>0</v>
      </c>
      <c r="F173" s="13" t="n">
        <v>0</v>
      </c>
      <c r="G173" s="13" t="n">
        <v>0</v>
      </c>
      <c r="H173" s="13" t="n">
        <v>0</v>
      </c>
      <c r="I173" s="13" t="n">
        <v>0</v>
      </c>
      <c r="J173" s="13" t="n">
        <v>0</v>
      </c>
      <c r="K173" s="13" t="n">
        <v>0</v>
      </c>
      <c r="L173" s="13" t="n">
        <v>0</v>
      </c>
      <c r="M173" s="13" t="n">
        <v>0</v>
      </c>
      <c r="N173" s="13" t="n">
        <v>0</v>
      </c>
      <c r="O173" s="13" t="n">
        <v>0</v>
      </c>
      <c r="P173" s="13" t="n">
        <v>0</v>
      </c>
      <c r="Q173" s="7" t="n">
        <f aca="false">$E173</f>
        <v>0</v>
      </c>
      <c r="R173" s="7" t="n">
        <f aca="false">$E173</f>
        <v>0</v>
      </c>
      <c r="S173" s="7" t="n">
        <f aca="false">$E173</f>
        <v>0</v>
      </c>
      <c r="T173" s="7" t="n">
        <f aca="false">$E173</f>
        <v>0</v>
      </c>
      <c r="U173" s="7" t="n">
        <f aca="false">$E173</f>
        <v>0</v>
      </c>
      <c r="V173" s="7" t="n">
        <f aca="false">$F173</f>
        <v>0</v>
      </c>
      <c r="W173" s="7" t="n">
        <f aca="false">$F173</f>
        <v>0</v>
      </c>
      <c r="X173" s="7" t="n">
        <f aca="false">$F173</f>
        <v>0</v>
      </c>
      <c r="Y173" s="7" t="n">
        <f aca="false">$F173</f>
        <v>0</v>
      </c>
      <c r="Z173" s="7" t="n">
        <f aca="false">$G173</f>
        <v>0</v>
      </c>
      <c r="AA173" s="7" t="n">
        <f aca="false">$G173</f>
        <v>0</v>
      </c>
      <c r="AB173" s="7" t="n">
        <f aca="false">$G173</f>
        <v>0</v>
      </c>
      <c r="AC173" s="7" t="n">
        <f aca="false">$G173</f>
        <v>0</v>
      </c>
      <c r="AD173" s="7" t="n">
        <f aca="false">$H173</f>
        <v>0</v>
      </c>
      <c r="AE173" s="7" t="n">
        <f aca="false">$H173</f>
        <v>0</v>
      </c>
      <c r="AF173" s="7" t="n">
        <f aca="false">$H173</f>
        <v>0</v>
      </c>
      <c r="AG173" s="7" t="n">
        <f aca="false">$H173</f>
        <v>0</v>
      </c>
      <c r="AH173" s="7" t="n">
        <f aca="false">$H173</f>
        <v>0</v>
      </c>
      <c r="AI173" s="7" t="n">
        <f aca="false">$I173</f>
        <v>0</v>
      </c>
      <c r="AJ173" s="7" t="n">
        <f aca="false">$I173</f>
        <v>0</v>
      </c>
      <c r="AK173" s="7" t="n">
        <f aca="false">$I173</f>
        <v>0</v>
      </c>
      <c r="AL173" s="7" t="n">
        <f aca="false">$I173</f>
        <v>0</v>
      </c>
      <c r="AM173" s="7" t="n">
        <f aca="false">$J173</f>
        <v>0</v>
      </c>
      <c r="AN173" s="7" t="n">
        <f aca="false">$J173</f>
        <v>0</v>
      </c>
      <c r="AO173" s="7" t="n">
        <f aca="false">$J173</f>
        <v>0</v>
      </c>
      <c r="AP173" s="7" t="n">
        <f aca="false">$J173</f>
        <v>0</v>
      </c>
      <c r="AQ173" s="7" t="n">
        <f aca="false">$K173</f>
        <v>0</v>
      </c>
      <c r="AR173" s="7" t="n">
        <f aca="false">$K173</f>
        <v>0</v>
      </c>
      <c r="AS173" s="7" t="n">
        <f aca="false">$K173</f>
        <v>0</v>
      </c>
      <c r="AT173" s="7" t="n">
        <f aca="false">$K173</f>
        <v>0</v>
      </c>
      <c r="AU173" s="7" t="n">
        <f aca="false">$K173</f>
        <v>0</v>
      </c>
      <c r="AV173" s="7" t="n">
        <f aca="false">$L173</f>
        <v>0</v>
      </c>
      <c r="AW173" s="7" t="n">
        <f aca="false">$L173</f>
        <v>0</v>
      </c>
      <c r="AX173" s="7" t="n">
        <f aca="false">$L173</f>
        <v>0</v>
      </c>
      <c r="AY173" s="7" t="n">
        <f aca="false">$L173</f>
        <v>0</v>
      </c>
      <c r="AZ173" s="7" t="n">
        <f aca="false">$M173</f>
        <v>0</v>
      </c>
      <c r="BA173" s="7" t="n">
        <f aca="false">$M173</f>
        <v>0</v>
      </c>
      <c r="BB173" s="7" t="n">
        <f aca="false">$M173</f>
        <v>0</v>
      </c>
      <c r="BC173" s="7" t="n">
        <f aca="false">$M173</f>
        <v>0</v>
      </c>
      <c r="BD173" s="7" t="n">
        <f aca="false">$N173</f>
        <v>0</v>
      </c>
      <c r="BE173" s="7" t="n">
        <f aca="false">$N173</f>
        <v>0</v>
      </c>
      <c r="BF173" s="7" t="n">
        <f aca="false">$N173</f>
        <v>0</v>
      </c>
      <c r="BG173" s="7" t="n">
        <f aca="false">$N173</f>
        <v>0</v>
      </c>
      <c r="BH173" s="7" t="n">
        <f aca="false">$N173</f>
        <v>0</v>
      </c>
      <c r="BI173" s="7" t="n">
        <f aca="false">$O173</f>
        <v>0</v>
      </c>
      <c r="BJ173" s="7" t="n">
        <f aca="false">$O173</f>
        <v>0</v>
      </c>
      <c r="BK173" s="7" t="n">
        <f aca="false">$O173</f>
        <v>0</v>
      </c>
      <c r="BL173" s="7" t="n">
        <f aca="false">$O173</f>
        <v>0</v>
      </c>
      <c r="BM173" s="7" t="n">
        <f aca="false">$P173</f>
        <v>0</v>
      </c>
      <c r="BN173" s="7" t="n">
        <f aca="false">$P173</f>
        <v>0</v>
      </c>
      <c r="BO173" s="7" t="n">
        <f aca="false">$P173</f>
        <v>0</v>
      </c>
      <c r="BP173" s="7" t="n">
        <f aca="false">$P173</f>
        <v>0</v>
      </c>
    </row>
    <row r="174" customFormat="false" ht="15" hidden="false" customHeight="false" outlineLevel="0" collapsed="false">
      <c r="A174" s="0" t="s">
        <v>236</v>
      </c>
      <c r="B174" s="0" t="s">
        <v>134</v>
      </c>
      <c r="C174" s="0" t="s">
        <v>121</v>
      </c>
      <c r="D174" s="0" t="n">
        <f aca="false">SUM(Q174:BP174)</f>
        <v>0</v>
      </c>
      <c r="E174" s="13" t="n">
        <v>0</v>
      </c>
      <c r="F174" s="13" t="n">
        <v>0</v>
      </c>
      <c r="G174" s="13" t="n">
        <v>0</v>
      </c>
      <c r="H174" s="13" t="n">
        <v>0</v>
      </c>
      <c r="I174" s="13" t="n">
        <v>0</v>
      </c>
      <c r="J174" s="13" t="n">
        <v>0</v>
      </c>
      <c r="K174" s="13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7" t="n">
        <f aca="false">$E174</f>
        <v>0</v>
      </c>
      <c r="R174" s="7" t="n">
        <f aca="false">$E174</f>
        <v>0</v>
      </c>
      <c r="S174" s="7" t="n">
        <f aca="false">$E174</f>
        <v>0</v>
      </c>
      <c r="T174" s="7" t="n">
        <f aca="false">$E174</f>
        <v>0</v>
      </c>
      <c r="U174" s="7" t="n">
        <f aca="false">$E174</f>
        <v>0</v>
      </c>
      <c r="V174" s="7" t="n">
        <f aca="false">$F174</f>
        <v>0</v>
      </c>
      <c r="W174" s="7" t="n">
        <f aca="false">$F174</f>
        <v>0</v>
      </c>
      <c r="X174" s="7" t="n">
        <f aca="false">$F174</f>
        <v>0</v>
      </c>
      <c r="Y174" s="7" t="n">
        <f aca="false">$F174</f>
        <v>0</v>
      </c>
      <c r="Z174" s="7" t="n">
        <f aca="false">$G174</f>
        <v>0</v>
      </c>
      <c r="AA174" s="7" t="n">
        <f aca="false">$G174</f>
        <v>0</v>
      </c>
      <c r="AB174" s="7" t="n">
        <f aca="false">$G174</f>
        <v>0</v>
      </c>
      <c r="AC174" s="7" t="n">
        <f aca="false">$G174</f>
        <v>0</v>
      </c>
      <c r="AD174" s="7" t="n">
        <f aca="false">$H174</f>
        <v>0</v>
      </c>
      <c r="AE174" s="7" t="n">
        <f aca="false">$H174</f>
        <v>0</v>
      </c>
      <c r="AF174" s="7" t="n">
        <f aca="false">$H174</f>
        <v>0</v>
      </c>
      <c r="AG174" s="7" t="n">
        <f aca="false">$H174</f>
        <v>0</v>
      </c>
      <c r="AH174" s="7" t="n">
        <f aca="false">$H174</f>
        <v>0</v>
      </c>
      <c r="AI174" s="7" t="n">
        <f aca="false">$I174</f>
        <v>0</v>
      </c>
      <c r="AJ174" s="7" t="n">
        <f aca="false">$I174</f>
        <v>0</v>
      </c>
      <c r="AK174" s="7" t="n">
        <f aca="false">$I174</f>
        <v>0</v>
      </c>
      <c r="AL174" s="7" t="n">
        <f aca="false">$I174</f>
        <v>0</v>
      </c>
      <c r="AM174" s="7" t="n">
        <f aca="false">$J174</f>
        <v>0</v>
      </c>
      <c r="AN174" s="7" t="n">
        <f aca="false">$J174</f>
        <v>0</v>
      </c>
      <c r="AO174" s="7" t="n">
        <f aca="false">$J174</f>
        <v>0</v>
      </c>
      <c r="AP174" s="7" t="n">
        <f aca="false">$J174</f>
        <v>0</v>
      </c>
      <c r="AQ174" s="7" t="n">
        <f aca="false">$K174</f>
        <v>0</v>
      </c>
      <c r="AR174" s="7" t="n">
        <f aca="false">$K174</f>
        <v>0</v>
      </c>
      <c r="AS174" s="7" t="n">
        <f aca="false">$K174</f>
        <v>0</v>
      </c>
      <c r="AT174" s="7" t="n">
        <f aca="false">$K174</f>
        <v>0</v>
      </c>
      <c r="AU174" s="7" t="n">
        <f aca="false">$K174</f>
        <v>0</v>
      </c>
      <c r="AV174" s="7" t="n">
        <f aca="false">$L174</f>
        <v>0</v>
      </c>
      <c r="AW174" s="7" t="n">
        <f aca="false">$L174</f>
        <v>0</v>
      </c>
      <c r="AX174" s="7" t="n">
        <f aca="false">$L174</f>
        <v>0</v>
      </c>
      <c r="AY174" s="7" t="n">
        <f aca="false">$L174</f>
        <v>0</v>
      </c>
      <c r="AZ174" s="7" t="n">
        <f aca="false">$M174</f>
        <v>0</v>
      </c>
      <c r="BA174" s="7" t="n">
        <f aca="false">$M174</f>
        <v>0</v>
      </c>
      <c r="BB174" s="7" t="n">
        <f aca="false">$M174</f>
        <v>0</v>
      </c>
      <c r="BC174" s="7" t="n">
        <f aca="false">$M174</f>
        <v>0</v>
      </c>
      <c r="BD174" s="7" t="n">
        <f aca="false">$N174</f>
        <v>0</v>
      </c>
      <c r="BE174" s="7" t="n">
        <f aca="false">$N174</f>
        <v>0</v>
      </c>
      <c r="BF174" s="7" t="n">
        <f aca="false">$N174</f>
        <v>0</v>
      </c>
      <c r="BG174" s="7" t="n">
        <f aca="false">$N174</f>
        <v>0</v>
      </c>
      <c r="BH174" s="7" t="n">
        <f aca="false">$N174</f>
        <v>0</v>
      </c>
      <c r="BI174" s="7" t="n">
        <f aca="false">$O174</f>
        <v>0</v>
      </c>
      <c r="BJ174" s="7" t="n">
        <f aca="false">$O174</f>
        <v>0</v>
      </c>
      <c r="BK174" s="7" t="n">
        <f aca="false">$O174</f>
        <v>0</v>
      </c>
      <c r="BL174" s="7" t="n">
        <f aca="false">$O174</f>
        <v>0</v>
      </c>
      <c r="BM174" s="7" t="n">
        <f aca="false">$P174</f>
        <v>0</v>
      </c>
      <c r="BN174" s="7" t="n">
        <f aca="false">$P174</f>
        <v>0</v>
      </c>
      <c r="BO174" s="7" t="n">
        <f aca="false">$P174</f>
        <v>0</v>
      </c>
      <c r="BP174" s="7" t="n">
        <f aca="false">$P174</f>
        <v>0</v>
      </c>
    </row>
    <row r="175" customFormat="false" ht="15" hidden="false" customHeight="false" outlineLevel="0" collapsed="false">
      <c r="A175" s="0" t="s">
        <v>236</v>
      </c>
      <c r="B175" s="0" t="s">
        <v>134</v>
      </c>
      <c r="C175" s="0" t="s">
        <v>122</v>
      </c>
      <c r="D175" s="0" t="n">
        <f aca="false">SUM(Q175:BP175)</f>
        <v>0</v>
      </c>
      <c r="E175" s="13" t="n">
        <v>0</v>
      </c>
      <c r="F175" s="13" t="n">
        <v>0</v>
      </c>
      <c r="G175" s="13" t="n">
        <v>0</v>
      </c>
      <c r="H175" s="13" t="n">
        <v>0</v>
      </c>
      <c r="I175" s="13" t="n">
        <v>0</v>
      </c>
      <c r="J175" s="13" t="n">
        <v>0</v>
      </c>
      <c r="K175" s="13" t="n">
        <v>0</v>
      </c>
      <c r="L175" s="13" t="n">
        <v>0</v>
      </c>
      <c r="M175" s="13" t="n">
        <v>0</v>
      </c>
      <c r="N175" s="13" t="n">
        <v>0</v>
      </c>
      <c r="O175" s="13" t="n">
        <v>0</v>
      </c>
      <c r="P175" s="13" t="n">
        <v>0</v>
      </c>
      <c r="Q175" s="7" t="n">
        <f aca="false">$E175</f>
        <v>0</v>
      </c>
      <c r="R175" s="7" t="n">
        <f aca="false">$E175</f>
        <v>0</v>
      </c>
      <c r="S175" s="7" t="n">
        <f aca="false">$E175</f>
        <v>0</v>
      </c>
      <c r="T175" s="7" t="n">
        <f aca="false">$E175</f>
        <v>0</v>
      </c>
      <c r="U175" s="7" t="n">
        <f aca="false">$E175</f>
        <v>0</v>
      </c>
      <c r="V175" s="7" t="n">
        <f aca="false">$F175</f>
        <v>0</v>
      </c>
      <c r="W175" s="7" t="n">
        <f aca="false">$F175</f>
        <v>0</v>
      </c>
      <c r="X175" s="7" t="n">
        <f aca="false">$F175</f>
        <v>0</v>
      </c>
      <c r="Y175" s="7" t="n">
        <f aca="false">$F175</f>
        <v>0</v>
      </c>
      <c r="Z175" s="7" t="n">
        <f aca="false">$G175</f>
        <v>0</v>
      </c>
      <c r="AA175" s="7" t="n">
        <f aca="false">$G175</f>
        <v>0</v>
      </c>
      <c r="AB175" s="7" t="n">
        <f aca="false">$G175</f>
        <v>0</v>
      </c>
      <c r="AC175" s="7" t="n">
        <f aca="false">$G175</f>
        <v>0</v>
      </c>
      <c r="AD175" s="7" t="n">
        <f aca="false">$H175</f>
        <v>0</v>
      </c>
      <c r="AE175" s="7" t="n">
        <f aca="false">$H175</f>
        <v>0</v>
      </c>
      <c r="AF175" s="7" t="n">
        <f aca="false">$H175</f>
        <v>0</v>
      </c>
      <c r="AG175" s="7" t="n">
        <f aca="false">$H175</f>
        <v>0</v>
      </c>
      <c r="AH175" s="7" t="n">
        <f aca="false">$H175</f>
        <v>0</v>
      </c>
      <c r="AI175" s="7" t="n">
        <f aca="false">$I175</f>
        <v>0</v>
      </c>
      <c r="AJ175" s="7" t="n">
        <f aca="false">$I175</f>
        <v>0</v>
      </c>
      <c r="AK175" s="7" t="n">
        <f aca="false">$I175</f>
        <v>0</v>
      </c>
      <c r="AL175" s="7" t="n">
        <f aca="false">$I175</f>
        <v>0</v>
      </c>
      <c r="AM175" s="7" t="n">
        <f aca="false">$J175</f>
        <v>0</v>
      </c>
      <c r="AN175" s="7" t="n">
        <f aca="false">$J175</f>
        <v>0</v>
      </c>
      <c r="AO175" s="7" t="n">
        <f aca="false">$J175</f>
        <v>0</v>
      </c>
      <c r="AP175" s="7" t="n">
        <f aca="false">$J175</f>
        <v>0</v>
      </c>
      <c r="AQ175" s="7" t="n">
        <f aca="false">$K175</f>
        <v>0</v>
      </c>
      <c r="AR175" s="7" t="n">
        <f aca="false">$K175</f>
        <v>0</v>
      </c>
      <c r="AS175" s="7" t="n">
        <f aca="false">$K175</f>
        <v>0</v>
      </c>
      <c r="AT175" s="7" t="n">
        <f aca="false">$K175</f>
        <v>0</v>
      </c>
      <c r="AU175" s="7" t="n">
        <f aca="false">$K175</f>
        <v>0</v>
      </c>
      <c r="AV175" s="7" t="n">
        <f aca="false">$L175</f>
        <v>0</v>
      </c>
      <c r="AW175" s="7" t="n">
        <f aca="false">$L175</f>
        <v>0</v>
      </c>
      <c r="AX175" s="7" t="n">
        <f aca="false">$L175</f>
        <v>0</v>
      </c>
      <c r="AY175" s="7" t="n">
        <f aca="false">$L175</f>
        <v>0</v>
      </c>
      <c r="AZ175" s="7" t="n">
        <f aca="false">$M175</f>
        <v>0</v>
      </c>
      <c r="BA175" s="7" t="n">
        <f aca="false">$M175</f>
        <v>0</v>
      </c>
      <c r="BB175" s="7" t="n">
        <f aca="false">$M175</f>
        <v>0</v>
      </c>
      <c r="BC175" s="7" t="n">
        <f aca="false">$M175</f>
        <v>0</v>
      </c>
      <c r="BD175" s="7" t="n">
        <f aca="false">$N175</f>
        <v>0</v>
      </c>
      <c r="BE175" s="7" t="n">
        <f aca="false">$N175</f>
        <v>0</v>
      </c>
      <c r="BF175" s="7" t="n">
        <f aca="false">$N175</f>
        <v>0</v>
      </c>
      <c r="BG175" s="7" t="n">
        <f aca="false">$N175</f>
        <v>0</v>
      </c>
      <c r="BH175" s="7" t="n">
        <f aca="false">$N175</f>
        <v>0</v>
      </c>
      <c r="BI175" s="7" t="n">
        <f aca="false">$O175</f>
        <v>0</v>
      </c>
      <c r="BJ175" s="7" t="n">
        <f aca="false">$O175</f>
        <v>0</v>
      </c>
      <c r="BK175" s="7" t="n">
        <f aca="false">$O175</f>
        <v>0</v>
      </c>
      <c r="BL175" s="7" t="n">
        <f aca="false">$O175</f>
        <v>0</v>
      </c>
      <c r="BM175" s="7" t="n">
        <f aca="false">$P175</f>
        <v>0</v>
      </c>
      <c r="BN175" s="7" t="n">
        <f aca="false">$P175</f>
        <v>0</v>
      </c>
      <c r="BO175" s="7" t="n">
        <f aca="false">$P175</f>
        <v>0</v>
      </c>
      <c r="BP175" s="7" t="n">
        <f aca="false">$P175</f>
        <v>0</v>
      </c>
    </row>
    <row r="176" customFormat="false" ht="15" hidden="false" customHeight="false" outlineLevel="0" collapsed="false">
      <c r="A176" s="0" t="s">
        <v>236</v>
      </c>
      <c r="B176" s="0" t="s">
        <v>134</v>
      </c>
      <c r="C176" s="0" t="s">
        <v>123</v>
      </c>
      <c r="D176" s="0" t="n">
        <f aca="false">SUM(Q176:BP176)</f>
        <v>0</v>
      </c>
      <c r="E176" s="13" t="n">
        <v>0</v>
      </c>
      <c r="F176" s="13" t="n">
        <v>0</v>
      </c>
      <c r="G176" s="13" t="n">
        <v>0</v>
      </c>
      <c r="H176" s="13" t="n">
        <v>0</v>
      </c>
      <c r="I176" s="13" t="n">
        <v>0</v>
      </c>
      <c r="J176" s="13" t="n">
        <v>0</v>
      </c>
      <c r="K176" s="13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0</v>
      </c>
      <c r="Q176" s="7" t="n">
        <f aca="false">$E176</f>
        <v>0</v>
      </c>
      <c r="R176" s="7" t="n">
        <f aca="false">$E176</f>
        <v>0</v>
      </c>
      <c r="S176" s="7" t="n">
        <f aca="false">$E176</f>
        <v>0</v>
      </c>
      <c r="T176" s="7" t="n">
        <f aca="false">$E176</f>
        <v>0</v>
      </c>
      <c r="U176" s="7" t="n">
        <f aca="false">$E176</f>
        <v>0</v>
      </c>
      <c r="V176" s="7" t="n">
        <f aca="false">$F176</f>
        <v>0</v>
      </c>
      <c r="W176" s="7" t="n">
        <f aca="false">$F176</f>
        <v>0</v>
      </c>
      <c r="X176" s="7" t="n">
        <f aca="false">$F176</f>
        <v>0</v>
      </c>
      <c r="Y176" s="7" t="n">
        <f aca="false">$F176</f>
        <v>0</v>
      </c>
      <c r="Z176" s="7" t="n">
        <f aca="false">$G176</f>
        <v>0</v>
      </c>
      <c r="AA176" s="7" t="n">
        <f aca="false">$G176</f>
        <v>0</v>
      </c>
      <c r="AB176" s="7" t="n">
        <f aca="false">$G176</f>
        <v>0</v>
      </c>
      <c r="AC176" s="7" t="n">
        <f aca="false">$G176</f>
        <v>0</v>
      </c>
      <c r="AD176" s="7" t="n">
        <f aca="false">$H176</f>
        <v>0</v>
      </c>
      <c r="AE176" s="7" t="n">
        <f aca="false">$H176</f>
        <v>0</v>
      </c>
      <c r="AF176" s="7" t="n">
        <f aca="false">$H176</f>
        <v>0</v>
      </c>
      <c r="AG176" s="7" t="n">
        <f aca="false">$H176</f>
        <v>0</v>
      </c>
      <c r="AH176" s="7" t="n">
        <f aca="false">$H176</f>
        <v>0</v>
      </c>
      <c r="AI176" s="7" t="n">
        <f aca="false">$I176</f>
        <v>0</v>
      </c>
      <c r="AJ176" s="7" t="n">
        <f aca="false">$I176</f>
        <v>0</v>
      </c>
      <c r="AK176" s="7" t="n">
        <f aca="false">$I176</f>
        <v>0</v>
      </c>
      <c r="AL176" s="7" t="n">
        <f aca="false">$I176</f>
        <v>0</v>
      </c>
      <c r="AM176" s="7" t="n">
        <f aca="false">$J176</f>
        <v>0</v>
      </c>
      <c r="AN176" s="7" t="n">
        <f aca="false">$J176</f>
        <v>0</v>
      </c>
      <c r="AO176" s="7" t="n">
        <f aca="false">$J176</f>
        <v>0</v>
      </c>
      <c r="AP176" s="7" t="n">
        <f aca="false">$J176</f>
        <v>0</v>
      </c>
      <c r="AQ176" s="7" t="n">
        <f aca="false">$K176</f>
        <v>0</v>
      </c>
      <c r="AR176" s="7" t="n">
        <f aca="false">$K176</f>
        <v>0</v>
      </c>
      <c r="AS176" s="7" t="n">
        <f aca="false">$K176</f>
        <v>0</v>
      </c>
      <c r="AT176" s="7" t="n">
        <f aca="false">$K176</f>
        <v>0</v>
      </c>
      <c r="AU176" s="7" t="n">
        <f aca="false">$K176</f>
        <v>0</v>
      </c>
      <c r="AV176" s="7" t="n">
        <f aca="false">$L176</f>
        <v>0</v>
      </c>
      <c r="AW176" s="7" t="n">
        <f aca="false">$L176</f>
        <v>0</v>
      </c>
      <c r="AX176" s="7" t="n">
        <f aca="false">$L176</f>
        <v>0</v>
      </c>
      <c r="AY176" s="7" t="n">
        <f aca="false">$L176</f>
        <v>0</v>
      </c>
      <c r="AZ176" s="7" t="n">
        <f aca="false">$M176</f>
        <v>0</v>
      </c>
      <c r="BA176" s="7" t="n">
        <f aca="false">$M176</f>
        <v>0</v>
      </c>
      <c r="BB176" s="7" t="n">
        <f aca="false">$M176</f>
        <v>0</v>
      </c>
      <c r="BC176" s="7" t="n">
        <f aca="false">$M176</f>
        <v>0</v>
      </c>
      <c r="BD176" s="7" t="n">
        <f aca="false">$N176</f>
        <v>0</v>
      </c>
      <c r="BE176" s="7" t="n">
        <f aca="false">$N176</f>
        <v>0</v>
      </c>
      <c r="BF176" s="7" t="n">
        <f aca="false">$N176</f>
        <v>0</v>
      </c>
      <c r="BG176" s="7" t="n">
        <f aca="false">$N176</f>
        <v>0</v>
      </c>
      <c r="BH176" s="7" t="n">
        <f aca="false">$N176</f>
        <v>0</v>
      </c>
      <c r="BI176" s="7" t="n">
        <f aca="false">$O176</f>
        <v>0</v>
      </c>
      <c r="BJ176" s="7" t="n">
        <f aca="false">$O176</f>
        <v>0</v>
      </c>
      <c r="BK176" s="7" t="n">
        <f aca="false">$O176</f>
        <v>0</v>
      </c>
      <c r="BL176" s="7" t="n">
        <f aca="false">$O176</f>
        <v>0</v>
      </c>
      <c r="BM176" s="7" t="n">
        <f aca="false">$P176</f>
        <v>0</v>
      </c>
      <c r="BN176" s="7" t="n">
        <f aca="false">$P176</f>
        <v>0</v>
      </c>
      <c r="BO176" s="7" t="n">
        <f aca="false">$P176</f>
        <v>0</v>
      </c>
      <c r="BP176" s="7" t="n">
        <f aca="false">$P176</f>
        <v>0</v>
      </c>
    </row>
    <row r="177" customFormat="false" ht="15" hidden="false" customHeight="false" outlineLevel="0" collapsed="false">
      <c r="A177" s="0" t="s">
        <v>236</v>
      </c>
      <c r="B177" s="0" t="s">
        <v>135</v>
      </c>
      <c r="C177" s="0" t="s">
        <v>115</v>
      </c>
      <c r="D177" s="0" t="n">
        <f aca="false">SUM(Q177:BP177)</f>
        <v>0</v>
      </c>
      <c r="E177" s="22" t="n">
        <v>0</v>
      </c>
      <c r="F177" s="22" t="n">
        <v>0</v>
      </c>
      <c r="G177" s="22" t="n">
        <v>0</v>
      </c>
      <c r="H177" s="22" t="n">
        <v>0</v>
      </c>
      <c r="I177" s="22" t="n">
        <v>0</v>
      </c>
      <c r="J177" s="22" t="n">
        <v>0</v>
      </c>
      <c r="K177" s="22" t="n">
        <v>0</v>
      </c>
      <c r="L177" s="22" t="n">
        <v>0</v>
      </c>
      <c r="M177" s="22" t="n">
        <v>0</v>
      </c>
      <c r="N177" s="22" t="n">
        <v>0</v>
      </c>
      <c r="O177" s="22" t="n">
        <v>0</v>
      </c>
      <c r="P177" s="22" t="n">
        <v>0</v>
      </c>
      <c r="Q177" s="7" t="n">
        <f aca="false">$E177</f>
        <v>0</v>
      </c>
      <c r="R177" s="7" t="n">
        <f aca="false">$E177</f>
        <v>0</v>
      </c>
      <c r="S177" s="7" t="n">
        <f aca="false">$E177</f>
        <v>0</v>
      </c>
      <c r="T177" s="7" t="n">
        <f aca="false">$E177</f>
        <v>0</v>
      </c>
      <c r="U177" s="7" t="n">
        <f aca="false">$E177</f>
        <v>0</v>
      </c>
      <c r="V177" s="7" t="n">
        <f aca="false">$F177</f>
        <v>0</v>
      </c>
      <c r="W177" s="7" t="n">
        <f aca="false">$F177</f>
        <v>0</v>
      </c>
      <c r="X177" s="7" t="n">
        <f aca="false">$F177</f>
        <v>0</v>
      </c>
      <c r="Y177" s="7" t="n">
        <f aca="false">$F177</f>
        <v>0</v>
      </c>
      <c r="Z177" s="7" t="n">
        <f aca="false">$G177</f>
        <v>0</v>
      </c>
      <c r="AA177" s="7" t="n">
        <f aca="false">$G177</f>
        <v>0</v>
      </c>
      <c r="AB177" s="7" t="n">
        <f aca="false">$G177</f>
        <v>0</v>
      </c>
      <c r="AC177" s="7" t="n">
        <f aca="false">$G177</f>
        <v>0</v>
      </c>
      <c r="AD177" s="7" t="n">
        <f aca="false">$H177</f>
        <v>0</v>
      </c>
      <c r="AE177" s="7" t="n">
        <f aca="false">$H177</f>
        <v>0</v>
      </c>
      <c r="AF177" s="7" t="n">
        <f aca="false">$H177</f>
        <v>0</v>
      </c>
      <c r="AG177" s="7" t="n">
        <f aca="false">$H177</f>
        <v>0</v>
      </c>
      <c r="AH177" s="7" t="n">
        <f aca="false">$H177</f>
        <v>0</v>
      </c>
      <c r="AI177" s="7" t="n">
        <f aca="false">$I177</f>
        <v>0</v>
      </c>
      <c r="AJ177" s="7" t="n">
        <f aca="false">$I177</f>
        <v>0</v>
      </c>
      <c r="AK177" s="7" t="n">
        <f aca="false">$I177</f>
        <v>0</v>
      </c>
      <c r="AL177" s="7" t="n">
        <f aca="false">$I177</f>
        <v>0</v>
      </c>
      <c r="AM177" s="7" t="n">
        <f aca="false">$J177</f>
        <v>0</v>
      </c>
      <c r="AN177" s="7" t="n">
        <f aca="false">$J177</f>
        <v>0</v>
      </c>
      <c r="AO177" s="7" t="n">
        <f aca="false">$J177</f>
        <v>0</v>
      </c>
      <c r="AP177" s="7" t="n">
        <f aca="false">$J177</f>
        <v>0</v>
      </c>
      <c r="AQ177" s="7" t="n">
        <f aca="false">$K177</f>
        <v>0</v>
      </c>
      <c r="AR177" s="7" t="n">
        <f aca="false">$K177</f>
        <v>0</v>
      </c>
      <c r="AS177" s="7" t="n">
        <f aca="false">$K177</f>
        <v>0</v>
      </c>
      <c r="AT177" s="7" t="n">
        <f aca="false">$K177</f>
        <v>0</v>
      </c>
      <c r="AU177" s="7" t="n">
        <f aca="false">$K177</f>
        <v>0</v>
      </c>
      <c r="AV177" s="7" t="n">
        <f aca="false">$L177</f>
        <v>0</v>
      </c>
      <c r="AW177" s="7" t="n">
        <f aca="false">$L177</f>
        <v>0</v>
      </c>
      <c r="AX177" s="7" t="n">
        <f aca="false">$L177</f>
        <v>0</v>
      </c>
      <c r="AY177" s="7" t="n">
        <f aca="false">$L177</f>
        <v>0</v>
      </c>
      <c r="AZ177" s="7" t="n">
        <f aca="false">$M177</f>
        <v>0</v>
      </c>
      <c r="BA177" s="7" t="n">
        <f aca="false">$M177</f>
        <v>0</v>
      </c>
      <c r="BB177" s="7" t="n">
        <f aca="false">$M177</f>
        <v>0</v>
      </c>
      <c r="BC177" s="7" t="n">
        <f aca="false">$M177</f>
        <v>0</v>
      </c>
      <c r="BD177" s="7" t="n">
        <f aca="false">$N177</f>
        <v>0</v>
      </c>
      <c r="BE177" s="7" t="n">
        <f aca="false">$N177</f>
        <v>0</v>
      </c>
      <c r="BF177" s="7" t="n">
        <f aca="false">$N177</f>
        <v>0</v>
      </c>
      <c r="BG177" s="7" t="n">
        <f aca="false">$N177</f>
        <v>0</v>
      </c>
      <c r="BH177" s="7" t="n">
        <f aca="false">$N177</f>
        <v>0</v>
      </c>
      <c r="BI177" s="7" t="n">
        <f aca="false">$O177</f>
        <v>0</v>
      </c>
      <c r="BJ177" s="7" t="n">
        <f aca="false">$O177</f>
        <v>0</v>
      </c>
      <c r="BK177" s="7" t="n">
        <f aca="false">$O177</f>
        <v>0</v>
      </c>
      <c r="BL177" s="7" t="n">
        <f aca="false">$O177</f>
        <v>0</v>
      </c>
      <c r="BM177" s="7" t="n">
        <f aca="false">$P177</f>
        <v>0</v>
      </c>
      <c r="BN177" s="7" t="n">
        <f aca="false">$P177</f>
        <v>0</v>
      </c>
      <c r="BO177" s="7" t="n">
        <f aca="false">$P177</f>
        <v>0</v>
      </c>
      <c r="BP177" s="7" t="n">
        <f aca="false">$P177</f>
        <v>0</v>
      </c>
    </row>
    <row r="178" customFormat="false" ht="15" hidden="false" customHeight="false" outlineLevel="0" collapsed="false">
      <c r="A178" s="0" t="s">
        <v>236</v>
      </c>
      <c r="B178" s="0" t="s">
        <v>135</v>
      </c>
      <c r="C178" s="0" t="s">
        <v>116</v>
      </c>
      <c r="D178" s="0" t="n">
        <f aca="false">SUM(Q178:BP178)</f>
        <v>0</v>
      </c>
      <c r="E178" s="22" t="n">
        <v>0</v>
      </c>
      <c r="F178" s="22" t="n">
        <v>0</v>
      </c>
      <c r="G178" s="22" t="n">
        <v>0</v>
      </c>
      <c r="H178" s="22" t="n">
        <v>0</v>
      </c>
      <c r="I178" s="22" t="n">
        <v>0</v>
      </c>
      <c r="J178" s="22" t="n">
        <v>0</v>
      </c>
      <c r="K178" s="22" t="n">
        <v>0</v>
      </c>
      <c r="L178" s="22" t="n">
        <v>0</v>
      </c>
      <c r="M178" s="22" t="n">
        <v>0</v>
      </c>
      <c r="N178" s="22" t="n">
        <v>0</v>
      </c>
      <c r="O178" s="22" t="n">
        <v>0</v>
      </c>
      <c r="P178" s="22" t="n">
        <v>0</v>
      </c>
      <c r="Q178" s="7" t="n">
        <f aca="false">$E178</f>
        <v>0</v>
      </c>
      <c r="R178" s="7" t="n">
        <f aca="false">$E178</f>
        <v>0</v>
      </c>
      <c r="S178" s="7" t="n">
        <f aca="false">$E178</f>
        <v>0</v>
      </c>
      <c r="T178" s="7" t="n">
        <f aca="false">$E178</f>
        <v>0</v>
      </c>
      <c r="U178" s="7" t="n">
        <f aca="false">$E178</f>
        <v>0</v>
      </c>
      <c r="V178" s="7" t="n">
        <f aca="false">$F178</f>
        <v>0</v>
      </c>
      <c r="W178" s="7" t="n">
        <f aca="false">$F178</f>
        <v>0</v>
      </c>
      <c r="X178" s="7" t="n">
        <f aca="false">$F178</f>
        <v>0</v>
      </c>
      <c r="Y178" s="7" t="n">
        <f aca="false">$F178</f>
        <v>0</v>
      </c>
      <c r="Z178" s="7" t="n">
        <f aca="false">$G178</f>
        <v>0</v>
      </c>
      <c r="AA178" s="7" t="n">
        <f aca="false">$G178</f>
        <v>0</v>
      </c>
      <c r="AB178" s="7" t="n">
        <f aca="false">$G178</f>
        <v>0</v>
      </c>
      <c r="AC178" s="7" t="n">
        <f aca="false">$G178</f>
        <v>0</v>
      </c>
      <c r="AD178" s="7" t="n">
        <f aca="false">$H178</f>
        <v>0</v>
      </c>
      <c r="AE178" s="7" t="n">
        <f aca="false">$H178</f>
        <v>0</v>
      </c>
      <c r="AF178" s="7" t="n">
        <f aca="false">$H178</f>
        <v>0</v>
      </c>
      <c r="AG178" s="7" t="n">
        <f aca="false">$H178</f>
        <v>0</v>
      </c>
      <c r="AH178" s="7" t="n">
        <f aca="false">$H178</f>
        <v>0</v>
      </c>
      <c r="AI178" s="7" t="n">
        <f aca="false">$I178</f>
        <v>0</v>
      </c>
      <c r="AJ178" s="7" t="n">
        <f aca="false">$I178</f>
        <v>0</v>
      </c>
      <c r="AK178" s="7" t="n">
        <f aca="false">$I178</f>
        <v>0</v>
      </c>
      <c r="AL178" s="7" t="n">
        <f aca="false">$I178</f>
        <v>0</v>
      </c>
      <c r="AM178" s="7" t="n">
        <f aca="false">$J178</f>
        <v>0</v>
      </c>
      <c r="AN178" s="7" t="n">
        <f aca="false">$J178</f>
        <v>0</v>
      </c>
      <c r="AO178" s="7" t="n">
        <f aca="false">$J178</f>
        <v>0</v>
      </c>
      <c r="AP178" s="7" t="n">
        <f aca="false">$J178</f>
        <v>0</v>
      </c>
      <c r="AQ178" s="7" t="n">
        <f aca="false">$K178</f>
        <v>0</v>
      </c>
      <c r="AR178" s="7" t="n">
        <f aca="false">$K178</f>
        <v>0</v>
      </c>
      <c r="AS178" s="7" t="n">
        <f aca="false">$K178</f>
        <v>0</v>
      </c>
      <c r="AT178" s="7" t="n">
        <f aca="false">$K178</f>
        <v>0</v>
      </c>
      <c r="AU178" s="7" t="n">
        <f aca="false">$K178</f>
        <v>0</v>
      </c>
      <c r="AV178" s="7" t="n">
        <f aca="false">$L178</f>
        <v>0</v>
      </c>
      <c r="AW178" s="7" t="n">
        <f aca="false">$L178</f>
        <v>0</v>
      </c>
      <c r="AX178" s="7" t="n">
        <f aca="false">$L178</f>
        <v>0</v>
      </c>
      <c r="AY178" s="7" t="n">
        <f aca="false">$L178</f>
        <v>0</v>
      </c>
      <c r="AZ178" s="7" t="n">
        <f aca="false">$M178</f>
        <v>0</v>
      </c>
      <c r="BA178" s="7" t="n">
        <f aca="false">$M178</f>
        <v>0</v>
      </c>
      <c r="BB178" s="7" t="n">
        <f aca="false">$M178</f>
        <v>0</v>
      </c>
      <c r="BC178" s="7" t="n">
        <f aca="false">$M178</f>
        <v>0</v>
      </c>
      <c r="BD178" s="7" t="n">
        <f aca="false">$N178</f>
        <v>0</v>
      </c>
      <c r="BE178" s="7" t="n">
        <f aca="false">$N178</f>
        <v>0</v>
      </c>
      <c r="BF178" s="7" t="n">
        <f aca="false">$N178</f>
        <v>0</v>
      </c>
      <c r="BG178" s="7" t="n">
        <f aca="false">$N178</f>
        <v>0</v>
      </c>
      <c r="BH178" s="7" t="n">
        <f aca="false">$N178</f>
        <v>0</v>
      </c>
      <c r="BI178" s="7" t="n">
        <f aca="false">$O178</f>
        <v>0</v>
      </c>
      <c r="BJ178" s="7" t="n">
        <f aca="false">$O178</f>
        <v>0</v>
      </c>
      <c r="BK178" s="7" t="n">
        <f aca="false">$O178</f>
        <v>0</v>
      </c>
      <c r="BL178" s="7" t="n">
        <f aca="false">$O178</f>
        <v>0</v>
      </c>
      <c r="BM178" s="7" t="n">
        <f aca="false">$P178</f>
        <v>0</v>
      </c>
      <c r="BN178" s="7" t="n">
        <f aca="false">$P178</f>
        <v>0</v>
      </c>
      <c r="BO178" s="7" t="n">
        <f aca="false">$P178</f>
        <v>0</v>
      </c>
      <c r="BP178" s="7" t="n">
        <f aca="false">$P178</f>
        <v>0</v>
      </c>
    </row>
    <row r="179" customFormat="false" ht="15" hidden="false" customHeight="false" outlineLevel="0" collapsed="false">
      <c r="A179" s="0" t="s">
        <v>236</v>
      </c>
      <c r="B179" s="0" t="s">
        <v>135</v>
      </c>
      <c r="C179" s="0" t="s">
        <v>117</v>
      </c>
      <c r="D179" s="0" t="n">
        <f aca="false">SUM(Q179:BP179)</f>
        <v>0</v>
      </c>
      <c r="E179" s="22" t="n">
        <v>0</v>
      </c>
      <c r="F179" s="22" t="n">
        <v>0</v>
      </c>
      <c r="G179" s="22" t="n">
        <v>0</v>
      </c>
      <c r="H179" s="22" t="n">
        <v>0</v>
      </c>
      <c r="I179" s="22" t="n">
        <v>0</v>
      </c>
      <c r="J179" s="22" t="n">
        <v>0</v>
      </c>
      <c r="K179" s="22" t="n">
        <v>0</v>
      </c>
      <c r="L179" s="22" t="n">
        <v>0</v>
      </c>
      <c r="M179" s="22" t="n">
        <v>0</v>
      </c>
      <c r="N179" s="22" t="n">
        <v>0</v>
      </c>
      <c r="O179" s="22" t="n">
        <v>0</v>
      </c>
      <c r="P179" s="22" t="n">
        <v>0</v>
      </c>
      <c r="Q179" s="7" t="n">
        <f aca="false">$E179</f>
        <v>0</v>
      </c>
      <c r="R179" s="7" t="n">
        <f aca="false">$E179</f>
        <v>0</v>
      </c>
      <c r="S179" s="7" t="n">
        <f aca="false">$E179</f>
        <v>0</v>
      </c>
      <c r="T179" s="7" t="n">
        <f aca="false">$E179</f>
        <v>0</v>
      </c>
      <c r="U179" s="7" t="n">
        <f aca="false">$E179</f>
        <v>0</v>
      </c>
      <c r="V179" s="7" t="n">
        <f aca="false">$F179</f>
        <v>0</v>
      </c>
      <c r="W179" s="7" t="n">
        <f aca="false">$F179</f>
        <v>0</v>
      </c>
      <c r="X179" s="7" t="n">
        <f aca="false">$F179</f>
        <v>0</v>
      </c>
      <c r="Y179" s="7" t="n">
        <f aca="false">$F179</f>
        <v>0</v>
      </c>
      <c r="Z179" s="7" t="n">
        <f aca="false">$G179</f>
        <v>0</v>
      </c>
      <c r="AA179" s="7" t="n">
        <f aca="false">$G179</f>
        <v>0</v>
      </c>
      <c r="AB179" s="7" t="n">
        <f aca="false">$G179</f>
        <v>0</v>
      </c>
      <c r="AC179" s="7" t="n">
        <f aca="false">$G179</f>
        <v>0</v>
      </c>
      <c r="AD179" s="7" t="n">
        <f aca="false">$H179</f>
        <v>0</v>
      </c>
      <c r="AE179" s="7" t="n">
        <f aca="false">$H179</f>
        <v>0</v>
      </c>
      <c r="AF179" s="7" t="n">
        <f aca="false">$H179</f>
        <v>0</v>
      </c>
      <c r="AG179" s="7" t="n">
        <f aca="false">$H179</f>
        <v>0</v>
      </c>
      <c r="AH179" s="7" t="n">
        <f aca="false">$H179</f>
        <v>0</v>
      </c>
      <c r="AI179" s="7" t="n">
        <f aca="false">$I179</f>
        <v>0</v>
      </c>
      <c r="AJ179" s="7" t="n">
        <f aca="false">$I179</f>
        <v>0</v>
      </c>
      <c r="AK179" s="7" t="n">
        <f aca="false">$I179</f>
        <v>0</v>
      </c>
      <c r="AL179" s="7" t="n">
        <f aca="false">$I179</f>
        <v>0</v>
      </c>
      <c r="AM179" s="7" t="n">
        <f aca="false">$J179</f>
        <v>0</v>
      </c>
      <c r="AN179" s="7" t="n">
        <f aca="false">$J179</f>
        <v>0</v>
      </c>
      <c r="AO179" s="7" t="n">
        <f aca="false">$J179</f>
        <v>0</v>
      </c>
      <c r="AP179" s="7" t="n">
        <f aca="false">$J179</f>
        <v>0</v>
      </c>
      <c r="AQ179" s="7" t="n">
        <f aca="false">$K179</f>
        <v>0</v>
      </c>
      <c r="AR179" s="7" t="n">
        <f aca="false">$K179</f>
        <v>0</v>
      </c>
      <c r="AS179" s="7" t="n">
        <f aca="false">$K179</f>
        <v>0</v>
      </c>
      <c r="AT179" s="7" t="n">
        <f aca="false">$K179</f>
        <v>0</v>
      </c>
      <c r="AU179" s="7" t="n">
        <f aca="false">$K179</f>
        <v>0</v>
      </c>
      <c r="AV179" s="7" t="n">
        <f aca="false">$L179</f>
        <v>0</v>
      </c>
      <c r="AW179" s="7" t="n">
        <f aca="false">$L179</f>
        <v>0</v>
      </c>
      <c r="AX179" s="7" t="n">
        <f aca="false">$L179</f>
        <v>0</v>
      </c>
      <c r="AY179" s="7" t="n">
        <f aca="false">$L179</f>
        <v>0</v>
      </c>
      <c r="AZ179" s="7" t="n">
        <f aca="false">$M179</f>
        <v>0</v>
      </c>
      <c r="BA179" s="7" t="n">
        <f aca="false">$M179</f>
        <v>0</v>
      </c>
      <c r="BB179" s="7" t="n">
        <f aca="false">$M179</f>
        <v>0</v>
      </c>
      <c r="BC179" s="7" t="n">
        <f aca="false">$M179</f>
        <v>0</v>
      </c>
      <c r="BD179" s="7" t="n">
        <f aca="false">$N179</f>
        <v>0</v>
      </c>
      <c r="BE179" s="7" t="n">
        <f aca="false">$N179</f>
        <v>0</v>
      </c>
      <c r="BF179" s="7" t="n">
        <f aca="false">$N179</f>
        <v>0</v>
      </c>
      <c r="BG179" s="7" t="n">
        <f aca="false">$N179</f>
        <v>0</v>
      </c>
      <c r="BH179" s="7" t="n">
        <f aca="false">$N179</f>
        <v>0</v>
      </c>
      <c r="BI179" s="7" t="n">
        <f aca="false">$O179</f>
        <v>0</v>
      </c>
      <c r="BJ179" s="7" t="n">
        <f aca="false">$O179</f>
        <v>0</v>
      </c>
      <c r="BK179" s="7" t="n">
        <f aca="false">$O179</f>
        <v>0</v>
      </c>
      <c r="BL179" s="7" t="n">
        <f aca="false">$O179</f>
        <v>0</v>
      </c>
      <c r="BM179" s="7" t="n">
        <f aca="false">$P179</f>
        <v>0</v>
      </c>
      <c r="BN179" s="7" t="n">
        <f aca="false">$P179</f>
        <v>0</v>
      </c>
      <c r="BO179" s="7" t="n">
        <f aca="false">$P179</f>
        <v>0</v>
      </c>
      <c r="BP179" s="7" t="n">
        <f aca="false">$P179</f>
        <v>0</v>
      </c>
    </row>
    <row r="180" customFormat="false" ht="15" hidden="false" customHeight="false" outlineLevel="0" collapsed="false">
      <c r="A180" s="0" t="s">
        <v>236</v>
      </c>
      <c r="B180" s="0" t="s">
        <v>135</v>
      </c>
      <c r="C180" s="0" t="s">
        <v>118</v>
      </c>
      <c r="D180" s="0" t="n">
        <f aca="false">SUM(Q180:BP180)</f>
        <v>0</v>
      </c>
      <c r="E180" s="22" t="n">
        <v>0</v>
      </c>
      <c r="F180" s="22" t="n">
        <v>0</v>
      </c>
      <c r="G180" s="22" t="n">
        <v>0</v>
      </c>
      <c r="H180" s="22" t="n">
        <v>0</v>
      </c>
      <c r="I180" s="22" t="n">
        <v>0</v>
      </c>
      <c r="J180" s="22" t="n">
        <v>0</v>
      </c>
      <c r="K180" s="22" t="n">
        <v>0</v>
      </c>
      <c r="L180" s="22" t="n">
        <v>0</v>
      </c>
      <c r="M180" s="22" t="n">
        <v>0</v>
      </c>
      <c r="N180" s="22" t="n">
        <v>0</v>
      </c>
      <c r="O180" s="22" t="n">
        <v>0</v>
      </c>
      <c r="P180" s="22" t="n">
        <v>0</v>
      </c>
      <c r="Q180" s="7" t="n">
        <f aca="false">$E180</f>
        <v>0</v>
      </c>
      <c r="R180" s="7" t="n">
        <f aca="false">$E180</f>
        <v>0</v>
      </c>
      <c r="S180" s="7" t="n">
        <f aca="false">$E180</f>
        <v>0</v>
      </c>
      <c r="T180" s="7" t="n">
        <f aca="false">$E180</f>
        <v>0</v>
      </c>
      <c r="U180" s="7" t="n">
        <f aca="false">$E180</f>
        <v>0</v>
      </c>
      <c r="V180" s="7" t="n">
        <f aca="false">$F180</f>
        <v>0</v>
      </c>
      <c r="W180" s="7" t="n">
        <f aca="false">$F180</f>
        <v>0</v>
      </c>
      <c r="X180" s="7" t="n">
        <f aca="false">$F180</f>
        <v>0</v>
      </c>
      <c r="Y180" s="7" t="n">
        <f aca="false">$F180</f>
        <v>0</v>
      </c>
      <c r="Z180" s="7" t="n">
        <f aca="false">$G180</f>
        <v>0</v>
      </c>
      <c r="AA180" s="7" t="n">
        <f aca="false">$G180</f>
        <v>0</v>
      </c>
      <c r="AB180" s="7" t="n">
        <f aca="false">$G180</f>
        <v>0</v>
      </c>
      <c r="AC180" s="7" t="n">
        <f aca="false">$G180</f>
        <v>0</v>
      </c>
      <c r="AD180" s="7" t="n">
        <f aca="false">$H180</f>
        <v>0</v>
      </c>
      <c r="AE180" s="7" t="n">
        <f aca="false">$H180</f>
        <v>0</v>
      </c>
      <c r="AF180" s="7" t="n">
        <f aca="false">$H180</f>
        <v>0</v>
      </c>
      <c r="AG180" s="7" t="n">
        <f aca="false">$H180</f>
        <v>0</v>
      </c>
      <c r="AH180" s="7" t="n">
        <f aca="false">$H180</f>
        <v>0</v>
      </c>
      <c r="AI180" s="7" t="n">
        <f aca="false">$I180</f>
        <v>0</v>
      </c>
      <c r="AJ180" s="7" t="n">
        <f aca="false">$I180</f>
        <v>0</v>
      </c>
      <c r="AK180" s="7" t="n">
        <f aca="false">$I180</f>
        <v>0</v>
      </c>
      <c r="AL180" s="7" t="n">
        <f aca="false">$I180</f>
        <v>0</v>
      </c>
      <c r="AM180" s="7" t="n">
        <f aca="false">$J180</f>
        <v>0</v>
      </c>
      <c r="AN180" s="7" t="n">
        <f aca="false">$J180</f>
        <v>0</v>
      </c>
      <c r="AO180" s="7" t="n">
        <f aca="false">$J180</f>
        <v>0</v>
      </c>
      <c r="AP180" s="7" t="n">
        <f aca="false">$J180</f>
        <v>0</v>
      </c>
      <c r="AQ180" s="7" t="n">
        <f aca="false">$K180</f>
        <v>0</v>
      </c>
      <c r="AR180" s="7" t="n">
        <f aca="false">$K180</f>
        <v>0</v>
      </c>
      <c r="AS180" s="7" t="n">
        <f aca="false">$K180</f>
        <v>0</v>
      </c>
      <c r="AT180" s="7" t="n">
        <f aca="false">$K180</f>
        <v>0</v>
      </c>
      <c r="AU180" s="7" t="n">
        <f aca="false">$K180</f>
        <v>0</v>
      </c>
      <c r="AV180" s="7" t="n">
        <f aca="false">$L180</f>
        <v>0</v>
      </c>
      <c r="AW180" s="7" t="n">
        <f aca="false">$L180</f>
        <v>0</v>
      </c>
      <c r="AX180" s="7" t="n">
        <f aca="false">$L180</f>
        <v>0</v>
      </c>
      <c r="AY180" s="7" t="n">
        <f aca="false">$L180</f>
        <v>0</v>
      </c>
      <c r="AZ180" s="7" t="n">
        <f aca="false">$M180</f>
        <v>0</v>
      </c>
      <c r="BA180" s="7" t="n">
        <f aca="false">$M180</f>
        <v>0</v>
      </c>
      <c r="BB180" s="7" t="n">
        <f aca="false">$M180</f>
        <v>0</v>
      </c>
      <c r="BC180" s="7" t="n">
        <f aca="false">$M180</f>
        <v>0</v>
      </c>
      <c r="BD180" s="7" t="n">
        <f aca="false">$N180</f>
        <v>0</v>
      </c>
      <c r="BE180" s="7" t="n">
        <f aca="false">$N180</f>
        <v>0</v>
      </c>
      <c r="BF180" s="7" t="n">
        <f aca="false">$N180</f>
        <v>0</v>
      </c>
      <c r="BG180" s="7" t="n">
        <f aca="false">$N180</f>
        <v>0</v>
      </c>
      <c r="BH180" s="7" t="n">
        <f aca="false">$N180</f>
        <v>0</v>
      </c>
      <c r="BI180" s="7" t="n">
        <f aca="false">$O180</f>
        <v>0</v>
      </c>
      <c r="BJ180" s="7" t="n">
        <f aca="false">$O180</f>
        <v>0</v>
      </c>
      <c r="BK180" s="7" t="n">
        <f aca="false">$O180</f>
        <v>0</v>
      </c>
      <c r="BL180" s="7" t="n">
        <f aca="false">$O180</f>
        <v>0</v>
      </c>
      <c r="BM180" s="7" t="n">
        <f aca="false">$P180</f>
        <v>0</v>
      </c>
      <c r="BN180" s="7" t="n">
        <f aca="false">$P180</f>
        <v>0</v>
      </c>
      <c r="BO180" s="7" t="n">
        <f aca="false">$P180</f>
        <v>0</v>
      </c>
      <c r="BP180" s="7" t="n">
        <f aca="false">$P180</f>
        <v>0</v>
      </c>
    </row>
    <row r="181" customFormat="false" ht="15" hidden="false" customHeight="false" outlineLevel="0" collapsed="false">
      <c r="A181" s="0" t="s">
        <v>236</v>
      </c>
      <c r="B181" s="0" t="s">
        <v>135</v>
      </c>
      <c r="C181" s="0" t="s">
        <v>119</v>
      </c>
      <c r="D181" s="0" t="n">
        <f aca="false">SUM(Q181:BP181)</f>
        <v>0</v>
      </c>
      <c r="E181" s="13" t="n">
        <v>0</v>
      </c>
      <c r="F181" s="13" t="n">
        <v>0</v>
      </c>
      <c r="G181" s="13" t="n">
        <v>0</v>
      </c>
      <c r="H181" s="13" t="n">
        <v>0</v>
      </c>
      <c r="I181" s="13" t="n">
        <v>0</v>
      </c>
      <c r="J181" s="13" t="n">
        <v>0</v>
      </c>
      <c r="K181" s="13" t="n">
        <v>0</v>
      </c>
      <c r="L181" s="13" t="n">
        <v>0</v>
      </c>
      <c r="M181" s="13" t="n">
        <v>0</v>
      </c>
      <c r="N181" s="13" t="n">
        <v>0</v>
      </c>
      <c r="O181" s="13" t="n">
        <v>0</v>
      </c>
      <c r="P181" s="13" t="n">
        <v>0</v>
      </c>
      <c r="Q181" s="7" t="n">
        <f aca="false">$E181</f>
        <v>0</v>
      </c>
      <c r="R181" s="7" t="n">
        <f aca="false">$E181</f>
        <v>0</v>
      </c>
      <c r="S181" s="7" t="n">
        <f aca="false">$E181</f>
        <v>0</v>
      </c>
      <c r="T181" s="7" t="n">
        <f aca="false">$E181</f>
        <v>0</v>
      </c>
      <c r="U181" s="7" t="n">
        <f aca="false">$E181</f>
        <v>0</v>
      </c>
      <c r="V181" s="7" t="n">
        <f aca="false">$F181</f>
        <v>0</v>
      </c>
      <c r="W181" s="7" t="n">
        <f aca="false">$F181</f>
        <v>0</v>
      </c>
      <c r="X181" s="7" t="n">
        <f aca="false">$F181</f>
        <v>0</v>
      </c>
      <c r="Y181" s="7" t="n">
        <f aca="false">$F181</f>
        <v>0</v>
      </c>
      <c r="Z181" s="7" t="n">
        <f aca="false">$G181</f>
        <v>0</v>
      </c>
      <c r="AA181" s="7" t="n">
        <f aca="false">$G181</f>
        <v>0</v>
      </c>
      <c r="AB181" s="7" t="n">
        <f aca="false">$G181</f>
        <v>0</v>
      </c>
      <c r="AC181" s="7" t="n">
        <f aca="false">$G181</f>
        <v>0</v>
      </c>
      <c r="AD181" s="7" t="n">
        <f aca="false">$H181</f>
        <v>0</v>
      </c>
      <c r="AE181" s="7" t="n">
        <f aca="false">$H181</f>
        <v>0</v>
      </c>
      <c r="AF181" s="7" t="n">
        <f aca="false">$H181</f>
        <v>0</v>
      </c>
      <c r="AG181" s="7" t="n">
        <f aca="false">$H181</f>
        <v>0</v>
      </c>
      <c r="AH181" s="7" t="n">
        <f aca="false">$H181</f>
        <v>0</v>
      </c>
      <c r="AI181" s="7" t="n">
        <f aca="false">$I181</f>
        <v>0</v>
      </c>
      <c r="AJ181" s="7" t="n">
        <f aca="false">$I181</f>
        <v>0</v>
      </c>
      <c r="AK181" s="7" t="n">
        <f aca="false">$I181</f>
        <v>0</v>
      </c>
      <c r="AL181" s="7" t="n">
        <f aca="false">$I181</f>
        <v>0</v>
      </c>
      <c r="AM181" s="7" t="n">
        <f aca="false">$J181</f>
        <v>0</v>
      </c>
      <c r="AN181" s="7" t="n">
        <f aca="false">$J181</f>
        <v>0</v>
      </c>
      <c r="AO181" s="7" t="n">
        <f aca="false">$J181</f>
        <v>0</v>
      </c>
      <c r="AP181" s="7" t="n">
        <f aca="false">$J181</f>
        <v>0</v>
      </c>
      <c r="AQ181" s="7" t="n">
        <f aca="false">$K181</f>
        <v>0</v>
      </c>
      <c r="AR181" s="7" t="n">
        <f aca="false">$K181</f>
        <v>0</v>
      </c>
      <c r="AS181" s="7" t="n">
        <f aca="false">$K181</f>
        <v>0</v>
      </c>
      <c r="AT181" s="7" t="n">
        <f aca="false">$K181</f>
        <v>0</v>
      </c>
      <c r="AU181" s="7" t="n">
        <f aca="false">$K181</f>
        <v>0</v>
      </c>
      <c r="AV181" s="7" t="n">
        <f aca="false">$L181</f>
        <v>0</v>
      </c>
      <c r="AW181" s="7" t="n">
        <f aca="false">$L181</f>
        <v>0</v>
      </c>
      <c r="AX181" s="7" t="n">
        <f aca="false">$L181</f>
        <v>0</v>
      </c>
      <c r="AY181" s="7" t="n">
        <f aca="false">$L181</f>
        <v>0</v>
      </c>
      <c r="AZ181" s="7" t="n">
        <f aca="false">$M181</f>
        <v>0</v>
      </c>
      <c r="BA181" s="7" t="n">
        <f aca="false">$M181</f>
        <v>0</v>
      </c>
      <c r="BB181" s="7" t="n">
        <f aca="false">$M181</f>
        <v>0</v>
      </c>
      <c r="BC181" s="7" t="n">
        <f aca="false">$M181</f>
        <v>0</v>
      </c>
      <c r="BD181" s="7" t="n">
        <f aca="false">$N181</f>
        <v>0</v>
      </c>
      <c r="BE181" s="7" t="n">
        <f aca="false">$N181</f>
        <v>0</v>
      </c>
      <c r="BF181" s="7" t="n">
        <f aca="false">$N181</f>
        <v>0</v>
      </c>
      <c r="BG181" s="7" t="n">
        <f aca="false">$N181</f>
        <v>0</v>
      </c>
      <c r="BH181" s="7" t="n">
        <f aca="false">$N181</f>
        <v>0</v>
      </c>
      <c r="BI181" s="7" t="n">
        <f aca="false">$O181</f>
        <v>0</v>
      </c>
      <c r="BJ181" s="7" t="n">
        <f aca="false">$O181</f>
        <v>0</v>
      </c>
      <c r="BK181" s="7" t="n">
        <f aca="false">$O181</f>
        <v>0</v>
      </c>
      <c r="BL181" s="7" t="n">
        <f aca="false">$O181</f>
        <v>0</v>
      </c>
      <c r="BM181" s="7" t="n">
        <f aca="false">$P181</f>
        <v>0</v>
      </c>
      <c r="BN181" s="7" t="n">
        <f aca="false">$P181</f>
        <v>0</v>
      </c>
      <c r="BO181" s="7" t="n">
        <f aca="false">$P181</f>
        <v>0</v>
      </c>
      <c r="BP181" s="7" t="n">
        <f aca="false">$P181</f>
        <v>0</v>
      </c>
    </row>
    <row r="182" customFormat="false" ht="15" hidden="false" customHeight="false" outlineLevel="0" collapsed="false">
      <c r="A182" s="0" t="s">
        <v>236</v>
      </c>
      <c r="B182" s="0" t="s">
        <v>135</v>
      </c>
      <c r="C182" s="0" t="s">
        <v>120</v>
      </c>
      <c r="D182" s="0" t="n">
        <f aca="false">SUM(Q182:BP182)</f>
        <v>0</v>
      </c>
      <c r="E182" s="13" t="n">
        <v>0</v>
      </c>
      <c r="F182" s="13" t="n">
        <v>0</v>
      </c>
      <c r="G182" s="13" t="n">
        <v>0</v>
      </c>
      <c r="H182" s="13" t="n">
        <v>0</v>
      </c>
      <c r="I182" s="13" t="n">
        <v>0</v>
      </c>
      <c r="J182" s="13" t="n">
        <v>0</v>
      </c>
      <c r="K182" s="13" t="n">
        <v>0</v>
      </c>
      <c r="L182" s="13" t="n">
        <v>0</v>
      </c>
      <c r="M182" s="13" t="n">
        <v>0</v>
      </c>
      <c r="N182" s="13" t="n">
        <v>0</v>
      </c>
      <c r="O182" s="13" t="n">
        <v>0</v>
      </c>
      <c r="P182" s="13" t="n">
        <v>0</v>
      </c>
      <c r="Q182" s="7" t="n">
        <f aca="false">$E182</f>
        <v>0</v>
      </c>
      <c r="R182" s="7" t="n">
        <f aca="false">$E182</f>
        <v>0</v>
      </c>
      <c r="S182" s="7" t="n">
        <f aca="false">$E182</f>
        <v>0</v>
      </c>
      <c r="T182" s="7" t="n">
        <f aca="false">$E182</f>
        <v>0</v>
      </c>
      <c r="U182" s="7" t="n">
        <f aca="false">$E182</f>
        <v>0</v>
      </c>
      <c r="V182" s="7" t="n">
        <f aca="false">$F182</f>
        <v>0</v>
      </c>
      <c r="W182" s="7" t="n">
        <f aca="false">$F182</f>
        <v>0</v>
      </c>
      <c r="X182" s="7" t="n">
        <f aca="false">$F182</f>
        <v>0</v>
      </c>
      <c r="Y182" s="7" t="n">
        <f aca="false">$F182</f>
        <v>0</v>
      </c>
      <c r="Z182" s="7" t="n">
        <f aca="false">$G182</f>
        <v>0</v>
      </c>
      <c r="AA182" s="7" t="n">
        <f aca="false">$G182</f>
        <v>0</v>
      </c>
      <c r="AB182" s="7" t="n">
        <f aca="false">$G182</f>
        <v>0</v>
      </c>
      <c r="AC182" s="7" t="n">
        <f aca="false">$G182</f>
        <v>0</v>
      </c>
      <c r="AD182" s="7" t="n">
        <f aca="false">$H182</f>
        <v>0</v>
      </c>
      <c r="AE182" s="7" t="n">
        <f aca="false">$H182</f>
        <v>0</v>
      </c>
      <c r="AF182" s="7" t="n">
        <f aca="false">$H182</f>
        <v>0</v>
      </c>
      <c r="AG182" s="7" t="n">
        <f aca="false">$H182</f>
        <v>0</v>
      </c>
      <c r="AH182" s="7" t="n">
        <f aca="false">$H182</f>
        <v>0</v>
      </c>
      <c r="AI182" s="7" t="n">
        <f aca="false">$I182</f>
        <v>0</v>
      </c>
      <c r="AJ182" s="7" t="n">
        <f aca="false">$I182</f>
        <v>0</v>
      </c>
      <c r="AK182" s="7" t="n">
        <f aca="false">$I182</f>
        <v>0</v>
      </c>
      <c r="AL182" s="7" t="n">
        <f aca="false">$I182</f>
        <v>0</v>
      </c>
      <c r="AM182" s="7" t="n">
        <f aca="false">$J182</f>
        <v>0</v>
      </c>
      <c r="AN182" s="7" t="n">
        <f aca="false">$J182</f>
        <v>0</v>
      </c>
      <c r="AO182" s="7" t="n">
        <f aca="false">$J182</f>
        <v>0</v>
      </c>
      <c r="AP182" s="7" t="n">
        <f aca="false">$J182</f>
        <v>0</v>
      </c>
      <c r="AQ182" s="7" t="n">
        <f aca="false">$K182</f>
        <v>0</v>
      </c>
      <c r="AR182" s="7" t="n">
        <f aca="false">$K182</f>
        <v>0</v>
      </c>
      <c r="AS182" s="7" t="n">
        <f aca="false">$K182</f>
        <v>0</v>
      </c>
      <c r="AT182" s="7" t="n">
        <f aca="false">$K182</f>
        <v>0</v>
      </c>
      <c r="AU182" s="7" t="n">
        <f aca="false">$K182</f>
        <v>0</v>
      </c>
      <c r="AV182" s="7" t="n">
        <f aca="false">$L182</f>
        <v>0</v>
      </c>
      <c r="AW182" s="7" t="n">
        <f aca="false">$L182</f>
        <v>0</v>
      </c>
      <c r="AX182" s="7" t="n">
        <f aca="false">$L182</f>
        <v>0</v>
      </c>
      <c r="AY182" s="7" t="n">
        <f aca="false">$L182</f>
        <v>0</v>
      </c>
      <c r="AZ182" s="7" t="n">
        <f aca="false">$M182</f>
        <v>0</v>
      </c>
      <c r="BA182" s="7" t="n">
        <f aca="false">$M182</f>
        <v>0</v>
      </c>
      <c r="BB182" s="7" t="n">
        <f aca="false">$M182</f>
        <v>0</v>
      </c>
      <c r="BC182" s="7" t="n">
        <f aca="false">$M182</f>
        <v>0</v>
      </c>
      <c r="BD182" s="7" t="n">
        <f aca="false">$N182</f>
        <v>0</v>
      </c>
      <c r="BE182" s="7" t="n">
        <f aca="false">$N182</f>
        <v>0</v>
      </c>
      <c r="BF182" s="7" t="n">
        <f aca="false">$N182</f>
        <v>0</v>
      </c>
      <c r="BG182" s="7" t="n">
        <f aca="false">$N182</f>
        <v>0</v>
      </c>
      <c r="BH182" s="7" t="n">
        <f aca="false">$N182</f>
        <v>0</v>
      </c>
      <c r="BI182" s="7" t="n">
        <f aca="false">$O182</f>
        <v>0</v>
      </c>
      <c r="BJ182" s="7" t="n">
        <f aca="false">$O182</f>
        <v>0</v>
      </c>
      <c r="BK182" s="7" t="n">
        <f aca="false">$O182</f>
        <v>0</v>
      </c>
      <c r="BL182" s="7" t="n">
        <f aca="false">$O182</f>
        <v>0</v>
      </c>
      <c r="BM182" s="7" t="n">
        <f aca="false">$P182</f>
        <v>0</v>
      </c>
      <c r="BN182" s="7" t="n">
        <f aca="false">$P182</f>
        <v>0</v>
      </c>
      <c r="BO182" s="7" t="n">
        <f aca="false">$P182</f>
        <v>0</v>
      </c>
      <c r="BP182" s="7" t="n">
        <f aca="false">$P182</f>
        <v>0</v>
      </c>
    </row>
    <row r="183" customFormat="false" ht="15" hidden="false" customHeight="false" outlineLevel="0" collapsed="false">
      <c r="A183" s="0" t="s">
        <v>236</v>
      </c>
      <c r="B183" s="0" t="s">
        <v>135</v>
      </c>
      <c r="C183" s="0" t="s">
        <v>121</v>
      </c>
      <c r="D183" s="0" t="n">
        <f aca="false">SUM(Q183:BP183)</f>
        <v>0</v>
      </c>
      <c r="E183" s="13" t="n">
        <v>0</v>
      </c>
      <c r="F183" s="13" t="n">
        <v>0</v>
      </c>
      <c r="G183" s="13" t="n">
        <v>0</v>
      </c>
      <c r="H183" s="13" t="n">
        <v>0</v>
      </c>
      <c r="I183" s="13" t="n">
        <v>0</v>
      </c>
      <c r="J183" s="13" t="n">
        <v>0</v>
      </c>
      <c r="K183" s="13" t="n">
        <v>0</v>
      </c>
      <c r="L183" s="13" t="n">
        <v>0</v>
      </c>
      <c r="M183" s="13" t="n">
        <v>0</v>
      </c>
      <c r="N183" s="13" t="n">
        <v>0</v>
      </c>
      <c r="O183" s="13" t="n">
        <v>0</v>
      </c>
      <c r="P183" s="13" t="n">
        <v>0</v>
      </c>
      <c r="Q183" s="7" t="n">
        <f aca="false">$E183</f>
        <v>0</v>
      </c>
      <c r="R183" s="7" t="n">
        <f aca="false">$E183</f>
        <v>0</v>
      </c>
      <c r="S183" s="7" t="n">
        <f aca="false">$E183</f>
        <v>0</v>
      </c>
      <c r="T183" s="7" t="n">
        <f aca="false">$E183</f>
        <v>0</v>
      </c>
      <c r="U183" s="7" t="n">
        <f aca="false">$E183</f>
        <v>0</v>
      </c>
      <c r="V183" s="7" t="n">
        <f aca="false">$F183</f>
        <v>0</v>
      </c>
      <c r="W183" s="7" t="n">
        <f aca="false">$F183</f>
        <v>0</v>
      </c>
      <c r="X183" s="7" t="n">
        <f aca="false">$F183</f>
        <v>0</v>
      </c>
      <c r="Y183" s="7" t="n">
        <f aca="false">$F183</f>
        <v>0</v>
      </c>
      <c r="Z183" s="7" t="n">
        <f aca="false">$G183</f>
        <v>0</v>
      </c>
      <c r="AA183" s="7" t="n">
        <f aca="false">$G183</f>
        <v>0</v>
      </c>
      <c r="AB183" s="7" t="n">
        <f aca="false">$G183</f>
        <v>0</v>
      </c>
      <c r="AC183" s="7" t="n">
        <f aca="false">$G183</f>
        <v>0</v>
      </c>
      <c r="AD183" s="7" t="n">
        <f aca="false">$H183</f>
        <v>0</v>
      </c>
      <c r="AE183" s="7" t="n">
        <f aca="false">$H183</f>
        <v>0</v>
      </c>
      <c r="AF183" s="7" t="n">
        <f aca="false">$H183</f>
        <v>0</v>
      </c>
      <c r="AG183" s="7" t="n">
        <f aca="false">$H183</f>
        <v>0</v>
      </c>
      <c r="AH183" s="7" t="n">
        <f aca="false">$H183</f>
        <v>0</v>
      </c>
      <c r="AI183" s="7" t="n">
        <f aca="false">$I183</f>
        <v>0</v>
      </c>
      <c r="AJ183" s="7" t="n">
        <f aca="false">$I183</f>
        <v>0</v>
      </c>
      <c r="AK183" s="7" t="n">
        <f aca="false">$I183</f>
        <v>0</v>
      </c>
      <c r="AL183" s="7" t="n">
        <f aca="false">$I183</f>
        <v>0</v>
      </c>
      <c r="AM183" s="7" t="n">
        <f aca="false">$J183</f>
        <v>0</v>
      </c>
      <c r="AN183" s="7" t="n">
        <f aca="false">$J183</f>
        <v>0</v>
      </c>
      <c r="AO183" s="7" t="n">
        <f aca="false">$J183</f>
        <v>0</v>
      </c>
      <c r="AP183" s="7" t="n">
        <f aca="false">$J183</f>
        <v>0</v>
      </c>
      <c r="AQ183" s="7" t="n">
        <f aca="false">$K183</f>
        <v>0</v>
      </c>
      <c r="AR183" s="7" t="n">
        <f aca="false">$K183</f>
        <v>0</v>
      </c>
      <c r="AS183" s="7" t="n">
        <f aca="false">$K183</f>
        <v>0</v>
      </c>
      <c r="AT183" s="7" t="n">
        <f aca="false">$K183</f>
        <v>0</v>
      </c>
      <c r="AU183" s="7" t="n">
        <f aca="false">$K183</f>
        <v>0</v>
      </c>
      <c r="AV183" s="7" t="n">
        <f aca="false">$L183</f>
        <v>0</v>
      </c>
      <c r="AW183" s="7" t="n">
        <f aca="false">$L183</f>
        <v>0</v>
      </c>
      <c r="AX183" s="7" t="n">
        <f aca="false">$L183</f>
        <v>0</v>
      </c>
      <c r="AY183" s="7" t="n">
        <f aca="false">$L183</f>
        <v>0</v>
      </c>
      <c r="AZ183" s="7" t="n">
        <f aca="false">$M183</f>
        <v>0</v>
      </c>
      <c r="BA183" s="7" t="n">
        <f aca="false">$M183</f>
        <v>0</v>
      </c>
      <c r="BB183" s="7" t="n">
        <f aca="false">$M183</f>
        <v>0</v>
      </c>
      <c r="BC183" s="7" t="n">
        <f aca="false">$M183</f>
        <v>0</v>
      </c>
      <c r="BD183" s="7" t="n">
        <f aca="false">$N183</f>
        <v>0</v>
      </c>
      <c r="BE183" s="7" t="n">
        <f aca="false">$N183</f>
        <v>0</v>
      </c>
      <c r="BF183" s="7" t="n">
        <f aca="false">$N183</f>
        <v>0</v>
      </c>
      <c r="BG183" s="7" t="n">
        <f aca="false">$N183</f>
        <v>0</v>
      </c>
      <c r="BH183" s="7" t="n">
        <f aca="false">$N183</f>
        <v>0</v>
      </c>
      <c r="BI183" s="7" t="n">
        <f aca="false">$O183</f>
        <v>0</v>
      </c>
      <c r="BJ183" s="7" t="n">
        <f aca="false">$O183</f>
        <v>0</v>
      </c>
      <c r="BK183" s="7" t="n">
        <f aca="false">$O183</f>
        <v>0</v>
      </c>
      <c r="BL183" s="7" t="n">
        <f aca="false">$O183</f>
        <v>0</v>
      </c>
      <c r="BM183" s="7" t="n">
        <f aca="false">$P183</f>
        <v>0</v>
      </c>
      <c r="BN183" s="7" t="n">
        <f aca="false">$P183</f>
        <v>0</v>
      </c>
      <c r="BO183" s="7" t="n">
        <f aca="false">$P183</f>
        <v>0</v>
      </c>
      <c r="BP183" s="7" t="n">
        <f aca="false">$P183</f>
        <v>0</v>
      </c>
    </row>
    <row r="184" customFormat="false" ht="15" hidden="false" customHeight="false" outlineLevel="0" collapsed="false">
      <c r="A184" s="0" t="s">
        <v>236</v>
      </c>
      <c r="B184" s="0" t="s">
        <v>135</v>
      </c>
      <c r="C184" s="0" t="s">
        <v>122</v>
      </c>
      <c r="D184" s="0" t="n">
        <f aca="false">SUM(Q184:BP184)</f>
        <v>0</v>
      </c>
      <c r="E184" s="13" t="n">
        <v>0</v>
      </c>
      <c r="F184" s="13" t="n">
        <v>0</v>
      </c>
      <c r="G184" s="13" t="n">
        <v>0</v>
      </c>
      <c r="H184" s="13" t="n">
        <v>0</v>
      </c>
      <c r="I184" s="13" t="n">
        <v>0</v>
      </c>
      <c r="J184" s="13" t="n">
        <v>0</v>
      </c>
      <c r="K184" s="13" t="n">
        <v>0</v>
      </c>
      <c r="L184" s="13" t="n">
        <v>0</v>
      </c>
      <c r="M184" s="13" t="n">
        <v>0</v>
      </c>
      <c r="N184" s="13" t="n">
        <v>0</v>
      </c>
      <c r="O184" s="13" t="n">
        <v>0</v>
      </c>
      <c r="P184" s="13" t="n">
        <v>0</v>
      </c>
      <c r="Q184" s="7" t="n">
        <f aca="false">$E184</f>
        <v>0</v>
      </c>
      <c r="R184" s="7" t="n">
        <f aca="false">$E184</f>
        <v>0</v>
      </c>
      <c r="S184" s="7" t="n">
        <f aca="false">$E184</f>
        <v>0</v>
      </c>
      <c r="T184" s="7" t="n">
        <f aca="false">$E184</f>
        <v>0</v>
      </c>
      <c r="U184" s="7" t="n">
        <f aca="false">$E184</f>
        <v>0</v>
      </c>
      <c r="V184" s="7" t="n">
        <f aca="false">$F184</f>
        <v>0</v>
      </c>
      <c r="W184" s="7" t="n">
        <f aca="false">$F184</f>
        <v>0</v>
      </c>
      <c r="X184" s="7" t="n">
        <f aca="false">$F184</f>
        <v>0</v>
      </c>
      <c r="Y184" s="7" t="n">
        <f aca="false">$F184</f>
        <v>0</v>
      </c>
      <c r="Z184" s="7" t="n">
        <f aca="false">$G184</f>
        <v>0</v>
      </c>
      <c r="AA184" s="7" t="n">
        <f aca="false">$G184</f>
        <v>0</v>
      </c>
      <c r="AB184" s="7" t="n">
        <f aca="false">$G184</f>
        <v>0</v>
      </c>
      <c r="AC184" s="7" t="n">
        <f aca="false">$G184</f>
        <v>0</v>
      </c>
      <c r="AD184" s="7" t="n">
        <f aca="false">$H184</f>
        <v>0</v>
      </c>
      <c r="AE184" s="7" t="n">
        <f aca="false">$H184</f>
        <v>0</v>
      </c>
      <c r="AF184" s="7" t="n">
        <f aca="false">$H184</f>
        <v>0</v>
      </c>
      <c r="AG184" s="7" t="n">
        <f aca="false">$H184</f>
        <v>0</v>
      </c>
      <c r="AH184" s="7" t="n">
        <f aca="false">$H184</f>
        <v>0</v>
      </c>
      <c r="AI184" s="7" t="n">
        <f aca="false">$I184</f>
        <v>0</v>
      </c>
      <c r="AJ184" s="7" t="n">
        <f aca="false">$I184</f>
        <v>0</v>
      </c>
      <c r="AK184" s="7" t="n">
        <f aca="false">$I184</f>
        <v>0</v>
      </c>
      <c r="AL184" s="7" t="n">
        <f aca="false">$I184</f>
        <v>0</v>
      </c>
      <c r="AM184" s="7" t="n">
        <f aca="false">$J184</f>
        <v>0</v>
      </c>
      <c r="AN184" s="7" t="n">
        <f aca="false">$J184</f>
        <v>0</v>
      </c>
      <c r="AO184" s="7" t="n">
        <f aca="false">$J184</f>
        <v>0</v>
      </c>
      <c r="AP184" s="7" t="n">
        <f aca="false">$J184</f>
        <v>0</v>
      </c>
      <c r="AQ184" s="7" t="n">
        <f aca="false">$K184</f>
        <v>0</v>
      </c>
      <c r="AR184" s="7" t="n">
        <f aca="false">$K184</f>
        <v>0</v>
      </c>
      <c r="AS184" s="7" t="n">
        <f aca="false">$K184</f>
        <v>0</v>
      </c>
      <c r="AT184" s="7" t="n">
        <f aca="false">$K184</f>
        <v>0</v>
      </c>
      <c r="AU184" s="7" t="n">
        <f aca="false">$K184</f>
        <v>0</v>
      </c>
      <c r="AV184" s="7" t="n">
        <f aca="false">$L184</f>
        <v>0</v>
      </c>
      <c r="AW184" s="7" t="n">
        <f aca="false">$L184</f>
        <v>0</v>
      </c>
      <c r="AX184" s="7" t="n">
        <f aca="false">$L184</f>
        <v>0</v>
      </c>
      <c r="AY184" s="7" t="n">
        <f aca="false">$L184</f>
        <v>0</v>
      </c>
      <c r="AZ184" s="7" t="n">
        <f aca="false">$M184</f>
        <v>0</v>
      </c>
      <c r="BA184" s="7" t="n">
        <f aca="false">$M184</f>
        <v>0</v>
      </c>
      <c r="BB184" s="7" t="n">
        <f aca="false">$M184</f>
        <v>0</v>
      </c>
      <c r="BC184" s="7" t="n">
        <f aca="false">$M184</f>
        <v>0</v>
      </c>
      <c r="BD184" s="7" t="n">
        <f aca="false">$N184</f>
        <v>0</v>
      </c>
      <c r="BE184" s="7" t="n">
        <f aca="false">$N184</f>
        <v>0</v>
      </c>
      <c r="BF184" s="7" t="n">
        <f aca="false">$N184</f>
        <v>0</v>
      </c>
      <c r="BG184" s="7" t="n">
        <f aca="false">$N184</f>
        <v>0</v>
      </c>
      <c r="BH184" s="7" t="n">
        <f aca="false">$N184</f>
        <v>0</v>
      </c>
      <c r="BI184" s="7" t="n">
        <f aca="false">$O184</f>
        <v>0</v>
      </c>
      <c r="BJ184" s="7" t="n">
        <f aca="false">$O184</f>
        <v>0</v>
      </c>
      <c r="BK184" s="7" t="n">
        <f aca="false">$O184</f>
        <v>0</v>
      </c>
      <c r="BL184" s="7" t="n">
        <f aca="false">$O184</f>
        <v>0</v>
      </c>
      <c r="BM184" s="7" t="n">
        <f aca="false">$P184</f>
        <v>0</v>
      </c>
      <c r="BN184" s="7" t="n">
        <f aca="false">$P184</f>
        <v>0</v>
      </c>
      <c r="BO184" s="7" t="n">
        <f aca="false">$P184</f>
        <v>0</v>
      </c>
      <c r="BP184" s="7" t="n">
        <f aca="false">$P184</f>
        <v>0</v>
      </c>
    </row>
    <row r="185" customFormat="false" ht="15" hidden="false" customHeight="false" outlineLevel="0" collapsed="false">
      <c r="A185" s="0" t="s">
        <v>236</v>
      </c>
      <c r="B185" s="0" t="s">
        <v>135</v>
      </c>
      <c r="C185" s="0" t="s">
        <v>123</v>
      </c>
      <c r="D185" s="0" t="n">
        <f aca="false">SUM(Q185:BP185)</f>
        <v>0</v>
      </c>
      <c r="E185" s="13" t="n">
        <v>0</v>
      </c>
      <c r="F185" s="13" t="n">
        <v>0</v>
      </c>
      <c r="G185" s="13" t="n">
        <v>0</v>
      </c>
      <c r="H185" s="13" t="n">
        <v>0</v>
      </c>
      <c r="I185" s="13" t="n">
        <v>0</v>
      </c>
      <c r="J185" s="13" t="n">
        <v>0</v>
      </c>
      <c r="K185" s="13" t="n">
        <v>0</v>
      </c>
      <c r="L185" s="13" t="n">
        <v>0</v>
      </c>
      <c r="M185" s="13" t="n">
        <v>0</v>
      </c>
      <c r="N185" s="13" t="n">
        <v>0</v>
      </c>
      <c r="O185" s="13" t="n">
        <v>0</v>
      </c>
      <c r="P185" s="13" t="n">
        <v>0</v>
      </c>
      <c r="Q185" s="7" t="n">
        <f aca="false">$E185</f>
        <v>0</v>
      </c>
      <c r="R185" s="7" t="n">
        <f aca="false">$E185</f>
        <v>0</v>
      </c>
      <c r="S185" s="7" t="n">
        <f aca="false">$E185</f>
        <v>0</v>
      </c>
      <c r="T185" s="7" t="n">
        <f aca="false">$E185</f>
        <v>0</v>
      </c>
      <c r="U185" s="7" t="n">
        <f aca="false">$E185</f>
        <v>0</v>
      </c>
      <c r="V185" s="7" t="n">
        <f aca="false">$F185</f>
        <v>0</v>
      </c>
      <c r="W185" s="7" t="n">
        <f aca="false">$F185</f>
        <v>0</v>
      </c>
      <c r="X185" s="7" t="n">
        <f aca="false">$F185</f>
        <v>0</v>
      </c>
      <c r="Y185" s="7" t="n">
        <f aca="false">$F185</f>
        <v>0</v>
      </c>
      <c r="Z185" s="7" t="n">
        <f aca="false">$G185</f>
        <v>0</v>
      </c>
      <c r="AA185" s="7" t="n">
        <f aca="false">$G185</f>
        <v>0</v>
      </c>
      <c r="AB185" s="7" t="n">
        <f aca="false">$G185</f>
        <v>0</v>
      </c>
      <c r="AC185" s="7" t="n">
        <f aca="false">$G185</f>
        <v>0</v>
      </c>
      <c r="AD185" s="7" t="n">
        <f aca="false">$H185</f>
        <v>0</v>
      </c>
      <c r="AE185" s="7" t="n">
        <f aca="false">$H185</f>
        <v>0</v>
      </c>
      <c r="AF185" s="7" t="n">
        <f aca="false">$H185</f>
        <v>0</v>
      </c>
      <c r="AG185" s="7" t="n">
        <f aca="false">$H185</f>
        <v>0</v>
      </c>
      <c r="AH185" s="7" t="n">
        <f aca="false">$H185</f>
        <v>0</v>
      </c>
      <c r="AI185" s="7" t="n">
        <f aca="false">$I185</f>
        <v>0</v>
      </c>
      <c r="AJ185" s="7" t="n">
        <f aca="false">$I185</f>
        <v>0</v>
      </c>
      <c r="AK185" s="7" t="n">
        <f aca="false">$I185</f>
        <v>0</v>
      </c>
      <c r="AL185" s="7" t="n">
        <f aca="false">$I185</f>
        <v>0</v>
      </c>
      <c r="AM185" s="7" t="n">
        <f aca="false">$J185</f>
        <v>0</v>
      </c>
      <c r="AN185" s="7" t="n">
        <f aca="false">$J185</f>
        <v>0</v>
      </c>
      <c r="AO185" s="7" t="n">
        <f aca="false">$J185</f>
        <v>0</v>
      </c>
      <c r="AP185" s="7" t="n">
        <f aca="false">$J185</f>
        <v>0</v>
      </c>
      <c r="AQ185" s="7" t="n">
        <f aca="false">$K185</f>
        <v>0</v>
      </c>
      <c r="AR185" s="7" t="n">
        <f aca="false">$K185</f>
        <v>0</v>
      </c>
      <c r="AS185" s="7" t="n">
        <f aca="false">$K185</f>
        <v>0</v>
      </c>
      <c r="AT185" s="7" t="n">
        <f aca="false">$K185</f>
        <v>0</v>
      </c>
      <c r="AU185" s="7" t="n">
        <f aca="false">$K185</f>
        <v>0</v>
      </c>
      <c r="AV185" s="7" t="n">
        <f aca="false">$L185</f>
        <v>0</v>
      </c>
      <c r="AW185" s="7" t="n">
        <f aca="false">$L185</f>
        <v>0</v>
      </c>
      <c r="AX185" s="7" t="n">
        <f aca="false">$L185</f>
        <v>0</v>
      </c>
      <c r="AY185" s="7" t="n">
        <f aca="false">$L185</f>
        <v>0</v>
      </c>
      <c r="AZ185" s="7" t="n">
        <f aca="false">$M185</f>
        <v>0</v>
      </c>
      <c r="BA185" s="7" t="n">
        <f aca="false">$M185</f>
        <v>0</v>
      </c>
      <c r="BB185" s="7" t="n">
        <f aca="false">$M185</f>
        <v>0</v>
      </c>
      <c r="BC185" s="7" t="n">
        <f aca="false">$M185</f>
        <v>0</v>
      </c>
      <c r="BD185" s="7" t="n">
        <f aca="false">$N185</f>
        <v>0</v>
      </c>
      <c r="BE185" s="7" t="n">
        <f aca="false">$N185</f>
        <v>0</v>
      </c>
      <c r="BF185" s="7" t="n">
        <f aca="false">$N185</f>
        <v>0</v>
      </c>
      <c r="BG185" s="7" t="n">
        <f aca="false">$N185</f>
        <v>0</v>
      </c>
      <c r="BH185" s="7" t="n">
        <f aca="false">$N185</f>
        <v>0</v>
      </c>
      <c r="BI185" s="7" t="n">
        <f aca="false">$O185</f>
        <v>0</v>
      </c>
      <c r="BJ185" s="7" t="n">
        <f aca="false">$O185</f>
        <v>0</v>
      </c>
      <c r="BK185" s="7" t="n">
        <f aca="false">$O185</f>
        <v>0</v>
      </c>
      <c r="BL185" s="7" t="n">
        <f aca="false">$O185</f>
        <v>0</v>
      </c>
      <c r="BM185" s="7" t="n">
        <f aca="false">$P185</f>
        <v>0</v>
      </c>
      <c r="BN185" s="7" t="n">
        <f aca="false">$P185</f>
        <v>0</v>
      </c>
      <c r="BO185" s="7" t="n">
        <f aca="false">$P185</f>
        <v>0</v>
      </c>
      <c r="BP185" s="7" t="n">
        <f aca="false">$P185</f>
        <v>0</v>
      </c>
    </row>
    <row r="186" customFormat="false" ht="15" hidden="false" customHeight="false" outlineLevel="0" collapsed="false">
      <c r="A186" s="4" t="s">
        <v>237</v>
      </c>
      <c r="D186" s="4" t="n">
        <f aca="false">SUM(D6:D185)</f>
        <v>100613</v>
      </c>
      <c r="E186" s="10" t="n">
        <f aca="false">SUM(E6:E185)</f>
        <v>511</v>
      </c>
      <c r="F186" s="10" t="n">
        <f aca="false">SUM(F6:F185)</f>
        <v>742</v>
      </c>
      <c r="G186" s="10" t="n">
        <f aca="false">SUM(G6:G185)</f>
        <v>1053</v>
      </c>
      <c r="H186" s="10" t="n">
        <f aca="false">SUM(H6:H185)</f>
        <v>1372</v>
      </c>
      <c r="I186" s="10" t="n">
        <f aca="false">SUM(I6:I185)</f>
        <v>1679</v>
      </c>
      <c r="J186" s="10" t="n">
        <f aca="false">SUM(J6:J185)</f>
        <v>1972</v>
      </c>
      <c r="K186" s="10" t="n">
        <f aca="false">SUM(K6:K185)</f>
        <v>2319</v>
      </c>
      <c r="L186" s="10" t="n">
        <f aca="false">SUM(L6:L185)</f>
        <v>2427</v>
      </c>
      <c r="M186" s="10" t="n">
        <f aca="false">SUM(M6:M185)</f>
        <v>2588</v>
      </c>
      <c r="N186" s="10" t="n">
        <f aca="false">SUM(N6:N185)</f>
        <v>2823</v>
      </c>
      <c r="O186" s="10" t="n">
        <f aca="false">SUM(O6:O185)</f>
        <v>2922</v>
      </c>
      <c r="P186" s="10" t="n">
        <f aca="false">SUM(P6:P185)</f>
        <v>2989</v>
      </c>
      <c r="Q186" s="10" t="n">
        <f aca="false">SUM(Q6:Q185)</f>
        <v>511</v>
      </c>
      <c r="R186" s="10" t="n">
        <f aca="false">SUM(R6:R185)</f>
        <v>511</v>
      </c>
      <c r="S186" s="10" t="n">
        <f aca="false">SUM(S6:S185)</f>
        <v>511</v>
      </c>
      <c r="T186" s="10" t="n">
        <f aca="false">SUM(T6:T185)</f>
        <v>511</v>
      </c>
      <c r="U186" s="10" t="n">
        <f aca="false">SUM(U6:U185)</f>
        <v>511</v>
      </c>
      <c r="V186" s="10" t="n">
        <f aca="false">SUM(V6:V185)</f>
        <v>742</v>
      </c>
      <c r="W186" s="10" t="n">
        <f aca="false">SUM(W6:W185)</f>
        <v>742</v>
      </c>
      <c r="X186" s="10" t="n">
        <f aca="false">SUM(X6:X185)</f>
        <v>742</v>
      </c>
      <c r="Y186" s="10" t="n">
        <f aca="false">SUM(Y6:Y185)</f>
        <v>742</v>
      </c>
      <c r="Z186" s="10" t="n">
        <f aca="false">SUM(Z6:Z185)</f>
        <v>1053</v>
      </c>
      <c r="AA186" s="10" t="n">
        <f aca="false">SUM(AA6:AA185)</f>
        <v>1053</v>
      </c>
      <c r="AB186" s="10" t="n">
        <f aca="false">SUM(AB6:AB185)</f>
        <v>1053</v>
      </c>
      <c r="AC186" s="10" t="n">
        <f aca="false">SUM(AC6:AC185)</f>
        <v>1053</v>
      </c>
      <c r="AD186" s="10" t="n">
        <f aca="false">SUM(AD6:AD185)</f>
        <v>1372</v>
      </c>
      <c r="AE186" s="10" t="n">
        <f aca="false">SUM(AE6:AE185)</f>
        <v>1372</v>
      </c>
      <c r="AF186" s="10" t="n">
        <f aca="false">SUM(AF6:AF185)</f>
        <v>1372</v>
      </c>
      <c r="AG186" s="10" t="n">
        <f aca="false">SUM(AG6:AG185)</f>
        <v>1372</v>
      </c>
      <c r="AH186" s="10" t="n">
        <f aca="false">SUM(AH6:AH185)</f>
        <v>1372</v>
      </c>
      <c r="AI186" s="10" t="n">
        <f aca="false">SUM(AI6:AI185)</f>
        <v>1679</v>
      </c>
      <c r="AJ186" s="10" t="n">
        <f aca="false">SUM(AJ6:AJ185)</f>
        <v>1679</v>
      </c>
      <c r="AK186" s="10" t="n">
        <f aca="false">SUM(AK6:AK185)</f>
        <v>1679</v>
      </c>
      <c r="AL186" s="10" t="n">
        <f aca="false">SUM(AL6:AL185)</f>
        <v>1679</v>
      </c>
      <c r="AM186" s="10" t="n">
        <f aca="false">SUM(AM6:AM185)</f>
        <v>1972</v>
      </c>
      <c r="AN186" s="10" t="n">
        <f aca="false">SUM(AN6:AN185)</f>
        <v>1972</v>
      </c>
      <c r="AO186" s="10" t="n">
        <f aca="false">SUM(AO6:AO185)</f>
        <v>1972</v>
      </c>
      <c r="AP186" s="10" t="n">
        <f aca="false">SUM(AP6:AP185)</f>
        <v>1972</v>
      </c>
      <c r="AQ186" s="10" t="n">
        <f aca="false">SUM(AQ6:AQ185)</f>
        <v>2319</v>
      </c>
      <c r="AR186" s="10" t="n">
        <f aca="false">SUM(AR6:AR185)</f>
        <v>2319</v>
      </c>
      <c r="AS186" s="10" t="n">
        <f aca="false">SUM(AS6:AS185)</f>
        <v>2319</v>
      </c>
      <c r="AT186" s="10" t="n">
        <f aca="false">SUM(AT6:AT185)</f>
        <v>2319</v>
      </c>
      <c r="AU186" s="10" t="n">
        <f aca="false">SUM(AU6:AU185)</f>
        <v>2319</v>
      </c>
      <c r="AV186" s="10" t="n">
        <f aca="false">SUM(AV6:AV185)</f>
        <v>2427</v>
      </c>
      <c r="AW186" s="10" t="n">
        <f aca="false">SUM(AW6:AW185)</f>
        <v>2427</v>
      </c>
      <c r="AX186" s="10" t="n">
        <f aca="false">SUM(AX6:AX185)</f>
        <v>2427</v>
      </c>
      <c r="AY186" s="10" t="n">
        <f aca="false">SUM(AY6:AY185)</f>
        <v>2427</v>
      </c>
      <c r="AZ186" s="10" t="n">
        <f aca="false">SUM(AZ6:AZ185)</f>
        <v>2588</v>
      </c>
      <c r="BA186" s="10" t="n">
        <f aca="false">SUM(BA6:BA185)</f>
        <v>2588</v>
      </c>
      <c r="BB186" s="10" t="n">
        <f aca="false">SUM(BB6:BB185)</f>
        <v>2588</v>
      </c>
      <c r="BC186" s="10" t="n">
        <f aca="false">SUM(BC6:BC185)</f>
        <v>2588</v>
      </c>
      <c r="BD186" s="10" t="n">
        <f aca="false">SUM(BD6:BD185)</f>
        <v>2823</v>
      </c>
      <c r="BE186" s="10" t="n">
        <f aca="false">SUM(BE6:BE185)</f>
        <v>2823</v>
      </c>
      <c r="BF186" s="10" t="n">
        <f aca="false">SUM(BF6:BF185)</f>
        <v>2823</v>
      </c>
      <c r="BG186" s="10" t="n">
        <f aca="false">SUM(BG6:BG185)</f>
        <v>2823</v>
      </c>
      <c r="BH186" s="10" t="n">
        <f aca="false">SUM(BH6:BH185)</f>
        <v>2823</v>
      </c>
      <c r="BI186" s="10" t="n">
        <f aca="false">SUM(BI6:BI185)</f>
        <v>2922</v>
      </c>
      <c r="BJ186" s="10" t="n">
        <f aca="false">SUM(BJ6:BJ185)</f>
        <v>2922</v>
      </c>
      <c r="BK186" s="10" t="n">
        <f aca="false">SUM(BK6:BK185)</f>
        <v>2922</v>
      </c>
      <c r="BL186" s="10" t="n">
        <f aca="false">SUM(BL6:BL185)</f>
        <v>2922</v>
      </c>
      <c r="BM186" s="10" t="n">
        <f aca="false">SUM(BM6:BM185)</f>
        <v>2989</v>
      </c>
      <c r="BN186" s="10" t="n">
        <f aca="false">SUM(BN6:BN185)</f>
        <v>2989</v>
      </c>
      <c r="BO186" s="10" t="n">
        <f aca="false">SUM(BO6:BO185)</f>
        <v>2989</v>
      </c>
      <c r="BP186" s="10" t="n">
        <f aca="false">SUM(BP6:BP185)</f>
        <v>2989</v>
      </c>
    </row>
  </sheetData>
  <mergeCells count="2">
    <mergeCell ref="E4:P4"/>
    <mergeCell ref="Q4:BP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238</v>
      </c>
    </row>
    <row r="3" customFormat="false" ht="15" hidden="false" customHeight="false" outlineLevel="0" collapsed="false">
      <c r="A3" s="0" t="s">
        <v>239</v>
      </c>
    </row>
    <row r="5" customFormat="false" ht="15" hidden="false" customHeight="false" outlineLevel="0" collapsed="false">
      <c r="A5" s="6" t="s">
        <v>94</v>
      </c>
      <c r="B5" s="6" t="s">
        <v>240</v>
      </c>
      <c r="C5" s="6" t="s">
        <v>241</v>
      </c>
      <c r="D5" s="6" t="s">
        <v>242</v>
      </c>
      <c r="E5" s="6" t="s">
        <v>243</v>
      </c>
      <c r="F5" s="6" t="s">
        <v>208</v>
      </c>
    </row>
    <row r="6" customFormat="false" ht="15" hidden="false" customHeight="false" outlineLevel="0" collapsed="false">
      <c r="A6" s="0" t="s">
        <v>108</v>
      </c>
      <c r="B6" s="23" t="n">
        <v>28</v>
      </c>
      <c r="C6" s="23" t="n">
        <v>14.5</v>
      </c>
      <c r="D6" s="24" t="n">
        <f aca="false">B6-C6</f>
        <v>13.5</v>
      </c>
      <c r="E6" s="15" t="n">
        <f aca="false">D6/B6</f>
        <v>0.482142857142857</v>
      </c>
      <c r="F6" s="3" t="s">
        <v>244</v>
      </c>
    </row>
    <row r="7" customFormat="false" ht="15" hidden="false" customHeight="false" outlineLevel="0" collapsed="false">
      <c r="A7" s="0" t="s">
        <v>109</v>
      </c>
      <c r="B7" s="23" t="n">
        <v>28</v>
      </c>
      <c r="C7" s="23" t="n">
        <v>14.5</v>
      </c>
      <c r="D7" s="24" t="n">
        <f aca="false">B7-C7</f>
        <v>13.5</v>
      </c>
      <c r="E7" s="15" t="n">
        <f aca="false">D7/B7</f>
        <v>0.482142857142857</v>
      </c>
      <c r="F7" s="3" t="s">
        <v>245</v>
      </c>
    </row>
    <row r="8" customFormat="false" ht="15" hidden="false" customHeight="false" outlineLevel="0" collapsed="false">
      <c r="A8" s="0" t="s">
        <v>110</v>
      </c>
      <c r="B8" s="23" t="n">
        <v>28</v>
      </c>
      <c r="C8" s="23" t="n">
        <v>14.5</v>
      </c>
      <c r="D8" s="24" t="n">
        <f aca="false">B8-C8</f>
        <v>13.5</v>
      </c>
      <c r="E8" s="15" t="n">
        <f aca="false">D8/B8</f>
        <v>0.482142857142857</v>
      </c>
      <c r="F8" s="3" t="s">
        <v>246</v>
      </c>
    </row>
    <row r="9" customFormat="false" ht="15" hidden="false" customHeight="false" outlineLevel="0" collapsed="false">
      <c r="A9" s="0" t="s">
        <v>111</v>
      </c>
      <c r="B9" s="23" t="n">
        <v>32</v>
      </c>
      <c r="C9" s="23" t="n">
        <v>16</v>
      </c>
      <c r="D9" s="24" t="n">
        <f aca="false">B9-C9</f>
        <v>16</v>
      </c>
      <c r="E9" s="15" t="n">
        <f aca="false">D9/B9</f>
        <v>0.5</v>
      </c>
      <c r="F9" s="3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65" min="2" style="0" width="11"/>
  </cols>
  <sheetData>
    <row r="1" customFormat="false" ht="17.35" hidden="false" customHeight="false" outlineLevel="0" collapsed="false">
      <c r="A1" s="1" t="s">
        <v>248</v>
      </c>
    </row>
    <row r="3" customFormat="false" ht="15" hidden="false" customHeight="false" outlineLevel="0" collapsed="false">
      <c r="A3" s="0" t="s">
        <v>249</v>
      </c>
    </row>
    <row r="5" customFormat="false" ht="15" hidden="false" customHeight="false" outlineLevel="0" collapsed="false">
      <c r="A5" s="4" t="s">
        <v>250</v>
      </c>
      <c r="E5" s="21" t="s">
        <v>140</v>
      </c>
      <c r="F5" s="21" t="s">
        <v>141</v>
      </c>
      <c r="G5" s="21" t="s">
        <v>142</v>
      </c>
      <c r="H5" s="21" t="s">
        <v>143</v>
      </c>
      <c r="I5" s="21" t="s">
        <v>144</v>
      </c>
      <c r="J5" s="21" t="s">
        <v>145</v>
      </c>
      <c r="K5" s="21" t="s">
        <v>146</v>
      </c>
      <c r="L5" s="21" t="s">
        <v>147</v>
      </c>
      <c r="M5" s="21" t="s">
        <v>148</v>
      </c>
      <c r="N5" s="21" t="s">
        <v>149</v>
      </c>
      <c r="O5" s="21" t="s">
        <v>150</v>
      </c>
      <c r="P5" s="21" t="s">
        <v>151</v>
      </c>
      <c r="Q5" s="21" t="s">
        <v>152</v>
      </c>
      <c r="R5" s="21" t="s">
        <v>153</v>
      </c>
      <c r="S5" s="21" t="s">
        <v>154</v>
      </c>
      <c r="T5" s="21" t="s">
        <v>155</v>
      </c>
      <c r="U5" s="21" t="s">
        <v>156</v>
      </c>
      <c r="V5" s="21" t="s">
        <v>157</v>
      </c>
      <c r="W5" s="21" t="s">
        <v>158</v>
      </c>
      <c r="X5" s="21" t="s">
        <v>159</v>
      </c>
      <c r="Y5" s="21" t="s">
        <v>160</v>
      </c>
      <c r="Z5" s="21" t="s">
        <v>161</v>
      </c>
      <c r="AA5" s="21" t="s">
        <v>162</v>
      </c>
      <c r="AB5" s="21" t="s">
        <v>163</v>
      </c>
      <c r="AC5" s="21" t="s">
        <v>164</v>
      </c>
      <c r="AD5" s="21" t="s">
        <v>165</v>
      </c>
      <c r="AE5" s="21" t="s">
        <v>166</v>
      </c>
      <c r="AF5" s="21" t="s">
        <v>167</v>
      </c>
      <c r="AG5" s="21" t="s">
        <v>168</v>
      </c>
      <c r="AH5" s="21" t="s">
        <v>169</v>
      </c>
      <c r="AI5" s="21" t="s">
        <v>170</v>
      </c>
      <c r="AJ5" s="21" t="s">
        <v>171</v>
      </c>
      <c r="AK5" s="21" t="s">
        <v>172</v>
      </c>
      <c r="AL5" s="21" t="s">
        <v>173</v>
      </c>
      <c r="AM5" s="21" t="s">
        <v>174</v>
      </c>
      <c r="AN5" s="21" t="s">
        <v>175</v>
      </c>
      <c r="AO5" s="21" t="s">
        <v>176</v>
      </c>
      <c r="AP5" s="21" t="s">
        <v>177</v>
      </c>
      <c r="AQ5" s="21" t="s">
        <v>178</v>
      </c>
      <c r="AR5" s="21" t="s">
        <v>179</v>
      </c>
      <c r="AS5" s="21" t="s">
        <v>180</v>
      </c>
      <c r="AT5" s="21" t="s">
        <v>181</v>
      </c>
      <c r="AU5" s="21" t="s">
        <v>182</v>
      </c>
      <c r="AV5" s="21" t="s">
        <v>183</v>
      </c>
      <c r="AW5" s="21" t="s">
        <v>184</v>
      </c>
      <c r="AX5" s="21" t="s">
        <v>185</v>
      </c>
      <c r="AY5" s="21" t="s">
        <v>186</v>
      </c>
      <c r="AZ5" s="21" t="s">
        <v>187</v>
      </c>
      <c r="BA5" s="21" t="s">
        <v>188</v>
      </c>
      <c r="BB5" s="21" t="s">
        <v>189</v>
      </c>
      <c r="BC5" s="21" t="s">
        <v>190</v>
      </c>
      <c r="BD5" s="21" t="s">
        <v>191</v>
      </c>
    </row>
    <row r="6" customFormat="false" ht="15" hidden="false" customHeight="false" outlineLevel="0" collapsed="false">
      <c r="A6" s="4" t="s">
        <v>251</v>
      </c>
      <c r="E6" s="7" t="n">
        <f aca="false">E24</f>
        <v>13.54</v>
      </c>
      <c r="F6" s="7" t="n">
        <f aca="false">F24</f>
        <v>13.54</v>
      </c>
      <c r="G6" s="7" t="n">
        <f aca="false">G24</f>
        <v>13.54</v>
      </c>
      <c r="H6" s="7" t="n">
        <f aca="false">H24</f>
        <v>13.54</v>
      </c>
      <c r="I6" s="7" t="n">
        <f aca="false">I24</f>
        <v>13.54</v>
      </c>
      <c r="J6" s="7" t="n">
        <f aca="false">J24</f>
        <v>19.405</v>
      </c>
      <c r="K6" s="7" t="n">
        <f aca="false">K24</f>
        <v>19.405</v>
      </c>
      <c r="L6" s="7" t="n">
        <f aca="false">L24</f>
        <v>19.405</v>
      </c>
      <c r="M6" s="7" t="n">
        <f aca="false">M24</f>
        <v>19.405</v>
      </c>
      <c r="N6" s="7" t="n">
        <f aca="false">N24</f>
        <v>27.2025</v>
      </c>
      <c r="O6" s="7" t="n">
        <f aca="false">O24</f>
        <v>27.2025</v>
      </c>
      <c r="P6" s="7" t="n">
        <f aca="false">P24</f>
        <v>27.2025</v>
      </c>
      <c r="Q6" s="7" t="n">
        <f aca="false">Q24</f>
        <v>27.2025</v>
      </c>
      <c r="R6" s="7" t="n">
        <f aca="false">R24</f>
        <v>34.8525</v>
      </c>
      <c r="S6" s="7" t="n">
        <f aca="false">S24</f>
        <v>34.8525</v>
      </c>
      <c r="T6" s="7" t="n">
        <f aca="false">T24</f>
        <v>34.8525</v>
      </c>
      <c r="U6" s="7" t="n">
        <f aca="false">U24</f>
        <v>34.8525</v>
      </c>
      <c r="V6" s="7" t="n">
        <f aca="false">V24</f>
        <v>34.8525</v>
      </c>
      <c r="W6" s="7" t="n">
        <f aca="false">W24</f>
        <v>42.225</v>
      </c>
      <c r="X6" s="7" t="n">
        <f aca="false">X24</f>
        <v>42.225</v>
      </c>
      <c r="Y6" s="7" t="n">
        <f aca="false">Y24</f>
        <v>42.225</v>
      </c>
      <c r="Z6" s="7" t="n">
        <f aca="false">Z24</f>
        <v>42.225</v>
      </c>
      <c r="AA6" s="7" t="n">
        <f aca="false">AA24</f>
        <v>49.0025</v>
      </c>
      <c r="AB6" s="7" t="n">
        <f aca="false">AB24</f>
        <v>49.0025</v>
      </c>
      <c r="AC6" s="7" t="n">
        <f aca="false">AC24</f>
        <v>49.0025</v>
      </c>
      <c r="AD6" s="7" t="n">
        <f aca="false">AD24</f>
        <v>49.0025</v>
      </c>
      <c r="AE6" s="7" t="n">
        <f aca="false">AE24</f>
        <v>59.9475</v>
      </c>
      <c r="AF6" s="7" t="n">
        <f aca="false">AF24</f>
        <v>59.9475</v>
      </c>
      <c r="AG6" s="7" t="n">
        <f aca="false">AG24</f>
        <v>59.9475</v>
      </c>
      <c r="AH6" s="7" t="n">
        <f aca="false">AH24</f>
        <v>59.9475</v>
      </c>
      <c r="AI6" s="7" t="n">
        <f aca="false">AI24</f>
        <v>59.9475</v>
      </c>
      <c r="AJ6" s="7" t="n">
        <f aca="false">AJ24</f>
        <v>59.73</v>
      </c>
      <c r="AK6" s="7" t="n">
        <f aca="false">AK24</f>
        <v>59.73</v>
      </c>
      <c r="AL6" s="7" t="n">
        <f aca="false">AL24</f>
        <v>59.73</v>
      </c>
      <c r="AM6" s="7" t="n">
        <f aca="false">AM24</f>
        <v>59.73</v>
      </c>
      <c r="AN6" s="7" t="n">
        <f aca="false">AN24</f>
        <v>63.505</v>
      </c>
      <c r="AO6" s="7" t="n">
        <f aca="false">AO24</f>
        <v>63.505</v>
      </c>
      <c r="AP6" s="7" t="n">
        <f aca="false">AP24</f>
        <v>63.505</v>
      </c>
      <c r="AQ6" s="7" t="n">
        <f aca="false">AQ24</f>
        <v>63.505</v>
      </c>
      <c r="AR6" s="7" t="n">
        <f aca="false">AR24</f>
        <v>71.8825</v>
      </c>
      <c r="AS6" s="7" t="n">
        <f aca="false">AS24</f>
        <v>71.8825</v>
      </c>
      <c r="AT6" s="7" t="n">
        <f aca="false">AT24</f>
        <v>71.8825</v>
      </c>
      <c r="AU6" s="7" t="n">
        <f aca="false">AU24</f>
        <v>71.8825</v>
      </c>
      <c r="AV6" s="7" t="n">
        <f aca="false">AV24</f>
        <v>71.8825</v>
      </c>
      <c r="AW6" s="7" t="n">
        <f aca="false">AW24</f>
        <v>74.4775</v>
      </c>
      <c r="AX6" s="7" t="n">
        <f aca="false">AX24</f>
        <v>74.4775</v>
      </c>
      <c r="AY6" s="7" t="n">
        <f aca="false">AY24</f>
        <v>74.4775</v>
      </c>
      <c r="AZ6" s="7" t="n">
        <f aca="false">AZ24</f>
        <v>74.4775</v>
      </c>
      <c r="BA6" s="7" t="n">
        <f aca="false">BA24</f>
        <v>76.265</v>
      </c>
      <c r="BB6" s="7" t="n">
        <f aca="false">BB24</f>
        <v>76.265</v>
      </c>
      <c r="BC6" s="7" t="n">
        <f aca="false">BC24</f>
        <v>76.265</v>
      </c>
      <c r="BD6" s="7" t="n">
        <f aca="false">BD24</f>
        <v>76.265</v>
      </c>
    </row>
    <row r="7" customFormat="false" ht="15" hidden="false" customHeight="false" outlineLevel="0" collapsed="false">
      <c r="A7" s="4" t="s">
        <v>252</v>
      </c>
      <c r="E7" s="7" t="n">
        <f aca="false">E41</f>
        <v>42.7692307692308</v>
      </c>
      <c r="F7" s="7" t="n">
        <f aca="false">F41</f>
        <v>2.76923076923077</v>
      </c>
      <c r="G7" s="7" t="n">
        <f aca="false">G41</f>
        <v>2.76923076923077</v>
      </c>
      <c r="H7" s="7" t="n">
        <f aca="false">H41</f>
        <v>2.76923076923077</v>
      </c>
      <c r="I7" s="7" t="n">
        <f aca="false">I41</f>
        <v>2.76923076923077</v>
      </c>
      <c r="J7" s="7" t="n">
        <f aca="false">J41</f>
        <v>3.35746606334842</v>
      </c>
      <c r="K7" s="7" t="n">
        <f aca="false">K41</f>
        <v>3.35746606334842</v>
      </c>
      <c r="L7" s="7" t="n">
        <f aca="false">L41</f>
        <v>3.35746606334842</v>
      </c>
      <c r="M7" s="7" t="n">
        <f aca="false">M41</f>
        <v>3.35746606334842</v>
      </c>
      <c r="N7" s="7" t="n">
        <f aca="false">N41</f>
        <v>3.35746606334842</v>
      </c>
      <c r="O7" s="7" t="n">
        <f aca="false">O41</f>
        <v>3.35746606334842</v>
      </c>
      <c r="P7" s="7" t="n">
        <f aca="false">P41</f>
        <v>3.35746606334842</v>
      </c>
      <c r="Q7" s="7" t="n">
        <f aca="false">Q41</f>
        <v>3.35746606334842</v>
      </c>
      <c r="R7" s="7" t="n">
        <f aca="false">R41</f>
        <v>3.35746606334842</v>
      </c>
      <c r="S7" s="7" t="n">
        <f aca="false">S41</f>
        <v>3.35746606334842</v>
      </c>
      <c r="T7" s="7" t="n">
        <f aca="false">T41</f>
        <v>3.35746606334842</v>
      </c>
      <c r="U7" s="7" t="n">
        <f aca="false">U41</f>
        <v>3.35746606334842</v>
      </c>
      <c r="V7" s="7" t="n">
        <f aca="false">V41</f>
        <v>3.35746606334842</v>
      </c>
      <c r="W7" s="7" t="n">
        <f aca="false">W41</f>
        <v>3.35746606334842</v>
      </c>
      <c r="X7" s="7" t="n">
        <f aca="false">X41</f>
        <v>3.35746606334842</v>
      </c>
      <c r="Y7" s="7" t="n">
        <f aca="false">Y41</f>
        <v>3.35746606334842</v>
      </c>
      <c r="Z7" s="7" t="n">
        <f aca="false">Z41</f>
        <v>3.35746606334842</v>
      </c>
      <c r="AA7" s="7" t="n">
        <f aca="false">AA41</f>
        <v>3.35746606334842</v>
      </c>
      <c r="AB7" s="7" t="n">
        <f aca="false">AB41</f>
        <v>3.35746606334842</v>
      </c>
      <c r="AC7" s="7" t="n">
        <f aca="false">AC41</f>
        <v>3.35746606334842</v>
      </c>
      <c r="AD7" s="7" t="n">
        <f aca="false">AD41</f>
        <v>3.35746606334842</v>
      </c>
      <c r="AE7" s="7" t="n">
        <f aca="false">AE41</f>
        <v>103.357466063348</v>
      </c>
      <c r="AF7" s="7" t="n">
        <f aca="false">AF41</f>
        <v>3.35746606334842</v>
      </c>
      <c r="AG7" s="7" t="n">
        <f aca="false">AG41</f>
        <v>3.35746606334842</v>
      </c>
      <c r="AH7" s="7" t="n">
        <f aca="false">AH41</f>
        <v>3.35746606334842</v>
      </c>
      <c r="AI7" s="7" t="n">
        <f aca="false">AI41</f>
        <v>3.35746606334842</v>
      </c>
      <c r="AJ7" s="7" t="n">
        <f aca="false">AJ41</f>
        <v>32.1074660633484</v>
      </c>
      <c r="AK7" s="7" t="n">
        <f aca="false">AK41</f>
        <v>7.10746606334842</v>
      </c>
      <c r="AL7" s="7" t="n">
        <f aca="false">AL41</f>
        <v>7.10746606334842</v>
      </c>
      <c r="AM7" s="7" t="n">
        <f aca="false">AM41</f>
        <v>7.10746606334842</v>
      </c>
      <c r="AN7" s="7" t="n">
        <f aca="false">AN41</f>
        <v>7.10746606334842</v>
      </c>
      <c r="AO7" s="7" t="n">
        <f aca="false">AO41</f>
        <v>7.10746606334842</v>
      </c>
      <c r="AP7" s="7" t="n">
        <f aca="false">AP41</f>
        <v>7.10746606334842</v>
      </c>
      <c r="AQ7" s="7" t="n">
        <f aca="false">AQ41</f>
        <v>7.10746606334842</v>
      </c>
      <c r="AR7" s="7" t="n">
        <f aca="false">AR41</f>
        <v>2.76923076923077</v>
      </c>
      <c r="AS7" s="7" t="n">
        <f aca="false">AS41</f>
        <v>2.76923076923077</v>
      </c>
      <c r="AT7" s="7" t="n">
        <f aca="false">AT41</f>
        <v>22.7692307692308</v>
      </c>
      <c r="AU7" s="7" t="n">
        <f aca="false">AU41</f>
        <v>2.76923076923077</v>
      </c>
      <c r="AV7" s="7" t="n">
        <f aca="false">AV41</f>
        <v>2.76923076923077</v>
      </c>
      <c r="AW7" s="7" t="n">
        <f aca="false">AW41</f>
        <v>2.76923076923077</v>
      </c>
      <c r="AX7" s="7" t="n">
        <f aca="false">AX41</f>
        <v>27.7692307692308</v>
      </c>
      <c r="AY7" s="7" t="n">
        <f aca="false">AY41</f>
        <v>2.76923076923077</v>
      </c>
      <c r="AZ7" s="7" t="n">
        <f aca="false">AZ41</f>
        <v>2.76923076923077</v>
      </c>
      <c r="BA7" s="7" t="n">
        <f aca="false">BA41</f>
        <v>2.76923076923077</v>
      </c>
      <c r="BB7" s="7" t="n">
        <f aca="false">BB41</f>
        <v>2.76923076923077</v>
      </c>
      <c r="BC7" s="7" t="n">
        <f aca="false">BC41</f>
        <v>2.76923076923077</v>
      </c>
      <c r="BD7" s="7" t="n">
        <f aca="false">BD41</f>
        <v>2.76923076923077</v>
      </c>
    </row>
    <row r="8" customFormat="false" ht="15" hidden="false" customHeight="false" outlineLevel="0" collapsed="false">
      <c r="A8" s="4" t="s">
        <v>253</v>
      </c>
      <c r="E8" s="7" t="n">
        <f aca="false">E58</f>
        <v>5</v>
      </c>
      <c r="F8" s="7" t="n">
        <f aca="false">F58</f>
        <v>5</v>
      </c>
      <c r="G8" s="7" t="n">
        <f aca="false">G58</f>
        <v>5</v>
      </c>
      <c r="H8" s="7" t="n">
        <f aca="false">H58</f>
        <v>5</v>
      </c>
      <c r="I8" s="7" t="n">
        <f aca="false">I58</f>
        <v>5</v>
      </c>
      <c r="J8" s="7" t="n">
        <f aca="false">J58</f>
        <v>5</v>
      </c>
      <c r="K8" s="7" t="n">
        <f aca="false">K58</f>
        <v>5</v>
      </c>
      <c r="L8" s="7" t="n">
        <f aca="false">L58</f>
        <v>5</v>
      </c>
      <c r="M8" s="7" t="n">
        <f aca="false">M58</f>
        <v>5</v>
      </c>
      <c r="N8" s="7" t="n">
        <f aca="false">N58</f>
        <v>5</v>
      </c>
      <c r="O8" s="7" t="n">
        <f aca="false">O58</f>
        <v>5</v>
      </c>
      <c r="P8" s="7" t="n">
        <f aca="false">P58</f>
        <v>5</v>
      </c>
      <c r="Q8" s="7" t="n">
        <f aca="false">Q58</f>
        <v>5</v>
      </c>
      <c r="R8" s="7" t="n">
        <f aca="false">R58</f>
        <v>5</v>
      </c>
      <c r="S8" s="7" t="n">
        <f aca="false">S58</f>
        <v>5</v>
      </c>
      <c r="T8" s="7" t="n">
        <f aca="false">T58</f>
        <v>5</v>
      </c>
      <c r="U8" s="7" t="n">
        <f aca="false">U58</f>
        <v>5</v>
      </c>
      <c r="V8" s="7" t="n">
        <f aca="false">V58</f>
        <v>5</v>
      </c>
      <c r="W8" s="7" t="n">
        <f aca="false">W58</f>
        <v>5</v>
      </c>
      <c r="X8" s="7" t="n">
        <f aca="false">X58</f>
        <v>5</v>
      </c>
      <c r="Y8" s="7" t="n">
        <f aca="false">Y58</f>
        <v>5</v>
      </c>
      <c r="Z8" s="7" t="n">
        <f aca="false">Z58</f>
        <v>5</v>
      </c>
      <c r="AA8" s="7" t="n">
        <f aca="false">AA58</f>
        <v>8</v>
      </c>
      <c r="AB8" s="7" t="n">
        <f aca="false">AB58</f>
        <v>8</v>
      </c>
      <c r="AC8" s="7" t="n">
        <f aca="false">AC58</f>
        <v>8</v>
      </c>
      <c r="AD8" s="7" t="n">
        <f aca="false">AD58</f>
        <v>8</v>
      </c>
      <c r="AE8" s="7" t="n">
        <f aca="false">AE58</f>
        <v>12</v>
      </c>
      <c r="AF8" s="7" t="n">
        <f aca="false">AF58</f>
        <v>12</v>
      </c>
      <c r="AG8" s="7" t="n">
        <f aca="false">AG58</f>
        <v>12</v>
      </c>
      <c r="AH8" s="7" t="n">
        <f aca="false">AH58</f>
        <v>12</v>
      </c>
      <c r="AI8" s="7" t="n">
        <f aca="false">AI58</f>
        <v>12</v>
      </c>
      <c r="AJ8" s="7" t="n">
        <f aca="false">AJ58</f>
        <v>12</v>
      </c>
      <c r="AK8" s="7" t="n">
        <f aca="false">AK58</f>
        <v>12</v>
      </c>
      <c r="AL8" s="7" t="n">
        <f aca="false">AL58</f>
        <v>12</v>
      </c>
      <c r="AM8" s="7" t="n">
        <f aca="false">AM58</f>
        <v>12</v>
      </c>
      <c r="AN8" s="7" t="n">
        <f aca="false">AN58</f>
        <v>13</v>
      </c>
      <c r="AO8" s="7" t="n">
        <f aca="false">AO58</f>
        <v>13</v>
      </c>
      <c r="AP8" s="7" t="n">
        <f aca="false">AP58</f>
        <v>13</v>
      </c>
      <c r="AQ8" s="7" t="n">
        <f aca="false">AQ58</f>
        <v>13</v>
      </c>
      <c r="AR8" s="7" t="n">
        <f aca="false">AR58</f>
        <v>13</v>
      </c>
      <c r="AS8" s="7" t="n">
        <f aca="false">AS58</f>
        <v>13</v>
      </c>
      <c r="AT8" s="7" t="n">
        <f aca="false">AT58</f>
        <v>13</v>
      </c>
      <c r="AU8" s="7" t="n">
        <f aca="false">AU58</f>
        <v>13</v>
      </c>
      <c r="AV8" s="7" t="n">
        <f aca="false">AV58</f>
        <v>13</v>
      </c>
      <c r="AW8" s="7" t="n">
        <f aca="false">AW58</f>
        <v>13</v>
      </c>
      <c r="AX8" s="7" t="n">
        <f aca="false">AX58</f>
        <v>13</v>
      </c>
      <c r="AY8" s="7" t="n">
        <f aca="false">AY58</f>
        <v>13</v>
      </c>
      <c r="AZ8" s="7" t="n">
        <f aca="false">AZ58</f>
        <v>13</v>
      </c>
      <c r="BA8" s="7" t="n">
        <f aca="false">BA58</f>
        <v>13</v>
      </c>
      <c r="BB8" s="7" t="n">
        <f aca="false">BB58</f>
        <v>13</v>
      </c>
      <c r="BC8" s="7" t="n">
        <f aca="false">BC58</f>
        <v>13</v>
      </c>
      <c r="BD8" s="7" t="n">
        <f aca="false">BD58</f>
        <v>13</v>
      </c>
    </row>
    <row r="9" customFormat="false" ht="15" hidden="false" customHeight="false" outlineLevel="0" collapsed="false">
      <c r="A9" s="4" t="s">
        <v>254</v>
      </c>
      <c r="E9" s="7" t="n">
        <f aca="false">E67</f>
        <v>2.75</v>
      </c>
      <c r="F9" s="7" t="n">
        <f aca="false">F67</f>
        <v>2.75</v>
      </c>
      <c r="G9" s="7" t="n">
        <f aca="false">G67</f>
        <v>2.75</v>
      </c>
      <c r="H9" s="7" t="n">
        <f aca="false">H67</f>
        <v>2.75</v>
      </c>
      <c r="I9" s="7" t="n">
        <f aca="false">I67</f>
        <v>2.75</v>
      </c>
      <c r="J9" s="7" t="n">
        <f aca="false">J67</f>
        <v>2.75</v>
      </c>
      <c r="K9" s="7" t="n">
        <f aca="false">K67</f>
        <v>2.75</v>
      </c>
      <c r="L9" s="7" t="n">
        <f aca="false">L67</f>
        <v>2.75</v>
      </c>
      <c r="M9" s="7" t="n">
        <f aca="false">M67</f>
        <v>2.75</v>
      </c>
      <c r="N9" s="7" t="n">
        <f aca="false">N67</f>
        <v>2.75</v>
      </c>
      <c r="O9" s="7" t="n">
        <f aca="false">O67</f>
        <v>2.75</v>
      </c>
      <c r="P9" s="7" t="n">
        <f aca="false">P67</f>
        <v>2.75</v>
      </c>
      <c r="Q9" s="7" t="n">
        <f aca="false">Q67</f>
        <v>2.75</v>
      </c>
      <c r="R9" s="7" t="n">
        <f aca="false">R67</f>
        <v>2.75</v>
      </c>
      <c r="S9" s="7" t="n">
        <f aca="false">S67</f>
        <v>2.75</v>
      </c>
      <c r="T9" s="7" t="n">
        <f aca="false">T67</f>
        <v>2.75</v>
      </c>
      <c r="U9" s="7" t="n">
        <f aca="false">U67</f>
        <v>2.75</v>
      </c>
      <c r="V9" s="7" t="n">
        <f aca="false">V67</f>
        <v>2.75</v>
      </c>
      <c r="W9" s="7" t="n">
        <f aca="false">W67</f>
        <v>2.75</v>
      </c>
      <c r="X9" s="7" t="n">
        <f aca="false">X67</f>
        <v>2.75</v>
      </c>
      <c r="Y9" s="7" t="n">
        <f aca="false">Y67</f>
        <v>2.75</v>
      </c>
      <c r="Z9" s="7" t="n">
        <f aca="false">Z67</f>
        <v>2.75</v>
      </c>
      <c r="AA9" s="7" t="n">
        <f aca="false">AA67</f>
        <v>2.75</v>
      </c>
      <c r="AB9" s="7" t="n">
        <f aca="false">AB67</f>
        <v>2.75</v>
      </c>
      <c r="AC9" s="7" t="n">
        <f aca="false">AC67</f>
        <v>2.75</v>
      </c>
      <c r="AD9" s="7" t="n">
        <f aca="false">AD67</f>
        <v>2.75</v>
      </c>
      <c r="AE9" s="7" t="n">
        <f aca="false">AE67</f>
        <v>2.75</v>
      </c>
      <c r="AF9" s="7" t="n">
        <f aca="false">AF67</f>
        <v>2.75</v>
      </c>
      <c r="AG9" s="7" t="n">
        <f aca="false">AG67</f>
        <v>2.75</v>
      </c>
      <c r="AH9" s="7" t="n">
        <f aca="false">AH67</f>
        <v>2.75</v>
      </c>
      <c r="AI9" s="7" t="n">
        <f aca="false">AI67</f>
        <v>2.75</v>
      </c>
      <c r="AJ9" s="7" t="n">
        <f aca="false">AJ67</f>
        <v>2.75</v>
      </c>
      <c r="AK9" s="7" t="n">
        <f aca="false">AK67</f>
        <v>2.75</v>
      </c>
      <c r="AL9" s="7" t="n">
        <f aca="false">AL67</f>
        <v>2.75</v>
      </c>
      <c r="AM9" s="7" t="n">
        <f aca="false">AM67</f>
        <v>2.75</v>
      </c>
      <c r="AN9" s="7" t="n">
        <f aca="false">AN67</f>
        <v>2.75</v>
      </c>
      <c r="AO9" s="7" t="n">
        <f aca="false">AO67</f>
        <v>2.75</v>
      </c>
      <c r="AP9" s="7" t="n">
        <f aca="false">AP67</f>
        <v>2.75</v>
      </c>
      <c r="AQ9" s="7" t="n">
        <f aca="false">AQ67</f>
        <v>2.75</v>
      </c>
      <c r="AR9" s="7" t="n">
        <f aca="false">AR67</f>
        <v>2.75</v>
      </c>
      <c r="AS9" s="7" t="n">
        <f aca="false">AS67</f>
        <v>2.75</v>
      </c>
      <c r="AT9" s="7" t="n">
        <f aca="false">AT67</f>
        <v>2.75</v>
      </c>
      <c r="AU9" s="7" t="n">
        <f aca="false">AU67</f>
        <v>2.75</v>
      </c>
      <c r="AV9" s="7" t="n">
        <f aca="false">AV67</f>
        <v>2.75</v>
      </c>
      <c r="AW9" s="7" t="n">
        <f aca="false">AW67</f>
        <v>2.75</v>
      </c>
      <c r="AX9" s="7" t="n">
        <f aca="false">AX67</f>
        <v>2.75</v>
      </c>
      <c r="AY9" s="7" t="n">
        <f aca="false">AY67</f>
        <v>2.75</v>
      </c>
      <c r="AZ9" s="7" t="n">
        <f aca="false">AZ67</f>
        <v>2.75</v>
      </c>
      <c r="BA9" s="7" t="n">
        <f aca="false">BA67</f>
        <v>2.75</v>
      </c>
      <c r="BB9" s="7" t="n">
        <f aca="false">BB67</f>
        <v>2.75</v>
      </c>
      <c r="BC9" s="7" t="n">
        <f aca="false">BC67</f>
        <v>2.75</v>
      </c>
      <c r="BD9" s="7" t="n">
        <f aca="false">BD67</f>
        <v>2.75</v>
      </c>
    </row>
    <row r="10" customFormat="false" ht="15" hidden="false" customHeight="false" outlineLevel="0" collapsed="false">
      <c r="A10" s="4" t="s">
        <v>255</v>
      </c>
      <c r="E10" s="10" t="n">
        <f aca="false">SUM(E6:E9)</f>
        <v>64.0592307692308</v>
      </c>
      <c r="F10" s="10" t="n">
        <f aca="false">SUM(F6:F9)</f>
        <v>24.0592307692308</v>
      </c>
      <c r="G10" s="10" t="n">
        <f aca="false">SUM(G6:G9)</f>
        <v>24.0592307692308</v>
      </c>
      <c r="H10" s="10" t="n">
        <f aca="false">SUM(H6:H9)</f>
        <v>24.0592307692308</v>
      </c>
      <c r="I10" s="10" t="n">
        <f aca="false">SUM(I6:I9)</f>
        <v>24.0592307692308</v>
      </c>
      <c r="J10" s="10" t="n">
        <f aca="false">SUM(J6:J9)</f>
        <v>30.5124660633484</v>
      </c>
      <c r="K10" s="10" t="n">
        <f aca="false">SUM(K6:K9)</f>
        <v>30.5124660633484</v>
      </c>
      <c r="L10" s="10" t="n">
        <f aca="false">SUM(L6:L9)</f>
        <v>30.5124660633484</v>
      </c>
      <c r="M10" s="10" t="n">
        <f aca="false">SUM(M6:M9)</f>
        <v>30.5124660633484</v>
      </c>
      <c r="N10" s="10" t="n">
        <f aca="false">SUM(N6:N9)</f>
        <v>38.3099660633484</v>
      </c>
      <c r="O10" s="10" t="n">
        <f aca="false">SUM(O6:O9)</f>
        <v>38.3099660633484</v>
      </c>
      <c r="P10" s="10" t="n">
        <f aca="false">SUM(P6:P9)</f>
        <v>38.3099660633484</v>
      </c>
      <c r="Q10" s="10" t="n">
        <f aca="false">SUM(Q6:Q9)</f>
        <v>38.3099660633484</v>
      </c>
      <c r="R10" s="10" t="n">
        <f aca="false">SUM(R6:R9)</f>
        <v>45.9599660633484</v>
      </c>
      <c r="S10" s="10" t="n">
        <f aca="false">SUM(S6:S9)</f>
        <v>45.9599660633484</v>
      </c>
      <c r="T10" s="10" t="n">
        <f aca="false">SUM(T6:T9)</f>
        <v>45.9599660633484</v>
      </c>
      <c r="U10" s="10" t="n">
        <f aca="false">SUM(U6:U9)</f>
        <v>45.9599660633484</v>
      </c>
      <c r="V10" s="10" t="n">
        <f aca="false">SUM(V6:V9)</f>
        <v>45.9599660633484</v>
      </c>
      <c r="W10" s="10" t="n">
        <f aca="false">SUM(W6:W9)</f>
        <v>53.3324660633484</v>
      </c>
      <c r="X10" s="10" t="n">
        <f aca="false">SUM(X6:X9)</f>
        <v>53.3324660633484</v>
      </c>
      <c r="Y10" s="10" t="n">
        <f aca="false">SUM(Y6:Y9)</f>
        <v>53.3324660633484</v>
      </c>
      <c r="Z10" s="10" t="n">
        <f aca="false">SUM(Z6:Z9)</f>
        <v>53.3324660633484</v>
      </c>
      <c r="AA10" s="10" t="n">
        <f aca="false">SUM(AA6:AA9)</f>
        <v>63.1099660633484</v>
      </c>
      <c r="AB10" s="10" t="n">
        <f aca="false">SUM(AB6:AB9)</f>
        <v>63.1099660633484</v>
      </c>
      <c r="AC10" s="10" t="n">
        <f aca="false">SUM(AC6:AC9)</f>
        <v>63.1099660633484</v>
      </c>
      <c r="AD10" s="10" t="n">
        <f aca="false">SUM(AD6:AD9)</f>
        <v>63.1099660633484</v>
      </c>
      <c r="AE10" s="10" t="n">
        <f aca="false">SUM(AE6:AE9)</f>
        <v>178.054966063348</v>
      </c>
      <c r="AF10" s="10" t="n">
        <f aca="false">SUM(AF6:AF9)</f>
        <v>78.0549660633484</v>
      </c>
      <c r="AG10" s="10" t="n">
        <f aca="false">SUM(AG6:AG9)</f>
        <v>78.0549660633484</v>
      </c>
      <c r="AH10" s="10" t="n">
        <f aca="false">SUM(AH6:AH9)</f>
        <v>78.0549660633484</v>
      </c>
      <c r="AI10" s="10" t="n">
        <f aca="false">SUM(AI6:AI9)</f>
        <v>78.0549660633484</v>
      </c>
      <c r="AJ10" s="10" t="n">
        <f aca="false">SUM(AJ6:AJ9)</f>
        <v>106.587466063348</v>
      </c>
      <c r="AK10" s="10" t="n">
        <f aca="false">SUM(AK6:AK9)</f>
        <v>81.5874660633484</v>
      </c>
      <c r="AL10" s="10" t="n">
        <f aca="false">SUM(AL6:AL9)</f>
        <v>81.5874660633484</v>
      </c>
      <c r="AM10" s="10" t="n">
        <f aca="false">SUM(AM6:AM9)</f>
        <v>81.5874660633484</v>
      </c>
      <c r="AN10" s="10" t="n">
        <f aca="false">SUM(AN6:AN9)</f>
        <v>86.3624660633484</v>
      </c>
      <c r="AO10" s="10" t="n">
        <f aca="false">SUM(AO6:AO9)</f>
        <v>86.3624660633484</v>
      </c>
      <c r="AP10" s="10" t="n">
        <f aca="false">SUM(AP6:AP9)</f>
        <v>86.3624660633484</v>
      </c>
      <c r="AQ10" s="10" t="n">
        <f aca="false">SUM(AQ6:AQ9)</f>
        <v>86.3624660633484</v>
      </c>
      <c r="AR10" s="10" t="n">
        <f aca="false">SUM(AR6:AR9)</f>
        <v>90.4017307692308</v>
      </c>
      <c r="AS10" s="10" t="n">
        <f aca="false">SUM(AS6:AS9)</f>
        <v>90.4017307692308</v>
      </c>
      <c r="AT10" s="10" t="n">
        <f aca="false">SUM(AT6:AT9)</f>
        <v>110.401730769231</v>
      </c>
      <c r="AU10" s="10" t="n">
        <f aca="false">SUM(AU6:AU9)</f>
        <v>90.4017307692308</v>
      </c>
      <c r="AV10" s="10" t="n">
        <f aca="false">SUM(AV6:AV9)</f>
        <v>90.4017307692308</v>
      </c>
      <c r="AW10" s="10" t="n">
        <f aca="false">SUM(AW6:AW9)</f>
        <v>92.9967307692308</v>
      </c>
      <c r="AX10" s="10" t="n">
        <f aca="false">SUM(AX6:AX9)</f>
        <v>117.996730769231</v>
      </c>
      <c r="AY10" s="10" t="n">
        <f aca="false">SUM(AY6:AY9)</f>
        <v>92.9967307692308</v>
      </c>
      <c r="AZ10" s="10" t="n">
        <f aca="false">SUM(AZ6:AZ9)</f>
        <v>92.9967307692308</v>
      </c>
      <c r="BA10" s="10" t="n">
        <f aca="false">SUM(BA6:BA9)</f>
        <v>94.7842307692308</v>
      </c>
      <c r="BB10" s="10" t="n">
        <f aca="false">SUM(BB6:BB9)</f>
        <v>94.7842307692308</v>
      </c>
      <c r="BC10" s="10" t="n">
        <f aca="false">SUM(BC6:BC9)</f>
        <v>94.7842307692308</v>
      </c>
      <c r="BD10" s="10" t="n">
        <f aca="false">SUM(BD6:BD9)</f>
        <v>94.7842307692308</v>
      </c>
    </row>
    <row r="13" customFormat="false" ht="15" hidden="false" customHeight="false" outlineLevel="0" collapsed="false">
      <c r="A13" s="5" t="s">
        <v>256</v>
      </c>
    </row>
    <row r="14" customFormat="false" ht="15" hidden="false" customHeight="false" outlineLevel="0" collapsed="false">
      <c r="A14" s="4" t="s">
        <v>114</v>
      </c>
      <c r="B14" s="4" t="s">
        <v>257</v>
      </c>
      <c r="E14" s="21" t="s">
        <v>140</v>
      </c>
      <c r="F14" s="21" t="s">
        <v>141</v>
      </c>
      <c r="G14" s="21" t="s">
        <v>142</v>
      </c>
      <c r="H14" s="21" t="s">
        <v>143</v>
      </c>
      <c r="I14" s="21" t="s">
        <v>144</v>
      </c>
      <c r="J14" s="21" t="s">
        <v>145</v>
      </c>
      <c r="K14" s="21" t="s">
        <v>146</v>
      </c>
      <c r="L14" s="21" t="s">
        <v>147</v>
      </c>
      <c r="M14" s="21" t="s">
        <v>148</v>
      </c>
      <c r="N14" s="21" t="s">
        <v>149</v>
      </c>
      <c r="O14" s="21" t="s">
        <v>150</v>
      </c>
      <c r="P14" s="21" t="s">
        <v>151</v>
      </c>
      <c r="Q14" s="21" t="s">
        <v>152</v>
      </c>
      <c r="R14" s="21" t="s">
        <v>153</v>
      </c>
      <c r="S14" s="21" t="s">
        <v>154</v>
      </c>
      <c r="T14" s="21" t="s">
        <v>155</v>
      </c>
      <c r="U14" s="21" t="s">
        <v>156</v>
      </c>
      <c r="V14" s="21" t="s">
        <v>157</v>
      </c>
      <c r="W14" s="21" t="s">
        <v>158</v>
      </c>
      <c r="X14" s="21" t="s">
        <v>159</v>
      </c>
      <c r="Y14" s="21" t="s">
        <v>160</v>
      </c>
      <c r="Z14" s="21" t="s">
        <v>161</v>
      </c>
      <c r="AA14" s="21" t="s">
        <v>162</v>
      </c>
      <c r="AB14" s="21" t="s">
        <v>163</v>
      </c>
      <c r="AC14" s="21" t="s">
        <v>164</v>
      </c>
      <c r="AD14" s="21" t="s">
        <v>165</v>
      </c>
      <c r="AE14" s="21" t="s">
        <v>166</v>
      </c>
      <c r="AF14" s="21" t="s">
        <v>167</v>
      </c>
      <c r="AG14" s="21" t="s">
        <v>168</v>
      </c>
      <c r="AH14" s="21" t="s">
        <v>169</v>
      </c>
      <c r="AI14" s="21" t="s">
        <v>170</v>
      </c>
      <c r="AJ14" s="21" t="s">
        <v>171</v>
      </c>
      <c r="AK14" s="21" t="s">
        <v>172</v>
      </c>
      <c r="AL14" s="21" t="s">
        <v>173</v>
      </c>
      <c r="AM14" s="21" t="s">
        <v>174</v>
      </c>
      <c r="AN14" s="21" t="s">
        <v>175</v>
      </c>
      <c r="AO14" s="21" t="s">
        <v>176</v>
      </c>
      <c r="AP14" s="21" t="s">
        <v>177</v>
      </c>
      <c r="AQ14" s="21" t="s">
        <v>178</v>
      </c>
      <c r="AR14" s="21" t="s">
        <v>179</v>
      </c>
      <c r="AS14" s="21" t="s">
        <v>180</v>
      </c>
      <c r="AT14" s="21" t="s">
        <v>181</v>
      </c>
      <c r="AU14" s="21" t="s">
        <v>182</v>
      </c>
      <c r="AV14" s="21" t="s">
        <v>183</v>
      </c>
      <c r="AW14" s="21" t="s">
        <v>184</v>
      </c>
      <c r="AX14" s="21" t="s">
        <v>185</v>
      </c>
      <c r="AY14" s="21" t="s">
        <v>186</v>
      </c>
      <c r="AZ14" s="21" t="s">
        <v>187</v>
      </c>
      <c r="BA14" s="21" t="s">
        <v>188</v>
      </c>
      <c r="BB14" s="21" t="s">
        <v>189</v>
      </c>
      <c r="BC14" s="21" t="s">
        <v>190</v>
      </c>
      <c r="BD14" s="21" t="s">
        <v>191</v>
      </c>
    </row>
    <row r="15" customFormat="false" ht="15" hidden="false" customHeight="false" outlineLevel="0" collapsed="false">
      <c r="A15" s="0" t="s">
        <v>115</v>
      </c>
      <c r="B15" s="25" t="n">
        <v>0.025</v>
      </c>
      <c r="E15" s="7" t="n">
        <f aca="false">$B15*SUMIFS(Doors!Q:Q,Doors!$C:$C,$A15)</f>
        <v>2.875</v>
      </c>
      <c r="F15" s="7" t="n">
        <f aca="false">$B15*SUMIFS(Doors!R:R,Doors!$C:$C,$A15)</f>
        <v>2.875</v>
      </c>
      <c r="G15" s="7" t="n">
        <f aca="false">$B15*SUMIFS(Doors!S:S,Doors!$C:$C,$A15)</f>
        <v>2.875</v>
      </c>
      <c r="H15" s="7" t="n">
        <f aca="false">$B15*SUMIFS(Doors!T:T,Doors!$C:$C,$A15)</f>
        <v>2.875</v>
      </c>
      <c r="I15" s="7" t="n">
        <f aca="false">$B15*SUMIFS(Doors!U:U,Doors!$C:$C,$A15)</f>
        <v>2.875</v>
      </c>
      <c r="J15" s="7" t="n">
        <f aca="false">$B15*SUMIFS(Doors!V:V,Doors!$C:$C,$A15)</f>
        <v>3.7</v>
      </c>
      <c r="K15" s="7" t="n">
        <f aca="false">$B15*SUMIFS(Doors!W:W,Doors!$C:$C,$A15)</f>
        <v>3.7</v>
      </c>
      <c r="L15" s="7" t="n">
        <f aca="false">$B15*SUMIFS(Doors!X:X,Doors!$C:$C,$A15)</f>
        <v>3.7</v>
      </c>
      <c r="M15" s="7" t="n">
        <f aca="false">$B15*SUMIFS(Doors!Y:Y,Doors!$C:$C,$A15)</f>
        <v>3.7</v>
      </c>
      <c r="N15" s="7" t="n">
        <f aca="false">$B15*SUMIFS(Doors!Z:Z,Doors!$C:$C,$A15)</f>
        <v>4.8</v>
      </c>
      <c r="O15" s="7" t="n">
        <f aca="false">$B15*SUMIFS(Doors!AA:AA,Doors!$C:$C,$A15)</f>
        <v>4.8</v>
      </c>
      <c r="P15" s="7" t="n">
        <f aca="false">$B15*SUMIFS(Doors!AB:AB,Doors!$C:$C,$A15)</f>
        <v>4.8</v>
      </c>
      <c r="Q15" s="7" t="n">
        <f aca="false">$B15*SUMIFS(Doors!AC:AC,Doors!$C:$C,$A15)</f>
        <v>4.8</v>
      </c>
      <c r="R15" s="7" t="n">
        <f aca="false">$B15*SUMIFS(Doors!AD:AD,Doors!$C:$C,$A15)</f>
        <v>6.125</v>
      </c>
      <c r="S15" s="7" t="n">
        <f aca="false">$B15*SUMIFS(Doors!AE:AE,Doors!$C:$C,$A15)</f>
        <v>6.125</v>
      </c>
      <c r="T15" s="7" t="n">
        <f aca="false">$B15*SUMIFS(Doors!AF:AF,Doors!$C:$C,$A15)</f>
        <v>6.125</v>
      </c>
      <c r="U15" s="7" t="n">
        <f aca="false">$B15*SUMIFS(Doors!AG:AG,Doors!$C:$C,$A15)</f>
        <v>6.125</v>
      </c>
      <c r="V15" s="7" t="n">
        <f aca="false">$B15*SUMIFS(Doors!AH:AH,Doors!$C:$C,$A15)</f>
        <v>6.125</v>
      </c>
      <c r="W15" s="7" t="n">
        <f aca="false">$B15*SUMIFS(Doors!AI:AI,Doors!$C:$C,$A15)</f>
        <v>7.675</v>
      </c>
      <c r="X15" s="7" t="n">
        <f aca="false">$B15*SUMIFS(Doors!AJ:AJ,Doors!$C:$C,$A15)</f>
        <v>7.675</v>
      </c>
      <c r="Y15" s="7" t="n">
        <f aca="false">$B15*SUMIFS(Doors!AK:AK,Doors!$C:$C,$A15)</f>
        <v>7.675</v>
      </c>
      <c r="Z15" s="7" t="n">
        <f aca="false">$B15*SUMIFS(Doors!AL:AL,Doors!$C:$C,$A15)</f>
        <v>7.675</v>
      </c>
      <c r="AA15" s="7" t="n">
        <f aca="false">$B15*SUMIFS(Doors!AM:AM,Doors!$C:$C,$A15)</f>
        <v>9.375</v>
      </c>
      <c r="AB15" s="7" t="n">
        <f aca="false">$B15*SUMIFS(Doors!AN:AN,Doors!$C:$C,$A15)</f>
        <v>9.375</v>
      </c>
      <c r="AC15" s="7" t="n">
        <f aca="false">$B15*SUMIFS(Doors!AO:AO,Doors!$C:$C,$A15)</f>
        <v>9.375</v>
      </c>
      <c r="AD15" s="7" t="n">
        <f aca="false">$B15*SUMIFS(Doors!AP:AP,Doors!$C:$C,$A15)</f>
        <v>9.375</v>
      </c>
      <c r="AE15" s="7" t="n">
        <f aca="false">$B15*SUMIFS(Doors!AQ:AQ,Doors!$C:$C,$A15)</f>
        <v>11.05</v>
      </c>
      <c r="AF15" s="7" t="n">
        <f aca="false">$B15*SUMIFS(Doors!AR:AR,Doors!$C:$C,$A15)</f>
        <v>11.05</v>
      </c>
      <c r="AG15" s="7" t="n">
        <f aca="false">$B15*SUMIFS(Doors!AS:AS,Doors!$C:$C,$A15)</f>
        <v>11.05</v>
      </c>
      <c r="AH15" s="7" t="n">
        <f aca="false">$B15*SUMIFS(Doors!AT:AT,Doors!$C:$C,$A15)</f>
        <v>11.05</v>
      </c>
      <c r="AI15" s="7" t="n">
        <f aca="false">$B15*SUMIFS(Doors!AU:AU,Doors!$C:$C,$A15)</f>
        <v>11.05</v>
      </c>
      <c r="AJ15" s="7" t="n">
        <f aca="false">$B15*SUMIFS(Doors!AV:AV,Doors!$C:$C,$A15)</f>
        <v>12.45</v>
      </c>
      <c r="AK15" s="7" t="n">
        <f aca="false">$B15*SUMIFS(Doors!AW:AW,Doors!$C:$C,$A15)</f>
        <v>12.45</v>
      </c>
      <c r="AL15" s="7" t="n">
        <f aca="false">$B15*SUMIFS(Doors!AX:AX,Doors!$C:$C,$A15)</f>
        <v>12.45</v>
      </c>
      <c r="AM15" s="7" t="n">
        <f aca="false">$B15*SUMIFS(Doors!AY:AY,Doors!$C:$C,$A15)</f>
        <v>12.45</v>
      </c>
      <c r="AN15" s="7" t="n">
        <f aca="false">$B15*SUMIFS(Doors!AZ:AZ,Doors!$C:$C,$A15)</f>
        <v>13.75</v>
      </c>
      <c r="AO15" s="7" t="n">
        <f aca="false">$B15*SUMIFS(Doors!BA:BA,Doors!$C:$C,$A15)</f>
        <v>13.75</v>
      </c>
      <c r="AP15" s="7" t="n">
        <f aca="false">$B15*SUMIFS(Doors!BB:BB,Doors!$C:$C,$A15)</f>
        <v>13.75</v>
      </c>
      <c r="AQ15" s="7" t="n">
        <f aca="false">$B15*SUMIFS(Doors!BC:BC,Doors!$C:$C,$A15)</f>
        <v>13.75</v>
      </c>
      <c r="AR15" s="7" t="n">
        <f aca="false">$B15*SUMIFS(Doors!BD:BD,Doors!$C:$C,$A15)</f>
        <v>14.65</v>
      </c>
      <c r="AS15" s="7" t="n">
        <f aca="false">$B15*SUMIFS(Doors!BE:BE,Doors!$C:$C,$A15)</f>
        <v>14.65</v>
      </c>
      <c r="AT15" s="7" t="n">
        <f aca="false">$B15*SUMIFS(Doors!BF:BF,Doors!$C:$C,$A15)</f>
        <v>14.65</v>
      </c>
      <c r="AU15" s="7" t="n">
        <f aca="false">$B15*SUMIFS(Doors!BG:BG,Doors!$C:$C,$A15)</f>
        <v>14.65</v>
      </c>
      <c r="AV15" s="7" t="n">
        <f aca="false">$B15*SUMIFS(Doors!BH:BH,Doors!$C:$C,$A15)</f>
        <v>14.65</v>
      </c>
      <c r="AW15" s="7" t="n">
        <f aca="false">$B15*SUMIFS(Doors!BI:BI,Doors!$C:$C,$A15)</f>
        <v>15.525</v>
      </c>
      <c r="AX15" s="7" t="n">
        <f aca="false">$B15*SUMIFS(Doors!BJ:BJ,Doors!$C:$C,$A15)</f>
        <v>15.525</v>
      </c>
      <c r="AY15" s="7" t="n">
        <f aca="false">$B15*SUMIFS(Doors!BK:BK,Doors!$C:$C,$A15)</f>
        <v>15.525</v>
      </c>
      <c r="AZ15" s="7" t="n">
        <f aca="false">$B15*SUMIFS(Doors!BL:BL,Doors!$C:$C,$A15)</f>
        <v>15.525</v>
      </c>
      <c r="BA15" s="7" t="n">
        <f aca="false">$B15*SUMIFS(Doors!BM:BM,Doors!$C:$C,$A15)</f>
        <v>16</v>
      </c>
      <c r="BB15" s="7" t="n">
        <f aca="false">$B15*SUMIFS(Doors!BN:BN,Doors!$C:$C,$A15)</f>
        <v>16</v>
      </c>
      <c r="BC15" s="7" t="n">
        <f aca="false">$B15*SUMIFS(Doors!BO:BO,Doors!$C:$C,$A15)</f>
        <v>16</v>
      </c>
      <c r="BD15" s="7" t="n">
        <f aca="false">$B15*SUMIFS(Doors!BP:BP,Doors!$C:$C,$A15)</f>
        <v>16</v>
      </c>
    </row>
    <row r="16" customFormat="false" ht="15" hidden="false" customHeight="false" outlineLevel="0" collapsed="false">
      <c r="A16" s="0" t="s">
        <v>116</v>
      </c>
      <c r="B16" s="25" t="n">
        <v>0.02</v>
      </c>
      <c r="E16" s="7" t="n">
        <f aca="false">$B16*SUMIFS(Doors!Q:Q,Doors!$C:$C,$A16)</f>
        <v>0.46</v>
      </c>
      <c r="F16" s="7" t="n">
        <f aca="false">$B16*SUMIFS(Doors!R:R,Doors!$C:$C,$A16)</f>
        <v>0.46</v>
      </c>
      <c r="G16" s="7" t="n">
        <f aca="false">$B16*SUMIFS(Doors!S:S,Doors!$C:$C,$A16)</f>
        <v>0.46</v>
      </c>
      <c r="H16" s="7" t="n">
        <f aca="false">$B16*SUMIFS(Doors!T:T,Doors!$C:$C,$A16)</f>
        <v>0.46</v>
      </c>
      <c r="I16" s="7" t="n">
        <f aca="false">$B16*SUMIFS(Doors!U:U,Doors!$C:$C,$A16)</f>
        <v>0.46</v>
      </c>
      <c r="J16" s="7" t="n">
        <f aca="false">$B16*SUMIFS(Doors!V:V,Doors!$C:$C,$A16)</f>
        <v>0.72</v>
      </c>
      <c r="K16" s="7" t="n">
        <f aca="false">$B16*SUMIFS(Doors!W:W,Doors!$C:$C,$A16)</f>
        <v>0.72</v>
      </c>
      <c r="L16" s="7" t="n">
        <f aca="false">$B16*SUMIFS(Doors!X:X,Doors!$C:$C,$A16)</f>
        <v>0.72</v>
      </c>
      <c r="M16" s="7" t="n">
        <f aca="false">$B16*SUMIFS(Doors!Y:Y,Doors!$C:$C,$A16)</f>
        <v>0.72</v>
      </c>
      <c r="N16" s="7" t="n">
        <f aca="false">$B16*SUMIFS(Doors!Z:Z,Doors!$C:$C,$A16)</f>
        <v>1.06</v>
      </c>
      <c r="O16" s="7" t="n">
        <f aca="false">$B16*SUMIFS(Doors!AA:AA,Doors!$C:$C,$A16)</f>
        <v>1.06</v>
      </c>
      <c r="P16" s="7" t="n">
        <f aca="false">$B16*SUMIFS(Doors!AB:AB,Doors!$C:$C,$A16)</f>
        <v>1.06</v>
      </c>
      <c r="Q16" s="7" t="n">
        <f aca="false">$B16*SUMIFS(Doors!AC:AC,Doors!$C:$C,$A16)</f>
        <v>1.06</v>
      </c>
      <c r="R16" s="7" t="n">
        <f aca="false">$B16*SUMIFS(Doors!AD:AD,Doors!$C:$C,$A16)</f>
        <v>1.48</v>
      </c>
      <c r="S16" s="7" t="n">
        <f aca="false">$B16*SUMIFS(Doors!AE:AE,Doors!$C:$C,$A16)</f>
        <v>1.48</v>
      </c>
      <c r="T16" s="7" t="n">
        <f aca="false">$B16*SUMIFS(Doors!AF:AF,Doors!$C:$C,$A16)</f>
        <v>1.48</v>
      </c>
      <c r="U16" s="7" t="n">
        <f aca="false">$B16*SUMIFS(Doors!AG:AG,Doors!$C:$C,$A16)</f>
        <v>1.48</v>
      </c>
      <c r="V16" s="7" t="n">
        <f aca="false">$B16*SUMIFS(Doors!AH:AH,Doors!$C:$C,$A16)</f>
        <v>1.48</v>
      </c>
      <c r="W16" s="7" t="n">
        <f aca="false">$B16*SUMIFS(Doors!AI:AI,Doors!$C:$C,$A16)</f>
        <v>2.02</v>
      </c>
      <c r="X16" s="7" t="n">
        <f aca="false">$B16*SUMIFS(Doors!AJ:AJ,Doors!$C:$C,$A16)</f>
        <v>2.02</v>
      </c>
      <c r="Y16" s="7" t="n">
        <f aca="false">$B16*SUMIFS(Doors!AK:AK,Doors!$C:$C,$A16)</f>
        <v>2.02</v>
      </c>
      <c r="Z16" s="7" t="n">
        <f aca="false">$B16*SUMIFS(Doors!AL:AL,Doors!$C:$C,$A16)</f>
        <v>2.02</v>
      </c>
      <c r="AA16" s="7" t="n">
        <f aca="false">$B16*SUMIFS(Doors!AM:AM,Doors!$C:$C,$A16)</f>
        <v>2.62</v>
      </c>
      <c r="AB16" s="7" t="n">
        <f aca="false">$B16*SUMIFS(Doors!AN:AN,Doors!$C:$C,$A16)</f>
        <v>2.62</v>
      </c>
      <c r="AC16" s="7" t="n">
        <f aca="false">$B16*SUMIFS(Doors!AO:AO,Doors!$C:$C,$A16)</f>
        <v>2.62</v>
      </c>
      <c r="AD16" s="7" t="n">
        <f aca="false">$B16*SUMIFS(Doors!AP:AP,Doors!$C:$C,$A16)</f>
        <v>2.62</v>
      </c>
      <c r="AE16" s="7" t="n">
        <f aca="false">$B16*SUMIFS(Doors!AQ:AQ,Doors!$C:$C,$A16)</f>
        <v>3.18</v>
      </c>
      <c r="AF16" s="7" t="n">
        <f aca="false">$B16*SUMIFS(Doors!AR:AR,Doors!$C:$C,$A16)</f>
        <v>3.18</v>
      </c>
      <c r="AG16" s="7" t="n">
        <f aca="false">$B16*SUMIFS(Doors!AS:AS,Doors!$C:$C,$A16)</f>
        <v>3.18</v>
      </c>
      <c r="AH16" s="7" t="n">
        <f aca="false">$B16*SUMIFS(Doors!AT:AT,Doors!$C:$C,$A16)</f>
        <v>3.18</v>
      </c>
      <c r="AI16" s="7" t="n">
        <f aca="false">$B16*SUMIFS(Doors!AU:AU,Doors!$C:$C,$A16)</f>
        <v>3.18</v>
      </c>
      <c r="AJ16" s="7" t="n">
        <f aca="false">$B16*SUMIFS(Doors!AV:AV,Doors!$C:$C,$A16)</f>
        <v>3.72</v>
      </c>
      <c r="AK16" s="7" t="n">
        <f aca="false">$B16*SUMIFS(Doors!AW:AW,Doors!$C:$C,$A16)</f>
        <v>3.72</v>
      </c>
      <c r="AL16" s="7" t="n">
        <f aca="false">$B16*SUMIFS(Doors!AX:AX,Doors!$C:$C,$A16)</f>
        <v>3.72</v>
      </c>
      <c r="AM16" s="7" t="n">
        <f aca="false">$B16*SUMIFS(Doors!AY:AY,Doors!$C:$C,$A16)</f>
        <v>3.72</v>
      </c>
      <c r="AN16" s="7" t="n">
        <f aca="false">$B16*SUMIFS(Doors!AZ:AZ,Doors!$C:$C,$A16)</f>
        <v>4.18</v>
      </c>
      <c r="AO16" s="7" t="n">
        <f aca="false">$B16*SUMIFS(Doors!BA:BA,Doors!$C:$C,$A16)</f>
        <v>4.18</v>
      </c>
      <c r="AP16" s="7" t="n">
        <f aca="false">$B16*SUMIFS(Doors!BB:BB,Doors!$C:$C,$A16)</f>
        <v>4.18</v>
      </c>
      <c r="AQ16" s="7" t="n">
        <f aca="false">$B16*SUMIFS(Doors!BC:BC,Doors!$C:$C,$A16)</f>
        <v>4.18</v>
      </c>
      <c r="AR16" s="7" t="n">
        <f aca="false">$B16*SUMIFS(Doors!BD:BD,Doors!$C:$C,$A16)</f>
        <v>4.56</v>
      </c>
      <c r="AS16" s="7" t="n">
        <f aca="false">$B16*SUMIFS(Doors!BE:BE,Doors!$C:$C,$A16)</f>
        <v>4.56</v>
      </c>
      <c r="AT16" s="7" t="n">
        <f aca="false">$B16*SUMIFS(Doors!BF:BF,Doors!$C:$C,$A16)</f>
        <v>4.56</v>
      </c>
      <c r="AU16" s="7" t="n">
        <f aca="false">$B16*SUMIFS(Doors!BG:BG,Doors!$C:$C,$A16)</f>
        <v>4.56</v>
      </c>
      <c r="AV16" s="7" t="n">
        <f aca="false">$B16*SUMIFS(Doors!BH:BH,Doors!$C:$C,$A16)</f>
        <v>4.56</v>
      </c>
      <c r="AW16" s="7" t="n">
        <f aca="false">$B16*SUMIFS(Doors!BI:BI,Doors!$C:$C,$A16)</f>
        <v>4.82</v>
      </c>
      <c r="AX16" s="7" t="n">
        <f aca="false">$B16*SUMIFS(Doors!BJ:BJ,Doors!$C:$C,$A16)</f>
        <v>4.82</v>
      </c>
      <c r="AY16" s="7" t="n">
        <f aca="false">$B16*SUMIFS(Doors!BK:BK,Doors!$C:$C,$A16)</f>
        <v>4.82</v>
      </c>
      <c r="AZ16" s="7" t="n">
        <f aca="false">$B16*SUMIFS(Doors!BL:BL,Doors!$C:$C,$A16)</f>
        <v>4.82</v>
      </c>
      <c r="BA16" s="7" t="n">
        <f aca="false">$B16*SUMIFS(Doors!BM:BM,Doors!$C:$C,$A16)</f>
        <v>5.06</v>
      </c>
      <c r="BB16" s="7" t="n">
        <f aca="false">$B16*SUMIFS(Doors!BN:BN,Doors!$C:$C,$A16)</f>
        <v>5.06</v>
      </c>
      <c r="BC16" s="7" t="n">
        <f aca="false">$B16*SUMIFS(Doors!BO:BO,Doors!$C:$C,$A16)</f>
        <v>5.06</v>
      </c>
      <c r="BD16" s="7" t="n">
        <f aca="false">$B16*SUMIFS(Doors!BP:BP,Doors!$C:$C,$A16)</f>
        <v>5.06</v>
      </c>
    </row>
    <row r="17" customFormat="false" ht="15" hidden="false" customHeight="false" outlineLevel="0" collapsed="false">
      <c r="A17" s="0" t="s">
        <v>117</v>
      </c>
      <c r="B17" s="25" t="n">
        <v>0.0125</v>
      </c>
      <c r="E17" s="7" t="n">
        <f aca="false">$B17*SUMIFS(Doors!Q:Q,Doors!$C:$C,$A17)</f>
        <v>0</v>
      </c>
      <c r="F17" s="7" t="n">
        <f aca="false">$B17*SUMIFS(Doors!R:R,Doors!$C:$C,$A17)</f>
        <v>0</v>
      </c>
      <c r="G17" s="7" t="n">
        <f aca="false">$B17*SUMIFS(Doors!S:S,Doors!$C:$C,$A17)</f>
        <v>0</v>
      </c>
      <c r="H17" s="7" t="n">
        <f aca="false">$B17*SUMIFS(Doors!T:T,Doors!$C:$C,$A17)</f>
        <v>0</v>
      </c>
      <c r="I17" s="7" t="n">
        <f aca="false">$B17*SUMIFS(Doors!U:U,Doors!$C:$C,$A17)</f>
        <v>0</v>
      </c>
      <c r="J17" s="7" t="n">
        <f aca="false">$B17*SUMIFS(Doors!V:V,Doors!$C:$C,$A17)</f>
        <v>0</v>
      </c>
      <c r="K17" s="7" t="n">
        <f aca="false">$B17*SUMIFS(Doors!W:W,Doors!$C:$C,$A17)</f>
        <v>0</v>
      </c>
      <c r="L17" s="7" t="n">
        <f aca="false">$B17*SUMIFS(Doors!X:X,Doors!$C:$C,$A17)</f>
        <v>0</v>
      </c>
      <c r="M17" s="7" t="n">
        <f aca="false">$B17*SUMIFS(Doors!Y:Y,Doors!$C:$C,$A17)</f>
        <v>0</v>
      </c>
      <c r="N17" s="7" t="n">
        <f aca="false">$B17*SUMIFS(Doors!Z:Z,Doors!$C:$C,$A17)</f>
        <v>0.1625</v>
      </c>
      <c r="O17" s="7" t="n">
        <f aca="false">$B17*SUMIFS(Doors!AA:AA,Doors!$C:$C,$A17)</f>
        <v>0.1625</v>
      </c>
      <c r="P17" s="7" t="n">
        <f aca="false">$B17*SUMIFS(Doors!AB:AB,Doors!$C:$C,$A17)</f>
        <v>0.1625</v>
      </c>
      <c r="Q17" s="7" t="n">
        <f aca="false">$B17*SUMIFS(Doors!AC:AC,Doors!$C:$C,$A17)</f>
        <v>0.1625</v>
      </c>
      <c r="R17" s="7" t="n">
        <f aca="false">$B17*SUMIFS(Doors!AD:AD,Doors!$C:$C,$A17)</f>
        <v>0.4625</v>
      </c>
      <c r="S17" s="7" t="n">
        <f aca="false">$B17*SUMIFS(Doors!AE:AE,Doors!$C:$C,$A17)</f>
        <v>0.4625</v>
      </c>
      <c r="T17" s="7" t="n">
        <f aca="false">$B17*SUMIFS(Doors!AF:AF,Doors!$C:$C,$A17)</f>
        <v>0.4625</v>
      </c>
      <c r="U17" s="7" t="n">
        <f aca="false">$B17*SUMIFS(Doors!AG:AG,Doors!$C:$C,$A17)</f>
        <v>0.4625</v>
      </c>
      <c r="V17" s="7" t="n">
        <f aca="false">$B17*SUMIFS(Doors!AH:AH,Doors!$C:$C,$A17)</f>
        <v>0.4625</v>
      </c>
      <c r="W17" s="7" t="n">
        <f aca="false">$B17*SUMIFS(Doors!AI:AI,Doors!$C:$C,$A17)</f>
        <v>0.775</v>
      </c>
      <c r="X17" s="7" t="n">
        <f aca="false">$B17*SUMIFS(Doors!AJ:AJ,Doors!$C:$C,$A17)</f>
        <v>0.775</v>
      </c>
      <c r="Y17" s="7" t="n">
        <f aca="false">$B17*SUMIFS(Doors!AK:AK,Doors!$C:$C,$A17)</f>
        <v>0.775</v>
      </c>
      <c r="Z17" s="7" t="n">
        <f aca="false">$B17*SUMIFS(Doors!AL:AL,Doors!$C:$C,$A17)</f>
        <v>0.775</v>
      </c>
      <c r="AA17" s="7" t="n">
        <f aca="false">$B17*SUMIFS(Doors!AM:AM,Doors!$C:$C,$A17)</f>
        <v>1.1625</v>
      </c>
      <c r="AB17" s="7" t="n">
        <f aca="false">$B17*SUMIFS(Doors!AN:AN,Doors!$C:$C,$A17)</f>
        <v>1.1625</v>
      </c>
      <c r="AC17" s="7" t="n">
        <f aca="false">$B17*SUMIFS(Doors!AO:AO,Doors!$C:$C,$A17)</f>
        <v>1.1625</v>
      </c>
      <c r="AD17" s="7" t="n">
        <f aca="false">$B17*SUMIFS(Doors!AP:AP,Doors!$C:$C,$A17)</f>
        <v>1.1625</v>
      </c>
      <c r="AE17" s="7" t="n">
        <f aca="false">$B17*SUMIFS(Doors!AQ:AQ,Doors!$C:$C,$A17)</f>
        <v>1.4625</v>
      </c>
      <c r="AF17" s="7" t="n">
        <f aca="false">$B17*SUMIFS(Doors!AR:AR,Doors!$C:$C,$A17)</f>
        <v>1.4625</v>
      </c>
      <c r="AG17" s="7" t="n">
        <f aca="false">$B17*SUMIFS(Doors!AS:AS,Doors!$C:$C,$A17)</f>
        <v>1.4625</v>
      </c>
      <c r="AH17" s="7" t="n">
        <f aca="false">$B17*SUMIFS(Doors!AT:AT,Doors!$C:$C,$A17)</f>
        <v>1.4625</v>
      </c>
      <c r="AI17" s="7" t="n">
        <f aca="false">$B17*SUMIFS(Doors!AU:AU,Doors!$C:$C,$A17)</f>
        <v>1.4625</v>
      </c>
      <c r="AJ17" s="7" t="n">
        <f aca="false">$B17*SUMIFS(Doors!AV:AV,Doors!$C:$C,$A17)</f>
        <v>1.8</v>
      </c>
      <c r="AK17" s="7" t="n">
        <f aca="false">$B17*SUMIFS(Doors!AW:AW,Doors!$C:$C,$A17)</f>
        <v>1.8</v>
      </c>
      <c r="AL17" s="7" t="n">
        <f aca="false">$B17*SUMIFS(Doors!AX:AX,Doors!$C:$C,$A17)</f>
        <v>1.8</v>
      </c>
      <c r="AM17" s="7" t="n">
        <f aca="false">$B17*SUMIFS(Doors!AY:AY,Doors!$C:$C,$A17)</f>
        <v>1.8</v>
      </c>
      <c r="AN17" s="7" t="n">
        <f aca="false">$B17*SUMIFS(Doors!AZ:AZ,Doors!$C:$C,$A17)</f>
        <v>2.075</v>
      </c>
      <c r="AO17" s="7" t="n">
        <f aca="false">$B17*SUMIFS(Doors!BA:BA,Doors!$C:$C,$A17)</f>
        <v>2.075</v>
      </c>
      <c r="AP17" s="7" t="n">
        <f aca="false">$B17*SUMIFS(Doors!BB:BB,Doors!$C:$C,$A17)</f>
        <v>2.075</v>
      </c>
      <c r="AQ17" s="7" t="n">
        <f aca="false">$B17*SUMIFS(Doors!BC:BC,Doors!$C:$C,$A17)</f>
        <v>2.075</v>
      </c>
      <c r="AR17" s="7" t="n">
        <f aca="false">$B17*SUMIFS(Doors!BD:BD,Doors!$C:$C,$A17)</f>
        <v>2.3125</v>
      </c>
      <c r="AS17" s="7" t="n">
        <f aca="false">$B17*SUMIFS(Doors!BE:BE,Doors!$C:$C,$A17)</f>
        <v>2.3125</v>
      </c>
      <c r="AT17" s="7" t="n">
        <f aca="false">$B17*SUMIFS(Doors!BF:BF,Doors!$C:$C,$A17)</f>
        <v>2.3125</v>
      </c>
      <c r="AU17" s="7" t="n">
        <f aca="false">$B17*SUMIFS(Doors!BG:BG,Doors!$C:$C,$A17)</f>
        <v>2.3125</v>
      </c>
      <c r="AV17" s="7" t="n">
        <f aca="false">$B17*SUMIFS(Doors!BH:BH,Doors!$C:$C,$A17)</f>
        <v>2.3125</v>
      </c>
      <c r="AW17" s="7" t="n">
        <f aca="false">$B17*SUMIFS(Doors!BI:BI,Doors!$C:$C,$A17)</f>
        <v>2.4625</v>
      </c>
      <c r="AX17" s="7" t="n">
        <f aca="false">$B17*SUMIFS(Doors!BJ:BJ,Doors!$C:$C,$A17)</f>
        <v>2.4625</v>
      </c>
      <c r="AY17" s="7" t="n">
        <f aca="false">$B17*SUMIFS(Doors!BK:BK,Doors!$C:$C,$A17)</f>
        <v>2.4625</v>
      </c>
      <c r="AZ17" s="7" t="n">
        <f aca="false">$B17*SUMIFS(Doors!BL:BL,Doors!$C:$C,$A17)</f>
        <v>2.4625</v>
      </c>
      <c r="BA17" s="7" t="n">
        <f aca="false">$B17*SUMIFS(Doors!BM:BM,Doors!$C:$C,$A17)</f>
        <v>2.625</v>
      </c>
      <c r="BB17" s="7" t="n">
        <f aca="false">$B17*SUMIFS(Doors!BN:BN,Doors!$C:$C,$A17)</f>
        <v>2.625</v>
      </c>
      <c r="BC17" s="7" t="n">
        <f aca="false">$B17*SUMIFS(Doors!BO:BO,Doors!$C:$C,$A17)</f>
        <v>2.625</v>
      </c>
      <c r="BD17" s="7" t="n">
        <f aca="false">$B17*SUMIFS(Doors!BP:BP,Doors!$C:$C,$A17)</f>
        <v>2.625</v>
      </c>
    </row>
    <row r="18" customFormat="false" ht="15" hidden="false" customHeight="false" outlineLevel="0" collapsed="false">
      <c r="A18" s="0" t="s">
        <v>118</v>
      </c>
      <c r="B18" s="25" t="n">
        <v>0.05</v>
      </c>
      <c r="E18" s="7" t="n">
        <f aca="false">$B18*SUMIFS(Doors!Q:Q,Doors!$C:$C,$A18)</f>
        <v>0</v>
      </c>
      <c r="F18" s="7" t="n">
        <f aca="false">$B18*SUMIFS(Doors!R:R,Doors!$C:$C,$A18)</f>
        <v>0</v>
      </c>
      <c r="G18" s="7" t="n">
        <f aca="false">$B18*SUMIFS(Doors!S:S,Doors!$C:$C,$A18)</f>
        <v>0</v>
      </c>
      <c r="H18" s="7" t="n">
        <f aca="false">$B18*SUMIFS(Doors!T:T,Doors!$C:$C,$A18)</f>
        <v>0</v>
      </c>
      <c r="I18" s="7" t="n">
        <f aca="false">$B18*SUMIFS(Doors!U:U,Doors!$C:$C,$A18)</f>
        <v>0</v>
      </c>
      <c r="J18" s="7" t="n">
        <f aca="false">$B18*SUMIFS(Doors!V:V,Doors!$C:$C,$A18)</f>
        <v>0</v>
      </c>
      <c r="K18" s="7" t="n">
        <f aca="false">$B18*SUMIFS(Doors!W:W,Doors!$C:$C,$A18)</f>
        <v>0</v>
      </c>
      <c r="L18" s="7" t="n">
        <f aca="false">$B18*SUMIFS(Doors!X:X,Doors!$C:$C,$A18)</f>
        <v>0</v>
      </c>
      <c r="M18" s="7" t="n">
        <f aca="false">$B18*SUMIFS(Doors!Y:Y,Doors!$C:$C,$A18)</f>
        <v>0</v>
      </c>
      <c r="N18" s="7" t="n">
        <f aca="false">$B18*SUMIFS(Doors!Z:Z,Doors!$C:$C,$A18)</f>
        <v>0</v>
      </c>
      <c r="O18" s="7" t="n">
        <f aca="false">$B18*SUMIFS(Doors!AA:AA,Doors!$C:$C,$A18)</f>
        <v>0</v>
      </c>
      <c r="P18" s="7" t="n">
        <f aca="false">$B18*SUMIFS(Doors!AB:AB,Doors!$C:$C,$A18)</f>
        <v>0</v>
      </c>
      <c r="Q18" s="7" t="n">
        <f aca="false">$B18*SUMIFS(Doors!AC:AC,Doors!$C:$C,$A18)</f>
        <v>0</v>
      </c>
      <c r="R18" s="7" t="n">
        <f aca="false">$B18*SUMIFS(Doors!AD:AD,Doors!$C:$C,$A18)</f>
        <v>0</v>
      </c>
      <c r="S18" s="7" t="n">
        <f aca="false">$B18*SUMIFS(Doors!AE:AE,Doors!$C:$C,$A18)</f>
        <v>0</v>
      </c>
      <c r="T18" s="7" t="n">
        <f aca="false">$B18*SUMIFS(Doors!AF:AF,Doors!$C:$C,$A18)</f>
        <v>0</v>
      </c>
      <c r="U18" s="7" t="n">
        <f aca="false">$B18*SUMIFS(Doors!AG:AG,Doors!$C:$C,$A18)</f>
        <v>0</v>
      </c>
      <c r="V18" s="7" t="n">
        <f aca="false">$B18*SUMIFS(Doors!AH:AH,Doors!$C:$C,$A18)</f>
        <v>0</v>
      </c>
      <c r="W18" s="7" t="n">
        <f aca="false">$B18*SUMIFS(Doors!AI:AI,Doors!$C:$C,$A18)</f>
        <v>0</v>
      </c>
      <c r="X18" s="7" t="n">
        <f aca="false">$B18*SUMIFS(Doors!AJ:AJ,Doors!$C:$C,$A18)</f>
        <v>0</v>
      </c>
      <c r="Y18" s="7" t="n">
        <f aca="false">$B18*SUMIFS(Doors!AK:AK,Doors!$C:$C,$A18)</f>
        <v>0</v>
      </c>
      <c r="Z18" s="7" t="n">
        <f aca="false">$B18*SUMIFS(Doors!AL:AL,Doors!$C:$C,$A18)</f>
        <v>0</v>
      </c>
      <c r="AA18" s="7" t="n">
        <f aca="false">$B18*SUMIFS(Doors!AM:AM,Doors!$C:$C,$A18)</f>
        <v>0</v>
      </c>
      <c r="AB18" s="7" t="n">
        <f aca="false">$B18*SUMIFS(Doors!AN:AN,Doors!$C:$C,$A18)</f>
        <v>0</v>
      </c>
      <c r="AC18" s="7" t="n">
        <f aca="false">$B18*SUMIFS(Doors!AO:AO,Doors!$C:$C,$A18)</f>
        <v>0</v>
      </c>
      <c r="AD18" s="7" t="n">
        <f aca="false">$B18*SUMIFS(Doors!AP:AP,Doors!$C:$C,$A18)</f>
        <v>0</v>
      </c>
      <c r="AE18" s="7" t="n">
        <f aca="false">$B18*SUMIFS(Doors!AQ:AQ,Doors!$C:$C,$A18)</f>
        <v>5</v>
      </c>
      <c r="AF18" s="7" t="n">
        <f aca="false">$B18*SUMIFS(Doors!AR:AR,Doors!$C:$C,$A18)</f>
        <v>5</v>
      </c>
      <c r="AG18" s="7" t="n">
        <f aca="false">$B18*SUMIFS(Doors!AS:AS,Doors!$C:$C,$A18)</f>
        <v>5</v>
      </c>
      <c r="AH18" s="7" t="n">
        <f aca="false">$B18*SUMIFS(Doors!AT:AT,Doors!$C:$C,$A18)</f>
        <v>5</v>
      </c>
      <c r="AI18" s="7" t="n">
        <f aca="false">$B18*SUMIFS(Doors!AU:AU,Doors!$C:$C,$A18)</f>
        <v>5</v>
      </c>
      <c r="AJ18" s="7" t="n">
        <f aca="false">$B18*SUMIFS(Doors!AV:AV,Doors!$C:$C,$A18)</f>
        <v>0</v>
      </c>
      <c r="AK18" s="7" t="n">
        <f aca="false">$B18*SUMIFS(Doors!AW:AW,Doors!$C:$C,$A18)</f>
        <v>0</v>
      </c>
      <c r="AL18" s="7" t="n">
        <f aca="false">$B18*SUMIFS(Doors!AX:AX,Doors!$C:$C,$A18)</f>
        <v>0</v>
      </c>
      <c r="AM18" s="7" t="n">
        <f aca="false">$B18*SUMIFS(Doors!AY:AY,Doors!$C:$C,$A18)</f>
        <v>0</v>
      </c>
      <c r="AN18" s="7" t="n">
        <f aca="false">$B18*SUMIFS(Doors!AZ:AZ,Doors!$C:$C,$A18)</f>
        <v>0</v>
      </c>
      <c r="AO18" s="7" t="n">
        <f aca="false">$B18*SUMIFS(Doors!BA:BA,Doors!$C:$C,$A18)</f>
        <v>0</v>
      </c>
      <c r="AP18" s="7" t="n">
        <f aca="false">$B18*SUMIFS(Doors!BB:BB,Doors!$C:$C,$A18)</f>
        <v>0</v>
      </c>
      <c r="AQ18" s="7" t="n">
        <f aca="false">$B18*SUMIFS(Doors!BC:BC,Doors!$C:$C,$A18)</f>
        <v>0</v>
      </c>
      <c r="AR18" s="7" t="n">
        <f aca="false">$B18*SUMIFS(Doors!BD:BD,Doors!$C:$C,$A18)</f>
        <v>5.5</v>
      </c>
      <c r="AS18" s="7" t="n">
        <f aca="false">$B18*SUMIFS(Doors!BE:BE,Doors!$C:$C,$A18)</f>
        <v>5.5</v>
      </c>
      <c r="AT18" s="7" t="n">
        <f aca="false">$B18*SUMIFS(Doors!BF:BF,Doors!$C:$C,$A18)</f>
        <v>5.5</v>
      </c>
      <c r="AU18" s="7" t="n">
        <f aca="false">$B18*SUMIFS(Doors!BG:BG,Doors!$C:$C,$A18)</f>
        <v>5.5</v>
      </c>
      <c r="AV18" s="7" t="n">
        <f aca="false">$B18*SUMIFS(Doors!BH:BH,Doors!$C:$C,$A18)</f>
        <v>5.5</v>
      </c>
      <c r="AW18" s="7" t="n">
        <f aca="false">$B18*SUMIFS(Doors!BI:BI,Doors!$C:$C,$A18)</f>
        <v>6</v>
      </c>
      <c r="AX18" s="7" t="n">
        <f aca="false">$B18*SUMIFS(Doors!BJ:BJ,Doors!$C:$C,$A18)</f>
        <v>6</v>
      </c>
      <c r="AY18" s="7" t="n">
        <f aca="false">$B18*SUMIFS(Doors!BK:BK,Doors!$C:$C,$A18)</f>
        <v>6</v>
      </c>
      <c r="AZ18" s="7" t="n">
        <f aca="false">$B18*SUMIFS(Doors!BL:BL,Doors!$C:$C,$A18)</f>
        <v>6</v>
      </c>
      <c r="BA18" s="7" t="n">
        <f aca="false">$B18*SUMIFS(Doors!BM:BM,Doors!$C:$C,$A18)</f>
        <v>6.35</v>
      </c>
      <c r="BB18" s="7" t="n">
        <f aca="false">$B18*SUMIFS(Doors!BN:BN,Doors!$C:$C,$A18)</f>
        <v>6.35</v>
      </c>
      <c r="BC18" s="7" t="n">
        <f aca="false">$B18*SUMIFS(Doors!BO:BO,Doors!$C:$C,$A18)</f>
        <v>6.35</v>
      </c>
      <c r="BD18" s="7" t="n">
        <f aca="false">$B18*SUMIFS(Doors!BP:BP,Doors!$C:$C,$A18)</f>
        <v>6.35</v>
      </c>
    </row>
    <row r="19" customFormat="false" ht="15" hidden="false" customHeight="false" outlineLevel="0" collapsed="false">
      <c r="A19" s="0" t="s">
        <v>119</v>
      </c>
      <c r="B19" s="26" t="n">
        <v>0.04</v>
      </c>
      <c r="E19" s="7" t="n">
        <f aca="false">$B19*SUMIFS(Doors!Q:Q,Doors!$C:$C,$A19)</f>
        <v>5.52</v>
      </c>
      <c r="F19" s="7" t="n">
        <f aca="false">$B19*SUMIFS(Doors!R:R,Doors!$C:$C,$A19)</f>
        <v>5.52</v>
      </c>
      <c r="G19" s="7" t="n">
        <f aca="false">$B19*SUMIFS(Doors!S:S,Doors!$C:$C,$A19)</f>
        <v>5.52</v>
      </c>
      <c r="H19" s="7" t="n">
        <f aca="false">$B19*SUMIFS(Doors!T:T,Doors!$C:$C,$A19)</f>
        <v>5.52</v>
      </c>
      <c r="I19" s="7" t="n">
        <f aca="false">$B19*SUMIFS(Doors!U:U,Doors!$C:$C,$A19)</f>
        <v>5.52</v>
      </c>
      <c r="J19" s="7" t="n">
        <f aca="false">$B19*SUMIFS(Doors!V:V,Doors!$C:$C,$A19)</f>
        <v>7.84</v>
      </c>
      <c r="K19" s="7" t="n">
        <f aca="false">$B19*SUMIFS(Doors!W:W,Doors!$C:$C,$A19)</f>
        <v>7.84</v>
      </c>
      <c r="L19" s="7" t="n">
        <f aca="false">$B19*SUMIFS(Doors!X:X,Doors!$C:$C,$A19)</f>
        <v>7.84</v>
      </c>
      <c r="M19" s="7" t="n">
        <f aca="false">$B19*SUMIFS(Doors!Y:Y,Doors!$C:$C,$A19)</f>
        <v>7.84</v>
      </c>
      <c r="N19" s="7" t="n">
        <f aca="false">$B19*SUMIFS(Doors!Z:Z,Doors!$C:$C,$A19)</f>
        <v>10.8</v>
      </c>
      <c r="O19" s="7" t="n">
        <f aca="false">$B19*SUMIFS(Doors!AA:AA,Doors!$C:$C,$A19)</f>
        <v>10.8</v>
      </c>
      <c r="P19" s="7" t="n">
        <f aca="false">$B19*SUMIFS(Doors!AB:AB,Doors!$C:$C,$A19)</f>
        <v>10.8</v>
      </c>
      <c r="Q19" s="7" t="n">
        <f aca="false">$B19*SUMIFS(Doors!AC:AC,Doors!$C:$C,$A19)</f>
        <v>10.8</v>
      </c>
      <c r="R19" s="7" t="n">
        <f aca="false">$B19*SUMIFS(Doors!AD:AD,Doors!$C:$C,$A19)</f>
        <v>13.4</v>
      </c>
      <c r="S19" s="7" t="n">
        <f aca="false">$B19*SUMIFS(Doors!AE:AE,Doors!$C:$C,$A19)</f>
        <v>13.4</v>
      </c>
      <c r="T19" s="7" t="n">
        <f aca="false">$B19*SUMIFS(Doors!AF:AF,Doors!$C:$C,$A19)</f>
        <v>13.4</v>
      </c>
      <c r="U19" s="7" t="n">
        <f aca="false">$B19*SUMIFS(Doors!AG:AG,Doors!$C:$C,$A19)</f>
        <v>13.4</v>
      </c>
      <c r="V19" s="7" t="n">
        <f aca="false">$B19*SUMIFS(Doors!AH:AH,Doors!$C:$C,$A19)</f>
        <v>13.4</v>
      </c>
      <c r="W19" s="7" t="n">
        <f aca="false">$B19*SUMIFS(Doors!AI:AI,Doors!$C:$C,$A19)</f>
        <v>15.64</v>
      </c>
      <c r="X19" s="7" t="n">
        <f aca="false">$B19*SUMIFS(Doors!AJ:AJ,Doors!$C:$C,$A19)</f>
        <v>15.64</v>
      </c>
      <c r="Y19" s="7" t="n">
        <f aca="false">$B19*SUMIFS(Doors!AK:AK,Doors!$C:$C,$A19)</f>
        <v>15.64</v>
      </c>
      <c r="Z19" s="7" t="n">
        <f aca="false">$B19*SUMIFS(Doors!AL:AL,Doors!$C:$C,$A19)</f>
        <v>15.64</v>
      </c>
      <c r="AA19" s="7" t="n">
        <f aca="false">$B19*SUMIFS(Doors!AM:AM,Doors!$C:$C,$A19)</f>
        <v>17.72</v>
      </c>
      <c r="AB19" s="7" t="n">
        <f aca="false">$B19*SUMIFS(Doors!AN:AN,Doors!$C:$C,$A19)</f>
        <v>17.72</v>
      </c>
      <c r="AC19" s="7" t="n">
        <f aca="false">$B19*SUMIFS(Doors!AO:AO,Doors!$C:$C,$A19)</f>
        <v>17.72</v>
      </c>
      <c r="AD19" s="7" t="n">
        <f aca="false">$B19*SUMIFS(Doors!AP:AP,Doors!$C:$C,$A19)</f>
        <v>17.72</v>
      </c>
      <c r="AE19" s="7" t="n">
        <f aca="false">$B19*SUMIFS(Doors!AQ:AQ,Doors!$C:$C,$A19)</f>
        <v>19.72</v>
      </c>
      <c r="AF19" s="7" t="n">
        <f aca="false">$B19*SUMIFS(Doors!AR:AR,Doors!$C:$C,$A19)</f>
        <v>19.72</v>
      </c>
      <c r="AG19" s="7" t="n">
        <f aca="false">$B19*SUMIFS(Doors!AS:AS,Doors!$C:$C,$A19)</f>
        <v>19.72</v>
      </c>
      <c r="AH19" s="7" t="n">
        <f aca="false">$B19*SUMIFS(Doors!AT:AT,Doors!$C:$C,$A19)</f>
        <v>19.72</v>
      </c>
      <c r="AI19" s="7" t="n">
        <f aca="false">$B19*SUMIFS(Doors!AU:AU,Doors!$C:$C,$A19)</f>
        <v>19.72</v>
      </c>
      <c r="AJ19" s="7" t="n">
        <f aca="false">$B19*SUMIFS(Doors!AV:AV,Doors!$C:$C,$A19)</f>
        <v>21.08</v>
      </c>
      <c r="AK19" s="7" t="n">
        <f aca="false">$B19*SUMIFS(Doors!AW:AW,Doors!$C:$C,$A19)</f>
        <v>21.08</v>
      </c>
      <c r="AL19" s="7" t="n">
        <f aca="false">$B19*SUMIFS(Doors!AX:AX,Doors!$C:$C,$A19)</f>
        <v>21.08</v>
      </c>
      <c r="AM19" s="7" t="n">
        <f aca="false">$B19*SUMIFS(Doors!AY:AY,Doors!$C:$C,$A19)</f>
        <v>21.08</v>
      </c>
      <c r="AN19" s="7" t="n">
        <f aca="false">$B19*SUMIFS(Doors!AZ:AZ,Doors!$C:$C,$A19)</f>
        <v>22.2</v>
      </c>
      <c r="AO19" s="7" t="n">
        <f aca="false">$B19*SUMIFS(Doors!BA:BA,Doors!$C:$C,$A19)</f>
        <v>22.2</v>
      </c>
      <c r="AP19" s="7" t="n">
        <f aca="false">$B19*SUMIFS(Doors!BB:BB,Doors!$C:$C,$A19)</f>
        <v>22.2</v>
      </c>
      <c r="AQ19" s="7" t="n">
        <f aca="false">$B19*SUMIFS(Doors!BC:BC,Doors!$C:$C,$A19)</f>
        <v>22.2</v>
      </c>
      <c r="AR19" s="7" t="n">
        <f aca="false">$B19*SUMIFS(Doors!BD:BD,Doors!$C:$C,$A19)</f>
        <v>23.08</v>
      </c>
      <c r="AS19" s="7" t="n">
        <f aca="false">$B19*SUMIFS(Doors!BE:BE,Doors!$C:$C,$A19)</f>
        <v>23.08</v>
      </c>
      <c r="AT19" s="7" t="n">
        <f aca="false">$B19*SUMIFS(Doors!BF:BF,Doors!$C:$C,$A19)</f>
        <v>23.08</v>
      </c>
      <c r="AU19" s="7" t="n">
        <f aca="false">$B19*SUMIFS(Doors!BG:BG,Doors!$C:$C,$A19)</f>
        <v>23.08</v>
      </c>
      <c r="AV19" s="7" t="n">
        <f aca="false">$B19*SUMIFS(Doors!BH:BH,Doors!$C:$C,$A19)</f>
        <v>23.08</v>
      </c>
      <c r="AW19" s="7" t="n">
        <f aca="false">$B19*SUMIFS(Doors!BI:BI,Doors!$C:$C,$A19)</f>
        <v>23.68</v>
      </c>
      <c r="AX19" s="7" t="n">
        <f aca="false">$B19*SUMIFS(Doors!BJ:BJ,Doors!$C:$C,$A19)</f>
        <v>23.68</v>
      </c>
      <c r="AY19" s="7" t="n">
        <f aca="false">$B19*SUMIFS(Doors!BK:BK,Doors!$C:$C,$A19)</f>
        <v>23.68</v>
      </c>
      <c r="AZ19" s="7" t="n">
        <f aca="false">$B19*SUMIFS(Doors!BL:BL,Doors!$C:$C,$A19)</f>
        <v>23.68</v>
      </c>
      <c r="BA19" s="7" t="n">
        <f aca="false">$B19*SUMIFS(Doors!BM:BM,Doors!$C:$C,$A19)</f>
        <v>24.12</v>
      </c>
      <c r="BB19" s="7" t="n">
        <f aca="false">$B19*SUMIFS(Doors!BN:BN,Doors!$C:$C,$A19)</f>
        <v>24.12</v>
      </c>
      <c r="BC19" s="7" t="n">
        <f aca="false">$B19*SUMIFS(Doors!BO:BO,Doors!$C:$C,$A19)</f>
        <v>24.12</v>
      </c>
      <c r="BD19" s="7" t="n">
        <f aca="false">$B19*SUMIFS(Doors!BP:BP,Doors!$C:$C,$A19)</f>
        <v>24.12</v>
      </c>
    </row>
    <row r="20" customFormat="false" ht="15" hidden="false" customHeight="false" outlineLevel="0" collapsed="false">
      <c r="A20" s="0" t="s">
        <v>120</v>
      </c>
      <c r="B20" s="26" t="n">
        <v>0.005</v>
      </c>
      <c r="E20" s="7" t="n">
        <f aca="false">$B20*SUMIFS(Doors!Q:Q,Doors!$C:$C,$A20)</f>
        <v>0.665</v>
      </c>
      <c r="F20" s="7" t="n">
        <f aca="false">$B20*SUMIFS(Doors!R:R,Doors!$C:$C,$A20)</f>
        <v>0.665</v>
      </c>
      <c r="G20" s="7" t="n">
        <f aca="false">$B20*SUMIFS(Doors!S:S,Doors!$C:$C,$A20)</f>
        <v>0.665</v>
      </c>
      <c r="H20" s="7" t="n">
        <f aca="false">$B20*SUMIFS(Doors!T:T,Doors!$C:$C,$A20)</f>
        <v>0.665</v>
      </c>
      <c r="I20" s="7" t="n">
        <f aca="false">$B20*SUMIFS(Doors!U:U,Doors!$C:$C,$A20)</f>
        <v>0.665</v>
      </c>
      <c r="J20" s="7" t="n">
        <f aca="false">$B20*SUMIFS(Doors!V:V,Doors!$C:$C,$A20)</f>
        <v>1.035</v>
      </c>
      <c r="K20" s="7" t="n">
        <f aca="false">$B20*SUMIFS(Doors!W:W,Doors!$C:$C,$A20)</f>
        <v>1.035</v>
      </c>
      <c r="L20" s="7" t="n">
        <f aca="false">$B20*SUMIFS(Doors!X:X,Doors!$C:$C,$A20)</f>
        <v>1.035</v>
      </c>
      <c r="M20" s="7" t="n">
        <f aca="false">$B20*SUMIFS(Doors!Y:Y,Doors!$C:$C,$A20)</f>
        <v>1.035</v>
      </c>
      <c r="N20" s="7" t="n">
        <f aca="false">$B20*SUMIFS(Doors!Z:Z,Doors!$C:$C,$A20)</f>
        <v>1.47</v>
      </c>
      <c r="O20" s="7" t="n">
        <f aca="false">$B20*SUMIFS(Doors!AA:AA,Doors!$C:$C,$A20)</f>
        <v>1.47</v>
      </c>
      <c r="P20" s="7" t="n">
        <f aca="false">$B20*SUMIFS(Doors!AB:AB,Doors!$C:$C,$A20)</f>
        <v>1.47</v>
      </c>
      <c r="Q20" s="7" t="n">
        <f aca="false">$B20*SUMIFS(Doors!AC:AC,Doors!$C:$C,$A20)</f>
        <v>1.47</v>
      </c>
      <c r="R20" s="7" t="n">
        <f aca="false">$B20*SUMIFS(Doors!AD:AD,Doors!$C:$C,$A20)</f>
        <v>1.905</v>
      </c>
      <c r="S20" s="7" t="n">
        <f aca="false">$B20*SUMIFS(Doors!AE:AE,Doors!$C:$C,$A20)</f>
        <v>1.905</v>
      </c>
      <c r="T20" s="7" t="n">
        <f aca="false">$B20*SUMIFS(Doors!AF:AF,Doors!$C:$C,$A20)</f>
        <v>1.905</v>
      </c>
      <c r="U20" s="7" t="n">
        <f aca="false">$B20*SUMIFS(Doors!AG:AG,Doors!$C:$C,$A20)</f>
        <v>1.905</v>
      </c>
      <c r="V20" s="7" t="n">
        <f aca="false">$B20*SUMIFS(Doors!AH:AH,Doors!$C:$C,$A20)</f>
        <v>1.905</v>
      </c>
      <c r="W20" s="7" t="n">
        <f aca="false">$B20*SUMIFS(Doors!AI:AI,Doors!$C:$C,$A20)</f>
        <v>2.265</v>
      </c>
      <c r="X20" s="7" t="n">
        <f aca="false">$B20*SUMIFS(Doors!AJ:AJ,Doors!$C:$C,$A20)</f>
        <v>2.265</v>
      </c>
      <c r="Y20" s="7" t="n">
        <f aca="false">$B20*SUMIFS(Doors!AK:AK,Doors!$C:$C,$A20)</f>
        <v>2.265</v>
      </c>
      <c r="Z20" s="7" t="n">
        <f aca="false">$B20*SUMIFS(Doors!AL:AL,Doors!$C:$C,$A20)</f>
        <v>2.265</v>
      </c>
      <c r="AA20" s="7" t="n">
        <f aca="false">$B20*SUMIFS(Doors!AM:AM,Doors!$C:$C,$A20)</f>
        <v>2.575</v>
      </c>
      <c r="AB20" s="7" t="n">
        <f aca="false">$B20*SUMIFS(Doors!AN:AN,Doors!$C:$C,$A20)</f>
        <v>2.575</v>
      </c>
      <c r="AC20" s="7" t="n">
        <f aca="false">$B20*SUMIFS(Doors!AO:AO,Doors!$C:$C,$A20)</f>
        <v>2.575</v>
      </c>
      <c r="AD20" s="7" t="n">
        <f aca="false">$B20*SUMIFS(Doors!AP:AP,Doors!$C:$C,$A20)</f>
        <v>2.575</v>
      </c>
      <c r="AE20" s="7" t="n">
        <f aca="false">$B20*SUMIFS(Doors!AQ:AQ,Doors!$C:$C,$A20)</f>
        <v>2.785</v>
      </c>
      <c r="AF20" s="7" t="n">
        <f aca="false">$B20*SUMIFS(Doors!AR:AR,Doors!$C:$C,$A20)</f>
        <v>2.785</v>
      </c>
      <c r="AG20" s="7" t="n">
        <f aca="false">$B20*SUMIFS(Doors!AS:AS,Doors!$C:$C,$A20)</f>
        <v>2.785</v>
      </c>
      <c r="AH20" s="7" t="n">
        <f aca="false">$B20*SUMIFS(Doors!AT:AT,Doors!$C:$C,$A20)</f>
        <v>2.785</v>
      </c>
      <c r="AI20" s="7" t="n">
        <f aca="false">$B20*SUMIFS(Doors!AU:AU,Doors!$C:$C,$A20)</f>
        <v>2.785</v>
      </c>
      <c r="AJ20" s="7" t="n">
        <f aca="false">$B20*SUMIFS(Doors!AV:AV,Doors!$C:$C,$A20)</f>
        <v>2.96</v>
      </c>
      <c r="AK20" s="7" t="n">
        <f aca="false">$B20*SUMIFS(Doors!AW:AW,Doors!$C:$C,$A20)</f>
        <v>2.96</v>
      </c>
      <c r="AL20" s="7" t="n">
        <f aca="false">$B20*SUMIFS(Doors!AX:AX,Doors!$C:$C,$A20)</f>
        <v>2.96</v>
      </c>
      <c r="AM20" s="7" t="n">
        <f aca="false">$B20*SUMIFS(Doors!AY:AY,Doors!$C:$C,$A20)</f>
        <v>2.96</v>
      </c>
      <c r="AN20" s="7" t="n">
        <f aca="false">$B20*SUMIFS(Doors!AZ:AZ,Doors!$C:$C,$A20)</f>
        <v>3.06</v>
      </c>
      <c r="AO20" s="7" t="n">
        <f aca="false">$B20*SUMIFS(Doors!BA:BA,Doors!$C:$C,$A20)</f>
        <v>3.06</v>
      </c>
      <c r="AP20" s="7" t="n">
        <f aca="false">$B20*SUMIFS(Doors!BB:BB,Doors!$C:$C,$A20)</f>
        <v>3.06</v>
      </c>
      <c r="AQ20" s="7" t="n">
        <f aca="false">$B20*SUMIFS(Doors!BC:BC,Doors!$C:$C,$A20)</f>
        <v>3.06</v>
      </c>
      <c r="AR20" s="7" t="n">
        <f aca="false">$B20*SUMIFS(Doors!BD:BD,Doors!$C:$C,$A20)</f>
        <v>3.15</v>
      </c>
      <c r="AS20" s="7" t="n">
        <f aca="false">$B20*SUMIFS(Doors!BE:BE,Doors!$C:$C,$A20)</f>
        <v>3.15</v>
      </c>
      <c r="AT20" s="7" t="n">
        <f aca="false">$B20*SUMIFS(Doors!BF:BF,Doors!$C:$C,$A20)</f>
        <v>3.15</v>
      </c>
      <c r="AU20" s="7" t="n">
        <f aca="false">$B20*SUMIFS(Doors!BG:BG,Doors!$C:$C,$A20)</f>
        <v>3.15</v>
      </c>
      <c r="AV20" s="7" t="n">
        <f aca="false">$B20*SUMIFS(Doors!BH:BH,Doors!$C:$C,$A20)</f>
        <v>3.15</v>
      </c>
      <c r="AW20" s="7" t="n">
        <f aca="false">$B20*SUMIFS(Doors!BI:BI,Doors!$C:$C,$A20)</f>
        <v>3.2</v>
      </c>
      <c r="AX20" s="7" t="n">
        <f aca="false">$B20*SUMIFS(Doors!BJ:BJ,Doors!$C:$C,$A20)</f>
        <v>3.2</v>
      </c>
      <c r="AY20" s="7" t="n">
        <f aca="false">$B20*SUMIFS(Doors!BK:BK,Doors!$C:$C,$A20)</f>
        <v>3.2</v>
      </c>
      <c r="AZ20" s="7" t="n">
        <f aca="false">$B20*SUMIFS(Doors!BL:BL,Doors!$C:$C,$A20)</f>
        <v>3.2</v>
      </c>
      <c r="BA20" s="7" t="n">
        <f aca="false">$B20*SUMIFS(Doors!BM:BM,Doors!$C:$C,$A20)</f>
        <v>3.21</v>
      </c>
      <c r="BB20" s="7" t="n">
        <f aca="false">$B20*SUMIFS(Doors!BN:BN,Doors!$C:$C,$A20)</f>
        <v>3.21</v>
      </c>
      <c r="BC20" s="7" t="n">
        <f aca="false">$B20*SUMIFS(Doors!BO:BO,Doors!$C:$C,$A20)</f>
        <v>3.21</v>
      </c>
      <c r="BD20" s="7" t="n">
        <f aca="false">$B20*SUMIFS(Doors!BP:BP,Doors!$C:$C,$A20)</f>
        <v>3.21</v>
      </c>
    </row>
    <row r="21" customFormat="false" ht="15" hidden="false" customHeight="false" outlineLevel="0" collapsed="false">
      <c r="A21" s="0" t="s">
        <v>121</v>
      </c>
      <c r="B21" s="26" t="n">
        <v>0.05</v>
      </c>
      <c r="E21" s="7" t="n">
        <f aca="false">$B21*SUMIFS(Doors!Q:Q,Doors!$C:$C,$A21)</f>
        <v>3.75</v>
      </c>
      <c r="F21" s="7" t="n">
        <f aca="false">$B21*SUMIFS(Doors!R:R,Doors!$C:$C,$A21)</f>
        <v>3.75</v>
      </c>
      <c r="G21" s="7" t="n">
        <f aca="false">$B21*SUMIFS(Doors!S:S,Doors!$C:$C,$A21)</f>
        <v>3.75</v>
      </c>
      <c r="H21" s="7" t="n">
        <f aca="false">$B21*SUMIFS(Doors!T:T,Doors!$C:$C,$A21)</f>
        <v>3.75</v>
      </c>
      <c r="I21" s="7" t="n">
        <f aca="false">$B21*SUMIFS(Doors!U:U,Doors!$C:$C,$A21)</f>
        <v>3.75</v>
      </c>
      <c r="J21" s="7" t="n">
        <f aca="false">$B21*SUMIFS(Doors!V:V,Doors!$C:$C,$A21)</f>
        <v>5.7</v>
      </c>
      <c r="K21" s="7" t="n">
        <f aca="false">$B21*SUMIFS(Doors!W:W,Doors!$C:$C,$A21)</f>
        <v>5.7</v>
      </c>
      <c r="L21" s="7" t="n">
        <f aca="false">$B21*SUMIFS(Doors!X:X,Doors!$C:$C,$A21)</f>
        <v>5.7</v>
      </c>
      <c r="M21" s="7" t="n">
        <f aca="false">$B21*SUMIFS(Doors!Y:Y,Doors!$C:$C,$A21)</f>
        <v>5.7</v>
      </c>
      <c r="N21" s="7" t="n">
        <f aca="false">$B21*SUMIFS(Doors!Z:Z,Doors!$C:$C,$A21)</f>
        <v>8.25</v>
      </c>
      <c r="O21" s="7" t="n">
        <f aca="false">$B21*SUMIFS(Doors!AA:AA,Doors!$C:$C,$A21)</f>
        <v>8.25</v>
      </c>
      <c r="P21" s="7" t="n">
        <f aca="false">$B21*SUMIFS(Doors!AB:AB,Doors!$C:$C,$A21)</f>
        <v>8.25</v>
      </c>
      <c r="Q21" s="7" t="n">
        <f aca="false">$B21*SUMIFS(Doors!AC:AC,Doors!$C:$C,$A21)</f>
        <v>8.25</v>
      </c>
      <c r="R21" s="7" t="n">
        <f aca="false">$B21*SUMIFS(Doors!AD:AD,Doors!$C:$C,$A21)</f>
        <v>10.6</v>
      </c>
      <c r="S21" s="7" t="n">
        <f aca="false">$B21*SUMIFS(Doors!AE:AE,Doors!$C:$C,$A21)</f>
        <v>10.6</v>
      </c>
      <c r="T21" s="7" t="n">
        <f aca="false">$B21*SUMIFS(Doors!AF:AF,Doors!$C:$C,$A21)</f>
        <v>10.6</v>
      </c>
      <c r="U21" s="7" t="n">
        <f aca="false">$B21*SUMIFS(Doors!AG:AG,Doors!$C:$C,$A21)</f>
        <v>10.6</v>
      </c>
      <c r="V21" s="7" t="n">
        <f aca="false">$B21*SUMIFS(Doors!AH:AH,Doors!$C:$C,$A21)</f>
        <v>10.6</v>
      </c>
      <c r="W21" s="7" t="n">
        <f aca="false">$B21*SUMIFS(Doors!AI:AI,Doors!$C:$C,$A21)</f>
        <v>12.75</v>
      </c>
      <c r="X21" s="7" t="n">
        <f aca="false">$B21*SUMIFS(Doors!AJ:AJ,Doors!$C:$C,$A21)</f>
        <v>12.75</v>
      </c>
      <c r="Y21" s="7" t="n">
        <f aca="false">$B21*SUMIFS(Doors!AK:AK,Doors!$C:$C,$A21)</f>
        <v>12.75</v>
      </c>
      <c r="Z21" s="7" t="n">
        <f aca="false">$B21*SUMIFS(Doors!AL:AL,Doors!$C:$C,$A21)</f>
        <v>12.75</v>
      </c>
      <c r="AA21" s="7" t="n">
        <f aca="false">$B21*SUMIFS(Doors!AM:AM,Doors!$C:$C,$A21)</f>
        <v>14.25</v>
      </c>
      <c r="AB21" s="7" t="n">
        <f aca="false">$B21*SUMIFS(Doors!AN:AN,Doors!$C:$C,$A21)</f>
        <v>14.25</v>
      </c>
      <c r="AC21" s="7" t="n">
        <f aca="false">$B21*SUMIFS(Doors!AO:AO,Doors!$C:$C,$A21)</f>
        <v>14.25</v>
      </c>
      <c r="AD21" s="7" t="n">
        <f aca="false">$B21*SUMIFS(Doors!AP:AP,Doors!$C:$C,$A21)</f>
        <v>14.25</v>
      </c>
      <c r="AE21" s="7" t="n">
        <f aca="false">$B21*SUMIFS(Doors!AQ:AQ,Doors!$C:$C,$A21)</f>
        <v>15.3</v>
      </c>
      <c r="AF21" s="7" t="n">
        <f aca="false">$B21*SUMIFS(Doors!AR:AR,Doors!$C:$C,$A21)</f>
        <v>15.3</v>
      </c>
      <c r="AG21" s="7" t="n">
        <f aca="false">$B21*SUMIFS(Doors!AS:AS,Doors!$C:$C,$A21)</f>
        <v>15.3</v>
      </c>
      <c r="AH21" s="7" t="n">
        <f aca="false">$B21*SUMIFS(Doors!AT:AT,Doors!$C:$C,$A21)</f>
        <v>15.3</v>
      </c>
      <c r="AI21" s="7" t="n">
        <f aca="false">$B21*SUMIFS(Doors!AU:AU,Doors!$C:$C,$A21)</f>
        <v>15.3</v>
      </c>
      <c r="AJ21" s="7" t="n">
        <f aca="false">$B21*SUMIFS(Doors!AV:AV,Doors!$C:$C,$A21)</f>
        <v>16.15</v>
      </c>
      <c r="AK21" s="7" t="n">
        <f aca="false">$B21*SUMIFS(Doors!AW:AW,Doors!$C:$C,$A21)</f>
        <v>16.15</v>
      </c>
      <c r="AL21" s="7" t="n">
        <f aca="false">$B21*SUMIFS(Doors!AX:AX,Doors!$C:$C,$A21)</f>
        <v>16.15</v>
      </c>
      <c r="AM21" s="7" t="n">
        <f aca="false">$B21*SUMIFS(Doors!AY:AY,Doors!$C:$C,$A21)</f>
        <v>16.15</v>
      </c>
      <c r="AN21" s="7" t="n">
        <f aca="false">$B21*SUMIFS(Doors!AZ:AZ,Doors!$C:$C,$A21)</f>
        <v>16.6</v>
      </c>
      <c r="AO21" s="7" t="n">
        <f aca="false">$B21*SUMIFS(Doors!BA:BA,Doors!$C:$C,$A21)</f>
        <v>16.6</v>
      </c>
      <c r="AP21" s="7" t="n">
        <f aca="false">$B21*SUMIFS(Doors!BB:BB,Doors!$C:$C,$A21)</f>
        <v>16.6</v>
      </c>
      <c r="AQ21" s="7" t="n">
        <f aca="false">$B21*SUMIFS(Doors!BC:BC,Doors!$C:$C,$A21)</f>
        <v>16.6</v>
      </c>
      <c r="AR21" s="7" t="n">
        <f aca="false">$B21*SUMIFS(Doors!BD:BD,Doors!$C:$C,$A21)</f>
        <v>16.95</v>
      </c>
      <c r="AS21" s="7" t="n">
        <f aca="false">$B21*SUMIFS(Doors!BE:BE,Doors!$C:$C,$A21)</f>
        <v>16.95</v>
      </c>
      <c r="AT21" s="7" t="n">
        <f aca="false">$B21*SUMIFS(Doors!BF:BF,Doors!$C:$C,$A21)</f>
        <v>16.95</v>
      </c>
      <c r="AU21" s="7" t="n">
        <f aca="false">$B21*SUMIFS(Doors!BG:BG,Doors!$C:$C,$A21)</f>
        <v>16.95</v>
      </c>
      <c r="AV21" s="7" t="n">
        <f aca="false">$B21*SUMIFS(Doors!BH:BH,Doors!$C:$C,$A21)</f>
        <v>16.95</v>
      </c>
      <c r="AW21" s="7" t="n">
        <f aca="false">$B21*SUMIFS(Doors!BI:BI,Doors!$C:$C,$A21)</f>
        <v>17.1</v>
      </c>
      <c r="AX21" s="7" t="n">
        <f aca="false">$B21*SUMIFS(Doors!BJ:BJ,Doors!$C:$C,$A21)</f>
        <v>17.1</v>
      </c>
      <c r="AY21" s="7" t="n">
        <f aca="false">$B21*SUMIFS(Doors!BK:BK,Doors!$C:$C,$A21)</f>
        <v>17.1</v>
      </c>
      <c r="AZ21" s="7" t="n">
        <f aca="false">$B21*SUMIFS(Doors!BL:BL,Doors!$C:$C,$A21)</f>
        <v>17.1</v>
      </c>
      <c r="BA21" s="7" t="n">
        <f aca="false">$B21*SUMIFS(Doors!BM:BM,Doors!$C:$C,$A21)</f>
        <v>17.2</v>
      </c>
      <c r="BB21" s="7" t="n">
        <f aca="false">$B21*SUMIFS(Doors!BN:BN,Doors!$C:$C,$A21)</f>
        <v>17.2</v>
      </c>
      <c r="BC21" s="7" t="n">
        <f aca="false">$B21*SUMIFS(Doors!BO:BO,Doors!$C:$C,$A21)</f>
        <v>17.2</v>
      </c>
      <c r="BD21" s="7" t="n">
        <f aca="false">$B21*SUMIFS(Doors!BP:BP,Doors!$C:$C,$A21)</f>
        <v>17.2</v>
      </c>
    </row>
    <row r="22" customFormat="false" ht="15" hidden="false" customHeight="false" outlineLevel="0" collapsed="false">
      <c r="A22" s="0" t="s">
        <v>122</v>
      </c>
      <c r="B22" s="26" t="n">
        <v>0.01</v>
      </c>
      <c r="E22" s="7" t="n">
        <f aca="false">$B22*SUMIFS(Doors!Q:Q,Doors!$C:$C,$A22)</f>
        <v>0.18</v>
      </c>
      <c r="F22" s="7" t="n">
        <f aca="false">$B22*SUMIFS(Doors!R:R,Doors!$C:$C,$A22)</f>
        <v>0.18</v>
      </c>
      <c r="G22" s="7" t="n">
        <f aca="false">$B22*SUMIFS(Doors!S:S,Doors!$C:$C,$A22)</f>
        <v>0.18</v>
      </c>
      <c r="H22" s="7" t="n">
        <f aca="false">$B22*SUMIFS(Doors!T:T,Doors!$C:$C,$A22)</f>
        <v>0.18</v>
      </c>
      <c r="I22" s="7" t="n">
        <f aca="false">$B22*SUMIFS(Doors!U:U,Doors!$C:$C,$A22)</f>
        <v>0.18</v>
      </c>
      <c r="J22" s="7" t="n">
        <f aca="false">$B22*SUMIFS(Doors!V:V,Doors!$C:$C,$A22)</f>
        <v>0.27</v>
      </c>
      <c r="K22" s="7" t="n">
        <f aca="false">$B22*SUMIFS(Doors!W:W,Doors!$C:$C,$A22)</f>
        <v>0.27</v>
      </c>
      <c r="L22" s="7" t="n">
        <f aca="false">$B22*SUMIFS(Doors!X:X,Doors!$C:$C,$A22)</f>
        <v>0.27</v>
      </c>
      <c r="M22" s="7" t="n">
        <f aca="false">$B22*SUMIFS(Doors!Y:Y,Doors!$C:$C,$A22)</f>
        <v>0.27</v>
      </c>
      <c r="N22" s="7" t="n">
        <f aca="false">$B22*SUMIFS(Doors!Z:Z,Doors!$C:$C,$A22)</f>
        <v>0.44</v>
      </c>
      <c r="O22" s="7" t="n">
        <f aca="false">$B22*SUMIFS(Doors!AA:AA,Doors!$C:$C,$A22)</f>
        <v>0.44</v>
      </c>
      <c r="P22" s="7" t="n">
        <f aca="false">$B22*SUMIFS(Doors!AB:AB,Doors!$C:$C,$A22)</f>
        <v>0.44</v>
      </c>
      <c r="Q22" s="7" t="n">
        <f aca="false">$B22*SUMIFS(Doors!AC:AC,Doors!$C:$C,$A22)</f>
        <v>0.44</v>
      </c>
      <c r="R22" s="7" t="n">
        <f aca="false">$B22*SUMIFS(Doors!AD:AD,Doors!$C:$C,$A22)</f>
        <v>0.6</v>
      </c>
      <c r="S22" s="7" t="n">
        <f aca="false">$B22*SUMIFS(Doors!AE:AE,Doors!$C:$C,$A22)</f>
        <v>0.6</v>
      </c>
      <c r="T22" s="7" t="n">
        <f aca="false">$B22*SUMIFS(Doors!AF:AF,Doors!$C:$C,$A22)</f>
        <v>0.6</v>
      </c>
      <c r="U22" s="7" t="n">
        <f aca="false">$B22*SUMIFS(Doors!AG:AG,Doors!$C:$C,$A22)</f>
        <v>0.6</v>
      </c>
      <c r="V22" s="7" t="n">
        <f aca="false">$B22*SUMIFS(Doors!AH:AH,Doors!$C:$C,$A22)</f>
        <v>0.6</v>
      </c>
      <c r="W22" s="7" t="n">
        <f aca="false">$B22*SUMIFS(Doors!AI:AI,Doors!$C:$C,$A22)</f>
        <v>0.76</v>
      </c>
      <c r="X22" s="7" t="n">
        <f aca="false">$B22*SUMIFS(Doors!AJ:AJ,Doors!$C:$C,$A22)</f>
        <v>0.76</v>
      </c>
      <c r="Y22" s="7" t="n">
        <f aca="false">$B22*SUMIFS(Doors!AK:AK,Doors!$C:$C,$A22)</f>
        <v>0.76</v>
      </c>
      <c r="Z22" s="7" t="n">
        <f aca="false">$B22*SUMIFS(Doors!AL:AL,Doors!$C:$C,$A22)</f>
        <v>0.76</v>
      </c>
      <c r="AA22" s="7" t="n">
        <f aca="false">$B22*SUMIFS(Doors!AM:AM,Doors!$C:$C,$A22)</f>
        <v>0.9</v>
      </c>
      <c r="AB22" s="7" t="n">
        <f aca="false">$B22*SUMIFS(Doors!AN:AN,Doors!$C:$C,$A22)</f>
        <v>0.9</v>
      </c>
      <c r="AC22" s="7" t="n">
        <f aca="false">$B22*SUMIFS(Doors!AO:AO,Doors!$C:$C,$A22)</f>
        <v>0.9</v>
      </c>
      <c r="AD22" s="7" t="n">
        <f aca="false">$B22*SUMIFS(Doors!AP:AP,Doors!$C:$C,$A22)</f>
        <v>0.9</v>
      </c>
      <c r="AE22" s="7" t="n">
        <f aca="false">$B22*SUMIFS(Doors!AQ:AQ,Doors!$C:$C,$A22)</f>
        <v>1.01</v>
      </c>
      <c r="AF22" s="7" t="n">
        <f aca="false">$B22*SUMIFS(Doors!AR:AR,Doors!$C:$C,$A22)</f>
        <v>1.01</v>
      </c>
      <c r="AG22" s="7" t="n">
        <f aca="false">$B22*SUMIFS(Doors!AS:AS,Doors!$C:$C,$A22)</f>
        <v>1.01</v>
      </c>
      <c r="AH22" s="7" t="n">
        <f aca="false">$B22*SUMIFS(Doors!AT:AT,Doors!$C:$C,$A22)</f>
        <v>1.01</v>
      </c>
      <c r="AI22" s="7" t="n">
        <f aca="false">$B22*SUMIFS(Doors!AU:AU,Doors!$C:$C,$A22)</f>
        <v>1.01</v>
      </c>
      <c r="AJ22" s="7" t="n">
        <f aca="false">$B22*SUMIFS(Doors!AV:AV,Doors!$C:$C,$A22)</f>
        <v>1.09</v>
      </c>
      <c r="AK22" s="7" t="n">
        <f aca="false">$B22*SUMIFS(Doors!AW:AW,Doors!$C:$C,$A22)</f>
        <v>1.09</v>
      </c>
      <c r="AL22" s="7" t="n">
        <f aca="false">$B22*SUMIFS(Doors!AX:AX,Doors!$C:$C,$A22)</f>
        <v>1.09</v>
      </c>
      <c r="AM22" s="7" t="n">
        <f aca="false">$B22*SUMIFS(Doors!AY:AY,Doors!$C:$C,$A22)</f>
        <v>1.09</v>
      </c>
      <c r="AN22" s="7" t="n">
        <f aca="false">$B22*SUMIFS(Doors!AZ:AZ,Doors!$C:$C,$A22)</f>
        <v>1.15</v>
      </c>
      <c r="AO22" s="7" t="n">
        <f aca="false">$B22*SUMIFS(Doors!BA:BA,Doors!$C:$C,$A22)</f>
        <v>1.15</v>
      </c>
      <c r="AP22" s="7" t="n">
        <f aca="false">$B22*SUMIFS(Doors!BB:BB,Doors!$C:$C,$A22)</f>
        <v>1.15</v>
      </c>
      <c r="AQ22" s="7" t="n">
        <f aca="false">$B22*SUMIFS(Doors!BC:BC,Doors!$C:$C,$A22)</f>
        <v>1.15</v>
      </c>
      <c r="AR22" s="7" t="n">
        <f aca="false">$B22*SUMIFS(Doors!BD:BD,Doors!$C:$C,$A22)</f>
        <v>1.18</v>
      </c>
      <c r="AS22" s="7" t="n">
        <f aca="false">$B22*SUMIFS(Doors!BE:BE,Doors!$C:$C,$A22)</f>
        <v>1.18</v>
      </c>
      <c r="AT22" s="7" t="n">
        <f aca="false">$B22*SUMIFS(Doors!BF:BF,Doors!$C:$C,$A22)</f>
        <v>1.18</v>
      </c>
      <c r="AU22" s="7" t="n">
        <f aca="false">$B22*SUMIFS(Doors!BG:BG,Doors!$C:$C,$A22)</f>
        <v>1.18</v>
      </c>
      <c r="AV22" s="7" t="n">
        <f aca="false">$B22*SUMIFS(Doors!BH:BH,Doors!$C:$C,$A22)</f>
        <v>1.18</v>
      </c>
      <c r="AW22" s="7" t="n">
        <f aca="false">$B22*SUMIFS(Doors!BI:BI,Doors!$C:$C,$A22)</f>
        <v>1.19</v>
      </c>
      <c r="AX22" s="7" t="n">
        <f aca="false">$B22*SUMIFS(Doors!BJ:BJ,Doors!$C:$C,$A22)</f>
        <v>1.19</v>
      </c>
      <c r="AY22" s="7" t="n">
        <f aca="false">$B22*SUMIFS(Doors!BK:BK,Doors!$C:$C,$A22)</f>
        <v>1.19</v>
      </c>
      <c r="AZ22" s="7" t="n">
        <f aca="false">$B22*SUMIFS(Doors!BL:BL,Doors!$C:$C,$A22)</f>
        <v>1.19</v>
      </c>
      <c r="BA22" s="7" t="n">
        <f aca="false">$B22*SUMIFS(Doors!BM:BM,Doors!$C:$C,$A22)</f>
        <v>1.2</v>
      </c>
      <c r="BB22" s="7" t="n">
        <f aca="false">$B22*SUMIFS(Doors!BN:BN,Doors!$C:$C,$A22)</f>
        <v>1.2</v>
      </c>
      <c r="BC22" s="7" t="n">
        <f aca="false">$B22*SUMIFS(Doors!BO:BO,Doors!$C:$C,$A22)</f>
        <v>1.2</v>
      </c>
      <c r="BD22" s="7" t="n">
        <f aca="false">$B22*SUMIFS(Doors!BP:BP,Doors!$C:$C,$A22)</f>
        <v>1.2</v>
      </c>
    </row>
    <row r="23" customFormat="false" ht="15" hidden="false" customHeight="false" outlineLevel="0" collapsed="false">
      <c r="A23" s="0" t="s">
        <v>123</v>
      </c>
      <c r="B23" s="26" t="n">
        <v>0.01</v>
      </c>
      <c r="E23" s="7" t="n">
        <f aca="false">$B23*SUMIFS(Doors!Q:Q,Doors!$C:$C,$A23)</f>
        <v>0.09</v>
      </c>
      <c r="F23" s="7" t="n">
        <f aca="false">$B23*SUMIFS(Doors!R:R,Doors!$C:$C,$A23)</f>
        <v>0.09</v>
      </c>
      <c r="G23" s="7" t="n">
        <f aca="false">$B23*SUMIFS(Doors!S:S,Doors!$C:$C,$A23)</f>
        <v>0.09</v>
      </c>
      <c r="H23" s="7" t="n">
        <f aca="false">$B23*SUMIFS(Doors!T:T,Doors!$C:$C,$A23)</f>
        <v>0.09</v>
      </c>
      <c r="I23" s="7" t="n">
        <f aca="false">$B23*SUMIFS(Doors!U:U,Doors!$C:$C,$A23)</f>
        <v>0.09</v>
      </c>
      <c r="J23" s="7" t="n">
        <f aca="false">$B23*SUMIFS(Doors!V:V,Doors!$C:$C,$A23)</f>
        <v>0.14</v>
      </c>
      <c r="K23" s="7" t="n">
        <f aca="false">$B23*SUMIFS(Doors!W:W,Doors!$C:$C,$A23)</f>
        <v>0.14</v>
      </c>
      <c r="L23" s="7" t="n">
        <f aca="false">$B23*SUMIFS(Doors!X:X,Doors!$C:$C,$A23)</f>
        <v>0.14</v>
      </c>
      <c r="M23" s="7" t="n">
        <f aca="false">$B23*SUMIFS(Doors!Y:Y,Doors!$C:$C,$A23)</f>
        <v>0.14</v>
      </c>
      <c r="N23" s="7" t="n">
        <f aca="false">$B23*SUMIFS(Doors!Z:Z,Doors!$C:$C,$A23)</f>
        <v>0.22</v>
      </c>
      <c r="O23" s="7" t="n">
        <f aca="false">$B23*SUMIFS(Doors!AA:AA,Doors!$C:$C,$A23)</f>
        <v>0.22</v>
      </c>
      <c r="P23" s="7" t="n">
        <f aca="false">$B23*SUMIFS(Doors!AB:AB,Doors!$C:$C,$A23)</f>
        <v>0.22</v>
      </c>
      <c r="Q23" s="7" t="n">
        <f aca="false">$B23*SUMIFS(Doors!AC:AC,Doors!$C:$C,$A23)</f>
        <v>0.22</v>
      </c>
      <c r="R23" s="7" t="n">
        <f aca="false">$B23*SUMIFS(Doors!AD:AD,Doors!$C:$C,$A23)</f>
        <v>0.28</v>
      </c>
      <c r="S23" s="7" t="n">
        <f aca="false">$B23*SUMIFS(Doors!AE:AE,Doors!$C:$C,$A23)</f>
        <v>0.28</v>
      </c>
      <c r="T23" s="7" t="n">
        <f aca="false">$B23*SUMIFS(Doors!AF:AF,Doors!$C:$C,$A23)</f>
        <v>0.28</v>
      </c>
      <c r="U23" s="7" t="n">
        <f aca="false">$B23*SUMIFS(Doors!AG:AG,Doors!$C:$C,$A23)</f>
        <v>0.28</v>
      </c>
      <c r="V23" s="7" t="n">
        <f aca="false">$B23*SUMIFS(Doors!AH:AH,Doors!$C:$C,$A23)</f>
        <v>0.28</v>
      </c>
      <c r="W23" s="7" t="n">
        <f aca="false">$B23*SUMIFS(Doors!AI:AI,Doors!$C:$C,$A23)</f>
        <v>0.34</v>
      </c>
      <c r="X23" s="7" t="n">
        <f aca="false">$B23*SUMIFS(Doors!AJ:AJ,Doors!$C:$C,$A23)</f>
        <v>0.34</v>
      </c>
      <c r="Y23" s="7" t="n">
        <f aca="false">$B23*SUMIFS(Doors!AK:AK,Doors!$C:$C,$A23)</f>
        <v>0.34</v>
      </c>
      <c r="Z23" s="7" t="n">
        <f aca="false">$B23*SUMIFS(Doors!AL:AL,Doors!$C:$C,$A23)</f>
        <v>0.34</v>
      </c>
      <c r="AA23" s="7" t="n">
        <f aca="false">$B23*SUMIFS(Doors!AM:AM,Doors!$C:$C,$A23)</f>
        <v>0.4</v>
      </c>
      <c r="AB23" s="7" t="n">
        <f aca="false">$B23*SUMIFS(Doors!AN:AN,Doors!$C:$C,$A23)</f>
        <v>0.4</v>
      </c>
      <c r="AC23" s="7" t="n">
        <f aca="false">$B23*SUMIFS(Doors!AO:AO,Doors!$C:$C,$A23)</f>
        <v>0.4</v>
      </c>
      <c r="AD23" s="7" t="n">
        <f aca="false">$B23*SUMIFS(Doors!AP:AP,Doors!$C:$C,$A23)</f>
        <v>0.4</v>
      </c>
      <c r="AE23" s="7" t="n">
        <f aca="false">$B23*SUMIFS(Doors!AQ:AQ,Doors!$C:$C,$A23)</f>
        <v>0.44</v>
      </c>
      <c r="AF23" s="7" t="n">
        <f aca="false">$B23*SUMIFS(Doors!AR:AR,Doors!$C:$C,$A23)</f>
        <v>0.44</v>
      </c>
      <c r="AG23" s="7" t="n">
        <f aca="false">$B23*SUMIFS(Doors!AS:AS,Doors!$C:$C,$A23)</f>
        <v>0.44</v>
      </c>
      <c r="AH23" s="7" t="n">
        <f aca="false">$B23*SUMIFS(Doors!AT:AT,Doors!$C:$C,$A23)</f>
        <v>0.44</v>
      </c>
      <c r="AI23" s="7" t="n">
        <f aca="false">$B23*SUMIFS(Doors!AU:AU,Doors!$C:$C,$A23)</f>
        <v>0.44</v>
      </c>
      <c r="AJ23" s="7" t="n">
        <f aca="false">$B23*SUMIFS(Doors!AV:AV,Doors!$C:$C,$A23)</f>
        <v>0.48</v>
      </c>
      <c r="AK23" s="7" t="n">
        <f aca="false">$B23*SUMIFS(Doors!AW:AW,Doors!$C:$C,$A23)</f>
        <v>0.48</v>
      </c>
      <c r="AL23" s="7" t="n">
        <f aca="false">$B23*SUMIFS(Doors!AX:AX,Doors!$C:$C,$A23)</f>
        <v>0.48</v>
      </c>
      <c r="AM23" s="7" t="n">
        <f aca="false">$B23*SUMIFS(Doors!AY:AY,Doors!$C:$C,$A23)</f>
        <v>0.48</v>
      </c>
      <c r="AN23" s="7" t="n">
        <f aca="false">$B23*SUMIFS(Doors!AZ:AZ,Doors!$C:$C,$A23)</f>
        <v>0.49</v>
      </c>
      <c r="AO23" s="7" t="n">
        <f aca="false">$B23*SUMIFS(Doors!BA:BA,Doors!$C:$C,$A23)</f>
        <v>0.49</v>
      </c>
      <c r="AP23" s="7" t="n">
        <f aca="false">$B23*SUMIFS(Doors!BB:BB,Doors!$C:$C,$A23)</f>
        <v>0.49</v>
      </c>
      <c r="AQ23" s="7" t="n">
        <f aca="false">$B23*SUMIFS(Doors!BC:BC,Doors!$C:$C,$A23)</f>
        <v>0.49</v>
      </c>
      <c r="AR23" s="7" t="n">
        <f aca="false">$B23*SUMIFS(Doors!BD:BD,Doors!$C:$C,$A23)</f>
        <v>0.5</v>
      </c>
      <c r="AS23" s="7" t="n">
        <f aca="false">$B23*SUMIFS(Doors!BE:BE,Doors!$C:$C,$A23)</f>
        <v>0.5</v>
      </c>
      <c r="AT23" s="7" t="n">
        <f aca="false">$B23*SUMIFS(Doors!BF:BF,Doors!$C:$C,$A23)</f>
        <v>0.5</v>
      </c>
      <c r="AU23" s="7" t="n">
        <f aca="false">$B23*SUMIFS(Doors!BG:BG,Doors!$C:$C,$A23)</f>
        <v>0.5</v>
      </c>
      <c r="AV23" s="7" t="n">
        <f aca="false">$B23*SUMIFS(Doors!BH:BH,Doors!$C:$C,$A23)</f>
        <v>0.5</v>
      </c>
      <c r="AW23" s="7" t="n">
        <f aca="false">$B23*SUMIFS(Doors!BI:BI,Doors!$C:$C,$A23)</f>
        <v>0.5</v>
      </c>
      <c r="AX23" s="7" t="n">
        <f aca="false">$B23*SUMIFS(Doors!BJ:BJ,Doors!$C:$C,$A23)</f>
        <v>0.5</v>
      </c>
      <c r="AY23" s="7" t="n">
        <f aca="false">$B23*SUMIFS(Doors!BK:BK,Doors!$C:$C,$A23)</f>
        <v>0.5</v>
      </c>
      <c r="AZ23" s="7" t="n">
        <f aca="false">$B23*SUMIFS(Doors!BL:BL,Doors!$C:$C,$A23)</f>
        <v>0.5</v>
      </c>
      <c r="BA23" s="7" t="n">
        <f aca="false">$B23*SUMIFS(Doors!BM:BM,Doors!$C:$C,$A23)</f>
        <v>0.5</v>
      </c>
      <c r="BB23" s="7" t="n">
        <f aca="false">$B23*SUMIFS(Doors!BN:BN,Doors!$C:$C,$A23)</f>
        <v>0.5</v>
      </c>
      <c r="BC23" s="7" t="n">
        <f aca="false">$B23*SUMIFS(Doors!BO:BO,Doors!$C:$C,$A23)</f>
        <v>0.5</v>
      </c>
      <c r="BD23" s="7" t="n">
        <f aca="false">$B23*SUMIFS(Doors!BP:BP,Doors!$C:$C,$A23)</f>
        <v>0.5</v>
      </c>
    </row>
    <row r="24" customFormat="false" ht="15" hidden="false" customHeight="false" outlineLevel="0" collapsed="false">
      <c r="A24" s="4" t="s">
        <v>258</v>
      </c>
      <c r="E24" s="10" t="n">
        <f aca="false">SUM(E15:E23)</f>
        <v>13.54</v>
      </c>
      <c r="F24" s="10" t="n">
        <f aca="false">SUM(F15:F23)</f>
        <v>13.54</v>
      </c>
      <c r="G24" s="10" t="n">
        <f aca="false">SUM(G15:G23)</f>
        <v>13.54</v>
      </c>
      <c r="H24" s="10" t="n">
        <f aca="false">SUM(H15:H23)</f>
        <v>13.54</v>
      </c>
      <c r="I24" s="10" t="n">
        <f aca="false">SUM(I15:I23)</f>
        <v>13.54</v>
      </c>
      <c r="J24" s="10" t="n">
        <f aca="false">SUM(J15:J23)</f>
        <v>19.405</v>
      </c>
      <c r="K24" s="10" t="n">
        <f aca="false">SUM(K15:K23)</f>
        <v>19.405</v>
      </c>
      <c r="L24" s="10" t="n">
        <f aca="false">SUM(L15:L23)</f>
        <v>19.405</v>
      </c>
      <c r="M24" s="10" t="n">
        <f aca="false">SUM(M15:M23)</f>
        <v>19.405</v>
      </c>
      <c r="N24" s="10" t="n">
        <f aca="false">SUM(N15:N23)</f>
        <v>27.2025</v>
      </c>
      <c r="O24" s="10" t="n">
        <f aca="false">SUM(O15:O23)</f>
        <v>27.2025</v>
      </c>
      <c r="P24" s="10" t="n">
        <f aca="false">SUM(P15:P23)</f>
        <v>27.2025</v>
      </c>
      <c r="Q24" s="10" t="n">
        <f aca="false">SUM(Q15:Q23)</f>
        <v>27.2025</v>
      </c>
      <c r="R24" s="10" t="n">
        <f aca="false">SUM(R15:R23)</f>
        <v>34.8525</v>
      </c>
      <c r="S24" s="10" t="n">
        <f aca="false">SUM(S15:S23)</f>
        <v>34.8525</v>
      </c>
      <c r="T24" s="10" t="n">
        <f aca="false">SUM(T15:T23)</f>
        <v>34.8525</v>
      </c>
      <c r="U24" s="10" t="n">
        <f aca="false">SUM(U15:U23)</f>
        <v>34.8525</v>
      </c>
      <c r="V24" s="10" t="n">
        <f aca="false">SUM(V15:V23)</f>
        <v>34.8525</v>
      </c>
      <c r="W24" s="10" t="n">
        <f aca="false">SUM(W15:W23)</f>
        <v>42.225</v>
      </c>
      <c r="X24" s="10" t="n">
        <f aca="false">SUM(X15:X23)</f>
        <v>42.225</v>
      </c>
      <c r="Y24" s="10" t="n">
        <f aca="false">SUM(Y15:Y23)</f>
        <v>42.225</v>
      </c>
      <c r="Z24" s="10" t="n">
        <f aca="false">SUM(Z15:Z23)</f>
        <v>42.225</v>
      </c>
      <c r="AA24" s="10" t="n">
        <f aca="false">SUM(AA15:AA23)</f>
        <v>49.0025</v>
      </c>
      <c r="AB24" s="10" t="n">
        <f aca="false">SUM(AB15:AB23)</f>
        <v>49.0025</v>
      </c>
      <c r="AC24" s="10" t="n">
        <f aca="false">SUM(AC15:AC23)</f>
        <v>49.0025</v>
      </c>
      <c r="AD24" s="10" t="n">
        <f aca="false">SUM(AD15:AD23)</f>
        <v>49.0025</v>
      </c>
      <c r="AE24" s="10" t="n">
        <f aca="false">SUM(AE15:AE23)</f>
        <v>59.9475</v>
      </c>
      <c r="AF24" s="10" t="n">
        <f aca="false">SUM(AF15:AF23)</f>
        <v>59.9475</v>
      </c>
      <c r="AG24" s="10" t="n">
        <f aca="false">SUM(AG15:AG23)</f>
        <v>59.9475</v>
      </c>
      <c r="AH24" s="10" t="n">
        <f aca="false">SUM(AH15:AH23)</f>
        <v>59.9475</v>
      </c>
      <c r="AI24" s="10" t="n">
        <f aca="false">SUM(AI15:AI23)</f>
        <v>59.9475</v>
      </c>
      <c r="AJ24" s="10" t="n">
        <f aca="false">SUM(AJ15:AJ23)</f>
        <v>59.73</v>
      </c>
      <c r="AK24" s="10" t="n">
        <f aca="false">SUM(AK15:AK23)</f>
        <v>59.73</v>
      </c>
      <c r="AL24" s="10" t="n">
        <f aca="false">SUM(AL15:AL23)</f>
        <v>59.73</v>
      </c>
      <c r="AM24" s="10" t="n">
        <f aca="false">SUM(AM15:AM23)</f>
        <v>59.73</v>
      </c>
      <c r="AN24" s="10" t="n">
        <f aca="false">SUM(AN15:AN23)</f>
        <v>63.505</v>
      </c>
      <c r="AO24" s="10" t="n">
        <f aca="false">SUM(AO15:AO23)</f>
        <v>63.505</v>
      </c>
      <c r="AP24" s="10" t="n">
        <f aca="false">SUM(AP15:AP23)</f>
        <v>63.505</v>
      </c>
      <c r="AQ24" s="10" t="n">
        <f aca="false">SUM(AQ15:AQ23)</f>
        <v>63.505</v>
      </c>
      <c r="AR24" s="10" t="n">
        <f aca="false">SUM(AR15:AR23)</f>
        <v>71.8825</v>
      </c>
      <c r="AS24" s="10" t="n">
        <f aca="false">SUM(AS15:AS23)</f>
        <v>71.8825</v>
      </c>
      <c r="AT24" s="10" t="n">
        <f aca="false">SUM(AT15:AT23)</f>
        <v>71.8825</v>
      </c>
      <c r="AU24" s="10" t="n">
        <f aca="false">SUM(AU15:AU23)</f>
        <v>71.8825</v>
      </c>
      <c r="AV24" s="10" t="n">
        <f aca="false">SUM(AV15:AV23)</f>
        <v>71.8825</v>
      </c>
      <c r="AW24" s="10" t="n">
        <f aca="false">SUM(AW15:AW23)</f>
        <v>74.4775</v>
      </c>
      <c r="AX24" s="10" t="n">
        <f aca="false">SUM(AX15:AX23)</f>
        <v>74.4775</v>
      </c>
      <c r="AY24" s="10" t="n">
        <f aca="false">SUM(AY15:AY23)</f>
        <v>74.4775</v>
      </c>
      <c r="AZ24" s="10" t="n">
        <f aca="false">SUM(AZ15:AZ23)</f>
        <v>74.4775</v>
      </c>
      <c r="BA24" s="10" t="n">
        <f aca="false">SUM(BA15:BA23)</f>
        <v>76.265</v>
      </c>
      <c r="BB24" s="10" t="n">
        <f aca="false">SUM(BB15:BB23)</f>
        <v>76.265</v>
      </c>
      <c r="BC24" s="10" t="n">
        <f aca="false">SUM(BC15:BC23)</f>
        <v>76.265</v>
      </c>
      <c r="BD24" s="10" t="n">
        <f aca="false">SUM(BD15:BD23)</f>
        <v>76.265</v>
      </c>
    </row>
    <row r="26" customFormat="false" ht="15" hidden="false" customHeight="false" outlineLevel="0" collapsed="false">
      <c r="A26" s="5" t="s">
        <v>259</v>
      </c>
    </row>
    <row r="27" customFormat="false" ht="15" hidden="false" customHeight="false" outlineLevel="0" collapsed="false">
      <c r="A27" s="4" t="s">
        <v>260</v>
      </c>
      <c r="B27" s="4" t="s">
        <v>261</v>
      </c>
      <c r="C27" s="4" t="s">
        <v>262</v>
      </c>
      <c r="D27" s="4" t="s">
        <v>263</v>
      </c>
      <c r="E27" s="21" t="s">
        <v>140</v>
      </c>
      <c r="F27" s="21" t="s">
        <v>141</v>
      </c>
      <c r="G27" s="21" t="s">
        <v>142</v>
      </c>
      <c r="H27" s="21" t="s">
        <v>143</v>
      </c>
      <c r="I27" s="21" t="s">
        <v>144</v>
      </c>
      <c r="J27" s="21" t="s">
        <v>145</v>
      </c>
      <c r="K27" s="21" t="s">
        <v>146</v>
      </c>
      <c r="L27" s="21" t="s">
        <v>147</v>
      </c>
      <c r="M27" s="21" t="s">
        <v>148</v>
      </c>
      <c r="N27" s="21" t="s">
        <v>149</v>
      </c>
      <c r="O27" s="21" t="s">
        <v>150</v>
      </c>
      <c r="P27" s="21" t="s">
        <v>151</v>
      </c>
      <c r="Q27" s="21" t="s">
        <v>152</v>
      </c>
      <c r="R27" s="21" t="s">
        <v>153</v>
      </c>
      <c r="S27" s="21" t="s">
        <v>154</v>
      </c>
      <c r="T27" s="21" t="s">
        <v>155</v>
      </c>
      <c r="U27" s="21" t="s">
        <v>156</v>
      </c>
      <c r="V27" s="21" t="s">
        <v>157</v>
      </c>
      <c r="W27" s="21" t="s">
        <v>158</v>
      </c>
      <c r="X27" s="21" t="s">
        <v>159</v>
      </c>
      <c r="Y27" s="21" t="s">
        <v>160</v>
      </c>
      <c r="Z27" s="21" t="s">
        <v>161</v>
      </c>
      <c r="AA27" s="21" t="s">
        <v>162</v>
      </c>
      <c r="AB27" s="21" t="s">
        <v>163</v>
      </c>
      <c r="AC27" s="21" t="s">
        <v>164</v>
      </c>
      <c r="AD27" s="21" t="s">
        <v>165</v>
      </c>
      <c r="AE27" s="21" t="s">
        <v>166</v>
      </c>
      <c r="AF27" s="21" t="s">
        <v>167</v>
      </c>
      <c r="AG27" s="21" t="s">
        <v>168</v>
      </c>
      <c r="AH27" s="21" t="s">
        <v>169</v>
      </c>
      <c r="AI27" s="21" t="s">
        <v>170</v>
      </c>
      <c r="AJ27" s="21" t="s">
        <v>171</v>
      </c>
      <c r="AK27" s="21" t="s">
        <v>172</v>
      </c>
      <c r="AL27" s="21" t="s">
        <v>173</v>
      </c>
      <c r="AM27" s="21" t="s">
        <v>174</v>
      </c>
      <c r="AN27" s="21" t="s">
        <v>175</v>
      </c>
      <c r="AO27" s="21" t="s">
        <v>176</v>
      </c>
      <c r="AP27" s="21" t="s">
        <v>177</v>
      </c>
      <c r="AQ27" s="21" t="s">
        <v>178</v>
      </c>
      <c r="AR27" s="21" t="s">
        <v>179</v>
      </c>
      <c r="AS27" s="21" t="s">
        <v>180</v>
      </c>
      <c r="AT27" s="21" t="s">
        <v>181</v>
      </c>
      <c r="AU27" s="21" t="s">
        <v>182</v>
      </c>
      <c r="AV27" s="21" t="s">
        <v>183</v>
      </c>
      <c r="AW27" s="21" t="s">
        <v>184</v>
      </c>
      <c r="AX27" s="21" t="s">
        <v>185</v>
      </c>
      <c r="AY27" s="21" t="s">
        <v>186</v>
      </c>
      <c r="AZ27" s="21" t="s">
        <v>187</v>
      </c>
      <c r="BA27" s="21" t="s">
        <v>188</v>
      </c>
      <c r="BB27" s="21" t="s">
        <v>189</v>
      </c>
      <c r="BC27" s="21" t="s">
        <v>190</v>
      </c>
      <c r="BD27" s="21" t="s">
        <v>191</v>
      </c>
    </row>
    <row r="28" customFormat="false" ht="15" hidden="false" customHeight="false" outlineLevel="0" collapsed="false">
      <c r="A28" s="0" t="s">
        <v>264</v>
      </c>
      <c r="B28" s="11" t="n">
        <v>25</v>
      </c>
      <c r="C28" s="11" t="n">
        <v>1</v>
      </c>
      <c r="D28" s="11" t="n">
        <v>1</v>
      </c>
      <c r="E28" s="7" t="n">
        <f aca="false">IF(AND(1&gt;=$C28,1&lt;=$D28),$B28/($D28-$C28+1),0)</f>
        <v>25</v>
      </c>
      <c r="F28" s="7" t="n">
        <f aca="false">IF(AND(2&gt;=$C28,2&lt;=$D28),$B28/($D28-$C28+1),0)</f>
        <v>0</v>
      </c>
      <c r="G28" s="7" t="n">
        <f aca="false">IF(AND(3&gt;=$C28,3&lt;=$D28),$B28/($D28-$C28+1),0)</f>
        <v>0</v>
      </c>
      <c r="H28" s="7" t="n">
        <f aca="false">IF(AND(4&gt;=$C28,4&lt;=$D28),$B28/($D28-$C28+1),0)</f>
        <v>0</v>
      </c>
      <c r="I28" s="7" t="n">
        <f aca="false">IF(AND(5&gt;=$C28,5&lt;=$D28),$B28/($D28-$C28+1),0)</f>
        <v>0</v>
      </c>
      <c r="J28" s="7" t="n">
        <f aca="false">IF(AND(6&gt;=$C28,6&lt;=$D28),$B28/($D28-$C28+1),0)</f>
        <v>0</v>
      </c>
      <c r="K28" s="7" t="n">
        <f aca="false">IF(AND(7&gt;=$C28,7&lt;=$D28),$B28/($D28-$C28+1),0)</f>
        <v>0</v>
      </c>
      <c r="L28" s="7" t="n">
        <f aca="false">IF(AND(8&gt;=$C28,8&lt;=$D28),$B28/($D28-$C28+1),0)</f>
        <v>0</v>
      </c>
      <c r="M28" s="7" t="n">
        <f aca="false">IF(AND(9&gt;=$C28,9&lt;=$D28),$B28/($D28-$C28+1),0)</f>
        <v>0</v>
      </c>
      <c r="N28" s="7" t="n">
        <f aca="false">IF(AND(10&gt;=$C28,10&lt;=$D28),$B28/($D28-$C28+1),0)</f>
        <v>0</v>
      </c>
      <c r="O28" s="7" t="n">
        <f aca="false">IF(AND(11&gt;=$C28,11&lt;=$D28),$B28/($D28-$C28+1),0)</f>
        <v>0</v>
      </c>
      <c r="P28" s="7" t="n">
        <f aca="false">IF(AND(12&gt;=$C28,12&lt;=$D28),$B28/($D28-$C28+1),0)</f>
        <v>0</v>
      </c>
      <c r="Q28" s="7" t="n">
        <f aca="false">IF(AND(13&gt;=$C28,13&lt;=$D28),$B28/($D28-$C28+1),0)</f>
        <v>0</v>
      </c>
      <c r="R28" s="7" t="n">
        <f aca="false">IF(AND(14&gt;=$C28,14&lt;=$D28),$B28/($D28-$C28+1),0)</f>
        <v>0</v>
      </c>
      <c r="S28" s="7" t="n">
        <f aca="false">IF(AND(15&gt;=$C28,15&lt;=$D28),$B28/($D28-$C28+1),0)</f>
        <v>0</v>
      </c>
      <c r="T28" s="7" t="n">
        <f aca="false">IF(AND(16&gt;=$C28,16&lt;=$D28),$B28/($D28-$C28+1),0)</f>
        <v>0</v>
      </c>
      <c r="U28" s="7" t="n">
        <f aca="false">IF(AND(17&gt;=$C28,17&lt;=$D28),$B28/($D28-$C28+1),0)</f>
        <v>0</v>
      </c>
      <c r="V28" s="7" t="n">
        <f aca="false">IF(AND(18&gt;=$C28,18&lt;=$D28),$B28/($D28-$C28+1),0)</f>
        <v>0</v>
      </c>
      <c r="W28" s="7" t="n">
        <f aca="false">IF(AND(19&gt;=$C28,19&lt;=$D28),$B28/($D28-$C28+1),0)</f>
        <v>0</v>
      </c>
      <c r="X28" s="7" t="n">
        <f aca="false">IF(AND(20&gt;=$C28,20&lt;=$D28),$B28/($D28-$C28+1),0)</f>
        <v>0</v>
      </c>
      <c r="Y28" s="7" t="n">
        <f aca="false">IF(AND(21&gt;=$C28,21&lt;=$D28),$B28/($D28-$C28+1),0)</f>
        <v>0</v>
      </c>
      <c r="Z28" s="7" t="n">
        <f aca="false">IF(AND(22&gt;=$C28,22&lt;=$D28),$B28/($D28-$C28+1),0)</f>
        <v>0</v>
      </c>
      <c r="AA28" s="7" t="n">
        <f aca="false">IF(AND(23&gt;=$C28,23&lt;=$D28),$B28/($D28-$C28+1),0)</f>
        <v>0</v>
      </c>
      <c r="AB28" s="7" t="n">
        <f aca="false">IF(AND(24&gt;=$C28,24&lt;=$D28),$B28/($D28-$C28+1),0)</f>
        <v>0</v>
      </c>
      <c r="AC28" s="7" t="n">
        <f aca="false">IF(AND(25&gt;=$C28,25&lt;=$D28),$B28/($D28-$C28+1),0)</f>
        <v>0</v>
      </c>
      <c r="AD28" s="7" t="n">
        <f aca="false">IF(AND(26&gt;=$C28,26&lt;=$D28),$B28/($D28-$C28+1),0)</f>
        <v>0</v>
      </c>
      <c r="AE28" s="7" t="n">
        <f aca="false">IF(AND(27&gt;=$C28,27&lt;=$D28),$B28/($D28-$C28+1),0)</f>
        <v>0</v>
      </c>
      <c r="AF28" s="7" t="n">
        <f aca="false">IF(AND(28&gt;=$C28,28&lt;=$D28),$B28/($D28-$C28+1),0)</f>
        <v>0</v>
      </c>
      <c r="AG28" s="7" t="n">
        <f aca="false">IF(AND(29&gt;=$C28,29&lt;=$D28),$B28/($D28-$C28+1),0)</f>
        <v>0</v>
      </c>
      <c r="AH28" s="7" t="n">
        <f aca="false">IF(AND(30&gt;=$C28,30&lt;=$D28),$B28/($D28-$C28+1),0)</f>
        <v>0</v>
      </c>
      <c r="AI28" s="7" t="n">
        <f aca="false">IF(AND(31&gt;=$C28,31&lt;=$D28),$B28/($D28-$C28+1),0)</f>
        <v>0</v>
      </c>
      <c r="AJ28" s="7" t="n">
        <f aca="false">IF(AND(32&gt;=$C28,32&lt;=$D28),$B28/($D28-$C28+1),0)</f>
        <v>0</v>
      </c>
      <c r="AK28" s="7" t="n">
        <f aca="false">IF(AND(33&gt;=$C28,33&lt;=$D28),$B28/($D28-$C28+1),0)</f>
        <v>0</v>
      </c>
      <c r="AL28" s="7" t="n">
        <f aca="false">IF(AND(34&gt;=$C28,34&lt;=$D28),$B28/($D28-$C28+1),0)</f>
        <v>0</v>
      </c>
      <c r="AM28" s="7" t="n">
        <f aca="false">IF(AND(35&gt;=$C28,35&lt;=$D28),$B28/($D28-$C28+1),0)</f>
        <v>0</v>
      </c>
      <c r="AN28" s="7" t="n">
        <f aca="false">IF(AND(36&gt;=$C28,36&lt;=$D28),$B28/($D28-$C28+1),0)</f>
        <v>0</v>
      </c>
      <c r="AO28" s="7" t="n">
        <f aca="false">IF(AND(37&gt;=$C28,37&lt;=$D28),$B28/($D28-$C28+1),0)</f>
        <v>0</v>
      </c>
      <c r="AP28" s="7" t="n">
        <f aca="false">IF(AND(38&gt;=$C28,38&lt;=$D28),$B28/($D28-$C28+1),0)</f>
        <v>0</v>
      </c>
      <c r="AQ28" s="7" t="n">
        <f aca="false">IF(AND(39&gt;=$C28,39&lt;=$D28),$B28/($D28-$C28+1),0)</f>
        <v>0</v>
      </c>
      <c r="AR28" s="7" t="n">
        <f aca="false">IF(AND(40&gt;=$C28,40&lt;=$D28),$B28/($D28-$C28+1),0)</f>
        <v>0</v>
      </c>
      <c r="AS28" s="7" t="n">
        <f aca="false">IF(AND(41&gt;=$C28,41&lt;=$D28),$B28/($D28-$C28+1),0)</f>
        <v>0</v>
      </c>
      <c r="AT28" s="7" t="n">
        <f aca="false">IF(AND(42&gt;=$C28,42&lt;=$D28),$B28/($D28-$C28+1),0)</f>
        <v>0</v>
      </c>
      <c r="AU28" s="7" t="n">
        <f aca="false">IF(AND(43&gt;=$C28,43&lt;=$D28),$B28/($D28-$C28+1),0)</f>
        <v>0</v>
      </c>
      <c r="AV28" s="7" t="n">
        <f aca="false">IF(AND(44&gt;=$C28,44&lt;=$D28),$B28/($D28-$C28+1),0)</f>
        <v>0</v>
      </c>
      <c r="AW28" s="7" t="n">
        <f aca="false">IF(AND(45&gt;=$C28,45&lt;=$D28),$B28/($D28-$C28+1),0)</f>
        <v>0</v>
      </c>
      <c r="AX28" s="7" t="n">
        <f aca="false">IF(AND(46&gt;=$C28,46&lt;=$D28),$B28/($D28-$C28+1),0)</f>
        <v>0</v>
      </c>
      <c r="AY28" s="7" t="n">
        <f aca="false">IF(AND(47&gt;=$C28,47&lt;=$D28),$B28/($D28-$C28+1),0)</f>
        <v>0</v>
      </c>
      <c r="AZ28" s="7" t="n">
        <f aca="false">IF(AND(48&gt;=$C28,48&lt;=$D28),$B28/($D28-$C28+1),0)</f>
        <v>0</v>
      </c>
      <c r="BA28" s="7" t="n">
        <f aca="false">IF(AND(49&gt;=$C28,49&lt;=$D28),$B28/($D28-$C28+1),0)</f>
        <v>0</v>
      </c>
      <c r="BB28" s="7" t="n">
        <f aca="false">IF(AND(50&gt;=$C28,50&lt;=$D28),$B28/($D28-$C28+1),0)</f>
        <v>0</v>
      </c>
      <c r="BC28" s="7" t="n">
        <f aca="false">IF(AND(51&gt;=$C28,51&lt;=$D28),$B28/($D28-$C28+1),0)</f>
        <v>0</v>
      </c>
      <c r="BD28" s="7" t="n">
        <f aca="false">IF(AND(52&gt;=$C28,52&lt;=$D28),$B28/($D28-$C28+1),0)</f>
        <v>0</v>
      </c>
    </row>
    <row r="29" customFormat="false" ht="15" hidden="false" customHeight="false" outlineLevel="0" collapsed="false">
      <c r="A29" s="0" t="s">
        <v>265</v>
      </c>
      <c r="B29" s="11" t="n">
        <v>36</v>
      </c>
      <c r="C29" s="11" t="n">
        <v>1</v>
      </c>
      <c r="D29" s="11" t="n">
        <v>52</v>
      </c>
      <c r="E29" s="7" t="n">
        <f aca="false">IF(AND(1&gt;=$C29,1&lt;=$D29),$B29/($D29-$C29+1),0)</f>
        <v>0.692307692307692</v>
      </c>
      <c r="F29" s="7" t="n">
        <f aca="false">IF(AND(2&gt;=$C29,2&lt;=$D29),$B29/($D29-$C29+1),0)</f>
        <v>0.692307692307692</v>
      </c>
      <c r="G29" s="7" t="n">
        <f aca="false">IF(AND(3&gt;=$C29,3&lt;=$D29),$B29/($D29-$C29+1),0)</f>
        <v>0.692307692307692</v>
      </c>
      <c r="H29" s="7" t="n">
        <f aca="false">IF(AND(4&gt;=$C29,4&lt;=$D29),$B29/($D29-$C29+1),0)</f>
        <v>0.692307692307692</v>
      </c>
      <c r="I29" s="7" t="n">
        <f aca="false">IF(AND(5&gt;=$C29,5&lt;=$D29),$B29/($D29-$C29+1),0)</f>
        <v>0.692307692307692</v>
      </c>
      <c r="J29" s="7" t="n">
        <f aca="false">IF(AND(6&gt;=$C29,6&lt;=$D29),$B29/($D29-$C29+1),0)</f>
        <v>0.692307692307692</v>
      </c>
      <c r="K29" s="7" t="n">
        <f aca="false">IF(AND(7&gt;=$C29,7&lt;=$D29),$B29/($D29-$C29+1),0)</f>
        <v>0.692307692307692</v>
      </c>
      <c r="L29" s="7" t="n">
        <f aca="false">IF(AND(8&gt;=$C29,8&lt;=$D29),$B29/($D29-$C29+1),0)</f>
        <v>0.692307692307692</v>
      </c>
      <c r="M29" s="7" t="n">
        <f aca="false">IF(AND(9&gt;=$C29,9&lt;=$D29),$B29/($D29-$C29+1),0)</f>
        <v>0.692307692307692</v>
      </c>
      <c r="N29" s="7" t="n">
        <f aca="false">IF(AND(10&gt;=$C29,10&lt;=$D29),$B29/($D29-$C29+1),0)</f>
        <v>0.692307692307692</v>
      </c>
      <c r="O29" s="7" t="n">
        <f aca="false">IF(AND(11&gt;=$C29,11&lt;=$D29),$B29/($D29-$C29+1),0)</f>
        <v>0.692307692307692</v>
      </c>
      <c r="P29" s="7" t="n">
        <f aca="false">IF(AND(12&gt;=$C29,12&lt;=$D29),$B29/($D29-$C29+1),0)</f>
        <v>0.692307692307692</v>
      </c>
      <c r="Q29" s="7" t="n">
        <f aca="false">IF(AND(13&gt;=$C29,13&lt;=$D29),$B29/($D29-$C29+1),0)</f>
        <v>0.692307692307692</v>
      </c>
      <c r="R29" s="7" t="n">
        <f aca="false">IF(AND(14&gt;=$C29,14&lt;=$D29),$B29/($D29-$C29+1),0)</f>
        <v>0.692307692307692</v>
      </c>
      <c r="S29" s="7" t="n">
        <f aca="false">IF(AND(15&gt;=$C29,15&lt;=$D29),$B29/($D29-$C29+1),0)</f>
        <v>0.692307692307692</v>
      </c>
      <c r="T29" s="7" t="n">
        <f aca="false">IF(AND(16&gt;=$C29,16&lt;=$D29),$B29/($D29-$C29+1),0)</f>
        <v>0.692307692307692</v>
      </c>
      <c r="U29" s="7" t="n">
        <f aca="false">IF(AND(17&gt;=$C29,17&lt;=$D29),$B29/($D29-$C29+1),0)</f>
        <v>0.692307692307692</v>
      </c>
      <c r="V29" s="7" t="n">
        <f aca="false">IF(AND(18&gt;=$C29,18&lt;=$D29),$B29/($D29-$C29+1),0)</f>
        <v>0.692307692307692</v>
      </c>
      <c r="W29" s="7" t="n">
        <f aca="false">IF(AND(19&gt;=$C29,19&lt;=$D29),$B29/($D29-$C29+1),0)</f>
        <v>0.692307692307692</v>
      </c>
      <c r="X29" s="7" t="n">
        <f aca="false">IF(AND(20&gt;=$C29,20&lt;=$D29),$B29/($D29-$C29+1),0)</f>
        <v>0.692307692307692</v>
      </c>
      <c r="Y29" s="7" t="n">
        <f aca="false">IF(AND(21&gt;=$C29,21&lt;=$D29),$B29/($D29-$C29+1),0)</f>
        <v>0.692307692307692</v>
      </c>
      <c r="Z29" s="7" t="n">
        <f aca="false">IF(AND(22&gt;=$C29,22&lt;=$D29),$B29/($D29-$C29+1),0)</f>
        <v>0.692307692307692</v>
      </c>
      <c r="AA29" s="7" t="n">
        <f aca="false">IF(AND(23&gt;=$C29,23&lt;=$D29),$B29/($D29-$C29+1),0)</f>
        <v>0.692307692307692</v>
      </c>
      <c r="AB29" s="7" t="n">
        <f aca="false">IF(AND(24&gt;=$C29,24&lt;=$D29),$B29/($D29-$C29+1),0)</f>
        <v>0.692307692307692</v>
      </c>
      <c r="AC29" s="7" t="n">
        <f aca="false">IF(AND(25&gt;=$C29,25&lt;=$D29),$B29/($D29-$C29+1),0)</f>
        <v>0.692307692307692</v>
      </c>
      <c r="AD29" s="7" t="n">
        <f aca="false">IF(AND(26&gt;=$C29,26&lt;=$D29),$B29/($D29-$C29+1),0)</f>
        <v>0.692307692307692</v>
      </c>
      <c r="AE29" s="7" t="n">
        <f aca="false">IF(AND(27&gt;=$C29,27&lt;=$D29),$B29/($D29-$C29+1),0)</f>
        <v>0.692307692307692</v>
      </c>
      <c r="AF29" s="7" t="n">
        <f aca="false">IF(AND(28&gt;=$C29,28&lt;=$D29),$B29/($D29-$C29+1),0)</f>
        <v>0.692307692307692</v>
      </c>
      <c r="AG29" s="7" t="n">
        <f aca="false">IF(AND(29&gt;=$C29,29&lt;=$D29),$B29/($D29-$C29+1),0)</f>
        <v>0.692307692307692</v>
      </c>
      <c r="AH29" s="7" t="n">
        <f aca="false">IF(AND(30&gt;=$C29,30&lt;=$D29),$B29/($D29-$C29+1),0)</f>
        <v>0.692307692307692</v>
      </c>
      <c r="AI29" s="7" t="n">
        <f aca="false">IF(AND(31&gt;=$C29,31&lt;=$D29),$B29/($D29-$C29+1),0)</f>
        <v>0.692307692307692</v>
      </c>
      <c r="AJ29" s="7" t="n">
        <f aca="false">IF(AND(32&gt;=$C29,32&lt;=$D29),$B29/($D29-$C29+1),0)</f>
        <v>0.692307692307692</v>
      </c>
      <c r="AK29" s="7" t="n">
        <f aca="false">IF(AND(33&gt;=$C29,33&lt;=$D29),$B29/($D29-$C29+1),0)</f>
        <v>0.692307692307692</v>
      </c>
      <c r="AL29" s="7" t="n">
        <f aca="false">IF(AND(34&gt;=$C29,34&lt;=$D29),$B29/($D29-$C29+1),0)</f>
        <v>0.692307692307692</v>
      </c>
      <c r="AM29" s="7" t="n">
        <f aca="false">IF(AND(35&gt;=$C29,35&lt;=$D29),$B29/($D29-$C29+1),0)</f>
        <v>0.692307692307692</v>
      </c>
      <c r="AN29" s="7" t="n">
        <f aca="false">IF(AND(36&gt;=$C29,36&lt;=$D29),$B29/($D29-$C29+1),0)</f>
        <v>0.692307692307692</v>
      </c>
      <c r="AO29" s="7" t="n">
        <f aca="false">IF(AND(37&gt;=$C29,37&lt;=$D29),$B29/($D29-$C29+1),0)</f>
        <v>0.692307692307692</v>
      </c>
      <c r="AP29" s="7" t="n">
        <f aca="false">IF(AND(38&gt;=$C29,38&lt;=$D29),$B29/($D29-$C29+1),0)</f>
        <v>0.692307692307692</v>
      </c>
      <c r="AQ29" s="7" t="n">
        <f aca="false">IF(AND(39&gt;=$C29,39&lt;=$D29),$B29/($D29-$C29+1),0)</f>
        <v>0.692307692307692</v>
      </c>
      <c r="AR29" s="7" t="n">
        <f aca="false">IF(AND(40&gt;=$C29,40&lt;=$D29),$B29/($D29-$C29+1),0)</f>
        <v>0.692307692307692</v>
      </c>
      <c r="AS29" s="7" t="n">
        <f aca="false">IF(AND(41&gt;=$C29,41&lt;=$D29),$B29/($D29-$C29+1),0)</f>
        <v>0.692307692307692</v>
      </c>
      <c r="AT29" s="7" t="n">
        <f aca="false">IF(AND(42&gt;=$C29,42&lt;=$D29),$B29/($D29-$C29+1),0)</f>
        <v>0.692307692307692</v>
      </c>
      <c r="AU29" s="7" t="n">
        <f aca="false">IF(AND(43&gt;=$C29,43&lt;=$D29),$B29/($D29-$C29+1),0)</f>
        <v>0.692307692307692</v>
      </c>
      <c r="AV29" s="7" t="n">
        <f aca="false">IF(AND(44&gt;=$C29,44&lt;=$D29),$B29/($D29-$C29+1),0)</f>
        <v>0.692307692307692</v>
      </c>
      <c r="AW29" s="7" t="n">
        <f aca="false">IF(AND(45&gt;=$C29,45&lt;=$D29),$B29/($D29-$C29+1),0)</f>
        <v>0.692307692307692</v>
      </c>
      <c r="AX29" s="7" t="n">
        <f aca="false">IF(AND(46&gt;=$C29,46&lt;=$D29),$B29/($D29-$C29+1),0)</f>
        <v>0.692307692307692</v>
      </c>
      <c r="AY29" s="7" t="n">
        <f aca="false">IF(AND(47&gt;=$C29,47&lt;=$D29),$B29/($D29-$C29+1),0)</f>
        <v>0.692307692307692</v>
      </c>
      <c r="AZ29" s="7" t="n">
        <f aca="false">IF(AND(48&gt;=$C29,48&lt;=$D29),$B29/($D29-$C29+1),0)</f>
        <v>0.692307692307692</v>
      </c>
      <c r="BA29" s="7" t="n">
        <f aca="false">IF(AND(49&gt;=$C29,49&lt;=$D29),$B29/($D29-$C29+1),0)</f>
        <v>0.692307692307692</v>
      </c>
      <c r="BB29" s="7" t="n">
        <f aca="false">IF(AND(50&gt;=$C29,50&lt;=$D29),$B29/($D29-$C29+1),0)</f>
        <v>0.692307692307692</v>
      </c>
      <c r="BC29" s="7" t="n">
        <f aca="false">IF(AND(51&gt;=$C29,51&lt;=$D29),$B29/($D29-$C29+1),0)</f>
        <v>0.692307692307692</v>
      </c>
      <c r="BD29" s="7" t="n">
        <f aca="false">IF(AND(52&gt;=$C29,52&lt;=$D29),$B29/($D29-$C29+1),0)</f>
        <v>0.692307692307692</v>
      </c>
    </row>
    <row r="30" customFormat="false" ht="15" hidden="false" customHeight="false" outlineLevel="0" collapsed="false">
      <c r="A30" s="0" t="s">
        <v>266</v>
      </c>
      <c r="B30" s="11" t="n">
        <v>15</v>
      </c>
      <c r="C30" s="11" t="n">
        <v>1</v>
      </c>
      <c r="D30" s="11" t="n">
        <v>1</v>
      </c>
      <c r="E30" s="7" t="n">
        <f aca="false">IF(AND(1&gt;=$C30,1&lt;=$D30),$B30/($D30-$C30+1),0)</f>
        <v>15</v>
      </c>
      <c r="F30" s="7" t="n">
        <f aca="false">IF(AND(2&gt;=$C30,2&lt;=$D30),$B30/($D30-$C30+1),0)</f>
        <v>0</v>
      </c>
      <c r="G30" s="7" t="n">
        <f aca="false">IF(AND(3&gt;=$C30,3&lt;=$D30),$B30/($D30-$C30+1),0)</f>
        <v>0</v>
      </c>
      <c r="H30" s="7" t="n">
        <f aca="false">IF(AND(4&gt;=$C30,4&lt;=$D30),$B30/($D30-$C30+1),0)</f>
        <v>0</v>
      </c>
      <c r="I30" s="7" t="n">
        <f aca="false">IF(AND(5&gt;=$C30,5&lt;=$D30),$B30/($D30-$C30+1),0)</f>
        <v>0</v>
      </c>
      <c r="J30" s="7" t="n">
        <f aca="false">IF(AND(6&gt;=$C30,6&lt;=$D30),$B30/($D30-$C30+1),0)</f>
        <v>0</v>
      </c>
      <c r="K30" s="7" t="n">
        <f aca="false">IF(AND(7&gt;=$C30,7&lt;=$D30),$B30/($D30-$C30+1),0)</f>
        <v>0</v>
      </c>
      <c r="L30" s="7" t="n">
        <f aca="false">IF(AND(8&gt;=$C30,8&lt;=$D30),$B30/($D30-$C30+1),0)</f>
        <v>0</v>
      </c>
      <c r="M30" s="7" t="n">
        <f aca="false">IF(AND(9&gt;=$C30,9&lt;=$D30),$B30/($D30-$C30+1),0)</f>
        <v>0</v>
      </c>
      <c r="N30" s="7" t="n">
        <f aca="false">IF(AND(10&gt;=$C30,10&lt;=$D30),$B30/($D30-$C30+1),0)</f>
        <v>0</v>
      </c>
      <c r="O30" s="7" t="n">
        <f aca="false">IF(AND(11&gt;=$C30,11&lt;=$D30),$B30/($D30-$C30+1),0)</f>
        <v>0</v>
      </c>
      <c r="P30" s="7" t="n">
        <f aca="false">IF(AND(12&gt;=$C30,12&lt;=$D30),$B30/($D30-$C30+1),0)</f>
        <v>0</v>
      </c>
      <c r="Q30" s="7" t="n">
        <f aca="false">IF(AND(13&gt;=$C30,13&lt;=$D30),$B30/($D30-$C30+1),0)</f>
        <v>0</v>
      </c>
      <c r="R30" s="7" t="n">
        <f aca="false">IF(AND(14&gt;=$C30,14&lt;=$D30),$B30/($D30-$C30+1),0)</f>
        <v>0</v>
      </c>
      <c r="S30" s="7" t="n">
        <f aca="false">IF(AND(15&gt;=$C30,15&lt;=$D30),$B30/($D30-$C30+1),0)</f>
        <v>0</v>
      </c>
      <c r="T30" s="7" t="n">
        <f aca="false">IF(AND(16&gt;=$C30,16&lt;=$D30),$B30/($D30-$C30+1),0)</f>
        <v>0</v>
      </c>
      <c r="U30" s="7" t="n">
        <f aca="false">IF(AND(17&gt;=$C30,17&lt;=$D30),$B30/($D30-$C30+1),0)</f>
        <v>0</v>
      </c>
      <c r="V30" s="7" t="n">
        <f aca="false">IF(AND(18&gt;=$C30,18&lt;=$D30),$B30/($D30-$C30+1),0)</f>
        <v>0</v>
      </c>
      <c r="W30" s="7" t="n">
        <f aca="false">IF(AND(19&gt;=$C30,19&lt;=$D30),$B30/($D30-$C30+1),0)</f>
        <v>0</v>
      </c>
      <c r="X30" s="7" t="n">
        <f aca="false">IF(AND(20&gt;=$C30,20&lt;=$D30),$B30/($D30-$C30+1),0)</f>
        <v>0</v>
      </c>
      <c r="Y30" s="7" t="n">
        <f aca="false">IF(AND(21&gt;=$C30,21&lt;=$D30),$B30/($D30-$C30+1),0)</f>
        <v>0</v>
      </c>
      <c r="Z30" s="7" t="n">
        <f aca="false">IF(AND(22&gt;=$C30,22&lt;=$D30),$B30/($D30-$C30+1),0)</f>
        <v>0</v>
      </c>
      <c r="AA30" s="7" t="n">
        <f aca="false">IF(AND(23&gt;=$C30,23&lt;=$D30),$B30/($D30-$C30+1),0)</f>
        <v>0</v>
      </c>
      <c r="AB30" s="7" t="n">
        <f aca="false">IF(AND(24&gt;=$C30,24&lt;=$D30),$B30/($D30-$C30+1),0)</f>
        <v>0</v>
      </c>
      <c r="AC30" s="7" t="n">
        <f aca="false">IF(AND(25&gt;=$C30,25&lt;=$D30),$B30/($D30-$C30+1),0)</f>
        <v>0</v>
      </c>
      <c r="AD30" s="7" t="n">
        <f aca="false">IF(AND(26&gt;=$C30,26&lt;=$D30),$B30/($D30-$C30+1),0)</f>
        <v>0</v>
      </c>
      <c r="AE30" s="7" t="n">
        <f aca="false">IF(AND(27&gt;=$C30,27&lt;=$D30),$B30/($D30-$C30+1),0)</f>
        <v>0</v>
      </c>
      <c r="AF30" s="7" t="n">
        <f aca="false">IF(AND(28&gt;=$C30,28&lt;=$D30),$B30/($D30-$C30+1),0)</f>
        <v>0</v>
      </c>
      <c r="AG30" s="7" t="n">
        <f aca="false">IF(AND(29&gt;=$C30,29&lt;=$D30),$B30/($D30-$C30+1),0)</f>
        <v>0</v>
      </c>
      <c r="AH30" s="7" t="n">
        <f aca="false">IF(AND(30&gt;=$C30,30&lt;=$D30),$B30/($D30-$C30+1),0)</f>
        <v>0</v>
      </c>
      <c r="AI30" s="7" t="n">
        <f aca="false">IF(AND(31&gt;=$C30,31&lt;=$D30),$B30/($D30-$C30+1),0)</f>
        <v>0</v>
      </c>
      <c r="AJ30" s="7" t="n">
        <f aca="false">IF(AND(32&gt;=$C30,32&lt;=$D30),$B30/($D30-$C30+1),0)</f>
        <v>0</v>
      </c>
      <c r="AK30" s="7" t="n">
        <f aca="false">IF(AND(33&gt;=$C30,33&lt;=$D30),$B30/($D30-$C30+1),0)</f>
        <v>0</v>
      </c>
      <c r="AL30" s="7" t="n">
        <f aca="false">IF(AND(34&gt;=$C30,34&lt;=$D30),$B30/($D30-$C30+1),0)</f>
        <v>0</v>
      </c>
      <c r="AM30" s="7" t="n">
        <f aca="false">IF(AND(35&gt;=$C30,35&lt;=$D30),$B30/($D30-$C30+1),0)</f>
        <v>0</v>
      </c>
      <c r="AN30" s="7" t="n">
        <f aca="false">IF(AND(36&gt;=$C30,36&lt;=$D30),$B30/($D30-$C30+1),0)</f>
        <v>0</v>
      </c>
      <c r="AO30" s="7" t="n">
        <f aca="false">IF(AND(37&gt;=$C30,37&lt;=$D30),$B30/($D30-$C30+1),0)</f>
        <v>0</v>
      </c>
      <c r="AP30" s="7" t="n">
        <f aca="false">IF(AND(38&gt;=$C30,38&lt;=$D30),$B30/($D30-$C30+1),0)</f>
        <v>0</v>
      </c>
      <c r="AQ30" s="7" t="n">
        <f aca="false">IF(AND(39&gt;=$C30,39&lt;=$D30),$B30/($D30-$C30+1),0)</f>
        <v>0</v>
      </c>
      <c r="AR30" s="7" t="n">
        <f aca="false">IF(AND(40&gt;=$C30,40&lt;=$D30),$B30/($D30-$C30+1),0)</f>
        <v>0</v>
      </c>
      <c r="AS30" s="7" t="n">
        <f aca="false">IF(AND(41&gt;=$C30,41&lt;=$D30),$B30/($D30-$C30+1),0)</f>
        <v>0</v>
      </c>
      <c r="AT30" s="7" t="n">
        <f aca="false">IF(AND(42&gt;=$C30,42&lt;=$D30),$B30/($D30-$C30+1),0)</f>
        <v>0</v>
      </c>
      <c r="AU30" s="7" t="n">
        <f aca="false">IF(AND(43&gt;=$C30,43&lt;=$D30),$B30/($D30-$C30+1),0)</f>
        <v>0</v>
      </c>
      <c r="AV30" s="7" t="n">
        <f aca="false">IF(AND(44&gt;=$C30,44&lt;=$D30),$B30/($D30-$C30+1),0)</f>
        <v>0</v>
      </c>
      <c r="AW30" s="7" t="n">
        <f aca="false">IF(AND(45&gt;=$C30,45&lt;=$D30),$B30/($D30-$C30+1),0)</f>
        <v>0</v>
      </c>
      <c r="AX30" s="7" t="n">
        <f aca="false">IF(AND(46&gt;=$C30,46&lt;=$D30),$B30/($D30-$C30+1),0)</f>
        <v>0</v>
      </c>
      <c r="AY30" s="7" t="n">
        <f aca="false">IF(AND(47&gt;=$C30,47&lt;=$D30),$B30/($D30-$C30+1),0)</f>
        <v>0</v>
      </c>
      <c r="AZ30" s="7" t="n">
        <f aca="false">IF(AND(48&gt;=$C30,48&lt;=$D30),$B30/($D30-$C30+1),0)</f>
        <v>0</v>
      </c>
      <c r="BA30" s="7" t="n">
        <f aca="false">IF(AND(49&gt;=$C30,49&lt;=$D30),$B30/($D30-$C30+1),0)</f>
        <v>0</v>
      </c>
      <c r="BB30" s="7" t="n">
        <f aca="false">IF(AND(50&gt;=$C30,50&lt;=$D30),$B30/($D30-$C30+1),0)</f>
        <v>0</v>
      </c>
      <c r="BC30" s="7" t="n">
        <f aca="false">IF(AND(51&gt;=$C30,51&lt;=$D30),$B30/($D30-$C30+1),0)</f>
        <v>0</v>
      </c>
      <c r="BD30" s="7" t="n">
        <f aca="false">IF(AND(52&gt;=$C30,52&lt;=$D30),$B30/($D30-$C30+1),0)</f>
        <v>0</v>
      </c>
    </row>
    <row r="31" customFormat="false" ht="15" hidden="false" customHeight="false" outlineLevel="0" collapsed="false">
      <c r="A31" s="0" t="s">
        <v>267</v>
      </c>
      <c r="B31" s="11" t="n">
        <v>60</v>
      </c>
      <c r="C31" s="11" t="n">
        <v>27</v>
      </c>
      <c r="D31" s="11" t="n">
        <v>27</v>
      </c>
      <c r="E31" s="7" t="n">
        <f aca="false">IF(AND(1&gt;=$C31,1&lt;=$D31),$B31/($D31-$C31+1),0)</f>
        <v>0</v>
      </c>
      <c r="F31" s="7" t="n">
        <f aca="false">IF(AND(2&gt;=$C31,2&lt;=$D31),$B31/($D31-$C31+1),0)</f>
        <v>0</v>
      </c>
      <c r="G31" s="7" t="n">
        <f aca="false">IF(AND(3&gt;=$C31,3&lt;=$D31),$B31/($D31-$C31+1),0)</f>
        <v>0</v>
      </c>
      <c r="H31" s="7" t="n">
        <f aca="false">IF(AND(4&gt;=$C31,4&lt;=$D31),$B31/($D31-$C31+1),0)</f>
        <v>0</v>
      </c>
      <c r="I31" s="7" t="n">
        <f aca="false">IF(AND(5&gt;=$C31,5&lt;=$D31),$B31/($D31-$C31+1),0)</f>
        <v>0</v>
      </c>
      <c r="J31" s="7" t="n">
        <f aca="false">IF(AND(6&gt;=$C31,6&lt;=$D31),$B31/($D31-$C31+1),0)</f>
        <v>0</v>
      </c>
      <c r="K31" s="7" t="n">
        <f aca="false">IF(AND(7&gt;=$C31,7&lt;=$D31),$B31/($D31-$C31+1),0)</f>
        <v>0</v>
      </c>
      <c r="L31" s="7" t="n">
        <f aca="false">IF(AND(8&gt;=$C31,8&lt;=$D31),$B31/($D31-$C31+1),0)</f>
        <v>0</v>
      </c>
      <c r="M31" s="7" t="n">
        <f aca="false">IF(AND(9&gt;=$C31,9&lt;=$D31),$B31/($D31-$C31+1),0)</f>
        <v>0</v>
      </c>
      <c r="N31" s="7" t="n">
        <f aca="false">IF(AND(10&gt;=$C31,10&lt;=$D31),$B31/($D31-$C31+1),0)</f>
        <v>0</v>
      </c>
      <c r="O31" s="7" t="n">
        <f aca="false">IF(AND(11&gt;=$C31,11&lt;=$D31),$B31/($D31-$C31+1),0)</f>
        <v>0</v>
      </c>
      <c r="P31" s="7" t="n">
        <f aca="false">IF(AND(12&gt;=$C31,12&lt;=$D31),$B31/($D31-$C31+1),0)</f>
        <v>0</v>
      </c>
      <c r="Q31" s="7" t="n">
        <f aca="false">IF(AND(13&gt;=$C31,13&lt;=$D31),$B31/($D31-$C31+1),0)</f>
        <v>0</v>
      </c>
      <c r="R31" s="7" t="n">
        <f aca="false">IF(AND(14&gt;=$C31,14&lt;=$D31),$B31/($D31-$C31+1),0)</f>
        <v>0</v>
      </c>
      <c r="S31" s="7" t="n">
        <f aca="false">IF(AND(15&gt;=$C31,15&lt;=$D31),$B31/($D31-$C31+1),0)</f>
        <v>0</v>
      </c>
      <c r="T31" s="7" t="n">
        <f aca="false">IF(AND(16&gt;=$C31,16&lt;=$D31),$B31/($D31-$C31+1),0)</f>
        <v>0</v>
      </c>
      <c r="U31" s="7" t="n">
        <f aca="false">IF(AND(17&gt;=$C31,17&lt;=$D31),$B31/($D31-$C31+1),0)</f>
        <v>0</v>
      </c>
      <c r="V31" s="7" t="n">
        <f aca="false">IF(AND(18&gt;=$C31,18&lt;=$D31),$B31/($D31-$C31+1),0)</f>
        <v>0</v>
      </c>
      <c r="W31" s="7" t="n">
        <f aca="false">IF(AND(19&gt;=$C31,19&lt;=$D31),$B31/($D31-$C31+1),0)</f>
        <v>0</v>
      </c>
      <c r="X31" s="7" t="n">
        <f aca="false">IF(AND(20&gt;=$C31,20&lt;=$D31),$B31/($D31-$C31+1),0)</f>
        <v>0</v>
      </c>
      <c r="Y31" s="7" t="n">
        <f aca="false">IF(AND(21&gt;=$C31,21&lt;=$D31),$B31/($D31-$C31+1),0)</f>
        <v>0</v>
      </c>
      <c r="Z31" s="7" t="n">
        <f aca="false">IF(AND(22&gt;=$C31,22&lt;=$D31),$B31/($D31-$C31+1),0)</f>
        <v>0</v>
      </c>
      <c r="AA31" s="7" t="n">
        <f aca="false">IF(AND(23&gt;=$C31,23&lt;=$D31),$B31/($D31-$C31+1),0)</f>
        <v>0</v>
      </c>
      <c r="AB31" s="7" t="n">
        <f aca="false">IF(AND(24&gt;=$C31,24&lt;=$D31),$B31/($D31-$C31+1),0)</f>
        <v>0</v>
      </c>
      <c r="AC31" s="7" t="n">
        <f aca="false">IF(AND(25&gt;=$C31,25&lt;=$D31),$B31/($D31-$C31+1),0)</f>
        <v>0</v>
      </c>
      <c r="AD31" s="7" t="n">
        <f aca="false">IF(AND(26&gt;=$C31,26&lt;=$D31),$B31/($D31-$C31+1),0)</f>
        <v>0</v>
      </c>
      <c r="AE31" s="7" t="n">
        <f aca="false">IF(AND(27&gt;=$C31,27&lt;=$D31),$B31/($D31-$C31+1),0)</f>
        <v>60</v>
      </c>
      <c r="AF31" s="7" t="n">
        <f aca="false">IF(AND(28&gt;=$C31,28&lt;=$D31),$B31/($D31-$C31+1),0)</f>
        <v>0</v>
      </c>
      <c r="AG31" s="7" t="n">
        <f aca="false">IF(AND(29&gt;=$C31,29&lt;=$D31),$B31/($D31-$C31+1),0)</f>
        <v>0</v>
      </c>
      <c r="AH31" s="7" t="n">
        <f aca="false">IF(AND(30&gt;=$C31,30&lt;=$D31),$B31/($D31-$C31+1),0)</f>
        <v>0</v>
      </c>
      <c r="AI31" s="7" t="n">
        <f aca="false">IF(AND(31&gt;=$C31,31&lt;=$D31),$B31/($D31-$C31+1),0)</f>
        <v>0</v>
      </c>
      <c r="AJ31" s="7" t="n">
        <f aca="false">IF(AND(32&gt;=$C31,32&lt;=$D31),$B31/($D31-$C31+1),0)</f>
        <v>0</v>
      </c>
      <c r="AK31" s="7" t="n">
        <f aca="false">IF(AND(33&gt;=$C31,33&lt;=$D31),$B31/($D31-$C31+1),0)</f>
        <v>0</v>
      </c>
      <c r="AL31" s="7" t="n">
        <f aca="false">IF(AND(34&gt;=$C31,34&lt;=$D31),$B31/($D31-$C31+1),0)</f>
        <v>0</v>
      </c>
      <c r="AM31" s="7" t="n">
        <f aca="false">IF(AND(35&gt;=$C31,35&lt;=$D31),$B31/($D31-$C31+1),0)</f>
        <v>0</v>
      </c>
      <c r="AN31" s="7" t="n">
        <f aca="false">IF(AND(36&gt;=$C31,36&lt;=$D31),$B31/($D31-$C31+1),0)</f>
        <v>0</v>
      </c>
      <c r="AO31" s="7" t="n">
        <f aca="false">IF(AND(37&gt;=$C31,37&lt;=$D31),$B31/($D31-$C31+1),0)</f>
        <v>0</v>
      </c>
      <c r="AP31" s="7" t="n">
        <f aca="false">IF(AND(38&gt;=$C31,38&lt;=$D31),$B31/($D31-$C31+1),0)</f>
        <v>0</v>
      </c>
      <c r="AQ31" s="7" t="n">
        <f aca="false">IF(AND(39&gt;=$C31,39&lt;=$D31),$B31/($D31-$C31+1),0)</f>
        <v>0</v>
      </c>
      <c r="AR31" s="7" t="n">
        <f aca="false">IF(AND(40&gt;=$C31,40&lt;=$D31),$B31/($D31-$C31+1),0)</f>
        <v>0</v>
      </c>
      <c r="AS31" s="7" t="n">
        <f aca="false">IF(AND(41&gt;=$C31,41&lt;=$D31),$B31/($D31-$C31+1),0)</f>
        <v>0</v>
      </c>
      <c r="AT31" s="7" t="n">
        <f aca="false">IF(AND(42&gt;=$C31,42&lt;=$D31),$B31/($D31-$C31+1),0)</f>
        <v>0</v>
      </c>
      <c r="AU31" s="7" t="n">
        <f aca="false">IF(AND(43&gt;=$C31,43&lt;=$D31),$B31/($D31-$C31+1),0)</f>
        <v>0</v>
      </c>
      <c r="AV31" s="7" t="n">
        <f aca="false">IF(AND(44&gt;=$C31,44&lt;=$D31),$B31/($D31-$C31+1),0)</f>
        <v>0</v>
      </c>
      <c r="AW31" s="7" t="n">
        <f aca="false">IF(AND(45&gt;=$C31,45&lt;=$D31),$B31/($D31-$C31+1),0)</f>
        <v>0</v>
      </c>
      <c r="AX31" s="7" t="n">
        <f aca="false">IF(AND(46&gt;=$C31,46&lt;=$D31),$B31/($D31-$C31+1),0)</f>
        <v>0</v>
      </c>
      <c r="AY31" s="7" t="n">
        <f aca="false">IF(AND(47&gt;=$C31,47&lt;=$D31),$B31/($D31-$C31+1),0)</f>
        <v>0</v>
      </c>
      <c r="AZ31" s="7" t="n">
        <f aca="false">IF(AND(48&gt;=$C31,48&lt;=$D31),$B31/($D31-$C31+1),0)</f>
        <v>0</v>
      </c>
      <c r="BA31" s="7" t="n">
        <f aca="false">IF(AND(49&gt;=$C31,49&lt;=$D31),$B31/($D31-$C31+1),0)</f>
        <v>0</v>
      </c>
      <c r="BB31" s="7" t="n">
        <f aca="false">IF(AND(50&gt;=$C31,50&lt;=$D31),$B31/($D31-$C31+1),0)</f>
        <v>0</v>
      </c>
      <c r="BC31" s="7" t="n">
        <f aca="false">IF(AND(51&gt;=$C31,51&lt;=$D31),$B31/($D31-$C31+1),0)</f>
        <v>0</v>
      </c>
      <c r="BD31" s="7" t="n">
        <f aca="false">IF(AND(52&gt;=$C31,52&lt;=$D31),$B31/($D31-$C31+1),0)</f>
        <v>0</v>
      </c>
    </row>
    <row r="32" customFormat="false" ht="15" hidden="false" customHeight="false" outlineLevel="0" collapsed="false">
      <c r="A32" s="0" t="s">
        <v>268</v>
      </c>
      <c r="B32" s="11" t="n">
        <v>40</v>
      </c>
      <c r="C32" s="11" t="n">
        <v>27</v>
      </c>
      <c r="D32" s="11" t="n">
        <v>27</v>
      </c>
      <c r="E32" s="7" t="n">
        <f aca="false">IF(AND(1&gt;=$C32,1&lt;=$D32),$B32/($D32-$C32+1),0)</f>
        <v>0</v>
      </c>
      <c r="F32" s="7" t="n">
        <f aca="false">IF(AND(2&gt;=$C32,2&lt;=$D32),$B32/($D32-$C32+1),0)</f>
        <v>0</v>
      </c>
      <c r="G32" s="7" t="n">
        <f aca="false">IF(AND(3&gt;=$C32,3&lt;=$D32),$B32/($D32-$C32+1),0)</f>
        <v>0</v>
      </c>
      <c r="H32" s="7" t="n">
        <f aca="false">IF(AND(4&gt;=$C32,4&lt;=$D32),$B32/($D32-$C32+1),0)</f>
        <v>0</v>
      </c>
      <c r="I32" s="7" t="n">
        <f aca="false">IF(AND(5&gt;=$C32,5&lt;=$D32),$B32/($D32-$C32+1),0)</f>
        <v>0</v>
      </c>
      <c r="J32" s="7" t="n">
        <f aca="false">IF(AND(6&gt;=$C32,6&lt;=$D32),$B32/($D32-$C32+1),0)</f>
        <v>0</v>
      </c>
      <c r="K32" s="7" t="n">
        <f aca="false">IF(AND(7&gt;=$C32,7&lt;=$D32),$B32/($D32-$C32+1),0)</f>
        <v>0</v>
      </c>
      <c r="L32" s="7" t="n">
        <f aca="false">IF(AND(8&gt;=$C32,8&lt;=$D32),$B32/($D32-$C32+1),0)</f>
        <v>0</v>
      </c>
      <c r="M32" s="7" t="n">
        <f aca="false">IF(AND(9&gt;=$C32,9&lt;=$D32),$B32/($D32-$C32+1),0)</f>
        <v>0</v>
      </c>
      <c r="N32" s="7" t="n">
        <f aca="false">IF(AND(10&gt;=$C32,10&lt;=$D32),$B32/($D32-$C32+1),0)</f>
        <v>0</v>
      </c>
      <c r="O32" s="7" t="n">
        <f aca="false">IF(AND(11&gt;=$C32,11&lt;=$D32),$B32/($D32-$C32+1),0)</f>
        <v>0</v>
      </c>
      <c r="P32" s="7" t="n">
        <f aca="false">IF(AND(12&gt;=$C32,12&lt;=$D32),$B32/($D32-$C32+1),0)</f>
        <v>0</v>
      </c>
      <c r="Q32" s="7" t="n">
        <f aca="false">IF(AND(13&gt;=$C32,13&lt;=$D32),$B32/($D32-$C32+1),0)</f>
        <v>0</v>
      </c>
      <c r="R32" s="7" t="n">
        <f aca="false">IF(AND(14&gt;=$C32,14&lt;=$D32),$B32/($D32-$C32+1),0)</f>
        <v>0</v>
      </c>
      <c r="S32" s="7" t="n">
        <f aca="false">IF(AND(15&gt;=$C32,15&lt;=$D32),$B32/($D32-$C32+1),0)</f>
        <v>0</v>
      </c>
      <c r="T32" s="7" t="n">
        <f aca="false">IF(AND(16&gt;=$C32,16&lt;=$D32),$B32/($D32-$C32+1),0)</f>
        <v>0</v>
      </c>
      <c r="U32" s="7" t="n">
        <f aca="false">IF(AND(17&gt;=$C32,17&lt;=$D32),$B32/($D32-$C32+1),0)</f>
        <v>0</v>
      </c>
      <c r="V32" s="7" t="n">
        <f aca="false">IF(AND(18&gt;=$C32,18&lt;=$D32),$B32/($D32-$C32+1),0)</f>
        <v>0</v>
      </c>
      <c r="W32" s="7" t="n">
        <f aca="false">IF(AND(19&gt;=$C32,19&lt;=$D32),$B32/($D32-$C32+1),0)</f>
        <v>0</v>
      </c>
      <c r="X32" s="7" t="n">
        <f aca="false">IF(AND(20&gt;=$C32,20&lt;=$D32),$B32/($D32-$C32+1),0)</f>
        <v>0</v>
      </c>
      <c r="Y32" s="7" t="n">
        <f aca="false">IF(AND(21&gt;=$C32,21&lt;=$D32),$B32/($D32-$C32+1),0)</f>
        <v>0</v>
      </c>
      <c r="Z32" s="7" t="n">
        <f aca="false">IF(AND(22&gt;=$C32,22&lt;=$D32),$B32/($D32-$C32+1),0)</f>
        <v>0</v>
      </c>
      <c r="AA32" s="7" t="n">
        <f aca="false">IF(AND(23&gt;=$C32,23&lt;=$D32),$B32/($D32-$C32+1),0)</f>
        <v>0</v>
      </c>
      <c r="AB32" s="7" t="n">
        <f aca="false">IF(AND(24&gt;=$C32,24&lt;=$D32),$B32/($D32-$C32+1),0)</f>
        <v>0</v>
      </c>
      <c r="AC32" s="7" t="n">
        <f aca="false">IF(AND(25&gt;=$C32,25&lt;=$D32),$B32/($D32-$C32+1),0)</f>
        <v>0</v>
      </c>
      <c r="AD32" s="7" t="n">
        <f aca="false">IF(AND(26&gt;=$C32,26&lt;=$D32),$B32/($D32-$C32+1),0)</f>
        <v>0</v>
      </c>
      <c r="AE32" s="7" t="n">
        <f aca="false">IF(AND(27&gt;=$C32,27&lt;=$D32),$B32/($D32-$C32+1),0)</f>
        <v>40</v>
      </c>
      <c r="AF32" s="7" t="n">
        <f aca="false">IF(AND(28&gt;=$C32,28&lt;=$D32),$B32/($D32-$C32+1),0)</f>
        <v>0</v>
      </c>
      <c r="AG32" s="7" t="n">
        <f aca="false">IF(AND(29&gt;=$C32,29&lt;=$D32),$B32/($D32-$C32+1),0)</f>
        <v>0</v>
      </c>
      <c r="AH32" s="7" t="n">
        <f aca="false">IF(AND(30&gt;=$C32,30&lt;=$D32),$B32/($D32-$C32+1),0)</f>
        <v>0</v>
      </c>
      <c r="AI32" s="7" t="n">
        <f aca="false">IF(AND(31&gt;=$C32,31&lt;=$D32),$B32/($D32-$C32+1),0)</f>
        <v>0</v>
      </c>
      <c r="AJ32" s="7" t="n">
        <f aca="false">IF(AND(32&gt;=$C32,32&lt;=$D32),$B32/($D32-$C32+1),0)</f>
        <v>0</v>
      </c>
      <c r="AK32" s="7" t="n">
        <f aca="false">IF(AND(33&gt;=$C32,33&lt;=$D32),$B32/($D32-$C32+1),0)</f>
        <v>0</v>
      </c>
      <c r="AL32" s="7" t="n">
        <f aca="false">IF(AND(34&gt;=$C32,34&lt;=$D32),$B32/($D32-$C32+1),0)</f>
        <v>0</v>
      </c>
      <c r="AM32" s="7" t="n">
        <f aca="false">IF(AND(35&gt;=$C32,35&lt;=$D32),$B32/($D32-$C32+1),0)</f>
        <v>0</v>
      </c>
      <c r="AN32" s="7" t="n">
        <f aca="false">IF(AND(36&gt;=$C32,36&lt;=$D32),$B32/($D32-$C32+1),0)</f>
        <v>0</v>
      </c>
      <c r="AO32" s="7" t="n">
        <f aca="false">IF(AND(37&gt;=$C32,37&lt;=$D32),$B32/($D32-$C32+1),0)</f>
        <v>0</v>
      </c>
      <c r="AP32" s="7" t="n">
        <f aca="false">IF(AND(38&gt;=$C32,38&lt;=$D32),$B32/($D32-$C32+1),0)</f>
        <v>0</v>
      </c>
      <c r="AQ32" s="7" t="n">
        <f aca="false">IF(AND(39&gt;=$C32,39&lt;=$D32),$B32/($D32-$C32+1),0)</f>
        <v>0</v>
      </c>
      <c r="AR32" s="7" t="n">
        <f aca="false">IF(AND(40&gt;=$C32,40&lt;=$D32),$B32/($D32-$C32+1),0)</f>
        <v>0</v>
      </c>
      <c r="AS32" s="7" t="n">
        <f aca="false">IF(AND(41&gt;=$C32,41&lt;=$D32),$B32/($D32-$C32+1),0)</f>
        <v>0</v>
      </c>
      <c r="AT32" s="7" t="n">
        <f aca="false">IF(AND(42&gt;=$C32,42&lt;=$D32),$B32/($D32-$C32+1),0)</f>
        <v>0</v>
      </c>
      <c r="AU32" s="7" t="n">
        <f aca="false">IF(AND(43&gt;=$C32,43&lt;=$D32),$B32/($D32-$C32+1),0)</f>
        <v>0</v>
      </c>
      <c r="AV32" s="7" t="n">
        <f aca="false">IF(AND(44&gt;=$C32,44&lt;=$D32),$B32/($D32-$C32+1),0)</f>
        <v>0</v>
      </c>
      <c r="AW32" s="7" t="n">
        <f aca="false">IF(AND(45&gt;=$C32,45&lt;=$D32),$B32/($D32-$C32+1),0)</f>
        <v>0</v>
      </c>
      <c r="AX32" s="7" t="n">
        <f aca="false">IF(AND(46&gt;=$C32,46&lt;=$D32),$B32/($D32-$C32+1),0)</f>
        <v>0</v>
      </c>
      <c r="AY32" s="7" t="n">
        <f aca="false">IF(AND(47&gt;=$C32,47&lt;=$D32),$B32/($D32-$C32+1),0)</f>
        <v>0</v>
      </c>
      <c r="AZ32" s="7" t="n">
        <f aca="false">IF(AND(48&gt;=$C32,48&lt;=$D32),$B32/($D32-$C32+1),0)</f>
        <v>0</v>
      </c>
      <c r="BA32" s="7" t="n">
        <f aca="false">IF(AND(49&gt;=$C32,49&lt;=$D32),$B32/($D32-$C32+1),0)</f>
        <v>0</v>
      </c>
      <c r="BB32" s="7" t="n">
        <f aca="false">IF(AND(50&gt;=$C32,50&lt;=$D32),$B32/($D32-$C32+1),0)</f>
        <v>0</v>
      </c>
      <c r="BC32" s="7" t="n">
        <f aca="false">IF(AND(51&gt;=$C32,51&lt;=$D32),$B32/($D32-$C32+1),0)</f>
        <v>0</v>
      </c>
      <c r="BD32" s="7" t="n">
        <f aca="false">IF(AND(52&gt;=$C32,52&lt;=$D32),$B32/($D32-$C32+1),0)</f>
        <v>0</v>
      </c>
    </row>
    <row r="33" customFormat="false" ht="15" hidden="false" customHeight="false" outlineLevel="0" collapsed="false">
      <c r="A33" s="0" t="s">
        <v>269</v>
      </c>
      <c r="B33" s="11" t="n">
        <v>25</v>
      </c>
      <c r="C33" s="11" t="n">
        <v>32</v>
      </c>
      <c r="D33" s="11" t="n">
        <v>32</v>
      </c>
      <c r="E33" s="7" t="n">
        <f aca="false">IF(AND(1&gt;=$C33,1&lt;=$D33),$B33/($D33-$C33+1),0)</f>
        <v>0</v>
      </c>
      <c r="F33" s="7" t="n">
        <f aca="false">IF(AND(2&gt;=$C33,2&lt;=$D33),$B33/($D33-$C33+1),0)</f>
        <v>0</v>
      </c>
      <c r="G33" s="7" t="n">
        <f aca="false">IF(AND(3&gt;=$C33,3&lt;=$D33),$B33/($D33-$C33+1),0)</f>
        <v>0</v>
      </c>
      <c r="H33" s="7" t="n">
        <f aca="false">IF(AND(4&gt;=$C33,4&lt;=$D33),$B33/($D33-$C33+1),0)</f>
        <v>0</v>
      </c>
      <c r="I33" s="7" t="n">
        <f aca="false">IF(AND(5&gt;=$C33,5&lt;=$D33),$B33/($D33-$C33+1),0)</f>
        <v>0</v>
      </c>
      <c r="J33" s="7" t="n">
        <f aca="false">IF(AND(6&gt;=$C33,6&lt;=$D33),$B33/($D33-$C33+1),0)</f>
        <v>0</v>
      </c>
      <c r="K33" s="7" t="n">
        <f aca="false">IF(AND(7&gt;=$C33,7&lt;=$D33),$B33/($D33-$C33+1),0)</f>
        <v>0</v>
      </c>
      <c r="L33" s="7" t="n">
        <f aca="false">IF(AND(8&gt;=$C33,8&lt;=$D33),$B33/($D33-$C33+1),0)</f>
        <v>0</v>
      </c>
      <c r="M33" s="7" t="n">
        <f aca="false">IF(AND(9&gt;=$C33,9&lt;=$D33),$B33/($D33-$C33+1),0)</f>
        <v>0</v>
      </c>
      <c r="N33" s="7" t="n">
        <f aca="false">IF(AND(10&gt;=$C33,10&lt;=$D33),$B33/($D33-$C33+1),0)</f>
        <v>0</v>
      </c>
      <c r="O33" s="7" t="n">
        <f aca="false">IF(AND(11&gt;=$C33,11&lt;=$D33),$B33/($D33-$C33+1),0)</f>
        <v>0</v>
      </c>
      <c r="P33" s="7" t="n">
        <f aca="false">IF(AND(12&gt;=$C33,12&lt;=$D33),$B33/($D33-$C33+1),0)</f>
        <v>0</v>
      </c>
      <c r="Q33" s="7" t="n">
        <f aca="false">IF(AND(13&gt;=$C33,13&lt;=$D33),$B33/($D33-$C33+1),0)</f>
        <v>0</v>
      </c>
      <c r="R33" s="7" t="n">
        <f aca="false">IF(AND(14&gt;=$C33,14&lt;=$D33),$B33/($D33-$C33+1),0)</f>
        <v>0</v>
      </c>
      <c r="S33" s="7" t="n">
        <f aca="false">IF(AND(15&gt;=$C33,15&lt;=$D33),$B33/($D33-$C33+1),0)</f>
        <v>0</v>
      </c>
      <c r="T33" s="7" t="n">
        <f aca="false">IF(AND(16&gt;=$C33,16&lt;=$D33),$B33/($D33-$C33+1),0)</f>
        <v>0</v>
      </c>
      <c r="U33" s="7" t="n">
        <f aca="false">IF(AND(17&gt;=$C33,17&lt;=$D33),$B33/($D33-$C33+1),0)</f>
        <v>0</v>
      </c>
      <c r="V33" s="7" t="n">
        <f aca="false">IF(AND(18&gt;=$C33,18&lt;=$D33),$B33/($D33-$C33+1),0)</f>
        <v>0</v>
      </c>
      <c r="W33" s="7" t="n">
        <f aca="false">IF(AND(19&gt;=$C33,19&lt;=$D33),$B33/($D33-$C33+1),0)</f>
        <v>0</v>
      </c>
      <c r="X33" s="7" t="n">
        <f aca="false">IF(AND(20&gt;=$C33,20&lt;=$D33),$B33/($D33-$C33+1),0)</f>
        <v>0</v>
      </c>
      <c r="Y33" s="7" t="n">
        <f aca="false">IF(AND(21&gt;=$C33,21&lt;=$D33),$B33/($D33-$C33+1),0)</f>
        <v>0</v>
      </c>
      <c r="Z33" s="7" t="n">
        <f aca="false">IF(AND(22&gt;=$C33,22&lt;=$D33),$B33/($D33-$C33+1),0)</f>
        <v>0</v>
      </c>
      <c r="AA33" s="7" t="n">
        <f aca="false">IF(AND(23&gt;=$C33,23&lt;=$D33),$B33/($D33-$C33+1),0)</f>
        <v>0</v>
      </c>
      <c r="AB33" s="7" t="n">
        <f aca="false">IF(AND(24&gt;=$C33,24&lt;=$D33),$B33/($D33-$C33+1),0)</f>
        <v>0</v>
      </c>
      <c r="AC33" s="7" t="n">
        <f aca="false">IF(AND(25&gt;=$C33,25&lt;=$D33),$B33/($D33-$C33+1),0)</f>
        <v>0</v>
      </c>
      <c r="AD33" s="7" t="n">
        <f aca="false">IF(AND(26&gt;=$C33,26&lt;=$D33),$B33/($D33-$C33+1),0)</f>
        <v>0</v>
      </c>
      <c r="AE33" s="7" t="n">
        <f aca="false">IF(AND(27&gt;=$C33,27&lt;=$D33),$B33/($D33-$C33+1),0)</f>
        <v>0</v>
      </c>
      <c r="AF33" s="7" t="n">
        <f aca="false">IF(AND(28&gt;=$C33,28&lt;=$D33),$B33/($D33-$C33+1),0)</f>
        <v>0</v>
      </c>
      <c r="AG33" s="7" t="n">
        <f aca="false">IF(AND(29&gt;=$C33,29&lt;=$D33),$B33/($D33-$C33+1),0)</f>
        <v>0</v>
      </c>
      <c r="AH33" s="7" t="n">
        <f aca="false">IF(AND(30&gt;=$C33,30&lt;=$D33),$B33/($D33-$C33+1),0)</f>
        <v>0</v>
      </c>
      <c r="AI33" s="7" t="n">
        <f aca="false">IF(AND(31&gt;=$C33,31&lt;=$D33),$B33/($D33-$C33+1),0)</f>
        <v>0</v>
      </c>
      <c r="AJ33" s="7" t="n">
        <f aca="false">IF(AND(32&gt;=$C33,32&lt;=$D33),$B33/($D33-$C33+1),0)</f>
        <v>25</v>
      </c>
      <c r="AK33" s="7" t="n">
        <f aca="false">IF(AND(33&gt;=$C33,33&lt;=$D33),$B33/($D33-$C33+1),0)</f>
        <v>0</v>
      </c>
      <c r="AL33" s="7" t="n">
        <f aca="false">IF(AND(34&gt;=$C33,34&lt;=$D33),$B33/($D33-$C33+1),0)</f>
        <v>0</v>
      </c>
      <c r="AM33" s="7" t="n">
        <f aca="false">IF(AND(35&gt;=$C33,35&lt;=$D33),$B33/($D33-$C33+1),0)</f>
        <v>0</v>
      </c>
      <c r="AN33" s="7" t="n">
        <f aca="false">IF(AND(36&gt;=$C33,36&lt;=$D33),$B33/($D33-$C33+1),0)</f>
        <v>0</v>
      </c>
      <c r="AO33" s="7" t="n">
        <f aca="false">IF(AND(37&gt;=$C33,37&lt;=$D33),$B33/($D33-$C33+1),0)</f>
        <v>0</v>
      </c>
      <c r="AP33" s="7" t="n">
        <f aca="false">IF(AND(38&gt;=$C33,38&lt;=$D33),$B33/($D33-$C33+1),0)</f>
        <v>0</v>
      </c>
      <c r="AQ33" s="7" t="n">
        <f aca="false">IF(AND(39&gt;=$C33,39&lt;=$D33),$B33/($D33-$C33+1),0)</f>
        <v>0</v>
      </c>
      <c r="AR33" s="7" t="n">
        <f aca="false">IF(AND(40&gt;=$C33,40&lt;=$D33),$B33/($D33-$C33+1),0)</f>
        <v>0</v>
      </c>
      <c r="AS33" s="7" t="n">
        <f aca="false">IF(AND(41&gt;=$C33,41&lt;=$D33),$B33/($D33-$C33+1),0)</f>
        <v>0</v>
      </c>
      <c r="AT33" s="7" t="n">
        <f aca="false">IF(AND(42&gt;=$C33,42&lt;=$D33),$B33/($D33-$C33+1),0)</f>
        <v>0</v>
      </c>
      <c r="AU33" s="7" t="n">
        <f aca="false">IF(AND(43&gt;=$C33,43&lt;=$D33),$B33/($D33-$C33+1),0)</f>
        <v>0</v>
      </c>
      <c r="AV33" s="7" t="n">
        <f aca="false">IF(AND(44&gt;=$C33,44&lt;=$D33),$B33/($D33-$C33+1),0)</f>
        <v>0</v>
      </c>
      <c r="AW33" s="7" t="n">
        <f aca="false">IF(AND(45&gt;=$C33,45&lt;=$D33),$B33/($D33-$C33+1),0)</f>
        <v>0</v>
      </c>
      <c r="AX33" s="7" t="n">
        <f aca="false">IF(AND(46&gt;=$C33,46&lt;=$D33),$B33/($D33-$C33+1),0)</f>
        <v>0</v>
      </c>
      <c r="AY33" s="7" t="n">
        <f aca="false">IF(AND(47&gt;=$C33,47&lt;=$D33),$B33/($D33-$C33+1),0)</f>
        <v>0</v>
      </c>
      <c r="AZ33" s="7" t="n">
        <f aca="false">IF(AND(48&gt;=$C33,48&lt;=$D33),$B33/($D33-$C33+1),0)</f>
        <v>0</v>
      </c>
      <c r="BA33" s="7" t="n">
        <f aca="false">IF(AND(49&gt;=$C33,49&lt;=$D33),$B33/($D33-$C33+1),0)</f>
        <v>0</v>
      </c>
      <c r="BB33" s="7" t="n">
        <f aca="false">IF(AND(50&gt;=$C33,50&lt;=$D33),$B33/($D33-$C33+1),0)</f>
        <v>0</v>
      </c>
      <c r="BC33" s="7" t="n">
        <f aca="false">IF(AND(51&gt;=$C33,51&lt;=$D33),$B33/($D33-$C33+1),0)</f>
        <v>0</v>
      </c>
      <c r="BD33" s="7" t="n">
        <f aca="false">IF(AND(52&gt;=$C33,52&lt;=$D33),$B33/($D33-$C33+1),0)</f>
        <v>0</v>
      </c>
    </row>
    <row r="34" customFormat="false" ht="15" hidden="false" customHeight="false" outlineLevel="0" collapsed="false">
      <c r="A34" s="0" t="s">
        <v>270</v>
      </c>
      <c r="B34" s="11" t="n">
        <v>30</v>
      </c>
      <c r="C34" s="11" t="n">
        <v>32</v>
      </c>
      <c r="D34" s="11" t="n">
        <v>39</v>
      </c>
      <c r="E34" s="7" t="n">
        <f aca="false">IF(AND(1&gt;=$C34,1&lt;=$D34),$B34/($D34-$C34+1),0)</f>
        <v>0</v>
      </c>
      <c r="F34" s="7" t="n">
        <f aca="false">IF(AND(2&gt;=$C34,2&lt;=$D34),$B34/($D34-$C34+1),0)</f>
        <v>0</v>
      </c>
      <c r="G34" s="7" t="n">
        <f aca="false">IF(AND(3&gt;=$C34,3&lt;=$D34),$B34/($D34-$C34+1),0)</f>
        <v>0</v>
      </c>
      <c r="H34" s="7" t="n">
        <f aca="false">IF(AND(4&gt;=$C34,4&lt;=$D34),$B34/($D34-$C34+1),0)</f>
        <v>0</v>
      </c>
      <c r="I34" s="7" t="n">
        <f aca="false">IF(AND(5&gt;=$C34,5&lt;=$D34),$B34/($D34-$C34+1),0)</f>
        <v>0</v>
      </c>
      <c r="J34" s="7" t="n">
        <f aca="false">IF(AND(6&gt;=$C34,6&lt;=$D34),$B34/($D34-$C34+1),0)</f>
        <v>0</v>
      </c>
      <c r="K34" s="7" t="n">
        <f aca="false">IF(AND(7&gt;=$C34,7&lt;=$D34),$B34/($D34-$C34+1),0)</f>
        <v>0</v>
      </c>
      <c r="L34" s="7" t="n">
        <f aca="false">IF(AND(8&gt;=$C34,8&lt;=$D34),$B34/($D34-$C34+1),0)</f>
        <v>0</v>
      </c>
      <c r="M34" s="7" t="n">
        <f aca="false">IF(AND(9&gt;=$C34,9&lt;=$D34),$B34/($D34-$C34+1),0)</f>
        <v>0</v>
      </c>
      <c r="N34" s="7" t="n">
        <f aca="false">IF(AND(10&gt;=$C34,10&lt;=$D34),$B34/($D34-$C34+1),0)</f>
        <v>0</v>
      </c>
      <c r="O34" s="7" t="n">
        <f aca="false">IF(AND(11&gt;=$C34,11&lt;=$D34),$B34/($D34-$C34+1),0)</f>
        <v>0</v>
      </c>
      <c r="P34" s="7" t="n">
        <f aca="false">IF(AND(12&gt;=$C34,12&lt;=$D34),$B34/($D34-$C34+1),0)</f>
        <v>0</v>
      </c>
      <c r="Q34" s="7" t="n">
        <f aca="false">IF(AND(13&gt;=$C34,13&lt;=$D34),$B34/($D34-$C34+1),0)</f>
        <v>0</v>
      </c>
      <c r="R34" s="7" t="n">
        <f aca="false">IF(AND(14&gt;=$C34,14&lt;=$D34),$B34/($D34-$C34+1),0)</f>
        <v>0</v>
      </c>
      <c r="S34" s="7" t="n">
        <f aca="false">IF(AND(15&gt;=$C34,15&lt;=$D34),$B34/($D34-$C34+1),0)</f>
        <v>0</v>
      </c>
      <c r="T34" s="7" t="n">
        <f aca="false">IF(AND(16&gt;=$C34,16&lt;=$D34),$B34/($D34-$C34+1),0)</f>
        <v>0</v>
      </c>
      <c r="U34" s="7" t="n">
        <f aca="false">IF(AND(17&gt;=$C34,17&lt;=$D34),$B34/($D34-$C34+1),0)</f>
        <v>0</v>
      </c>
      <c r="V34" s="7" t="n">
        <f aca="false">IF(AND(18&gt;=$C34,18&lt;=$D34),$B34/($D34-$C34+1),0)</f>
        <v>0</v>
      </c>
      <c r="W34" s="7" t="n">
        <f aca="false">IF(AND(19&gt;=$C34,19&lt;=$D34),$B34/($D34-$C34+1),0)</f>
        <v>0</v>
      </c>
      <c r="X34" s="7" t="n">
        <f aca="false">IF(AND(20&gt;=$C34,20&lt;=$D34),$B34/($D34-$C34+1),0)</f>
        <v>0</v>
      </c>
      <c r="Y34" s="7" t="n">
        <f aca="false">IF(AND(21&gt;=$C34,21&lt;=$D34),$B34/($D34-$C34+1),0)</f>
        <v>0</v>
      </c>
      <c r="Z34" s="7" t="n">
        <f aca="false">IF(AND(22&gt;=$C34,22&lt;=$D34),$B34/($D34-$C34+1),0)</f>
        <v>0</v>
      </c>
      <c r="AA34" s="7" t="n">
        <f aca="false">IF(AND(23&gt;=$C34,23&lt;=$D34),$B34/($D34-$C34+1),0)</f>
        <v>0</v>
      </c>
      <c r="AB34" s="7" t="n">
        <f aca="false">IF(AND(24&gt;=$C34,24&lt;=$D34),$B34/($D34-$C34+1),0)</f>
        <v>0</v>
      </c>
      <c r="AC34" s="7" t="n">
        <f aca="false">IF(AND(25&gt;=$C34,25&lt;=$D34),$B34/($D34-$C34+1),0)</f>
        <v>0</v>
      </c>
      <c r="AD34" s="7" t="n">
        <f aca="false">IF(AND(26&gt;=$C34,26&lt;=$D34),$B34/($D34-$C34+1),0)</f>
        <v>0</v>
      </c>
      <c r="AE34" s="7" t="n">
        <f aca="false">IF(AND(27&gt;=$C34,27&lt;=$D34),$B34/($D34-$C34+1),0)</f>
        <v>0</v>
      </c>
      <c r="AF34" s="7" t="n">
        <f aca="false">IF(AND(28&gt;=$C34,28&lt;=$D34),$B34/($D34-$C34+1),0)</f>
        <v>0</v>
      </c>
      <c r="AG34" s="7" t="n">
        <f aca="false">IF(AND(29&gt;=$C34,29&lt;=$D34),$B34/($D34-$C34+1),0)</f>
        <v>0</v>
      </c>
      <c r="AH34" s="7" t="n">
        <f aca="false">IF(AND(30&gt;=$C34,30&lt;=$D34),$B34/($D34-$C34+1),0)</f>
        <v>0</v>
      </c>
      <c r="AI34" s="7" t="n">
        <f aca="false">IF(AND(31&gt;=$C34,31&lt;=$D34),$B34/($D34-$C34+1),0)</f>
        <v>0</v>
      </c>
      <c r="AJ34" s="7" t="n">
        <f aca="false">IF(AND(32&gt;=$C34,32&lt;=$D34),$B34/($D34-$C34+1),0)</f>
        <v>3.75</v>
      </c>
      <c r="AK34" s="7" t="n">
        <f aca="false">IF(AND(33&gt;=$C34,33&lt;=$D34),$B34/($D34-$C34+1),0)</f>
        <v>3.75</v>
      </c>
      <c r="AL34" s="7" t="n">
        <f aca="false">IF(AND(34&gt;=$C34,34&lt;=$D34),$B34/($D34-$C34+1),0)</f>
        <v>3.75</v>
      </c>
      <c r="AM34" s="7" t="n">
        <f aca="false">IF(AND(35&gt;=$C34,35&lt;=$D34),$B34/($D34-$C34+1),0)</f>
        <v>3.75</v>
      </c>
      <c r="AN34" s="7" t="n">
        <f aca="false">IF(AND(36&gt;=$C34,36&lt;=$D34),$B34/($D34-$C34+1),0)</f>
        <v>3.75</v>
      </c>
      <c r="AO34" s="7" t="n">
        <f aca="false">IF(AND(37&gt;=$C34,37&lt;=$D34),$B34/($D34-$C34+1),0)</f>
        <v>3.75</v>
      </c>
      <c r="AP34" s="7" t="n">
        <f aca="false">IF(AND(38&gt;=$C34,38&lt;=$D34),$B34/($D34-$C34+1),0)</f>
        <v>3.75</v>
      </c>
      <c r="AQ34" s="7" t="n">
        <f aca="false">IF(AND(39&gt;=$C34,39&lt;=$D34),$B34/($D34-$C34+1),0)</f>
        <v>3.75</v>
      </c>
      <c r="AR34" s="7" t="n">
        <f aca="false">IF(AND(40&gt;=$C34,40&lt;=$D34),$B34/($D34-$C34+1),0)</f>
        <v>0</v>
      </c>
      <c r="AS34" s="7" t="n">
        <f aca="false">IF(AND(41&gt;=$C34,41&lt;=$D34),$B34/($D34-$C34+1),0)</f>
        <v>0</v>
      </c>
      <c r="AT34" s="7" t="n">
        <f aca="false">IF(AND(42&gt;=$C34,42&lt;=$D34),$B34/($D34-$C34+1),0)</f>
        <v>0</v>
      </c>
      <c r="AU34" s="7" t="n">
        <f aca="false">IF(AND(43&gt;=$C34,43&lt;=$D34),$B34/($D34-$C34+1),0)</f>
        <v>0</v>
      </c>
      <c r="AV34" s="7" t="n">
        <f aca="false">IF(AND(44&gt;=$C34,44&lt;=$D34),$B34/($D34-$C34+1),0)</f>
        <v>0</v>
      </c>
      <c r="AW34" s="7" t="n">
        <f aca="false">IF(AND(45&gt;=$C34,45&lt;=$D34),$B34/($D34-$C34+1),0)</f>
        <v>0</v>
      </c>
      <c r="AX34" s="7" t="n">
        <f aca="false">IF(AND(46&gt;=$C34,46&lt;=$D34),$B34/($D34-$C34+1),0)</f>
        <v>0</v>
      </c>
      <c r="AY34" s="7" t="n">
        <f aca="false">IF(AND(47&gt;=$C34,47&lt;=$D34),$B34/($D34-$C34+1),0)</f>
        <v>0</v>
      </c>
      <c r="AZ34" s="7" t="n">
        <f aca="false">IF(AND(48&gt;=$C34,48&lt;=$D34),$B34/($D34-$C34+1),0)</f>
        <v>0</v>
      </c>
      <c r="BA34" s="7" t="n">
        <f aca="false">IF(AND(49&gt;=$C34,49&lt;=$D34),$B34/($D34-$C34+1),0)</f>
        <v>0</v>
      </c>
      <c r="BB34" s="7" t="n">
        <f aca="false">IF(AND(50&gt;=$C34,50&lt;=$D34),$B34/($D34-$C34+1),0)</f>
        <v>0</v>
      </c>
      <c r="BC34" s="7" t="n">
        <f aca="false">IF(AND(51&gt;=$C34,51&lt;=$D34),$B34/($D34-$C34+1),0)</f>
        <v>0</v>
      </c>
      <c r="BD34" s="7" t="n">
        <f aca="false">IF(AND(52&gt;=$C34,52&lt;=$D34),$B34/($D34-$C34+1),0)</f>
        <v>0</v>
      </c>
    </row>
    <row r="35" customFormat="false" ht="15" hidden="false" customHeight="false" outlineLevel="0" collapsed="false">
      <c r="A35" s="0" t="s">
        <v>271</v>
      </c>
      <c r="B35" s="11" t="n">
        <v>20</v>
      </c>
      <c r="C35" s="11" t="n">
        <v>42</v>
      </c>
      <c r="D35" s="11" t="n">
        <v>42</v>
      </c>
      <c r="E35" s="7" t="n">
        <f aca="false">IF(AND(1&gt;=$C35,1&lt;=$D35),$B35/($D35-$C35+1),0)</f>
        <v>0</v>
      </c>
      <c r="F35" s="7" t="n">
        <f aca="false">IF(AND(2&gt;=$C35,2&lt;=$D35),$B35/($D35-$C35+1),0)</f>
        <v>0</v>
      </c>
      <c r="G35" s="7" t="n">
        <f aca="false">IF(AND(3&gt;=$C35,3&lt;=$D35),$B35/($D35-$C35+1),0)</f>
        <v>0</v>
      </c>
      <c r="H35" s="7" t="n">
        <f aca="false">IF(AND(4&gt;=$C35,4&lt;=$D35),$B35/($D35-$C35+1),0)</f>
        <v>0</v>
      </c>
      <c r="I35" s="7" t="n">
        <f aca="false">IF(AND(5&gt;=$C35,5&lt;=$D35),$B35/($D35-$C35+1),0)</f>
        <v>0</v>
      </c>
      <c r="J35" s="7" t="n">
        <f aca="false">IF(AND(6&gt;=$C35,6&lt;=$D35),$B35/($D35-$C35+1),0)</f>
        <v>0</v>
      </c>
      <c r="K35" s="7" t="n">
        <f aca="false">IF(AND(7&gt;=$C35,7&lt;=$D35),$B35/($D35-$C35+1),0)</f>
        <v>0</v>
      </c>
      <c r="L35" s="7" t="n">
        <f aca="false">IF(AND(8&gt;=$C35,8&lt;=$D35),$B35/($D35-$C35+1),0)</f>
        <v>0</v>
      </c>
      <c r="M35" s="7" t="n">
        <f aca="false">IF(AND(9&gt;=$C35,9&lt;=$D35),$B35/($D35-$C35+1),0)</f>
        <v>0</v>
      </c>
      <c r="N35" s="7" t="n">
        <f aca="false">IF(AND(10&gt;=$C35,10&lt;=$D35),$B35/($D35-$C35+1),0)</f>
        <v>0</v>
      </c>
      <c r="O35" s="7" t="n">
        <f aca="false">IF(AND(11&gt;=$C35,11&lt;=$D35),$B35/($D35-$C35+1),0)</f>
        <v>0</v>
      </c>
      <c r="P35" s="7" t="n">
        <f aca="false">IF(AND(12&gt;=$C35,12&lt;=$D35),$B35/($D35-$C35+1),0)</f>
        <v>0</v>
      </c>
      <c r="Q35" s="7" t="n">
        <f aca="false">IF(AND(13&gt;=$C35,13&lt;=$D35),$B35/($D35-$C35+1),0)</f>
        <v>0</v>
      </c>
      <c r="R35" s="7" t="n">
        <f aca="false">IF(AND(14&gt;=$C35,14&lt;=$D35),$B35/($D35-$C35+1),0)</f>
        <v>0</v>
      </c>
      <c r="S35" s="7" t="n">
        <f aca="false">IF(AND(15&gt;=$C35,15&lt;=$D35),$B35/($D35-$C35+1),0)</f>
        <v>0</v>
      </c>
      <c r="T35" s="7" t="n">
        <f aca="false">IF(AND(16&gt;=$C35,16&lt;=$D35),$B35/($D35-$C35+1),0)</f>
        <v>0</v>
      </c>
      <c r="U35" s="7" t="n">
        <f aca="false">IF(AND(17&gt;=$C35,17&lt;=$D35),$B35/($D35-$C35+1),0)</f>
        <v>0</v>
      </c>
      <c r="V35" s="7" t="n">
        <f aca="false">IF(AND(18&gt;=$C35,18&lt;=$D35),$B35/($D35-$C35+1),0)</f>
        <v>0</v>
      </c>
      <c r="W35" s="7" t="n">
        <f aca="false">IF(AND(19&gt;=$C35,19&lt;=$D35),$B35/($D35-$C35+1),0)</f>
        <v>0</v>
      </c>
      <c r="X35" s="7" t="n">
        <f aca="false">IF(AND(20&gt;=$C35,20&lt;=$D35),$B35/($D35-$C35+1),0)</f>
        <v>0</v>
      </c>
      <c r="Y35" s="7" t="n">
        <f aca="false">IF(AND(21&gt;=$C35,21&lt;=$D35),$B35/($D35-$C35+1),0)</f>
        <v>0</v>
      </c>
      <c r="Z35" s="7" t="n">
        <f aca="false">IF(AND(22&gt;=$C35,22&lt;=$D35),$B35/($D35-$C35+1),0)</f>
        <v>0</v>
      </c>
      <c r="AA35" s="7" t="n">
        <f aca="false">IF(AND(23&gt;=$C35,23&lt;=$D35),$B35/($D35-$C35+1),0)</f>
        <v>0</v>
      </c>
      <c r="AB35" s="7" t="n">
        <f aca="false">IF(AND(24&gt;=$C35,24&lt;=$D35),$B35/($D35-$C35+1),0)</f>
        <v>0</v>
      </c>
      <c r="AC35" s="7" t="n">
        <f aca="false">IF(AND(25&gt;=$C35,25&lt;=$D35),$B35/($D35-$C35+1),0)</f>
        <v>0</v>
      </c>
      <c r="AD35" s="7" t="n">
        <f aca="false">IF(AND(26&gt;=$C35,26&lt;=$D35),$B35/($D35-$C35+1),0)</f>
        <v>0</v>
      </c>
      <c r="AE35" s="7" t="n">
        <f aca="false">IF(AND(27&gt;=$C35,27&lt;=$D35),$B35/($D35-$C35+1),0)</f>
        <v>0</v>
      </c>
      <c r="AF35" s="7" t="n">
        <f aca="false">IF(AND(28&gt;=$C35,28&lt;=$D35),$B35/($D35-$C35+1),0)</f>
        <v>0</v>
      </c>
      <c r="AG35" s="7" t="n">
        <f aca="false">IF(AND(29&gt;=$C35,29&lt;=$D35),$B35/($D35-$C35+1),0)</f>
        <v>0</v>
      </c>
      <c r="AH35" s="7" t="n">
        <f aca="false">IF(AND(30&gt;=$C35,30&lt;=$D35),$B35/($D35-$C35+1),0)</f>
        <v>0</v>
      </c>
      <c r="AI35" s="7" t="n">
        <f aca="false">IF(AND(31&gt;=$C35,31&lt;=$D35),$B35/($D35-$C35+1),0)</f>
        <v>0</v>
      </c>
      <c r="AJ35" s="7" t="n">
        <f aca="false">IF(AND(32&gt;=$C35,32&lt;=$D35),$B35/($D35-$C35+1),0)</f>
        <v>0</v>
      </c>
      <c r="AK35" s="7" t="n">
        <f aca="false">IF(AND(33&gt;=$C35,33&lt;=$D35),$B35/($D35-$C35+1),0)</f>
        <v>0</v>
      </c>
      <c r="AL35" s="7" t="n">
        <f aca="false">IF(AND(34&gt;=$C35,34&lt;=$D35),$B35/($D35-$C35+1),0)</f>
        <v>0</v>
      </c>
      <c r="AM35" s="7" t="n">
        <f aca="false">IF(AND(35&gt;=$C35,35&lt;=$D35),$B35/($D35-$C35+1),0)</f>
        <v>0</v>
      </c>
      <c r="AN35" s="7" t="n">
        <f aca="false">IF(AND(36&gt;=$C35,36&lt;=$D35),$B35/($D35-$C35+1),0)</f>
        <v>0</v>
      </c>
      <c r="AO35" s="7" t="n">
        <f aca="false">IF(AND(37&gt;=$C35,37&lt;=$D35),$B35/($D35-$C35+1),0)</f>
        <v>0</v>
      </c>
      <c r="AP35" s="7" t="n">
        <f aca="false">IF(AND(38&gt;=$C35,38&lt;=$D35),$B35/($D35-$C35+1),0)</f>
        <v>0</v>
      </c>
      <c r="AQ35" s="7" t="n">
        <f aca="false">IF(AND(39&gt;=$C35,39&lt;=$D35),$B35/($D35-$C35+1),0)</f>
        <v>0</v>
      </c>
      <c r="AR35" s="7" t="n">
        <f aca="false">IF(AND(40&gt;=$C35,40&lt;=$D35),$B35/($D35-$C35+1),0)</f>
        <v>0</v>
      </c>
      <c r="AS35" s="7" t="n">
        <f aca="false">IF(AND(41&gt;=$C35,41&lt;=$D35),$B35/($D35-$C35+1),0)</f>
        <v>0</v>
      </c>
      <c r="AT35" s="7" t="n">
        <f aca="false">IF(AND(42&gt;=$C35,42&lt;=$D35),$B35/($D35-$C35+1),0)</f>
        <v>20</v>
      </c>
      <c r="AU35" s="7" t="n">
        <f aca="false">IF(AND(43&gt;=$C35,43&lt;=$D35),$B35/($D35-$C35+1),0)</f>
        <v>0</v>
      </c>
      <c r="AV35" s="7" t="n">
        <f aca="false">IF(AND(44&gt;=$C35,44&lt;=$D35),$B35/($D35-$C35+1),0)</f>
        <v>0</v>
      </c>
      <c r="AW35" s="7" t="n">
        <f aca="false">IF(AND(45&gt;=$C35,45&lt;=$D35),$B35/($D35-$C35+1),0)</f>
        <v>0</v>
      </c>
      <c r="AX35" s="7" t="n">
        <f aca="false">IF(AND(46&gt;=$C35,46&lt;=$D35),$B35/($D35-$C35+1),0)</f>
        <v>0</v>
      </c>
      <c r="AY35" s="7" t="n">
        <f aca="false">IF(AND(47&gt;=$C35,47&lt;=$D35),$B35/($D35-$C35+1),0)</f>
        <v>0</v>
      </c>
      <c r="AZ35" s="7" t="n">
        <f aca="false">IF(AND(48&gt;=$C35,48&lt;=$D35),$B35/($D35-$C35+1),0)</f>
        <v>0</v>
      </c>
      <c r="BA35" s="7" t="n">
        <f aca="false">IF(AND(49&gt;=$C35,49&lt;=$D35),$B35/($D35-$C35+1),0)</f>
        <v>0</v>
      </c>
      <c r="BB35" s="7" t="n">
        <f aca="false">IF(AND(50&gt;=$C35,50&lt;=$D35),$B35/($D35-$C35+1),0)</f>
        <v>0</v>
      </c>
      <c r="BC35" s="7" t="n">
        <f aca="false">IF(AND(51&gt;=$C35,51&lt;=$D35),$B35/($D35-$C35+1),0)</f>
        <v>0</v>
      </c>
      <c r="BD35" s="7" t="n">
        <f aca="false">IF(AND(52&gt;=$C35,52&lt;=$D35),$B35/($D35-$C35+1),0)</f>
        <v>0</v>
      </c>
    </row>
    <row r="36" customFormat="false" ht="15" hidden="false" customHeight="false" outlineLevel="0" collapsed="false">
      <c r="A36" s="0" t="s">
        <v>272</v>
      </c>
      <c r="B36" s="11" t="n">
        <v>25</v>
      </c>
      <c r="C36" s="11" t="n">
        <v>46</v>
      </c>
      <c r="D36" s="11" t="n">
        <v>46</v>
      </c>
      <c r="E36" s="7" t="n">
        <f aca="false">IF(AND(1&gt;=$C36,1&lt;=$D36),$B36/($D36-$C36+1),0)</f>
        <v>0</v>
      </c>
      <c r="F36" s="7" t="n">
        <f aca="false">IF(AND(2&gt;=$C36,2&lt;=$D36),$B36/($D36-$C36+1),0)</f>
        <v>0</v>
      </c>
      <c r="G36" s="7" t="n">
        <f aca="false">IF(AND(3&gt;=$C36,3&lt;=$D36),$B36/($D36-$C36+1),0)</f>
        <v>0</v>
      </c>
      <c r="H36" s="7" t="n">
        <f aca="false">IF(AND(4&gt;=$C36,4&lt;=$D36),$B36/($D36-$C36+1),0)</f>
        <v>0</v>
      </c>
      <c r="I36" s="7" t="n">
        <f aca="false">IF(AND(5&gt;=$C36,5&lt;=$D36),$B36/($D36-$C36+1),0)</f>
        <v>0</v>
      </c>
      <c r="J36" s="7" t="n">
        <f aca="false">IF(AND(6&gt;=$C36,6&lt;=$D36),$B36/($D36-$C36+1),0)</f>
        <v>0</v>
      </c>
      <c r="K36" s="7" t="n">
        <f aca="false">IF(AND(7&gt;=$C36,7&lt;=$D36),$B36/($D36-$C36+1),0)</f>
        <v>0</v>
      </c>
      <c r="L36" s="7" t="n">
        <f aca="false">IF(AND(8&gt;=$C36,8&lt;=$D36),$B36/($D36-$C36+1),0)</f>
        <v>0</v>
      </c>
      <c r="M36" s="7" t="n">
        <f aca="false">IF(AND(9&gt;=$C36,9&lt;=$D36),$B36/($D36-$C36+1),0)</f>
        <v>0</v>
      </c>
      <c r="N36" s="7" t="n">
        <f aca="false">IF(AND(10&gt;=$C36,10&lt;=$D36),$B36/($D36-$C36+1),0)</f>
        <v>0</v>
      </c>
      <c r="O36" s="7" t="n">
        <f aca="false">IF(AND(11&gt;=$C36,11&lt;=$D36),$B36/($D36-$C36+1),0)</f>
        <v>0</v>
      </c>
      <c r="P36" s="7" t="n">
        <f aca="false">IF(AND(12&gt;=$C36,12&lt;=$D36),$B36/($D36-$C36+1),0)</f>
        <v>0</v>
      </c>
      <c r="Q36" s="7" t="n">
        <f aca="false">IF(AND(13&gt;=$C36,13&lt;=$D36),$B36/($D36-$C36+1),0)</f>
        <v>0</v>
      </c>
      <c r="R36" s="7" t="n">
        <f aca="false">IF(AND(14&gt;=$C36,14&lt;=$D36),$B36/($D36-$C36+1),0)</f>
        <v>0</v>
      </c>
      <c r="S36" s="7" t="n">
        <f aca="false">IF(AND(15&gt;=$C36,15&lt;=$D36),$B36/($D36-$C36+1),0)</f>
        <v>0</v>
      </c>
      <c r="T36" s="7" t="n">
        <f aca="false">IF(AND(16&gt;=$C36,16&lt;=$D36),$B36/($D36-$C36+1),0)</f>
        <v>0</v>
      </c>
      <c r="U36" s="7" t="n">
        <f aca="false">IF(AND(17&gt;=$C36,17&lt;=$D36),$B36/($D36-$C36+1),0)</f>
        <v>0</v>
      </c>
      <c r="V36" s="7" t="n">
        <f aca="false">IF(AND(18&gt;=$C36,18&lt;=$D36),$B36/($D36-$C36+1),0)</f>
        <v>0</v>
      </c>
      <c r="W36" s="7" t="n">
        <f aca="false">IF(AND(19&gt;=$C36,19&lt;=$D36),$B36/($D36-$C36+1),0)</f>
        <v>0</v>
      </c>
      <c r="X36" s="7" t="n">
        <f aca="false">IF(AND(20&gt;=$C36,20&lt;=$D36),$B36/($D36-$C36+1),0)</f>
        <v>0</v>
      </c>
      <c r="Y36" s="7" t="n">
        <f aca="false">IF(AND(21&gt;=$C36,21&lt;=$D36),$B36/($D36-$C36+1),0)</f>
        <v>0</v>
      </c>
      <c r="Z36" s="7" t="n">
        <f aca="false">IF(AND(22&gt;=$C36,22&lt;=$D36),$B36/($D36-$C36+1),0)</f>
        <v>0</v>
      </c>
      <c r="AA36" s="7" t="n">
        <f aca="false">IF(AND(23&gt;=$C36,23&lt;=$D36),$B36/($D36-$C36+1),0)</f>
        <v>0</v>
      </c>
      <c r="AB36" s="7" t="n">
        <f aca="false">IF(AND(24&gt;=$C36,24&lt;=$D36),$B36/($D36-$C36+1),0)</f>
        <v>0</v>
      </c>
      <c r="AC36" s="7" t="n">
        <f aca="false">IF(AND(25&gt;=$C36,25&lt;=$D36),$B36/($D36-$C36+1),0)</f>
        <v>0</v>
      </c>
      <c r="AD36" s="7" t="n">
        <f aca="false">IF(AND(26&gt;=$C36,26&lt;=$D36),$B36/($D36-$C36+1),0)</f>
        <v>0</v>
      </c>
      <c r="AE36" s="7" t="n">
        <f aca="false">IF(AND(27&gt;=$C36,27&lt;=$D36),$B36/($D36-$C36+1),0)</f>
        <v>0</v>
      </c>
      <c r="AF36" s="7" t="n">
        <f aca="false">IF(AND(28&gt;=$C36,28&lt;=$D36),$B36/($D36-$C36+1),0)</f>
        <v>0</v>
      </c>
      <c r="AG36" s="7" t="n">
        <f aca="false">IF(AND(29&gt;=$C36,29&lt;=$D36),$B36/($D36-$C36+1),0)</f>
        <v>0</v>
      </c>
      <c r="AH36" s="7" t="n">
        <f aca="false">IF(AND(30&gt;=$C36,30&lt;=$D36),$B36/($D36-$C36+1),0)</f>
        <v>0</v>
      </c>
      <c r="AI36" s="7" t="n">
        <f aca="false">IF(AND(31&gt;=$C36,31&lt;=$D36),$B36/($D36-$C36+1),0)</f>
        <v>0</v>
      </c>
      <c r="AJ36" s="7" t="n">
        <f aca="false">IF(AND(32&gt;=$C36,32&lt;=$D36),$B36/($D36-$C36+1),0)</f>
        <v>0</v>
      </c>
      <c r="AK36" s="7" t="n">
        <f aca="false">IF(AND(33&gt;=$C36,33&lt;=$D36),$B36/($D36-$C36+1),0)</f>
        <v>0</v>
      </c>
      <c r="AL36" s="7" t="n">
        <f aca="false">IF(AND(34&gt;=$C36,34&lt;=$D36),$B36/($D36-$C36+1),0)</f>
        <v>0</v>
      </c>
      <c r="AM36" s="7" t="n">
        <f aca="false">IF(AND(35&gt;=$C36,35&lt;=$D36),$B36/($D36-$C36+1),0)</f>
        <v>0</v>
      </c>
      <c r="AN36" s="7" t="n">
        <f aca="false">IF(AND(36&gt;=$C36,36&lt;=$D36),$B36/($D36-$C36+1),0)</f>
        <v>0</v>
      </c>
      <c r="AO36" s="7" t="n">
        <f aca="false">IF(AND(37&gt;=$C36,37&lt;=$D36),$B36/($D36-$C36+1),0)</f>
        <v>0</v>
      </c>
      <c r="AP36" s="7" t="n">
        <f aca="false">IF(AND(38&gt;=$C36,38&lt;=$D36),$B36/($D36-$C36+1),0)</f>
        <v>0</v>
      </c>
      <c r="AQ36" s="7" t="n">
        <f aca="false">IF(AND(39&gt;=$C36,39&lt;=$D36),$B36/($D36-$C36+1),0)</f>
        <v>0</v>
      </c>
      <c r="AR36" s="7" t="n">
        <f aca="false">IF(AND(40&gt;=$C36,40&lt;=$D36),$B36/($D36-$C36+1),0)</f>
        <v>0</v>
      </c>
      <c r="AS36" s="7" t="n">
        <f aca="false">IF(AND(41&gt;=$C36,41&lt;=$D36),$B36/($D36-$C36+1),0)</f>
        <v>0</v>
      </c>
      <c r="AT36" s="7" t="n">
        <f aca="false">IF(AND(42&gt;=$C36,42&lt;=$D36),$B36/($D36-$C36+1),0)</f>
        <v>0</v>
      </c>
      <c r="AU36" s="7" t="n">
        <f aca="false">IF(AND(43&gt;=$C36,43&lt;=$D36),$B36/($D36-$C36+1),0)</f>
        <v>0</v>
      </c>
      <c r="AV36" s="7" t="n">
        <f aca="false">IF(AND(44&gt;=$C36,44&lt;=$D36),$B36/($D36-$C36+1),0)</f>
        <v>0</v>
      </c>
      <c r="AW36" s="7" t="n">
        <f aca="false">IF(AND(45&gt;=$C36,45&lt;=$D36),$B36/($D36-$C36+1),0)</f>
        <v>0</v>
      </c>
      <c r="AX36" s="7" t="n">
        <f aca="false">IF(AND(46&gt;=$C36,46&lt;=$D36),$B36/($D36-$C36+1),0)</f>
        <v>25</v>
      </c>
      <c r="AY36" s="7" t="n">
        <f aca="false">IF(AND(47&gt;=$C36,47&lt;=$D36),$B36/($D36-$C36+1),0)</f>
        <v>0</v>
      </c>
      <c r="AZ36" s="7" t="n">
        <f aca="false">IF(AND(48&gt;=$C36,48&lt;=$D36),$B36/($D36-$C36+1),0)</f>
        <v>0</v>
      </c>
      <c r="BA36" s="7" t="n">
        <f aca="false">IF(AND(49&gt;=$C36,49&lt;=$D36),$B36/($D36-$C36+1),0)</f>
        <v>0</v>
      </c>
      <c r="BB36" s="7" t="n">
        <f aca="false">IF(AND(50&gt;=$C36,50&lt;=$D36),$B36/($D36-$C36+1),0)</f>
        <v>0</v>
      </c>
      <c r="BC36" s="7" t="n">
        <f aca="false">IF(AND(51&gt;=$C36,51&lt;=$D36),$B36/($D36-$C36+1),0)</f>
        <v>0</v>
      </c>
      <c r="BD36" s="7" t="n">
        <f aca="false">IF(AND(52&gt;=$C36,52&lt;=$D36),$B36/($D36-$C36+1),0)</f>
        <v>0</v>
      </c>
    </row>
    <row r="37" customFormat="false" ht="15" hidden="false" customHeight="false" outlineLevel="0" collapsed="false">
      <c r="A37" s="0" t="s">
        <v>273</v>
      </c>
      <c r="B37" s="11" t="n">
        <v>36</v>
      </c>
      <c r="C37" s="11" t="n">
        <v>1</v>
      </c>
      <c r="D37" s="11" t="n">
        <v>52</v>
      </c>
      <c r="E37" s="7" t="n">
        <f aca="false">IF(AND(1&gt;=$C37,1&lt;=$D37),$B37/($D37-$C37+1),0)</f>
        <v>0.692307692307692</v>
      </c>
      <c r="F37" s="7" t="n">
        <f aca="false">IF(AND(2&gt;=$C37,2&lt;=$D37),$B37/($D37-$C37+1),0)</f>
        <v>0.692307692307692</v>
      </c>
      <c r="G37" s="7" t="n">
        <f aca="false">IF(AND(3&gt;=$C37,3&lt;=$D37),$B37/($D37-$C37+1),0)</f>
        <v>0.692307692307692</v>
      </c>
      <c r="H37" s="7" t="n">
        <f aca="false">IF(AND(4&gt;=$C37,4&lt;=$D37),$B37/($D37-$C37+1),0)</f>
        <v>0.692307692307692</v>
      </c>
      <c r="I37" s="7" t="n">
        <f aca="false">IF(AND(5&gt;=$C37,5&lt;=$D37),$B37/($D37-$C37+1),0)</f>
        <v>0.692307692307692</v>
      </c>
      <c r="J37" s="7" t="n">
        <f aca="false">IF(AND(6&gt;=$C37,6&lt;=$D37),$B37/($D37-$C37+1),0)</f>
        <v>0.692307692307692</v>
      </c>
      <c r="K37" s="7" t="n">
        <f aca="false">IF(AND(7&gt;=$C37,7&lt;=$D37),$B37/($D37-$C37+1),0)</f>
        <v>0.692307692307692</v>
      </c>
      <c r="L37" s="7" t="n">
        <f aca="false">IF(AND(8&gt;=$C37,8&lt;=$D37),$B37/($D37-$C37+1),0)</f>
        <v>0.692307692307692</v>
      </c>
      <c r="M37" s="7" t="n">
        <f aca="false">IF(AND(9&gt;=$C37,9&lt;=$D37),$B37/($D37-$C37+1),0)</f>
        <v>0.692307692307692</v>
      </c>
      <c r="N37" s="7" t="n">
        <f aca="false">IF(AND(10&gt;=$C37,10&lt;=$D37),$B37/($D37-$C37+1),0)</f>
        <v>0.692307692307692</v>
      </c>
      <c r="O37" s="7" t="n">
        <f aca="false">IF(AND(11&gt;=$C37,11&lt;=$D37),$B37/($D37-$C37+1),0)</f>
        <v>0.692307692307692</v>
      </c>
      <c r="P37" s="7" t="n">
        <f aca="false">IF(AND(12&gt;=$C37,12&lt;=$D37),$B37/($D37-$C37+1),0)</f>
        <v>0.692307692307692</v>
      </c>
      <c r="Q37" s="7" t="n">
        <f aca="false">IF(AND(13&gt;=$C37,13&lt;=$D37),$B37/($D37-$C37+1),0)</f>
        <v>0.692307692307692</v>
      </c>
      <c r="R37" s="7" t="n">
        <f aca="false">IF(AND(14&gt;=$C37,14&lt;=$D37),$B37/($D37-$C37+1),0)</f>
        <v>0.692307692307692</v>
      </c>
      <c r="S37" s="7" t="n">
        <f aca="false">IF(AND(15&gt;=$C37,15&lt;=$D37),$B37/($D37-$C37+1),0)</f>
        <v>0.692307692307692</v>
      </c>
      <c r="T37" s="7" t="n">
        <f aca="false">IF(AND(16&gt;=$C37,16&lt;=$D37),$B37/($D37-$C37+1),0)</f>
        <v>0.692307692307692</v>
      </c>
      <c r="U37" s="7" t="n">
        <f aca="false">IF(AND(17&gt;=$C37,17&lt;=$D37),$B37/($D37-$C37+1),0)</f>
        <v>0.692307692307692</v>
      </c>
      <c r="V37" s="7" t="n">
        <f aca="false">IF(AND(18&gt;=$C37,18&lt;=$D37),$B37/($D37-$C37+1),0)</f>
        <v>0.692307692307692</v>
      </c>
      <c r="W37" s="7" t="n">
        <f aca="false">IF(AND(19&gt;=$C37,19&lt;=$D37),$B37/($D37-$C37+1),0)</f>
        <v>0.692307692307692</v>
      </c>
      <c r="X37" s="7" t="n">
        <f aca="false">IF(AND(20&gt;=$C37,20&lt;=$D37),$B37/($D37-$C37+1),0)</f>
        <v>0.692307692307692</v>
      </c>
      <c r="Y37" s="7" t="n">
        <f aca="false">IF(AND(21&gt;=$C37,21&lt;=$D37),$B37/($D37-$C37+1),0)</f>
        <v>0.692307692307692</v>
      </c>
      <c r="Z37" s="7" t="n">
        <f aca="false">IF(AND(22&gt;=$C37,22&lt;=$D37),$B37/($D37-$C37+1),0)</f>
        <v>0.692307692307692</v>
      </c>
      <c r="AA37" s="7" t="n">
        <f aca="false">IF(AND(23&gt;=$C37,23&lt;=$D37),$B37/($D37-$C37+1),0)</f>
        <v>0.692307692307692</v>
      </c>
      <c r="AB37" s="7" t="n">
        <f aca="false">IF(AND(24&gt;=$C37,24&lt;=$D37),$B37/($D37-$C37+1),0)</f>
        <v>0.692307692307692</v>
      </c>
      <c r="AC37" s="7" t="n">
        <f aca="false">IF(AND(25&gt;=$C37,25&lt;=$D37),$B37/($D37-$C37+1),0)</f>
        <v>0.692307692307692</v>
      </c>
      <c r="AD37" s="7" t="n">
        <f aca="false">IF(AND(26&gt;=$C37,26&lt;=$D37),$B37/($D37-$C37+1),0)</f>
        <v>0.692307692307692</v>
      </c>
      <c r="AE37" s="7" t="n">
        <f aca="false">IF(AND(27&gt;=$C37,27&lt;=$D37),$B37/($D37-$C37+1),0)</f>
        <v>0.692307692307692</v>
      </c>
      <c r="AF37" s="7" t="n">
        <f aca="false">IF(AND(28&gt;=$C37,28&lt;=$D37),$B37/($D37-$C37+1),0)</f>
        <v>0.692307692307692</v>
      </c>
      <c r="AG37" s="7" t="n">
        <f aca="false">IF(AND(29&gt;=$C37,29&lt;=$D37),$B37/($D37-$C37+1),0)</f>
        <v>0.692307692307692</v>
      </c>
      <c r="AH37" s="7" t="n">
        <f aca="false">IF(AND(30&gt;=$C37,30&lt;=$D37),$B37/($D37-$C37+1),0)</f>
        <v>0.692307692307692</v>
      </c>
      <c r="AI37" s="7" t="n">
        <f aca="false">IF(AND(31&gt;=$C37,31&lt;=$D37),$B37/($D37-$C37+1),0)</f>
        <v>0.692307692307692</v>
      </c>
      <c r="AJ37" s="7" t="n">
        <f aca="false">IF(AND(32&gt;=$C37,32&lt;=$D37),$B37/($D37-$C37+1),0)</f>
        <v>0.692307692307692</v>
      </c>
      <c r="AK37" s="7" t="n">
        <f aca="false">IF(AND(33&gt;=$C37,33&lt;=$D37),$B37/($D37-$C37+1),0)</f>
        <v>0.692307692307692</v>
      </c>
      <c r="AL37" s="7" t="n">
        <f aca="false">IF(AND(34&gt;=$C37,34&lt;=$D37),$B37/($D37-$C37+1),0)</f>
        <v>0.692307692307692</v>
      </c>
      <c r="AM37" s="7" t="n">
        <f aca="false">IF(AND(35&gt;=$C37,35&lt;=$D37),$B37/($D37-$C37+1),0)</f>
        <v>0.692307692307692</v>
      </c>
      <c r="AN37" s="7" t="n">
        <f aca="false">IF(AND(36&gt;=$C37,36&lt;=$D37),$B37/($D37-$C37+1),0)</f>
        <v>0.692307692307692</v>
      </c>
      <c r="AO37" s="7" t="n">
        <f aca="false">IF(AND(37&gt;=$C37,37&lt;=$D37),$B37/($D37-$C37+1),0)</f>
        <v>0.692307692307692</v>
      </c>
      <c r="AP37" s="7" t="n">
        <f aca="false">IF(AND(38&gt;=$C37,38&lt;=$D37),$B37/($D37-$C37+1),0)</f>
        <v>0.692307692307692</v>
      </c>
      <c r="AQ37" s="7" t="n">
        <f aca="false">IF(AND(39&gt;=$C37,39&lt;=$D37),$B37/($D37-$C37+1),0)</f>
        <v>0.692307692307692</v>
      </c>
      <c r="AR37" s="7" t="n">
        <f aca="false">IF(AND(40&gt;=$C37,40&lt;=$D37),$B37/($D37-$C37+1),0)</f>
        <v>0.692307692307692</v>
      </c>
      <c r="AS37" s="7" t="n">
        <f aca="false">IF(AND(41&gt;=$C37,41&lt;=$D37),$B37/($D37-$C37+1),0)</f>
        <v>0.692307692307692</v>
      </c>
      <c r="AT37" s="7" t="n">
        <f aca="false">IF(AND(42&gt;=$C37,42&lt;=$D37),$B37/($D37-$C37+1),0)</f>
        <v>0.692307692307692</v>
      </c>
      <c r="AU37" s="7" t="n">
        <f aca="false">IF(AND(43&gt;=$C37,43&lt;=$D37),$B37/($D37-$C37+1),0)</f>
        <v>0.692307692307692</v>
      </c>
      <c r="AV37" s="7" t="n">
        <f aca="false">IF(AND(44&gt;=$C37,44&lt;=$D37),$B37/($D37-$C37+1),0)</f>
        <v>0.692307692307692</v>
      </c>
      <c r="AW37" s="7" t="n">
        <f aca="false">IF(AND(45&gt;=$C37,45&lt;=$D37),$B37/($D37-$C37+1),0)</f>
        <v>0.692307692307692</v>
      </c>
      <c r="AX37" s="7" t="n">
        <f aca="false">IF(AND(46&gt;=$C37,46&lt;=$D37),$B37/($D37-$C37+1),0)</f>
        <v>0.692307692307692</v>
      </c>
      <c r="AY37" s="7" t="n">
        <f aca="false">IF(AND(47&gt;=$C37,47&lt;=$D37),$B37/($D37-$C37+1),0)</f>
        <v>0.692307692307692</v>
      </c>
      <c r="AZ37" s="7" t="n">
        <f aca="false">IF(AND(48&gt;=$C37,48&lt;=$D37),$B37/($D37-$C37+1),0)</f>
        <v>0.692307692307692</v>
      </c>
      <c r="BA37" s="7" t="n">
        <f aca="false">IF(AND(49&gt;=$C37,49&lt;=$D37),$B37/($D37-$C37+1),0)</f>
        <v>0.692307692307692</v>
      </c>
      <c r="BB37" s="7" t="n">
        <f aca="false">IF(AND(50&gt;=$C37,50&lt;=$D37),$B37/($D37-$C37+1),0)</f>
        <v>0.692307692307692</v>
      </c>
      <c r="BC37" s="7" t="n">
        <f aca="false">IF(AND(51&gt;=$C37,51&lt;=$D37),$B37/($D37-$C37+1),0)</f>
        <v>0.692307692307692</v>
      </c>
      <c r="BD37" s="7" t="n">
        <f aca="false">IF(AND(52&gt;=$C37,52&lt;=$D37),$B37/($D37-$C37+1),0)</f>
        <v>0.692307692307692</v>
      </c>
    </row>
    <row r="38" customFormat="false" ht="15" hidden="false" customHeight="false" outlineLevel="0" collapsed="false">
      <c r="A38" s="0" t="s">
        <v>274</v>
      </c>
      <c r="B38" s="11" t="n">
        <v>48</v>
      </c>
      <c r="C38" s="11" t="n">
        <v>1</v>
      </c>
      <c r="D38" s="11" t="n">
        <v>52</v>
      </c>
      <c r="E38" s="7" t="n">
        <f aca="false">IF(AND(1&gt;=$C38,1&lt;=$D38),$B38/($D38-$C38+1),0)</f>
        <v>0.923076923076923</v>
      </c>
      <c r="F38" s="7" t="n">
        <f aca="false">IF(AND(2&gt;=$C38,2&lt;=$D38),$B38/($D38-$C38+1),0)</f>
        <v>0.923076923076923</v>
      </c>
      <c r="G38" s="7" t="n">
        <f aca="false">IF(AND(3&gt;=$C38,3&lt;=$D38),$B38/($D38-$C38+1),0)</f>
        <v>0.923076923076923</v>
      </c>
      <c r="H38" s="7" t="n">
        <f aca="false">IF(AND(4&gt;=$C38,4&lt;=$D38),$B38/($D38-$C38+1),0)</f>
        <v>0.923076923076923</v>
      </c>
      <c r="I38" s="7" t="n">
        <f aca="false">IF(AND(5&gt;=$C38,5&lt;=$D38),$B38/($D38-$C38+1),0)</f>
        <v>0.923076923076923</v>
      </c>
      <c r="J38" s="7" t="n">
        <f aca="false">IF(AND(6&gt;=$C38,6&lt;=$D38),$B38/($D38-$C38+1),0)</f>
        <v>0.923076923076923</v>
      </c>
      <c r="K38" s="7" t="n">
        <f aca="false">IF(AND(7&gt;=$C38,7&lt;=$D38),$B38/($D38-$C38+1),0)</f>
        <v>0.923076923076923</v>
      </c>
      <c r="L38" s="7" t="n">
        <f aca="false">IF(AND(8&gt;=$C38,8&lt;=$D38),$B38/($D38-$C38+1),0)</f>
        <v>0.923076923076923</v>
      </c>
      <c r="M38" s="7" t="n">
        <f aca="false">IF(AND(9&gt;=$C38,9&lt;=$D38),$B38/($D38-$C38+1),0)</f>
        <v>0.923076923076923</v>
      </c>
      <c r="N38" s="7" t="n">
        <f aca="false">IF(AND(10&gt;=$C38,10&lt;=$D38),$B38/($D38-$C38+1),0)</f>
        <v>0.923076923076923</v>
      </c>
      <c r="O38" s="7" t="n">
        <f aca="false">IF(AND(11&gt;=$C38,11&lt;=$D38),$B38/($D38-$C38+1),0)</f>
        <v>0.923076923076923</v>
      </c>
      <c r="P38" s="7" t="n">
        <f aca="false">IF(AND(12&gt;=$C38,12&lt;=$D38),$B38/($D38-$C38+1),0)</f>
        <v>0.923076923076923</v>
      </c>
      <c r="Q38" s="7" t="n">
        <f aca="false">IF(AND(13&gt;=$C38,13&lt;=$D38),$B38/($D38-$C38+1),0)</f>
        <v>0.923076923076923</v>
      </c>
      <c r="R38" s="7" t="n">
        <f aca="false">IF(AND(14&gt;=$C38,14&lt;=$D38),$B38/($D38-$C38+1),0)</f>
        <v>0.923076923076923</v>
      </c>
      <c r="S38" s="7" t="n">
        <f aca="false">IF(AND(15&gt;=$C38,15&lt;=$D38),$B38/($D38-$C38+1),0)</f>
        <v>0.923076923076923</v>
      </c>
      <c r="T38" s="7" t="n">
        <f aca="false">IF(AND(16&gt;=$C38,16&lt;=$D38),$B38/($D38-$C38+1),0)</f>
        <v>0.923076923076923</v>
      </c>
      <c r="U38" s="7" t="n">
        <f aca="false">IF(AND(17&gt;=$C38,17&lt;=$D38),$B38/($D38-$C38+1),0)</f>
        <v>0.923076923076923</v>
      </c>
      <c r="V38" s="7" t="n">
        <f aca="false">IF(AND(18&gt;=$C38,18&lt;=$D38),$B38/($D38-$C38+1),0)</f>
        <v>0.923076923076923</v>
      </c>
      <c r="W38" s="7" t="n">
        <f aca="false">IF(AND(19&gt;=$C38,19&lt;=$D38),$B38/($D38-$C38+1),0)</f>
        <v>0.923076923076923</v>
      </c>
      <c r="X38" s="7" t="n">
        <f aca="false">IF(AND(20&gt;=$C38,20&lt;=$D38),$B38/($D38-$C38+1),0)</f>
        <v>0.923076923076923</v>
      </c>
      <c r="Y38" s="7" t="n">
        <f aca="false">IF(AND(21&gt;=$C38,21&lt;=$D38),$B38/($D38-$C38+1),0)</f>
        <v>0.923076923076923</v>
      </c>
      <c r="Z38" s="7" t="n">
        <f aca="false">IF(AND(22&gt;=$C38,22&lt;=$D38),$B38/($D38-$C38+1),0)</f>
        <v>0.923076923076923</v>
      </c>
      <c r="AA38" s="7" t="n">
        <f aca="false">IF(AND(23&gt;=$C38,23&lt;=$D38),$B38/($D38-$C38+1),0)</f>
        <v>0.923076923076923</v>
      </c>
      <c r="AB38" s="7" t="n">
        <f aca="false">IF(AND(24&gt;=$C38,24&lt;=$D38),$B38/($D38-$C38+1),0)</f>
        <v>0.923076923076923</v>
      </c>
      <c r="AC38" s="7" t="n">
        <f aca="false">IF(AND(25&gt;=$C38,25&lt;=$D38),$B38/($D38-$C38+1),0)</f>
        <v>0.923076923076923</v>
      </c>
      <c r="AD38" s="7" t="n">
        <f aca="false">IF(AND(26&gt;=$C38,26&lt;=$D38),$B38/($D38-$C38+1),0)</f>
        <v>0.923076923076923</v>
      </c>
      <c r="AE38" s="7" t="n">
        <f aca="false">IF(AND(27&gt;=$C38,27&lt;=$D38),$B38/($D38-$C38+1),0)</f>
        <v>0.923076923076923</v>
      </c>
      <c r="AF38" s="7" t="n">
        <f aca="false">IF(AND(28&gt;=$C38,28&lt;=$D38),$B38/($D38-$C38+1),0)</f>
        <v>0.923076923076923</v>
      </c>
      <c r="AG38" s="7" t="n">
        <f aca="false">IF(AND(29&gt;=$C38,29&lt;=$D38),$B38/($D38-$C38+1),0)</f>
        <v>0.923076923076923</v>
      </c>
      <c r="AH38" s="7" t="n">
        <f aca="false">IF(AND(30&gt;=$C38,30&lt;=$D38),$B38/($D38-$C38+1),0)</f>
        <v>0.923076923076923</v>
      </c>
      <c r="AI38" s="7" t="n">
        <f aca="false">IF(AND(31&gt;=$C38,31&lt;=$D38),$B38/($D38-$C38+1),0)</f>
        <v>0.923076923076923</v>
      </c>
      <c r="AJ38" s="7" t="n">
        <f aca="false">IF(AND(32&gt;=$C38,32&lt;=$D38),$B38/($D38-$C38+1),0)</f>
        <v>0.923076923076923</v>
      </c>
      <c r="AK38" s="7" t="n">
        <f aca="false">IF(AND(33&gt;=$C38,33&lt;=$D38),$B38/($D38-$C38+1),0)</f>
        <v>0.923076923076923</v>
      </c>
      <c r="AL38" s="7" t="n">
        <f aca="false">IF(AND(34&gt;=$C38,34&lt;=$D38),$B38/($D38-$C38+1),0)</f>
        <v>0.923076923076923</v>
      </c>
      <c r="AM38" s="7" t="n">
        <f aca="false">IF(AND(35&gt;=$C38,35&lt;=$D38),$B38/($D38-$C38+1),0)</f>
        <v>0.923076923076923</v>
      </c>
      <c r="AN38" s="7" t="n">
        <f aca="false">IF(AND(36&gt;=$C38,36&lt;=$D38),$B38/($D38-$C38+1),0)</f>
        <v>0.923076923076923</v>
      </c>
      <c r="AO38" s="7" t="n">
        <f aca="false">IF(AND(37&gt;=$C38,37&lt;=$D38),$B38/($D38-$C38+1),0)</f>
        <v>0.923076923076923</v>
      </c>
      <c r="AP38" s="7" t="n">
        <f aca="false">IF(AND(38&gt;=$C38,38&lt;=$D38),$B38/($D38-$C38+1),0)</f>
        <v>0.923076923076923</v>
      </c>
      <c r="AQ38" s="7" t="n">
        <f aca="false">IF(AND(39&gt;=$C38,39&lt;=$D38),$B38/($D38-$C38+1),0)</f>
        <v>0.923076923076923</v>
      </c>
      <c r="AR38" s="7" t="n">
        <f aca="false">IF(AND(40&gt;=$C38,40&lt;=$D38),$B38/($D38-$C38+1),0)</f>
        <v>0.923076923076923</v>
      </c>
      <c r="AS38" s="7" t="n">
        <f aca="false">IF(AND(41&gt;=$C38,41&lt;=$D38),$B38/($D38-$C38+1),0)</f>
        <v>0.923076923076923</v>
      </c>
      <c r="AT38" s="7" t="n">
        <f aca="false">IF(AND(42&gt;=$C38,42&lt;=$D38),$B38/($D38-$C38+1),0)</f>
        <v>0.923076923076923</v>
      </c>
      <c r="AU38" s="7" t="n">
        <f aca="false">IF(AND(43&gt;=$C38,43&lt;=$D38),$B38/($D38-$C38+1),0)</f>
        <v>0.923076923076923</v>
      </c>
      <c r="AV38" s="7" t="n">
        <f aca="false">IF(AND(44&gt;=$C38,44&lt;=$D38),$B38/($D38-$C38+1),0)</f>
        <v>0.923076923076923</v>
      </c>
      <c r="AW38" s="7" t="n">
        <f aca="false">IF(AND(45&gt;=$C38,45&lt;=$D38),$B38/($D38-$C38+1),0)</f>
        <v>0.923076923076923</v>
      </c>
      <c r="AX38" s="7" t="n">
        <f aca="false">IF(AND(46&gt;=$C38,46&lt;=$D38),$B38/($D38-$C38+1),0)</f>
        <v>0.923076923076923</v>
      </c>
      <c r="AY38" s="7" t="n">
        <f aca="false">IF(AND(47&gt;=$C38,47&lt;=$D38),$B38/($D38-$C38+1),0)</f>
        <v>0.923076923076923</v>
      </c>
      <c r="AZ38" s="7" t="n">
        <f aca="false">IF(AND(48&gt;=$C38,48&lt;=$D38),$B38/($D38-$C38+1),0)</f>
        <v>0.923076923076923</v>
      </c>
      <c r="BA38" s="7" t="n">
        <f aca="false">IF(AND(49&gt;=$C38,49&lt;=$D38),$B38/($D38-$C38+1),0)</f>
        <v>0.923076923076923</v>
      </c>
      <c r="BB38" s="7" t="n">
        <f aca="false">IF(AND(50&gt;=$C38,50&lt;=$D38),$B38/($D38-$C38+1),0)</f>
        <v>0.923076923076923</v>
      </c>
      <c r="BC38" s="7" t="n">
        <f aca="false">IF(AND(51&gt;=$C38,51&lt;=$D38),$B38/($D38-$C38+1),0)</f>
        <v>0.923076923076923</v>
      </c>
      <c r="BD38" s="7" t="n">
        <f aca="false">IF(AND(52&gt;=$C38,52&lt;=$D38),$B38/($D38-$C38+1),0)</f>
        <v>0.923076923076923</v>
      </c>
    </row>
    <row r="39" customFormat="false" ht="15" hidden="false" customHeight="false" outlineLevel="0" collapsed="false">
      <c r="A39" s="0" t="s">
        <v>275</v>
      </c>
      <c r="B39" s="11" t="n">
        <v>20</v>
      </c>
      <c r="C39" s="11" t="n">
        <v>6</v>
      </c>
      <c r="D39" s="11" t="n">
        <v>39</v>
      </c>
      <c r="E39" s="7" t="n">
        <f aca="false">IF(AND(1&gt;=$C39,1&lt;=$D39),$B39/($D39-$C39+1),0)</f>
        <v>0</v>
      </c>
      <c r="F39" s="7" t="n">
        <f aca="false">IF(AND(2&gt;=$C39,2&lt;=$D39),$B39/($D39-$C39+1),0)</f>
        <v>0</v>
      </c>
      <c r="G39" s="7" t="n">
        <f aca="false">IF(AND(3&gt;=$C39,3&lt;=$D39),$B39/($D39-$C39+1),0)</f>
        <v>0</v>
      </c>
      <c r="H39" s="7" t="n">
        <f aca="false">IF(AND(4&gt;=$C39,4&lt;=$D39),$B39/($D39-$C39+1),0)</f>
        <v>0</v>
      </c>
      <c r="I39" s="7" t="n">
        <f aca="false">IF(AND(5&gt;=$C39,5&lt;=$D39),$B39/($D39-$C39+1),0)</f>
        <v>0</v>
      </c>
      <c r="J39" s="7" t="n">
        <f aca="false">IF(AND(6&gt;=$C39,6&lt;=$D39),$B39/($D39-$C39+1),0)</f>
        <v>0.588235294117647</v>
      </c>
      <c r="K39" s="7" t="n">
        <f aca="false">IF(AND(7&gt;=$C39,7&lt;=$D39),$B39/($D39-$C39+1),0)</f>
        <v>0.588235294117647</v>
      </c>
      <c r="L39" s="7" t="n">
        <f aca="false">IF(AND(8&gt;=$C39,8&lt;=$D39),$B39/($D39-$C39+1),0)</f>
        <v>0.588235294117647</v>
      </c>
      <c r="M39" s="7" t="n">
        <f aca="false">IF(AND(9&gt;=$C39,9&lt;=$D39),$B39/($D39-$C39+1),0)</f>
        <v>0.588235294117647</v>
      </c>
      <c r="N39" s="7" t="n">
        <f aca="false">IF(AND(10&gt;=$C39,10&lt;=$D39),$B39/($D39-$C39+1),0)</f>
        <v>0.588235294117647</v>
      </c>
      <c r="O39" s="7" t="n">
        <f aca="false">IF(AND(11&gt;=$C39,11&lt;=$D39),$B39/($D39-$C39+1),0)</f>
        <v>0.588235294117647</v>
      </c>
      <c r="P39" s="7" t="n">
        <f aca="false">IF(AND(12&gt;=$C39,12&lt;=$D39),$B39/($D39-$C39+1),0)</f>
        <v>0.588235294117647</v>
      </c>
      <c r="Q39" s="7" t="n">
        <f aca="false">IF(AND(13&gt;=$C39,13&lt;=$D39),$B39/($D39-$C39+1),0)</f>
        <v>0.588235294117647</v>
      </c>
      <c r="R39" s="7" t="n">
        <f aca="false">IF(AND(14&gt;=$C39,14&lt;=$D39),$B39/($D39-$C39+1),0)</f>
        <v>0.588235294117647</v>
      </c>
      <c r="S39" s="7" t="n">
        <f aca="false">IF(AND(15&gt;=$C39,15&lt;=$D39),$B39/($D39-$C39+1),0)</f>
        <v>0.588235294117647</v>
      </c>
      <c r="T39" s="7" t="n">
        <f aca="false">IF(AND(16&gt;=$C39,16&lt;=$D39),$B39/($D39-$C39+1),0)</f>
        <v>0.588235294117647</v>
      </c>
      <c r="U39" s="7" t="n">
        <f aca="false">IF(AND(17&gt;=$C39,17&lt;=$D39),$B39/($D39-$C39+1),0)</f>
        <v>0.588235294117647</v>
      </c>
      <c r="V39" s="7" t="n">
        <f aca="false">IF(AND(18&gt;=$C39,18&lt;=$D39),$B39/($D39-$C39+1),0)</f>
        <v>0.588235294117647</v>
      </c>
      <c r="W39" s="7" t="n">
        <f aca="false">IF(AND(19&gt;=$C39,19&lt;=$D39),$B39/($D39-$C39+1),0)</f>
        <v>0.588235294117647</v>
      </c>
      <c r="X39" s="7" t="n">
        <f aca="false">IF(AND(20&gt;=$C39,20&lt;=$D39),$B39/($D39-$C39+1),0)</f>
        <v>0.588235294117647</v>
      </c>
      <c r="Y39" s="7" t="n">
        <f aca="false">IF(AND(21&gt;=$C39,21&lt;=$D39),$B39/($D39-$C39+1),0)</f>
        <v>0.588235294117647</v>
      </c>
      <c r="Z39" s="7" t="n">
        <f aca="false">IF(AND(22&gt;=$C39,22&lt;=$D39),$B39/($D39-$C39+1),0)</f>
        <v>0.588235294117647</v>
      </c>
      <c r="AA39" s="7" t="n">
        <f aca="false">IF(AND(23&gt;=$C39,23&lt;=$D39),$B39/($D39-$C39+1),0)</f>
        <v>0.588235294117647</v>
      </c>
      <c r="AB39" s="7" t="n">
        <f aca="false">IF(AND(24&gt;=$C39,24&lt;=$D39),$B39/($D39-$C39+1),0)</f>
        <v>0.588235294117647</v>
      </c>
      <c r="AC39" s="7" t="n">
        <f aca="false">IF(AND(25&gt;=$C39,25&lt;=$D39),$B39/($D39-$C39+1),0)</f>
        <v>0.588235294117647</v>
      </c>
      <c r="AD39" s="7" t="n">
        <f aca="false">IF(AND(26&gt;=$C39,26&lt;=$D39),$B39/($D39-$C39+1),0)</f>
        <v>0.588235294117647</v>
      </c>
      <c r="AE39" s="7" t="n">
        <f aca="false">IF(AND(27&gt;=$C39,27&lt;=$D39),$B39/($D39-$C39+1),0)</f>
        <v>0.588235294117647</v>
      </c>
      <c r="AF39" s="7" t="n">
        <f aca="false">IF(AND(28&gt;=$C39,28&lt;=$D39),$B39/($D39-$C39+1),0)</f>
        <v>0.588235294117647</v>
      </c>
      <c r="AG39" s="7" t="n">
        <f aca="false">IF(AND(29&gt;=$C39,29&lt;=$D39),$B39/($D39-$C39+1),0)</f>
        <v>0.588235294117647</v>
      </c>
      <c r="AH39" s="7" t="n">
        <f aca="false">IF(AND(30&gt;=$C39,30&lt;=$D39),$B39/($D39-$C39+1),0)</f>
        <v>0.588235294117647</v>
      </c>
      <c r="AI39" s="7" t="n">
        <f aca="false">IF(AND(31&gt;=$C39,31&lt;=$D39),$B39/($D39-$C39+1),0)</f>
        <v>0.588235294117647</v>
      </c>
      <c r="AJ39" s="7" t="n">
        <f aca="false">IF(AND(32&gt;=$C39,32&lt;=$D39),$B39/($D39-$C39+1),0)</f>
        <v>0.588235294117647</v>
      </c>
      <c r="AK39" s="7" t="n">
        <f aca="false">IF(AND(33&gt;=$C39,33&lt;=$D39),$B39/($D39-$C39+1),0)</f>
        <v>0.588235294117647</v>
      </c>
      <c r="AL39" s="7" t="n">
        <f aca="false">IF(AND(34&gt;=$C39,34&lt;=$D39),$B39/($D39-$C39+1),0)</f>
        <v>0.588235294117647</v>
      </c>
      <c r="AM39" s="7" t="n">
        <f aca="false">IF(AND(35&gt;=$C39,35&lt;=$D39),$B39/($D39-$C39+1),0)</f>
        <v>0.588235294117647</v>
      </c>
      <c r="AN39" s="7" t="n">
        <f aca="false">IF(AND(36&gt;=$C39,36&lt;=$D39),$B39/($D39-$C39+1),0)</f>
        <v>0.588235294117647</v>
      </c>
      <c r="AO39" s="7" t="n">
        <f aca="false">IF(AND(37&gt;=$C39,37&lt;=$D39),$B39/($D39-$C39+1),0)</f>
        <v>0.588235294117647</v>
      </c>
      <c r="AP39" s="7" t="n">
        <f aca="false">IF(AND(38&gt;=$C39,38&lt;=$D39),$B39/($D39-$C39+1),0)</f>
        <v>0.588235294117647</v>
      </c>
      <c r="AQ39" s="7" t="n">
        <f aca="false">IF(AND(39&gt;=$C39,39&lt;=$D39),$B39/($D39-$C39+1),0)</f>
        <v>0.588235294117647</v>
      </c>
      <c r="AR39" s="7" t="n">
        <f aca="false">IF(AND(40&gt;=$C39,40&lt;=$D39),$B39/($D39-$C39+1),0)</f>
        <v>0</v>
      </c>
      <c r="AS39" s="7" t="n">
        <f aca="false">IF(AND(41&gt;=$C39,41&lt;=$D39),$B39/($D39-$C39+1),0)</f>
        <v>0</v>
      </c>
      <c r="AT39" s="7" t="n">
        <f aca="false">IF(AND(42&gt;=$C39,42&lt;=$D39),$B39/($D39-$C39+1),0)</f>
        <v>0</v>
      </c>
      <c r="AU39" s="7" t="n">
        <f aca="false">IF(AND(43&gt;=$C39,43&lt;=$D39),$B39/($D39-$C39+1),0)</f>
        <v>0</v>
      </c>
      <c r="AV39" s="7" t="n">
        <f aca="false">IF(AND(44&gt;=$C39,44&lt;=$D39),$B39/($D39-$C39+1),0)</f>
        <v>0</v>
      </c>
      <c r="AW39" s="7" t="n">
        <f aca="false">IF(AND(45&gt;=$C39,45&lt;=$D39),$B39/($D39-$C39+1),0)</f>
        <v>0</v>
      </c>
      <c r="AX39" s="7" t="n">
        <f aca="false">IF(AND(46&gt;=$C39,46&lt;=$D39),$B39/($D39-$C39+1),0)</f>
        <v>0</v>
      </c>
      <c r="AY39" s="7" t="n">
        <f aca="false">IF(AND(47&gt;=$C39,47&lt;=$D39),$B39/($D39-$C39+1),0)</f>
        <v>0</v>
      </c>
      <c r="AZ39" s="7" t="n">
        <f aca="false">IF(AND(48&gt;=$C39,48&lt;=$D39),$B39/($D39-$C39+1),0)</f>
        <v>0</v>
      </c>
      <c r="BA39" s="7" t="n">
        <f aca="false">IF(AND(49&gt;=$C39,49&lt;=$D39),$B39/($D39-$C39+1),0)</f>
        <v>0</v>
      </c>
      <c r="BB39" s="7" t="n">
        <f aca="false">IF(AND(50&gt;=$C39,50&lt;=$D39),$B39/($D39-$C39+1),0)</f>
        <v>0</v>
      </c>
      <c r="BC39" s="7" t="n">
        <f aca="false">IF(AND(51&gt;=$C39,51&lt;=$D39),$B39/($D39-$C39+1),0)</f>
        <v>0</v>
      </c>
      <c r="BD39" s="7" t="n">
        <f aca="false">IF(AND(52&gt;=$C39,52&lt;=$D39),$B39/($D39-$C39+1),0)</f>
        <v>0</v>
      </c>
    </row>
    <row r="40" customFormat="false" ht="15" hidden="false" customHeight="false" outlineLevel="0" collapsed="false">
      <c r="A40" s="0" t="s">
        <v>276</v>
      </c>
      <c r="B40" s="11" t="n">
        <v>24</v>
      </c>
      <c r="C40" s="11" t="n">
        <v>1</v>
      </c>
      <c r="D40" s="11" t="n">
        <v>52</v>
      </c>
      <c r="E40" s="7" t="n">
        <f aca="false">IF(AND(1&gt;=$C40,1&lt;=$D40),$B40/($D40-$C40+1),0)</f>
        <v>0.461538461538462</v>
      </c>
      <c r="F40" s="7" t="n">
        <f aca="false">IF(AND(2&gt;=$C40,2&lt;=$D40),$B40/($D40-$C40+1),0)</f>
        <v>0.461538461538462</v>
      </c>
      <c r="G40" s="7" t="n">
        <f aca="false">IF(AND(3&gt;=$C40,3&lt;=$D40),$B40/($D40-$C40+1),0)</f>
        <v>0.461538461538462</v>
      </c>
      <c r="H40" s="7" t="n">
        <f aca="false">IF(AND(4&gt;=$C40,4&lt;=$D40),$B40/($D40-$C40+1),0)</f>
        <v>0.461538461538462</v>
      </c>
      <c r="I40" s="7" t="n">
        <f aca="false">IF(AND(5&gt;=$C40,5&lt;=$D40),$B40/($D40-$C40+1),0)</f>
        <v>0.461538461538462</v>
      </c>
      <c r="J40" s="7" t="n">
        <f aca="false">IF(AND(6&gt;=$C40,6&lt;=$D40),$B40/($D40-$C40+1),0)</f>
        <v>0.461538461538462</v>
      </c>
      <c r="K40" s="7" t="n">
        <f aca="false">IF(AND(7&gt;=$C40,7&lt;=$D40),$B40/($D40-$C40+1),0)</f>
        <v>0.461538461538462</v>
      </c>
      <c r="L40" s="7" t="n">
        <f aca="false">IF(AND(8&gt;=$C40,8&lt;=$D40),$B40/($D40-$C40+1),0)</f>
        <v>0.461538461538462</v>
      </c>
      <c r="M40" s="7" t="n">
        <f aca="false">IF(AND(9&gt;=$C40,9&lt;=$D40),$B40/($D40-$C40+1),0)</f>
        <v>0.461538461538462</v>
      </c>
      <c r="N40" s="7" t="n">
        <f aca="false">IF(AND(10&gt;=$C40,10&lt;=$D40),$B40/($D40-$C40+1),0)</f>
        <v>0.461538461538462</v>
      </c>
      <c r="O40" s="7" t="n">
        <f aca="false">IF(AND(11&gt;=$C40,11&lt;=$D40),$B40/($D40-$C40+1),0)</f>
        <v>0.461538461538462</v>
      </c>
      <c r="P40" s="7" t="n">
        <f aca="false">IF(AND(12&gt;=$C40,12&lt;=$D40),$B40/($D40-$C40+1),0)</f>
        <v>0.461538461538462</v>
      </c>
      <c r="Q40" s="7" t="n">
        <f aca="false">IF(AND(13&gt;=$C40,13&lt;=$D40),$B40/($D40-$C40+1),0)</f>
        <v>0.461538461538462</v>
      </c>
      <c r="R40" s="7" t="n">
        <f aca="false">IF(AND(14&gt;=$C40,14&lt;=$D40),$B40/($D40-$C40+1),0)</f>
        <v>0.461538461538462</v>
      </c>
      <c r="S40" s="7" t="n">
        <f aca="false">IF(AND(15&gt;=$C40,15&lt;=$D40),$B40/($D40-$C40+1),0)</f>
        <v>0.461538461538462</v>
      </c>
      <c r="T40" s="7" t="n">
        <f aca="false">IF(AND(16&gt;=$C40,16&lt;=$D40),$B40/($D40-$C40+1),0)</f>
        <v>0.461538461538462</v>
      </c>
      <c r="U40" s="7" t="n">
        <f aca="false">IF(AND(17&gt;=$C40,17&lt;=$D40),$B40/($D40-$C40+1),0)</f>
        <v>0.461538461538462</v>
      </c>
      <c r="V40" s="7" t="n">
        <f aca="false">IF(AND(18&gt;=$C40,18&lt;=$D40),$B40/($D40-$C40+1),0)</f>
        <v>0.461538461538462</v>
      </c>
      <c r="W40" s="7" t="n">
        <f aca="false">IF(AND(19&gt;=$C40,19&lt;=$D40),$B40/($D40-$C40+1),0)</f>
        <v>0.461538461538462</v>
      </c>
      <c r="X40" s="7" t="n">
        <f aca="false">IF(AND(20&gt;=$C40,20&lt;=$D40),$B40/($D40-$C40+1),0)</f>
        <v>0.461538461538462</v>
      </c>
      <c r="Y40" s="7" t="n">
        <f aca="false">IF(AND(21&gt;=$C40,21&lt;=$D40),$B40/($D40-$C40+1),0)</f>
        <v>0.461538461538462</v>
      </c>
      <c r="Z40" s="7" t="n">
        <f aca="false">IF(AND(22&gt;=$C40,22&lt;=$D40),$B40/($D40-$C40+1),0)</f>
        <v>0.461538461538462</v>
      </c>
      <c r="AA40" s="7" t="n">
        <f aca="false">IF(AND(23&gt;=$C40,23&lt;=$D40),$B40/($D40-$C40+1),0)</f>
        <v>0.461538461538462</v>
      </c>
      <c r="AB40" s="7" t="n">
        <f aca="false">IF(AND(24&gt;=$C40,24&lt;=$D40),$B40/($D40-$C40+1),0)</f>
        <v>0.461538461538462</v>
      </c>
      <c r="AC40" s="7" t="n">
        <f aca="false">IF(AND(25&gt;=$C40,25&lt;=$D40),$B40/($D40-$C40+1),0)</f>
        <v>0.461538461538462</v>
      </c>
      <c r="AD40" s="7" t="n">
        <f aca="false">IF(AND(26&gt;=$C40,26&lt;=$D40),$B40/($D40-$C40+1),0)</f>
        <v>0.461538461538462</v>
      </c>
      <c r="AE40" s="7" t="n">
        <f aca="false">IF(AND(27&gt;=$C40,27&lt;=$D40),$B40/($D40-$C40+1),0)</f>
        <v>0.461538461538462</v>
      </c>
      <c r="AF40" s="7" t="n">
        <f aca="false">IF(AND(28&gt;=$C40,28&lt;=$D40),$B40/($D40-$C40+1),0)</f>
        <v>0.461538461538462</v>
      </c>
      <c r="AG40" s="7" t="n">
        <f aca="false">IF(AND(29&gt;=$C40,29&lt;=$D40),$B40/($D40-$C40+1),0)</f>
        <v>0.461538461538462</v>
      </c>
      <c r="AH40" s="7" t="n">
        <f aca="false">IF(AND(30&gt;=$C40,30&lt;=$D40),$B40/($D40-$C40+1),0)</f>
        <v>0.461538461538462</v>
      </c>
      <c r="AI40" s="7" t="n">
        <f aca="false">IF(AND(31&gt;=$C40,31&lt;=$D40),$B40/($D40-$C40+1),0)</f>
        <v>0.461538461538462</v>
      </c>
      <c r="AJ40" s="7" t="n">
        <f aca="false">IF(AND(32&gt;=$C40,32&lt;=$D40),$B40/($D40-$C40+1),0)</f>
        <v>0.461538461538462</v>
      </c>
      <c r="AK40" s="7" t="n">
        <f aca="false">IF(AND(33&gt;=$C40,33&lt;=$D40),$B40/($D40-$C40+1),0)</f>
        <v>0.461538461538462</v>
      </c>
      <c r="AL40" s="7" t="n">
        <f aca="false">IF(AND(34&gt;=$C40,34&lt;=$D40),$B40/($D40-$C40+1),0)</f>
        <v>0.461538461538462</v>
      </c>
      <c r="AM40" s="7" t="n">
        <f aca="false">IF(AND(35&gt;=$C40,35&lt;=$D40),$B40/($D40-$C40+1),0)</f>
        <v>0.461538461538462</v>
      </c>
      <c r="AN40" s="7" t="n">
        <f aca="false">IF(AND(36&gt;=$C40,36&lt;=$D40),$B40/($D40-$C40+1),0)</f>
        <v>0.461538461538462</v>
      </c>
      <c r="AO40" s="7" t="n">
        <f aca="false">IF(AND(37&gt;=$C40,37&lt;=$D40),$B40/($D40-$C40+1),0)</f>
        <v>0.461538461538462</v>
      </c>
      <c r="AP40" s="7" t="n">
        <f aca="false">IF(AND(38&gt;=$C40,38&lt;=$D40),$B40/($D40-$C40+1),0)</f>
        <v>0.461538461538462</v>
      </c>
      <c r="AQ40" s="7" t="n">
        <f aca="false">IF(AND(39&gt;=$C40,39&lt;=$D40),$B40/($D40-$C40+1),0)</f>
        <v>0.461538461538462</v>
      </c>
      <c r="AR40" s="7" t="n">
        <f aca="false">IF(AND(40&gt;=$C40,40&lt;=$D40),$B40/($D40-$C40+1),0)</f>
        <v>0.461538461538462</v>
      </c>
      <c r="AS40" s="7" t="n">
        <f aca="false">IF(AND(41&gt;=$C40,41&lt;=$D40),$B40/($D40-$C40+1),0)</f>
        <v>0.461538461538462</v>
      </c>
      <c r="AT40" s="7" t="n">
        <f aca="false">IF(AND(42&gt;=$C40,42&lt;=$D40),$B40/($D40-$C40+1),0)</f>
        <v>0.461538461538462</v>
      </c>
      <c r="AU40" s="7" t="n">
        <f aca="false">IF(AND(43&gt;=$C40,43&lt;=$D40),$B40/($D40-$C40+1),0)</f>
        <v>0.461538461538462</v>
      </c>
      <c r="AV40" s="7" t="n">
        <f aca="false">IF(AND(44&gt;=$C40,44&lt;=$D40),$B40/($D40-$C40+1),0)</f>
        <v>0.461538461538462</v>
      </c>
      <c r="AW40" s="7" t="n">
        <f aca="false">IF(AND(45&gt;=$C40,45&lt;=$D40),$B40/($D40-$C40+1),0)</f>
        <v>0.461538461538462</v>
      </c>
      <c r="AX40" s="7" t="n">
        <f aca="false">IF(AND(46&gt;=$C40,46&lt;=$D40),$B40/($D40-$C40+1),0)</f>
        <v>0.461538461538462</v>
      </c>
      <c r="AY40" s="7" t="n">
        <f aca="false">IF(AND(47&gt;=$C40,47&lt;=$D40),$B40/($D40-$C40+1),0)</f>
        <v>0.461538461538462</v>
      </c>
      <c r="AZ40" s="7" t="n">
        <f aca="false">IF(AND(48&gt;=$C40,48&lt;=$D40),$B40/($D40-$C40+1),0)</f>
        <v>0.461538461538462</v>
      </c>
      <c r="BA40" s="7" t="n">
        <f aca="false">IF(AND(49&gt;=$C40,49&lt;=$D40),$B40/($D40-$C40+1),0)</f>
        <v>0.461538461538462</v>
      </c>
      <c r="BB40" s="7" t="n">
        <f aca="false">IF(AND(50&gt;=$C40,50&lt;=$D40),$B40/($D40-$C40+1),0)</f>
        <v>0.461538461538462</v>
      </c>
      <c r="BC40" s="7" t="n">
        <f aca="false">IF(AND(51&gt;=$C40,51&lt;=$D40),$B40/($D40-$C40+1),0)</f>
        <v>0.461538461538462</v>
      </c>
      <c r="BD40" s="7" t="n">
        <f aca="false">IF(AND(52&gt;=$C40,52&lt;=$D40),$B40/($D40-$C40+1),0)</f>
        <v>0.461538461538462</v>
      </c>
    </row>
    <row r="41" customFormat="false" ht="15" hidden="false" customHeight="false" outlineLevel="0" collapsed="false">
      <c r="A41" s="4" t="s">
        <v>277</v>
      </c>
      <c r="E41" s="10" t="n">
        <f aca="false">SUM(E28:E40)</f>
        <v>42.7692307692308</v>
      </c>
      <c r="F41" s="10" t="n">
        <f aca="false">SUM(F28:F40)</f>
        <v>2.76923076923077</v>
      </c>
      <c r="G41" s="10" t="n">
        <f aca="false">SUM(G28:G40)</f>
        <v>2.76923076923077</v>
      </c>
      <c r="H41" s="10" t="n">
        <f aca="false">SUM(H28:H40)</f>
        <v>2.76923076923077</v>
      </c>
      <c r="I41" s="10" t="n">
        <f aca="false">SUM(I28:I40)</f>
        <v>2.76923076923077</v>
      </c>
      <c r="J41" s="10" t="n">
        <f aca="false">SUM(J28:J40)</f>
        <v>3.35746606334842</v>
      </c>
      <c r="K41" s="10" t="n">
        <f aca="false">SUM(K28:K40)</f>
        <v>3.35746606334842</v>
      </c>
      <c r="L41" s="10" t="n">
        <f aca="false">SUM(L28:L40)</f>
        <v>3.35746606334842</v>
      </c>
      <c r="M41" s="10" t="n">
        <f aca="false">SUM(M28:M40)</f>
        <v>3.35746606334842</v>
      </c>
      <c r="N41" s="10" t="n">
        <f aca="false">SUM(N28:N40)</f>
        <v>3.35746606334842</v>
      </c>
      <c r="O41" s="10" t="n">
        <f aca="false">SUM(O28:O40)</f>
        <v>3.35746606334842</v>
      </c>
      <c r="P41" s="10" t="n">
        <f aca="false">SUM(P28:P40)</f>
        <v>3.35746606334842</v>
      </c>
      <c r="Q41" s="10" t="n">
        <f aca="false">SUM(Q28:Q40)</f>
        <v>3.35746606334842</v>
      </c>
      <c r="R41" s="10" t="n">
        <f aca="false">SUM(R28:R40)</f>
        <v>3.35746606334842</v>
      </c>
      <c r="S41" s="10" t="n">
        <f aca="false">SUM(S28:S40)</f>
        <v>3.35746606334842</v>
      </c>
      <c r="T41" s="10" t="n">
        <f aca="false">SUM(T28:T40)</f>
        <v>3.35746606334842</v>
      </c>
      <c r="U41" s="10" t="n">
        <f aca="false">SUM(U28:U40)</f>
        <v>3.35746606334842</v>
      </c>
      <c r="V41" s="10" t="n">
        <f aca="false">SUM(V28:V40)</f>
        <v>3.35746606334842</v>
      </c>
      <c r="W41" s="10" t="n">
        <f aca="false">SUM(W28:W40)</f>
        <v>3.35746606334842</v>
      </c>
      <c r="X41" s="10" t="n">
        <f aca="false">SUM(X28:X40)</f>
        <v>3.35746606334842</v>
      </c>
      <c r="Y41" s="10" t="n">
        <f aca="false">SUM(Y28:Y40)</f>
        <v>3.35746606334842</v>
      </c>
      <c r="Z41" s="10" t="n">
        <f aca="false">SUM(Z28:Z40)</f>
        <v>3.35746606334842</v>
      </c>
      <c r="AA41" s="10" t="n">
        <f aca="false">SUM(AA28:AA40)</f>
        <v>3.35746606334842</v>
      </c>
      <c r="AB41" s="10" t="n">
        <f aca="false">SUM(AB28:AB40)</f>
        <v>3.35746606334842</v>
      </c>
      <c r="AC41" s="10" t="n">
        <f aca="false">SUM(AC28:AC40)</f>
        <v>3.35746606334842</v>
      </c>
      <c r="AD41" s="10" t="n">
        <f aca="false">SUM(AD28:AD40)</f>
        <v>3.35746606334842</v>
      </c>
      <c r="AE41" s="10" t="n">
        <f aca="false">SUM(AE28:AE40)</f>
        <v>103.357466063348</v>
      </c>
      <c r="AF41" s="10" t="n">
        <f aca="false">SUM(AF28:AF40)</f>
        <v>3.35746606334842</v>
      </c>
      <c r="AG41" s="10" t="n">
        <f aca="false">SUM(AG28:AG40)</f>
        <v>3.35746606334842</v>
      </c>
      <c r="AH41" s="10" t="n">
        <f aca="false">SUM(AH28:AH40)</f>
        <v>3.35746606334842</v>
      </c>
      <c r="AI41" s="10" t="n">
        <f aca="false">SUM(AI28:AI40)</f>
        <v>3.35746606334842</v>
      </c>
      <c r="AJ41" s="10" t="n">
        <f aca="false">SUM(AJ28:AJ40)</f>
        <v>32.1074660633484</v>
      </c>
      <c r="AK41" s="10" t="n">
        <f aca="false">SUM(AK28:AK40)</f>
        <v>7.10746606334842</v>
      </c>
      <c r="AL41" s="10" t="n">
        <f aca="false">SUM(AL28:AL40)</f>
        <v>7.10746606334842</v>
      </c>
      <c r="AM41" s="10" t="n">
        <f aca="false">SUM(AM28:AM40)</f>
        <v>7.10746606334842</v>
      </c>
      <c r="AN41" s="10" t="n">
        <f aca="false">SUM(AN28:AN40)</f>
        <v>7.10746606334842</v>
      </c>
      <c r="AO41" s="10" t="n">
        <f aca="false">SUM(AO28:AO40)</f>
        <v>7.10746606334842</v>
      </c>
      <c r="AP41" s="10" t="n">
        <f aca="false">SUM(AP28:AP40)</f>
        <v>7.10746606334842</v>
      </c>
      <c r="AQ41" s="10" t="n">
        <f aca="false">SUM(AQ28:AQ40)</f>
        <v>7.10746606334842</v>
      </c>
      <c r="AR41" s="10" t="n">
        <f aca="false">SUM(AR28:AR40)</f>
        <v>2.76923076923077</v>
      </c>
      <c r="AS41" s="10" t="n">
        <f aca="false">SUM(AS28:AS40)</f>
        <v>2.76923076923077</v>
      </c>
      <c r="AT41" s="10" t="n">
        <f aca="false">SUM(AT28:AT40)</f>
        <v>22.7692307692308</v>
      </c>
      <c r="AU41" s="10" t="n">
        <f aca="false">SUM(AU28:AU40)</f>
        <v>2.76923076923077</v>
      </c>
      <c r="AV41" s="10" t="n">
        <f aca="false">SUM(AV28:AV40)</f>
        <v>2.76923076923077</v>
      </c>
      <c r="AW41" s="10" t="n">
        <f aca="false">SUM(AW28:AW40)</f>
        <v>2.76923076923077</v>
      </c>
      <c r="AX41" s="10" t="n">
        <f aca="false">SUM(AX28:AX40)</f>
        <v>27.7692307692308</v>
      </c>
      <c r="AY41" s="10" t="n">
        <f aca="false">SUM(AY28:AY40)</f>
        <v>2.76923076923077</v>
      </c>
      <c r="AZ41" s="10" t="n">
        <f aca="false">SUM(AZ28:AZ40)</f>
        <v>2.76923076923077</v>
      </c>
      <c r="BA41" s="10" t="n">
        <f aca="false">SUM(BA28:BA40)</f>
        <v>2.76923076923077</v>
      </c>
      <c r="BB41" s="10" t="n">
        <f aca="false">SUM(BB28:BB40)</f>
        <v>2.76923076923077</v>
      </c>
      <c r="BC41" s="10" t="n">
        <f aca="false">SUM(BC28:BC40)</f>
        <v>2.76923076923077</v>
      </c>
      <c r="BD41" s="10" t="n">
        <f aca="false">SUM(BD28:BD40)</f>
        <v>2.76923076923077</v>
      </c>
    </row>
    <row r="43" customFormat="false" ht="15" hidden="false" customHeight="false" outlineLevel="0" collapsed="false">
      <c r="A43" s="5" t="s">
        <v>278</v>
      </c>
    </row>
    <row r="44" customFormat="false" ht="15" hidden="false" customHeight="false" outlineLevel="0" collapsed="false">
      <c r="A44" s="0" t="s">
        <v>279</v>
      </c>
      <c r="B44" s="11" t="n">
        <v>1</v>
      </c>
    </row>
    <row r="45" customFormat="false" ht="15" hidden="false" customHeight="false" outlineLevel="0" collapsed="false">
      <c r="A45" s="4" t="s">
        <v>125</v>
      </c>
      <c r="B45" s="6" t="s">
        <v>95</v>
      </c>
      <c r="C45" s="6" t="s">
        <v>96</v>
      </c>
      <c r="D45" s="6" t="s">
        <v>97</v>
      </c>
      <c r="E45" s="6" t="s">
        <v>98</v>
      </c>
      <c r="F45" s="6" t="s">
        <v>99</v>
      </c>
      <c r="G45" s="6" t="s">
        <v>100</v>
      </c>
      <c r="H45" s="6" t="s">
        <v>101</v>
      </c>
      <c r="I45" s="6" t="s">
        <v>102</v>
      </c>
      <c r="J45" s="6" t="s">
        <v>103</v>
      </c>
      <c r="K45" s="6" t="s">
        <v>104</v>
      </c>
      <c r="L45" s="6" t="s">
        <v>105</v>
      </c>
      <c r="M45" s="6" t="s">
        <v>106</v>
      </c>
      <c r="N45" s="21" t="s">
        <v>140</v>
      </c>
      <c r="O45" s="21" t="s">
        <v>141</v>
      </c>
      <c r="P45" s="21" t="s">
        <v>142</v>
      </c>
      <c r="Q45" s="21" t="s">
        <v>143</v>
      </c>
      <c r="R45" s="21" t="s">
        <v>144</v>
      </c>
      <c r="S45" s="21" t="s">
        <v>145</v>
      </c>
      <c r="T45" s="21" t="s">
        <v>146</v>
      </c>
      <c r="U45" s="21" t="s">
        <v>147</v>
      </c>
      <c r="V45" s="21" t="s">
        <v>148</v>
      </c>
      <c r="W45" s="21" t="s">
        <v>149</v>
      </c>
      <c r="X45" s="21" t="s">
        <v>150</v>
      </c>
      <c r="Y45" s="21" t="s">
        <v>151</v>
      </c>
      <c r="Z45" s="21" t="s">
        <v>152</v>
      </c>
      <c r="AA45" s="21" t="s">
        <v>153</v>
      </c>
      <c r="AB45" s="21" t="s">
        <v>154</v>
      </c>
      <c r="AC45" s="21" t="s">
        <v>155</v>
      </c>
      <c r="AD45" s="21" t="s">
        <v>156</v>
      </c>
      <c r="AE45" s="21" t="s">
        <v>157</v>
      </c>
      <c r="AF45" s="21" t="s">
        <v>158</v>
      </c>
      <c r="AG45" s="21" t="s">
        <v>159</v>
      </c>
      <c r="AH45" s="21" t="s">
        <v>160</v>
      </c>
      <c r="AI45" s="21" t="s">
        <v>161</v>
      </c>
      <c r="AJ45" s="21" t="s">
        <v>162</v>
      </c>
      <c r="AK45" s="21" t="s">
        <v>163</v>
      </c>
      <c r="AL45" s="21" t="s">
        <v>164</v>
      </c>
      <c r="AM45" s="21" t="s">
        <v>165</v>
      </c>
      <c r="AN45" s="21" t="s">
        <v>166</v>
      </c>
      <c r="AO45" s="21" t="s">
        <v>167</v>
      </c>
      <c r="AP45" s="21" t="s">
        <v>168</v>
      </c>
      <c r="AQ45" s="21" t="s">
        <v>169</v>
      </c>
      <c r="AR45" s="21" t="s">
        <v>170</v>
      </c>
      <c r="AS45" s="21" t="s">
        <v>171</v>
      </c>
      <c r="AT45" s="21" t="s">
        <v>172</v>
      </c>
      <c r="AU45" s="21" t="s">
        <v>173</v>
      </c>
      <c r="AV45" s="21" t="s">
        <v>174</v>
      </c>
      <c r="AW45" s="21" t="s">
        <v>175</v>
      </c>
      <c r="AX45" s="21" t="s">
        <v>176</v>
      </c>
      <c r="AY45" s="21" t="s">
        <v>177</v>
      </c>
      <c r="AZ45" s="21" t="s">
        <v>178</v>
      </c>
      <c r="BA45" s="21" t="s">
        <v>179</v>
      </c>
      <c r="BB45" s="21" t="s">
        <v>180</v>
      </c>
      <c r="BC45" s="21" t="s">
        <v>181</v>
      </c>
      <c r="BD45" s="21" t="s">
        <v>182</v>
      </c>
      <c r="BE45" s="21" t="s">
        <v>183</v>
      </c>
      <c r="BF45" s="21" t="s">
        <v>184</v>
      </c>
      <c r="BG45" s="21" t="s">
        <v>185</v>
      </c>
      <c r="BH45" s="21" t="s">
        <v>186</v>
      </c>
      <c r="BI45" s="21" t="s">
        <v>187</v>
      </c>
      <c r="BJ45" s="21" t="s">
        <v>188</v>
      </c>
      <c r="BK45" s="21" t="s">
        <v>189</v>
      </c>
      <c r="BL45" s="21" t="s">
        <v>190</v>
      </c>
      <c r="BM45" s="21" t="s">
        <v>191</v>
      </c>
    </row>
    <row r="46" customFormat="false" ht="15" hidden="false" customHeight="false" outlineLevel="0" collapsed="false">
      <c r="A46" s="0" t="s">
        <v>126</v>
      </c>
      <c r="B46" s="22" t="n">
        <v>2</v>
      </c>
      <c r="C46" s="22" t="n">
        <v>2</v>
      </c>
      <c r="D46" s="22" t="n">
        <v>2</v>
      </c>
      <c r="E46" s="22" t="n">
        <v>2</v>
      </c>
      <c r="F46" s="22" t="n">
        <v>2</v>
      </c>
      <c r="G46" s="22" t="n">
        <v>3</v>
      </c>
      <c r="H46" s="22" t="n">
        <v>3</v>
      </c>
      <c r="I46" s="22" t="n">
        <v>3</v>
      </c>
      <c r="J46" s="22" t="n">
        <v>3</v>
      </c>
      <c r="K46" s="22" t="n">
        <v>3</v>
      </c>
      <c r="L46" s="22" t="n">
        <v>3</v>
      </c>
      <c r="M46" s="22" t="n">
        <v>3</v>
      </c>
      <c r="N46" s="7" t="n">
        <f aca="false">$B46</f>
        <v>2</v>
      </c>
      <c r="O46" s="7" t="n">
        <f aca="false">$B46</f>
        <v>2</v>
      </c>
      <c r="P46" s="7" t="n">
        <f aca="false">$B46</f>
        <v>2</v>
      </c>
      <c r="Q46" s="7" t="n">
        <f aca="false">$B46</f>
        <v>2</v>
      </c>
      <c r="R46" s="7" t="n">
        <f aca="false">$B46</f>
        <v>2</v>
      </c>
      <c r="S46" s="7" t="n">
        <f aca="false">$C46</f>
        <v>2</v>
      </c>
      <c r="T46" s="7" t="n">
        <f aca="false">$C46</f>
        <v>2</v>
      </c>
      <c r="U46" s="7" t="n">
        <f aca="false">$C46</f>
        <v>2</v>
      </c>
      <c r="V46" s="7" t="n">
        <f aca="false">$C46</f>
        <v>2</v>
      </c>
      <c r="W46" s="7" t="n">
        <f aca="false">$D46</f>
        <v>2</v>
      </c>
      <c r="X46" s="7" t="n">
        <f aca="false">$D46</f>
        <v>2</v>
      </c>
      <c r="Y46" s="7" t="n">
        <f aca="false">$D46</f>
        <v>2</v>
      </c>
      <c r="Z46" s="7" t="n">
        <f aca="false">$D46</f>
        <v>2</v>
      </c>
      <c r="AA46" s="7" t="n">
        <f aca="false">$E46</f>
        <v>2</v>
      </c>
      <c r="AB46" s="7" t="n">
        <f aca="false">$E46</f>
        <v>2</v>
      </c>
      <c r="AC46" s="7" t="n">
        <f aca="false">$E46</f>
        <v>2</v>
      </c>
      <c r="AD46" s="7" t="n">
        <f aca="false">$E46</f>
        <v>2</v>
      </c>
      <c r="AE46" s="7" t="n">
        <f aca="false">$E46</f>
        <v>2</v>
      </c>
      <c r="AF46" s="7" t="n">
        <f aca="false">$F46</f>
        <v>2</v>
      </c>
      <c r="AG46" s="7" t="n">
        <f aca="false">$F46</f>
        <v>2</v>
      </c>
      <c r="AH46" s="7" t="n">
        <f aca="false">$F46</f>
        <v>2</v>
      </c>
      <c r="AI46" s="7" t="n">
        <f aca="false">$F46</f>
        <v>2</v>
      </c>
      <c r="AJ46" s="7" t="n">
        <f aca="false">$G46</f>
        <v>3</v>
      </c>
      <c r="AK46" s="7" t="n">
        <f aca="false">$G46</f>
        <v>3</v>
      </c>
      <c r="AL46" s="7" t="n">
        <f aca="false">$G46</f>
        <v>3</v>
      </c>
      <c r="AM46" s="7" t="n">
        <f aca="false">$G46</f>
        <v>3</v>
      </c>
      <c r="AN46" s="7" t="n">
        <f aca="false">$H46</f>
        <v>3</v>
      </c>
      <c r="AO46" s="7" t="n">
        <f aca="false">$H46</f>
        <v>3</v>
      </c>
      <c r="AP46" s="7" t="n">
        <f aca="false">$H46</f>
        <v>3</v>
      </c>
      <c r="AQ46" s="7" t="n">
        <f aca="false">$H46</f>
        <v>3</v>
      </c>
      <c r="AR46" s="7" t="n">
        <f aca="false">$H46</f>
        <v>3</v>
      </c>
      <c r="AS46" s="7" t="n">
        <f aca="false">$I46</f>
        <v>3</v>
      </c>
      <c r="AT46" s="7" t="n">
        <f aca="false">$I46</f>
        <v>3</v>
      </c>
      <c r="AU46" s="7" t="n">
        <f aca="false">$I46</f>
        <v>3</v>
      </c>
      <c r="AV46" s="7" t="n">
        <f aca="false">$I46</f>
        <v>3</v>
      </c>
      <c r="AW46" s="7" t="n">
        <f aca="false">$J46</f>
        <v>3</v>
      </c>
      <c r="AX46" s="7" t="n">
        <f aca="false">$J46</f>
        <v>3</v>
      </c>
      <c r="AY46" s="7" t="n">
        <f aca="false">$J46</f>
        <v>3</v>
      </c>
      <c r="AZ46" s="7" t="n">
        <f aca="false">$J46</f>
        <v>3</v>
      </c>
      <c r="BA46" s="7" t="n">
        <f aca="false">$K46</f>
        <v>3</v>
      </c>
      <c r="BB46" s="7" t="n">
        <f aca="false">$K46</f>
        <v>3</v>
      </c>
      <c r="BC46" s="7" t="n">
        <f aca="false">$K46</f>
        <v>3</v>
      </c>
      <c r="BD46" s="7" t="n">
        <f aca="false">$K46</f>
        <v>3</v>
      </c>
      <c r="BE46" s="7" t="n">
        <f aca="false">$K46</f>
        <v>3</v>
      </c>
      <c r="BF46" s="7" t="n">
        <f aca="false">$L46</f>
        <v>3</v>
      </c>
      <c r="BG46" s="7" t="n">
        <f aca="false">$L46</f>
        <v>3</v>
      </c>
      <c r="BH46" s="7" t="n">
        <f aca="false">$L46</f>
        <v>3</v>
      </c>
      <c r="BI46" s="7" t="n">
        <f aca="false">$L46</f>
        <v>3</v>
      </c>
      <c r="BJ46" s="7" t="n">
        <f aca="false">$M46</f>
        <v>3</v>
      </c>
      <c r="BK46" s="7" t="n">
        <f aca="false">$M46</f>
        <v>3</v>
      </c>
      <c r="BL46" s="7" t="n">
        <f aca="false">$M46</f>
        <v>3</v>
      </c>
      <c r="BM46" s="7" t="n">
        <f aca="false">$M46</f>
        <v>3</v>
      </c>
    </row>
    <row r="47" customFormat="false" ht="15" hidden="false" customHeight="false" outlineLevel="0" collapsed="false">
      <c r="A47" s="0" t="s">
        <v>127</v>
      </c>
      <c r="B47" s="22" t="n">
        <v>1</v>
      </c>
      <c r="C47" s="22" t="n">
        <v>1</v>
      </c>
      <c r="D47" s="22" t="n">
        <v>1</v>
      </c>
      <c r="E47" s="22" t="n">
        <v>1</v>
      </c>
      <c r="F47" s="22" t="n">
        <v>1</v>
      </c>
      <c r="G47" s="22" t="n">
        <v>1</v>
      </c>
      <c r="H47" s="22" t="n">
        <v>2</v>
      </c>
      <c r="I47" s="22" t="n">
        <v>2</v>
      </c>
      <c r="J47" s="22" t="n">
        <v>2</v>
      </c>
      <c r="K47" s="22" t="n">
        <v>2</v>
      </c>
      <c r="L47" s="22" t="n">
        <v>2</v>
      </c>
      <c r="M47" s="22" t="n">
        <v>2</v>
      </c>
      <c r="N47" s="7" t="n">
        <f aca="false">$B47</f>
        <v>1</v>
      </c>
      <c r="O47" s="7" t="n">
        <f aca="false">$B47</f>
        <v>1</v>
      </c>
      <c r="P47" s="7" t="n">
        <f aca="false">$B47</f>
        <v>1</v>
      </c>
      <c r="Q47" s="7" t="n">
        <f aca="false">$B47</f>
        <v>1</v>
      </c>
      <c r="R47" s="7" t="n">
        <f aca="false">$B47</f>
        <v>1</v>
      </c>
      <c r="S47" s="7" t="n">
        <f aca="false">$C47</f>
        <v>1</v>
      </c>
      <c r="T47" s="7" t="n">
        <f aca="false">$C47</f>
        <v>1</v>
      </c>
      <c r="U47" s="7" t="n">
        <f aca="false">$C47</f>
        <v>1</v>
      </c>
      <c r="V47" s="7" t="n">
        <f aca="false">$C47</f>
        <v>1</v>
      </c>
      <c r="W47" s="7" t="n">
        <f aca="false">$D47</f>
        <v>1</v>
      </c>
      <c r="X47" s="7" t="n">
        <f aca="false">$D47</f>
        <v>1</v>
      </c>
      <c r="Y47" s="7" t="n">
        <f aca="false">$D47</f>
        <v>1</v>
      </c>
      <c r="Z47" s="7" t="n">
        <f aca="false">$D47</f>
        <v>1</v>
      </c>
      <c r="AA47" s="7" t="n">
        <f aca="false">$E47</f>
        <v>1</v>
      </c>
      <c r="AB47" s="7" t="n">
        <f aca="false">$E47</f>
        <v>1</v>
      </c>
      <c r="AC47" s="7" t="n">
        <f aca="false">$E47</f>
        <v>1</v>
      </c>
      <c r="AD47" s="7" t="n">
        <f aca="false">$E47</f>
        <v>1</v>
      </c>
      <c r="AE47" s="7" t="n">
        <f aca="false">$E47</f>
        <v>1</v>
      </c>
      <c r="AF47" s="7" t="n">
        <f aca="false">$F47</f>
        <v>1</v>
      </c>
      <c r="AG47" s="7" t="n">
        <f aca="false">$F47</f>
        <v>1</v>
      </c>
      <c r="AH47" s="7" t="n">
        <f aca="false">$F47</f>
        <v>1</v>
      </c>
      <c r="AI47" s="7" t="n">
        <f aca="false">$F47</f>
        <v>1</v>
      </c>
      <c r="AJ47" s="7" t="n">
        <f aca="false">$G47</f>
        <v>1</v>
      </c>
      <c r="AK47" s="7" t="n">
        <f aca="false">$G47</f>
        <v>1</v>
      </c>
      <c r="AL47" s="7" t="n">
        <f aca="false">$G47</f>
        <v>1</v>
      </c>
      <c r="AM47" s="7" t="n">
        <f aca="false">$G47</f>
        <v>1</v>
      </c>
      <c r="AN47" s="7" t="n">
        <f aca="false">$H47</f>
        <v>2</v>
      </c>
      <c r="AO47" s="7" t="n">
        <f aca="false">$H47</f>
        <v>2</v>
      </c>
      <c r="AP47" s="7" t="n">
        <f aca="false">$H47</f>
        <v>2</v>
      </c>
      <c r="AQ47" s="7" t="n">
        <f aca="false">$H47</f>
        <v>2</v>
      </c>
      <c r="AR47" s="7" t="n">
        <f aca="false">$H47</f>
        <v>2</v>
      </c>
      <c r="AS47" s="7" t="n">
        <f aca="false">$I47</f>
        <v>2</v>
      </c>
      <c r="AT47" s="7" t="n">
        <f aca="false">$I47</f>
        <v>2</v>
      </c>
      <c r="AU47" s="7" t="n">
        <f aca="false">$I47</f>
        <v>2</v>
      </c>
      <c r="AV47" s="7" t="n">
        <f aca="false">$I47</f>
        <v>2</v>
      </c>
      <c r="AW47" s="7" t="n">
        <f aca="false">$J47</f>
        <v>2</v>
      </c>
      <c r="AX47" s="7" t="n">
        <f aca="false">$J47</f>
        <v>2</v>
      </c>
      <c r="AY47" s="7" t="n">
        <f aca="false">$J47</f>
        <v>2</v>
      </c>
      <c r="AZ47" s="7" t="n">
        <f aca="false">$J47</f>
        <v>2</v>
      </c>
      <c r="BA47" s="7" t="n">
        <f aca="false">$K47</f>
        <v>2</v>
      </c>
      <c r="BB47" s="7" t="n">
        <f aca="false">$K47</f>
        <v>2</v>
      </c>
      <c r="BC47" s="7" t="n">
        <f aca="false">$K47</f>
        <v>2</v>
      </c>
      <c r="BD47" s="7" t="n">
        <f aca="false">$K47</f>
        <v>2</v>
      </c>
      <c r="BE47" s="7" t="n">
        <f aca="false">$K47</f>
        <v>2</v>
      </c>
      <c r="BF47" s="7" t="n">
        <f aca="false">$L47</f>
        <v>2</v>
      </c>
      <c r="BG47" s="7" t="n">
        <f aca="false">$L47</f>
        <v>2</v>
      </c>
      <c r="BH47" s="7" t="n">
        <f aca="false">$L47</f>
        <v>2</v>
      </c>
      <c r="BI47" s="7" t="n">
        <f aca="false">$L47</f>
        <v>2</v>
      </c>
      <c r="BJ47" s="7" t="n">
        <f aca="false">$M47</f>
        <v>2</v>
      </c>
      <c r="BK47" s="7" t="n">
        <f aca="false">$M47</f>
        <v>2</v>
      </c>
      <c r="BL47" s="7" t="n">
        <f aca="false">$M47</f>
        <v>2</v>
      </c>
      <c r="BM47" s="7" t="n">
        <f aca="false">$M47</f>
        <v>2</v>
      </c>
    </row>
    <row r="48" customFormat="false" ht="15" hidden="false" customHeight="false" outlineLevel="0" collapsed="false">
      <c r="A48" s="0" t="s">
        <v>128</v>
      </c>
      <c r="B48" s="22" t="n">
        <v>0</v>
      </c>
      <c r="C48" s="22" t="n">
        <v>0</v>
      </c>
      <c r="D48" s="22" t="n">
        <v>0</v>
      </c>
      <c r="E48" s="22" t="n">
        <v>0</v>
      </c>
      <c r="F48" s="22" t="n">
        <v>0</v>
      </c>
      <c r="G48" s="22" t="n">
        <v>1</v>
      </c>
      <c r="H48" s="22" t="n">
        <v>1</v>
      </c>
      <c r="I48" s="22" t="n">
        <v>1</v>
      </c>
      <c r="J48" s="22" t="n">
        <v>1</v>
      </c>
      <c r="K48" s="22" t="n">
        <v>1</v>
      </c>
      <c r="L48" s="22" t="n">
        <v>1</v>
      </c>
      <c r="M48" s="22" t="n">
        <v>1</v>
      </c>
      <c r="N48" s="7" t="n">
        <f aca="false">$B48</f>
        <v>0</v>
      </c>
      <c r="O48" s="7" t="n">
        <f aca="false">$B48</f>
        <v>0</v>
      </c>
      <c r="P48" s="7" t="n">
        <f aca="false">$B48</f>
        <v>0</v>
      </c>
      <c r="Q48" s="7" t="n">
        <f aca="false">$B48</f>
        <v>0</v>
      </c>
      <c r="R48" s="7" t="n">
        <f aca="false">$B48</f>
        <v>0</v>
      </c>
      <c r="S48" s="7" t="n">
        <f aca="false">$C48</f>
        <v>0</v>
      </c>
      <c r="T48" s="7" t="n">
        <f aca="false">$C48</f>
        <v>0</v>
      </c>
      <c r="U48" s="7" t="n">
        <f aca="false">$C48</f>
        <v>0</v>
      </c>
      <c r="V48" s="7" t="n">
        <f aca="false">$C48</f>
        <v>0</v>
      </c>
      <c r="W48" s="7" t="n">
        <f aca="false">$D48</f>
        <v>0</v>
      </c>
      <c r="X48" s="7" t="n">
        <f aca="false">$D48</f>
        <v>0</v>
      </c>
      <c r="Y48" s="7" t="n">
        <f aca="false">$D48</f>
        <v>0</v>
      </c>
      <c r="Z48" s="7" t="n">
        <f aca="false">$D48</f>
        <v>0</v>
      </c>
      <c r="AA48" s="7" t="n">
        <f aca="false">$E48</f>
        <v>0</v>
      </c>
      <c r="AB48" s="7" t="n">
        <f aca="false">$E48</f>
        <v>0</v>
      </c>
      <c r="AC48" s="7" t="n">
        <f aca="false">$E48</f>
        <v>0</v>
      </c>
      <c r="AD48" s="7" t="n">
        <f aca="false">$E48</f>
        <v>0</v>
      </c>
      <c r="AE48" s="7" t="n">
        <f aca="false">$E48</f>
        <v>0</v>
      </c>
      <c r="AF48" s="7" t="n">
        <f aca="false">$F48</f>
        <v>0</v>
      </c>
      <c r="AG48" s="7" t="n">
        <f aca="false">$F48</f>
        <v>0</v>
      </c>
      <c r="AH48" s="7" t="n">
        <f aca="false">$F48</f>
        <v>0</v>
      </c>
      <c r="AI48" s="7" t="n">
        <f aca="false">$F48</f>
        <v>0</v>
      </c>
      <c r="AJ48" s="7" t="n">
        <f aca="false">$G48</f>
        <v>1</v>
      </c>
      <c r="AK48" s="7" t="n">
        <f aca="false">$G48</f>
        <v>1</v>
      </c>
      <c r="AL48" s="7" t="n">
        <f aca="false">$G48</f>
        <v>1</v>
      </c>
      <c r="AM48" s="7" t="n">
        <f aca="false">$G48</f>
        <v>1</v>
      </c>
      <c r="AN48" s="7" t="n">
        <f aca="false">$H48</f>
        <v>1</v>
      </c>
      <c r="AO48" s="7" t="n">
        <f aca="false">$H48</f>
        <v>1</v>
      </c>
      <c r="AP48" s="7" t="n">
        <f aca="false">$H48</f>
        <v>1</v>
      </c>
      <c r="AQ48" s="7" t="n">
        <f aca="false">$H48</f>
        <v>1</v>
      </c>
      <c r="AR48" s="7" t="n">
        <f aca="false">$H48</f>
        <v>1</v>
      </c>
      <c r="AS48" s="7" t="n">
        <f aca="false">$I48</f>
        <v>1</v>
      </c>
      <c r="AT48" s="7" t="n">
        <f aca="false">$I48</f>
        <v>1</v>
      </c>
      <c r="AU48" s="7" t="n">
        <f aca="false">$I48</f>
        <v>1</v>
      </c>
      <c r="AV48" s="7" t="n">
        <f aca="false">$I48</f>
        <v>1</v>
      </c>
      <c r="AW48" s="7" t="n">
        <f aca="false">$J48</f>
        <v>1</v>
      </c>
      <c r="AX48" s="7" t="n">
        <f aca="false">$J48</f>
        <v>1</v>
      </c>
      <c r="AY48" s="7" t="n">
        <f aca="false">$J48</f>
        <v>1</v>
      </c>
      <c r="AZ48" s="7" t="n">
        <f aca="false">$J48</f>
        <v>1</v>
      </c>
      <c r="BA48" s="7" t="n">
        <f aca="false">$K48</f>
        <v>1</v>
      </c>
      <c r="BB48" s="7" t="n">
        <f aca="false">$K48</f>
        <v>1</v>
      </c>
      <c r="BC48" s="7" t="n">
        <f aca="false">$K48</f>
        <v>1</v>
      </c>
      <c r="BD48" s="7" t="n">
        <f aca="false">$K48</f>
        <v>1</v>
      </c>
      <c r="BE48" s="7" t="n">
        <f aca="false">$K48</f>
        <v>1</v>
      </c>
      <c r="BF48" s="7" t="n">
        <f aca="false">$L48</f>
        <v>1</v>
      </c>
      <c r="BG48" s="7" t="n">
        <f aca="false">$L48</f>
        <v>1</v>
      </c>
      <c r="BH48" s="7" t="n">
        <f aca="false">$L48</f>
        <v>1</v>
      </c>
      <c r="BI48" s="7" t="n">
        <f aca="false">$L48</f>
        <v>1</v>
      </c>
      <c r="BJ48" s="7" t="n">
        <f aca="false">$M48</f>
        <v>1</v>
      </c>
      <c r="BK48" s="7" t="n">
        <f aca="false">$M48</f>
        <v>1</v>
      </c>
      <c r="BL48" s="7" t="n">
        <f aca="false">$M48</f>
        <v>1</v>
      </c>
      <c r="BM48" s="7" t="n">
        <f aca="false">$M48</f>
        <v>1</v>
      </c>
    </row>
    <row r="49" customFormat="false" ht="15" hidden="false" customHeight="false" outlineLevel="0" collapsed="false">
      <c r="A49" s="0" t="s">
        <v>129</v>
      </c>
      <c r="B49" s="22" t="n">
        <v>0</v>
      </c>
      <c r="C49" s="22" t="n">
        <v>0</v>
      </c>
      <c r="D49" s="22" t="n">
        <v>0</v>
      </c>
      <c r="E49" s="22" t="n">
        <v>0</v>
      </c>
      <c r="F49" s="22" t="n">
        <v>0</v>
      </c>
      <c r="G49" s="22" t="n">
        <v>1</v>
      </c>
      <c r="H49" s="22" t="n">
        <v>1</v>
      </c>
      <c r="I49" s="22" t="n">
        <v>1</v>
      </c>
      <c r="J49" s="22" t="n">
        <v>1</v>
      </c>
      <c r="K49" s="22" t="n">
        <v>1</v>
      </c>
      <c r="L49" s="22" t="n">
        <v>1</v>
      </c>
      <c r="M49" s="22" t="n">
        <v>1</v>
      </c>
      <c r="N49" s="7" t="n">
        <f aca="false">$B49</f>
        <v>0</v>
      </c>
      <c r="O49" s="7" t="n">
        <f aca="false">$B49</f>
        <v>0</v>
      </c>
      <c r="P49" s="7" t="n">
        <f aca="false">$B49</f>
        <v>0</v>
      </c>
      <c r="Q49" s="7" t="n">
        <f aca="false">$B49</f>
        <v>0</v>
      </c>
      <c r="R49" s="7" t="n">
        <f aca="false">$B49</f>
        <v>0</v>
      </c>
      <c r="S49" s="7" t="n">
        <f aca="false">$C49</f>
        <v>0</v>
      </c>
      <c r="T49" s="7" t="n">
        <f aca="false">$C49</f>
        <v>0</v>
      </c>
      <c r="U49" s="7" t="n">
        <f aca="false">$C49</f>
        <v>0</v>
      </c>
      <c r="V49" s="7" t="n">
        <f aca="false">$C49</f>
        <v>0</v>
      </c>
      <c r="W49" s="7" t="n">
        <f aca="false">$D49</f>
        <v>0</v>
      </c>
      <c r="X49" s="7" t="n">
        <f aca="false">$D49</f>
        <v>0</v>
      </c>
      <c r="Y49" s="7" t="n">
        <f aca="false">$D49</f>
        <v>0</v>
      </c>
      <c r="Z49" s="7" t="n">
        <f aca="false">$D49</f>
        <v>0</v>
      </c>
      <c r="AA49" s="7" t="n">
        <f aca="false">$E49</f>
        <v>0</v>
      </c>
      <c r="AB49" s="7" t="n">
        <f aca="false">$E49</f>
        <v>0</v>
      </c>
      <c r="AC49" s="7" t="n">
        <f aca="false">$E49</f>
        <v>0</v>
      </c>
      <c r="AD49" s="7" t="n">
        <f aca="false">$E49</f>
        <v>0</v>
      </c>
      <c r="AE49" s="7" t="n">
        <f aca="false">$E49</f>
        <v>0</v>
      </c>
      <c r="AF49" s="7" t="n">
        <f aca="false">$F49</f>
        <v>0</v>
      </c>
      <c r="AG49" s="7" t="n">
        <f aca="false">$F49</f>
        <v>0</v>
      </c>
      <c r="AH49" s="7" t="n">
        <f aca="false">$F49</f>
        <v>0</v>
      </c>
      <c r="AI49" s="7" t="n">
        <f aca="false">$F49</f>
        <v>0</v>
      </c>
      <c r="AJ49" s="7" t="n">
        <f aca="false">$G49</f>
        <v>1</v>
      </c>
      <c r="AK49" s="7" t="n">
        <f aca="false">$G49</f>
        <v>1</v>
      </c>
      <c r="AL49" s="7" t="n">
        <f aca="false">$G49</f>
        <v>1</v>
      </c>
      <c r="AM49" s="7" t="n">
        <f aca="false">$G49</f>
        <v>1</v>
      </c>
      <c r="AN49" s="7" t="n">
        <f aca="false">$H49</f>
        <v>1</v>
      </c>
      <c r="AO49" s="7" t="n">
        <f aca="false">$H49</f>
        <v>1</v>
      </c>
      <c r="AP49" s="7" t="n">
        <f aca="false">$H49</f>
        <v>1</v>
      </c>
      <c r="AQ49" s="7" t="n">
        <f aca="false">$H49</f>
        <v>1</v>
      </c>
      <c r="AR49" s="7" t="n">
        <f aca="false">$H49</f>
        <v>1</v>
      </c>
      <c r="AS49" s="7" t="n">
        <f aca="false">$I49</f>
        <v>1</v>
      </c>
      <c r="AT49" s="7" t="n">
        <f aca="false">$I49</f>
        <v>1</v>
      </c>
      <c r="AU49" s="7" t="n">
        <f aca="false">$I49</f>
        <v>1</v>
      </c>
      <c r="AV49" s="7" t="n">
        <f aca="false">$I49</f>
        <v>1</v>
      </c>
      <c r="AW49" s="7" t="n">
        <f aca="false">$J49</f>
        <v>1</v>
      </c>
      <c r="AX49" s="7" t="n">
        <f aca="false">$J49</f>
        <v>1</v>
      </c>
      <c r="AY49" s="7" t="n">
        <f aca="false">$J49</f>
        <v>1</v>
      </c>
      <c r="AZ49" s="7" t="n">
        <f aca="false">$J49</f>
        <v>1</v>
      </c>
      <c r="BA49" s="7" t="n">
        <f aca="false">$K49</f>
        <v>1</v>
      </c>
      <c r="BB49" s="7" t="n">
        <f aca="false">$K49</f>
        <v>1</v>
      </c>
      <c r="BC49" s="7" t="n">
        <f aca="false">$K49</f>
        <v>1</v>
      </c>
      <c r="BD49" s="7" t="n">
        <f aca="false">$K49</f>
        <v>1</v>
      </c>
      <c r="BE49" s="7" t="n">
        <f aca="false">$K49</f>
        <v>1</v>
      </c>
      <c r="BF49" s="7" t="n">
        <f aca="false">$L49</f>
        <v>1</v>
      </c>
      <c r="BG49" s="7" t="n">
        <f aca="false">$L49</f>
        <v>1</v>
      </c>
      <c r="BH49" s="7" t="n">
        <f aca="false">$L49</f>
        <v>1</v>
      </c>
      <c r="BI49" s="7" t="n">
        <f aca="false">$L49</f>
        <v>1</v>
      </c>
      <c r="BJ49" s="7" t="n">
        <f aca="false">$M49</f>
        <v>1</v>
      </c>
      <c r="BK49" s="7" t="n">
        <f aca="false">$M49</f>
        <v>1</v>
      </c>
      <c r="BL49" s="7" t="n">
        <f aca="false">$M49</f>
        <v>1</v>
      </c>
      <c r="BM49" s="7" t="n">
        <f aca="false">$M49</f>
        <v>1</v>
      </c>
    </row>
    <row r="50" customFormat="false" ht="15" hidden="false" customHeight="false" outlineLevel="0" collapsed="false">
      <c r="A50" s="0" t="s">
        <v>130</v>
      </c>
      <c r="B50" s="22" t="n">
        <v>1</v>
      </c>
      <c r="C50" s="22" t="n">
        <v>1</v>
      </c>
      <c r="D50" s="22" t="n">
        <v>1</v>
      </c>
      <c r="E50" s="22" t="n">
        <v>1</v>
      </c>
      <c r="F50" s="22" t="n">
        <v>1</v>
      </c>
      <c r="G50" s="22" t="n">
        <v>1</v>
      </c>
      <c r="H50" s="22" t="n">
        <v>2</v>
      </c>
      <c r="I50" s="22" t="n">
        <v>2</v>
      </c>
      <c r="J50" s="22" t="n">
        <v>2</v>
      </c>
      <c r="K50" s="22" t="n">
        <v>2</v>
      </c>
      <c r="L50" s="22" t="n">
        <v>2</v>
      </c>
      <c r="M50" s="22" t="n">
        <v>2</v>
      </c>
      <c r="N50" s="7" t="n">
        <f aca="false">$B50</f>
        <v>1</v>
      </c>
      <c r="O50" s="7" t="n">
        <f aca="false">$B50</f>
        <v>1</v>
      </c>
      <c r="P50" s="7" t="n">
        <f aca="false">$B50</f>
        <v>1</v>
      </c>
      <c r="Q50" s="7" t="n">
        <f aca="false">$B50</f>
        <v>1</v>
      </c>
      <c r="R50" s="7" t="n">
        <f aca="false">$B50</f>
        <v>1</v>
      </c>
      <c r="S50" s="7" t="n">
        <f aca="false">$C50</f>
        <v>1</v>
      </c>
      <c r="T50" s="7" t="n">
        <f aca="false">$C50</f>
        <v>1</v>
      </c>
      <c r="U50" s="7" t="n">
        <f aca="false">$C50</f>
        <v>1</v>
      </c>
      <c r="V50" s="7" t="n">
        <f aca="false">$C50</f>
        <v>1</v>
      </c>
      <c r="W50" s="7" t="n">
        <f aca="false">$D50</f>
        <v>1</v>
      </c>
      <c r="X50" s="7" t="n">
        <f aca="false">$D50</f>
        <v>1</v>
      </c>
      <c r="Y50" s="7" t="n">
        <f aca="false">$D50</f>
        <v>1</v>
      </c>
      <c r="Z50" s="7" t="n">
        <f aca="false">$D50</f>
        <v>1</v>
      </c>
      <c r="AA50" s="7" t="n">
        <f aca="false">$E50</f>
        <v>1</v>
      </c>
      <c r="AB50" s="7" t="n">
        <f aca="false">$E50</f>
        <v>1</v>
      </c>
      <c r="AC50" s="7" t="n">
        <f aca="false">$E50</f>
        <v>1</v>
      </c>
      <c r="AD50" s="7" t="n">
        <f aca="false">$E50</f>
        <v>1</v>
      </c>
      <c r="AE50" s="7" t="n">
        <f aca="false">$E50</f>
        <v>1</v>
      </c>
      <c r="AF50" s="7" t="n">
        <f aca="false">$F50</f>
        <v>1</v>
      </c>
      <c r="AG50" s="7" t="n">
        <f aca="false">$F50</f>
        <v>1</v>
      </c>
      <c r="AH50" s="7" t="n">
        <f aca="false">$F50</f>
        <v>1</v>
      </c>
      <c r="AI50" s="7" t="n">
        <f aca="false">$F50</f>
        <v>1</v>
      </c>
      <c r="AJ50" s="7" t="n">
        <f aca="false">$G50</f>
        <v>1</v>
      </c>
      <c r="AK50" s="7" t="n">
        <f aca="false">$G50</f>
        <v>1</v>
      </c>
      <c r="AL50" s="7" t="n">
        <f aca="false">$G50</f>
        <v>1</v>
      </c>
      <c r="AM50" s="7" t="n">
        <f aca="false">$G50</f>
        <v>1</v>
      </c>
      <c r="AN50" s="7" t="n">
        <f aca="false">$H50</f>
        <v>2</v>
      </c>
      <c r="AO50" s="7" t="n">
        <f aca="false">$H50</f>
        <v>2</v>
      </c>
      <c r="AP50" s="7" t="n">
        <f aca="false">$H50</f>
        <v>2</v>
      </c>
      <c r="AQ50" s="7" t="n">
        <f aca="false">$H50</f>
        <v>2</v>
      </c>
      <c r="AR50" s="7" t="n">
        <f aca="false">$H50</f>
        <v>2</v>
      </c>
      <c r="AS50" s="7" t="n">
        <f aca="false">$I50</f>
        <v>2</v>
      </c>
      <c r="AT50" s="7" t="n">
        <f aca="false">$I50</f>
        <v>2</v>
      </c>
      <c r="AU50" s="7" t="n">
        <f aca="false">$I50</f>
        <v>2</v>
      </c>
      <c r="AV50" s="7" t="n">
        <f aca="false">$I50</f>
        <v>2</v>
      </c>
      <c r="AW50" s="7" t="n">
        <f aca="false">$J50</f>
        <v>2</v>
      </c>
      <c r="AX50" s="7" t="n">
        <f aca="false">$J50</f>
        <v>2</v>
      </c>
      <c r="AY50" s="7" t="n">
        <f aca="false">$J50</f>
        <v>2</v>
      </c>
      <c r="AZ50" s="7" t="n">
        <f aca="false">$J50</f>
        <v>2</v>
      </c>
      <c r="BA50" s="7" t="n">
        <f aca="false">$K50</f>
        <v>2</v>
      </c>
      <c r="BB50" s="7" t="n">
        <f aca="false">$K50</f>
        <v>2</v>
      </c>
      <c r="BC50" s="7" t="n">
        <f aca="false">$K50</f>
        <v>2</v>
      </c>
      <c r="BD50" s="7" t="n">
        <f aca="false">$K50</f>
        <v>2</v>
      </c>
      <c r="BE50" s="7" t="n">
        <f aca="false">$K50</f>
        <v>2</v>
      </c>
      <c r="BF50" s="7" t="n">
        <f aca="false">$L50</f>
        <v>2</v>
      </c>
      <c r="BG50" s="7" t="n">
        <f aca="false">$L50</f>
        <v>2</v>
      </c>
      <c r="BH50" s="7" t="n">
        <f aca="false">$L50</f>
        <v>2</v>
      </c>
      <c r="BI50" s="7" t="n">
        <f aca="false">$L50</f>
        <v>2</v>
      </c>
      <c r="BJ50" s="7" t="n">
        <f aca="false">$M50</f>
        <v>2</v>
      </c>
      <c r="BK50" s="7" t="n">
        <f aca="false">$M50</f>
        <v>2</v>
      </c>
      <c r="BL50" s="7" t="n">
        <f aca="false">$M50</f>
        <v>2</v>
      </c>
      <c r="BM50" s="7" t="n">
        <f aca="false">$M50</f>
        <v>2</v>
      </c>
    </row>
    <row r="51" customFormat="false" ht="15" hidden="false" customHeight="false" outlineLevel="0" collapsed="false">
      <c r="A51" s="0" t="s">
        <v>131</v>
      </c>
      <c r="B51" s="22" t="n">
        <v>1</v>
      </c>
      <c r="C51" s="22" t="n">
        <v>1</v>
      </c>
      <c r="D51" s="22" t="n">
        <v>1</v>
      </c>
      <c r="E51" s="22" t="n">
        <v>1</v>
      </c>
      <c r="F51" s="22" t="n">
        <v>1</v>
      </c>
      <c r="G51" s="22" t="n">
        <v>1</v>
      </c>
      <c r="H51" s="22" t="n">
        <v>1</v>
      </c>
      <c r="I51" s="22" t="n">
        <v>1</v>
      </c>
      <c r="J51" s="22" t="n">
        <v>2</v>
      </c>
      <c r="K51" s="22" t="n">
        <v>2</v>
      </c>
      <c r="L51" s="22" t="n">
        <v>2</v>
      </c>
      <c r="M51" s="22" t="n">
        <v>2</v>
      </c>
      <c r="N51" s="7" t="n">
        <f aca="false">$B51</f>
        <v>1</v>
      </c>
      <c r="O51" s="7" t="n">
        <f aca="false">$B51</f>
        <v>1</v>
      </c>
      <c r="P51" s="7" t="n">
        <f aca="false">$B51</f>
        <v>1</v>
      </c>
      <c r="Q51" s="7" t="n">
        <f aca="false">$B51</f>
        <v>1</v>
      </c>
      <c r="R51" s="7" t="n">
        <f aca="false">$B51</f>
        <v>1</v>
      </c>
      <c r="S51" s="7" t="n">
        <f aca="false">$C51</f>
        <v>1</v>
      </c>
      <c r="T51" s="7" t="n">
        <f aca="false">$C51</f>
        <v>1</v>
      </c>
      <c r="U51" s="7" t="n">
        <f aca="false">$C51</f>
        <v>1</v>
      </c>
      <c r="V51" s="7" t="n">
        <f aca="false">$C51</f>
        <v>1</v>
      </c>
      <c r="W51" s="7" t="n">
        <f aca="false">$D51</f>
        <v>1</v>
      </c>
      <c r="X51" s="7" t="n">
        <f aca="false">$D51</f>
        <v>1</v>
      </c>
      <c r="Y51" s="7" t="n">
        <f aca="false">$D51</f>
        <v>1</v>
      </c>
      <c r="Z51" s="7" t="n">
        <f aca="false">$D51</f>
        <v>1</v>
      </c>
      <c r="AA51" s="7" t="n">
        <f aca="false">$E51</f>
        <v>1</v>
      </c>
      <c r="AB51" s="7" t="n">
        <f aca="false">$E51</f>
        <v>1</v>
      </c>
      <c r="AC51" s="7" t="n">
        <f aca="false">$E51</f>
        <v>1</v>
      </c>
      <c r="AD51" s="7" t="n">
        <f aca="false">$E51</f>
        <v>1</v>
      </c>
      <c r="AE51" s="7" t="n">
        <f aca="false">$E51</f>
        <v>1</v>
      </c>
      <c r="AF51" s="7" t="n">
        <f aca="false">$F51</f>
        <v>1</v>
      </c>
      <c r="AG51" s="7" t="n">
        <f aca="false">$F51</f>
        <v>1</v>
      </c>
      <c r="AH51" s="7" t="n">
        <f aca="false">$F51</f>
        <v>1</v>
      </c>
      <c r="AI51" s="7" t="n">
        <f aca="false">$F51</f>
        <v>1</v>
      </c>
      <c r="AJ51" s="7" t="n">
        <f aca="false">$G51</f>
        <v>1</v>
      </c>
      <c r="AK51" s="7" t="n">
        <f aca="false">$G51</f>
        <v>1</v>
      </c>
      <c r="AL51" s="7" t="n">
        <f aca="false">$G51</f>
        <v>1</v>
      </c>
      <c r="AM51" s="7" t="n">
        <f aca="false">$G51</f>
        <v>1</v>
      </c>
      <c r="AN51" s="7" t="n">
        <f aca="false">$H51</f>
        <v>1</v>
      </c>
      <c r="AO51" s="7" t="n">
        <f aca="false">$H51</f>
        <v>1</v>
      </c>
      <c r="AP51" s="7" t="n">
        <f aca="false">$H51</f>
        <v>1</v>
      </c>
      <c r="AQ51" s="7" t="n">
        <f aca="false">$H51</f>
        <v>1</v>
      </c>
      <c r="AR51" s="7" t="n">
        <f aca="false">$H51</f>
        <v>1</v>
      </c>
      <c r="AS51" s="7" t="n">
        <f aca="false">$I51</f>
        <v>1</v>
      </c>
      <c r="AT51" s="7" t="n">
        <f aca="false">$I51</f>
        <v>1</v>
      </c>
      <c r="AU51" s="7" t="n">
        <f aca="false">$I51</f>
        <v>1</v>
      </c>
      <c r="AV51" s="7" t="n">
        <f aca="false">$I51</f>
        <v>1</v>
      </c>
      <c r="AW51" s="7" t="n">
        <f aca="false">$J51</f>
        <v>2</v>
      </c>
      <c r="AX51" s="7" t="n">
        <f aca="false">$J51</f>
        <v>2</v>
      </c>
      <c r="AY51" s="7" t="n">
        <f aca="false">$J51</f>
        <v>2</v>
      </c>
      <c r="AZ51" s="7" t="n">
        <f aca="false">$J51</f>
        <v>2</v>
      </c>
      <c r="BA51" s="7" t="n">
        <f aca="false">$K51</f>
        <v>2</v>
      </c>
      <c r="BB51" s="7" t="n">
        <f aca="false">$K51</f>
        <v>2</v>
      </c>
      <c r="BC51" s="7" t="n">
        <f aca="false">$K51</f>
        <v>2</v>
      </c>
      <c r="BD51" s="7" t="n">
        <f aca="false">$K51</f>
        <v>2</v>
      </c>
      <c r="BE51" s="7" t="n">
        <f aca="false">$K51</f>
        <v>2</v>
      </c>
      <c r="BF51" s="7" t="n">
        <f aca="false">$L51</f>
        <v>2</v>
      </c>
      <c r="BG51" s="7" t="n">
        <f aca="false">$L51</f>
        <v>2</v>
      </c>
      <c r="BH51" s="7" t="n">
        <f aca="false">$L51</f>
        <v>2</v>
      </c>
      <c r="BI51" s="7" t="n">
        <f aca="false">$L51</f>
        <v>2</v>
      </c>
      <c r="BJ51" s="7" t="n">
        <f aca="false">$M51</f>
        <v>2</v>
      </c>
      <c r="BK51" s="7" t="n">
        <f aca="false">$M51</f>
        <v>2</v>
      </c>
      <c r="BL51" s="7" t="n">
        <f aca="false">$M51</f>
        <v>2</v>
      </c>
      <c r="BM51" s="7" t="n">
        <f aca="false">$M51</f>
        <v>2</v>
      </c>
    </row>
    <row r="52" customFormat="false" ht="15" hidden="false" customHeight="false" outlineLevel="0" collapsed="false">
      <c r="A52" s="0" t="s">
        <v>132</v>
      </c>
      <c r="B52" s="22" t="n">
        <v>0</v>
      </c>
      <c r="C52" s="22" t="n">
        <v>0</v>
      </c>
      <c r="D52" s="22" t="n">
        <v>0</v>
      </c>
      <c r="E52" s="22" t="n">
        <v>0</v>
      </c>
      <c r="F52" s="22" t="n">
        <v>0</v>
      </c>
      <c r="G52" s="22" t="n">
        <v>0</v>
      </c>
      <c r="H52" s="22" t="n">
        <v>1</v>
      </c>
      <c r="I52" s="22" t="n">
        <v>1</v>
      </c>
      <c r="J52" s="22" t="n">
        <v>1</v>
      </c>
      <c r="K52" s="22" t="n">
        <v>1</v>
      </c>
      <c r="L52" s="22" t="n">
        <v>1</v>
      </c>
      <c r="M52" s="22" t="n">
        <v>1</v>
      </c>
      <c r="N52" s="7" t="n">
        <f aca="false">$B52</f>
        <v>0</v>
      </c>
      <c r="O52" s="7" t="n">
        <f aca="false">$B52</f>
        <v>0</v>
      </c>
      <c r="P52" s="7" t="n">
        <f aca="false">$B52</f>
        <v>0</v>
      </c>
      <c r="Q52" s="7" t="n">
        <f aca="false">$B52</f>
        <v>0</v>
      </c>
      <c r="R52" s="7" t="n">
        <f aca="false">$B52</f>
        <v>0</v>
      </c>
      <c r="S52" s="7" t="n">
        <f aca="false">$C52</f>
        <v>0</v>
      </c>
      <c r="T52" s="7" t="n">
        <f aca="false">$C52</f>
        <v>0</v>
      </c>
      <c r="U52" s="7" t="n">
        <f aca="false">$C52</f>
        <v>0</v>
      </c>
      <c r="V52" s="7" t="n">
        <f aca="false">$C52</f>
        <v>0</v>
      </c>
      <c r="W52" s="7" t="n">
        <f aca="false">$D52</f>
        <v>0</v>
      </c>
      <c r="X52" s="7" t="n">
        <f aca="false">$D52</f>
        <v>0</v>
      </c>
      <c r="Y52" s="7" t="n">
        <f aca="false">$D52</f>
        <v>0</v>
      </c>
      <c r="Z52" s="7" t="n">
        <f aca="false">$D52</f>
        <v>0</v>
      </c>
      <c r="AA52" s="7" t="n">
        <f aca="false">$E52</f>
        <v>0</v>
      </c>
      <c r="AB52" s="7" t="n">
        <f aca="false">$E52</f>
        <v>0</v>
      </c>
      <c r="AC52" s="7" t="n">
        <f aca="false">$E52</f>
        <v>0</v>
      </c>
      <c r="AD52" s="7" t="n">
        <f aca="false">$E52</f>
        <v>0</v>
      </c>
      <c r="AE52" s="7" t="n">
        <f aca="false">$E52</f>
        <v>0</v>
      </c>
      <c r="AF52" s="7" t="n">
        <f aca="false">$F52</f>
        <v>0</v>
      </c>
      <c r="AG52" s="7" t="n">
        <f aca="false">$F52</f>
        <v>0</v>
      </c>
      <c r="AH52" s="7" t="n">
        <f aca="false">$F52</f>
        <v>0</v>
      </c>
      <c r="AI52" s="7" t="n">
        <f aca="false">$F52</f>
        <v>0</v>
      </c>
      <c r="AJ52" s="7" t="n">
        <f aca="false">$G52</f>
        <v>0</v>
      </c>
      <c r="AK52" s="7" t="n">
        <f aca="false">$G52</f>
        <v>0</v>
      </c>
      <c r="AL52" s="7" t="n">
        <f aca="false">$G52</f>
        <v>0</v>
      </c>
      <c r="AM52" s="7" t="n">
        <f aca="false">$G52</f>
        <v>0</v>
      </c>
      <c r="AN52" s="7" t="n">
        <f aca="false">$H52</f>
        <v>1</v>
      </c>
      <c r="AO52" s="7" t="n">
        <f aca="false">$H52</f>
        <v>1</v>
      </c>
      <c r="AP52" s="7" t="n">
        <f aca="false">$H52</f>
        <v>1</v>
      </c>
      <c r="AQ52" s="7" t="n">
        <f aca="false">$H52</f>
        <v>1</v>
      </c>
      <c r="AR52" s="7" t="n">
        <f aca="false">$H52</f>
        <v>1</v>
      </c>
      <c r="AS52" s="7" t="n">
        <f aca="false">$I52</f>
        <v>1</v>
      </c>
      <c r="AT52" s="7" t="n">
        <f aca="false">$I52</f>
        <v>1</v>
      </c>
      <c r="AU52" s="7" t="n">
        <f aca="false">$I52</f>
        <v>1</v>
      </c>
      <c r="AV52" s="7" t="n">
        <f aca="false">$I52</f>
        <v>1</v>
      </c>
      <c r="AW52" s="7" t="n">
        <f aca="false">$J52</f>
        <v>1</v>
      </c>
      <c r="AX52" s="7" t="n">
        <f aca="false">$J52</f>
        <v>1</v>
      </c>
      <c r="AY52" s="7" t="n">
        <f aca="false">$J52</f>
        <v>1</v>
      </c>
      <c r="AZ52" s="7" t="n">
        <f aca="false">$J52</f>
        <v>1</v>
      </c>
      <c r="BA52" s="7" t="n">
        <f aca="false">$K52</f>
        <v>1</v>
      </c>
      <c r="BB52" s="7" t="n">
        <f aca="false">$K52</f>
        <v>1</v>
      </c>
      <c r="BC52" s="7" t="n">
        <f aca="false">$K52</f>
        <v>1</v>
      </c>
      <c r="BD52" s="7" t="n">
        <f aca="false">$K52</f>
        <v>1</v>
      </c>
      <c r="BE52" s="7" t="n">
        <f aca="false">$K52</f>
        <v>1</v>
      </c>
      <c r="BF52" s="7" t="n">
        <f aca="false">$L52</f>
        <v>1</v>
      </c>
      <c r="BG52" s="7" t="n">
        <f aca="false">$L52</f>
        <v>1</v>
      </c>
      <c r="BH52" s="7" t="n">
        <f aca="false">$L52</f>
        <v>1</v>
      </c>
      <c r="BI52" s="7" t="n">
        <f aca="false">$L52</f>
        <v>1</v>
      </c>
      <c r="BJ52" s="7" t="n">
        <f aca="false">$M52</f>
        <v>1</v>
      </c>
      <c r="BK52" s="7" t="n">
        <f aca="false">$M52</f>
        <v>1</v>
      </c>
      <c r="BL52" s="7" t="n">
        <f aca="false">$M52</f>
        <v>1</v>
      </c>
      <c r="BM52" s="7" t="n">
        <f aca="false">$M52</f>
        <v>1</v>
      </c>
    </row>
    <row r="53" customFormat="false" ht="15" hidden="false" customHeight="false" outlineLevel="0" collapsed="false">
      <c r="A53" s="0" t="s">
        <v>133</v>
      </c>
      <c r="B53" s="22" t="n">
        <v>0</v>
      </c>
      <c r="C53" s="22" t="n">
        <v>0</v>
      </c>
      <c r="D53" s="22" t="n">
        <v>0</v>
      </c>
      <c r="E53" s="22" t="n">
        <v>0</v>
      </c>
      <c r="F53" s="22" t="n">
        <v>0</v>
      </c>
      <c r="G53" s="22" t="n">
        <v>0</v>
      </c>
      <c r="H53" s="22" t="n">
        <v>1</v>
      </c>
      <c r="I53" s="22" t="n">
        <v>1</v>
      </c>
      <c r="J53" s="22" t="n">
        <v>1</v>
      </c>
      <c r="K53" s="22" t="n">
        <v>1</v>
      </c>
      <c r="L53" s="22" t="n">
        <v>1</v>
      </c>
      <c r="M53" s="22" t="n">
        <v>1</v>
      </c>
      <c r="N53" s="7" t="n">
        <f aca="false">$B53</f>
        <v>0</v>
      </c>
      <c r="O53" s="7" t="n">
        <f aca="false">$B53</f>
        <v>0</v>
      </c>
      <c r="P53" s="7" t="n">
        <f aca="false">$B53</f>
        <v>0</v>
      </c>
      <c r="Q53" s="7" t="n">
        <f aca="false">$B53</f>
        <v>0</v>
      </c>
      <c r="R53" s="7" t="n">
        <f aca="false">$B53</f>
        <v>0</v>
      </c>
      <c r="S53" s="7" t="n">
        <f aca="false">$C53</f>
        <v>0</v>
      </c>
      <c r="T53" s="7" t="n">
        <f aca="false">$C53</f>
        <v>0</v>
      </c>
      <c r="U53" s="7" t="n">
        <f aca="false">$C53</f>
        <v>0</v>
      </c>
      <c r="V53" s="7" t="n">
        <f aca="false">$C53</f>
        <v>0</v>
      </c>
      <c r="W53" s="7" t="n">
        <f aca="false">$D53</f>
        <v>0</v>
      </c>
      <c r="X53" s="7" t="n">
        <f aca="false">$D53</f>
        <v>0</v>
      </c>
      <c r="Y53" s="7" t="n">
        <f aca="false">$D53</f>
        <v>0</v>
      </c>
      <c r="Z53" s="7" t="n">
        <f aca="false">$D53</f>
        <v>0</v>
      </c>
      <c r="AA53" s="7" t="n">
        <f aca="false">$E53</f>
        <v>0</v>
      </c>
      <c r="AB53" s="7" t="n">
        <f aca="false">$E53</f>
        <v>0</v>
      </c>
      <c r="AC53" s="7" t="n">
        <f aca="false">$E53</f>
        <v>0</v>
      </c>
      <c r="AD53" s="7" t="n">
        <f aca="false">$E53</f>
        <v>0</v>
      </c>
      <c r="AE53" s="7" t="n">
        <f aca="false">$E53</f>
        <v>0</v>
      </c>
      <c r="AF53" s="7" t="n">
        <f aca="false">$F53</f>
        <v>0</v>
      </c>
      <c r="AG53" s="7" t="n">
        <f aca="false">$F53</f>
        <v>0</v>
      </c>
      <c r="AH53" s="7" t="n">
        <f aca="false">$F53</f>
        <v>0</v>
      </c>
      <c r="AI53" s="7" t="n">
        <f aca="false">$F53</f>
        <v>0</v>
      </c>
      <c r="AJ53" s="7" t="n">
        <f aca="false">$G53</f>
        <v>0</v>
      </c>
      <c r="AK53" s="7" t="n">
        <f aca="false">$G53</f>
        <v>0</v>
      </c>
      <c r="AL53" s="7" t="n">
        <f aca="false">$G53</f>
        <v>0</v>
      </c>
      <c r="AM53" s="7" t="n">
        <f aca="false">$G53</f>
        <v>0</v>
      </c>
      <c r="AN53" s="7" t="n">
        <f aca="false">$H53</f>
        <v>1</v>
      </c>
      <c r="AO53" s="7" t="n">
        <f aca="false">$H53</f>
        <v>1</v>
      </c>
      <c r="AP53" s="7" t="n">
        <f aca="false">$H53</f>
        <v>1</v>
      </c>
      <c r="AQ53" s="7" t="n">
        <f aca="false">$H53</f>
        <v>1</v>
      </c>
      <c r="AR53" s="7" t="n">
        <f aca="false">$H53</f>
        <v>1</v>
      </c>
      <c r="AS53" s="7" t="n">
        <f aca="false">$I53</f>
        <v>1</v>
      </c>
      <c r="AT53" s="7" t="n">
        <f aca="false">$I53</f>
        <v>1</v>
      </c>
      <c r="AU53" s="7" t="n">
        <f aca="false">$I53</f>
        <v>1</v>
      </c>
      <c r="AV53" s="7" t="n">
        <f aca="false">$I53</f>
        <v>1</v>
      </c>
      <c r="AW53" s="7" t="n">
        <f aca="false">$J53</f>
        <v>1</v>
      </c>
      <c r="AX53" s="7" t="n">
        <f aca="false">$J53</f>
        <v>1</v>
      </c>
      <c r="AY53" s="7" t="n">
        <f aca="false">$J53</f>
        <v>1</v>
      </c>
      <c r="AZ53" s="7" t="n">
        <f aca="false">$J53</f>
        <v>1</v>
      </c>
      <c r="BA53" s="7" t="n">
        <f aca="false">$K53</f>
        <v>1</v>
      </c>
      <c r="BB53" s="7" t="n">
        <f aca="false">$K53</f>
        <v>1</v>
      </c>
      <c r="BC53" s="7" t="n">
        <f aca="false">$K53</f>
        <v>1</v>
      </c>
      <c r="BD53" s="7" t="n">
        <f aca="false">$K53</f>
        <v>1</v>
      </c>
      <c r="BE53" s="7" t="n">
        <f aca="false">$K53</f>
        <v>1</v>
      </c>
      <c r="BF53" s="7" t="n">
        <f aca="false">$L53</f>
        <v>1</v>
      </c>
      <c r="BG53" s="7" t="n">
        <f aca="false">$L53</f>
        <v>1</v>
      </c>
      <c r="BH53" s="7" t="n">
        <f aca="false">$L53</f>
        <v>1</v>
      </c>
      <c r="BI53" s="7" t="n">
        <f aca="false">$L53</f>
        <v>1</v>
      </c>
      <c r="BJ53" s="7" t="n">
        <f aca="false">$M53</f>
        <v>1</v>
      </c>
      <c r="BK53" s="7" t="n">
        <f aca="false">$M53</f>
        <v>1</v>
      </c>
      <c r="BL53" s="7" t="n">
        <f aca="false">$M53</f>
        <v>1</v>
      </c>
      <c r="BM53" s="7" t="n">
        <f aca="false">$M53</f>
        <v>1</v>
      </c>
    </row>
    <row r="54" customFormat="false" ht="15" hidden="false" customHeight="false" outlineLevel="0" collapsed="false">
      <c r="A54" s="0" t="s">
        <v>134</v>
      </c>
      <c r="B54" s="22" t="n">
        <v>0</v>
      </c>
      <c r="C54" s="22" t="n">
        <v>0</v>
      </c>
      <c r="D54" s="22" t="n">
        <v>0</v>
      </c>
      <c r="E54" s="22" t="n">
        <v>0</v>
      </c>
      <c r="F54" s="22" t="n">
        <v>0</v>
      </c>
      <c r="G54" s="22" t="n">
        <v>0</v>
      </c>
      <c r="H54" s="22" t="n">
        <v>0</v>
      </c>
      <c r="I54" s="22" t="n">
        <v>0</v>
      </c>
      <c r="J54" s="22" t="n">
        <v>0</v>
      </c>
      <c r="K54" s="22" t="n">
        <v>0</v>
      </c>
      <c r="L54" s="22" t="n">
        <v>0</v>
      </c>
      <c r="M54" s="22" t="n">
        <v>0</v>
      </c>
      <c r="N54" s="7" t="n">
        <f aca="false">$B54</f>
        <v>0</v>
      </c>
      <c r="O54" s="7" t="n">
        <f aca="false">$B54</f>
        <v>0</v>
      </c>
      <c r="P54" s="7" t="n">
        <f aca="false">$B54</f>
        <v>0</v>
      </c>
      <c r="Q54" s="7" t="n">
        <f aca="false">$B54</f>
        <v>0</v>
      </c>
      <c r="R54" s="7" t="n">
        <f aca="false">$B54</f>
        <v>0</v>
      </c>
      <c r="S54" s="7" t="n">
        <f aca="false">$C54</f>
        <v>0</v>
      </c>
      <c r="T54" s="7" t="n">
        <f aca="false">$C54</f>
        <v>0</v>
      </c>
      <c r="U54" s="7" t="n">
        <f aca="false">$C54</f>
        <v>0</v>
      </c>
      <c r="V54" s="7" t="n">
        <f aca="false">$C54</f>
        <v>0</v>
      </c>
      <c r="W54" s="7" t="n">
        <f aca="false">$D54</f>
        <v>0</v>
      </c>
      <c r="X54" s="7" t="n">
        <f aca="false">$D54</f>
        <v>0</v>
      </c>
      <c r="Y54" s="7" t="n">
        <f aca="false">$D54</f>
        <v>0</v>
      </c>
      <c r="Z54" s="7" t="n">
        <f aca="false">$D54</f>
        <v>0</v>
      </c>
      <c r="AA54" s="7" t="n">
        <f aca="false">$E54</f>
        <v>0</v>
      </c>
      <c r="AB54" s="7" t="n">
        <f aca="false">$E54</f>
        <v>0</v>
      </c>
      <c r="AC54" s="7" t="n">
        <f aca="false">$E54</f>
        <v>0</v>
      </c>
      <c r="AD54" s="7" t="n">
        <f aca="false">$E54</f>
        <v>0</v>
      </c>
      <c r="AE54" s="7" t="n">
        <f aca="false">$E54</f>
        <v>0</v>
      </c>
      <c r="AF54" s="7" t="n">
        <f aca="false">$F54</f>
        <v>0</v>
      </c>
      <c r="AG54" s="7" t="n">
        <f aca="false">$F54</f>
        <v>0</v>
      </c>
      <c r="AH54" s="7" t="n">
        <f aca="false">$F54</f>
        <v>0</v>
      </c>
      <c r="AI54" s="7" t="n">
        <f aca="false">$F54</f>
        <v>0</v>
      </c>
      <c r="AJ54" s="7" t="n">
        <f aca="false">$G54</f>
        <v>0</v>
      </c>
      <c r="AK54" s="7" t="n">
        <f aca="false">$G54</f>
        <v>0</v>
      </c>
      <c r="AL54" s="7" t="n">
        <f aca="false">$G54</f>
        <v>0</v>
      </c>
      <c r="AM54" s="7" t="n">
        <f aca="false">$G54</f>
        <v>0</v>
      </c>
      <c r="AN54" s="7" t="n">
        <f aca="false">$H54</f>
        <v>0</v>
      </c>
      <c r="AO54" s="7" t="n">
        <f aca="false">$H54</f>
        <v>0</v>
      </c>
      <c r="AP54" s="7" t="n">
        <f aca="false">$H54</f>
        <v>0</v>
      </c>
      <c r="AQ54" s="7" t="n">
        <f aca="false">$H54</f>
        <v>0</v>
      </c>
      <c r="AR54" s="7" t="n">
        <f aca="false">$H54</f>
        <v>0</v>
      </c>
      <c r="AS54" s="7" t="n">
        <f aca="false">$I54</f>
        <v>0</v>
      </c>
      <c r="AT54" s="7" t="n">
        <f aca="false">$I54</f>
        <v>0</v>
      </c>
      <c r="AU54" s="7" t="n">
        <f aca="false">$I54</f>
        <v>0</v>
      </c>
      <c r="AV54" s="7" t="n">
        <f aca="false">$I54</f>
        <v>0</v>
      </c>
      <c r="AW54" s="7" t="n">
        <f aca="false">$J54</f>
        <v>0</v>
      </c>
      <c r="AX54" s="7" t="n">
        <f aca="false">$J54</f>
        <v>0</v>
      </c>
      <c r="AY54" s="7" t="n">
        <f aca="false">$J54</f>
        <v>0</v>
      </c>
      <c r="AZ54" s="7" t="n">
        <f aca="false">$J54</f>
        <v>0</v>
      </c>
      <c r="BA54" s="7" t="n">
        <f aca="false">$K54</f>
        <v>0</v>
      </c>
      <c r="BB54" s="7" t="n">
        <f aca="false">$K54</f>
        <v>0</v>
      </c>
      <c r="BC54" s="7" t="n">
        <f aca="false">$K54</f>
        <v>0</v>
      </c>
      <c r="BD54" s="7" t="n">
        <f aca="false">$K54</f>
        <v>0</v>
      </c>
      <c r="BE54" s="7" t="n">
        <f aca="false">$K54</f>
        <v>0</v>
      </c>
      <c r="BF54" s="7" t="n">
        <f aca="false">$L54</f>
        <v>0</v>
      </c>
      <c r="BG54" s="7" t="n">
        <f aca="false">$L54</f>
        <v>0</v>
      </c>
      <c r="BH54" s="7" t="n">
        <f aca="false">$L54</f>
        <v>0</v>
      </c>
      <c r="BI54" s="7" t="n">
        <f aca="false">$L54</f>
        <v>0</v>
      </c>
      <c r="BJ54" s="7" t="n">
        <f aca="false">$M54</f>
        <v>0</v>
      </c>
      <c r="BK54" s="7" t="n">
        <f aca="false">$M54</f>
        <v>0</v>
      </c>
      <c r="BL54" s="7" t="n">
        <f aca="false">$M54</f>
        <v>0</v>
      </c>
      <c r="BM54" s="7" t="n">
        <f aca="false">$M54</f>
        <v>0</v>
      </c>
    </row>
    <row r="55" customFormat="false" ht="15" hidden="false" customHeight="false" outlineLevel="0" collapsed="false">
      <c r="A55" s="0" t="s">
        <v>135</v>
      </c>
      <c r="B55" s="22" t="n">
        <v>0</v>
      </c>
      <c r="C55" s="22" t="n">
        <v>0</v>
      </c>
      <c r="D55" s="22" t="n">
        <v>0</v>
      </c>
      <c r="E55" s="22" t="n">
        <v>0</v>
      </c>
      <c r="F55" s="22" t="n">
        <v>0</v>
      </c>
      <c r="G55" s="22" t="n">
        <v>0</v>
      </c>
      <c r="H55" s="22" t="n">
        <v>0</v>
      </c>
      <c r="I55" s="22" t="n">
        <v>0</v>
      </c>
      <c r="J55" s="22" t="n">
        <v>0</v>
      </c>
      <c r="K55" s="22" t="n">
        <v>0</v>
      </c>
      <c r="L55" s="22" t="n">
        <v>0</v>
      </c>
      <c r="M55" s="22" t="n">
        <v>0</v>
      </c>
      <c r="N55" s="7" t="n">
        <f aca="false">$B55</f>
        <v>0</v>
      </c>
      <c r="O55" s="7" t="n">
        <f aca="false">$B55</f>
        <v>0</v>
      </c>
      <c r="P55" s="7" t="n">
        <f aca="false">$B55</f>
        <v>0</v>
      </c>
      <c r="Q55" s="7" t="n">
        <f aca="false">$B55</f>
        <v>0</v>
      </c>
      <c r="R55" s="7" t="n">
        <f aca="false">$B55</f>
        <v>0</v>
      </c>
      <c r="S55" s="7" t="n">
        <f aca="false">$C55</f>
        <v>0</v>
      </c>
      <c r="T55" s="7" t="n">
        <f aca="false">$C55</f>
        <v>0</v>
      </c>
      <c r="U55" s="7" t="n">
        <f aca="false">$C55</f>
        <v>0</v>
      </c>
      <c r="V55" s="7" t="n">
        <f aca="false">$C55</f>
        <v>0</v>
      </c>
      <c r="W55" s="7" t="n">
        <f aca="false">$D55</f>
        <v>0</v>
      </c>
      <c r="X55" s="7" t="n">
        <f aca="false">$D55</f>
        <v>0</v>
      </c>
      <c r="Y55" s="7" t="n">
        <f aca="false">$D55</f>
        <v>0</v>
      </c>
      <c r="Z55" s="7" t="n">
        <f aca="false">$D55</f>
        <v>0</v>
      </c>
      <c r="AA55" s="7" t="n">
        <f aca="false">$E55</f>
        <v>0</v>
      </c>
      <c r="AB55" s="7" t="n">
        <f aca="false">$E55</f>
        <v>0</v>
      </c>
      <c r="AC55" s="7" t="n">
        <f aca="false">$E55</f>
        <v>0</v>
      </c>
      <c r="AD55" s="7" t="n">
        <f aca="false">$E55</f>
        <v>0</v>
      </c>
      <c r="AE55" s="7" t="n">
        <f aca="false">$E55</f>
        <v>0</v>
      </c>
      <c r="AF55" s="7" t="n">
        <f aca="false">$F55</f>
        <v>0</v>
      </c>
      <c r="AG55" s="7" t="n">
        <f aca="false">$F55</f>
        <v>0</v>
      </c>
      <c r="AH55" s="7" t="n">
        <f aca="false">$F55</f>
        <v>0</v>
      </c>
      <c r="AI55" s="7" t="n">
        <f aca="false">$F55</f>
        <v>0</v>
      </c>
      <c r="AJ55" s="7" t="n">
        <f aca="false">$G55</f>
        <v>0</v>
      </c>
      <c r="AK55" s="7" t="n">
        <f aca="false">$G55</f>
        <v>0</v>
      </c>
      <c r="AL55" s="7" t="n">
        <f aca="false">$G55</f>
        <v>0</v>
      </c>
      <c r="AM55" s="7" t="n">
        <f aca="false">$G55</f>
        <v>0</v>
      </c>
      <c r="AN55" s="7" t="n">
        <f aca="false">$H55</f>
        <v>0</v>
      </c>
      <c r="AO55" s="7" t="n">
        <f aca="false">$H55</f>
        <v>0</v>
      </c>
      <c r="AP55" s="7" t="n">
        <f aca="false">$H55</f>
        <v>0</v>
      </c>
      <c r="AQ55" s="7" t="n">
        <f aca="false">$H55</f>
        <v>0</v>
      </c>
      <c r="AR55" s="7" t="n">
        <f aca="false">$H55</f>
        <v>0</v>
      </c>
      <c r="AS55" s="7" t="n">
        <f aca="false">$I55</f>
        <v>0</v>
      </c>
      <c r="AT55" s="7" t="n">
        <f aca="false">$I55</f>
        <v>0</v>
      </c>
      <c r="AU55" s="7" t="n">
        <f aca="false">$I55</f>
        <v>0</v>
      </c>
      <c r="AV55" s="7" t="n">
        <f aca="false">$I55</f>
        <v>0</v>
      </c>
      <c r="AW55" s="7" t="n">
        <f aca="false">$J55</f>
        <v>0</v>
      </c>
      <c r="AX55" s="7" t="n">
        <f aca="false">$J55</f>
        <v>0</v>
      </c>
      <c r="AY55" s="7" t="n">
        <f aca="false">$J55</f>
        <v>0</v>
      </c>
      <c r="AZ55" s="7" t="n">
        <f aca="false">$J55</f>
        <v>0</v>
      </c>
      <c r="BA55" s="7" t="n">
        <f aca="false">$K55</f>
        <v>0</v>
      </c>
      <c r="BB55" s="7" t="n">
        <f aca="false">$K55</f>
        <v>0</v>
      </c>
      <c r="BC55" s="7" t="n">
        <f aca="false">$K55</f>
        <v>0</v>
      </c>
      <c r="BD55" s="7" t="n">
        <f aca="false">$K55</f>
        <v>0</v>
      </c>
      <c r="BE55" s="7" t="n">
        <f aca="false">$K55</f>
        <v>0</v>
      </c>
      <c r="BF55" s="7" t="n">
        <f aca="false">$L55</f>
        <v>0</v>
      </c>
      <c r="BG55" s="7" t="n">
        <f aca="false">$L55</f>
        <v>0</v>
      </c>
      <c r="BH55" s="7" t="n">
        <f aca="false">$L55</f>
        <v>0</v>
      </c>
      <c r="BI55" s="7" t="n">
        <f aca="false">$L55</f>
        <v>0</v>
      </c>
      <c r="BJ55" s="7" t="n">
        <f aca="false">$M55</f>
        <v>0</v>
      </c>
      <c r="BK55" s="7" t="n">
        <f aca="false">$M55</f>
        <v>0</v>
      </c>
      <c r="BL55" s="7" t="n">
        <f aca="false">$M55</f>
        <v>0</v>
      </c>
      <c r="BM55" s="7" t="n">
        <f aca="false">$M55</f>
        <v>0</v>
      </c>
    </row>
    <row r="56" customFormat="false" ht="15" hidden="false" customHeight="false" outlineLevel="0" collapsed="false">
      <c r="A56" s="4" t="s">
        <v>280</v>
      </c>
      <c r="N56" s="4" t="n">
        <f aca="false">SUM(N46:N55)</f>
        <v>5</v>
      </c>
      <c r="O56" s="4" t="n">
        <f aca="false">SUM(O46:O55)</f>
        <v>5</v>
      </c>
      <c r="P56" s="4" t="n">
        <f aca="false">SUM(P46:P55)</f>
        <v>5</v>
      </c>
      <c r="Q56" s="4" t="n">
        <f aca="false">SUM(Q46:Q55)</f>
        <v>5</v>
      </c>
      <c r="R56" s="4" t="n">
        <f aca="false">SUM(R46:R55)</f>
        <v>5</v>
      </c>
      <c r="S56" s="4" t="n">
        <f aca="false">SUM(S46:S55)</f>
        <v>5</v>
      </c>
      <c r="T56" s="4" t="n">
        <f aca="false">SUM(T46:T55)</f>
        <v>5</v>
      </c>
      <c r="U56" s="4" t="n">
        <f aca="false">SUM(U46:U55)</f>
        <v>5</v>
      </c>
      <c r="V56" s="4" t="n">
        <f aca="false">SUM(V46:V55)</f>
        <v>5</v>
      </c>
      <c r="W56" s="4" t="n">
        <f aca="false">SUM(W46:W55)</f>
        <v>5</v>
      </c>
      <c r="X56" s="4" t="n">
        <f aca="false">SUM(X46:X55)</f>
        <v>5</v>
      </c>
      <c r="Y56" s="4" t="n">
        <f aca="false">SUM(Y46:Y55)</f>
        <v>5</v>
      </c>
      <c r="Z56" s="4" t="n">
        <f aca="false">SUM(Z46:Z55)</f>
        <v>5</v>
      </c>
      <c r="AA56" s="4" t="n">
        <f aca="false">SUM(AA46:AA55)</f>
        <v>5</v>
      </c>
      <c r="AB56" s="4" t="n">
        <f aca="false">SUM(AB46:AB55)</f>
        <v>5</v>
      </c>
      <c r="AC56" s="4" t="n">
        <f aca="false">SUM(AC46:AC55)</f>
        <v>5</v>
      </c>
      <c r="AD56" s="4" t="n">
        <f aca="false">SUM(AD46:AD55)</f>
        <v>5</v>
      </c>
      <c r="AE56" s="4" t="n">
        <f aca="false">SUM(AE46:AE55)</f>
        <v>5</v>
      </c>
      <c r="AF56" s="4" t="n">
        <f aca="false">SUM(AF46:AF55)</f>
        <v>5</v>
      </c>
      <c r="AG56" s="4" t="n">
        <f aca="false">SUM(AG46:AG55)</f>
        <v>5</v>
      </c>
      <c r="AH56" s="4" t="n">
        <f aca="false">SUM(AH46:AH55)</f>
        <v>5</v>
      </c>
      <c r="AI56" s="4" t="n">
        <f aca="false">SUM(AI46:AI55)</f>
        <v>5</v>
      </c>
      <c r="AJ56" s="4" t="n">
        <f aca="false">SUM(AJ46:AJ55)</f>
        <v>8</v>
      </c>
      <c r="AK56" s="4" t="n">
        <f aca="false">SUM(AK46:AK55)</f>
        <v>8</v>
      </c>
      <c r="AL56" s="4" t="n">
        <f aca="false">SUM(AL46:AL55)</f>
        <v>8</v>
      </c>
      <c r="AM56" s="4" t="n">
        <f aca="false">SUM(AM46:AM55)</f>
        <v>8</v>
      </c>
      <c r="AN56" s="4" t="n">
        <f aca="false">SUM(AN46:AN55)</f>
        <v>12</v>
      </c>
      <c r="AO56" s="4" t="n">
        <f aca="false">SUM(AO46:AO55)</f>
        <v>12</v>
      </c>
      <c r="AP56" s="4" t="n">
        <f aca="false">SUM(AP46:AP55)</f>
        <v>12</v>
      </c>
      <c r="AQ56" s="4" t="n">
        <f aca="false">SUM(AQ46:AQ55)</f>
        <v>12</v>
      </c>
      <c r="AR56" s="4" t="n">
        <f aca="false">SUM(AR46:AR55)</f>
        <v>12</v>
      </c>
      <c r="AS56" s="4" t="n">
        <f aca="false">SUM(AS46:AS55)</f>
        <v>12</v>
      </c>
      <c r="AT56" s="4" t="n">
        <f aca="false">SUM(AT46:AT55)</f>
        <v>12</v>
      </c>
      <c r="AU56" s="4" t="n">
        <f aca="false">SUM(AU46:AU55)</f>
        <v>12</v>
      </c>
      <c r="AV56" s="4" t="n">
        <f aca="false">SUM(AV46:AV55)</f>
        <v>12</v>
      </c>
      <c r="AW56" s="4" t="n">
        <f aca="false">SUM(AW46:AW55)</f>
        <v>13</v>
      </c>
      <c r="AX56" s="4" t="n">
        <f aca="false">SUM(AX46:AX55)</f>
        <v>13</v>
      </c>
      <c r="AY56" s="4" t="n">
        <f aca="false">SUM(AY46:AY55)</f>
        <v>13</v>
      </c>
      <c r="AZ56" s="4" t="n">
        <f aca="false">SUM(AZ46:AZ55)</f>
        <v>13</v>
      </c>
      <c r="BA56" s="4" t="n">
        <f aca="false">SUM(BA46:BA55)</f>
        <v>13</v>
      </c>
      <c r="BB56" s="4" t="n">
        <f aca="false">SUM(BB46:BB55)</f>
        <v>13</v>
      </c>
      <c r="BC56" s="4" t="n">
        <f aca="false">SUM(BC46:BC55)</f>
        <v>13</v>
      </c>
      <c r="BD56" s="4" t="n">
        <f aca="false">SUM(BD46:BD55)</f>
        <v>13</v>
      </c>
      <c r="BE56" s="4" t="n">
        <f aca="false">SUM(BE46:BE55)</f>
        <v>13</v>
      </c>
      <c r="BF56" s="4" t="n">
        <f aca="false">SUM(BF46:BF55)</f>
        <v>13</v>
      </c>
      <c r="BG56" s="4" t="n">
        <f aca="false">SUM(BG46:BG55)</f>
        <v>13</v>
      </c>
      <c r="BH56" s="4" t="n">
        <f aca="false">SUM(BH46:BH55)</f>
        <v>13</v>
      </c>
      <c r="BI56" s="4" t="n">
        <f aca="false">SUM(BI46:BI55)</f>
        <v>13</v>
      </c>
      <c r="BJ56" s="4" t="n">
        <f aca="false">SUM(BJ46:BJ55)</f>
        <v>13</v>
      </c>
      <c r="BK56" s="4" t="n">
        <f aca="false">SUM(BK46:BK55)</f>
        <v>13</v>
      </c>
      <c r="BL56" s="4" t="n">
        <f aca="false">SUM(BL46:BL55)</f>
        <v>13</v>
      </c>
      <c r="BM56" s="4" t="n">
        <f aca="false">SUM(BM46:BM55)</f>
        <v>13</v>
      </c>
    </row>
    <row r="57" customFormat="false" ht="15" hidden="false" customHeight="false" outlineLevel="0" collapsed="false">
      <c r="A57" s="4" t="s">
        <v>281</v>
      </c>
      <c r="N57" s="10" t="n">
        <f aca="false">$B$44*N56</f>
        <v>5</v>
      </c>
      <c r="O57" s="10" t="n">
        <f aca="false">$B$44*O56</f>
        <v>5</v>
      </c>
      <c r="P57" s="10" t="n">
        <f aca="false">$B$44*P56</f>
        <v>5</v>
      </c>
      <c r="Q57" s="10" t="n">
        <f aca="false">$B$44*Q56</f>
        <v>5</v>
      </c>
      <c r="R57" s="10" t="n">
        <f aca="false">$B$44*R56</f>
        <v>5</v>
      </c>
      <c r="S57" s="10" t="n">
        <f aca="false">$B$44*S56</f>
        <v>5</v>
      </c>
      <c r="T57" s="10" t="n">
        <f aca="false">$B$44*T56</f>
        <v>5</v>
      </c>
      <c r="U57" s="10" t="n">
        <f aca="false">$B$44*U56</f>
        <v>5</v>
      </c>
      <c r="V57" s="10" t="n">
        <f aca="false">$B$44*V56</f>
        <v>5</v>
      </c>
      <c r="W57" s="10" t="n">
        <f aca="false">$B$44*W56</f>
        <v>5</v>
      </c>
      <c r="X57" s="10" t="n">
        <f aca="false">$B$44*X56</f>
        <v>5</v>
      </c>
      <c r="Y57" s="10" t="n">
        <f aca="false">$B$44*Y56</f>
        <v>5</v>
      </c>
      <c r="Z57" s="10" t="n">
        <f aca="false">$B$44*Z56</f>
        <v>5</v>
      </c>
      <c r="AA57" s="10" t="n">
        <f aca="false">$B$44*AA56</f>
        <v>5</v>
      </c>
      <c r="AB57" s="10" t="n">
        <f aca="false">$B$44*AB56</f>
        <v>5</v>
      </c>
      <c r="AC57" s="10" t="n">
        <f aca="false">$B$44*AC56</f>
        <v>5</v>
      </c>
      <c r="AD57" s="10" t="n">
        <f aca="false">$B$44*AD56</f>
        <v>5</v>
      </c>
      <c r="AE57" s="10" t="n">
        <f aca="false">$B$44*AE56</f>
        <v>5</v>
      </c>
      <c r="AF57" s="10" t="n">
        <f aca="false">$B$44*AF56</f>
        <v>5</v>
      </c>
      <c r="AG57" s="10" t="n">
        <f aca="false">$B$44*AG56</f>
        <v>5</v>
      </c>
      <c r="AH57" s="10" t="n">
        <f aca="false">$B$44*AH56</f>
        <v>5</v>
      </c>
      <c r="AI57" s="10" t="n">
        <f aca="false">$B$44*AI56</f>
        <v>5</v>
      </c>
      <c r="AJ57" s="10" t="n">
        <f aca="false">$B$44*AJ56</f>
        <v>8</v>
      </c>
      <c r="AK57" s="10" t="n">
        <f aca="false">$B$44*AK56</f>
        <v>8</v>
      </c>
      <c r="AL57" s="10" t="n">
        <f aca="false">$B$44*AL56</f>
        <v>8</v>
      </c>
      <c r="AM57" s="10" t="n">
        <f aca="false">$B$44*AM56</f>
        <v>8</v>
      </c>
      <c r="AN57" s="10" t="n">
        <f aca="false">$B$44*AN56</f>
        <v>12</v>
      </c>
      <c r="AO57" s="10" t="n">
        <f aca="false">$B$44*AO56</f>
        <v>12</v>
      </c>
      <c r="AP57" s="10" t="n">
        <f aca="false">$B$44*AP56</f>
        <v>12</v>
      </c>
      <c r="AQ57" s="10" t="n">
        <f aca="false">$B$44*AQ56</f>
        <v>12</v>
      </c>
      <c r="AR57" s="10" t="n">
        <f aca="false">$B$44*AR56</f>
        <v>12</v>
      </c>
      <c r="AS57" s="10" t="n">
        <f aca="false">$B$44*AS56</f>
        <v>12</v>
      </c>
      <c r="AT57" s="10" t="n">
        <f aca="false">$B$44*AT56</f>
        <v>12</v>
      </c>
      <c r="AU57" s="10" t="n">
        <f aca="false">$B$44*AU56</f>
        <v>12</v>
      </c>
      <c r="AV57" s="10" t="n">
        <f aca="false">$B$44*AV56</f>
        <v>12</v>
      </c>
      <c r="AW57" s="10" t="n">
        <f aca="false">$B$44*AW56</f>
        <v>13</v>
      </c>
      <c r="AX57" s="10" t="n">
        <f aca="false">$B$44*AX56</f>
        <v>13</v>
      </c>
      <c r="AY57" s="10" t="n">
        <f aca="false">$B$44*AY56</f>
        <v>13</v>
      </c>
      <c r="AZ57" s="10" t="n">
        <f aca="false">$B$44*AZ56</f>
        <v>13</v>
      </c>
      <c r="BA57" s="10" t="n">
        <f aca="false">$B$44*BA56</f>
        <v>13</v>
      </c>
      <c r="BB57" s="10" t="n">
        <f aca="false">$B$44*BB56</f>
        <v>13</v>
      </c>
      <c r="BC57" s="10" t="n">
        <f aca="false">$B$44*BC56</f>
        <v>13</v>
      </c>
      <c r="BD57" s="10" t="n">
        <f aca="false">$B$44*BD56</f>
        <v>13</v>
      </c>
      <c r="BE57" s="10" t="n">
        <f aca="false">$B$44*BE56</f>
        <v>13</v>
      </c>
      <c r="BF57" s="10" t="n">
        <f aca="false">$B$44*BF56</f>
        <v>13</v>
      </c>
      <c r="BG57" s="10" t="n">
        <f aca="false">$B$44*BG56</f>
        <v>13</v>
      </c>
      <c r="BH57" s="10" t="n">
        <f aca="false">$B$44*BH56</f>
        <v>13</v>
      </c>
      <c r="BI57" s="10" t="n">
        <f aca="false">$B$44*BI56</f>
        <v>13</v>
      </c>
      <c r="BJ57" s="10" t="n">
        <f aca="false">$B$44*BJ56</f>
        <v>13</v>
      </c>
      <c r="BK57" s="10" t="n">
        <f aca="false">$B$44*BK56</f>
        <v>13</v>
      </c>
      <c r="BL57" s="10" t="n">
        <f aca="false">$B$44*BL56</f>
        <v>13</v>
      </c>
      <c r="BM57" s="10" t="n">
        <f aca="false">$B$44*BM56</f>
        <v>13</v>
      </c>
    </row>
    <row r="58" customFormat="false" ht="15" hidden="false" customHeight="false" outlineLevel="0" collapsed="false">
      <c r="A58" s="27" t="s">
        <v>282</v>
      </c>
      <c r="E58" s="7" t="n">
        <f aca="false">N57</f>
        <v>5</v>
      </c>
      <c r="F58" s="7" t="n">
        <f aca="false">O57</f>
        <v>5</v>
      </c>
      <c r="G58" s="7" t="n">
        <f aca="false">P57</f>
        <v>5</v>
      </c>
      <c r="H58" s="7" t="n">
        <f aca="false">Q57</f>
        <v>5</v>
      </c>
      <c r="I58" s="7" t="n">
        <f aca="false">R57</f>
        <v>5</v>
      </c>
      <c r="J58" s="7" t="n">
        <f aca="false">S57</f>
        <v>5</v>
      </c>
      <c r="K58" s="7" t="n">
        <f aca="false">T57</f>
        <v>5</v>
      </c>
      <c r="L58" s="7" t="n">
        <f aca="false">U57</f>
        <v>5</v>
      </c>
      <c r="M58" s="7" t="n">
        <f aca="false">V57</f>
        <v>5</v>
      </c>
      <c r="N58" s="7" t="n">
        <f aca="false">W57</f>
        <v>5</v>
      </c>
      <c r="O58" s="7" t="n">
        <f aca="false">X57</f>
        <v>5</v>
      </c>
      <c r="P58" s="7" t="n">
        <f aca="false">Y57</f>
        <v>5</v>
      </c>
      <c r="Q58" s="7" t="n">
        <f aca="false">Z57</f>
        <v>5</v>
      </c>
      <c r="R58" s="7" t="n">
        <f aca="false">AA57</f>
        <v>5</v>
      </c>
      <c r="S58" s="7" t="n">
        <f aca="false">AB57</f>
        <v>5</v>
      </c>
      <c r="T58" s="7" t="n">
        <f aca="false">AC57</f>
        <v>5</v>
      </c>
      <c r="U58" s="7" t="n">
        <f aca="false">AD57</f>
        <v>5</v>
      </c>
      <c r="V58" s="7" t="n">
        <f aca="false">AE57</f>
        <v>5</v>
      </c>
      <c r="W58" s="7" t="n">
        <f aca="false">AF57</f>
        <v>5</v>
      </c>
      <c r="X58" s="7" t="n">
        <f aca="false">AG57</f>
        <v>5</v>
      </c>
      <c r="Y58" s="7" t="n">
        <f aca="false">AH57</f>
        <v>5</v>
      </c>
      <c r="Z58" s="7" t="n">
        <f aca="false">AI57</f>
        <v>5</v>
      </c>
      <c r="AA58" s="7" t="n">
        <f aca="false">AJ57</f>
        <v>8</v>
      </c>
      <c r="AB58" s="7" t="n">
        <f aca="false">AK57</f>
        <v>8</v>
      </c>
      <c r="AC58" s="7" t="n">
        <f aca="false">AL57</f>
        <v>8</v>
      </c>
      <c r="AD58" s="7" t="n">
        <f aca="false">AM57</f>
        <v>8</v>
      </c>
      <c r="AE58" s="7" t="n">
        <f aca="false">AN57</f>
        <v>12</v>
      </c>
      <c r="AF58" s="7" t="n">
        <f aca="false">AO57</f>
        <v>12</v>
      </c>
      <c r="AG58" s="7" t="n">
        <f aca="false">AP57</f>
        <v>12</v>
      </c>
      <c r="AH58" s="7" t="n">
        <f aca="false">AQ57</f>
        <v>12</v>
      </c>
      <c r="AI58" s="7" t="n">
        <f aca="false">AR57</f>
        <v>12</v>
      </c>
      <c r="AJ58" s="7" t="n">
        <f aca="false">AS57</f>
        <v>12</v>
      </c>
      <c r="AK58" s="7" t="n">
        <f aca="false">AT57</f>
        <v>12</v>
      </c>
      <c r="AL58" s="7" t="n">
        <f aca="false">AU57</f>
        <v>12</v>
      </c>
      <c r="AM58" s="7" t="n">
        <f aca="false">AV57</f>
        <v>12</v>
      </c>
      <c r="AN58" s="7" t="n">
        <f aca="false">AW57</f>
        <v>13</v>
      </c>
      <c r="AO58" s="7" t="n">
        <f aca="false">AX57</f>
        <v>13</v>
      </c>
      <c r="AP58" s="7" t="n">
        <f aca="false">AY57</f>
        <v>13</v>
      </c>
      <c r="AQ58" s="7" t="n">
        <f aca="false">AZ57</f>
        <v>13</v>
      </c>
      <c r="AR58" s="7" t="n">
        <f aca="false">BA57</f>
        <v>13</v>
      </c>
      <c r="AS58" s="7" t="n">
        <f aca="false">BB57</f>
        <v>13</v>
      </c>
      <c r="AT58" s="7" t="n">
        <f aca="false">BC57</f>
        <v>13</v>
      </c>
      <c r="AU58" s="7" t="n">
        <f aca="false">BD57</f>
        <v>13</v>
      </c>
      <c r="AV58" s="7" t="n">
        <f aca="false">BE57</f>
        <v>13</v>
      </c>
      <c r="AW58" s="7" t="n">
        <f aca="false">BF57</f>
        <v>13</v>
      </c>
      <c r="AX58" s="7" t="n">
        <f aca="false">BG57</f>
        <v>13</v>
      </c>
      <c r="AY58" s="7" t="n">
        <f aca="false">BH57</f>
        <v>13</v>
      </c>
      <c r="AZ58" s="7" t="n">
        <f aca="false">BI57</f>
        <v>13</v>
      </c>
      <c r="BA58" s="7" t="n">
        <f aca="false">BJ57</f>
        <v>13</v>
      </c>
      <c r="BB58" s="7" t="n">
        <f aca="false">BK57</f>
        <v>13</v>
      </c>
      <c r="BC58" s="7" t="n">
        <f aca="false">BL57</f>
        <v>13</v>
      </c>
      <c r="BD58" s="7" t="n">
        <f aca="false">BM57</f>
        <v>13</v>
      </c>
    </row>
    <row r="60" customFormat="false" ht="15" hidden="false" customHeight="false" outlineLevel="0" collapsed="false">
      <c r="A60" s="5" t="s">
        <v>283</v>
      </c>
    </row>
    <row r="61" customFormat="false" ht="15" hidden="false" customHeight="false" outlineLevel="0" collapsed="false">
      <c r="A61" s="4" t="s">
        <v>284</v>
      </c>
      <c r="B61" s="4" t="s">
        <v>285</v>
      </c>
      <c r="C61" s="4" t="s">
        <v>208</v>
      </c>
      <c r="E61" s="21" t="s">
        <v>140</v>
      </c>
      <c r="F61" s="21" t="s">
        <v>141</v>
      </c>
      <c r="G61" s="21" t="s">
        <v>142</v>
      </c>
      <c r="H61" s="21" t="s">
        <v>143</v>
      </c>
      <c r="I61" s="21" t="s">
        <v>144</v>
      </c>
      <c r="J61" s="21" t="s">
        <v>145</v>
      </c>
      <c r="K61" s="21" t="s">
        <v>146</v>
      </c>
      <c r="L61" s="21" t="s">
        <v>147</v>
      </c>
      <c r="M61" s="21" t="s">
        <v>148</v>
      </c>
      <c r="N61" s="21" t="s">
        <v>149</v>
      </c>
      <c r="O61" s="21" t="s">
        <v>150</v>
      </c>
      <c r="P61" s="21" t="s">
        <v>151</v>
      </c>
      <c r="Q61" s="21" t="s">
        <v>152</v>
      </c>
      <c r="R61" s="21" t="s">
        <v>153</v>
      </c>
      <c r="S61" s="21" t="s">
        <v>154</v>
      </c>
      <c r="T61" s="21" t="s">
        <v>155</v>
      </c>
      <c r="U61" s="21" t="s">
        <v>156</v>
      </c>
      <c r="V61" s="21" t="s">
        <v>157</v>
      </c>
      <c r="W61" s="21" t="s">
        <v>158</v>
      </c>
      <c r="X61" s="21" t="s">
        <v>159</v>
      </c>
      <c r="Y61" s="21" t="s">
        <v>160</v>
      </c>
      <c r="Z61" s="21" t="s">
        <v>161</v>
      </c>
      <c r="AA61" s="21" t="s">
        <v>162</v>
      </c>
      <c r="AB61" s="21" t="s">
        <v>163</v>
      </c>
      <c r="AC61" s="21" t="s">
        <v>164</v>
      </c>
      <c r="AD61" s="21" t="s">
        <v>165</v>
      </c>
      <c r="AE61" s="21" t="s">
        <v>166</v>
      </c>
      <c r="AF61" s="21" t="s">
        <v>167</v>
      </c>
      <c r="AG61" s="21" t="s">
        <v>168</v>
      </c>
      <c r="AH61" s="21" t="s">
        <v>169</v>
      </c>
      <c r="AI61" s="21" t="s">
        <v>170</v>
      </c>
      <c r="AJ61" s="21" t="s">
        <v>171</v>
      </c>
      <c r="AK61" s="21" t="s">
        <v>172</v>
      </c>
      <c r="AL61" s="21" t="s">
        <v>173</v>
      </c>
      <c r="AM61" s="21" t="s">
        <v>174</v>
      </c>
      <c r="AN61" s="21" t="s">
        <v>175</v>
      </c>
      <c r="AO61" s="21" t="s">
        <v>176</v>
      </c>
      <c r="AP61" s="21" t="s">
        <v>177</v>
      </c>
      <c r="AQ61" s="21" t="s">
        <v>178</v>
      </c>
      <c r="AR61" s="21" t="s">
        <v>179</v>
      </c>
      <c r="AS61" s="21" t="s">
        <v>180</v>
      </c>
      <c r="AT61" s="21" t="s">
        <v>181</v>
      </c>
      <c r="AU61" s="21" t="s">
        <v>182</v>
      </c>
      <c r="AV61" s="21" t="s">
        <v>183</v>
      </c>
      <c r="AW61" s="21" t="s">
        <v>184</v>
      </c>
      <c r="AX61" s="21" t="s">
        <v>185</v>
      </c>
      <c r="AY61" s="21" t="s">
        <v>186</v>
      </c>
      <c r="AZ61" s="21" t="s">
        <v>187</v>
      </c>
      <c r="BA61" s="21" t="s">
        <v>188</v>
      </c>
      <c r="BB61" s="21" t="s">
        <v>189</v>
      </c>
      <c r="BC61" s="21" t="s">
        <v>190</v>
      </c>
      <c r="BD61" s="21" t="s">
        <v>191</v>
      </c>
    </row>
    <row r="62" customFormat="false" ht="15" hidden="false" customHeight="false" outlineLevel="0" collapsed="false">
      <c r="A62" s="0" t="s">
        <v>286</v>
      </c>
      <c r="B62" s="11" t="n">
        <v>0.5</v>
      </c>
      <c r="C62" s="3" t="s">
        <v>287</v>
      </c>
      <c r="E62" s="7" t="n">
        <f aca="false">$B62</f>
        <v>0.5</v>
      </c>
      <c r="F62" s="7" t="n">
        <f aca="false">$B62</f>
        <v>0.5</v>
      </c>
      <c r="G62" s="7" t="n">
        <f aca="false">$B62</f>
        <v>0.5</v>
      </c>
      <c r="H62" s="7" t="n">
        <f aca="false">$B62</f>
        <v>0.5</v>
      </c>
      <c r="I62" s="7" t="n">
        <f aca="false">$B62</f>
        <v>0.5</v>
      </c>
      <c r="J62" s="7" t="n">
        <f aca="false">$B62</f>
        <v>0.5</v>
      </c>
      <c r="K62" s="7" t="n">
        <f aca="false">$B62</f>
        <v>0.5</v>
      </c>
      <c r="L62" s="7" t="n">
        <f aca="false">$B62</f>
        <v>0.5</v>
      </c>
      <c r="M62" s="7" t="n">
        <f aca="false">$B62</f>
        <v>0.5</v>
      </c>
      <c r="N62" s="7" t="n">
        <f aca="false">$B62</f>
        <v>0.5</v>
      </c>
      <c r="O62" s="7" t="n">
        <f aca="false">$B62</f>
        <v>0.5</v>
      </c>
      <c r="P62" s="7" t="n">
        <f aca="false">$B62</f>
        <v>0.5</v>
      </c>
      <c r="Q62" s="7" t="n">
        <f aca="false">$B62</f>
        <v>0.5</v>
      </c>
      <c r="R62" s="7" t="n">
        <f aca="false">$B62</f>
        <v>0.5</v>
      </c>
      <c r="S62" s="7" t="n">
        <f aca="false">$B62</f>
        <v>0.5</v>
      </c>
      <c r="T62" s="7" t="n">
        <f aca="false">$B62</f>
        <v>0.5</v>
      </c>
      <c r="U62" s="7" t="n">
        <f aca="false">$B62</f>
        <v>0.5</v>
      </c>
      <c r="V62" s="7" t="n">
        <f aca="false">$B62</f>
        <v>0.5</v>
      </c>
      <c r="W62" s="7" t="n">
        <f aca="false">$B62</f>
        <v>0.5</v>
      </c>
      <c r="X62" s="7" t="n">
        <f aca="false">$B62</f>
        <v>0.5</v>
      </c>
      <c r="Y62" s="7" t="n">
        <f aca="false">$B62</f>
        <v>0.5</v>
      </c>
      <c r="Z62" s="7" t="n">
        <f aca="false">$B62</f>
        <v>0.5</v>
      </c>
      <c r="AA62" s="7" t="n">
        <f aca="false">$B62</f>
        <v>0.5</v>
      </c>
      <c r="AB62" s="7" t="n">
        <f aca="false">$B62</f>
        <v>0.5</v>
      </c>
      <c r="AC62" s="7" t="n">
        <f aca="false">$B62</f>
        <v>0.5</v>
      </c>
      <c r="AD62" s="7" t="n">
        <f aca="false">$B62</f>
        <v>0.5</v>
      </c>
      <c r="AE62" s="7" t="n">
        <f aca="false">$B62</f>
        <v>0.5</v>
      </c>
      <c r="AF62" s="7" t="n">
        <f aca="false">$B62</f>
        <v>0.5</v>
      </c>
      <c r="AG62" s="7" t="n">
        <f aca="false">$B62</f>
        <v>0.5</v>
      </c>
      <c r="AH62" s="7" t="n">
        <f aca="false">$B62</f>
        <v>0.5</v>
      </c>
      <c r="AI62" s="7" t="n">
        <f aca="false">$B62</f>
        <v>0.5</v>
      </c>
      <c r="AJ62" s="7" t="n">
        <f aca="false">$B62</f>
        <v>0.5</v>
      </c>
      <c r="AK62" s="7" t="n">
        <f aca="false">$B62</f>
        <v>0.5</v>
      </c>
      <c r="AL62" s="7" t="n">
        <f aca="false">$B62</f>
        <v>0.5</v>
      </c>
      <c r="AM62" s="7" t="n">
        <f aca="false">$B62</f>
        <v>0.5</v>
      </c>
      <c r="AN62" s="7" t="n">
        <f aca="false">$B62</f>
        <v>0.5</v>
      </c>
      <c r="AO62" s="7" t="n">
        <f aca="false">$B62</f>
        <v>0.5</v>
      </c>
      <c r="AP62" s="7" t="n">
        <f aca="false">$B62</f>
        <v>0.5</v>
      </c>
      <c r="AQ62" s="7" t="n">
        <f aca="false">$B62</f>
        <v>0.5</v>
      </c>
      <c r="AR62" s="7" t="n">
        <f aca="false">$B62</f>
        <v>0.5</v>
      </c>
      <c r="AS62" s="7" t="n">
        <f aca="false">$B62</f>
        <v>0.5</v>
      </c>
      <c r="AT62" s="7" t="n">
        <f aca="false">$B62</f>
        <v>0.5</v>
      </c>
      <c r="AU62" s="7" t="n">
        <f aca="false">$B62</f>
        <v>0.5</v>
      </c>
      <c r="AV62" s="7" t="n">
        <f aca="false">$B62</f>
        <v>0.5</v>
      </c>
      <c r="AW62" s="7" t="n">
        <f aca="false">$B62</f>
        <v>0.5</v>
      </c>
      <c r="AX62" s="7" t="n">
        <f aca="false">$B62</f>
        <v>0.5</v>
      </c>
      <c r="AY62" s="7" t="n">
        <f aca="false">$B62</f>
        <v>0.5</v>
      </c>
      <c r="AZ62" s="7" t="n">
        <f aca="false">$B62</f>
        <v>0.5</v>
      </c>
      <c r="BA62" s="7" t="n">
        <f aca="false">$B62</f>
        <v>0.5</v>
      </c>
      <c r="BB62" s="7" t="n">
        <f aca="false">$B62</f>
        <v>0.5</v>
      </c>
      <c r="BC62" s="7" t="n">
        <f aca="false">$B62</f>
        <v>0.5</v>
      </c>
      <c r="BD62" s="7" t="n">
        <f aca="false">$B62</f>
        <v>0.5</v>
      </c>
    </row>
    <row r="63" customFormat="false" ht="15" hidden="false" customHeight="false" outlineLevel="0" collapsed="false">
      <c r="A63" s="0" t="s">
        <v>288</v>
      </c>
      <c r="B63" s="11" t="n">
        <v>0.75</v>
      </c>
      <c r="C63" s="3" t="s">
        <v>289</v>
      </c>
      <c r="E63" s="7" t="n">
        <f aca="false">$B63</f>
        <v>0.75</v>
      </c>
      <c r="F63" s="7" t="n">
        <f aca="false">$B63</f>
        <v>0.75</v>
      </c>
      <c r="G63" s="7" t="n">
        <f aca="false">$B63</f>
        <v>0.75</v>
      </c>
      <c r="H63" s="7" t="n">
        <f aca="false">$B63</f>
        <v>0.75</v>
      </c>
      <c r="I63" s="7" t="n">
        <f aca="false">$B63</f>
        <v>0.75</v>
      </c>
      <c r="J63" s="7" t="n">
        <f aca="false">$B63</f>
        <v>0.75</v>
      </c>
      <c r="K63" s="7" t="n">
        <f aca="false">$B63</f>
        <v>0.75</v>
      </c>
      <c r="L63" s="7" t="n">
        <f aca="false">$B63</f>
        <v>0.75</v>
      </c>
      <c r="M63" s="7" t="n">
        <f aca="false">$B63</f>
        <v>0.75</v>
      </c>
      <c r="N63" s="7" t="n">
        <f aca="false">$B63</f>
        <v>0.75</v>
      </c>
      <c r="O63" s="7" t="n">
        <f aca="false">$B63</f>
        <v>0.75</v>
      </c>
      <c r="P63" s="7" t="n">
        <f aca="false">$B63</f>
        <v>0.75</v>
      </c>
      <c r="Q63" s="7" t="n">
        <f aca="false">$B63</f>
        <v>0.75</v>
      </c>
      <c r="R63" s="7" t="n">
        <f aca="false">$B63</f>
        <v>0.75</v>
      </c>
      <c r="S63" s="7" t="n">
        <f aca="false">$B63</f>
        <v>0.75</v>
      </c>
      <c r="T63" s="7" t="n">
        <f aca="false">$B63</f>
        <v>0.75</v>
      </c>
      <c r="U63" s="7" t="n">
        <f aca="false">$B63</f>
        <v>0.75</v>
      </c>
      <c r="V63" s="7" t="n">
        <f aca="false">$B63</f>
        <v>0.75</v>
      </c>
      <c r="W63" s="7" t="n">
        <f aca="false">$B63</f>
        <v>0.75</v>
      </c>
      <c r="X63" s="7" t="n">
        <f aca="false">$B63</f>
        <v>0.75</v>
      </c>
      <c r="Y63" s="7" t="n">
        <f aca="false">$B63</f>
        <v>0.75</v>
      </c>
      <c r="Z63" s="7" t="n">
        <f aca="false">$B63</f>
        <v>0.75</v>
      </c>
      <c r="AA63" s="7" t="n">
        <f aca="false">$B63</f>
        <v>0.75</v>
      </c>
      <c r="AB63" s="7" t="n">
        <f aca="false">$B63</f>
        <v>0.75</v>
      </c>
      <c r="AC63" s="7" t="n">
        <f aca="false">$B63</f>
        <v>0.75</v>
      </c>
      <c r="AD63" s="7" t="n">
        <f aca="false">$B63</f>
        <v>0.75</v>
      </c>
      <c r="AE63" s="7" t="n">
        <f aca="false">$B63</f>
        <v>0.75</v>
      </c>
      <c r="AF63" s="7" t="n">
        <f aca="false">$B63</f>
        <v>0.75</v>
      </c>
      <c r="AG63" s="7" t="n">
        <f aca="false">$B63</f>
        <v>0.75</v>
      </c>
      <c r="AH63" s="7" t="n">
        <f aca="false">$B63</f>
        <v>0.75</v>
      </c>
      <c r="AI63" s="7" t="n">
        <f aca="false">$B63</f>
        <v>0.75</v>
      </c>
      <c r="AJ63" s="7" t="n">
        <f aca="false">$B63</f>
        <v>0.75</v>
      </c>
      <c r="AK63" s="7" t="n">
        <f aca="false">$B63</f>
        <v>0.75</v>
      </c>
      <c r="AL63" s="7" t="n">
        <f aca="false">$B63</f>
        <v>0.75</v>
      </c>
      <c r="AM63" s="7" t="n">
        <f aca="false">$B63</f>
        <v>0.75</v>
      </c>
      <c r="AN63" s="7" t="n">
        <f aca="false">$B63</f>
        <v>0.75</v>
      </c>
      <c r="AO63" s="7" t="n">
        <f aca="false">$B63</f>
        <v>0.75</v>
      </c>
      <c r="AP63" s="7" t="n">
        <f aca="false">$B63</f>
        <v>0.75</v>
      </c>
      <c r="AQ63" s="7" t="n">
        <f aca="false">$B63</f>
        <v>0.75</v>
      </c>
      <c r="AR63" s="7" t="n">
        <f aca="false">$B63</f>
        <v>0.75</v>
      </c>
      <c r="AS63" s="7" t="n">
        <f aca="false">$B63</f>
        <v>0.75</v>
      </c>
      <c r="AT63" s="7" t="n">
        <f aca="false">$B63</f>
        <v>0.75</v>
      </c>
      <c r="AU63" s="7" t="n">
        <f aca="false">$B63</f>
        <v>0.75</v>
      </c>
      <c r="AV63" s="7" t="n">
        <f aca="false">$B63</f>
        <v>0.75</v>
      </c>
      <c r="AW63" s="7" t="n">
        <f aca="false">$B63</f>
        <v>0.75</v>
      </c>
      <c r="AX63" s="7" t="n">
        <f aca="false">$B63</f>
        <v>0.75</v>
      </c>
      <c r="AY63" s="7" t="n">
        <f aca="false">$B63</f>
        <v>0.75</v>
      </c>
      <c r="AZ63" s="7" t="n">
        <f aca="false">$B63</f>
        <v>0.75</v>
      </c>
      <c r="BA63" s="7" t="n">
        <f aca="false">$B63</f>
        <v>0.75</v>
      </c>
      <c r="BB63" s="7" t="n">
        <f aca="false">$B63</f>
        <v>0.75</v>
      </c>
      <c r="BC63" s="7" t="n">
        <f aca="false">$B63</f>
        <v>0.75</v>
      </c>
      <c r="BD63" s="7" t="n">
        <f aca="false">$B63</f>
        <v>0.75</v>
      </c>
    </row>
    <row r="64" customFormat="false" ht="15" hidden="false" customHeight="false" outlineLevel="0" collapsed="false">
      <c r="A64" s="0" t="s">
        <v>290</v>
      </c>
      <c r="B64" s="11" t="n">
        <v>0.5</v>
      </c>
      <c r="C64" s="3" t="s">
        <v>291</v>
      </c>
      <c r="E64" s="7" t="n">
        <f aca="false">$B64</f>
        <v>0.5</v>
      </c>
      <c r="F64" s="7" t="n">
        <f aca="false">$B64</f>
        <v>0.5</v>
      </c>
      <c r="G64" s="7" t="n">
        <f aca="false">$B64</f>
        <v>0.5</v>
      </c>
      <c r="H64" s="7" t="n">
        <f aca="false">$B64</f>
        <v>0.5</v>
      </c>
      <c r="I64" s="7" t="n">
        <f aca="false">$B64</f>
        <v>0.5</v>
      </c>
      <c r="J64" s="7" t="n">
        <f aca="false">$B64</f>
        <v>0.5</v>
      </c>
      <c r="K64" s="7" t="n">
        <f aca="false">$B64</f>
        <v>0.5</v>
      </c>
      <c r="L64" s="7" t="n">
        <f aca="false">$B64</f>
        <v>0.5</v>
      </c>
      <c r="M64" s="7" t="n">
        <f aca="false">$B64</f>
        <v>0.5</v>
      </c>
      <c r="N64" s="7" t="n">
        <f aca="false">$B64</f>
        <v>0.5</v>
      </c>
      <c r="O64" s="7" t="n">
        <f aca="false">$B64</f>
        <v>0.5</v>
      </c>
      <c r="P64" s="7" t="n">
        <f aca="false">$B64</f>
        <v>0.5</v>
      </c>
      <c r="Q64" s="7" t="n">
        <f aca="false">$B64</f>
        <v>0.5</v>
      </c>
      <c r="R64" s="7" t="n">
        <f aca="false">$B64</f>
        <v>0.5</v>
      </c>
      <c r="S64" s="7" t="n">
        <f aca="false">$B64</f>
        <v>0.5</v>
      </c>
      <c r="T64" s="7" t="n">
        <f aca="false">$B64</f>
        <v>0.5</v>
      </c>
      <c r="U64" s="7" t="n">
        <f aca="false">$B64</f>
        <v>0.5</v>
      </c>
      <c r="V64" s="7" t="n">
        <f aca="false">$B64</f>
        <v>0.5</v>
      </c>
      <c r="W64" s="7" t="n">
        <f aca="false">$B64</f>
        <v>0.5</v>
      </c>
      <c r="X64" s="7" t="n">
        <f aca="false">$B64</f>
        <v>0.5</v>
      </c>
      <c r="Y64" s="7" t="n">
        <f aca="false">$B64</f>
        <v>0.5</v>
      </c>
      <c r="Z64" s="7" t="n">
        <f aca="false">$B64</f>
        <v>0.5</v>
      </c>
      <c r="AA64" s="7" t="n">
        <f aca="false">$B64</f>
        <v>0.5</v>
      </c>
      <c r="AB64" s="7" t="n">
        <f aca="false">$B64</f>
        <v>0.5</v>
      </c>
      <c r="AC64" s="7" t="n">
        <f aca="false">$B64</f>
        <v>0.5</v>
      </c>
      <c r="AD64" s="7" t="n">
        <f aca="false">$B64</f>
        <v>0.5</v>
      </c>
      <c r="AE64" s="7" t="n">
        <f aca="false">$B64</f>
        <v>0.5</v>
      </c>
      <c r="AF64" s="7" t="n">
        <f aca="false">$B64</f>
        <v>0.5</v>
      </c>
      <c r="AG64" s="7" t="n">
        <f aca="false">$B64</f>
        <v>0.5</v>
      </c>
      <c r="AH64" s="7" t="n">
        <f aca="false">$B64</f>
        <v>0.5</v>
      </c>
      <c r="AI64" s="7" t="n">
        <f aca="false">$B64</f>
        <v>0.5</v>
      </c>
      <c r="AJ64" s="7" t="n">
        <f aca="false">$B64</f>
        <v>0.5</v>
      </c>
      <c r="AK64" s="7" t="n">
        <f aca="false">$B64</f>
        <v>0.5</v>
      </c>
      <c r="AL64" s="7" t="n">
        <f aca="false">$B64</f>
        <v>0.5</v>
      </c>
      <c r="AM64" s="7" t="n">
        <f aca="false">$B64</f>
        <v>0.5</v>
      </c>
      <c r="AN64" s="7" t="n">
        <f aca="false">$B64</f>
        <v>0.5</v>
      </c>
      <c r="AO64" s="7" t="n">
        <f aca="false">$B64</f>
        <v>0.5</v>
      </c>
      <c r="AP64" s="7" t="n">
        <f aca="false">$B64</f>
        <v>0.5</v>
      </c>
      <c r="AQ64" s="7" t="n">
        <f aca="false">$B64</f>
        <v>0.5</v>
      </c>
      <c r="AR64" s="7" t="n">
        <f aca="false">$B64</f>
        <v>0.5</v>
      </c>
      <c r="AS64" s="7" t="n">
        <f aca="false">$B64</f>
        <v>0.5</v>
      </c>
      <c r="AT64" s="7" t="n">
        <f aca="false">$B64</f>
        <v>0.5</v>
      </c>
      <c r="AU64" s="7" t="n">
        <f aca="false">$B64</f>
        <v>0.5</v>
      </c>
      <c r="AV64" s="7" t="n">
        <f aca="false">$B64</f>
        <v>0.5</v>
      </c>
      <c r="AW64" s="7" t="n">
        <f aca="false">$B64</f>
        <v>0.5</v>
      </c>
      <c r="AX64" s="7" t="n">
        <f aca="false">$B64</f>
        <v>0.5</v>
      </c>
      <c r="AY64" s="7" t="n">
        <f aca="false">$B64</f>
        <v>0.5</v>
      </c>
      <c r="AZ64" s="7" t="n">
        <f aca="false">$B64</f>
        <v>0.5</v>
      </c>
      <c r="BA64" s="7" t="n">
        <f aca="false">$B64</f>
        <v>0.5</v>
      </c>
      <c r="BB64" s="7" t="n">
        <f aca="false">$B64</f>
        <v>0.5</v>
      </c>
      <c r="BC64" s="7" t="n">
        <f aca="false">$B64</f>
        <v>0.5</v>
      </c>
      <c r="BD64" s="7" t="n">
        <f aca="false">$B64</f>
        <v>0.5</v>
      </c>
    </row>
    <row r="65" customFormat="false" ht="15" hidden="false" customHeight="false" outlineLevel="0" collapsed="false">
      <c r="A65" s="0" t="s">
        <v>292</v>
      </c>
      <c r="B65" s="11" t="n">
        <v>0.25</v>
      </c>
      <c r="C65" s="3" t="s">
        <v>293</v>
      </c>
      <c r="E65" s="7" t="n">
        <f aca="false">$B65</f>
        <v>0.25</v>
      </c>
      <c r="F65" s="7" t="n">
        <f aca="false">$B65</f>
        <v>0.25</v>
      </c>
      <c r="G65" s="7" t="n">
        <f aca="false">$B65</f>
        <v>0.25</v>
      </c>
      <c r="H65" s="7" t="n">
        <f aca="false">$B65</f>
        <v>0.25</v>
      </c>
      <c r="I65" s="7" t="n">
        <f aca="false">$B65</f>
        <v>0.25</v>
      </c>
      <c r="J65" s="7" t="n">
        <f aca="false">$B65</f>
        <v>0.25</v>
      </c>
      <c r="K65" s="7" t="n">
        <f aca="false">$B65</f>
        <v>0.25</v>
      </c>
      <c r="L65" s="7" t="n">
        <f aca="false">$B65</f>
        <v>0.25</v>
      </c>
      <c r="M65" s="7" t="n">
        <f aca="false">$B65</f>
        <v>0.25</v>
      </c>
      <c r="N65" s="7" t="n">
        <f aca="false">$B65</f>
        <v>0.25</v>
      </c>
      <c r="O65" s="7" t="n">
        <f aca="false">$B65</f>
        <v>0.25</v>
      </c>
      <c r="P65" s="7" t="n">
        <f aca="false">$B65</f>
        <v>0.25</v>
      </c>
      <c r="Q65" s="7" t="n">
        <f aca="false">$B65</f>
        <v>0.25</v>
      </c>
      <c r="R65" s="7" t="n">
        <f aca="false">$B65</f>
        <v>0.25</v>
      </c>
      <c r="S65" s="7" t="n">
        <f aca="false">$B65</f>
        <v>0.25</v>
      </c>
      <c r="T65" s="7" t="n">
        <f aca="false">$B65</f>
        <v>0.25</v>
      </c>
      <c r="U65" s="7" t="n">
        <f aca="false">$B65</f>
        <v>0.25</v>
      </c>
      <c r="V65" s="7" t="n">
        <f aca="false">$B65</f>
        <v>0.25</v>
      </c>
      <c r="W65" s="7" t="n">
        <f aca="false">$B65</f>
        <v>0.25</v>
      </c>
      <c r="X65" s="7" t="n">
        <f aca="false">$B65</f>
        <v>0.25</v>
      </c>
      <c r="Y65" s="7" t="n">
        <f aca="false">$B65</f>
        <v>0.25</v>
      </c>
      <c r="Z65" s="7" t="n">
        <f aca="false">$B65</f>
        <v>0.25</v>
      </c>
      <c r="AA65" s="7" t="n">
        <f aca="false">$B65</f>
        <v>0.25</v>
      </c>
      <c r="AB65" s="7" t="n">
        <f aca="false">$B65</f>
        <v>0.25</v>
      </c>
      <c r="AC65" s="7" t="n">
        <f aca="false">$B65</f>
        <v>0.25</v>
      </c>
      <c r="AD65" s="7" t="n">
        <f aca="false">$B65</f>
        <v>0.25</v>
      </c>
      <c r="AE65" s="7" t="n">
        <f aca="false">$B65</f>
        <v>0.25</v>
      </c>
      <c r="AF65" s="7" t="n">
        <f aca="false">$B65</f>
        <v>0.25</v>
      </c>
      <c r="AG65" s="7" t="n">
        <f aca="false">$B65</f>
        <v>0.25</v>
      </c>
      <c r="AH65" s="7" t="n">
        <f aca="false">$B65</f>
        <v>0.25</v>
      </c>
      <c r="AI65" s="7" t="n">
        <f aca="false">$B65</f>
        <v>0.25</v>
      </c>
      <c r="AJ65" s="7" t="n">
        <f aca="false">$B65</f>
        <v>0.25</v>
      </c>
      <c r="AK65" s="7" t="n">
        <f aca="false">$B65</f>
        <v>0.25</v>
      </c>
      <c r="AL65" s="7" t="n">
        <f aca="false">$B65</f>
        <v>0.25</v>
      </c>
      <c r="AM65" s="7" t="n">
        <f aca="false">$B65</f>
        <v>0.25</v>
      </c>
      <c r="AN65" s="7" t="n">
        <f aca="false">$B65</f>
        <v>0.25</v>
      </c>
      <c r="AO65" s="7" t="n">
        <f aca="false">$B65</f>
        <v>0.25</v>
      </c>
      <c r="AP65" s="7" t="n">
        <f aca="false">$B65</f>
        <v>0.25</v>
      </c>
      <c r="AQ65" s="7" t="n">
        <f aca="false">$B65</f>
        <v>0.25</v>
      </c>
      <c r="AR65" s="7" t="n">
        <f aca="false">$B65</f>
        <v>0.25</v>
      </c>
      <c r="AS65" s="7" t="n">
        <f aca="false">$B65</f>
        <v>0.25</v>
      </c>
      <c r="AT65" s="7" t="n">
        <f aca="false">$B65</f>
        <v>0.25</v>
      </c>
      <c r="AU65" s="7" t="n">
        <f aca="false">$B65</f>
        <v>0.25</v>
      </c>
      <c r="AV65" s="7" t="n">
        <f aca="false">$B65</f>
        <v>0.25</v>
      </c>
      <c r="AW65" s="7" t="n">
        <f aca="false">$B65</f>
        <v>0.25</v>
      </c>
      <c r="AX65" s="7" t="n">
        <f aca="false">$B65</f>
        <v>0.25</v>
      </c>
      <c r="AY65" s="7" t="n">
        <f aca="false">$B65</f>
        <v>0.25</v>
      </c>
      <c r="AZ65" s="7" t="n">
        <f aca="false">$B65</f>
        <v>0.25</v>
      </c>
      <c r="BA65" s="7" t="n">
        <f aca="false">$B65</f>
        <v>0.25</v>
      </c>
      <c r="BB65" s="7" t="n">
        <f aca="false">$B65</f>
        <v>0.25</v>
      </c>
      <c r="BC65" s="7" t="n">
        <f aca="false">$B65</f>
        <v>0.25</v>
      </c>
      <c r="BD65" s="7" t="n">
        <f aca="false">$B65</f>
        <v>0.25</v>
      </c>
    </row>
    <row r="66" customFormat="false" ht="15" hidden="false" customHeight="false" outlineLevel="0" collapsed="false">
      <c r="A66" s="0" t="s">
        <v>294</v>
      </c>
      <c r="B66" s="11" t="n">
        <v>0.75</v>
      </c>
      <c r="C66" s="3" t="s">
        <v>295</v>
      </c>
      <c r="E66" s="7" t="n">
        <f aca="false">$B66</f>
        <v>0.75</v>
      </c>
      <c r="F66" s="7" t="n">
        <f aca="false">$B66</f>
        <v>0.75</v>
      </c>
      <c r="G66" s="7" t="n">
        <f aca="false">$B66</f>
        <v>0.75</v>
      </c>
      <c r="H66" s="7" t="n">
        <f aca="false">$B66</f>
        <v>0.75</v>
      </c>
      <c r="I66" s="7" t="n">
        <f aca="false">$B66</f>
        <v>0.75</v>
      </c>
      <c r="J66" s="7" t="n">
        <f aca="false">$B66</f>
        <v>0.75</v>
      </c>
      <c r="K66" s="7" t="n">
        <f aca="false">$B66</f>
        <v>0.75</v>
      </c>
      <c r="L66" s="7" t="n">
        <f aca="false">$B66</f>
        <v>0.75</v>
      </c>
      <c r="M66" s="7" t="n">
        <f aca="false">$B66</f>
        <v>0.75</v>
      </c>
      <c r="N66" s="7" t="n">
        <f aca="false">$B66</f>
        <v>0.75</v>
      </c>
      <c r="O66" s="7" t="n">
        <f aca="false">$B66</f>
        <v>0.75</v>
      </c>
      <c r="P66" s="7" t="n">
        <f aca="false">$B66</f>
        <v>0.75</v>
      </c>
      <c r="Q66" s="7" t="n">
        <f aca="false">$B66</f>
        <v>0.75</v>
      </c>
      <c r="R66" s="7" t="n">
        <f aca="false">$B66</f>
        <v>0.75</v>
      </c>
      <c r="S66" s="7" t="n">
        <f aca="false">$B66</f>
        <v>0.75</v>
      </c>
      <c r="T66" s="7" t="n">
        <f aca="false">$B66</f>
        <v>0.75</v>
      </c>
      <c r="U66" s="7" t="n">
        <f aca="false">$B66</f>
        <v>0.75</v>
      </c>
      <c r="V66" s="7" t="n">
        <f aca="false">$B66</f>
        <v>0.75</v>
      </c>
      <c r="W66" s="7" t="n">
        <f aca="false">$B66</f>
        <v>0.75</v>
      </c>
      <c r="X66" s="7" t="n">
        <f aca="false">$B66</f>
        <v>0.75</v>
      </c>
      <c r="Y66" s="7" t="n">
        <f aca="false">$B66</f>
        <v>0.75</v>
      </c>
      <c r="Z66" s="7" t="n">
        <f aca="false">$B66</f>
        <v>0.75</v>
      </c>
      <c r="AA66" s="7" t="n">
        <f aca="false">$B66</f>
        <v>0.75</v>
      </c>
      <c r="AB66" s="7" t="n">
        <f aca="false">$B66</f>
        <v>0.75</v>
      </c>
      <c r="AC66" s="7" t="n">
        <f aca="false">$B66</f>
        <v>0.75</v>
      </c>
      <c r="AD66" s="7" t="n">
        <f aca="false">$B66</f>
        <v>0.75</v>
      </c>
      <c r="AE66" s="7" t="n">
        <f aca="false">$B66</f>
        <v>0.75</v>
      </c>
      <c r="AF66" s="7" t="n">
        <f aca="false">$B66</f>
        <v>0.75</v>
      </c>
      <c r="AG66" s="7" t="n">
        <f aca="false">$B66</f>
        <v>0.75</v>
      </c>
      <c r="AH66" s="7" t="n">
        <f aca="false">$B66</f>
        <v>0.75</v>
      </c>
      <c r="AI66" s="7" t="n">
        <f aca="false">$B66</f>
        <v>0.75</v>
      </c>
      <c r="AJ66" s="7" t="n">
        <f aca="false">$B66</f>
        <v>0.75</v>
      </c>
      <c r="AK66" s="7" t="n">
        <f aca="false">$B66</f>
        <v>0.75</v>
      </c>
      <c r="AL66" s="7" t="n">
        <f aca="false">$B66</f>
        <v>0.75</v>
      </c>
      <c r="AM66" s="7" t="n">
        <f aca="false">$B66</f>
        <v>0.75</v>
      </c>
      <c r="AN66" s="7" t="n">
        <f aca="false">$B66</f>
        <v>0.75</v>
      </c>
      <c r="AO66" s="7" t="n">
        <f aca="false">$B66</f>
        <v>0.75</v>
      </c>
      <c r="AP66" s="7" t="n">
        <f aca="false">$B66</f>
        <v>0.75</v>
      </c>
      <c r="AQ66" s="7" t="n">
        <f aca="false">$B66</f>
        <v>0.75</v>
      </c>
      <c r="AR66" s="7" t="n">
        <f aca="false">$B66</f>
        <v>0.75</v>
      </c>
      <c r="AS66" s="7" t="n">
        <f aca="false">$B66</f>
        <v>0.75</v>
      </c>
      <c r="AT66" s="7" t="n">
        <f aca="false">$B66</f>
        <v>0.75</v>
      </c>
      <c r="AU66" s="7" t="n">
        <f aca="false">$B66</f>
        <v>0.75</v>
      </c>
      <c r="AV66" s="7" t="n">
        <f aca="false">$B66</f>
        <v>0.75</v>
      </c>
      <c r="AW66" s="7" t="n">
        <f aca="false">$B66</f>
        <v>0.75</v>
      </c>
      <c r="AX66" s="7" t="n">
        <f aca="false">$B66</f>
        <v>0.75</v>
      </c>
      <c r="AY66" s="7" t="n">
        <f aca="false">$B66</f>
        <v>0.75</v>
      </c>
      <c r="AZ66" s="7" t="n">
        <f aca="false">$B66</f>
        <v>0.75</v>
      </c>
      <c r="BA66" s="7" t="n">
        <f aca="false">$B66</f>
        <v>0.75</v>
      </c>
      <c r="BB66" s="7" t="n">
        <f aca="false">$B66</f>
        <v>0.75</v>
      </c>
      <c r="BC66" s="7" t="n">
        <f aca="false">$B66</f>
        <v>0.75</v>
      </c>
      <c r="BD66" s="7" t="n">
        <f aca="false">$B66</f>
        <v>0.75</v>
      </c>
    </row>
    <row r="67" customFormat="false" ht="15" hidden="false" customHeight="false" outlineLevel="0" collapsed="false">
      <c r="A67" s="4" t="s">
        <v>296</v>
      </c>
      <c r="E67" s="10" t="n">
        <f aca="false">SUM(E62:E66)</f>
        <v>2.75</v>
      </c>
      <c r="F67" s="10" t="n">
        <f aca="false">SUM(F62:F66)</f>
        <v>2.75</v>
      </c>
      <c r="G67" s="10" t="n">
        <f aca="false">SUM(G62:G66)</f>
        <v>2.75</v>
      </c>
      <c r="H67" s="10" t="n">
        <f aca="false">SUM(H62:H66)</f>
        <v>2.75</v>
      </c>
      <c r="I67" s="10" t="n">
        <f aca="false">SUM(I62:I66)</f>
        <v>2.75</v>
      </c>
      <c r="J67" s="10" t="n">
        <f aca="false">SUM(J62:J66)</f>
        <v>2.75</v>
      </c>
      <c r="K67" s="10" t="n">
        <f aca="false">SUM(K62:K66)</f>
        <v>2.75</v>
      </c>
      <c r="L67" s="10" t="n">
        <f aca="false">SUM(L62:L66)</f>
        <v>2.75</v>
      </c>
      <c r="M67" s="10" t="n">
        <f aca="false">SUM(M62:M66)</f>
        <v>2.75</v>
      </c>
      <c r="N67" s="10" t="n">
        <f aca="false">SUM(N62:N66)</f>
        <v>2.75</v>
      </c>
      <c r="O67" s="10" t="n">
        <f aca="false">SUM(O62:O66)</f>
        <v>2.75</v>
      </c>
      <c r="P67" s="10" t="n">
        <f aca="false">SUM(P62:P66)</f>
        <v>2.75</v>
      </c>
      <c r="Q67" s="10" t="n">
        <f aca="false">SUM(Q62:Q66)</f>
        <v>2.75</v>
      </c>
      <c r="R67" s="10" t="n">
        <f aca="false">SUM(R62:R66)</f>
        <v>2.75</v>
      </c>
      <c r="S67" s="10" t="n">
        <f aca="false">SUM(S62:S66)</f>
        <v>2.75</v>
      </c>
      <c r="T67" s="10" t="n">
        <f aca="false">SUM(T62:T66)</f>
        <v>2.75</v>
      </c>
      <c r="U67" s="10" t="n">
        <f aca="false">SUM(U62:U66)</f>
        <v>2.75</v>
      </c>
      <c r="V67" s="10" t="n">
        <f aca="false">SUM(V62:V66)</f>
        <v>2.75</v>
      </c>
      <c r="W67" s="10" t="n">
        <f aca="false">SUM(W62:W66)</f>
        <v>2.75</v>
      </c>
      <c r="X67" s="10" t="n">
        <f aca="false">SUM(X62:X66)</f>
        <v>2.75</v>
      </c>
      <c r="Y67" s="10" t="n">
        <f aca="false">SUM(Y62:Y66)</f>
        <v>2.75</v>
      </c>
      <c r="Z67" s="10" t="n">
        <f aca="false">SUM(Z62:Z66)</f>
        <v>2.75</v>
      </c>
      <c r="AA67" s="10" t="n">
        <f aca="false">SUM(AA62:AA66)</f>
        <v>2.75</v>
      </c>
      <c r="AB67" s="10" t="n">
        <f aca="false">SUM(AB62:AB66)</f>
        <v>2.75</v>
      </c>
      <c r="AC67" s="10" t="n">
        <f aca="false">SUM(AC62:AC66)</f>
        <v>2.75</v>
      </c>
      <c r="AD67" s="10" t="n">
        <f aca="false">SUM(AD62:AD66)</f>
        <v>2.75</v>
      </c>
      <c r="AE67" s="10" t="n">
        <f aca="false">SUM(AE62:AE66)</f>
        <v>2.75</v>
      </c>
      <c r="AF67" s="10" t="n">
        <f aca="false">SUM(AF62:AF66)</f>
        <v>2.75</v>
      </c>
      <c r="AG67" s="10" t="n">
        <f aca="false">SUM(AG62:AG66)</f>
        <v>2.75</v>
      </c>
      <c r="AH67" s="10" t="n">
        <f aca="false">SUM(AH62:AH66)</f>
        <v>2.75</v>
      </c>
      <c r="AI67" s="10" t="n">
        <f aca="false">SUM(AI62:AI66)</f>
        <v>2.75</v>
      </c>
      <c r="AJ67" s="10" t="n">
        <f aca="false">SUM(AJ62:AJ66)</f>
        <v>2.75</v>
      </c>
      <c r="AK67" s="10" t="n">
        <f aca="false">SUM(AK62:AK66)</f>
        <v>2.75</v>
      </c>
      <c r="AL67" s="10" t="n">
        <f aca="false">SUM(AL62:AL66)</f>
        <v>2.75</v>
      </c>
      <c r="AM67" s="10" t="n">
        <f aca="false">SUM(AM62:AM66)</f>
        <v>2.75</v>
      </c>
      <c r="AN67" s="10" t="n">
        <f aca="false">SUM(AN62:AN66)</f>
        <v>2.75</v>
      </c>
      <c r="AO67" s="10" t="n">
        <f aca="false">SUM(AO62:AO66)</f>
        <v>2.75</v>
      </c>
      <c r="AP67" s="10" t="n">
        <f aca="false">SUM(AP62:AP66)</f>
        <v>2.75</v>
      </c>
      <c r="AQ67" s="10" t="n">
        <f aca="false">SUM(AQ62:AQ66)</f>
        <v>2.75</v>
      </c>
      <c r="AR67" s="10" t="n">
        <f aca="false">SUM(AR62:AR66)</f>
        <v>2.75</v>
      </c>
      <c r="AS67" s="10" t="n">
        <f aca="false">SUM(AS62:AS66)</f>
        <v>2.75</v>
      </c>
      <c r="AT67" s="10" t="n">
        <f aca="false">SUM(AT62:AT66)</f>
        <v>2.75</v>
      </c>
      <c r="AU67" s="10" t="n">
        <f aca="false">SUM(AU62:AU66)</f>
        <v>2.75</v>
      </c>
      <c r="AV67" s="10" t="n">
        <f aca="false">SUM(AV62:AV66)</f>
        <v>2.75</v>
      </c>
      <c r="AW67" s="10" t="n">
        <f aca="false">SUM(AW62:AW66)</f>
        <v>2.75</v>
      </c>
      <c r="AX67" s="10" t="n">
        <f aca="false">SUM(AX62:AX66)</f>
        <v>2.75</v>
      </c>
      <c r="AY67" s="10" t="n">
        <f aca="false">SUM(AY62:AY66)</f>
        <v>2.75</v>
      </c>
      <c r="AZ67" s="10" t="n">
        <f aca="false">SUM(AZ62:AZ66)</f>
        <v>2.75</v>
      </c>
      <c r="BA67" s="10" t="n">
        <f aca="false">SUM(BA62:BA66)</f>
        <v>2.75</v>
      </c>
      <c r="BB67" s="10" t="n">
        <f aca="false">SUM(BB62:BB66)</f>
        <v>2.75</v>
      </c>
      <c r="BC67" s="10" t="n">
        <f aca="false">SUM(BC62:BC66)</f>
        <v>2.75</v>
      </c>
      <c r="BD67" s="10" t="n">
        <f aca="false">SUM(BD62:BD66)</f>
        <v>2.75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D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"/>
    <col collapsed="false" customWidth="true" hidden="false" outlineLevel="0" max="3" min="3" style="0" width="15"/>
    <col collapsed="false" customWidth="true" hidden="false" outlineLevel="0" max="4" min="4" style="0" width="8"/>
    <col collapsed="false" customWidth="true" hidden="false" outlineLevel="0" max="56" min="5" style="0" width="11"/>
  </cols>
  <sheetData>
    <row r="1" customFormat="false" ht="17.35" hidden="false" customHeight="false" outlineLevel="0" collapsed="false">
      <c r="A1" s="1" t="s">
        <v>297</v>
      </c>
    </row>
    <row r="3" customFormat="false" ht="15" hidden="false" customHeight="false" outlineLevel="0" collapsed="false">
      <c r="A3" s="0" t="s">
        <v>298</v>
      </c>
    </row>
    <row r="4" customFormat="false" ht="15" hidden="false" customHeight="false" outlineLevel="0" collapsed="false">
      <c r="E4" s="28" t="s">
        <v>95</v>
      </c>
      <c r="F4" s="28" t="s">
        <v>95</v>
      </c>
      <c r="G4" s="28" t="s">
        <v>95</v>
      </c>
      <c r="H4" s="28" t="s">
        <v>95</v>
      </c>
      <c r="I4" s="28" t="s">
        <v>95</v>
      </c>
      <c r="J4" s="28" t="s">
        <v>96</v>
      </c>
      <c r="K4" s="28" t="s">
        <v>96</v>
      </c>
      <c r="L4" s="28" t="s">
        <v>96</v>
      </c>
      <c r="M4" s="28" t="s">
        <v>96</v>
      </c>
      <c r="N4" s="28" t="s">
        <v>97</v>
      </c>
      <c r="O4" s="28" t="s">
        <v>97</v>
      </c>
      <c r="P4" s="28" t="s">
        <v>97</v>
      </c>
      <c r="Q4" s="28" t="s">
        <v>97</v>
      </c>
      <c r="R4" s="28" t="s">
        <v>98</v>
      </c>
      <c r="S4" s="28" t="s">
        <v>98</v>
      </c>
      <c r="T4" s="28" t="s">
        <v>98</v>
      </c>
      <c r="U4" s="28" t="s">
        <v>98</v>
      </c>
      <c r="V4" s="28" t="s">
        <v>98</v>
      </c>
      <c r="W4" s="28" t="s">
        <v>99</v>
      </c>
      <c r="X4" s="28" t="s">
        <v>99</v>
      </c>
      <c r="Y4" s="28" t="s">
        <v>99</v>
      </c>
      <c r="Z4" s="28" t="s">
        <v>99</v>
      </c>
      <c r="AA4" s="28" t="s">
        <v>100</v>
      </c>
      <c r="AB4" s="28" t="s">
        <v>100</v>
      </c>
      <c r="AC4" s="28" t="s">
        <v>100</v>
      </c>
      <c r="AD4" s="28" t="s">
        <v>100</v>
      </c>
      <c r="AE4" s="28" t="s">
        <v>101</v>
      </c>
      <c r="AF4" s="28" t="s">
        <v>101</v>
      </c>
      <c r="AG4" s="28" t="s">
        <v>101</v>
      </c>
      <c r="AH4" s="28" t="s">
        <v>101</v>
      </c>
      <c r="AI4" s="28" t="s">
        <v>101</v>
      </c>
      <c r="AJ4" s="28" t="s">
        <v>102</v>
      </c>
      <c r="AK4" s="28" t="s">
        <v>102</v>
      </c>
      <c r="AL4" s="28" t="s">
        <v>102</v>
      </c>
      <c r="AM4" s="28" t="s">
        <v>102</v>
      </c>
      <c r="AN4" s="28" t="s">
        <v>103</v>
      </c>
      <c r="AO4" s="28" t="s">
        <v>103</v>
      </c>
      <c r="AP4" s="28" t="s">
        <v>103</v>
      </c>
      <c r="AQ4" s="28" t="s">
        <v>103</v>
      </c>
      <c r="AR4" s="28" t="s">
        <v>104</v>
      </c>
      <c r="AS4" s="28" t="s">
        <v>104</v>
      </c>
      <c r="AT4" s="28" t="s">
        <v>104</v>
      </c>
      <c r="AU4" s="28" t="s">
        <v>104</v>
      </c>
      <c r="AV4" s="28" t="s">
        <v>104</v>
      </c>
      <c r="AW4" s="28" t="s">
        <v>105</v>
      </c>
      <c r="AX4" s="28" t="s">
        <v>105</v>
      </c>
      <c r="AY4" s="28" t="s">
        <v>105</v>
      </c>
      <c r="AZ4" s="28" t="s">
        <v>105</v>
      </c>
      <c r="BA4" s="28" t="s">
        <v>106</v>
      </c>
      <c r="BB4" s="28" t="s">
        <v>106</v>
      </c>
      <c r="BC4" s="28" t="s">
        <v>106</v>
      </c>
      <c r="BD4" s="28" t="s">
        <v>106</v>
      </c>
    </row>
    <row r="5" customFormat="false" ht="15" hidden="false" customHeight="false" outlineLevel="0" collapsed="false">
      <c r="A5" s="6" t="s">
        <v>94</v>
      </c>
      <c r="B5" s="6" t="s">
        <v>125</v>
      </c>
      <c r="C5" s="6" t="s">
        <v>114</v>
      </c>
      <c r="D5" s="6" t="s">
        <v>234</v>
      </c>
      <c r="E5" s="21" t="s">
        <v>140</v>
      </c>
      <c r="F5" s="21" t="s">
        <v>141</v>
      </c>
      <c r="G5" s="21" t="s">
        <v>142</v>
      </c>
      <c r="H5" s="21" t="s">
        <v>143</v>
      </c>
      <c r="I5" s="21" t="s">
        <v>144</v>
      </c>
      <c r="J5" s="21" t="s">
        <v>145</v>
      </c>
      <c r="K5" s="21" t="s">
        <v>146</v>
      </c>
      <c r="L5" s="21" t="s">
        <v>147</v>
      </c>
      <c r="M5" s="21" t="s">
        <v>148</v>
      </c>
      <c r="N5" s="21" t="s">
        <v>149</v>
      </c>
      <c r="O5" s="21" t="s">
        <v>150</v>
      </c>
      <c r="P5" s="21" t="s">
        <v>151</v>
      </c>
      <c r="Q5" s="21" t="s">
        <v>152</v>
      </c>
      <c r="R5" s="21" t="s">
        <v>153</v>
      </c>
      <c r="S5" s="21" t="s">
        <v>154</v>
      </c>
      <c r="T5" s="21" t="s">
        <v>155</v>
      </c>
      <c r="U5" s="21" t="s">
        <v>156</v>
      </c>
      <c r="V5" s="21" t="s">
        <v>157</v>
      </c>
      <c r="W5" s="21" t="s">
        <v>158</v>
      </c>
      <c r="X5" s="21" t="s">
        <v>159</v>
      </c>
      <c r="Y5" s="21" t="s">
        <v>160</v>
      </c>
      <c r="Z5" s="21" t="s">
        <v>161</v>
      </c>
      <c r="AA5" s="21" t="s">
        <v>162</v>
      </c>
      <c r="AB5" s="21" t="s">
        <v>163</v>
      </c>
      <c r="AC5" s="21" t="s">
        <v>164</v>
      </c>
      <c r="AD5" s="21" t="s">
        <v>165</v>
      </c>
      <c r="AE5" s="21" t="s">
        <v>166</v>
      </c>
      <c r="AF5" s="21" t="s">
        <v>167</v>
      </c>
      <c r="AG5" s="21" t="s">
        <v>168</v>
      </c>
      <c r="AH5" s="21" t="s">
        <v>169</v>
      </c>
      <c r="AI5" s="21" t="s">
        <v>170</v>
      </c>
      <c r="AJ5" s="21" t="s">
        <v>171</v>
      </c>
      <c r="AK5" s="21" t="s">
        <v>172</v>
      </c>
      <c r="AL5" s="21" t="s">
        <v>173</v>
      </c>
      <c r="AM5" s="21" t="s">
        <v>174</v>
      </c>
      <c r="AN5" s="21" t="s">
        <v>175</v>
      </c>
      <c r="AO5" s="21" t="s">
        <v>176</v>
      </c>
      <c r="AP5" s="21" t="s">
        <v>177</v>
      </c>
      <c r="AQ5" s="21" t="s">
        <v>178</v>
      </c>
      <c r="AR5" s="21" t="s">
        <v>179</v>
      </c>
      <c r="AS5" s="21" t="s">
        <v>180</v>
      </c>
      <c r="AT5" s="21" t="s">
        <v>181</v>
      </c>
      <c r="AU5" s="21" t="s">
        <v>182</v>
      </c>
      <c r="AV5" s="21" t="s">
        <v>183</v>
      </c>
      <c r="AW5" s="21" t="s">
        <v>184</v>
      </c>
      <c r="AX5" s="21" t="s">
        <v>185</v>
      </c>
      <c r="AY5" s="21" t="s">
        <v>186</v>
      </c>
      <c r="AZ5" s="21" t="s">
        <v>187</v>
      </c>
      <c r="BA5" s="21" t="s">
        <v>188</v>
      </c>
      <c r="BB5" s="21" t="s">
        <v>189</v>
      </c>
      <c r="BC5" s="21" t="s">
        <v>190</v>
      </c>
      <c r="BD5" s="21" t="s">
        <v>191</v>
      </c>
    </row>
    <row r="6" customFormat="false" ht="15" hidden="false" customHeight="false" outlineLevel="0" collapsed="false">
      <c r="A6" s="0" t="s">
        <v>108</v>
      </c>
      <c r="B6" s="0" t="s">
        <v>126</v>
      </c>
      <c r="C6" s="0" t="s">
        <v>115</v>
      </c>
      <c r="D6" s="0" t="s">
        <v>235</v>
      </c>
      <c r="E6" s="7" t="n">
        <f aca="false">SUMIFS(Doors!Q:Q,Doors!$A:$A,$D6,Doors!$B:$B,$B6,Doors!$C:$C,$C6)*SUMIFS(Velocity!$I:$I,Velocity!$A:$A,$A6,Velocity!$B:$B,$C6)/Assumptions!$B$4*Assumptions!$B$6</f>
        <v>26.3333333333333</v>
      </c>
      <c r="F6" s="7" t="n">
        <f aca="false">SUMIFS(Doors!R:R,Doors!$A:$A,$D6,Doors!$B:$B,$B6,Doors!$C:$C,$C6)*SUMIFS(Velocity!$I:$I,Velocity!$A:$A,$A6,Velocity!$B:$B,$C6)/Assumptions!$B$4*Assumptions!$B$6</f>
        <v>26.3333333333333</v>
      </c>
      <c r="G6" s="7" t="n">
        <f aca="false">SUMIFS(Doors!S:S,Doors!$A:$A,$D6,Doors!$B:$B,$B6,Doors!$C:$C,$C6)*SUMIFS(Velocity!$I:$I,Velocity!$A:$A,$A6,Velocity!$B:$B,$C6)/Assumptions!$B$4*Assumptions!$B$6</f>
        <v>26.3333333333333</v>
      </c>
      <c r="H6" s="7" t="n">
        <f aca="false">SUMIFS(Doors!T:T,Doors!$A:$A,$D6,Doors!$B:$B,$B6,Doors!$C:$C,$C6)*SUMIFS(Velocity!$I:$I,Velocity!$A:$A,$A6,Velocity!$B:$B,$C6)/Assumptions!$B$4*Assumptions!$B$6</f>
        <v>26.3333333333333</v>
      </c>
      <c r="I6" s="7" t="n">
        <f aca="false">SUMIFS(Doors!U:U,Doors!$A:$A,$D6,Doors!$B:$B,$B6,Doors!$C:$C,$C6)*SUMIFS(Velocity!$I:$I,Velocity!$A:$A,$A6,Velocity!$B:$B,$C6)/Assumptions!$B$4*Assumptions!$B$6</f>
        <v>26.3333333333333</v>
      </c>
      <c r="J6" s="7" t="n">
        <f aca="false">SUMIFS(Doors!V:V,Doors!$A:$A,$D6,Doors!$B:$B,$B6,Doors!$C:$C,$C6)*SUMIFS(Velocity!$I:$I,Velocity!$A:$A,$A6,Velocity!$B:$B,$C6)/Assumptions!$B$4*Assumptions!$B$6</f>
        <v>31.2708333333333</v>
      </c>
      <c r="K6" s="7" t="n">
        <f aca="false">SUMIFS(Doors!W:W,Doors!$A:$A,$D6,Doors!$B:$B,$B6,Doors!$C:$C,$C6)*SUMIFS(Velocity!$I:$I,Velocity!$A:$A,$A6,Velocity!$B:$B,$C6)/Assumptions!$B$4*Assumptions!$B$6</f>
        <v>31.2708333333333</v>
      </c>
      <c r="L6" s="7" t="n">
        <f aca="false">SUMIFS(Doors!X:X,Doors!$A:$A,$D6,Doors!$B:$B,$B6,Doors!$C:$C,$C6)*SUMIFS(Velocity!$I:$I,Velocity!$A:$A,$A6,Velocity!$B:$B,$C6)/Assumptions!$B$4*Assumptions!$B$6</f>
        <v>31.2708333333333</v>
      </c>
      <c r="M6" s="7" t="n">
        <f aca="false">SUMIFS(Doors!Y:Y,Doors!$A:$A,$D6,Doors!$B:$B,$B6,Doors!$C:$C,$C6)*SUMIFS(Velocity!$I:$I,Velocity!$A:$A,$A6,Velocity!$B:$B,$C6)/Assumptions!$B$4*Assumptions!$B$6</f>
        <v>31.2708333333333</v>
      </c>
      <c r="N6" s="7" t="n">
        <f aca="false">SUMIFS(Doors!Z:Z,Doors!$A:$A,$D6,Doors!$B:$B,$B6,Doors!$C:$C,$C6)*SUMIFS(Velocity!$I:$I,Velocity!$A:$A,$A6,Velocity!$B:$B,$C6)/Assumptions!$B$4*Assumptions!$B$6</f>
        <v>36.2083333333333</v>
      </c>
      <c r="O6" s="7" t="n">
        <f aca="false">SUMIFS(Doors!AA:AA,Doors!$A:$A,$D6,Doors!$B:$B,$B6,Doors!$C:$C,$C6)*SUMIFS(Velocity!$I:$I,Velocity!$A:$A,$A6,Velocity!$B:$B,$C6)/Assumptions!$B$4*Assumptions!$B$6</f>
        <v>36.2083333333333</v>
      </c>
      <c r="P6" s="7" t="n">
        <f aca="false">SUMIFS(Doors!AB:AB,Doors!$A:$A,$D6,Doors!$B:$B,$B6,Doors!$C:$C,$C6)*SUMIFS(Velocity!$I:$I,Velocity!$A:$A,$A6,Velocity!$B:$B,$C6)/Assumptions!$B$4*Assumptions!$B$6</f>
        <v>36.2083333333333</v>
      </c>
      <c r="Q6" s="7" t="n">
        <f aca="false">SUMIFS(Doors!AC:AC,Doors!$A:$A,$D6,Doors!$B:$B,$B6,Doors!$C:$C,$C6)*SUMIFS(Velocity!$I:$I,Velocity!$A:$A,$A6,Velocity!$B:$B,$C6)/Assumptions!$B$4*Assumptions!$B$6</f>
        <v>36.2083333333333</v>
      </c>
      <c r="R6" s="7" t="n">
        <f aca="false">SUMIFS(Doors!AD:AD,Doors!$A:$A,$D6,Doors!$B:$B,$B6,Doors!$C:$C,$C6)*SUMIFS(Velocity!$I:$I,Velocity!$A:$A,$A6,Velocity!$B:$B,$C6)/Assumptions!$B$4*Assumptions!$B$6</f>
        <v>41.1458333333333</v>
      </c>
      <c r="S6" s="7" t="n">
        <f aca="false">SUMIFS(Doors!AE:AE,Doors!$A:$A,$D6,Doors!$B:$B,$B6,Doors!$C:$C,$C6)*SUMIFS(Velocity!$I:$I,Velocity!$A:$A,$A6,Velocity!$B:$B,$C6)/Assumptions!$B$4*Assumptions!$B$6</f>
        <v>41.1458333333333</v>
      </c>
      <c r="T6" s="7" t="n">
        <f aca="false">SUMIFS(Doors!AF:AF,Doors!$A:$A,$D6,Doors!$B:$B,$B6,Doors!$C:$C,$C6)*SUMIFS(Velocity!$I:$I,Velocity!$A:$A,$A6,Velocity!$B:$B,$C6)/Assumptions!$B$4*Assumptions!$B$6</f>
        <v>41.1458333333333</v>
      </c>
      <c r="U6" s="7" t="n">
        <f aca="false">SUMIFS(Doors!AG:AG,Doors!$A:$A,$D6,Doors!$B:$B,$B6,Doors!$C:$C,$C6)*SUMIFS(Velocity!$I:$I,Velocity!$A:$A,$A6,Velocity!$B:$B,$C6)/Assumptions!$B$4*Assumptions!$B$6</f>
        <v>41.1458333333333</v>
      </c>
      <c r="V6" s="7" t="n">
        <f aca="false">SUMIFS(Doors!AH:AH,Doors!$A:$A,$D6,Doors!$B:$B,$B6,Doors!$C:$C,$C6)*SUMIFS(Velocity!$I:$I,Velocity!$A:$A,$A6,Velocity!$B:$B,$C6)/Assumptions!$B$4*Assumptions!$B$6</f>
        <v>41.1458333333333</v>
      </c>
      <c r="W6" s="7" t="n">
        <f aca="false">SUMIFS(Doors!AI:AI,Doors!$A:$A,$D6,Doors!$B:$B,$B6,Doors!$C:$C,$C6)*SUMIFS(Velocity!$I:$I,Velocity!$A:$A,$A6,Velocity!$B:$B,$C6)/Assumptions!$B$4*Assumptions!$B$6</f>
        <v>46.0833333333333</v>
      </c>
      <c r="X6" s="7" t="n">
        <f aca="false">SUMIFS(Doors!AJ:AJ,Doors!$A:$A,$D6,Doors!$B:$B,$B6,Doors!$C:$C,$C6)*SUMIFS(Velocity!$I:$I,Velocity!$A:$A,$A6,Velocity!$B:$B,$C6)/Assumptions!$B$4*Assumptions!$B$6</f>
        <v>46.0833333333333</v>
      </c>
      <c r="Y6" s="7" t="n">
        <f aca="false">SUMIFS(Doors!AK:AK,Doors!$A:$A,$D6,Doors!$B:$B,$B6,Doors!$C:$C,$C6)*SUMIFS(Velocity!$I:$I,Velocity!$A:$A,$A6,Velocity!$B:$B,$C6)/Assumptions!$B$4*Assumptions!$B$6</f>
        <v>46.0833333333333</v>
      </c>
      <c r="Z6" s="7" t="n">
        <f aca="false">SUMIFS(Doors!AL:AL,Doors!$A:$A,$D6,Doors!$B:$B,$B6,Doors!$C:$C,$C6)*SUMIFS(Velocity!$I:$I,Velocity!$A:$A,$A6,Velocity!$B:$B,$C6)/Assumptions!$B$4*Assumptions!$B$6</f>
        <v>46.0833333333333</v>
      </c>
      <c r="AA6" s="7" t="n">
        <f aca="false">SUMIFS(Doors!AM:AM,Doors!$A:$A,$D6,Doors!$B:$B,$B6,Doors!$C:$C,$C6)*SUMIFS(Velocity!$I:$I,Velocity!$A:$A,$A6,Velocity!$B:$B,$C6)/Assumptions!$B$4*Assumptions!$B$6</f>
        <v>51.0208333333333</v>
      </c>
      <c r="AB6" s="7" t="n">
        <f aca="false">SUMIFS(Doors!AN:AN,Doors!$A:$A,$D6,Doors!$B:$B,$B6,Doors!$C:$C,$C6)*SUMIFS(Velocity!$I:$I,Velocity!$A:$A,$A6,Velocity!$B:$B,$C6)/Assumptions!$B$4*Assumptions!$B$6</f>
        <v>51.0208333333333</v>
      </c>
      <c r="AC6" s="7" t="n">
        <f aca="false">SUMIFS(Doors!AO:AO,Doors!$A:$A,$D6,Doors!$B:$B,$B6,Doors!$C:$C,$C6)*SUMIFS(Velocity!$I:$I,Velocity!$A:$A,$A6,Velocity!$B:$B,$C6)/Assumptions!$B$4*Assumptions!$B$6</f>
        <v>51.0208333333333</v>
      </c>
      <c r="AD6" s="7" t="n">
        <f aca="false">SUMIFS(Doors!AP:AP,Doors!$A:$A,$D6,Doors!$B:$B,$B6,Doors!$C:$C,$C6)*SUMIFS(Velocity!$I:$I,Velocity!$A:$A,$A6,Velocity!$B:$B,$C6)/Assumptions!$B$4*Assumptions!$B$6</f>
        <v>51.0208333333333</v>
      </c>
      <c r="AE6" s="7" t="n">
        <f aca="false">SUMIFS(Doors!AQ:AQ,Doors!$A:$A,$D6,Doors!$B:$B,$B6,Doors!$C:$C,$C6)*SUMIFS(Velocity!$I:$I,Velocity!$A:$A,$A6,Velocity!$B:$B,$C6)/Assumptions!$B$4*Assumptions!$B$6</f>
        <v>55.9583333333333</v>
      </c>
      <c r="AF6" s="7" t="n">
        <f aca="false">SUMIFS(Doors!AR:AR,Doors!$A:$A,$D6,Doors!$B:$B,$B6,Doors!$C:$C,$C6)*SUMIFS(Velocity!$I:$I,Velocity!$A:$A,$A6,Velocity!$B:$B,$C6)/Assumptions!$B$4*Assumptions!$B$6</f>
        <v>55.9583333333333</v>
      </c>
      <c r="AG6" s="7" t="n">
        <f aca="false">SUMIFS(Doors!AS:AS,Doors!$A:$A,$D6,Doors!$B:$B,$B6,Doors!$C:$C,$C6)*SUMIFS(Velocity!$I:$I,Velocity!$A:$A,$A6,Velocity!$B:$B,$C6)/Assumptions!$B$4*Assumptions!$B$6</f>
        <v>55.9583333333333</v>
      </c>
      <c r="AH6" s="7" t="n">
        <f aca="false">SUMIFS(Doors!AT:AT,Doors!$A:$A,$D6,Doors!$B:$B,$B6,Doors!$C:$C,$C6)*SUMIFS(Velocity!$I:$I,Velocity!$A:$A,$A6,Velocity!$B:$B,$C6)/Assumptions!$B$4*Assumptions!$B$6</f>
        <v>55.9583333333333</v>
      </c>
      <c r="AI6" s="7" t="n">
        <f aca="false">SUMIFS(Doors!AU:AU,Doors!$A:$A,$D6,Doors!$B:$B,$B6,Doors!$C:$C,$C6)*SUMIFS(Velocity!$I:$I,Velocity!$A:$A,$A6,Velocity!$B:$B,$C6)/Assumptions!$B$4*Assumptions!$B$6</f>
        <v>55.9583333333333</v>
      </c>
      <c r="AJ6" s="7" t="n">
        <f aca="false">SUMIFS(Doors!AV:AV,Doors!$A:$A,$D6,Doors!$B:$B,$B6,Doors!$C:$C,$C6)*SUMIFS(Velocity!$I:$I,Velocity!$A:$A,$A6,Velocity!$B:$B,$C6)/Assumptions!$B$4*Assumptions!$B$6</f>
        <v>59.25</v>
      </c>
      <c r="AK6" s="7" t="n">
        <f aca="false">SUMIFS(Doors!AW:AW,Doors!$A:$A,$D6,Doors!$B:$B,$B6,Doors!$C:$C,$C6)*SUMIFS(Velocity!$I:$I,Velocity!$A:$A,$A6,Velocity!$B:$B,$C6)/Assumptions!$B$4*Assumptions!$B$6</f>
        <v>59.25</v>
      </c>
      <c r="AL6" s="7" t="n">
        <f aca="false">SUMIFS(Doors!AX:AX,Doors!$A:$A,$D6,Doors!$B:$B,$B6,Doors!$C:$C,$C6)*SUMIFS(Velocity!$I:$I,Velocity!$A:$A,$A6,Velocity!$B:$B,$C6)/Assumptions!$B$4*Assumptions!$B$6</f>
        <v>59.25</v>
      </c>
      <c r="AM6" s="7" t="n">
        <f aca="false">SUMIFS(Doors!AY:AY,Doors!$A:$A,$D6,Doors!$B:$B,$B6,Doors!$C:$C,$C6)*SUMIFS(Velocity!$I:$I,Velocity!$A:$A,$A6,Velocity!$B:$B,$C6)/Assumptions!$B$4*Assumptions!$B$6</f>
        <v>59.25</v>
      </c>
      <c r="AN6" s="7" t="n">
        <f aca="false">SUMIFS(Doors!AZ:AZ,Doors!$A:$A,$D6,Doors!$B:$B,$B6,Doors!$C:$C,$C6)*SUMIFS(Velocity!$I:$I,Velocity!$A:$A,$A6,Velocity!$B:$B,$C6)/Assumptions!$B$4*Assumptions!$B$6</f>
        <v>62.5416666666667</v>
      </c>
      <c r="AO6" s="7" t="n">
        <f aca="false">SUMIFS(Doors!BA:BA,Doors!$A:$A,$D6,Doors!$B:$B,$B6,Doors!$C:$C,$C6)*SUMIFS(Velocity!$I:$I,Velocity!$A:$A,$A6,Velocity!$B:$B,$C6)/Assumptions!$B$4*Assumptions!$B$6</f>
        <v>62.5416666666667</v>
      </c>
      <c r="AP6" s="7" t="n">
        <f aca="false">SUMIFS(Doors!BB:BB,Doors!$A:$A,$D6,Doors!$B:$B,$B6,Doors!$C:$C,$C6)*SUMIFS(Velocity!$I:$I,Velocity!$A:$A,$A6,Velocity!$B:$B,$C6)/Assumptions!$B$4*Assumptions!$B$6</f>
        <v>62.5416666666667</v>
      </c>
      <c r="AQ6" s="7" t="n">
        <f aca="false">SUMIFS(Doors!BC:BC,Doors!$A:$A,$D6,Doors!$B:$B,$B6,Doors!$C:$C,$C6)*SUMIFS(Velocity!$I:$I,Velocity!$A:$A,$A6,Velocity!$B:$B,$C6)/Assumptions!$B$4*Assumptions!$B$6</f>
        <v>62.5416666666667</v>
      </c>
      <c r="AR6" s="7" t="n">
        <f aca="false">SUMIFS(Doors!BD:BD,Doors!$A:$A,$D6,Doors!$B:$B,$B6,Doors!$C:$C,$C6)*SUMIFS(Velocity!$I:$I,Velocity!$A:$A,$A6,Velocity!$B:$B,$C6)/Assumptions!$B$4*Assumptions!$B$6</f>
        <v>64.1875</v>
      </c>
      <c r="AS6" s="7" t="n">
        <f aca="false">SUMIFS(Doors!BE:BE,Doors!$A:$A,$D6,Doors!$B:$B,$B6,Doors!$C:$C,$C6)*SUMIFS(Velocity!$I:$I,Velocity!$A:$A,$A6,Velocity!$B:$B,$C6)/Assumptions!$B$4*Assumptions!$B$6</f>
        <v>64.1875</v>
      </c>
      <c r="AT6" s="7" t="n">
        <f aca="false">SUMIFS(Doors!BF:BF,Doors!$A:$A,$D6,Doors!$B:$B,$B6,Doors!$C:$C,$C6)*SUMIFS(Velocity!$I:$I,Velocity!$A:$A,$A6,Velocity!$B:$B,$C6)/Assumptions!$B$4*Assumptions!$B$6</f>
        <v>64.1875</v>
      </c>
      <c r="AU6" s="7" t="n">
        <f aca="false">SUMIFS(Doors!BG:BG,Doors!$A:$A,$D6,Doors!$B:$B,$B6,Doors!$C:$C,$C6)*SUMIFS(Velocity!$I:$I,Velocity!$A:$A,$A6,Velocity!$B:$B,$C6)/Assumptions!$B$4*Assumptions!$B$6</f>
        <v>64.1875</v>
      </c>
      <c r="AV6" s="7" t="n">
        <f aca="false">SUMIFS(Doors!BH:BH,Doors!$A:$A,$D6,Doors!$B:$B,$B6,Doors!$C:$C,$C6)*SUMIFS(Velocity!$I:$I,Velocity!$A:$A,$A6,Velocity!$B:$B,$C6)/Assumptions!$B$4*Assumptions!$B$6</f>
        <v>64.1875</v>
      </c>
      <c r="AW6" s="7" t="n">
        <f aca="false">SUMIFS(Doors!BI:BI,Doors!$A:$A,$D6,Doors!$B:$B,$B6,Doors!$C:$C,$C6)*SUMIFS(Velocity!$I:$I,Velocity!$A:$A,$A6,Velocity!$B:$B,$C6)/Assumptions!$B$4*Assumptions!$B$6</f>
        <v>65.8333333333333</v>
      </c>
      <c r="AX6" s="7" t="n">
        <f aca="false">SUMIFS(Doors!BJ:BJ,Doors!$A:$A,$D6,Doors!$B:$B,$B6,Doors!$C:$C,$C6)*SUMIFS(Velocity!$I:$I,Velocity!$A:$A,$A6,Velocity!$B:$B,$C6)/Assumptions!$B$4*Assumptions!$B$6</f>
        <v>65.8333333333333</v>
      </c>
      <c r="AY6" s="7" t="n">
        <f aca="false">SUMIFS(Doors!BK:BK,Doors!$A:$A,$D6,Doors!$B:$B,$B6,Doors!$C:$C,$C6)*SUMIFS(Velocity!$I:$I,Velocity!$A:$A,$A6,Velocity!$B:$B,$C6)/Assumptions!$B$4*Assumptions!$B$6</f>
        <v>65.8333333333333</v>
      </c>
      <c r="AZ6" s="7" t="n">
        <f aca="false">SUMIFS(Doors!BL:BL,Doors!$A:$A,$D6,Doors!$B:$B,$B6,Doors!$C:$C,$C6)*SUMIFS(Velocity!$I:$I,Velocity!$A:$A,$A6,Velocity!$B:$B,$C6)/Assumptions!$B$4*Assumptions!$B$6</f>
        <v>65.8333333333333</v>
      </c>
      <c r="BA6" s="7" t="n">
        <f aca="false">SUMIFS(Doors!BM:BM,Doors!$A:$A,$D6,Doors!$B:$B,$B6,Doors!$C:$C,$C6)*SUMIFS(Velocity!$I:$I,Velocity!$A:$A,$A6,Velocity!$B:$B,$C6)/Assumptions!$B$4*Assumptions!$B$6</f>
        <v>65.8333333333333</v>
      </c>
      <c r="BB6" s="7" t="n">
        <f aca="false">SUMIFS(Doors!BN:BN,Doors!$A:$A,$D6,Doors!$B:$B,$B6,Doors!$C:$C,$C6)*SUMIFS(Velocity!$I:$I,Velocity!$A:$A,$A6,Velocity!$B:$B,$C6)/Assumptions!$B$4*Assumptions!$B$6</f>
        <v>65.8333333333333</v>
      </c>
      <c r="BC6" s="7" t="n">
        <f aca="false">SUMIFS(Doors!BO:BO,Doors!$A:$A,$D6,Doors!$B:$B,$B6,Doors!$C:$C,$C6)*SUMIFS(Velocity!$I:$I,Velocity!$A:$A,$A6,Velocity!$B:$B,$C6)/Assumptions!$B$4*Assumptions!$B$6</f>
        <v>65.8333333333333</v>
      </c>
      <c r="BD6" s="7" t="n">
        <f aca="false">SUMIFS(Doors!BP:BP,Doors!$A:$A,$D6,Doors!$B:$B,$B6,Doors!$C:$C,$C6)*SUMIFS(Velocity!$I:$I,Velocity!$A:$A,$A6,Velocity!$B:$B,$C6)/Assumptions!$B$4*Assumptions!$B$6</f>
        <v>65.8333333333333</v>
      </c>
    </row>
    <row r="7" customFormat="false" ht="15" hidden="false" customHeight="false" outlineLevel="0" collapsed="false">
      <c r="A7" s="0" t="s">
        <v>108</v>
      </c>
      <c r="B7" s="0" t="s">
        <v>126</v>
      </c>
      <c r="C7" s="0" t="s">
        <v>116</v>
      </c>
      <c r="D7" s="0" t="s">
        <v>235</v>
      </c>
      <c r="E7" s="7" t="n">
        <f aca="false">SUMIFS(Doors!Q:Q,Doors!$A:$A,$D7,Doors!$B:$B,$B7,Doors!$C:$C,$C7)*SUMIFS(Velocity!$I:$I,Velocity!$A:$A,$A7,Velocity!$B:$B,$C7)/Assumptions!$B$4*Assumptions!$B$6</f>
        <v>3.04166666666667</v>
      </c>
      <c r="F7" s="7" t="n">
        <f aca="false">SUMIFS(Doors!R:R,Doors!$A:$A,$D7,Doors!$B:$B,$B7,Doors!$C:$C,$C7)*SUMIFS(Velocity!$I:$I,Velocity!$A:$A,$A7,Velocity!$B:$B,$C7)/Assumptions!$B$4*Assumptions!$B$6</f>
        <v>3.04166666666667</v>
      </c>
      <c r="G7" s="7" t="n">
        <f aca="false">SUMIFS(Doors!S:S,Doors!$A:$A,$D7,Doors!$B:$B,$B7,Doors!$C:$C,$C7)*SUMIFS(Velocity!$I:$I,Velocity!$A:$A,$A7,Velocity!$B:$B,$C7)/Assumptions!$B$4*Assumptions!$B$6</f>
        <v>3.04166666666667</v>
      </c>
      <c r="H7" s="7" t="n">
        <f aca="false">SUMIFS(Doors!T:T,Doors!$A:$A,$D7,Doors!$B:$B,$B7,Doors!$C:$C,$C7)*SUMIFS(Velocity!$I:$I,Velocity!$A:$A,$A7,Velocity!$B:$B,$C7)/Assumptions!$B$4*Assumptions!$B$6</f>
        <v>3.04166666666667</v>
      </c>
      <c r="I7" s="7" t="n">
        <f aca="false">SUMIFS(Doors!U:U,Doors!$A:$A,$D7,Doors!$B:$B,$B7,Doors!$C:$C,$C7)*SUMIFS(Velocity!$I:$I,Velocity!$A:$A,$A7,Velocity!$B:$B,$C7)/Assumptions!$B$4*Assumptions!$B$6</f>
        <v>3.04166666666667</v>
      </c>
      <c r="J7" s="7" t="n">
        <f aca="false">SUMIFS(Doors!V:V,Doors!$A:$A,$D7,Doors!$B:$B,$B7,Doors!$C:$C,$C7)*SUMIFS(Velocity!$I:$I,Velocity!$A:$A,$A7,Velocity!$B:$B,$C7)/Assumptions!$B$4*Assumptions!$B$6</f>
        <v>4.5625</v>
      </c>
      <c r="K7" s="7" t="n">
        <f aca="false">SUMIFS(Doors!W:W,Doors!$A:$A,$D7,Doors!$B:$B,$B7,Doors!$C:$C,$C7)*SUMIFS(Velocity!$I:$I,Velocity!$A:$A,$A7,Velocity!$B:$B,$C7)/Assumptions!$B$4*Assumptions!$B$6</f>
        <v>4.5625</v>
      </c>
      <c r="L7" s="7" t="n">
        <f aca="false">SUMIFS(Doors!X:X,Doors!$A:$A,$D7,Doors!$B:$B,$B7,Doors!$C:$C,$C7)*SUMIFS(Velocity!$I:$I,Velocity!$A:$A,$A7,Velocity!$B:$B,$C7)/Assumptions!$B$4*Assumptions!$B$6</f>
        <v>4.5625</v>
      </c>
      <c r="M7" s="7" t="n">
        <f aca="false">SUMIFS(Doors!Y:Y,Doors!$A:$A,$D7,Doors!$B:$B,$B7,Doors!$C:$C,$C7)*SUMIFS(Velocity!$I:$I,Velocity!$A:$A,$A7,Velocity!$B:$B,$C7)/Assumptions!$B$4*Assumptions!$B$6</f>
        <v>4.5625</v>
      </c>
      <c r="N7" s="7" t="n">
        <f aca="false">SUMIFS(Doors!Z:Z,Doors!$A:$A,$D7,Doors!$B:$B,$B7,Doors!$C:$C,$C7)*SUMIFS(Velocity!$I:$I,Velocity!$A:$A,$A7,Velocity!$B:$B,$C7)/Assumptions!$B$4*Assumptions!$B$6</f>
        <v>6.08333333333333</v>
      </c>
      <c r="O7" s="7" t="n">
        <f aca="false">SUMIFS(Doors!AA:AA,Doors!$A:$A,$D7,Doors!$B:$B,$B7,Doors!$C:$C,$C7)*SUMIFS(Velocity!$I:$I,Velocity!$A:$A,$A7,Velocity!$B:$B,$C7)/Assumptions!$B$4*Assumptions!$B$6</f>
        <v>6.08333333333333</v>
      </c>
      <c r="P7" s="7" t="n">
        <f aca="false">SUMIFS(Doors!AB:AB,Doors!$A:$A,$D7,Doors!$B:$B,$B7,Doors!$C:$C,$C7)*SUMIFS(Velocity!$I:$I,Velocity!$A:$A,$A7,Velocity!$B:$B,$C7)/Assumptions!$B$4*Assumptions!$B$6</f>
        <v>6.08333333333333</v>
      </c>
      <c r="Q7" s="7" t="n">
        <f aca="false">SUMIFS(Doors!AC:AC,Doors!$A:$A,$D7,Doors!$B:$B,$B7,Doors!$C:$C,$C7)*SUMIFS(Velocity!$I:$I,Velocity!$A:$A,$A7,Velocity!$B:$B,$C7)/Assumptions!$B$4*Assumptions!$B$6</f>
        <v>6.08333333333333</v>
      </c>
      <c r="R7" s="7" t="n">
        <f aca="false">SUMIFS(Doors!AD:AD,Doors!$A:$A,$D7,Doors!$B:$B,$B7,Doors!$C:$C,$C7)*SUMIFS(Velocity!$I:$I,Velocity!$A:$A,$A7,Velocity!$B:$B,$C7)/Assumptions!$B$4*Assumptions!$B$6</f>
        <v>7.60416666666667</v>
      </c>
      <c r="S7" s="7" t="n">
        <f aca="false">SUMIFS(Doors!AE:AE,Doors!$A:$A,$D7,Doors!$B:$B,$B7,Doors!$C:$C,$C7)*SUMIFS(Velocity!$I:$I,Velocity!$A:$A,$A7,Velocity!$B:$B,$C7)/Assumptions!$B$4*Assumptions!$B$6</f>
        <v>7.60416666666667</v>
      </c>
      <c r="T7" s="7" t="n">
        <f aca="false">SUMIFS(Doors!AF:AF,Doors!$A:$A,$D7,Doors!$B:$B,$B7,Doors!$C:$C,$C7)*SUMIFS(Velocity!$I:$I,Velocity!$A:$A,$A7,Velocity!$B:$B,$C7)/Assumptions!$B$4*Assumptions!$B$6</f>
        <v>7.60416666666667</v>
      </c>
      <c r="U7" s="7" t="n">
        <f aca="false">SUMIFS(Doors!AG:AG,Doors!$A:$A,$D7,Doors!$B:$B,$B7,Doors!$C:$C,$C7)*SUMIFS(Velocity!$I:$I,Velocity!$A:$A,$A7,Velocity!$B:$B,$C7)/Assumptions!$B$4*Assumptions!$B$6</f>
        <v>7.60416666666667</v>
      </c>
      <c r="V7" s="7" t="n">
        <f aca="false">SUMIFS(Doors!AH:AH,Doors!$A:$A,$D7,Doors!$B:$B,$B7,Doors!$C:$C,$C7)*SUMIFS(Velocity!$I:$I,Velocity!$A:$A,$A7,Velocity!$B:$B,$C7)/Assumptions!$B$4*Assumptions!$B$6</f>
        <v>7.60416666666667</v>
      </c>
      <c r="W7" s="7" t="n">
        <f aca="false">SUMIFS(Doors!AI:AI,Doors!$A:$A,$D7,Doors!$B:$B,$B7,Doors!$C:$C,$C7)*SUMIFS(Velocity!$I:$I,Velocity!$A:$A,$A7,Velocity!$B:$B,$C7)/Assumptions!$B$4*Assumptions!$B$6</f>
        <v>9.125</v>
      </c>
      <c r="X7" s="7" t="n">
        <f aca="false">SUMIFS(Doors!AJ:AJ,Doors!$A:$A,$D7,Doors!$B:$B,$B7,Doors!$C:$C,$C7)*SUMIFS(Velocity!$I:$I,Velocity!$A:$A,$A7,Velocity!$B:$B,$C7)/Assumptions!$B$4*Assumptions!$B$6</f>
        <v>9.125</v>
      </c>
      <c r="Y7" s="7" t="n">
        <f aca="false">SUMIFS(Doors!AK:AK,Doors!$A:$A,$D7,Doors!$B:$B,$B7,Doors!$C:$C,$C7)*SUMIFS(Velocity!$I:$I,Velocity!$A:$A,$A7,Velocity!$B:$B,$C7)/Assumptions!$B$4*Assumptions!$B$6</f>
        <v>9.125</v>
      </c>
      <c r="Z7" s="7" t="n">
        <f aca="false">SUMIFS(Doors!AL:AL,Doors!$A:$A,$D7,Doors!$B:$B,$B7,Doors!$C:$C,$C7)*SUMIFS(Velocity!$I:$I,Velocity!$A:$A,$A7,Velocity!$B:$B,$C7)/Assumptions!$B$4*Assumptions!$B$6</f>
        <v>9.125</v>
      </c>
      <c r="AA7" s="7" t="n">
        <f aca="false">SUMIFS(Doors!AM:AM,Doors!$A:$A,$D7,Doors!$B:$B,$B7,Doors!$C:$C,$C7)*SUMIFS(Velocity!$I:$I,Velocity!$A:$A,$A7,Velocity!$B:$B,$C7)/Assumptions!$B$4*Assumptions!$B$6</f>
        <v>10.6458333333333</v>
      </c>
      <c r="AB7" s="7" t="n">
        <f aca="false">SUMIFS(Doors!AN:AN,Doors!$A:$A,$D7,Doors!$B:$B,$B7,Doors!$C:$C,$C7)*SUMIFS(Velocity!$I:$I,Velocity!$A:$A,$A7,Velocity!$B:$B,$C7)/Assumptions!$B$4*Assumptions!$B$6</f>
        <v>10.6458333333333</v>
      </c>
      <c r="AC7" s="7" t="n">
        <f aca="false">SUMIFS(Doors!AO:AO,Doors!$A:$A,$D7,Doors!$B:$B,$B7,Doors!$C:$C,$C7)*SUMIFS(Velocity!$I:$I,Velocity!$A:$A,$A7,Velocity!$B:$B,$C7)/Assumptions!$B$4*Assumptions!$B$6</f>
        <v>10.6458333333333</v>
      </c>
      <c r="AD7" s="7" t="n">
        <f aca="false">SUMIFS(Doors!AP:AP,Doors!$A:$A,$D7,Doors!$B:$B,$B7,Doors!$C:$C,$C7)*SUMIFS(Velocity!$I:$I,Velocity!$A:$A,$A7,Velocity!$B:$B,$C7)/Assumptions!$B$4*Assumptions!$B$6</f>
        <v>10.6458333333333</v>
      </c>
      <c r="AE7" s="7" t="n">
        <f aca="false">SUMIFS(Doors!AQ:AQ,Doors!$A:$A,$D7,Doors!$B:$B,$B7,Doors!$C:$C,$C7)*SUMIFS(Velocity!$I:$I,Velocity!$A:$A,$A7,Velocity!$B:$B,$C7)/Assumptions!$B$4*Assumptions!$B$6</f>
        <v>12.775</v>
      </c>
      <c r="AF7" s="7" t="n">
        <f aca="false">SUMIFS(Doors!AR:AR,Doors!$A:$A,$D7,Doors!$B:$B,$B7,Doors!$C:$C,$C7)*SUMIFS(Velocity!$I:$I,Velocity!$A:$A,$A7,Velocity!$B:$B,$C7)/Assumptions!$B$4*Assumptions!$B$6</f>
        <v>12.775</v>
      </c>
      <c r="AG7" s="7" t="n">
        <f aca="false">SUMIFS(Doors!AS:AS,Doors!$A:$A,$D7,Doors!$B:$B,$B7,Doors!$C:$C,$C7)*SUMIFS(Velocity!$I:$I,Velocity!$A:$A,$A7,Velocity!$B:$B,$C7)/Assumptions!$B$4*Assumptions!$B$6</f>
        <v>12.775</v>
      </c>
      <c r="AH7" s="7" t="n">
        <f aca="false">SUMIFS(Doors!AT:AT,Doors!$A:$A,$D7,Doors!$B:$B,$B7,Doors!$C:$C,$C7)*SUMIFS(Velocity!$I:$I,Velocity!$A:$A,$A7,Velocity!$B:$B,$C7)/Assumptions!$B$4*Assumptions!$B$6</f>
        <v>12.775</v>
      </c>
      <c r="AI7" s="7" t="n">
        <f aca="false">SUMIFS(Doors!AU:AU,Doors!$A:$A,$D7,Doors!$B:$B,$B7,Doors!$C:$C,$C7)*SUMIFS(Velocity!$I:$I,Velocity!$A:$A,$A7,Velocity!$B:$B,$C7)/Assumptions!$B$4*Assumptions!$B$6</f>
        <v>12.775</v>
      </c>
      <c r="AJ7" s="7" t="n">
        <f aca="false">SUMIFS(Doors!AV:AV,Doors!$A:$A,$D7,Doors!$B:$B,$B7,Doors!$C:$C,$C7)*SUMIFS(Velocity!$I:$I,Velocity!$A:$A,$A7,Velocity!$B:$B,$C7)/Assumptions!$B$4*Assumptions!$B$6</f>
        <v>14.6</v>
      </c>
      <c r="AK7" s="7" t="n">
        <f aca="false">SUMIFS(Doors!AW:AW,Doors!$A:$A,$D7,Doors!$B:$B,$B7,Doors!$C:$C,$C7)*SUMIFS(Velocity!$I:$I,Velocity!$A:$A,$A7,Velocity!$B:$B,$C7)/Assumptions!$B$4*Assumptions!$B$6</f>
        <v>14.6</v>
      </c>
      <c r="AL7" s="7" t="n">
        <f aca="false">SUMIFS(Doors!AX:AX,Doors!$A:$A,$D7,Doors!$B:$B,$B7,Doors!$C:$C,$C7)*SUMIFS(Velocity!$I:$I,Velocity!$A:$A,$A7,Velocity!$B:$B,$C7)/Assumptions!$B$4*Assumptions!$B$6</f>
        <v>14.6</v>
      </c>
      <c r="AM7" s="7" t="n">
        <f aca="false">SUMIFS(Doors!AY:AY,Doors!$A:$A,$D7,Doors!$B:$B,$B7,Doors!$C:$C,$C7)*SUMIFS(Velocity!$I:$I,Velocity!$A:$A,$A7,Velocity!$B:$B,$C7)/Assumptions!$B$4*Assumptions!$B$6</f>
        <v>14.6</v>
      </c>
      <c r="AN7" s="7" t="n">
        <f aca="false">SUMIFS(Doors!AZ:AZ,Doors!$A:$A,$D7,Doors!$B:$B,$B7,Doors!$C:$C,$C7)*SUMIFS(Velocity!$I:$I,Velocity!$A:$A,$A7,Velocity!$B:$B,$C7)/Assumptions!$B$4*Assumptions!$B$6</f>
        <v>15.8166666666667</v>
      </c>
      <c r="AO7" s="7" t="n">
        <f aca="false">SUMIFS(Doors!BA:BA,Doors!$A:$A,$D7,Doors!$B:$B,$B7,Doors!$C:$C,$C7)*SUMIFS(Velocity!$I:$I,Velocity!$A:$A,$A7,Velocity!$B:$B,$C7)/Assumptions!$B$4*Assumptions!$B$6</f>
        <v>15.8166666666667</v>
      </c>
      <c r="AP7" s="7" t="n">
        <f aca="false">SUMIFS(Doors!BB:BB,Doors!$A:$A,$D7,Doors!$B:$B,$B7,Doors!$C:$C,$C7)*SUMIFS(Velocity!$I:$I,Velocity!$A:$A,$A7,Velocity!$B:$B,$C7)/Assumptions!$B$4*Assumptions!$B$6</f>
        <v>15.8166666666667</v>
      </c>
      <c r="AQ7" s="7" t="n">
        <f aca="false">SUMIFS(Doors!BC:BC,Doors!$A:$A,$D7,Doors!$B:$B,$B7,Doors!$C:$C,$C7)*SUMIFS(Velocity!$I:$I,Velocity!$A:$A,$A7,Velocity!$B:$B,$C7)/Assumptions!$B$4*Assumptions!$B$6</f>
        <v>15.8166666666667</v>
      </c>
      <c r="AR7" s="7" t="n">
        <f aca="false">SUMIFS(Doors!BD:BD,Doors!$A:$A,$D7,Doors!$B:$B,$B7,Doors!$C:$C,$C7)*SUMIFS(Velocity!$I:$I,Velocity!$A:$A,$A7,Velocity!$B:$B,$C7)/Assumptions!$B$4*Assumptions!$B$6</f>
        <v>17.0333333333333</v>
      </c>
      <c r="AS7" s="7" t="n">
        <f aca="false">SUMIFS(Doors!BE:BE,Doors!$A:$A,$D7,Doors!$B:$B,$B7,Doors!$C:$C,$C7)*SUMIFS(Velocity!$I:$I,Velocity!$A:$A,$A7,Velocity!$B:$B,$C7)/Assumptions!$B$4*Assumptions!$B$6</f>
        <v>17.0333333333333</v>
      </c>
      <c r="AT7" s="7" t="n">
        <f aca="false">SUMIFS(Doors!BF:BF,Doors!$A:$A,$D7,Doors!$B:$B,$B7,Doors!$C:$C,$C7)*SUMIFS(Velocity!$I:$I,Velocity!$A:$A,$A7,Velocity!$B:$B,$C7)/Assumptions!$B$4*Assumptions!$B$6</f>
        <v>17.0333333333333</v>
      </c>
      <c r="AU7" s="7" t="n">
        <f aca="false">SUMIFS(Doors!BG:BG,Doors!$A:$A,$D7,Doors!$B:$B,$B7,Doors!$C:$C,$C7)*SUMIFS(Velocity!$I:$I,Velocity!$A:$A,$A7,Velocity!$B:$B,$C7)/Assumptions!$B$4*Assumptions!$B$6</f>
        <v>17.0333333333333</v>
      </c>
      <c r="AV7" s="7" t="n">
        <f aca="false">SUMIFS(Doors!BH:BH,Doors!$A:$A,$D7,Doors!$B:$B,$B7,Doors!$C:$C,$C7)*SUMIFS(Velocity!$I:$I,Velocity!$A:$A,$A7,Velocity!$B:$B,$C7)/Assumptions!$B$4*Assumptions!$B$6</f>
        <v>17.0333333333333</v>
      </c>
      <c r="AW7" s="7" t="n">
        <f aca="false">SUMIFS(Doors!BI:BI,Doors!$A:$A,$D7,Doors!$B:$B,$B7,Doors!$C:$C,$C7)*SUMIFS(Velocity!$I:$I,Velocity!$A:$A,$A7,Velocity!$B:$B,$C7)/Assumptions!$B$4*Assumptions!$B$6</f>
        <v>17.6416666666667</v>
      </c>
      <c r="AX7" s="7" t="n">
        <f aca="false">SUMIFS(Doors!BJ:BJ,Doors!$A:$A,$D7,Doors!$B:$B,$B7,Doors!$C:$C,$C7)*SUMIFS(Velocity!$I:$I,Velocity!$A:$A,$A7,Velocity!$B:$B,$C7)/Assumptions!$B$4*Assumptions!$B$6</f>
        <v>17.6416666666667</v>
      </c>
      <c r="AY7" s="7" t="n">
        <f aca="false">SUMIFS(Doors!BK:BK,Doors!$A:$A,$D7,Doors!$B:$B,$B7,Doors!$C:$C,$C7)*SUMIFS(Velocity!$I:$I,Velocity!$A:$A,$A7,Velocity!$B:$B,$C7)/Assumptions!$B$4*Assumptions!$B$6</f>
        <v>17.6416666666667</v>
      </c>
      <c r="AZ7" s="7" t="n">
        <f aca="false">SUMIFS(Doors!BL:BL,Doors!$A:$A,$D7,Doors!$B:$B,$B7,Doors!$C:$C,$C7)*SUMIFS(Velocity!$I:$I,Velocity!$A:$A,$A7,Velocity!$B:$B,$C7)/Assumptions!$B$4*Assumptions!$B$6</f>
        <v>17.6416666666667</v>
      </c>
      <c r="BA7" s="7" t="n">
        <f aca="false">SUMIFS(Doors!BM:BM,Doors!$A:$A,$D7,Doors!$B:$B,$B7,Doors!$C:$C,$C7)*SUMIFS(Velocity!$I:$I,Velocity!$A:$A,$A7,Velocity!$B:$B,$C7)/Assumptions!$B$4*Assumptions!$B$6</f>
        <v>18.25</v>
      </c>
      <c r="BB7" s="7" t="n">
        <f aca="false">SUMIFS(Doors!BN:BN,Doors!$A:$A,$D7,Doors!$B:$B,$B7,Doors!$C:$C,$C7)*SUMIFS(Velocity!$I:$I,Velocity!$A:$A,$A7,Velocity!$B:$B,$C7)/Assumptions!$B$4*Assumptions!$B$6</f>
        <v>18.25</v>
      </c>
      <c r="BC7" s="7" t="n">
        <f aca="false">SUMIFS(Doors!BO:BO,Doors!$A:$A,$D7,Doors!$B:$B,$B7,Doors!$C:$C,$C7)*SUMIFS(Velocity!$I:$I,Velocity!$A:$A,$A7,Velocity!$B:$B,$C7)/Assumptions!$B$4*Assumptions!$B$6</f>
        <v>18.25</v>
      </c>
      <c r="BD7" s="7" t="n">
        <f aca="false">SUMIFS(Doors!BP:BP,Doors!$A:$A,$D7,Doors!$B:$B,$B7,Doors!$C:$C,$C7)*SUMIFS(Velocity!$I:$I,Velocity!$A:$A,$A7,Velocity!$B:$B,$C7)/Assumptions!$B$4*Assumptions!$B$6</f>
        <v>18.25</v>
      </c>
    </row>
    <row r="8" customFormat="false" ht="15" hidden="false" customHeight="false" outlineLevel="0" collapsed="false">
      <c r="A8" s="0" t="s">
        <v>108</v>
      </c>
      <c r="B8" s="0" t="s">
        <v>126</v>
      </c>
      <c r="C8" s="0" t="s">
        <v>117</v>
      </c>
      <c r="D8" s="0" t="s">
        <v>235</v>
      </c>
      <c r="E8" s="7" t="n">
        <f aca="false">SUMIFS(Doors!Q:Q,Doors!$A:$A,$D8,Doors!$B:$B,$B8,Doors!$C:$C,$C8)*SUMIFS(Velocity!$I:$I,Velocity!$A:$A,$A8,Velocity!$B:$B,$C8)/Assumptions!$B$4*Assumptions!$B$6</f>
        <v>0</v>
      </c>
      <c r="F8" s="7" t="n">
        <f aca="false">SUMIFS(Doors!R:R,Doors!$A:$A,$D8,Doors!$B:$B,$B8,Doors!$C:$C,$C8)*SUMIFS(Velocity!$I:$I,Velocity!$A:$A,$A8,Velocity!$B:$B,$C8)/Assumptions!$B$4*Assumptions!$B$6</f>
        <v>0</v>
      </c>
      <c r="G8" s="7" t="n">
        <f aca="false">SUMIFS(Doors!S:S,Doors!$A:$A,$D8,Doors!$B:$B,$B8,Doors!$C:$C,$C8)*SUMIFS(Velocity!$I:$I,Velocity!$A:$A,$A8,Velocity!$B:$B,$C8)/Assumptions!$B$4*Assumptions!$B$6</f>
        <v>0</v>
      </c>
      <c r="H8" s="7" t="n">
        <f aca="false">SUMIFS(Doors!T:T,Doors!$A:$A,$D8,Doors!$B:$B,$B8,Doors!$C:$C,$C8)*SUMIFS(Velocity!$I:$I,Velocity!$A:$A,$A8,Velocity!$B:$B,$C8)/Assumptions!$B$4*Assumptions!$B$6</f>
        <v>0</v>
      </c>
      <c r="I8" s="7" t="n">
        <f aca="false">SUMIFS(Doors!U:U,Doors!$A:$A,$D8,Doors!$B:$B,$B8,Doors!$C:$C,$C8)*SUMIFS(Velocity!$I:$I,Velocity!$A:$A,$A8,Velocity!$B:$B,$C8)/Assumptions!$B$4*Assumptions!$B$6</f>
        <v>0</v>
      </c>
      <c r="J8" s="7" t="n">
        <f aca="false">SUMIFS(Doors!V:V,Doors!$A:$A,$D8,Doors!$B:$B,$B8,Doors!$C:$C,$C8)*SUMIFS(Velocity!$I:$I,Velocity!$A:$A,$A8,Velocity!$B:$B,$C8)/Assumptions!$B$4*Assumptions!$B$6</f>
        <v>0</v>
      </c>
      <c r="K8" s="7" t="n">
        <f aca="false">SUMIFS(Doors!W:W,Doors!$A:$A,$D8,Doors!$B:$B,$B8,Doors!$C:$C,$C8)*SUMIFS(Velocity!$I:$I,Velocity!$A:$A,$A8,Velocity!$B:$B,$C8)/Assumptions!$B$4*Assumptions!$B$6</f>
        <v>0</v>
      </c>
      <c r="L8" s="7" t="n">
        <f aca="false">SUMIFS(Doors!X:X,Doors!$A:$A,$D8,Doors!$B:$B,$B8,Doors!$C:$C,$C8)*SUMIFS(Velocity!$I:$I,Velocity!$A:$A,$A8,Velocity!$B:$B,$C8)/Assumptions!$B$4*Assumptions!$B$6</f>
        <v>0</v>
      </c>
      <c r="M8" s="7" t="n">
        <f aca="false">SUMIFS(Doors!Y:Y,Doors!$A:$A,$D8,Doors!$B:$B,$B8,Doors!$C:$C,$C8)*SUMIFS(Velocity!$I:$I,Velocity!$A:$A,$A8,Velocity!$B:$B,$C8)/Assumptions!$B$4*Assumptions!$B$6</f>
        <v>0</v>
      </c>
      <c r="N8" s="7" t="n">
        <f aca="false">SUMIFS(Doors!Z:Z,Doors!$A:$A,$D8,Doors!$B:$B,$B8,Doors!$C:$C,$C8)*SUMIFS(Velocity!$I:$I,Velocity!$A:$A,$A8,Velocity!$B:$B,$C8)/Assumptions!$B$4*Assumptions!$B$6</f>
        <v>5.03333333333333</v>
      </c>
      <c r="O8" s="7" t="n">
        <f aca="false">SUMIFS(Doors!AA:AA,Doors!$A:$A,$D8,Doors!$B:$B,$B8,Doors!$C:$C,$C8)*SUMIFS(Velocity!$I:$I,Velocity!$A:$A,$A8,Velocity!$B:$B,$C8)/Assumptions!$B$4*Assumptions!$B$6</f>
        <v>5.03333333333333</v>
      </c>
      <c r="P8" s="7" t="n">
        <f aca="false">SUMIFS(Doors!AB:AB,Doors!$A:$A,$D8,Doors!$B:$B,$B8,Doors!$C:$C,$C8)*SUMIFS(Velocity!$I:$I,Velocity!$A:$A,$A8,Velocity!$B:$B,$C8)/Assumptions!$B$4*Assumptions!$B$6</f>
        <v>5.03333333333333</v>
      </c>
      <c r="Q8" s="7" t="n">
        <f aca="false">SUMIFS(Doors!AC:AC,Doors!$A:$A,$D8,Doors!$B:$B,$B8,Doors!$C:$C,$C8)*SUMIFS(Velocity!$I:$I,Velocity!$A:$A,$A8,Velocity!$B:$B,$C8)/Assumptions!$B$4*Assumptions!$B$6</f>
        <v>5.03333333333333</v>
      </c>
      <c r="R8" s="7" t="n">
        <f aca="false">SUMIFS(Doors!AD:AD,Doors!$A:$A,$D8,Doors!$B:$B,$B8,Doors!$C:$C,$C8)*SUMIFS(Velocity!$I:$I,Velocity!$A:$A,$A8,Velocity!$B:$B,$C8)/Assumptions!$B$4*Assumptions!$B$6</f>
        <v>9.4375</v>
      </c>
      <c r="S8" s="7" t="n">
        <f aca="false">SUMIFS(Doors!AE:AE,Doors!$A:$A,$D8,Doors!$B:$B,$B8,Doors!$C:$C,$C8)*SUMIFS(Velocity!$I:$I,Velocity!$A:$A,$A8,Velocity!$B:$B,$C8)/Assumptions!$B$4*Assumptions!$B$6</f>
        <v>9.4375</v>
      </c>
      <c r="T8" s="7" t="n">
        <f aca="false">SUMIFS(Doors!AF:AF,Doors!$A:$A,$D8,Doors!$B:$B,$B8,Doors!$C:$C,$C8)*SUMIFS(Velocity!$I:$I,Velocity!$A:$A,$A8,Velocity!$B:$B,$C8)/Assumptions!$B$4*Assumptions!$B$6</f>
        <v>9.4375</v>
      </c>
      <c r="U8" s="7" t="n">
        <f aca="false">SUMIFS(Doors!AG:AG,Doors!$A:$A,$D8,Doors!$B:$B,$B8,Doors!$C:$C,$C8)*SUMIFS(Velocity!$I:$I,Velocity!$A:$A,$A8,Velocity!$B:$B,$C8)/Assumptions!$B$4*Assumptions!$B$6</f>
        <v>9.4375</v>
      </c>
      <c r="V8" s="7" t="n">
        <f aca="false">SUMIFS(Doors!AH:AH,Doors!$A:$A,$D8,Doors!$B:$B,$B8,Doors!$C:$C,$C8)*SUMIFS(Velocity!$I:$I,Velocity!$A:$A,$A8,Velocity!$B:$B,$C8)/Assumptions!$B$4*Assumptions!$B$6</f>
        <v>9.4375</v>
      </c>
      <c r="W8" s="7" t="n">
        <f aca="false">SUMIFS(Doors!AI:AI,Doors!$A:$A,$D8,Doors!$B:$B,$B8,Doors!$C:$C,$C8)*SUMIFS(Velocity!$I:$I,Velocity!$A:$A,$A8,Velocity!$B:$B,$C8)/Assumptions!$B$4*Assumptions!$B$6</f>
        <v>12.5833333333333</v>
      </c>
      <c r="X8" s="7" t="n">
        <f aca="false">SUMIFS(Doors!AJ:AJ,Doors!$A:$A,$D8,Doors!$B:$B,$B8,Doors!$C:$C,$C8)*SUMIFS(Velocity!$I:$I,Velocity!$A:$A,$A8,Velocity!$B:$B,$C8)/Assumptions!$B$4*Assumptions!$B$6</f>
        <v>12.5833333333333</v>
      </c>
      <c r="Y8" s="7" t="n">
        <f aca="false">SUMIFS(Doors!AK:AK,Doors!$A:$A,$D8,Doors!$B:$B,$B8,Doors!$C:$C,$C8)*SUMIFS(Velocity!$I:$I,Velocity!$A:$A,$A8,Velocity!$B:$B,$C8)/Assumptions!$B$4*Assumptions!$B$6</f>
        <v>12.5833333333333</v>
      </c>
      <c r="Z8" s="7" t="n">
        <f aca="false">SUMIFS(Doors!AL:AL,Doors!$A:$A,$D8,Doors!$B:$B,$B8,Doors!$C:$C,$C8)*SUMIFS(Velocity!$I:$I,Velocity!$A:$A,$A8,Velocity!$B:$B,$C8)/Assumptions!$B$4*Assumptions!$B$6</f>
        <v>12.5833333333333</v>
      </c>
      <c r="AA8" s="7" t="n">
        <f aca="false">SUMIFS(Doors!AM:AM,Doors!$A:$A,$D8,Doors!$B:$B,$B8,Doors!$C:$C,$C8)*SUMIFS(Velocity!$I:$I,Velocity!$A:$A,$A8,Velocity!$B:$B,$C8)/Assumptions!$B$4*Assumptions!$B$6</f>
        <v>15.7291666666667</v>
      </c>
      <c r="AB8" s="7" t="n">
        <f aca="false">SUMIFS(Doors!AN:AN,Doors!$A:$A,$D8,Doors!$B:$B,$B8,Doors!$C:$C,$C8)*SUMIFS(Velocity!$I:$I,Velocity!$A:$A,$A8,Velocity!$B:$B,$C8)/Assumptions!$B$4*Assumptions!$B$6</f>
        <v>15.7291666666667</v>
      </c>
      <c r="AC8" s="7" t="n">
        <f aca="false">SUMIFS(Doors!AO:AO,Doors!$A:$A,$D8,Doors!$B:$B,$B8,Doors!$C:$C,$C8)*SUMIFS(Velocity!$I:$I,Velocity!$A:$A,$A8,Velocity!$B:$B,$C8)/Assumptions!$B$4*Assumptions!$B$6</f>
        <v>15.7291666666667</v>
      </c>
      <c r="AD8" s="7" t="n">
        <f aca="false">SUMIFS(Doors!AP:AP,Doors!$A:$A,$D8,Doors!$B:$B,$B8,Doors!$C:$C,$C8)*SUMIFS(Velocity!$I:$I,Velocity!$A:$A,$A8,Velocity!$B:$B,$C8)/Assumptions!$B$4*Assumptions!$B$6</f>
        <v>15.7291666666667</v>
      </c>
      <c r="AE8" s="7" t="n">
        <f aca="false">SUMIFS(Doors!AQ:AQ,Doors!$A:$A,$D8,Doors!$B:$B,$B8,Doors!$C:$C,$C8)*SUMIFS(Velocity!$I:$I,Velocity!$A:$A,$A8,Velocity!$B:$B,$C8)/Assumptions!$B$4*Assumptions!$B$6</f>
        <v>17.6166666666667</v>
      </c>
      <c r="AF8" s="7" t="n">
        <f aca="false">SUMIFS(Doors!AR:AR,Doors!$A:$A,$D8,Doors!$B:$B,$B8,Doors!$C:$C,$C8)*SUMIFS(Velocity!$I:$I,Velocity!$A:$A,$A8,Velocity!$B:$B,$C8)/Assumptions!$B$4*Assumptions!$B$6</f>
        <v>17.6166666666667</v>
      </c>
      <c r="AG8" s="7" t="n">
        <f aca="false">SUMIFS(Doors!AS:AS,Doors!$A:$A,$D8,Doors!$B:$B,$B8,Doors!$C:$C,$C8)*SUMIFS(Velocity!$I:$I,Velocity!$A:$A,$A8,Velocity!$B:$B,$C8)/Assumptions!$B$4*Assumptions!$B$6</f>
        <v>17.6166666666667</v>
      </c>
      <c r="AH8" s="7" t="n">
        <f aca="false">SUMIFS(Doors!AT:AT,Doors!$A:$A,$D8,Doors!$B:$B,$B8,Doors!$C:$C,$C8)*SUMIFS(Velocity!$I:$I,Velocity!$A:$A,$A8,Velocity!$B:$B,$C8)/Assumptions!$B$4*Assumptions!$B$6</f>
        <v>17.6166666666667</v>
      </c>
      <c r="AI8" s="7" t="n">
        <f aca="false">SUMIFS(Doors!AU:AU,Doors!$A:$A,$D8,Doors!$B:$B,$B8,Doors!$C:$C,$C8)*SUMIFS(Velocity!$I:$I,Velocity!$A:$A,$A8,Velocity!$B:$B,$C8)/Assumptions!$B$4*Assumptions!$B$6</f>
        <v>17.6166666666667</v>
      </c>
      <c r="AJ8" s="7" t="n">
        <f aca="false">SUMIFS(Doors!AV:AV,Doors!$A:$A,$D8,Doors!$B:$B,$B8,Doors!$C:$C,$C8)*SUMIFS(Velocity!$I:$I,Velocity!$A:$A,$A8,Velocity!$B:$B,$C8)/Assumptions!$B$4*Assumptions!$B$6</f>
        <v>18.875</v>
      </c>
      <c r="AK8" s="7" t="n">
        <f aca="false">SUMIFS(Doors!AW:AW,Doors!$A:$A,$D8,Doors!$B:$B,$B8,Doors!$C:$C,$C8)*SUMIFS(Velocity!$I:$I,Velocity!$A:$A,$A8,Velocity!$B:$B,$C8)/Assumptions!$B$4*Assumptions!$B$6</f>
        <v>18.875</v>
      </c>
      <c r="AL8" s="7" t="n">
        <f aca="false">SUMIFS(Doors!AX:AX,Doors!$A:$A,$D8,Doors!$B:$B,$B8,Doors!$C:$C,$C8)*SUMIFS(Velocity!$I:$I,Velocity!$A:$A,$A8,Velocity!$B:$B,$C8)/Assumptions!$B$4*Assumptions!$B$6</f>
        <v>18.875</v>
      </c>
      <c r="AM8" s="7" t="n">
        <f aca="false">SUMIFS(Doors!AY:AY,Doors!$A:$A,$D8,Doors!$B:$B,$B8,Doors!$C:$C,$C8)*SUMIFS(Velocity!$I:$I,Velocity!$A:$A,$A8,Velocity!$B:$B,$C8)/Assumptions!$B$4*Assumptions!$B$6</f>
        <v>18.875</v>
      </c>
      <c r="AN8" s="7" t="n">
        <f aca="false">SUMIFS(Doors!AZ:AZ,Doors!$A:$A,$D8,Doors!$B:$B,$B8,Doors!$C:$C,$C8)*SUMIFS(Velocity!$I:$I,Velocity!$A:$A,$A8,Velocity!$B:$B,$C8)/Assumptions!$B$4*Assumptions!$B$6</f>
        <v>20.7625</v>
      </c>
      <c r="AO8" s="7" t="n">
        <f aca="false">SUMIFS(Doors!BA:BA,Doors!$A:$A,$D8,Doors!$B:$B,$B8,Doors!$C:$C,$C8)*SUMIFS(Velocity!$I:$I,Velocity!$A:$A,$A8,Velocity!$B:$B,$C8)/Assumptions!$B$4*Assumptions!$B$6</f>
        <v>20.7625</v>
      </c>
      <c r="AP8" s="7" t="n">
        <f aca="false">SUMIFS(Doors!BB:BB,Doors!$A:$A,$D8,Doors!$B:$B,$B8,Doors!$C:$C,$C8)*SUMIFS(Velocity!$I:$I,Velocity!$A:$A,$A8,Velocity!$B:$B,$C8)/Assumptions!$B$4*Assumptions!$B$6</f>
        <v>20.7625</v>
      </c>
      <c r="AQ8" s="7" t="n">
        <f aca="false">SUMIFS(Doors!BC:BC,Doors!$A:$A,$D8,Doors!$B:$B,$B8,Doors!$C:$C,$C8)*SUMIFS(Velocity!$I:$I,Velocity!$A:$A,$A8,Velocity!$B:$B,$C8)/Assumptions!$B$4*Assumptions!$B$6</f>
        <v>20.7625</v>
      </c>
      <c r="AR8" s="7" t="n">
        <f aca="false">SUMIFS(Doors!BD:BD,Doors!$A:$A,$D8,Doors!$B:$B,$B8,Doors!$C:$C,$C8)*SUMIFS(Velocity!$I:$I,Velocity!$A:$A,$A8,Velocity!$B:$B,$C8)/Assumptions!$B$4*Assumptions!$B$6</f>
        <v>22.65</v>
      </c>
      <c r="AS8" s="7" t="n">
        <f aca="false">SUMIFS(Doors!BE:BE,Doors!$A:$A,$D8,Doors!$B:$B,$B8,Doors!$C:$C,$C8)*SUMIFS(Velocity!$I:$I,Velocity!$A:$A,$A8,Velocity!$B:$B,$C8)/Assumptions!$B$4*Assumptions!$B$6</f>
        <v>22.65</v>
      </c>
      <c r="AT8" s="7" t="n">
        <f aca="false">SUMIFS(Doors!BF:BF,Doors!$A:$A,$D8,Doors!$B:$B,$B8,Doors!$C:$C,$C8)*SUMIFS(Velocity!$I:$I,Velocity!$A:$A,$A8,Velocity!$B:$B,$C8)/Assumptions!$B$4*Assumptions!$B$6</f>
        <v>22.65</v>
      </c>
      <c r="AU8" s="7" t="n">
        <f aca="false">SUMIFS(Doors!BG:BG,Doors!$A:$A,$D8,Doors!$B:$B,$B8,Doors!$C:$C,$C8)*SUMIFS(Velocity!$I:$I,Velocity!$A:$A,$A8,Velocity!$B:$B,$C8)/Assumptions!$B$4*Assumptions!$B$6</f>
        <v>22.65</v>
      </c>
      <c r="AV8" s="7" t="n">
        <f aca="false">SUMIFS(Doors!BH:BH,Doors!$A:$A,$D8,Doors!$B:$B,$B8,Doors!$C:$C,$C8)*SUMIFS(Velocity!$I:$I,Velocity!$A:$A,$A8,Velocity!$B:$B,$C8)/Assumptions!$B$4*Assumptions!$B$6</f>
        <v>22.65</v>
      </c>
      <c r="AW8" s="7" t="n">
        <f aca="false">SUMIFS(Doors!BI:BI,Doors!$A:$A,$D8,Doors!$B:$B,$B8,Doors!$C:$C,$C8)*SUMIFS(Velocity!$I:$I,Velocity!$A:$A,$A8,Velocity!$B:$B,$C8)/Assumptions!$B$4*Assumptions!$B$6</f>
        <v>23.9083333333333</v>
      </c>
      <c r="AX8" s="7" t="n">
        <f aca="false">SUMIFS(Doors!BJ:BJ,Doors!$A:$A,$D8,Doors!$B:$B,$B8,Doors!$C:$C,$C8)*SUMIFS(Velocity!$I:$I,Velocity!$A:$A,$A8,Velocity!$B:$B,$C8)/Assumptions!$B$4*Assumptions!$B$6</f>
        <v>23.9083333333333</v>
      </c>
      <c r="AY8" s="7" t="n">
        <f aca="false">SUMIFS(Doors!BK:BK,Doors!$A:$A,$D8,Doors!$B:$B,$B8,Doors!$C:$C,$C8)*SUMIFS(Velocity!$I:$I,Velocity!$A:$A,$A8,Velocity!$B:$B,$C8)/Assumptions!$B$4*Assumptions!$B$6</f>
        <v>23.9083333333333</v>
      </c>
      <c r="AZ8" s="7" t="n">
        <f aca="false">SUMIFS(Doors!BL:BL,Doors!$A:$A,$D8,Doors!$B:$B,$B8,Doors!$C:$C,$C8)*SUMIFS(Velocity!$I:$I,Velocity!$A:$A,$A8,Velocity!$B:$B,$C8)/Assumptions!$B$4*Assumptions!$B$6</f>
        <v>23.9083333333333</v>
      </c>
      <c r="BA8" s="7" t="n">
        <f aca="false">SUMIFS(Doors!BM:BM,Doors!$A:$A,$D8,Doors!$B:$B,$B8,Doors!$C:$C,$C8)*SUMIFS(Velocity!$I:$I,Velocity!$A:$A,$A8,Velocity!$B:$B,$C8)/Assumptions!$B$4*Assumptions!$B$6</f>
        <v>25.1666666666667</v>
      </c>
      <c r="BB8" s="7" t="n">
        <f aca="false">SUMIFS(Doors!BN:BN,Doors!$A:$A,$D8,Doors!$B:$B,$B8,Doors!$C:$C,$C8)*SUMIFS(Velocity!$I:$I,Velocity!$A:$A,$A8,Velocity!$B:$B,$C8)/Assumptions!$B$4*Assumptions!$B$6</f>
        <v>25.1666666666667</v>
      </c>
      <c r="BC8" s="7" t="n">
        <f aca="false">SUMIFS(Doors!BO:BO,Doors!$A:$A,$D8,Doors!$B:$B,$B8,Doors!$C:$C,$C8)*SUMIFS(Velocity!$I:$I,Velocity!$A:$A,$A8,Velocity!$B:$B,$C8)/Assumptions!$B$4*Assumptions!$B$6</f>
        <v>25.1666666666667</v>
      </c>
      <c r="BD8" s="7" t="n">
        <f aca="false">SUMIFS(Doors!BP:BP,Doors!$A:$A,$D8,Doors!$B:$B,$B8,Doors!$C:$C,$C8)*SUMIFS(Velocity!$I:$I,Velocity!$A:$A,$A8,Velocity!$B:$B,$C8)/Assumptions!$B$4*Assumptions!$B$6</f>
        <v>25.1666666666667</v>
      </c>
    </row>
    <row r="9" customFormat="false" ht="15" hidden="false" customHeight="false" outlineLevel="0" collapsed="false">
      <c r="A9" s="0" t="s">
        <v>108</v>
      </c>
      <c r="B9" s="0" t="s">
        <v>126</v>
      </c>
      <c r="C9" s="0" t="s">
        <v>118</v>
      </c>
      <c r="D9" s="0" t="s">
        <v>235</v>
      </c>
      <c r="E9" s="7" t="n">
        <f aca="false">SUMIFS(Doors!Q:Q,Doors!$A:$A,$D9,Doors!$B:$B,$B9,Doors!$C:$C,$C9)*SUMIFS(Velocity!$I:$I,Velocity!$A:$A,$A9,Velocity!$B:$B,$C9)/Assumptions!$B$4*Assumptions!$B$6</f>
        <v>0</v>
      </c>
      <c r="F9" s="7" t="n">
        <f aca="false">SUMIFS(Doors!R:R,Doors!$A:$A,$D9,Doors!$B:$B,$B9,Doors!$C:$C,$C9)*SUMIFS(Velocity!$I:$I,Velocity!$A:$A,$A9,Velocity!$B:$B,$C9)/Assumptions!$B$4*Assumptions!$B$6</f>
        <v>0</v>
      </c>
      <c r="G9" s="7" t="n">
        <f aca="false">SUMIFS(Doors!S:S,Doors!$A:$A,$D9,Doors!$B:$B,$B9,Doors!$C:$C,$C9)*SUMIFS(Velocity!$I:$I,Velocity!$A:$A,$A9,Velocity!$B:$B,$C9)/Assumptions!$B$4*Assumptions!$B$6</f>
        <v>0</v>
      </c>
      <c r="H9" s="7" t="n">
        <f aca="false">SUMIFS(Doors!T:T,Doors!$A:$A,$D9,Doors!$B:$B,$B9,Doors!$C:$C,$C9)*SUMIFS(Velocity!$I:$I,Velocity!$A:$A,$A9,Velocity!$B:$B,$C9)/Assumptions!$B$4*Assumptions!$B$6</f>
        <v>0</v>
      </c>
      <c r="I9" s="7" t="n">
        <f aca="false">SUMIFS(Doors!U:U,Doors!$A:$A,$D9,Doors!$B:$B,$B9,Doors!$C:$C,$C9)*SUMIFS(Velocity!$I:$I,Velocity!$A:$A,$A9,Velocity!$B:$B,$C9)/Assumptions!$B$4*Assumptions!$B$6</f>
        <v>0</v>
      </c>
      <c r="J9" s="7" t="n">
        <f aca="false">SUMIFS(Doors!V:V,Doors!$A:$A,$D9,Doors!$B:$B,$B9,Doors!$C:$C,$C9)*SUMIFS(Velocity!$I:$I,Velocity!$A:$A,$A9,Velocity!$B:$B,$C9)/Assumptions!$B$4*Assumptions!$B$6</f>
        <v>0</v>
      </c>
      <c r="K9" s="7" t="n">
        <f aca="false">SUMIFS(Doors!W:W,Doors!$A:$A,$D9,Doors!$B:$B,$B9,Doors!$C:$C,$C9)*SUMIFS(Velocity!$I:$I,Velocity!$A:$A,$A9,Velocity!$B:$B,$C9)/Assumptions!$B$4*Assumptions!$B$6</f>
        <v>0</v>
      </c>
      <c r="L9" s="7" t="n">
        <f aca="false">SUMIFS(Doors!X:X,Doors!$A:$A,$D9,Doors!$B:$B,$B9,Doors!$C:$C,$C9)*SUMIFS(Velocity!$I:$I,Velocity!$A:$A,$A9,Velocity!$B:$B,$C9)/Assumptions!$B$4*Assumptions!$B$6</f>
        <v>0</v>
      </c>
      <c r="M9" s="7" t="n">
        <f aca="false">SUMIFS(Doors!Y:Y,Doors!$A:$A,$D9,Doors!$B:$B,$B9,Doors!$C:$C,$C9)*SUMIFS(Velocity!$I:$I,Velocity!$A:$A,$A9,Velocity!$B:$B,$C9)/Assumptions!$B$4*Assumptions!$B$6</f>
        <v>0</v>
      </c>
      <c r="N9" s="7" t="n">
        <f aca="false">SUMIFS(Doors!Z:Z,Doors!$A:$A,$D9,Doors!$B:$B,$B9,Doors!$C:$C,$C9)*SUMIFS(Velocity!$I:$I,Velocity!$A:$A,$A9,Velocity!$B:$B,$C9)/Assumptions!$B$4*Assumptions!$B$6</f>
        <v>0</v>
      </c>
      <c r="O9" s="7" t="n">
        <f aca="false">SUMIFS(Doors!AA:AA,Doors!$A:$A,$D9,Doors!$B:$B,$B9,Doors!$C:$C,$C9)*SUMIFS(Velocity!$I:$I,Velocity!$A:$A,$A9,Velocity!$B:$B,$C9)/Assumptions!$B$4*Assumptions!$B$6</f>
        <v>0</v>
      </c>
      <c r="P9" s="7" t="n">
        <f aca="false">SUMIFS(Doors!AB:AB,Doors!$A:$A,$D9,Doors!$B:$B,$B9,Doors!$C:$C,$C9)*SUMIFS(Velocity!$I:$I,Velocity!$A:$A,$A9,Velocity!$B:$B,$C9)/Assumptions!$B$4*Assumptions!$B$6</f>
        <v>0</v>
      </c>
      <c r="Q9" s="7" t="n">
        <f aca="false">SUMIFS(Doors!AC:AC,Doors!$A:$A,$D9,Doors!$B:$B,$B9,Doors!$C:$C,$C9)*SUMIFS(Velocity!$I:$I,Velocity!$A:$A,$A9,Velocity!$B:$B,$C9)/Assumptions!$B$4*Assumptions!$B$6</f>
        <v>0</v>
      </c>
      <c r="R9" s="7" t="n">
        <f aca="false">SUMIFS(Doors!AD:AD,Doors!$A:$A,$D9,Doors!$B:$B,$B9,Doors!$C:$C,$C9)*SUMIFS(Velocity!$I:$I,Velocity!$A:$A,$A9,Velocity!$B:$B,$C9)/Assumptions!$B$4*Assumptions!$B$6</f>
        <v>0</v>
      </c>
      <c r="S9" s="7" t="n">
        <f aca="false">SUMIFS(Doors!AE:AE,Doors!$A:$A,$D9,Doors!$B:$B,$B9,Doors!$C:$C,$C9)*SUMIFS(Velocity!$I:$I,Velocity!$A:$A,$A9,Velocity!$B:$B,$C9)/Assumptions!$B$4*Assumptions!$B$6</f>
        <v>0</v>
      </c>
      <c r="T9" s="7" t="n">
        <f aca="false">SUMIFS(Doors!AF:AF,Doors!$A:$A,$D9,Doors!$B:$B,$B9,Doors!$C:$C,$C9)*SUMIFS(Velocity!$I:$I,Velocity!$A:$A,$A9,Velocity!$B:$B,$C9)/Assumptions!$B$4*Assumptions!$B$6</f>
        <v>0</v>
      </c>
      <c r="U9" s="7" t="n">
        <f aca="false">SUMIFS(Doors!AG:AG,Doors!$A:$A,$D9,Doors!$B:$B,$B9,Doors!$C:$C,$C9)*SUMIFS(Velocity!$I:$I,Velocity!$A:$A,$A9,Velocity!$B:$B,$C9)/Assumptions!$B$4*Assumptions!$B$6</f>
        <v>0</v>
      </c>
      <c r="V9" s="7" t="n">
        <f aca="false">SUMIFS(Doors!AH:AH,Doors!$A:$A,$D9,Doors!$B:$B,$B9,Doors!$C:$C,$C9)*SUMIFS(Velocity!$I:$I,Velocity!$A:$A,$A9,Velocity!$B:$B,$C9)/Assumptions!$B$4*Assumptions!$B$6</f>
        <v>0</v>
      </c>
      <c r="W9" s="7" t="n">
        <f aca="false">SUMIFS(Doors!AI:AI,Doors!$A:$A,$D9,Doors!$B:$B,$B9,Doors!$C:$C,$C9)*SUMIFS(Velocity!$I:$I,Velocity!$A:$A,$A9,Velocity!$B:$B,$C9)/Assumptions!$B$4*Assumptions!$B$6</f>
        <v>0</v>
      </c>
      <c r="X9" s="7" t="n">
        <f aca="false">SUMIFS(Doors!AJ:AJ,Doors!$A:$A,$D9,Doors!$B:$B,$B9,Doors!$C:$C,$C9)*SUMIFS(Velocity!$I:$I,Velocity!$A:$A,$A9,Velocity!$B:$B,$C9)/Assumptions!$B$4*Assumptions!$B$6</f>
        <v>0</v>
      </c>
      <c r="Y9" s="7" t="n">
        <f aca="false">SUMIFS(Doors!AK:AK,Doors!$A:$A,$D9,Doors!$B:$B,$B9,Doors!$C:$C,$C9)*SUMIFS(Velocity!$I:$I,Velocity!$A:$A,$A9,Velocity!$B:$B,$C9)/Assumptions!$B$4*Assumptions!$B$6</f>
        <v>0</v>
      </c>
      <c r="Z9" s="7" t="n">
        <f aca="false">SUMIFS(Doors!AL:AL,Doors!$A:$A,$D9,Doors!$B:$B,$B9,Doors!$C:$C,$C9)*SUMIFS(Velocity!$I:$I,Velocity!$A:$A,$A9,Velocity!$B:$B,$C9)/Assumptions!$B$4*Assumptions!$B$6</f>
        <v>0</v>
      </c>
      <c r="AA9" s="7" t="n">
        <f aca="false">SUMIFS(Doors!AM:AM,Doors!$A:$A,$D9,Doors!$B:$B,$B9,Doors!$C:$C,$C9)*SUMIFS(Velocity!$I:$I,Velocity!$A:$A,$A9,Velocity!$B:$B,$C9)/Assumptions!$B$4*Assumptions!$B$6</f>
        <v>0</v>
      </c>
      <c r="AB9" s="7" t="n">
        <f aca="false">SUMIFS(Doors!AN:AN,Doors!$A:$A,$D9,Doors!$B:$B,$B9,Doors!$C:$C,$C9)*SUMIFS(Velocity!$I:$I,Velocity!$A:$A,$A9,Velocity!$B:$B,$C9)/Assumptions!$B$4*Assumptions!$B$6</f>
        <v>0</v>
      </c>
      <c r="AC9" s="7" t="n">
        <f aca="false">SUMIFS(Doors!AO:AO,Doors!$A:$A,$D9,Doors!$B:$B,$B9,Doors!$C:$C,$C9)*SUMIFS(Velocity!$I:$I,Velocity!$A:$A,$A9,Velocity!$B:$B,$C9)/Assumptions!$B$4*Assumptions!$B$6</f>
        <v>0</v>
      </c>
      <c r="AD9" s="7" t="n">
        <f aca="false">SUMIFS(Doors!AP:AP,Doors!$A:$A,$D9,Doors!$B:$B,$B9,Doors!$C:$C,$C9)*SUMIFS(Velocity!$I:$I,Velocity!$A:$A,$A9,Velocity!$B:$B,$C9)/Assumptions!$B$4*Assumptions!$B$6</f>
        <v>0</v>
      </c>
      <c r="AE9" s="7" t="n">
        <f aca="false">SUMIFS(Doors!AQ:AQ,Doors!$A:$A,$D9,Doors!$B:$B,$B9,Doors!$C:$C,$C9)*SUMIFS(Velocity!$I:$I,Velocity!$A:$A,$A9,Velocity!$B:$B,$C9)/Assumptions!$B$4*Assumptions!$B$6</f>
        <v>460</v>
      </c>
      <c r="AF9" s="7" t="n">
        <f aca="false">SUMIFS(Doors!AR:AR,Doors!$A:$A,$D9,Doors!$B:$B,$B9,Doors!$C:$C,$C9)*SUMIFS(Velocity!$I:$I,Velocity!$A:$A,$A9,Velocity!$B:$B,$C9)/Assumptions!$B$4*Assumptions!$B$6</f>
        <v>460</v>
      </c>
      <c r="AG9" s="7" t="n">
        <f aca="false">SUMIFS(Doors!AS:AS,Doors!$A:$A,$D9,Doors!$B:$B,$B9,Doors!$C:$C,$C9)*SUMIFS(Velocity!$I:$I,Velocity!$A:$A,$A9,Velocity!$B:$B,$C9)/Assumptions!$B$4*Assumptions!$B$6</f>
        <v>460</v>
      </c>
      <c r="AH9" s="7" t="n">
        <f aca="false">SUMIFS(Doors!AT:AT,Doors!$A:$A,$D9,Doors!$B:$B,$B9,Doors!$C:$C,$C9)*SUMIFS(Velocity!$I:$I,Velocity!$A:$A,$A9,Velocity!$B:$B,$C9)/Assumptions!$B$4*Assumptions!$B$6</f>
        <v>460</v>
      </c>
      <c r="AI9" s="7" t="n">
        <f aca="false">SUMIFS(Doors!AU:AU,Doors!$A:$A,$D9,Doors!$B:$B,$B9,Doors!$C:$C,$C9)*SUMIFS(Velocity!$I:$I,Velocity!$A:$A,$A9,Velocity!$B:$B,$C9)/Assumptions!$B$4*Assumptions!$B$6</f>
        <v>460</v>
      </c>
      <c r="AJ9" s="7" t="n">
        <f aca="false">SUMIFS(Doors!AV:AV,Doors!$A:$A,$D9,Doors!$B:$B,$B9,Doors!$C:$C,$C9)*SUMIFS(Velocity!$I:$I,Velocity!$A:$A,$A9,Velocity!$B:$B,$C9)/Assumptions!$B$4*Assumptions!$B$6</f>
        <v>0</v>
      </c>
      <c r="AK9" s="7" t="n">
        <f aca="false">SUMIFS(Doors!AW:AW,Doors!$A:$A,$D9,Doors!$B:$B,$B9,Doors!$C:$C,$C9)*SUMIFS(Velocity!$I:$I,Velocity!$A:$A,$A9,Velocity!$B:$B,$C9)/Assumptions!$B$4*Assumptions!$B$6</f>
        <v>0</v>
      </c>
      <c r="AL9" s="7" t="n">
        <f aca="false">SUMIFS(Doors!AX:AX,Doors!$A:$A,$D9,Doors!$B:$B,$B9,Doors!$C:$C,$C9)*SUMIFS(Velocity!$I:$I,Velocity!$A:$A,$A9,Velocity!$B:$B,$C9)/Assumptions!$B$4*Assumptions!$B$6</f>
        <v>0</v>
      </c>
      <c r="AM9" s="7" t="n">
        <f aca="false">SUMIFS(Doors!AY:AY,Doors!$A:$A,$D9,Doors!$B:$B,$B9,Doors!$C:$C,$C9)*SUMIFS(Velocity!$I:$I,Velocity!$A:$A,$A9,Velocity!$B:$B,$C9)/Assumptions!$B$4*Assumptions!$B$6</f>
        <v>0</v>
      </c>
      <c r="AN9" s="7" t="n">
        <f aca="false">SUMIFS(Doors!AZ:AZ,Doors!$A:$A,$D9,Doors!$B:$B,$B9,Doors!$C:$C,$C9)*SUMIFS(Velocity!$I:$I,Velocity!$A:$A,$A9,Velocity!$B:$B,$C9)/Assumptions!$B$4*Assumptions!$B$6</f>
        <v>0</v>
      </c>
      <c r="AO9" s="7" t="n">
        <f aca="false">SUMIFS(Doors!BA:BA,Doors!$A:$A,$D9,Doors!$B:$B,$B9,Doors!$C:$C,$C9)*SUMIFS(Velocity!$I:$I,Velocity!$A:$A,$A9,Velocity!$B:$B,$C9)/Assumptions!$B$4*Assumptions!$B$6</f>
        <v>0</v>
      </c>
      <c r="AP9" s="7" t="n">
        <f aca="false">SUMIFS(Doors!BB:BB,Doors!$A:$A,$D9,Doors!$B:$B,$B9,Doors!$C:$C,$C9)*SUMIFS(Velocity!$I:$I,Velocity!$A:$A,$A9,Velocity!$B:$B,$C9)/Assumptions!$B$4*Assumptions!$B$6</f>
        <v>0</v>
      </c>
      <c r="AQ9" s="7" t="n">
        <f aca="false">SUMIFS(Doors!BC:BC,Doors!$A:$A,$D9,Doors!$B:$B,$B9,Doors!$C:$C,$C9)*SUMIFS(Velocity!$I:$I,Velocity!$A:$A,$A9,Velocity!$B:$B,$C9)/Assumptions!$B$4*Assumptions!$B$6</f>
        <v>0</v>
      </c>
      <c r="AR9" s="7" t="n">
        <f aca="false">SUMIFS(Doors!BD:BD,Doors!$A:$A,$D9,Doors!$B:$B,$B9,Doors!$C:$C,$C9)*SUMIFS(Velocity!$I:$I,Velocity!$A:$A,$A9,Velocity!$B:$B,$C9)/Assumptions!$B$4*Assumptions!$B$6</f>
        <v>191.666666666667</v>
      </c>
      <c r="AS9" s="7" t="n">
        <f aca="false">SUMIFS(Doors!BE:BE,Doors!$A:$A,$D9,Doors!$B:$B,$B9,Doors!$C:$C,$C9)*SUMIFS(Velocity!$I:$I,Velocity!$A:$A,$A9,Velocity!$B:$B,$C9)/Assumptions!$B$4*Assumptions!$B$6</f>
        <v>191.666666666667</v>
      </c>
      <c r="AT9" s="7" t="n">
        <f aca="false">SUMIFS(Doors!BF:BF,Doors!$A:$A,$D9,Doors!$B:$B,$B9,Doors!$C:$C,$C9)*SUMIFS(Velocity!$I:$I,Velocity!$A:$A,$A9,Velocity!$B:$B,$C9)/Assumptions!$B$4*Assumptions!$B$6</f>
        <v>191.666666666667</v>
      </c>
      <c r="AU9" s="7" t="n">
        <f aca="false">SUMIFS(Doors!BG:BG,Doors!$A:$A,$D9,Doors!$B:$B,$B9,Doors!$C:$C,$C9)*SUMIFS(Velocity!$I:$I,Velocity!$A:$A,$A9,Velocity!$B:$B,$C9)/Assumptions!$B$4*Assumptions!$B$6</f>
        <v>191.666666666667</v>
      </c>
      <c r="AV9" s="7" t="n">
        <f aca="false">SUMIFS(Doors!BH:BH,Doors!$A:$A,$D9,Doors!$B:$B,$B9,Doors!$C:$C,$C9)*SUMIFS(Velocity!$I:$I,Velocity!$A:$A,$A9,Velocity!$B:$B,$C9)/Assumptions!$B$4*Assumptions!$B$6</f>
        <v>191.666666666667</v>
      </c>
      <c r="AW9" s="7" t="n">
        <f aca="false">SUMIFS(Doors!BI:BI,Doors!$A:$A,$D9,Doors!$B:$B,$B9,Doors!$C:$C,$C9)*SUMIFS(Velocity!$I:$I,Velocity!$A:$A,$A9,Velocity!$B:$B,$C9)/Assumptions!$B$4*Assumptions!$B$6</f>
        <v>191.666666666667</v>
      </c>
      <c r="AX9" s="7" t="n">
        <f aca="false">SUMIFS(Doors!BJ:BJ,Doors!$A:$A,$D9,Doors!$B:$B,$B9,Doors!$C:$C,$C9)*SUMIFS(Velocity!$I:$I,Velocity!$A:$A,$A9,Velocity!$B:$B,$C9)/Assumptions!$B$4*Assumptions!$B$6</f>
        <v>191.666666666667</v>
      </c>
      <c r="AY9" s="7" t="n">
        <f aca="false">SUMIFS(Doors!BK:BK,Doors!$A:$A,$D9,Doors!$B:$B,$B9,Doors!$C:$C,$C9)*SUMIFS(Velocity!$I:$I,Velocity!$A:$A,$A9,Velocity!$B:$B,$C9)/Assumptions!$B$4*Assumptions!$B$6</f>
        <v>191.666666666667</v>
      </c>
      <c r="AZ9" s="7" t="n">
        <f aca="false">SUMIFS(Doors!BL:BL,Doors!$A:$A,$D9,Doors!$B:$B,$B9,Doors!$C:$C,$C9)*SUMIFS(Velocity!$I:$I,Velocity!$A:$A,$A9,Velocity!$B:$B,$C9)/Assumptions!$B$4*Assumptions!$B$6</f>
        <v>191.666666666667</v>
      </c>
      <c r="BA9" s="7" t="n">
        <f aca="false">SUMIFS(Doors!BM:BM,Doors!$A:$A,$D9,Doors!$B:$B,$B9,Doors!$C:$C,$C9)*SUMIFS(Velocity!$I:$I,Velocity!$A:$A,$A9,Velocity!$B:$B,$C9)/Assumptions!$B$4*Assumptions!$B$6</f>
        <v>191.666666666667</v>
      </c>
      <c r="BB9" s="7" t="n">
        <f aca="false">SUMIFS(Doors!BN:BN,Doors!$A:$A,$D9,Doors!$B:$B,$B9,Doors!$C:$C,$C9)*SUMIFS(Velocity!$I:$I,Velocity!$A:$A,$A9,Velocity!$B:$B,$C9)/Assumptions!$B$4*Assumptions!$B$6</f>
        <v>191.666666666667</v>
      </c>
      <c r="BC9" s="7" t="n">
        <f aca="false">SUMIFS(Doors!BO:BO,Doors!$A:$A,$D9,Doors!$B:$B,$B9,Doors!$C:$C,$C9)*SUMIFS(Velocity!$I:$I,Velocity!$A:$A,$A9,Velocity!$B:$B,$C9)/Assumptions!$B$4*Assumptions!$B$6</f>
        <v>191.666666666667</v>
      </c>
      <c r="BD9" s="7" t="n">
        <f aca="false">SUMIFS(Doors!BP:BP,Doors!$A:$A,$D9,Doors!$B:$B,$B9,Doors!$C:$C,$C9)*SUMIFS(Velocity!$I:$I,Velocity!$A:$A,$A9,Velocity!$B:$B,$C9)/Assumptions!$B$4*Assumptions!$B$6</f>
        <v>191.666666666667</v>
      </c>
    </row>
    <row r="10" customFormat="false" ht="15" hidden="false" customHeight="false" outlineLevel="0" collapsed="false">
      <c r="A10" s="0" t="s">
        <v>108</v>
      </c>
      <c r="B10" s="0" t="s">
        <v>126</v>
      </c>
      <c r="C10" s="0" t="s">
        <v>119</v>
      </c>
      <c r="D10" s="0" t="s">
        <v>235</v>
      </c>
      <c r="E10" s="7" t="n">
        <f aca="false">SUMIFS(Doors!Q:Q,Doors!$A:$A,$D10,Doors!$B:$B,$B10,Doors!$C:$C,$C10)*SUMIFS(Velocity!$I:$I,Velocity!$A:$A,$A10,Velocity!$B:$B,$C10)/Assumptions!$B$4*Assumptions!$B$6</f>
        <v>5</v>
      </c>
      <c r="F10" s="7" t="n">
        <f aca="false">SUMIFS(Doors!R:R,Doors!$A:$A,$D10,Doors!$B:$B,$B10,Doors!$C:$C,$C10)*SUMIFS(Velocity!$I:$I,Velocity!$A:$A,$A10,Velocity!$B:$B,$C10)/Assumptions!$B$4*Assumptions!$B$6</f>
        <v>5</v>
      </c>
      <c r="G10" s="7" t="n">
        <f aca="false">SUMIFS(Doors!S:S,Doors!$A:$A,$D10,Doors!$B:$B,$B10,Doors!$C:$C,$C10)*SUMIFS(Velocity!$I:$I,Velocity!$A:$A,$A10,Velocity!$B:$B,$C10)/Assumptions!$B$4*Assumptions!$B$6</f>
        <v>5</v>
      </c>
      <c r="H10" s="7" t="n">
        <f aca="false">SUMIFS(Doors!T:T,Doors!$A:$A,$D10,Doors!$B:$B,$B10,Doors!$C:$C,$C10)*SUMIFS(Velocity!$I:$I,Velocity!$A:$A,$A10,Velocity!$B:$B,$C10)/Assumptions!$B$4*Assumptions!$B$6</f>
        <v>5</v>
      </c>
      <c r="I10" s="7" t="n">
        <f aca="false">SUMIFS(Doors!U:U,Doors!$A:$A,$D10,Doors!$B:$B,$B10,Doors!$C:$C,$C10)*SUMIFS(Velocity!$I:$I,Velocity!$A:$A,$A10,Velocity!$B:$B,$C10)/Assumptions!$B$4*Assumptions!$B$6</f>
        <v>5</v>
      </c>
      <c r="J10" s="7" t="n">
        <f aca="false">SUMIFS(Doors!V:V,Doors!$A:$A,$D10,Doors!$B:$B,$B10,Doors!$C:$C,$C10)*SUMIFS(Velocity!$I:$I,Velocity!$A:$A,$A10,Velocity!$B:$B,$C10)/Assumptions!$B$4*Assumptions!$B$6</f>
        <v>6.66666666666667</v>
      </c>
      <c r="K10" s="7" t="n">
        <f aca="false">SUMIFS(Doors!W:W,Doors!$A:$A,$D10,Doors!$B:$B,$B10,Doors!$C:$C,$C10)*SUMIFS(Velocity!$I:$I,Velocity!$A:$A,$A10,Velocity!$B:$B,$C10)/Assumptions!$B$4*Assumptions!$B$6</f>
        <v>6.66666666666667</v>
      </c>
      <c r="L10" s="7" t="n">
        <f aca="false">SUMIFS(Doors!X:X,Doors!$A:$A,$D10,Doors!$B:$B,$B10,Doors!$C:$C,$C10)*SUMIFS(Velocity!$I:$I,Velocity!$A:$A,$A10,Velocity!$B:$B,$C10)/Assumptions!$B$4*Assumptions!$B$6</f>
        <v>6.66666666666667</v>
      </c>
      <c r="M10" s="7" t="n">
        <f aca="false">SUMIFS(Doors!Y:Y,Doors!$A:$A,$D10,Doors!$B:$B,$B10,Doors!$C:$C,$C10)*SUMIFS(Velocity!$I:$I,Velocity!$A:$A,$A10,Velocity!$B:$B,$C10)/Assumptions!$B$4*Assumptions!$B$6</f>
        <v>6.66666666666667</v>
      </c>
      <c r="N10" s="7" t="n">
        <f aca="false">SUMIFS(Doors!Z:Z,Doors!$A:$A,$D10,Doors!$B:$B,$B10,Doors!$C:$C,$C10)*SUMIFS(Velocity!$I:$I,Velocity!$A:$A,$A10,Velocity!$B:$B,$C10)/Assumptions!$B$4*Assumptions!$B$6</f>
        <v>9.16666666666667</v>
      </c>
      <c r="O10" s="7" t="n">
        <f aca="false">SUMIFS(Doors!AA:AA,Doors!$A:$A,$D10,Doors!$B:$B,$B10,Doors!$C:$C,$C10)*SUMIFS(Velocity!$I:$I,Velocity!$A:$A,$A10,Velocity!$B:$B,$C10)/Assumptions!$B$4*Assumptions!$B$6</f>
        <v>9.16666666666667</v>
      </c>
      <c r="P10" s="7" t="n">
        <f aca="false">SUMIFS(Doors!AB:AB,Doors!$A:$A,$D10,Doors!$B:$B,$B10,Doors!$C:$C,$C10)*SUMIFS(Velocity!$I:$I,Velocity!$A:$A,$A10,Velocity!$B:$B,$C10)/Assumptions!$B$4*Assumptions!$B$6</f>
        <v>9.16666666666667</v>
      </c>
      <c r="Q10" s="7" t="n">
        <f aca="false">SUMIFS(Doors!AC:AC,Doors!$A:$A,$D10,Doors!$B:$B,$B10,Doors!$C:$C,$C10)*SUMIFS(Velocity!$I:$I,Velocity!$A:$A,$A10,Velocity!$B:$B,$C10)/Assumptions!$B$4*Assumptions!$B$6</f>
        <v>9.16666666666667</v>
      </c>
      <c r="R10" s="7" t="n">
        <f aca="false">SUMIFS(Doors!AD:AD,Doors!$A:$A,$D10,Doors!$B:$B,$B10,Doors!$C:$C,$C10)*SUMIFS(Velocity!$I:$I,Velocity!$A:$A,$A10,Velocity!$B:$B,$C10)/Assumptions!$B$4*Assumptions!$B$6</f>
        <v>11.6666666666667</v>
      </c>
      <c r="S10" s="7" t="n">
        <f aca="false">SUMIFS(Doors!AE:AE,Doors!$A:$A,$D10,Doors!$B:$B,$B10,Doors!$C:$C,$C10)*SUMIFS(Velocity!$I:$I,Velocity!$A:$A,$A10,Velocity!$B:$B,$C10)/Assumptions!$B$4*Assumptions!$B$6</f>
        <v>11.6666666666667</v>
      </c>
      <c r="T10" s="7" t="n">
        <f aca="false">SUMIFS(Doors!AF:AF,Doors!$A:$A,$D10,Doors!$B:$B,$B10,Doors!$C:$C,$C10)*SUMIFS(Velocity!$I:$I,Velocity!$A:$A,$A10,Velocity!$B:$B,$C10)/Assumptions!$B$4*Assumptions!$B$6</f>
        <v>11.6666666666667</v>
      </c>
      <c r="U10" s="7" t="n">
        <f aca="false">SUMIFS(Doors!AG:AG,Doors!$A:$A,$D10,Doors!$B:$B,$B10,Doors!$C:$C,$C10)*SUMIFS(Velocity!$I:$I,Velocity!$A:$A,$A10,Velocity!$B:$B,$C10)/Assumptions!$B$4*Assumptions!$B$6</f>
        <v>11.6666666666667</v>
      </c>
      <c r="V10" s="7" t="n">
        <f aca="false">SUMIFS(Doors!AH:AH,Doors!$A:$A,$D10,Doors!$B:$B,$B10,Doors!$C:$C,$C10)*SUMIFS(Velocity!$I:$I,Velocity!$A:$A,$A10,Velocity!$B:$B,$C10)/Assumptions!$B$4*Assumptions!$B$6</f>
        <v>11.6666666666667</v>
      </c>
      <c r="W10" s="7" t="n">
        <f aca="false">SUMIFS(Doors!AI:AI,Doors!$A:$A,$D10,Doors!$B:$B,$B10,Doors!$C:$C,$C10)*SUMIFS(Velocity!$I:$I,Velocity!$A:$A,$A10,Velocity!$B:$B,$C10)/Assumptions!$B$4*Assumptions!$B$6</f>
        <v>13.3333333333333</v>
      </c>
      <c r="X10" s="7" t="n">
        <f aca="false">SUMIFS(Doors!AJ:AJ,Doors!$A:$A,$D10,Doors!$B:$B,$B10,Doors!$C:$C,$C10)*SUMIFS(Velocity!$I:$I,Velocity!$A:$A,$A10,Velocity!$B:$B,$C10)/Assumptions!$B$4*Assumptions!$B$6</f>
        <v>13.3333333333333</v>
      </c>
      <c r="Y10" s="7" t="n">
        <f aca="false">SUMIFS(Doors!AK:AK,Doors!$A:$A,$D10,Doors!$B:$B,$B10,Doors!$C:$C,$C10)*SUMIFS(Velocity!$I:$I,Velocity!$A:$A,$A10,Velocity!$B:$B,$C10)/Assumptions!$B$4*Assumptions!$B$6</f>
        <v>13.3333333333333</v>
      </c>
      <c r="Z10" s="7" t="n">
        <f aca="false">SUMIFS(Doors!AL:AL,Doors!$A:$A,$D10,Doors!$B:$B,$B10,Doors!$C:$C,$C10)*SUMIFS(Velocity!$I:$I,Velocity!$A:$A,$A10,Velocity!$B:$B,$C10)/Assumptions!$B$4*Assumptions!$B$6</f>
        <v>13.3333333333333</v>
      </c>
      <c r="AA10" s="7" t="n">
        <f aca="false">SUMIFS(Doors!AM:AM,Doors!$A:$A,$D10,Doors!$B:$B,$B10,Doors!$C:$C,$C10)*SUMIFS(Velocity!$I:$I,Velocity!$A:$A,$A10,Velocity!$B:$B,$C10)/Assumptions!$B$4*Assumptions!$B$6</f>
        <v>15</v>
      </c>
      <c r="AB10" s="7" t="n">
        <f aca="false">SUMIFS(Doors!AN:AN,Doors!$A:$A,$D10,Doors!$B:$B,$B10,Doors!$C:$C,$C10)*SUMIFS(Velocity!$I:$I,Velocity!$A:$A,$A10,Velocity!$B:$B,$C10)/Assumptions!$B$4*Assumptions!$B$6</f>
        <v>15</v>
      </c>
      <c r="AC10" s="7" t="n">
        <f aca="false">SUMIFS(Doors!AO:AO,Doors!$A:$A,$D10,Doors!$B:$B,$B10,Doors!$C:$C,$C10)*SUMIFS(Velocity!$I:$I,Velocity!$A:$A,$A10,Velocity!$B:$B,$C10)/Assumptions!$B$4*Assumptions!$B$6</f>
        <v>15</v>
      </c>
      <c r="AD10" s="7" t="n">
        <f aca="false">SUMIFS(Doors!AP:AP,Doors!$A:$A,$D10,Doors!$B:$B,$B10,Doors!$C:$C,$C10)*SUMIFS(Velocity!$I:$I,Velocity!$A:$A,$A10,Velocity!$B:$B,$C10)/Assumptions!$B$4*Assumptions!$B$6</f>
        <v>15</v>
      </c>
      <c r="AE10" s="7" t="n">
        <f aca="false">SUMIFS(Doors!AQ:AQ,Doors!$A:$A,$D10,Doors!$B:$B,$B10,Doors!$C:$C,$C10)*SUMIFS(Velocity!$I:$I,Velocity!$A:$A,$A10,Velocity!$B:$B,$C10)/Assumptions!$B$4*Assumptions!$B$6</f>
        <v>16.6666666666667</v>
      </c>
      <c r="AF10" s="7" t="n">
        <f aca="false">SUMIFS(Doors!AR:AR,Doors!$A:$A,$D10,Doors!$B:$B,$B10,Doors!$C:$C,$C10)*SUMIFS(Velocity!$I:$I,Velocity!$A:$A,$A10,Velocity!$B:$B,$C10)/Assumptions!$B$4*Assumptions!$B$6</f>
        <v>16.6666666666667</v>
      </c>
      <c r="AG10" s="7" t="n">
        <f aca="false">SUMIFS(Doors!AS:AS,Doors!$A:$A,$D10,Doors!$B:$B,$B10,Doors!$C:$C,$C10)*SUMIFS(Velocity!$I:$I,Velocity!$A:$A,$A10,Velocity!$B:$B,$C10)/Assumptions!$B$4*Assumptions!$B$6</f>
        <v>16.6666666666667</v>
      </c>
      <c r="AH10" s="7" t="n">
        <f aca="false">SUMIFS(Doors!AT:AT,Doors!$A:$A,$D10,Doors!$B:$B,$B10,Doors!$C:$C,$C10)*SUMIFS(Velocity!$I:$I,Velocity!$A:$A,$A10,Velocity!$B:$B,$C10)/Assumptions!$B$4*Assumptions!$B$6</f>
        <v>16.6666666666667</v>
      </c>
      <c r="AI10" s="7" t="n">
        <f aca="false">SUMIFS(Doors!AU:AU,Doors!$A:$A,$D10,Doors!$B:$B,$B10,Doors!$C:$C,$C10)*SUMIFS(Velocity!$I:$I,Velocity!$A:$A,$A10,Velocity!$B:$B,$C10)/Assumptions!$B$4*Assumptions!$B$6</f>
        <v>16.6666666666667</v>
      </c>
      <c r="AJ10" s="7" t="n">
        <f aca="false">SUMIFS(Doors!AV:AV,Doors!$A:$A,$D10,Doors!$B:$B,$B10,Doors!$C:$C,$C10)*SUMIFS(Velocity!$I:$I,Velocity!$A:$A,$A10,Velocity!$B:$B,$C10)/Assumptions!$B$4*Assumptions!$B$6</f>
        <v>17.5</v>
      </c>
      <c r="AK10" s="7" t="n">
        <f aca="false">SUMIFS(Doors!AW:AW,Doors!$A:$A,$D10,Doors!$B:$B,$B10,Doors!$C:$C,$C10)*SUMIFS(Velocity!$I:$I,Velocity!$A:$A,$A10,Velocity!$B:$B,$C10)/Assumptions!$B$4*Assumptions!$B$6</f>
        <v>17.5</v>
      </c>
      <c r="AL10" s="7" t="n">
        <f aca="false">SUMIFS(Doors!AX:AX,Doors!$A:$A,$D10,Doors!$B:$B,$B10,Doors!$C:$C,$C10)*SUMIFS(Velocity!$I:$I,Velocity!$A:$A,$A10,Velocity!$B:$B,$C10)/Assumptions!$B$4*Assumptions!$B$6</f>
        <v>17.5</v>
      </c>
      <c r="AM10" s="7" t="n">
        <f aca="false">SUMIFS(Doors!AY:AY,Doors!$A:$A,$D10,Doors!$B:$B,$B10,Doors!$C:$C,$C10)*SUMIFS(Velocity!$I:$I,Velocity!$A:$A,$A10,Velocity!$B:$B,$C10)/Assumptions!$B$4*Assumptions!$B$6</f>
        <v>17.5</v>
      </c>
      <c r="AN10" s="7" t="n">
        <f aca="false">SUMIFS(Doors!AZ:AZ,Doors!$A:$A,$D10,Doors!$B:$B,$B10,Doors!$C:$C,$C10)*SUMIFS(Velocity!$I:$I,Velocity!$A:$A,$A10,Velocity!$B:$B,$C10)/Assumptions!$B$4*Assumptions!$B$6</f>
        <v>18.3333333333333</v>
      </c>
      <c r="AO10" s="7" t="n">
        <f aca="false">SUMIFS(Doors!BA:BA,Doors!$A:$A,$D10,Doors!$B:$B,$B10,Doors!$C:$C,$C10)*SUMIFS(Velocity!$I:$I,Velocity!$A:$A,$A10,Velocity!$B:$B,$C10)/Assumptions!$B$4*Assumptions!$B$6</f>
        <v>18.3333333333333</v>
      </c>
      <c r="AP10" s="7" t="n">
        <f aca="false">SUMIFS(Doors!BB:BB,Doors!$A:$A,$D10,Doors!$B:$B,$B10,Doors!$C:$C,$C10)*SUMIFS(Velocity!$I:$I,Velocity!$A:$A,$A10,Velocity!$B:$B,$C10)/Assumptions!$B$4*Assumptions!$B$6</f>
        <v>18.3333333333333</v>
      </c>
      <c r="AQ10" s="7" t="n">
        <f aca="false">SUMIFS(Doors!BC:BC,Doors!$A:$A,$D10,Doors!$B:$B,$B10,Doors!$C:$C,$C10)*SUMIFS(Velocity!$I:$I,Velocity!$A:$A,$A10,Velocity!$B:$B,$C10)/Assumptions!$B$4*Assumptions!$B$6</f>
        <v>18.3333333333333</v>
      </c>
      <c r="AR10" s="7" t="n">
        <f aca="false">SUMIFS(Doors!BD:BD,Doors!$A:$A,$D10,Doors!$B:$B,$B10,Doors!$C:$C,$C10)*SUMIFS(Velocity!$I:$I,Velocity!$A:$A,$A10,Velocity!$B:$B,$C10)/Assumptions!$B$4*Assumptions!$B$6</f>
        <v>19.1666666666667</v>
      </c>
      <c r="AS10" s="7" t="n">
        <f aca="false">SUMIFS(Doors!BE:BE,Doors!$A:$A,$D10,Doors!$B:$B,$B10,Doors!$C:$C,$C10)*SUMIFS(Velocity!$I:$I,Velocity!$A:$A,$A10,Velocity!$B:$B,$C10)/Assumptions!$B$4*Assumptions!$B$6</f>
        <v>19.1666666666667</v>
      </c>
      <c r="AT10" s="7" t="n">
        <f aca="false">SUMIFS(Doors!BF:BF,Doors!$A:$A,$D10,Doors!$B:$B,$B10,Doors!$C:$C,$C10)*SUMIFS(Velocity!$I:$I,Velocity!$A:$A,$A10,Velocity!$B:$B,$C10)/Assumptions!$B$4*Assumptions!$B$6</f>
        <v>19.1666666666667</v>
      </c>
      <c r="AU10" s="7" t="n">
        <f aca="false">SUMIFS(Doors!BG:BG,Doors!$A:$A,$D10,Doors!$B:$B,$B10,Doors!$C:$C,$C10)*SUMIFS(Velocity!$I:$I,Velocity!$A:$A,$A10,Velocity!$B:$B,$C10)/Assumptions!$B$4*Assumptions!$B$6</f>
        <v>19.1666666666667</v>
      </c>
      <c r="AV10" s="7" t="n">
        <f aca="false">SUMIFS(Doors!BH:BH,Doors!$A:$A,$D10,Doors!$B:$B,$B10,Doors!$C:$C,$C10)*SUMIFS(Velocity!$I:$I,Velocity!$A:$A,$A10,Velocity!$B:$B,$C10)/Assumptions!$B$4*Assumptions!$B$6</f>
        <v>19.1666666666667</v>
      </c>
      <c r="AW10" s="7" t="n">
        <f aca="false">SUMIFS(Doors!BI:BI,Doors!$A:$A,$D10,Doors!$B:$B,$B10,Doors!$C:$C,$C10)*SUMIFS(Velocity!$I:$I,Velocity!$A:$A,$A10,Velocity!$B:$B,$C10)/Assumptions!$B$4*Assumptions!$B$6</f>
        <v>19.6666666666667</v>
      </c>
      <c r="AX10" s="7" t="n">
        <f aca="false">SUMIFS(Doors!BJ:BJ,Doors!$A:$A,$D10,Doors!$B:$B,$B10,Doors!$C:$C,$C10)*SUMIFS(Velocity!$I:$I,Velocity!$A:$A,$A10,Velocity!$B:$B,$C10)/Assumptions!$B$4*Assumptions!$B$6</f>
        <v>19.6666666666667</v>
      </c>
      <c r="AY10" s="7" t="n">
        <f aca="false">SUMIFS(Doors!BK:BK,Doors!$A:$A,$D10,Doors!$B:$B,$B10,Doors!$C:$C,$C10)*SUMIFS(Velocity!$I:$I,Velocity!$A:$A,$A10,Velocity!$B:$B,$C10)/Assumptions!$B$4*Assumptions!$B$6</f>
        <v>19.6666666666667</v>
      </c>
      <c r="AZ10" s="7" t="n">
        <f aca="false">SUMIFS(Doors!BL:BL,Doors!$A:$A,$D10,Doors!$B:$B,$B10,Doors!$C:$C,$C10)*SUMIFS(Velocity!$I:$I,Velocity!$A:$A,$A10,Velocity!$B:$B,$C10)/Assumptions!$B$4*Assumptions!$B$6</f>
        <v>19.6666666666667</v>
      </c>
      <c r="BA10" s="7" t="n">
        <f aca="false">SUMIFS(Doors!BM:BM,Doors!$A:$A,$D10,Doors!$B:$B,$B10,Doors!$C:$C,$C10)*SUMIFS(Velocity!$I:$I,Velocity!$A:$A,$A10,Velocity!$B:$B,$C10)/Assumptions!$B$4*Assumptions!$B$6</f>
        <v>20</v>
      </c>
      <c r="BB10" s="7" t="n">
        <f aca="false">SUMIFS(Doors!BN:BN,Doors!$A:$A,$D10,Doors!$B:$B,$B10,Doors!$C:$C,$C10)*SUMIFS(Velocity!$I:$I,Velocity!$A:$A,$A10,Velocity!$B:$B,$C10)/Assumptions!$B$4*Assumptions!$B$6</f>
        <v>20</v>
      </c>
      <c r="BC10" s="7" t="n">
        <f aca="false">SUMIFS(Doors!BO:BO,Doors!$A:$A,$D10,Doors!$B:$B,$B10,Doors!$C:$C,$C10)*SUMIFS(Velocity!$I:$I,Velocity!$A:$A,$A10,Velocity!$B:$B,$C10)/Assumptions!$B$4*Assumptions!$B$6</f>
        <v>20</v>
      </c>
      <c r="BD10" s="7" t="n">
        <f aca="false">SUMIFS(Doors!BP:BP,Doors!$A:$A,$D10,Doors!$B:$B,$B10,Doors!$C:$C,$C10)*SUMIFS(Velocity!$I:$I,Velocity!$A:$A,$A10,Velocity!$B:$B,$C10)/Assumptions!$B$4*Assumptions!$B$6</f>
        <v>20</v>
      </c>
    </row>
    <row r="11" customFormat="false" ht="15" hidden="false" customHeight="false" outlineLevel="0" collapsed="false">
      <c r="A11" s="0" t="s">
        <v>108</v>
      </c>
      <c r="B11" s="0" t="s">
        <v>126</v>
      </c>
      <c r="C11" s="0" t="s">
        <v>120</v>
      </c>
      <c r="D11" s="0" t="s">
        <v>235</v>
      </c>
      <c r="E11" s="7" t="n">
        <f aca="false">SUMIFS(Doors!Q:Q,Doors!$A:$A,$D11,Doors!$B:$B,$B11,Doors!$C:$C,$C11)*SUMIFS(Velocity!$I:$I,Velocity!$A:$A,$A11,Velocity!$B:$B,$C11)/Assumptions!$B$4*Assumptions!$B$6</f>
        <v>3.95833333333333</v>
      </c>
      <c r="F11" s="7" t="n">
        <f aca="false">SUMIFS(Doors!R:R,Doors!$A:$A,$D11,Doors!$B:$B,$B11,Doors!$C:$C,$C11)*SUMIFS(Velocity!$I:$I,Velocity!$A:$A,$A11,Velocity!$B:$B,$C11)/Assumptions!$B$4*Assumptions!$B$6</f>
        <v>3.95833333333333</v>
      </c>
      <c r="G11" s="7" t="n">
        <f aca="false">SUMIFS(Doors!S:S,Doors!$A:$A,$D11,Doors!$B:$B,$B11,Doors!$C:$C,$C11)*SUMIFS(Velocity!$I:$I,Velocity!$A:$A,$A11,Velocity!$B:$B,$C11)/Assumptions!$B$4*Assumptions!$B$6</f>
        <v>3.95833333333333</v>
      </c>
      <c r="H11" s="7" t="n">
        <f aca="false">SUMIFS(Doors!T:T,Doors!$A:$A,$D11,Doors!$B:$B,$B11,Doors!$C:$C,$C11)*SUMIFS(Velocity!$I:$I,Velocity!$A:$A,$A11,Velocity!$B:$B,$C11)/Assumptions!$B$4*Assumptions!$B$6</f>
        <v>3.95833333333333</v>
      </c>
      <c r="I11" s="7" t="n">
        <f aca="false">SUMIFS(Doors!U:U,Doors!$A:$A,$D11,Doors!$B:$B,$B11,Doors!$C:$C,$C11)*SUMIFS(Velocity!$I:$I,Velocity!$A:$A,$A11,Velocity!$B:$B,$C11)/Assumptions!$B$4*Assumptions!$B$6</f>
        <v>3.95833333333333</v>
      </c>
      <c r="J11" s="7" t="n">
        <f aca="false">SUMIFS(Doors!V:V,Doors!$A:$A,$D11,Doors!$B:$B,$B11,Doors!$C:$C,$C11)*SUMIFS(Velocity!$I:$I,Velocity!$A:$A,$A11,Velocity!$B:$B,$C11)/Assumptions!$B$4*Assumptions!$B$6</f>
        <v>5.9375</v>
      </c>
      <c r="K11" s="7" t="n">
        <f aca="false">SUMIFS(Doors!W:W,Doors!$A:$A,$D11,Doors!$B:$B,$B11,Doors!$C:$C,$C11)*SUMIFS(Velocity!$I:$I,Velocity!$A:$A,$A11,Velocity!$B:$B,$C11)/Assumptions!$B$4*Assumptions!$B$6</f>
        <v>5.9375</v>
      </c>
      <c r="L11" s="7" t="n">
        <f aca="false">SUMIFS(Doors!X:X,Doors!$A:$A,$D11,Doors!$B:$B,$B11,Doors!$C:$C,$C11)*SUMIFS(Velocity!$I:$I,Velocity!$A:$A,$A11,Velocity!$B:$B,$C11)/Assumptions!$B$4*Assumptions!$B$6</f>
        <v>5.9375</v>
      </c>
      <c r="M11" s="7" t="n">
        <f aca="false">SUMIFS(Doors!Y:Y,Doors!$A:$A,$D11,Doors!$B:$B,$B11,Doors!$C:$C,$C11)*SUMIFS(Velocity!$I:$I,Velocity!$A:$A,$A11,Velocity!$B:$B,$C11)/Assumptions!$B$4*Assumptions!$B$6</f>
        <v>5.9375</v>
      </c>
      <c r="N11" s="7" t="n">
        <f aca="false">SUMIFS(Doors!Z:Z,Doors!$A:$A,$D11,Doors!$B:$B,$B11,Doors!$C:$C,$C11)*SUMIFS(Velocity!$I:$I,Velocity!$A:$A,$A11,Velocity!$B:$B,$C11)/Assumptions!$B$4*Assumptions!$B$6</f>
        <v>8.90625</v>
      </c>
      <c r="O11" s="7" t="n">
        <f aca="false">SUMIFS(Doors!AA:AA,Doors!$A:$A,$D11,Doors!$B:$B,$B11,Doors!$C:$C,$C11)*SUMIFS(Velocity!$I:$I,Velocity!$A:$A,$A11,Velocity!$B:$B,$C11)/Assumptions!$B$4*Assumptions!$B$6</f>
        <v>8.90625</v>
      </c>
      <c r="P11" s="7" t="n">
        <f aca="false">SUMIFS(Doors!AB:AB,Doors!$A:$A,$D11,Doors!$B:$B,$B11,Doors!$C:$C,$C11)*SUMIFS(Velocity!$I:$I,Velocity!$A:$A,$A11,Velocity!$B:$B,$C11)/Assumptions!$B$4*Assumptions!$B$6</f>
        <v>8.90625</v>
      </c>
      <c r="Q11" s="7" t="n">
        <f aca="false">SUMIFS(Doors!AC:AC,Doors!$A:$A,$D11,Doors!$B:$B,$B11,Doors!$C:$C,$C11)*SUMIFS(Velocity!$I:$I,Velocity!$A:$A,$A11,Velocity!$B:$B,$C11)/Assumptions!$B$4*Assumptions!$B$6</f>
        <v>8.90625</v>
      </c>
      <c r="R11" s="7" t="n">
        <f aca="false">SUMIFS(Doors!AD:AD,Doors!$A:$A,$D11,Doors!$B:$B,$B11,Doors!$C:$C,$C11)*SUMIFS(Velocity!$I:$I,Velocity!$A:$A,$A11,Velocity!$B:$B,$C11)/Assumptions!$B$4*Assumptions!$B$6</f>
        <v>11.875</v>
      </c>
      <c r="S11" s="7" t="n">
        <f aca="false">SUMIFS(Doors!AE:AE,Doors!$A:$A,$D11,Doors!$B:$B,$B11,Doors!$C:$C,$C11)*SUMIFS(Velocity!$I:$I,Velocity!$A:$A,$A11,Velocity!$B:$B,$C11)/Assumptions!$B$4*Assumptions!$B$6</f>
        <v>11.875</v>
      </c>
      <c r="T11" s="7" t="n">
        <f aca="false">SUMIFS(Doors!AF:AF,Doors!$A:$A,$D11,Doors!$B:$B,$B11,Doors!$C:$C,$C11)*SUMIFS(Velocity!$I:$I,Velocity!$A:$A,$A11,Velocity!$B:$B,$C11)/Assumptions!$B$4*Assumptions!$B$6</f>
        <v>11.875</v>
      </c>
      <c r="U11" s="7" t="n">
        <f aca="false">SUMIFS(Doors!AG:AG,Doors!$A:$A,$D11,Doors!$B:$B,$B11,Doors!$C:$C,$C11)*SUMIFS(Velocity!$I:$I,Velocity!$A:$A,$A11,Velocity!$B:$B,$C11)/Assumptions!$B$4*Assumptions!$B$6</f>
        <v>11.875</v>
      </c>
      <c r="V11" s="7" t="n">
        <f aca="false">SUMIFS(Doors!AH:AH,Doors!$A:$A,$D11,Doors!$B:$B,$B11,Doors!$C:$C,$C11)*SUMIFS(Velocity!$I:$I,Velocity!$A:$A,$A11,Velocity!$B:$B,$C11)/Assumptions!$B$4*Assumptions!$B$6</f>
        <v>11.875</v>
      </c>
      <c r="W11" s="7" t="n">
        <f aca="false">SUMIFS(Doors!AI:AI,Doors!$A:$A,$D11,Doors!$B:$B,$B11,Doors!$C:$C,$C11)*SUMIFS(Velocity!$I:$I,Velocity!$A:$A,$A11,Velocity!$B:$B,$C11)/Assumptions!$B$4*Assumptions!$B$6</f>
        <v>13.8541666666667</v>
      </c>
      <c r="X11" s="7" t="n">
        <f aca="false">SUMIFS(Doors!AJ:AJ,Doors!$A:$A,$D11,Doors!$B:$B,$B11,Doors!$C:$C,$C11)*SUMIFS(Velocity!$I:$I,Velocity!$A:$A,$A11,Velocity!$B:$B,$C11)/Assumptions!$B$4*Assumptions!$B$6</f>
        <v>13.8541666666667</v>
      </c>
      <c r="Y11" s="7" t="n">
        <f aca="false">SUMIFS(Doors!AK:AK,Doors!$A:$A,$D11,Doors!$B:$B,$B11,Doors!$C:$C,$C11)*SUMIFS(Velocity!$I:$I,Velocity!$A:$A,$A11,Velocity!$B:$B,$C11)/Assumptions!$B$4*Assumptions!$B$6</f>
        <v>13.8541666666667</v>
      </c>
      <c r="Z11" s="7" t="n">
        <f aca="false">SUMIFS(Doors!AL:AL,Doors!$A:$A,$D11,Doors!$B:$B,$B11,Doors!$C:$C,$C11)*SUMIFS(Velocity!$I:$I,Velocity!$A:$A,$A11,Velocity!$B:$B,$C11)/Assumptions!$B$4*Assumptions!$B$6</f>
        <v>13.8541666666667</v>
      </c>
      <c r="AA11" s="7" t="n">
        <f aca="false">SUMIFS(Doors!AM:AM,Doors!$A:$A,$D11,Doors!$B:$B,$B11,Doors!$C:$C,$C11)*SUMIFS(Velocity!$I:$I,Velocity!$A:$A,$A11,Velocity!$B:$B,$C11)/Assumptions!$B$4*Assumptions!$B$6</f>
        <v>15.8333333333333</v>
      </c>
      <c r="AB11" s="7" t="n">
        <f aca="false">SUMIFS(Doors!AN:AN,Doors!$A:$A,$D11,Doors!$B:$B,$B11,Doors!$C:$C,$C11)*SUMIFS(Velocity!$I:$I,Velocity!$A:$A,$A11,Velocity!$B:$B,$C11)/Assumptions!$B$4*Assumptions!$B$6</f>
        <v>15.8333333333333</v>
      </c>
      <c r="AC11" s="7" t="n">
        <f aca="false">SUMIFS(Doors!AO:AO,Doors!$A:$A,$D11,Doors!$B:$B,$B11,Doors!$C:$C,$C11)*SUMIFS(Velocity!$I:$I,Velocity!$A:$A,$A11,Velocity!$B:$B,$C11)/Assumptions!$B$4*Assumptions!$B$6</f>
        <v>15.8333333333333</v>
      </c>
      <c r="AD11" s="7" t="n">
        <f aca="false">SUMIFS(Doors!AP:AP,Doors!$A:$A,$D11,Doors!$B:$B,$B11,Doors!$C:$C,$C11)*SUMIFS(Velocity!$I:$I,Velocity!$A:$A,$A11,Velocity!$B:$B,$C11)/Assumptions!$B$4*Assumptions!$B$6</f>
        <v>15.8333333333333</v>
      </c>
      <c r="AE11" s="7" t="n">
        <f aca="false">SUMIFS(Doors!AQ:AQ,Doors!$A:$A,$D11,Doors!$B:$B,$B11,Doors!$C:$C,$C11)*SUMIFS(Velocity!$I:$I,Velocity!$A:$A,$A11,Velocity!$B:$B,$C11)/Assumptions!$B$4*Assumptions!$B$6</f>
        <v>17.4166666666667</v>
      </c>
      <c r="AF11" s="7" t="n">
        <f aca="false">SUMIFS(Doors!AR:AR,Doors!$A:$A,$D11,Doors!$B:$B,$B11,Doors!$C:$C,$C11)*SUMIFS(Velocity!$I:$I,Velocity!$A:$A,$A11,Velocity!$B:$B,$C11)/Assumptions!$B$4*Assumptions!$B$6</f>
        <v>17.4166666666667</v>
      </c>
      <c r="AG11" s="7" t="n">
        <f aca="false">SUMIFS(Doors!AS:AS,Doors!$A:$A,$D11,Doors!$B:$B,$B11,Doors!$C:$C,$C11)*SUMIFS(Velocity!$I:$I,Velocity!$A:$A,$A11,Velocity!$B:$B,$C11)/Assumptions!$B$4*Assumptions!$B$6</f>
        <v>17.4166666666667</v>
      </c>
      <c r="AH11" s="7" t="n">
        <f aca="false">SUMIFS(Doors!AT:AT,Doors!$A:$A,$D11,Doors!$B:$B,$B11,Doors!$C:$C,$C11)*SUMIFS(Velocity!$I:$I,Velocity!$A:$A,$A11,Velocity!$B:$B,$C11)/Assumptions!$B$4*Assumptions!$B$6</f>
        <v>17.4166666666667</v>
      </c>
      <c r="AI11" s="7" t="n">
        <f aca="false">SUMIFS(Doors!AU:AU,Doors!$A:$A,$D11,Doors!$B:$B,$B11,Doors!$C:$C,$C11)*SUMIFS(Velocity!$I:$I,Velocity!$A:$A,$A11,Velocity!$B:$B,$C11)/Assumptions!$B$4*Assumptions!$B$6</f>
        <v>17.4166666666667</v>
      </c>
      <c r="AJ11" s="7" t="n">
        <f aca="false">SUMIFS(Doors!AV:AV,Doors!$A:$A,$D11,Doors!$B:$B,$B11,Doors!$C:$C,$C11)*SUMIFS(Velocity!$I:$I,Velocity!$A:$A,$A11,Velocity!$B:$B,$C11)/Assumptions!$B$4*Assumptions!$B$6</f>
        <v>18.2083333333333</v>
      </c>
      <c r="AK11" s="7" t="n">
        <f aca="false">SUMIFS(Doors!AW:AW,Doors!$A:$A,$D11,Doors!$B:$B,$B11,Doors!$C:$C,$C11)*SUMIFS(Velocity!$I:$I,Velocity!$A:$A,$A11,Velocity!$B:$B,$C11)/Assumptions!$B$4*Assumptions!$B$6</f>
        <v>18.2083333333333</v>
      </c>
      <c r="AL11" s="7" t="n">
        <f aca="false">SUMIFS(Doors!AX:AX,Doors!$A:$A,$D11,Doors!$B:$B,$B11,Doors!$C:$C,$C11)*SUMIFS(Velocity!$I:$I,Velocity!$A:$A,$A11,Velocity!$B:$B,$C11)/Assumptions!$B$4*Assumptions!$B$6</f>
        <v>18.2083333333333</v>
      </c>
      <c r="AM11" s="7" t="n">
        <f aca="false">SUMIFS(Doors!AY:AY,Doors!$A:$A,$D11,Doors!$B:$B,$B11,Doors!$C:$C,$C11)*SUMIFS(Velocity!$I:$I,Velocity!$A:$A,$A11,Velocity!$B:$B,$C11)/Assumptions!$B$4*Assumptions!$B$6</f>
        <v>18.2083333333333</v>
      </c>
      <c r="AN11" s="7" t="n">
        <f aca="false">SUMIFS(Doors!AZ:AZ,Doors!$A:$A,$D11,Doors!$B:$B,$B11,Doors!$C:$C,$C11)*SUMIFS(Velocity!$I:$I,Velocity!$A:$A,$A11,Velocity!$B:$B,$C11)/Assumptions!$B$4*Assumptions!$B$6</f>
        <v>18.8020833333333</v>
      </c>
      <c r="AO11" s="7" t="n">
        <f aca="false">SUMIFS(Doors!BA:BA,Doors!$A:$A,$D11,Doors!$B:$B,$B11,Doors!$C:$C,$C11)*SUMIFS(Velocity!$I:$I,Velocity!$A:$A,$A11,Velocity!$B:$B,$C11)/Assumptions!$B$4*Assumptions!$B$6</f>
        <v>18.8020833333333</v>
      </c>
      <c r="AP11" s="7" t="n">
        <f aca="false">SUMIFS(Doors!BB:BB,Doors!$A:$A,$D11,Doors!$B:$B,$B11,Doors!$C:$C,$C11)*SUMIFS(Velocity!$I:$I,Velocity!$A:$A,$A11,Velocity!$B:$B,$C11)/Assumptions!$B$4*Assumptions!$B$6</f>
        <v>18.8020833333333</v>
      </c>
      <c r="AQ11" s="7" t="n">
        <f aca="false">SUMIFS(Doors!BC:BC,Doors!$A:$A,$D11,Doors!$B:$B,$B11,Doors!$C:$C,$C11)*SUMIFS(Velocity!$I:$I,Velocity!$A:$A,$A11,Velocity!$B:$B,$C11)/Assumptions!$B$4*Assumptions!$B$6</f>
        <v>18.8020833333333</v>
      </c>
      <c r="AR11" s="7" t="n">
        <f aca="false">SUMIFS(Doors!BD:BD,Doors!$A:$A,$D11,Doors!$B:$B,$B11,Doors!$C:$C,$C11)*SUMIFS(Velocity!$I:$I,Velocity!$A:$A,$A11,Velocity!$B:$B,$C11)/Assumptions!$B$4*Assumptions!$B$6</f>
        <v>19.3958333333333</v>
      </c>
      <c r="AS11" s="7" t="n">
        <f aca="false">SUMIFS(Doors!BE:BE,Doors!$A:$A,$D11,Doors!$B:$B,$B11,Doors!$C:$C,$C11)*SUMIFS(Velocity!$I:$I,Velocity!$A:$A,$A11,Velocity!$B:$B,$C11)/Assumptions!$B$4*Assumptions!$B$6</f>
        <v>19.3958333333333</v>
      </c>
      <c r="AT11" s="7" t="n">
        <f aca="false">SUMIFS(Doors!BF:BF,Doors!$A:$A,$D11,Doors!$B:$B,$B11,Doors!$C:$C,$C11)*SUMIFS(Velocity!$I:$I,Velocity!$A:$A,$A11,Velocity!$B:$B,$C11)/Assumptions!$B$4*Assumptions!$B$6</f>
        <v>19.3958333333333</v>
      </c>
      <c r="AU11" s="7" t="n">
        <f aca="false">SUMIFS(Doors!BG:BG,Doors!$A:$A,$D11,Doors!$B:$B,$B11,Doors!$C:$C,$C11)*SUMIFS(Velocity!$I:$I,Velocity!$A:$A,$A11,Velocity!$B:$B,$C11)/Assumptions!$B$4*Assumptions!$B$6</f>
        <v>19.3958333333333</v>
      </c>
      <c r="AV11" s="7" t="n">
        <f aca="false">SUMIFS(Doors!BH:BH,Doors!$A:$A,$D11,Doors!$B:$B,$B11,Doors!$C:$C,$C11)*SUMIFS(Velocity!$I:$I,Velocity!$A:$A,$A11,Velocity!$B:$B,$C11)/Assumptions!$B$4*Assumptions!$B$6</f>
        <v>19.3958333333333</v>
      </c>
      <c r="AW11" s="7" t="n">
        <f aca="false">SUMIFS(Doors!BI:BI,Doors!$A:$A,$D11,Doors!$B:$B,$B11,Doors!$C:$C,$C11)*SUMIFS(Velocity!$I:$I,Velocity!$A:$A,$A11,Velocity!$B:$B,$C11)/Assumptions!$B$4*Assumptions!$B$6</f>
        <v>19.7916666666667</v>
      </c>
      <c r="AX11" s="7" t="n">
        <f aca="false">SUMIFS(Doors!BJ:BJ,Doors!$A:$A,$D11,Doors!$B:$B,$B11,Doors!$C:$C,$C11)*SUMIFS(Velocity!$I:$I,Velocity!$A:$A,$A11,Velocity!$B:$B,$C11)/Assumptions!$B$4*Assumptions!$B$6</f>
        <v>19.7916666666667</v>
      </c>
      <c r="AY11" s="7" t="n">
        <f aca="false">SUMIFS(Doors!BK:BK,Doors!$A:$A,$D11,Doors!$B:$B,$B11,Doors!$C:$C,$C11)*SUMIFS(Velocity!$I:$I,Velocity!$A:$A,$A11,Velocity!$B:$B,$C11)/Assumptions!$B$4*Assumptions!$B$6</f>
        <v>19.7916666666667</v>
      </c>
      <c r="AZ11" s="7" t="n">
        <f aca="false">SUMIFS(Doors!BL:BL,Doors!$A:$A,$D11,Doors!$B:$B,$B11,Doors!$C:$C,$C11)*SUMIFS(Velocity!$I:$I,Velocity!$A:$A,$A11,Velocity!$B:$B,$C11)/Assumptions!$B$4*Assumptions!$B$6</f>
        <v>19.7916666666667</v>
      </c>
      <c r="BA11" s="7" t="n">
        <f aca="false">SUMIFS(Doors!BM:BM,Doors!$A:$A,$D11,Doors!$B:$B,$B11,Doors!$C:$C,$C11)*SUMIFS(Velocity!$I:$I,Velocity!$A:$A,$A11,Velocity!$B:$B,$C11)/Assumptions!$B$4*Assumptions!$B$6</f>
        <v>19.7916666666667</v>
      </c>
      <c r="BB11" s="7" t="n">
        <f aca="false">SUMIFS(Doors!BN:BN,Doors!$A:$A,$D11,Doors!$B:$B,$B11,Doors!$C:$C,$C11)*SUMIFS(Velocity!$I:$I,Velocity!$A:$A,$A11,Velocity!$B:$B,$C11)/Assumptions!$B$4*Assumptions!$B$6</f>
        <v>19.7916666666667</v>
      </c>
      <c r="BC11" s="7" t="n">
        <f aca="false">SUMIFS(Doors!BO:BO,Doors!$A:$A,$D11,Doors!$B:$B,$B11,Doors!$C:$C,$C11)*SUMIFS(Velocity!$I:$I,Velocity!$A:$A,$A11,Velocity!$B:$B,$C11)/Assumptions!$B$4*Assumptions!$B$6</f>
        <v>19.7916666666667</v>
      </c>
      <c r="BD11" s="7" t="n">
        <f aca="false">SUMIFS(Doors!BP:BP,Doors!$A:$A,$D11,Doors!$B:$B,$B11,Doors!$C:$C,$C11)*SUMIFS(Velocity!$I:$I,Velocity!$A:$A,$A11,Velocity!$B:$B,$C11)/Assumptions!$B$4*Assumptions!$B$6</f>
        <v>19.7916666666667</v>
      </c>
    </row>
    <row r="12" customFormat="false" ht="15" hidden="false" customHeight="false" outlineLevel="0" collapsed="false">
      <c r="A12" s="0" t="s">
        <v>108</v>
      </c>
      <c r="B12" s="0" t="s">
        <v>126</v>
      </c>
      <c r="C12" s="0" t="s">
        <v>121</v>
      </c>
      <c r="D12" s="0" t="s">
        <v>235</v>
      </c>
      <c r="E12" s="7" t="n">
        <f aca="false">SUMIFS(Doors!Q:Q,Doors!$A:$A,$D12,Doors!$B:$B,$B12,Doors!$C:$C,$C12)*SUMIFS(Velocity!$I:$I,Velocity!$A:$A,$A12,Velocity!$B:$B,$C12)/Assumptions!$B$4*Assumptions!$B$6</f>
        <v>4.5625</v>
      </c>
      <c r="F12" s="7" t="n">
        <f aca="false">SUMIFS(Doors!R:R,Doors!$A:$A,$D12,Doors!$B:$B,$B12,Doors!$C:$C,$C12)*SUMIFS(Velocity!$I:$I,Velocity!$A:$A,$A12,Velocity!$B:$B,$C12)/Assumptions!$B$4*Assumptions!$B$6</f>
        <v>4.5625</v>
      </c>
      <c r="G12" s="7" t="n">
        <f aca="false">SUMIFS(Doors!S:S,Doors!$A:$A,$D12,Doors!$B:$B,$B12,Doors!$C:$C,$C12)*SUMIFS(Velocity!$I:$I,Velocity!$A:$A,$A12,Velocity!$B:$B,$C12)/Assumptions!$B$4*Assumptions!$B$6</f>
        <v>4.5625</v>
      </c>
      <c r="H12" s="7" t="n">
        <f aca="false">SUMIFS(Doors!T:T,Doors!$A:$A,$D12,Doors!$B:$B,$B12,Doors!$C:$C,$C12)*SUMIFS(Velocity!$I:$I,Velocity!$A:$A,$A12,Velocity!$B:$B,$C12)/Assumptions!$B$4*Assumptions!$B$6</f>
        <v>4.5625</v>
      </c>
      <c r="I12" s="7" t="n">
        <f aca="false">SUMIFS(Doors!U:U,Doors!$A:$A,$D12,Doors!$B:$B,$B12,Doors!$C:$C,$C12)*SUMIFS(Velocity!$I:$I,Velocity!$A:$A,$A12,Velocity!$B:$B,$C12)/Assumptions!$B$4*Assumptions!$B$6</f>
        <v>4.5625</v>
      </c>
      <c r="J12" s="7" t="n">
        <f aca="false">SUMIFS(Doors!V:V,Doors!$A:$A,$D12,Doors!$B:$B,$B12,Doors!$C:$C,$C12)*SUMIFS(Velocity!$I:$I,Velocity!$A:$A,$A12,Velocity!$B:$B,$C12)/Assumptions!$B$4*Assumptions!$B$6</f>
        <v>6.69166666666667</v>
      </c>
      <c r="K12" s="7" t="n">
        <f aca="false">SUMIFS(Doors!W:W,Doors!$A:$A,$D12,Doors!$B:$B,$B12,Doors!$C:$C,$C12)*SUMIFS(Velocity!$I:$I,Velocity!$A:$A,$A12,Velocity!$B:$B,$C12)/Assumptions!$B$4*Assumptions!$B$6</f>
        <v>6.69166666666667</v>
      </c>
      <c r="L12" s="7" t="n">
        <f aca="false">SUMIFS(Doors!X:X,Doors!$A:$A,$D12,Doors!$B:$B,$B12,Doors!$C:$C,$C12)*SUMIFS(Velocity!$I:$I,Velocity!$A:$A,$A12,Velocity!$B:$B,$C12)/Assumptions!$B$4*Assumptions!$B$6</f>
        <v>6.69166666666667</v>
      </c>
      <c r="M12" s="7" t="n">
        <f aca="false">SUMIFS(Doors!Y:Y,Doors!$A:$A,$D12,Doors!$B:$B,$B12,Doors!$C:$C,$C12)*SUMIFS(Velocity!$I:$I,Velocity!$A:$A,$A12,Velocity!$B:$B,$C12)/Assumptions!$B$4*Assumptions!$B$6</f>
        <v>6.69166666666667</v>
      </c>
      <c r="N12" s="7" t="n">
        <f aca="false">SUMIFS(Doors!Z:Z,Doors!$A:$A,$D12,Doors!$B:$B,$B12,Doors!$C:$C,$C12)*SUMIFS(Velocity!$I:$I,Velocity!$A:$A,$A12,Velocity!$B:$B,$C12)/Assumptions!$B$4*Assumptions!$B$6</f>
        <v>9.125</v>
      </c>
      <c r="O12" s="7" t="n">
        <f aca="false">SUMIFS(Doors!AA:AA,Doors!$A:$A,$D12,Doors!$B:$B,$B12,Doors!$C:$C,$C12)*SUMIFS(Velocity!$I:$I,Velocity!$A:$A,$A12,Velocity!$B:$B,$C12)/Assumptions!$B$4*Assumptions!$B$6</f>
        <v>9.125</v>
      </c>
      <c r="P12" s="7" t="n">
        <f aca="false">SUMIFS(Doors!AB:AB,Doors!$A:$A,$D12,Doors!$B:$B,$B12,Doors!$C:$C,$C12)*SUMIFS(Velocity!$I:$I,Velocity!$A:$A,$A12,Velocity!$B:$B,$C12)/Assumptions!$B$4*Assumptions!$B$6</f>
        <v>9.125</v>
      </c>
      <c r="Q12" s="7" t="n">
        <f aca="false">SUMIFS(Doors!AC:AC,Doors!$A:$A,$D12,Doors!$B:$B,$B12,Doors!$C:$C,$C12)*SUMIFS(Velocity!$I:$I,Velocity!$A:$A,$A12,Velocity!$B:$B,$C12)/Assumptions!$B$4*Assumptions!$B$6</f>
        <v>9.125</v>
      </c>
      <c r="R12" s="7" t="n">
        <f aca="false">SUMIFS(Doors!AD:AD,Doors!$A:$A,$D12,Doors!$B:$B,$B12,Doors!$C:$C,$C12)*SUMIFS(Velocity!$I:$I,Velocity!$A:$A,$A12,Velocity!$B:$B,$C12)/Assumptions!$B$4*Assumptions!$B$6</f>
        <v>11.5583333333333</v>
      </c>
      <c r="S12" s="7" t="n">
        <f aca="false">SUMIFS(Doors!AE:AE,Doors!$A:$A,$D12,Doors!$B:$B,$B12,Doors!$C:$C,$C12)*SUMIFS(Velocity!$I:$I,Velocity!$A:$A,$A12,Velocity!$B:$B,$C12)/Assumptions!$B$4*Assumptions!$B$6</f>
        <v>11.5583333333333</v>
      </c>
      <c r="T12" s="7" t="n">
        <f aca="false">SUMIFS(Doors!AF:AF,Doors!$A:$A,$D12,Doors!$B:$B,$B12,Doors!$C:$C,$C12)*SUMIFS(Velocity!$I:$I,Velocity!$A:$A,$A12,Velocity!$B:$B,$C12)/Assumptions!$B$4*Assumptions!$B$6</f>
        <v>11.5583333333333</v>
      </c>
      <c r="U12" s="7" t="n">
        <f aca="false">SUMIFS(Doors!AG:AG,Doors!$A:$A,$D12,Doors!$B:$B,$B12,Doors!$C:$C,$C12)*SUMIFS(Velocity!$I:$I,Velocity!$A:$A,$A12,Velocity!$B:$B,$C12)/Assumptions!$B$4*Assumptions!$B$6</f>
        <v>11.5583333333333</v>
      </c>
      <c r="V12" s="7" t="n">
        <f aca="false">SUMIFS(Doors!AH:AH,Doors!$A:$A,$D12,Doors!$B:$B,$B12,Doors!$C:$C,$C12)*SUMIFS(Velocity!$I:$I,Velocity!$A:$A,$A12,Velocity!$B:$B,$C12)/Assumptions!$B$4*Assumptions!$B$6</f>
        <v>11.5583333333333</v>
      </c>
      <c r="W12" s="7" t="n">
        <f aca="false">SUMIFS(Doors!AI:AI,Doors!$A:$A,$D12,Doors!$B:$B,$B12,Doors!$C:$C,$C12)*SUMIFS(Velocity!$I:$I,Velocity!$A:$A,$A12,Velocity!$B:$B,$C12)/Assumptions!$B$4*Assumptions!$B$6</f>
        <v>13.3833333333333</v>
      </c>
      <c r="X12" s="7" t="n">
        <f aca="false">SUMIFS(Doors!AJ:AJ,Doors!$A:$A,$D12,Doors!$B:$B,$B12,Doors!$C:$C,$C12)*SUMIFS(Velocity!$I:$I,Velocity!$A:$A,$A12,Velocity!$B:$B,$C12)/Assumptions!$B$4*Assumptions!$B$6</f>
        <v>13.3833333333333</v>
      </c>
      <c r="Y12" s="7" t="n">
        <f aca="false">SUMIFS(Doors!AK:AK,Doors!$A:$A,$D12,Doors!$B:$B,$B12,Doors!$C:$C,$C12)*SUMIFS(Velocity!$I:$I,Velocity!$A:$A,$A12,Velocity!$B:$B,$C12)/Assumptions!$B$4*Assumptions!$B$6</f>
        <v>13.3833333333333</v>
      </c>
      <c r="Z12" s="7" t="n">
        <f aca="false">SUMIFS(Doors!AL:AL,Doors!$A:$A,$D12,Doors!$B:$B,$B12,Doors!$C:$C,$C12)*SUMIFS(Velocity!$I:$I,Velocity!$A:$A,$A12,Velocity!$B:$B,$C12)/Assumptions!$B$4*Assumptions!$B$6</f>
        <v>13.3833333333333</v>
      </c>
      <c r="AA12" s="7" t="n">
        <f aca="false">SUMIFS(Doors!AM:AM,Doors!$A:$A,$D12,Doors!$B:$B,$B12,Doors!$C:$C,$C12)*SUMIFS(Velocity!$I:$I,Velocity!$A:$A,$A12,Velocity!$B:$B,$C12)/Assumptions!$B$4*Assumptions!$B$6</f>
        <v>15.2083333333333</v>
      </c>
      <c r="AB12" s="7" t="n">
        <f aca="false">SUMIFS(Doors!AN:AN,Doors!$A:$A,$D12,Doors!$B:$B,$B12,Doors!$C:$C,$C12)*SUMIFS(Velocity!$I:$I,Velocity!$A:$A,$A12,Velocity!$B:$B,$C12)/Assumptions!$B$4*Assumptions!$B$6</f>
        <v>15.2083333333333</v>
      </c>
      <c r="AC12" s="7" t="n">
        <f aca="false">SUMIFS(Doors!AO:AO,Doors!$A:$A,$D12,Doors!$B:$B,$B12,Doors!$C:$C,$C12)*SUMIFS(Velocity!$I:$I,Velocity!$A:$A,$A12,Velocity!$B:$B,$C12)/Assumptions!$B$4*Assumptions!$B$6</f>
        <v>15.2083333333333</v>
      </c>
      <c r="AD12" s="7" t="n">
        <f aca="false">SUMIFS(Doors!AP:AP,Doors!$A:$A,$D12,Doors!$B:$B,$B12,Doors!$C:$C,$C12)*SUMIFS(Velocity!$I:$I,Velocity!$A:$A,$A12,Velocity!$B:$B,$C12)/Assumptions!$B$4*Assumptions!$B$6</f>
        <v>15.2083333333333</v>
      </c>
      <c r="AE12" s="7" t="n">
        <f aca="false">SUMIFS(Doors!AQ:AQ,Doors!$A:$A,$D12,Doors!$B:$B,$B12,Doors!$C:$C,$C12)*SUMIFS(Velocity!$I:$I,Velocity!$A:$A,$A12,Velocity!$B:$B,$C12)/Assumptions!$B$4*Assumptions!$B$6</f>
        <v>16.425</v>
      </c>
      <c r="AF12" s="7" t="n">
        <f aca="false">SUMIFS(Doors!AR:AR,Doors!$A:$A,$D12,Doors!$B:$B,$B12,Doors!$C:$C,$C12)*SUMIFS(Velocity!$I:$I,Velocity!$A:$A,$A12,Velocity!$B:$B,$C12)/Assumptions!$B$4*Assumptions!$B$6</f>
        <v>16.425</v>
      </c>
      <c r="AG12" s="7" t="n">
        <f aca="false">SUMIFS(Doors!AS:AS,Doors!$A:$A,$D12,Doors!$B:$B,$B12,Doors!$C:$C,$C12)*SUMIFS(Velocity!$I:$I,Velocity!$A:$A,$A12,Velocity!$B:$B,$C12)/Assumptions!$B$4*Assumptions!$B$6</f>
        <v>16.425</v>
      </c>
      <c r="AH12" s="7" t="n">
        <f aca="false">SUMIFS(Doors!AT:AT,Doors!$A:$A,$D12,Doors!$B:$B,$B12,Doors!$C:$C,$C12)*SUMIFS(Velocity!$I:$I,Velocity!$A:$A,$A12,Velocity!$B:$B,$C12)/Assumptions!$B$4*Assumptions!$B$6</f>
        <v>16.425</v>
      </c>
      <c r="AI12" s="7" t="n">
        <f aca="false">SUMIFS(Doors!AU:AU,Doors!$A:$A,$D12,Doors!$B:$B,$B12,Doors!$C:$C,$C12)*SUMIFS(Velocity!$I:$I,Velocity!$A:$A,$A12,Velocity!$B:$B,$C12)/Assumptions!$B$4*Assumptions!$B$6</f>
        <v>16.425</v>
      </c>
      <c r="AJ12" s="7" t="n">
        <f aca="false">SUMIFS(Doors!AV:AV,Doors!$A:$A,$D12,Doors!$B:$B,$B12,Doors!$C:$C,$C12)*SUMIFS(Velocity!$I:$I,Velocity!$A:$A,$A12,Velocity!$B:$B,$C12)/Assumptions!$B$4*Assumptions!$B$6</f>
        <v>17.0333333333333</v>
      </c>
      <c r="AK12" s="7" t="n">
        <f aca="false">SUMIFS(Doors!AW:AW,Doors!$A:$A,$D12,Doors!$B:$B,$B12,Doors!$C:$C,$C12)*SUMIFS(Velocity!$I:$I,Velocity!$A:$A,$A12,Velocity!$B:$B,$C12)/Assumptions!$B$4*Assumptions!$B$6</f>
        <v>17.0333333333333</v>
      </c>
      <c r="AL12" s="7" t="n">
        <f aca="false">SUMIFS(Doors!AX:AX,Doors!$A:$A,$D12,Doors!$B:$B,$B12,Doors!$C:$C,$C12)*SUMIFS(Velocity!$I:$I,Velocity!$A:$A,$A12,Velocity!$B:$B,$C12)/Assumptions!$B$4*Assumptions!$B$6</f>
        <v>17.0333333333333</v>
      </c>
      <c r="AM12" s="7" t="n">
        <f aca="false">SUMIFS(Doors!AY:AY,Doors!$A:$A,$D12,Doors!$B:$B,$B12,Doors!$C:$C,$C12)*SUMIFS(Velocity!$I:$I,Velocity!$A:$A,$A12,Velocity!$B:$B,$C12)/Assumptions!$B$4*Assumptions!$B$6</f>
        <v>17.0333333333333</v>
      </c>
      <c r="AN12" s="7" t="n">
        <f aca="false">SUMIFS(Doors!AZ:AZ,Doors!$A:$A,$D12,Doors!$B:$B,$B12,Doors!$C:$C,$C12)*SUMIFS(Velocity!$I:$I,Velocity!$A:$A,$A12,Velocity!$B:$B,$C12)/Assumptions!$B$4*Assumptions!$B$6</f>
        <v>17.6416666666667</v>
      </c>
      <c r="AO12" s="7" t="n">
        <f aca="false">SUMIFS(Doors!BA:BA,Doors!$A:$A,$D12,Doors!$B:$B,$B12,Doors!$C:$C,$C12)*SUMIFS(Velocity!$I:$I,Velocity!$A:$A,$A12,Velocity!$B:$B,$C12)/Assumptions!$B$4*Assumptions!$B$6</f>
        <v>17.6416666666667</v>
      </c>
      <c r="AP12" s="7" t="n">
        <f aca="false">SUMIFS(Doors!BB:BB,Doors!$A:$A,$D12,Doors!$B:$B,$B12,Doors!$C:$C,$C12)*SUMIFS(Velocity!$I:$I,Velocity!$A:$A,$A12,Velocity!$B:$B,$C12)/Assumptions!$B$4*Assumptions!$B$6</f>
        <v>17.6416666666667</v>
      </c>
      <c r="AQ12" s="7" t="n">
        <f aca="false">SUMIFS(Doors!BC:BC,Doors!$A:$A,$D12,Doors!$B:$B,$B12,Doors!$C:$C,$C12)*SUMIFS(Velocity!$I:$I,Velocity!$A:$A,$A12,Velocity!$B:$B,$C12)/Assumptions!$B$4*Assumptions!$B$6</f>
        <v>17.6416666666667</v>
      </c>
      <c r="AR12" s="7" t="n">
        <f aca="false">SUMIFS(Doors!BD:BD,Doors!$A:$A,$D12,Doors!$B:$B,$B12,Doors!$C:$C,$C12)*SUMIFS(Velocity!$I:$I,Velocity!$A:$A,$A12,Velocity!$B:$B,$C12)/Assumptions!$B$4*Assumptions!$B$6</f>
        <v>17.9458333333333</v>
      </c>
      <c r="AS12" s="7" t="n">
        <f aca="false">SUMIFS(Doors!BE:BE,Doors!$A:$A,$D12,Doors!$B:$B,$B12,Doors!$C:$C,$C12)*SUMIFS(Velocity!$I:$I,Velocity!$A:$A,$A12,Velocity!$B:$B,$C12)/Assumptions!$B$4*Assumptions!$B$6</f>
        <v>17.9458333333333</v>
      </c>
      <c r="AT12" s="7" t="n">
        <f aca="false">SUMIFS(Doors!BF:BF,Doors!$A:$A,$D12,Doors!$B:$B,$B12,Doors!$C:$C,$C12)*SUMIFS(Velocity!$I:$I,Velocity!$A:$A,$A12,Velocity!$B:$B,$C12)/Assumptions!$B$4*Assumptions!$B$6</f>
        <v>17.9458333333333</v>
      </c>
      <c r="AU12" s="7" t="n">
        <f aca="false">SUMIFS(Doors!BG:BG,Doors!$A:$A,$D12,Doors!$B:$B,$B12,Doors!$C:$C,$C12)*SUMIFS(Velocity!$I:$I,Velocity!$A:$A,$A12,Velocity!$B:$B,$C12)/Assumptions!$B$4*Assumptions!$B$6</f>
        <v>17.9458333333333</v>
      </c>
      <c r="AV12" s="7" t="n">
        <f aca="false">SUMIFS(Doors!BH:BH,Doors!$A:$A,$D12,Doors!$B:$B,$B12,Doors!$C:$C,$C12)*SUMIFS(Velocity!$I:$I,Velocity!$A:$A,$A12,Velocity!$B:$B,$C12)/Assumptions!$B$4*Assumptions!$B$6</f>
        <v>17.9458333333333</v>
      </c>
      <c r="AW12" s="7" t="n">
        <f aca="false">SUMIFS(Doors!BI:BI,Doors!$A:$A,$D12,Doors!$B:$B,$B12,Doors!$C:$C,$C12)*SUMIFS(Velocity!$I:$I,Velocity!$A:$A,$A12,Velocity!$B:$B,$C12)/Assumptions!$B$4*Assumptions!$B$6</f>
        <v>18.25</v>
      </c>
      <c r="AX12" s="7" t="n">
        <f aca="false">SUMIFS(Doors!BJ:BJ,Doors!$A:$A,$D12,Doors!$B:$B,$B12,Doors!$C:$C,$C12)*SUMIFS(Velocity!$I:$I,Velocity!$A:$A,$A12,Velocity!$B:$B,$C12)/Assumptions!$B$4*Assumptions!$B$6</f>
        <v>18.25</v>
      </c>
      <c r="AY12" s="7" t="n">
        <f aca="false">SUMIFS(Doors!BK:BK,Doors!$A:$A,$D12,Doors!$B:$B,$B12,Doors!$C:$C,$C12)*SUMIFS(Velocity!$I:$I,Velocity!$A:$A,$A12,Velocity!$B:$B,$C12)/Assumptions!$B$4*Assumptions!$B$6</f>
        <v>18.25</v>
      </c>
      <c r="AZ12" s="7" t="n">
        <f aca="false">SUMIFS(Doors!BL:BL,Doors!$A:$A,$D12,Doors!$B:$B,$B12,Doors!$C:$C,$C12)*SUMIFS(Velocity!$I:$I,Velocity!$A:$A,$A12,Velocity!$B:$B,$C12)/Assumptions!$B$4*Assumptions!$B$6</f>
        <v>18.25</v>
      </c>
      <c r="BA12" s="7" t="n">
        <f aca="false">SUMIFS(Doors!BM:BM,Doors!$A:$A,$D12,Doors!$B:$B,$B12,Doors!$C:$C,$C12)*SUMIFS(Velocity!$I:$I,Velocity!$A:$A,$A12,Velocity!$B:$B,$C12)/Assumptions!$B$4*Assumptions!$B$6</f>
        <v>18.25</v>
      </c>
      <c r="BB12" s="7" t="n">
        <f aca="false">SUMIFS(Doors!BN:BN,Doors!$A:$A,$D12,Doors!$B:$B,$B12,Doors!$C:$C,$C12)*SUMIFS(Velocity!$I:$I,Velocity!$A:$A,$A12,Velocity!$B:$B,$C12)/Assumptions!$B$4*Assumptions!$B$6</f>
        <v>18.25</v>
      </c>
      <c r="BC12" s="7" t="n">
        <f aca="false">SUMIFS(Doors!BO:BO,Doors!$A:$A,$D12,Doors!$B:$B,$B12,Doors!$C:$C,$C12)*SUMIFS(Velocity!$I:$I,Velocity!$A:$A,$A12,Velocity!$B:$B,$C12)/Assumptions!$B$4*Assumptions!$B$6</f>
        <v>18.25</v>
      </c>
      <c r="BD12" s="7" t="n">
        <f aca="false">SUMIFS(Doors!BP:BP,Doors!$A:$A,$D12,Doors!$B:$B,$B12,Doors!$C:$C,$C12)*SUMIFS(Velocity!$I:$I,Velocity!$A:$A,$A12,Velocity!$B:$B,$C12)/Assumptions!$B$4*Assumptions!$B$6</f>
        <v>18.25</v>
      </c>
    </row>
    <row r="13" customFormat="false" ht="15" hidden="false" customHeight="false" outlineLevel="0" collapsed="false">
      <c r="A13" s="0" t="s">
        <v>108</v>
      </c>
      <c r="B13" s="0" t="s">
        <v>126</v>
      </c>
      <c r="C13" s="0" t="s">
        <v>122</v>
      </c>
      <c r="D13" s="0" t="s">
        <v>235</v>
      </c>
      <c r="E13" s="7" t="n">
        <f aca="false">SUMIFS(Doors!Q:Q,Doors!$A:$A,$D13,Doors!$B:$B,$B13,Doors!$C:$C,$C13)*SUMIFS(Velocity!$I:$I,Velocity!$A:$A,$A13,Velocity!$B:$B,$C13)/Assumptions!$B$4*Assumptions!$B$6</f>
        <v>1.375</v>
      </c>
      <c r="F13" s="7" t="n">
        <f aca="false">SUMIFS(Doors!R:R,Doors!$A:$A,$D13,Doors!$B:$B,$B13,Doors!$C:$C,$C13)*SUMIFS(Velocity!$I:$I,Velocity!$A:$A,$A13,Velocity!$B:$B,$C13)/Assumptions!$B$4*Assumptions!$B$6</f>
        <v>1.375</v>
      </c>
      <c r="G13" s="7" t="n">
        <f aca="false">SUMIFS(Doors!S:S,Doors!$A:$A,$D13,Doors!$B:$B,$B13,Doors!$C:$C,$C13)*SUMIFS(Velocity!$I:$I,Velocity!$A:$A,$A13,Velocity!$B:$B,$C13)/Assumptions!$B$4*Assumptions!$B$6</f>
        <v>1.375</v>
      </c>
      <c r="H13" s="7" t="n">
        <f aca="false">SUMIFS(Doors!T:T,Doors!$A:$A,$D13,Doors!$B:$B,$B13,Doors!$C:$C,$C13)*SUMIFS(Velocity!$I:$I,Velocity!$A:$A,$A13,Velocity!$B:$B,$C13)/Assumptions!$B$4*Assumptions!$B$6</f>
        <v>1.375</v>
      </c>
      <c r="I13" s="7" t="n">
        <f aca="false">SUMIFS(Doors!U:U,Doors!$A:$A,$D13,Doors!$B:$B,$B13,Doors!$C:$C,$C13)*SUMIFS(Velocity!$I:$I,Velocity!$A:$A,$A13,Velocity!$B:$B,$C13)/Assumptions!$B$4*Assumptions!$B$6</f>
        <v>1.375</v>
      </c>
      <c r="J13" s="7" t="n">
        <f aca="false">SUMIFS(Doors!V:V,Doors!$A:$A,$D13,Doors!$B:$B,$B13,Doors!$C:$C,$C13)*SUMIFS(Velocity!$I:$I,Velocity!$A:$A,$A13,Velocity!$B:$B,$C13)/Assumptions!$B$4*Assumptions!$B$6</f>
        <v>2.0625</v>
      </c>
      <c r="K13" s="7" t="n">
        <f aca="false">SUMIFS(Doors!W:W,Doors!$A:$A,$D13,Doors!$B:$B,$B13,Doors!$C:$C,$C13)*SUMIFS(Velocity!$I:$I,Velocity!$A:$A,$A13,Velocity!$B:$B,$C13)/Assumptions!$B$4*Assumptions!$B$6</f>
        <v>2.0625</v>
      </c>
      <c r="L13" s="7" t="n">
        <f aca="false">SUMIFS(Doors!X:X,Doors!$A:$A,$D13,Doors!$B:$B,$B13,Doors!$C:$C,$C13)*SUMIFS(Velocity!$I:$I,Velocity!$A:$A,$A13,Velocity!$B:$B,$C13)/Assumptions!$B$4*Assumptions!$B$6</f>
        <v>2.0625</v>
      </c>
      <c r="M13" s="7" t="n">
        <f aca="false">SUMIFS(Doors!Y:Y,Doors!$A:$A,$D13,Doors!$B:$B,$B13,Doors!$C:$C,$C13)*SUMIFS(Velocity!$I:$I,Velocity!$A:$A,$A13,Velocity!$B:$B,$C13)/Assumptions!$B$4*Assumptions!$B$6</f>
        <v>2.0625</v>
      </c>
      <c r="N13" s="7" t="n">
        <f aca="false">SUMIFS(Doors!Z:Z,Doors!$A:$A,$D13,Doors!$B:$B,$B13,Doors!$C:$C,$C13)*SUMIFS(Velocity!$I:$I,Velocity!$A:$A,$A13,Velocity!$B:$B,$C13)/Assumptions!$B$4*Assumptions!$B$6</f>
        <v>3.025</v>
      </c>
      <c r="O13" s="7" t="n">
        <f aca="false">SUMIFS(Doors!AA:AA,Doors!$A:$A,$D13,Doors!$B:$B,$B13,Doors!$C:$C,$C13)*SUMIFS(Velocity!$I:$I,Velocity!$A:$A,$A13,Velocity!$B:$B,$C13)/Assumptions!$B$4*Assumptions!$B$6</f>
        <v>3.025</v>
      </c>
      <c r="P13" s="7" t="n">
        <f aca="false">SUMIFS(Doors!AB:AB,Doors!$A:$A,$D13,Doors!$B:$B,$B13,Doors!$C:$C,$C13)*SUMIFS(Velocity!$I:$I,Velocity!$A:$A,$A13,Velocity!$B:$B,$C13)/Assumptions!$B$4*Assumptions!$B$6</f>
        <v>3.025</v>
      </c>
      <c r="Q13" s="7" t="n">
        <f aca="false">SUMIFS(Doors!AC:AC,Doors!$A:$A,$D13,Doors!$B:$B,$B13,Doors!$C:$C,$C13)*SUMIFS(Velocity!$I:$I,Velocity!$A:$A,$A13,Velocity!$B:$B,$C13)/Assumptions!$B$4*Assumptions!$B$6</f>
        <v>3.025</v>
      </c>
      <c r="R13" s="7" t="n">
        <f aca="false">SUMIFS(Doors!AD:AD,Doors!$A:$A,$D13,Doors!$B:$B,$B13,Doors!$C:$C,$C13)*SUMIFS(Velocity!$I:$I,Velocity!$A:$A,$A13,Velocity!$B:$B,$C13)/Assumptions!$B$4*Assumptions!$B$6</f>
        <v>3.85</v>
      </c>
      <c r="S13" s="7" t="n">
        <f aca="false">SUMIFS(Doors!AE:AE,Doors!$A:$A,$D13,Doors!$B:$B,$B13,Doors!$C:$C,$C13)*SUMIFS(Velocity!$I:$I,Velocity!$A:$A,$A13,Velocity!$B:$B,$C13)/Assumptions!$B$4*Assumptions!$B$6</f>
        <v>3.85</v>
      </c>
      <c r="T13" s="7" t="n">
        <f aca="false">SUMIFS(Doors!AF:AF,Doors!$A:$A,$D13,Doors!$B:$B,$B13,Doors!$C:$C,$C13)*SUMIFS(Velocity!$I:$I,Velocity!$A:$A,$A13,Velocity!$B:$B,$C13)/Assumptions!$B$4*Assumptions!$B$6</f>
        <v>3.85</v>
      </c>
      <c r="U13" s="7" t="n">
        <f aca="false">SUMIFS(Doors!AG:AG,Doors!$A:$A,$D13,Doors!$B:$B,$B13,Doors!$C:$C,$C13)*SUMIFS(Velocity!$I:$I,Velocity!$A:$A,$A13,Velocity!$B:$B,$C13)/Assumptions!$B$4*Assumptions!$B$6</f>
        <v>3.85</v>
      </c>
      <c r="V13" s="7" t="n">
        <f aca="false">SUMIFS(Doors!AH:AH,Doors!$A:$A,$D13,Doors!$B:$B,$B13,Doors!$C:$C,$C13)*SUMIFS(Velocity!$I:$I,Velocity!$A:$A,$A13,Velocity!$B:$B,$C13)/Assumptions!$B$4*Assumptions!$B$6</f>
        <v>3.85</v>
      </c>
      <c r="W13" s="7" t="n">
        <f aca="false">SUMIFS(Doors!AI:AI,Doors!$A:$A,$D13,Doors!$B:$B,$B13,Doors!$C:$C,$C13)*SUMIFS(Velocity!$I:$I,Velocity!$A:$A,$A13,Velocity!$B:$B,$C13)/Assumptions!$B$4*Assumptions!$B$6</f>
        <v>4.675</v>
      </c>
      <c r="X13" s="7" t="n">
        <f aca="false">SUMIFS(Doors!AJ:AJ,Doors!$A:$A,$D13,Doors!$B:$B,$B13,Doors!$C:$C,$C13)*SUMIFS(Velocity!$I:$I,Velocity!$A:$A,$A13,Velocity!$B:$B,$C13)/Assumptions!$B$4*Assumptions!$B$6</f>
        <v>4.675</v>
      </c>
      <c r="Y13" s="7" t="n">
        <f aca="false">SUMIFS(Doors!AK:AK,Doors!$A:$A,$D13,Doors!$B:$B,$B13,Doors!$C:$C,$C13)*SUMIFS(Velocity!$I:$I,Velocity!$A:$A,$A13,Velocity!$B:$B,$C13)/Assumptions!$B$4*Assumptions!$B$6</f>
        <v>4.675</v>
      </c>
      <c r="Z13" s="7" t="n">
        <f aca="false">SUMIFS(Doors!AL:AL,Doors!$A:$A,$D13,Doors!$B:$B,$B13,Doors!$C:$C,$C13)*SUMIFS(Velocity!$I:$I,Velocity!$A:$A,$A13,Velocity!$B:$B,$C13)/Assumptions!$B$4*Assumptions!$B$6</f>
        <v>4.675</v>
      </c>
      <c r="AA13" s="7" t="n">
        <f aca="false">SUMIFS(Doors!AM:AM,Doors!$A:$A,$D13,Doors!$B:$B,$B13,Doors!$C:$C,$C13)*SUMIFS(Velocity!$I:$I,Velocity!$A:$A,$A13,Velocity!$B:$B,$C13)/Assumptions!$B$4*Assumptions!$B$6</f>
        <v>5.5</v>
      </c>
      <c r="AB13" s="7" t="n">
        <f aca="false">SUMIFS(Doors!AN:AN,Doors!$A:$A,$D13,Doors!$B:$B,$B13,Doors!$C:$C,$C13)*SUMIFS(Velocity!$I:$I,Velocity!$A:$A,$A13,Velocity!$B:$B,$C13)/Assumptions!$B$4*Assumptions!$B$6</f>
        <v>5.5</v>
      </c>
      <c r="AC13" s="7" t="n">
        <f aca="false">SUMIFS(Doors!AO:AO,Doors!$A:$A,$D13,Doors!$B:$B,$B13,Doors!$C:$C,$C13)*SUMIFS(Velocity!$I:$I,Velocity!$A:$A,$A13,Velocity!$B:$B,$C13)/Assumptions!$B$4*Assumptions!$B$6</f>
        <v>5.5</v>
      </c>
      <c r="AD13" s="7" t="n">
        <f aca="false">SUMIFS(Doors!AP:AP,Doors!$A:$A,$D13,Doors!$B:$B,$B13,Doors!$C:$C,$C13)*SUMIFS(Velocity!$I:$I,Velocity!$A:$A,$A13,Velocity!$B:$B,$C13)/Assumptions!$B$4*Assumptions!$B$6</f>
        <v>5.5</v>
      </c>
      <c r="AE13" s="7" t="n">
        <f aca="false">SUMIFS(Doors!AQ:AQ,Doors!$A:$A,$D13,Doors!$B:$B,$B13,Doors!$C:$C,$C13)*SUMIFS(Velocity!$I:$I,Velocity!$A:$A,$A13,Velocity!$B:$B,$C13)/Assumptions!$B$4*Assumptions!$B$6</f>
        <v>6.05</v>
      </c>
      <c r="AF13" s="7" t="n">
        <f aca="false">SUMIFS(Doors!AR:AR,Doors!$A:$A,$D13,Doors!$B:$B,$B13,Doors!$C:$C,$C13)*SUMIFS(Velocity!$I:$I,Velocity!$A:$A,$A13,Velocity!$B:$B,$C13)/Assumptions!$B$4*Assumptions!$B$6</f>
        <v>6.05</v>
      </c>
      <c r="AG13" s="7" t="n">
        <f aca="false">SUMIFS(Doors!AS:AS,Doors!$A:$A,$D13,Doors!$B:$B,$B13,Doors!$C:$C,$C13)*SUMIFS(Velocity!$I:$I,Velocity!$A:$A,$A13,Velocity!$B:$B,$C13)/Assumptions!$B$4*Assumptions!$B$6</f>
        <v>6.05</v>
      </c>
      <c r="AH13" s="7" t="n">
        <f aca="false">SUMIFS(Doors!AT:AT,Doors!$A:$A,$D13,Doors!$B:$B,$B13,Doors!$C:$C,$C13)*SUMIFS(Velocity!$I:$I,Velocity!$A:$A,$A13,Velocity!$B:$B,$C13)/Assumptions!$B$4*Assumptions!$B$6</f>
        <v>6.05</v>
      </c>
      <c r="AI13" s="7" t="n">
        <f aca="false">SUMIFS(Doors!AU:AU,Doors!$A:$A,$D13,Doors!$B:$B,$B13,Doors!$C:$C,$C13)*SUMIFS(Velocity!$I:$I,Velocity!$A:$A,$A13,Velocity!$B:$B,$C13)/Assumptions!$B$4*Assumptions!$B$6</f>
        <v>6.05</v>
      </c>
      <c r="AJ13" s="7" t="n">
        <f aca="false">SUMIFS(Doors!AV:AV,Doors!$A:$A,$D13,Doors!$B:$B,$B13,Doors!$C:$C,$C13)*SUMIFS(Velocity!$I:$I,Velocity!$A:$A,$A13,Velocity!$B:$B,$C13)/Assumptions!$B$4*Assumptions!$B$6</f>
        <v>6.4625</v>
      </c>
      <c r="AK13" s="7" t="n">
        <f aca="false">SUMIFS(Doors!AW:AW,Doors!$A:$A,$D13,Doors!$B:$B,$B13,Doors!$C:$C,$C13)*SUMIFS(Velocity!$I:$I,Velocity!$A:$A,$A13,Velocity!$B:$B,$C13)/Assumptions!$B$4*Assumptions!$B$6</f>
        <v>6.4625</v>
      </c>
      <c r="AL13" s="7" t="n">
        <f aca="false">SUMIFS(Doors!AX:AX,Doors!$A:$A,$D13,Doors!$B:$B,$B13,Doors!$C:$C,$C13)*SUMIFS(Velocity!$I:$I,Velocity!$A:$A,$A13,Velocity!$B:$B,$C13)/Assumptions!$B$4*Assumptions!$B$6</f>
        <v>6.4625</v>
      </c>
      <c r="AM13" s="7" t="n">
        <f aca="false">SUMIFS(Doors!AY:AY,Doors!$A:$A,$D13,Doors!$B:$B,$B13,Doors!$C:$C,$C13)*SUMIFS(Velocity!$I:$I,Velocity!$A:$A,$A13,Velocity!$B:$B,$C13)/Assumptions!$B$4*Assumptions!$B$6</f>
        <v>6.4625</v>
      </c>
      <c r="AN13" s="7" t="n">
        <f aca="false">SUMIFS(Doors!AZ:AZ,Doors!$A:$A,$D13,Doors!$B:$B,$B13,Doors!$C:$C,$C13)*SUMIFS(Velocity!$I:$I,Velocity!$A:$A,$A13,Velocity!$B:$B,$C13)/Assumptions!$B$4*Assumptions!$B$6</f>
        <v>6.7375</v>
      </c>
      <c r="AO13" s="7" t="n">
        <f aca="false">SUMIFS(Doors!BA:BA,Doors!$A:$A,$D13,Doors!$B:$B,$B13,Doors!$C:$C,$C13)*SUMIFS(Velocity!$I:$I,Velocity!$A:$A,$A13,Velocity!$B:$B,$C13)/Assumptions!$B$4*Assumptions!$B$6</f>
        <v>6.7375</v>
      </c>
      <c r="AP13" s="7" t="n">
        <f aca="false">SUMIFS(Doors!BB:BB,Doors!$A:$A,$D13,Doors!$B:$B,$B13,Doors!$C:$C,$C13)*SUMIFS(Velocity!$I:$I,Velocity!$A:$A,$A13,Velocity!$B:$B,$C13)/Assumptions!$B$4*Assumptions!$B$6</f>
        <v>6.7375</v>
      </c>
      <c r="AQ13" s="7" t="n">
        <f aca="false">SUMIFS(Doors!BC:BC,Doors!$A:$A,$D13,Doors!$B:$B,$B13,Doors!$C:$C,$C13)*SUMIFS(Velocity!$I:$I,Velocity!$A:$A,$A13,Velocity!$B:$B,$C13)/Assumptions!$B$4*Assumptions!$B$6</f>
        <v>6.7375</v>
      </c>
      <c r="AR13" s="7" t="n">
        <f aca="false">SUMIFS(Doors!BD:BD,Doors!$A:$A,$D13,Doors!$B:$B,$B13,Doors!$C:$C,$C13)*SUMIFS(Velocity!$I:$I,Velocity!$A:$A,$A13,Velocity!$B:$B,$C13)/Assumptions!$B$4*Assumptions!$B$6</f>
        <v>6.875</v>
      </c>
      <c r="AS13" s="7" t="n">
        <f aca="false">SUMIFS(Doors!BE:BE,Doors!$A:$A,$D13,Doors!$B:$B,$B13,Doors!$C:$C,$C13)*SUMIFS(Velocity!$I:$I,Velocity!$A:$A,$A13,Velocity!$B:$B,$C13)/Assumptions!$B$4*Assumptions!$B$6</f>
        <v>6.875</v>
      </c>
      <c r="AT13" s="7" t="n">
        <f aca="false">SUMIFS(Doors!BF:BF,Doors!$A:$A,$D13,Doors!$B:$B,$B13,Doors!$C:$C,$C13)*SUMIFS(Velocity!$I:$I,Velocity!$A:$A,$A13,Velocity!$B:$B,$C13)/Assumptions!$B$4*Assumptions!$B$6</f>
        <v>6.875</v>
      </c>
      <c r="AU13" s="7" t="n">
        <f aca="false">SUMIFS(Doors!BG:BG,Doors!$A:$A,$D13,Doors!$B:$B,$B13,Doors!$C:$C,$C13)*SUMIFS(Velocity!$I:$I,Velocity!$A:$A,$A13,Velocity!$B:$B,$C13)/Assumptions!$B$4*Assumptions!$B$6</f>
        <v>6.875</v>
      </c>
      <c r="AV13" s="7" t="n">
        <f aca="false">SUMIFS(Doors!BH:BH,Doors!$A:$A,$D13,Doors!$B:$B,$B13,Doors!$C:$C,$C13)*SUMIFS(Velocity!$I:$I,Velocity!$A:$A,$A13,Velocity!$B:$B,$C13)/Assumptions!$B$4*Assumptions!$B$6</f>
        <v>6.875</v>
      </c>
      <c r="AW13" s="7" t="n">
        <f aca="false">SUMIFS(Doors!BI:BI,Doors!$A:$A,$D13,Doors!$B:$B,$B13,Doors!$C:$C,$C13)*SUMIFS(Velocity!$I:$I,Velocity!$A:$A,$A13,Velocity!$B:$B,$C13)/Assumptions!$B$4*Assumptions!$B$6</f>
        <v>6.875</v>
      </c>
      <c r="AX13" s="7" t="n">
        <f aca="false">SUMIFS(Doors!BJ:BJ,Doors!$A:$A,$D13,Doors!$B:$B,$B13,Doors!$C:$C,$C13)*SUMIFS(Velocity!$I:$I,Velocity!$A:$A,$A13,Velocity!$B:$B,$C13)/Assumptions!$B$4*Assumptions!$B$6</f>
        <v>6.875</v>
      </c>
      <c r="AY13" s="7" t="n">
        <f aca="false">SUMIFS(Doors!BK:BK,Doors!$A:$A,$D13,Doors!$B:$B,$B13,Doors!$C:$C,$C13)*SUMIFS(Velocity!$I:$I,Velocity!$A:$A,$A13,Velocity!$B:$B,$C13)/Assumptions!$B$4*Assumptions!$B$6</f>
        <v>6.875</v>
      </c>
      <c r="AZ13" s="7" t="n">
        <f aca="false">SUMIFS(Doors!BL:BL,Doors!$A:$A,$D13,Doors!$B:$B,$B13,Doors!$C:$C,$C13)*SUMIFS(Velocity!$I:$I,Velocity!$A:$A,$A13,Velocity!$B:$B,$C13)/Assumptions!$B$4*Assumptions!$B$6</f>
        <v>6.875</v>
      </c>
      <c r="BA13" s="7" t="n">
        <f aca="false">SUMIFS(Doors!BM:BM,Doors!$A:$A,$D13,Doors!$B:$B,$B13,Doors!$C:$C,$C13)*SUMIFS(Velocity!$I:$I,Velocity!$A:$A,$A13,Velocity!$B:$B,$C13)/Assumptions!$B$4*Assumptions!$B$6</f>
        <v>6.875</v>
      </c>
      <c r="BB13" s="7" t="n">
        <f aca="false">SUMIFS(Doors!BN:BN,Doors!$A:$A,$D13,Doors!$B:$B,$B13,Doors!$C:$C,$C13)*SUMIFS(Velocity!$I:$I,Velocity!$A:$A,$A13,Velocity!$B:$B,$C13)/Assumptions!$B$4*Assumptions!$B$6</f>
        <v>6.875</v>
      </c>
      <c r="BC13" s="7" t="n">
        <f aca="false">SUMIFS(Doors!BO:BO,Doors!$A:$A,$D13,Doors!$B:$B,$B13,Doors!$C:$C,$C13)*SUMIFS(Velocity!$I:$I,Velocity!$A:$A,$A13,Velocity!$B:$B,$C13)/Assumptions!$B$4*Assumptions!$B$6</f>
        <v>6.875</v>
      </c>
      <c r="BD13" s="7" t="n">
        <f aca="false">SUMIFS(Doors!BP:BP,Doors!$A:$A,$D13,Doors!$B:$B,$B13,Doors!$C:$C,$C13)*SUMIFS(Velocity!$I:$I,Velocity!$A:$A,$A13,Velocity!$B:$B,$C13)/Assumptions!$B$4*Assumptions!$B$6</f>
        <v>6.875</v>
      </c>
    </row>
    <row r="14" customFormat="false" ht="15" hidden="false" customHeight="false" outlineLevel="0" collapsed="false">
      <c r="A14" s="0" t="s">
        <v>108</v>
      </c>
      <c r="B14" s="0" t="s">
        <v>126</v>
      </c>
      <c r="C14" s="0" t="s">
        <v>123</v>
      </c>
      <c r="D14" s="0" t="s">
        <v>235</v>
      </c>
      <c r="E14" s="7" t="n">
        <f aca="false">SUMIFS(Doors!Q:Q,Doors!$A:$A,$D14,Doors!$B:$B,$B14,Doors!$C:$C,$C14)*SUMIFS(Velocity!$I:$I,Velocity!$A:$A,$A14,Velocity!$B:$B,$C14)/Assumptions!$B$4*Assumptions!$B$6</f>
        <v>0</v>
      </c>
      <c r="F14" s="7" t="n">
        <f aca="false">SUMIFS(Doors!R:R,Doors!$A:$A,$D14,Doors!$B:$B,$B14,Doors!$C:$C,$C14)*SUMIFS(Velocity!$I:$I,Velocity!$A:$A,$A14,Velocity!$B:$B,$C14)/Assumptions!$B$4*Assumptions!$B$6</f>
        <v>0</v>
      </c>
      <c r="G14" s="7" t="n">
        <f aca="false">SUMIFS(Doors!S:S,Doors!$A:$A,$D14,Doors!$B:$B,$B14,Doors!$C:$C,$C14)*SUMIFS(Velocity!$I:$I,Velocity!$A:$A,$A14,Velocity!$B:$B,$C14)/Assumptions!$B$4*Assumptions!$B$6</f>
        <v>0</v>
      </c>
      <c r="H14" s="7" t="n">
        <f aca="false">SUMIFS(Doors!T:T,Doors!$A:$A,$D14,Doors!$B:$B,$B14,Doors!$C:$C,$C14)*SUMIFS(Velocity!$I:$I,Velocity!$A:$A,$A14,Velocity!$B:$B,$C14)/Assumptions!$B$4*Assumptions!$B$6</f>
        <v>0</v>
      </c>
      <c r="I14" s="7" t="n">
        <f aca="false">SUMIFS(Doors!U:U,Doors!$A:$A,$D14,Doors!$B:$B,$B14,Doors!$C:$C,$C14)*SUMIFS(Velocity!$I:$I,Velocity!$A:$A,$A14,Velocity!$B:$B,$C14)/Assumptions!$B$4*Assumptions!$B$6</f>
        <v>0</v>
      </c>
      <c r="J14" s="7" t="n">
        <f aca="false">SUMIFS(Doors!V:V,Doors!$A:$A,$D14,Doors!$B:$B,$B14,Doors!$C:$C,$C14)*SUMIFS(Velocity!$I:$I,Velocity!$A:$A,$A14,Velocity!$B:$B,$C14)/Assumptions!$B$4*Assumptions!$B$6</f>
        <v>0</v>
      </c>
      <c r="K14" s="7" t="n">
        <f aca="false">SUMIFS(Doors!W:W,Doors!$A:$A,$D14,Doors!$B:$B,$B14,Doors!$C:$C,$C14)*SUMIFS(Velocity!$I:$I,Velocity!$A:$A,$A14,Velocity!$B:$B,$C14)/Assumptions!$B$4*Assumptions!$B$6</f>
        <v>0</v>
      </c>
      <c r="L14" s="7" t="n">
        <f aca="false">SUMIFS(Doors!X:X,Doors!$A:$A,$D14,Doors!$B:$B,$B14,Doors!$C:$C,$C14)*SUMIFS(Velocity!$I:$I,Velocity!$A:$A,$A14,Velocity!$B:$B,$C14)/Assumptions!$B$4*Assumptions!$B$6</f>
        <v>0</v>
      </c>
      <c r="M14" s="7" t="n">
        <f aca="false">SUMIFS(Doors!Y:Y,Doors!$A:$A,$D14,Doors!$B:$B,$B14,Doors!$C:$C,$C14)*SUMIFS(Velocity!$I:$I,Velocity!$A:$A,$A14,Velocity!$B:$B,$C14)/Assumptions!$B$4*Assumptions!$B$6</f>
        <v>0</v>
      </c>
      <c r="N14" s="7" t="n">
        <f aca="false">SUMIFS(Doors!Z:Z,Doors!$A:$A,$D14,Doors!$B:$B,$B14,Doors!$C:$C,$C14)*SUMIFS(Velocity!$I:$I,Velocity!$A:$A,$A14,Velocity!$B:$B,$C14)/Assumptions!$B$4*Assumptions!$B$6</f>
        <v>0</v>
      </c>
      <c r="O14" s="7" t="n">
        <f aca="false">SUMIFS(Doors!AA:AA,Doors!$A:$A,$D14,Doors!$B:$B,$B14,Doors!$C:$C,$C14)*SUMIFS(Velocity!$I:$I,Velocity!$A:$A,$A14,Velocity!$B:$B,$C14)/Assumptions!$B$4*Assumptions!$B$6</f>
        <v>0</v>
      </c>
      <c r="P14" s="7" t="n">
        <f aca="false">SUMIFS(Doors!AB:AB,Doors!$A:$A,$D14,Doors!$B:$B,$B14,Doors!$C:$C,$C14)*SUMIFS(Velocity!$I:$I,Velocity!$A:$A,$A14,Velocity!$B:$B,$C14)/Assumptions!$B$4*Assumptions!$B$6</f>
        <v>0</v>
      </c>
      <c r="Q14" s="7" t="n">
        <f aca="false">SUMIFS(Doors!AC:AC,Doors!$A:$A,$D14,Doors!$B:$B,$B14,Doors!$C:$C,$C14)*SUMIFS(Velocity!$I:$I,Velocity!$A:$A,$A14,Velocity!$B:$B,$C14)/Assumptions!$B$4*Assumptions!$B$6</f>
        <v>0</v>
      </c>
      <c r="R14" s="7" t="n">
        <f aca="false">SUMIFS(Doors!AD:AD,Doors!$A:$A,$D14,Doors!$B:$B,$B14,Doors!$C:$C,$C14)*SUMIFS(Velocity!$I:$I,Velocity!$A:$A,$A14,Velocity!$B:$B,$C14)/Assumptions!$B$4*Assumptions!$B$6</f>
        <v>0</v>
      </c>
      <c r="S14" s="7" t="n">
        <f aca="false">SUMIFS(Doors!AE:AE,Doors!$A:$A,$D14,Doors!$B:$B,$B14,Doors!$C:$C,$C14)*SUMIFS(Velocity!$I:$I,Velocity!$A:$A,$A14,Velocity!$B:$B,$C14)/Assumptions!$B$4*Assumptions!$B$6</f>
        <v>0</v>
      </c>
      <c r="T14" s="7" t="n">
        <f aca="false">SUMIFS(Doors!AF:AF,Doors!$A:$A,$D14,Doors!$B:$B,$B14,Doors!$C:$C,$C14)*SUMIFS(Velocity!$I:$I,Velocity!$A:$A,$A14,Velocity!$B:$B,$C14)/Assumptions!$B$4*Assumptions!$B$6</f>
        <v>0</v>
      </c>
      <c r="U14" s="7" t="n">
        <f aca="false">SUMIFS(Doors!AG:AG,Doors!$A:$A,$D14,Doors!$B:$B,$B14,Doors!$C:$C,$C14)*SUMIFS(Velocity!$I:$I,Velocity!$A:$A,$A14,Velocity!$B:$B,$C14)/Assumptions!$B$4*Assumptions!$B$6</f>
        <v>0</v>
      </c>
      <c r="V14" s="7" t="n">
        <f aca="false">SUMIFS(Doors!AH:AH,Doors!$A:$A,$D14,Doors!$B:$B,$B14,Doors!$C:$C,$C14)*SUMIFS(Velocity!$I:$I,Velocity!$A:$A,$A14,Velocity!$B:$B,$C14)/Assumptions!$B$4*Assumptions!$B$6</f>
        <v>0</v>
      </c>
      <c r="W14" s="7" t="n">
        <f aca="false">SUMIFS(Doors!AI:AI,Doors!$A:$A,$D14,Doors!$B:$B,$B14,Doors!$C:$C,$C14)*SUMIFS(Velocity!$I:$I,Velocity!$A:$A,$A14,Velocity!$B:$B,$C14)/Assumptions!$B$4*Assumptions!$B$6</f>
        <v>0</v>
      </c>
      <c r="X14" s="7" t="n">
        <f aca="false">SUMIFS(Doors!AJ:AJ,Doors!$A:$A,$D14,Doors!$B:$B,$B14,Doors!$C:$C,$C14)*SUMIFS(Velocity!$I:$I,Velocity!$A:$A,$A14,Velocity!$B:$B,$C14)/Assumptions!$B$4*Assumptions!$B$6</f>
        <v>0</v>
      </c>
      <c r="Y14" s="7" t="n">
        <f aca="false">SUMIFS(Doors!AK:AK,Doors!$A:$A,$D14,Doors!$B:$B,$B14,Doors!$C:$C,$C14)*SUMIFS(Velocity!$I:$I,Velocity!$A:$A,$A14,Velocity!$B:$B,$C14)/Assumptions!$B$4*Assumptions!$B$6</f>
        <v>0</v>
      </c>
      <c r="Z14" s="7" t="n">
        <f aca="false">SUMIFS(Doors!AL:AL,Doors!$A:$A,$D14,Doors!$B:$B,$B14,Doors!$C:$C,$C14)*SUMIFS(Velocity!$I:$I,Velocity!$A:$A,$A14,Velocity!$B:$B,$C14)/Assumptions!$B$4*Assumptions!$B$6</f>
        <v>0</v>
      </c>
      <c r="AA14" s="7" t="n">
        <f aca="false">SUMIFS(Doors!AM:AM,Doors!$A:$A,$D14,Doors!$B:$B,$B14,Doors!$C:$C,$C14)*SUMIFS(Velocity!$I:$I,Velocity!$A:$A,$A14,Velocity!$B:$B,$C14)/Assumptions!$B$4*Assumptions!$B$6</f>
        <v>0</v>
      </c>
      <c r="AB14" s="7" t="n">
        <f aca="false">SUMIFS(Doors!AN:AN,Doors!$A:$A,$D14,Doors!$B:$B,$B14,Doors!$C:$C,$C14)*SUMIFS(Velocity!$I:$I,Velocity!$A:$A,$A14,Velocity!$B:$B,$C14)/Assumptions!$B$4*Assumptions!$B$6</f>
        <v>0</v>
      </c>
      <c r="AC14" s="7" t="n">
        <f aca="false">SUMIFS(Doors!AO:AO,Doors!$A:$A,$D14,Doors!$B:$B,$B14,Doors!$C:$C,$C14)*SUMIFS(Velocity!$I:$I,Velocity!$A:$A,$A14,Velocity!$B:$B,$C14)/Assumptions!$B$4*Assumptions!$B$6</f>
        <v>0</v>
      </c>
      <c r="AD14" s="7" t="n">
        <f aca="false">SUMIFS(Doors!AP:AP,Doors!$A:$A,$D14,Doors!$B:$B,$B14,Doors!$C:$C,$C14)*SUMIFS(Velocity!$I:$I,Velocity!$A:$A,$A14,Velocity!$B:$B,$C14)/Assumptions!$B$4*Assumptions!$B$6</f>
        <v>0</v>
      </c>
      <c r="AE14" s="7" t="n">
        <f aca="false">SUMIFS(Doors!AQ:AQ,Doors!$A:$A,$D14,Doors!$B:$B,$B14,Doors!$C:$C,$C14)*SUMIFS(Velocity!$I:$I,Velocity!$A:$A,$A14,Velocity!$B:$B,$C14)/Assumptions!$B$4*Assumptions!$B$6</f>
        <v>0</v>
      </c>
      <c r="AF14" s="7" t="n">
        <f aca="false">SUMIFS(Doors!AR:AR,Doors!$A:$A,$D14,Doors!$B:$B,$B14,Doors!$C:$C,$C14)*SUMIFS(Velocity!$I:$I,Velocity!$A:$A,$A14,Velocity!$B:$B,$C14)/Assumptions!$B$4*Assumptions!$B$6</f>
        <v>0</v>
      </c>
      <c r="AG14" s="7" t="n">
        <f aca="false">SUMIFS(Doors!AS:AS,Doors!$A:$A,$D14,Doors!$B:$B,$B14,Doors!$C:$C,$C14)*SUMIFS(Velocity!$I:$I,Velocity!$A:$A,$A14,Velocity!$B:$B,$C14)/Assumptions!$B$4*Assumptions!$B$6</f>
        <v>0</v>
      </c>
      <c r="AH14" s="7" t="n">
        <f aca="false">SUMIFS(Doors!AT:AT,Doors!$A:$A,$D14,Doors!$B:$B,$B14,Doors!$C:$C,$C14)*SUMIFS(Velocity!$I:$I,Velocity!$A:$A,$A14,Velocity!$B:$B,$C14)/Assumptions!$B$4*Assumptions!$B$6</f>
        <v>0</v>
      </c>
      <c r="AI14" s="7" t="n">
        <f aca="false">SUMIFS(Doors!AU:AU,Doors!$A:$A,$D14,Doors!$B:$B,$B14,Doors!$C:$C,$C14)*SUMIFS(Velocity!$I:$I,Velocity!$A:$A,$A14,Velocity!$B:$B,$C14)/Assumptions!$B$4*Assumptions!$B$6</f>
        <v>0</v>
      </c>
      <c r="AJ14" s="7" t="n">
        <f aca="false">SUMIFS(Doors!AV:AV,Doors!$A:$A,$D14,Doors!$B:$B,$B14,Doors!$C:$C,$C14)*SUMIFS(Velocity!$I:$I,Velocity!$A:$A,$A14,Velocity!$B:$B,$C14)/Assumptions!$B$4*Assumptions!$B$6</f>
        <v>0</v>
      </c>
      <c r="AK14" s="7" t="n">
        <f aca="false">SUMIFS(Doors!AW:AW,Doors!$A:$A,$D14,Doors!$B:$B,$B14,Doors!$C:$C,$C14)*SUMIFS(Velocity!$I:$I,Velocity!$A:$A,$A14,Velocity!$B:$B,$C14)/Assumptions!$B$4*Assumptions!$B$6</f>
        <v>0</v>
      </c>
      <c r="AL14" s="7" t="n">
        <f aca="false">SUMIFS(Doors!AX:AX,Doors!$A:$A,$D14,Doors!$B:$B,$B14,Doors!$C:$C,$C14)*SUMIFS(Velocity!$I:$I,Velocity!$A:$A,$A14,Velocity!$B:$B,$C14)/Assumptions!$B$4*Assumptions!$B$6</f>
        <v>0</v>
      </c>
      <c r="AM14" s="7" t="n">
        <f aca="false">SUMIFS(Doors!AY:AY,Doors!$A:$A,$D14,Doors!$B:$B,$B14,Doors!$C:$C,$C14)*SUMIFS(Velocity!$I:$I,Velocity!$A:$A,$A14,Velocity!$B:$B,$C14)/Assumptions!$B$4*Assumptions!$B$6</f>
        <v>0</v>
      </c>
      <c r="AN14" s="7" t="n">
        <f aca="false">SUMIFS(Doors!AZ:AZ,Doors!$A:$A,$D14,Doors!$B:$B,$B14,Doors!$C:$C,$C14)*SUMIFS(Velocity!$I:$I,Velocity!$A:$A,$A14,Velocity!$B:$B,$C14)/Assumptions!$B$4*Assumptions!$B$6</f>
        <v>0</v>
      </c>
      <c r="AO14" s="7" t="n">
        <f aca="false">SUMIFS(Doors!BA:BA,Doors!$A:$A,$D14,Doors!$B:$B,$B14,Doors!$C:$C,$C14)*SUMIFS(Velocity!$I:$I,Velocity!$A:$A,$A14,Velocity!$B:$B,$C14)/Assumptions!$B$4*Assumptions!$B$6</f>
        <v>0</v>
      </c>
      <c r="AP14" s="7" t="n">
        <f aca="false">SUMIFS(Doors!BB:BB,Doors!$A:$A,$D14,Doors!$B:$B,$B14,Doors!$C:$C,$C14)*SUMIFS(Velocity!$I:$I,Velocity!$A:$A,$A14,Velocity!$B:$B,$C14)/Assumptions!$B$4*Assumptions!$B$6</f>
        <v>0</v>
      </c>
      <c r="AQ14" s="7" t="n">
        <f aca="false">SUMIFS(Doors!BC:BC,Doors!$A:$A,$D14,Doors!$B:$B,$B14,Doors!$C:$C,$C14)*SUMIFS(Velocity!$I:$I,Velocity!$A:$A,$A14,Velocity!$B:$B,$C14)/Assumptions!$B$4*Assumptions!$B$6</f>
        <v>0</v>
      </c>
      <c r="AR14" s="7" t="n">
        <f aca="false">SUMIFS(Doors!BD:BD,Doors!$A:$A,$D14,Doors!$B:$B,$B14,Doors!$C:$C,$C14)*SUMIFS(Velocity!$I:$I,Velocity!$A:$A,$A14,Velocity!$B:$B,$C14)/Assumptions!$B$4*Assumptions!$B$6</f>
        <v>0</v>
      </c>
      <c r="AS14" s="7" t="n">
        <f aca="false">SUMIFS(Doors!BE:BE,Doors!$A:$A,$D14,Doors!$B:$B,$B14,Doors!$C:$C,$C14)*SUMIFS(Velocity!$I:$I,Velocity!$A:$A,$A14,Velocity!$B:$B,$C14)/Assumptions!$B$4*Assumptions!$B$6</f>
        <v>0</v>
      </c>
      <c r="AT14" s="7" t="n">
        <f aca="false">SUMIFS(Doors!BF:BF,Doors!$A:$A,$D14,Doors!$B:$B,$B14,Doors!$C:$C,$C14)*SUMIFS(Velocity!$I:$I,Velocity!$A:$A,$A14,Velocity!$B:$B,$C14)/Assumptions!$B$4*Assumptions!$B$6</f>
        <v>0</v>
      </c>
      <c r="AU14" s="7" t="n">
        <f aca="false">SUMIFS(Doors!BG:BG,Doors!$A:$A,$D14,Doors!$B:$B,$B14,Doors!$C:$C,$C14)*SUMIFS(Velocity!$I:$I,Velocity!$A:$A,$A14,Velocity!$B:$B,$C14)/Assumptions!$B$4*Assumptions!$B$6</f>
        <v>0</v>
      </c>
      <c r="AV14" s="7" t="n">
        <f aca="false">SUMIFS(Doors!BH:BH,Doors!$A:$A,$D14,Doors!$B:$B,$B14,Doors!$C:$C,$C14)*SUMIFS(Velocity!$I:$I,Velocity!$A:$A,$A14,Velocity!$B:$B,$C14)/Assumptions!$B$4*Assumptions!$B$6</f>
        <v>0</v>
      </c>
      <c r="AW14" s="7" t="n">
        <f aca="false">SUMIFS(Doors!BI:BI,Doors!$A:$A,$D14,Doors!$B:$B,$B14,Doors!$C:$C,$C14)*SUMIFS(Velocity!$I:$I,Velocity!$A:$A,$A14,Velocity!$B:$B,$C14)/Assumptions!$B$4*Assumptions!$B$6</f>
        <v>0</v>
      </c>
      <c r="AX14" s="7" t="n">
        <f aca="false">SUMIFS(Doors!BJ:BJ,Doors!$A:$A,$D14,Doors!$B:$B,$B14,Doors!$C:$C,$C14)*SUMIFS(Velocity!$I:$I,Velocity!$A:$A,$A14,Velocity!$B:$B,$C14)/Assumptions!$B$4*Assumptions!$B$6</f>
        <v>0</v>
      </c>
      <c r="AY14" s="7" t="n">
        <f aca="false">SUMIFS(Doors!BK:BK,Doors!$A:$A,$D14,Doors!$B:$B,$B14,Doors!$C:$C,$C14)*SUMIFS(Velocity!$I:$I,Velocity!$A:$A,$A14,Velocity!$B:$B,$C14)/Assumptions!$B$4*Assumptions!$B$6</f>
        <v>0</v>
      </c>
      <c r="AZ14" s="7" t="n">
        <f aca="false">SUMIFS(Doors!BL:BL,Doors!$A:$A,$D14,Doors!$B:$B,$B14,Doors!$C:$C,$C14)*SUMIFS(Velocity!$I:$I,Velocity!$A:$A,$A14,Velocity!$B:$B,$C14)/Assumptions!$B$4*Assumptions!$B$6</f>
        <v>0</v>
      </c>
      <c r="BA14" s="7" t="n">
        <f aca="false">SUMIFS(Doors!BM:BM,Doors!$A:$A,$D14,Doors!$B:$B,$B14,Doors!$C:$C,$C14)*SUMIFS(Velocity!$I:$I,Velocity!$A:$A,$A14,Velocity!$B:$B,$C14)/Assumptions!$B$4*Assumptions!$B$6</f>
        <v>0</v>
      </c>
      <c r="BB14" s="7" t="n">
        <f aca="false">SUMIFS(Doors!BN:BN,Doors!$A:$A,$D14,Doors!$B:$B,$B14,Doors!$C:$C,$C14)*SUMIFS(Velocity!$I:$I,Velocity!$A:$A,$A14,Velocity!$B:$B,$C14)/Assumptions!$B$4*Assumptions!$B$6</f>
        <v>0</v>
      </c>
      <c r="BC14" s="7" t="n">
        <f aca="false">SUMIFS(Doors!BO:BO,Doors!$A:$A,$D14,Doors!$B:$B,$B14,Doors!$C:$C,$C14)*SUMIFS(Velocity!$I:$I,Velocity!$A:$A,$A14,Velocity!$B:$B,$C14)/Assumptions!$B$4*Assumptions!$B$6</f>
        <v>0</v>
      </c>
      <c r="BD14" s="7" t="n">
        <f aca="false">SUMIFS(Doors!BP:BP,Doors!$A:$A,$D14,Doors!$B:$B,$B14,Doors!$C:$C,$C14)*SUMIFS(Velocity!$I:$I,Velocity!$A:$A,$A14,Velocity!$B:$B,$C14)/Assumptions!$B$4*Assumptions!$B$6</f>
        <v>0</v>
      </c>
    </row>
    <row r="15" customFormat="false" ht="15" hidden="false" customHeight="false" outlineLevel="0" collapsed="false">
      <c r="A15" s="0" t="s">
        <v>108</v>
      </c>
      <c r="B15" s="0" t="s">
        <v>127</v>
      </c>
      <c r="C15" s="0" t="s">
        <v>115</v>
      </c>
      <c r="D15" s="0" t="s">
        <v>235</v>
      </c>
      <c r="E15" s="7" t="n">
        <f aca="false">SUMIFS(Doors!Q:Q,Doors!$A:$A,$D15,Doors!$B:$B,$B15,Doors!$C:$C,$C15)*SUMIFS(Velocity!$I:$I,Velocity!$A:$A,$A15,Velocity!$B:$B,$C15)/Assumptions!$B$4*Assumptions!$B$6</f>
        <v>1.64583333333333</v>
      </c>
      <c r="F15" s="7" t="n">
        <f aca="false">SUMIFS(Doors!R:R,Doors!$A:$A,$D15,Doors!$B:$B,$B15,Doors!$C:$C,$C15)*SUMIFS(Velocity!$I:$I,Velocity!$A:$A,$A15,Velocity!$B:$B,$C15)/Assumptions!$B$4*Assumptions!$B$6</f>
        <v>1.64583333333333</v>
      </c>
      <c r="G15" s="7" t="n">
        <f aca="false">SUMIFS(Doors!S:S,Doors!$A:$A,$D15,Doors!$B:$B,$B15,Doors!$C:$C,$C15)*SUMIFS(Velocity!$I:$I,Velocity!$A:$A,$A15,Velocity!$B:$B,$C15)/Assumptions!$B$4*Assumptions!$B$6</f>
        <v>1.64583333333333</v>
      </c>
      <c r="H15" s="7" t="n">
        <f aca="false">SUMIFS(Doors!T:T,Doors!$A:$A,$D15,Doors!$B:$B,$B15,Doors!$C:$C,$C15)*SUMIFS(Velocity!$I:$I,Velocity!$A:$A,$A15,Velocity!$B:$B,$C15)/Assumptions!$B$4*Assumptions!$B$6</f>
        <v>1.64583333333333</v>
      </c>
      <c r="I15" s="7" t="n">
        <f aca="false">SUMIFS(Doors!U:U,Doors!$A:$A,$D15,Doors!$B:$B,$B15,Doors!$C:$C,$C15)*SUMIFS(Velocity!$I:$I,Velocity!$A:$A,$A15,Velocity!$B:$B,$C15)/Assumptions!$B$4*Assumptions!$B$6</f>
        <v>1.64583333333333</v>
      </c>
      <c r="J15" s="7" t="n">
        <f aca="false">SUMIFS(Doors!V:V,Doors!$A:$A,$D15,Doors!$B:$B,$B15,Doors!$C:$C,$C15)*SUMIFS(Velocity!$I:$I,Velocity!$A:$A,$A15,Velocity!$B:$B,$C15)/Assumptions!$B$4*Assumptions!$B$6</f>
        <v>3.29166666666667</v>
      </c>
      <c r="K15" s="7" t="n">
        <f aca="false">SUMIFS(Doors!W:W,Doors!$A:$A,$D15,Doors!$B:$B,$B15,Doors!$C:$C,$C15)*SUMIFS(Velocity!$I:$I,Velocity!$A:$A,$A15,Velocity!$B:$B,$C15)/Assumptions!$B$4*Assumptions!$B$6</f>
        <v>3.29166666666667</v>
      </c>
      <c r="L15" s="7" t="n">
        <f aca="false">SUMIFS(Doors!X:X,Doors!$A:$A,$D15,Doors!$B:$B,$B15,Doors!$C:$C,$C15)*SUMIFS(Velocity!$I:$I,Velocity!$A:$A,$A15,Velocity!$B:$B,$C15)/Assumptions!$B$4*Assumptions!$B$6</f>
        <v>3.29166666666667</v>
      </c>
      <c r="M15" s="7" t="n">
        <f aca="false">SUMIFS(Doors!Y:Y,Doors!$A:$A,$D15,Doors!$B:$B,$B15,Doors!$C:$C,$C15)*SUMIFS(Velocity!$I:$I,Velocity!$A:$A,$A15,Velocity!$B:$B,$C15)/Assumptions!$B$4*Assumptions!$B$6</f>
        <v>3.29166666666667</v>
      </c>
      <c r="N15" s="7" t="n">
        <f aca="false">SUMIFS(Doors!Z:Z,Doors!$A:$A,$D15,Doors!$B:$B,$B15,Doors!$C:$C,$C15)*SUMIFS(Velocity!$I:$I,Velocity!$A:$A,$A15,Velocity!$B:$B,$C15)/Assumptions!$B$4*Assumptions!$B$6</f>
        <v>5.925</v>
      </c>
      <c r="O15" s="7" t="n">
        <f aca="false">SUMIFS(Doors!AA:AA,Doors!$A:$A,$D15,Doors!$B:$B,$B15,Doors!$C:$C,$C15)*SUMIFS(Velocity!$I:$I,Velocity!$A:$A,$A15,Velocity!$B:$B,$C15)/Assumptions!$B$4*Assumptions!$B$6</f>
        <v>5.925</v>
      </c>
      <c r="P15" s="7" t="n">
        <f aca="false">SUMIFS(Doors!AB:AB,Doors!$A:$A,$D15,Doors!$B:$B,$B15,Doors!$C:$C,$C15)*SUMIFS(Velocity!$I:$I,Velocity!$A:$A,$A15,Velocity!$B:$B,$C15)/Assumptions!$B$4*Assumptions!$B$6</f>
        <v>5.925</v>
      </c>
      <c r="Q15" s="7" t="n">
        <f aca="false">SUMIFS(Doors!AC:AC,Doors!$A:$A,$D15,Doors!$B:$B,$B15,Doors!$C:$C,$C15)*SUMIFS(Velocity!$I:$I,Velocity!$A:$A,$A15,Velocity!$B:$B,$C15)/Assumptions!$B$4*Assumptions!$B$6</f>
        <v>5.925</v>
      </c>
      <c r="R15" s="7" t="n">
        <f aca="false">SUMIFS(Doors!AD:AD,Doors!$A:$A,$D15,Doors!$B:$B,$B15,Doors!$C:$C,$C15)*SUMIFS(Velocity!$I:$I,Velocity!$A:$A,$A15,Velocity!$B:$B,$C15)/Assumptions!$B$4*Assumptions!$B$6</f>
        <v>9.21666666666667</v>
      </c>
      <c r="S15" s="7" t="n">
        <f aca="false">SUMIFS(Doors!AE:AE,Doors!$A:$A,$D15,Doors!$B:$B,$B15,Doors!$C:$C,$C15)*SUMIFS(Velocity!$I:$I,Velocity!$A:$A,$A15,Velocity!$B:$B,$C15)/Assumptions!$B$4*Assumptions!$B$6</f>
        <v>9.21666666666667</v>
      </c>
      <c r="T15" s="7" t="n">
        <f aca="false">SUMIFS(Doors!AF:AF,Doors!$A:$A,$D15,Doors!$B:$B,$B15,Doors!$C:$C,$C15)*SUMIFS(Velocity!$I:$I,Velocity!$A:$A,$A15,Velocity!$B:$B,$C15)/Assumptions!$B$4*Assumptions!$B$6</f>
        <v>9.21666666666667</v>
      </c>
      <c r="U15" s="7" t="n">
        <f aca="false">SUMIFS(Doors!AG:AG,Doors!$A:$A,$D15,Doors!$B:$B,$B15,Doors!$C:$C,$C15)*SUMIFS(Velocity!$I:$I,Velocity!$A:$A,$A15,Velocity!$B:$B,$C15)/Assumptions!$B$4*Assumptions!$B$6</f>
        <v>9.21666666666667</v>
      </c>
      <c r="V15" s="7" t="n">
        <f aca="false">SUMIFS(Doors!AH:AH,Doors!$A:$A,$D15,Doors!$B:$B,$B15,Doors!$C:$C,$C15)*SUMIFS(Velocity!$I:$I,Velocity!$A:$A,$A15,Velocity!$B:$B,$C15)/Assumptions!$B$4*Assumptions!$B$6</f>
        <v>9.21666666666667</v>
      </c>
      <c r="W15" s="7" t="n">
        <f aca="false">SUMIFS(Doors!AI:AI,Doors!$A:$A,$D15,Doors!$B:$B,$B15,Doors!$C:$C,$C15)*SUMIFS(Velocity!$I:$I,Velocity!$A:$A,$A15,Velocity!$B:$B,$C15)/Assumptions!$B$4*Assumptions!$B$6</f>
        <v>12.5083333333333</v>
      </c>
      <c r="X15" s="7" t="n">
        <f aca="false">SUMIFS(Doors!AJ:AJ,Doors!$A:$A,$D15,Doors!$B:$B,$B15,Doors!$C:$C,$C15)*SUMIFS(Velocity!$I:$I,Velocity!$A:$A,$A15,Velocity!$B:$B,$C15)/Assumptions!$B$4*Assumptions!$B$6</f>
        <v>12.5083333333333</v>
      </c>
      <c r="Y15" s="7" t="n">
        <f aca="false">SUMIFS(Doors!AK:AK,Doors!$A:$A,$D15,Doors!$B:$B,$B15,Doors!$C:$C,$C15)*SUMIFS(Velocity!$I:$I,Velocity!$A:$A,$A15,Velocity!$B:$B,$C15)/Assumptions!$B$4*Assumptions!$B$6</f>
        <v>12.5083333333333</v>
      </c>
      <c r="Z15" s="7" t="n">
        <f aca="false">SUMIFS(Doors!AL:AL,Doors!$A:$A,$D15,Doors!$B:$B,$B15,Doors!$C:$C,$C15)*SUMIFS(Velocity!$I:$I,Velocity!$A:$A,$A15,Velocity!$B:$B,$C15)/Assumptions!$B$4*Assumptions!$B$6</f>
        <v>12.5083333333333</v>
      </c>
      <c r="AA15" s="7" t="n">
        <f aca="false">SUMIFS(Doors!AM:AM,Doors!$A:$A,$D15,Doors!$B:$B,$B15,Doors!$C:$C,$C15)*SUMIFS(Velocity!$I:$I,Velocity!$A:$A,$A15,Velocity!$B:$B,$C15)/Assumptions!$B$4*Assumptions!$B$6</f>
        <v>15.8</v>
      </c>
      <c r="AB15" s="7" t="n">
        <f aca="false">SUMIFS(Doors!AN:AN,Doors!$A:$A,$D15,Doors!$B:$B,$B15,Doors!$C:$C,$C15)*SUMIFS(Velocity!$I:$I,Velocity!$A:$A,$A15,Velocity!$B:$B,$C15)/Assumptions!$B$4*Assumptions!$B$6</f>
        <v>15.8</v>
      </c>
      <c r="AC15" s="7" t="n">
        <f aca="false">SUMIFS(Doors!AO:AO,Doors!$A:$A,$D15,Doors!$B:$B,$B15,Doors!$C:$C,$C15)*SUMIFS(Velocity!$I:$I,Velocity!$A:$A,$A15,Velocity!$B:$B,$C15)/Assumptions!$B$4*Assumptions!$B$6</f>
        <v>15.8</v>
      </c>
      <c r="AD15" s="7" t="n">
        <f aca="false">SUMIFS(Doors!AP:AP,Doors!$A:$A,$D15,Doors!$B:$B,$B15,Doors!$C:$C,$C15)*SUMIFS(Velocity!$I:$I,Velocity!$A:$A,$A15,Velocity!$B:$B,$C15)/Assumptions!$B$4*Assumptions!$B$6</f>
        <v>15.8</v>
      </c>
      <c r="AE15" s="7" t="n">
        <f aca="false">SUMIFS(Doors!AQ:AQ,Doors!$A:$A,$D15,Doors!$B:$B,$B15,Doors!$C:$C,$C15)*SUMIFS(Velocity!$I:$I,Velocity!$A:$A,$A15,Velocity!$B:$B,$C15)/Assumptions!$B$4*Assumptions!$B$6</f>
        <v>19.0916666666667</v>
      </c>
      <c r="AF15" s="7" t="n">
        <f aca="false">SUMIFS(Doors!AR:AR,Doors!$A:$A,$D15,Doors!$B:$B,$B15,Doors!$C:$C,$C15)*SUMIFS(Velocity!$I:$I,Velocity!$A:$A,$A15,Velocity!$B:$B,$C15)/Assumptions!$B$4*Assumptions!$B$6</f>
        <v>19.0916666666667</v>
      </c>
      <c r="AG15" s="7" t="n">
        <f aca="false">SUMIFS(Doors!AS:AS,Doors!$A:$A,$D15,Doors!$B:$B,$B15,Doors!$C:$C,$C15)*SUMIFS(Velocity!$I:$I,Velocity!$A:$A,$A15,Velocity!$B:$B,$C15)/Assumptions!$B$4*Assumptions!$B$6</f>
        <v>19.0916666666667</v>
      </c>
      <c r="AH15" s="7" t="n">
        <f aca="false">SUMIFS(Doors!AT:AT,Doors!$A:$A,$D15,Doors!$B:$B,$B15,Doors!$C:$C,$C15)*SUMIFS(Velocity!$I:$I,Velocity!$A:$A,$A15,Velocity!$B:$B,$C15)/Assumptions!$B$4*Assumptions!$B$6</f>
        <v>19.0916666666667</v>
      </c>
      <c r="AI15" s="7" t="n">
        <f aca="false">SUMIFS(Doors!AU:AU,Doors!$A:$A,$D15,Doors!$B:$B,$B15,Doors!$C:$C,$C15)*SUMIFS(Velocity!$I:$I,Velocity!$A:$A,$A15,Velocity!$B:$B,$C15)/Assumptions!$B$4*Assumptions!$B$6</f>
        <v>19.0916666666667</v>
      </c>
      <c r="AJ15" s="7" t="n">
        <f aca="false">SUMIFS(Doors!AV:AV,Doors!$A:$A,$D15,Doors!$B:$B,$B15,Doors!$C:$C,$C15)*SUMIFS(Velocity!$I:$I,Velocity!$A:$A,$A15,Velocity!$B:$B,$C15)/Assumptions!$B$4*Assumptions!$B$6</f>
        <v>22.3833333333333</v>
      </c>
      <c r="AK15" s="7" t="n">
        <f aca="false">SUMIFS(Doors!AW:AW,Doors!$A:$A,$D15,Doors!$B:$B,$B15,Doors!$C:$C,$C15)*SUMIFS(Velocity!$I:$I,Velocity!$A:$A,$A15,Velocity!$B:$B,$C15)/Assumptions!$B$4*Assumptions!$B$6</f>
        <v>22.3833333333333</v>
      </c>
      <c r="AL15" s="7" t="n">
        <f aca="false">SUMIFS(Doors!AX:AX,Doors!$A:$A,$D15,Doors!$B:$B,$B15,Doors!$C:$C,$C15)*SUMIFS(Velocity!$I:$I,Velocity!$A:$A,$A15,Velocity!$B:$B,$C15)/Assumptions!$B$4*Assumptions!$B$6</f>
        <v>22.3833333333333</v>
      </c>
      <c r="AM15" s="7" t="n">
        <f aca="false">SUMIFS(Doors!AY:AY,Doors!$A:$A,$D15,Doors!$B:$B,$B15,Doors!$C:$C,$C15)*SUMIFS(Velocity!$I:$I,Velocity!$A:$A,$A15,Velocity!$B:$B,$C15)/Assumptions!$B$4*Assumptions!$B$6</f>
        <v>22.3833333333333</v>
      </c>
      <c r="AN15" s="7" t="n">
        <f aca="false">SUMIFS(Doors!AZ:AZ,Doors!$A:$A,$D15,Doors!$B:$B,$B15,Doors!$C:$C,$C15)*SUMIFS(Velocity!$I:$I,Velocity!$A:$A,$A15,Velocity!$B:$B,$C15)/Assumptions!$B$4*Assumptions!$B$6</f>
        <v>24.6875</v>
      </c>
      <c r="AO15" s="7" t="n">
        <f aca="false">SUMIFS(Doors!BA:BA,Doors!$A:$A,$D15,Doors!$B:$B,$B15,Doors!$C:$C,$C15)*SUMIFS(Velocity!$I:$I,Velocity!$A:$A,$A15,Velocity!$B:$B,$C15)/Assumptions!$B$4*Assumptions!$B$6</f>
        <v>24.6875</v>
      </c>
      <c r="AP15" s="7" t="n">
        <f aca="false">SUMIFS(Doors!BB:BB,Doors!$A:$A,$D15,Doors!$B:$B,$B15,Doors!$C:$C,$C15)*SUMIFS(Velocity!$I:$I,Velocity!$A:$A,$A15,Velocity!$B:$B,$C15)/Assumptions!$B$4*Assumptions!$B$6</f>
        <v>24.6875</v>
      </c>
      <c r="AQ15" s="7" t="n">
        <f aca="false">SUMIFS(Doors!BC:BC,Doors!$A:$A,$D15,Doors!$B:$B,$B15,Doors!$C:$C,$C15)*SUMIFS(Velocity!$I:$I,Velocity!$A:$A,$A15,Velocity!$B:$B,$C15)/Assumptions!$B$4*Assumptions!$B$6</f>
        <v>24.6875</v>
      </c>
      <c r="AR15" s="7" t="n">
        <f aca="false">SUMIFS(Doors!BD:BD,Doors!$A:$A,$D15,Doors!$B:$B,$B15,Doors!$C:$C,$C15)*SUMIFS(Velocity!$I:$I,Velocity!$A:$A,$A15,Velocity!$B:$B,$C15)/Assumptions!$B$4*Assumptions!$B$6</f>
        <v>26.9916666666667</v>
      </c>
      <c r="AS15" s="7" t="n">
        <f aca="false">SUMIFS(Doors!BE:BE,Doors!$A:$A,$D15,Doors!$B:$B,$B15,Doors!$C:$C,$C15)*SUMIFS(Velocity!$I:$I,Velocity!$A:$A,$A15,Velocity!$B:$B,$C15)/Assumptions!$B$4*Assumptions!$B$6</f>
        <v>26.9916666666667</v>
      </c>
      <c r="AT15" s="7" t="n">
        <f aca="false">SUMIFS(Doors!BF:BF,Doors!$A:$A,$D15,Doors!$B:$B,$B15,Doors!$C:$C,$C15)*SUMIFS(Velocity!$I:$I,Velocity!$A:$A,$A15,Velocity!$B:$B,$C15)/Assumptions!$B$4*Assumptions!$B$6</f>
        <v>26.9916666666667</v>
      </c>
      <c r="AU15" s="7" t="n">
        <f aca="false">SUMIFS(Doors!BG:BG,Doors!$A:$A,$D15,Doors!$B:$B,$B15,Doors!$C:$C,$C15)*SUMIFS(Velocity!$I:$I,Velocity!$A:$A,$A15,Velocity!$B:$B,$C15)/Assumptions!$B$4*Assumptions!$B$6</f>
        <v>26.9916666666667</v>
      </c>
      <c r="AV15" s="7" t="n">
        <f aca="false">SUMIFS(Doors!BH:BH,Doors!$A:$A,$D15,Doors!$B:$B,$B15,Doors!$C:$C,$C15)*SUMIFS(Velocity!$I:$I,Velocity!$A:$A,$A15,Velocity!$B:$B,$C15)/Assumptions!$B$4*Assumptions!$B$6</f>
        <v>26.9916666666667</v>
      </c>
      <c r="AW15" s="7" t="n">
        <f aca="false">SUMIFS(Doors!BI:BI,Doors!$A:$A,$D15,Doors!$B:$B,$B15,Doors!$C:$C,$C15)*SUMIFS(Velocity!$I:$I,Velocity!$A:$A,$A15,Velocity!$B:$B,$C15)/Assumptions!$B$4*Assumptions!$B$6</f>
        <v>28.6375</v>
      </c>
      <c r="AX15" s="7" t="n">
        <f aca="false">SUMIFS(Doors!BJ:BJ,Doors!$A:$A,$D15,Doors!$B:$B,$B15,Doors!$C:$C,$C15)*SUMIFS(Velocity!$I:$I,Velocity!$A:$A,$A15,Velocity!$B:$B,$C15)/Assumptions!$B$4*Assumptions!$B$6</f>
        <v>28.6375</v>
      </c>
      <c r="AY15" s="7" t="n">
        <f aca="false">SUMIFS(Doors!BK:BK,Doors!$A:$A,$D15,Doors!$B:$B,$B15,Doors!$C:$C,$C15)*SUMIFS(Velocity!$I:$I,Velocity!$A:$A,$A15,Velocity!$B:$B,$C15)/Assumptions!$B$4*Assumptions!$B$6</f>
        <v>28.6375</v>
      </c>
      <c r="AZ15" s="7" t="n">
        <f aca="false">SUMIFS(Doors!BL:BL,Doors!$A:$A,$D15,Doors!$B:$B,$B15,Doors!$C:$C,$C15)*SUMIFS(Velocity!$I:$I,Velocity!$A:$A,$A15,Velocity!$B:$B,$C15)/Assumptions!$B$4*Assumptions!$B$6</f>
        <v>28.6375</v>
      </c>
      <c r="BA15" s="7" t="n">
        <f aca="false">SUMIFS(Doors!BM:BM,Doors!$A:$A,$D15,Doors!$B:$B,$B15,Doors!$C:$C,$C15)*SUMIFS(Velocity!$I:$I,Velocity!$A:$A,$A15,Velocity!$B:$B,$C15)/Assumptions!$B$4*Assumptions!$B$6</f>
        <v>29.625</v>
      </c>
      <c r="BB15" s="7" t="n">
        <f aca="false">SUMIFS(Doors!BN:BN,Doors!$A:$A,$D15,Doors!$B:$B,$B15,Doors!$C:$C,$C15)*SUMIFS(Velocity!$I:$I,Velocity!$A:$A,$A15,Velocity!$B:$B,$C15)/Assumptions!$B$4*Assumptions!$B$6</f>
        <v>29.625</v>
      </c>
      <c r="BC15" s="7" t="n">
        <f aca="false">SUMIFS(Doors!BO:BO,Doors!$A:$A,$D15,Doors!$B:$B,$B15,Doors!$C:$C,$C15)*SUMIFS(Velocity!$I:$I,Velocity!$A:$A,$A15,Velocity!$B:$B,$C15)/Assumptions!$B$4*Assumptions!$B$6</f>
        <v>29.625</v>
      </c>
      <c r="BD15" s="7" t="n">
        <f aca="false">SUMIFS(Doors!BP:BP,Doors!$A:$A,$D15,Doors!$B:$B,$B15,Doors!$C:$C,$C15)*SUMIFS(Velocity!$I:$I,Velocity!$A:$A,$A15,Velocity!$B:$B,$C15)/Assumptions!$B$4*Assumptions!$B$6</f>
        <v>29.625</v>
      </c>
    </row>
    <row r="16" customFormat="false" ht="15" hidden="false" customHeight="false" outlineLevel="0" collapsed="false">
      <c r="A16" s="0" t="s">
        <v>108</v>
      </c>
      <c r="B16" s="0" t="s">
        <v>127</v>
      </c>
      <c r="C16" s="0" t="s">
        <v>116</v>
      </c>
      <c r="D16" s="0" t="s">
        <v>235</v>
      </c>
      <c r="E16" s="7" t="n">
        <f aca="false">SUMIFS(Doors!Q:Q,Doors!$A:$A,$D16,Doors!$B:$B,$B16,Doors!$C:$C,$C16)*SUMIFS(Velocity!$I:$I,Velocity!$A:$A,$A16,Velocity!$B:$B,$C16)/Assumptions!$B$4*Assumptions!$B$6</f>
        <v>0.9125</v>
      </c>
      <c r="F16" s="7" t="n">
        <f aca="false">SUMIFS(Doors!R:R,Doors!$A:$A,$D16,Doors!$B:$B,$B16,Doors!$C:$C,$C16)*SUMIFS(Velocity!$I:$I,Velocity!$A:$A,$A16,Velocity!$B:$B,$C16)/Assumptions!$B$4*Assumptions!$B$6</f>
        <v>0.9125</v>
      </c>
      <c r="G16" s="7" t="n">
        <f aca="false">SUMIFS(Doors!S:S,Doors!$A:$A,$D16,Doors!$B:$B,$B16,Doors!$C:$C,$C16)*SUMIFS(Velocity!$I:$I,Velocity!$A:$A,$A16,Velocity!$B:$B,$C16)/Assumptions!$B$4*Assumptions!$B$6</f>
        <v>0.9125</v>
      </c>
      <c r="H16" s="7" t="n">
        <f aca="false">SUMIFS(Doors!T:T,Doors!$A:$A,$D16,Doors!$B:$B,$B16,Doors!$C:$C,$C16)*SUMIFS(Velocity!$I:$I,Velocity!$A:$A,$A16,Velocity!$B:$B,$C16)/Assumptions!$B$4*Assumptions!$B$6</f>
        <v>0.9125</v>
      </c>
      <c r="I16" s="7" t="n">
        <f aca="false">SUMIFS(Doors!U:U,Doors!$A:$A,$D16,Doors!$B:$B,$B16,Doors!$C:$C,$C16)*SUMIFS(Velocity!$I:$I,Velocity!$A:$A,$A16,Velocity!$B:$B,$C16)/Assumptions!$B$4*Assumptions!$B$6</f>
        <v>0.9125</v>
      </c>
      <c r="J16" s="7" t="n">
        <f aca="false">SUMIFS(Doors!V:V,Doors!$A:$A,$D16,Doors!$B:$B,$B16,Doors!$C:$C,$C16)*SUMIFS(Velocity!$I:$I,Velocity!$A:$A,$A16,Velocity!$B:$B,$C16)/Assumptions!$B$4*Assumptions!$B$6</f>
        <v>1.52083333333333</v>
      </c>
      <c r="K16" s="7" t="n">
        <f aca="false">SUMIFS(Doors!W:W,Doors!$A:$A,$D16,Doors!$B:$B,$B16,Doors!$C:$C,$C16)*SUMIFS(Velocity!$I:$I,Velocity!$A:$A,$A16,Velocity!$B:$B,$C16)/Assumptions!$B$4*Assumptions!$B$6</f>
        <v>1.52083333333333</v>
      </c>
      <c r="L16" s="7" t="n">
        <f aca="false">SUMIFS(Doors!X:X,Doors!$A:$A,$D16,Doors!$B:$B,$B16,Doors!$C:$C,$C16)*SUMIFS(Velocity!$I:$I,Velocity!$A:$A,$A16,Velocity!$B:$B,$C16)/Assumptions!$B$4*Assumptions!$B$6</f>
        <v>1.52083333333333</v>
      </c>
      <c r="M16" s="7" t="n">
        <f aca="false">SUMIFS(Doors!Y:Y,Doors!$A:$A,$D16,Doors!$B:$B,$B16,Doors!$C:$C,$C16)*SUMIFS(Velocity!$I:$I,Velocity!$A:$A,$A16,Velocity!$B:$B,$C16)/Assumptions!$B$4*Assumptions!$B$6</f>
        <v>1.52083333333333</v>
      </c>
      <c r="N16" s="7" t="n">
        <f aca="false">SUMIFS(Doors!Z:Z,Doors!$A:$A,$D16,Doors!$B:$B,$B16,Doors!$C:$C,$C16)*SUMIFS(Velocity!$I:$I,Velocity!$A:$A,$A16,Velocity!$B:$B,$C16)/Assumptions!$B$4*Assumptions!$B$6</f>
        <v>2.43333333333333</v>
      </c>
      <c r="O16" s="7" t="n">
        <f aca="false">SUMIFS(Doors!AA:AA,Doors!$A:$A,$D16,Doors!$B:$B,$B16,Doors!$C:$C,$C16)*SUMIFS(Velocity!$I:$I,Velocity!$A:$A,$A16,Velocity!$B:$B,$C16)/Assumptions!$B$4*Assumptions!$B$6</f>
        <v>2.43333333333333</v>
      </c>
      <c r="P16" s="7" t="n">
        <f aca="false">SUMIFS(Doors!AB:AB,Doors!$A:$A,$D16,Doors!$B:$B,$B16,Doors!$C:$C,$C16)*SUMIFS(Velocity!$I:$I,Velocity!$A:$A,$A16,Velocity!$B:$B,$C16)/Assumptions!$B$4*Assumptions!$B$6</f>
        <v>2.43333333333333</v>
      </c>
      <c r="Q16" s="7" t="n">
        <f aca="false">SUMIFS(Doors!AC:AC,Doors!$A:$A,$D16,Doors!$B:$B,$B16,Doors!$C:$C,$C16)*SUMIFS(Velocity!$I:$I,Velocity!$A:$A,$A16,Velocity!$B:$B,$C16)/Assumptions!$B$4*Assumptions!$B$6</f>
        <v>2.43333333333333</v>
      </c>
      <c r="R16" s="7" t="n">
        <f aca="false">SUMIFS(Doors!AD:AD,Doors!$A:$A,$D16,Doors!$B:$B,$B16,Doors!$C:$C,$C16)*SUMIFS(Velocity!$I:$I,Velocity!$A:$A,$A16,Velocity!$B:$B,$C16)/Assumptions!$B$4*Assumptions!$B$6</f>
        <v>3.65</v>
      </c>
      <c r="S16" s="7" t="n">
        <f aca="false">SUMIFS(Doors!AE:AE,Doors!$A:$A,$D16,Doors!$B:$B,$B16,Doors!$C:$C,$C16)*SUMIFS(Velocity!$I:$I,Velocity!$A:$A,$A16,Velocity!$B:$B,$C16)/Assumptions!$B$4*Assumptions!$B$6</f>
        <v>3.65</v>
      </c>
      <c r="T16" s="7" t="n">
        <f aca="false">SUMIFS(Doors!AF:AF,Doors!$A:$A,$D16,Doors!$B:$B,$B16,Doors!$C:$C,$C16)*SUMIFS(Velocity!$I:$I,Velocity!$A:$A,$A16,Velocity!$B:$B,$C16)/Assumptions!$B$4*Assumptions!$B$6</f>
        <v>3.65</v>
      </c>
      <c r="U16" s="7" t="n">
        <f aca="false">SUMIFS(Doors!AG:AG,Doors!$A:$A,$D16,Doors!$B:$B,$B16,Doors!$C:$C,$C16)*SUMIFS(Velocity!$I:$I,Velocity!$A:$A,$A16,Velocity!$B:$B,$C16)/Assumptions!$B$4*Assumptions!$B$6</f>
        <v>3.65</v>
      </c>
      <c r="V16" s="7" t="n">
        <f aca="false">SUMIFS(Doors!AH:AH,Doors!$A:$A,$D16,Doors!$B:$B,$B16,Doors!$C:$C,$C16)*SUMIFS(Velocity!$I:$I,Velocity!$A:$A,$A16,Velocity!$B:$B,$C16)/Assumptions!$B$4*Assumptions!$B$6</f>
        <v>3.65</v>
      </c>
      <c r="W16" s="7" t="n">
        <f aca="false">SUMIFS(Doors!AI:AI,Doors!$A:$A,$D16,Doors!$B:$B,$B16,Doors!$C:$C,$C16)*SUMIFS(Velocity!$I:$I,Velocity!$A:$A,$A16,Velocity!$B:$B,$C16)/Assumptions!$B$4*Assumptions!$B$6</f>
        <v>4.86666666666667</v>
      </c>
      <c r="X16" s="7" t="n">
        <f aca="false">SUMIFS(Doors!AJ:AJ,Doors!$A:$A,$D16,Doors!$B:$B,$B16,Doors!$C:$C,$C16)*SUMIFS(Velocity!$I:$I,Velocity!$A:$A,$A16,Velocity!$B:$B,$C16)/Assumptions!$B$4*Assumptions!$B$6</f>
        <v>4.86666666666667</v>
      </c>
      <c r="Y16" s="7" t="n">
        <f aca="false">SUMIFS(Doors!AK:AK,Doors!$A:$A,$D16,Doors!$B:$B,$B16,Doors!$C:$C,$C16)*SUMIFS(Velocity!$I:$I,Velocity!$A:$A,$A16,Velocity!$B:$B,$C16)/Assumptions!$B$4*Assumptions!$B$6</f>
        <v>4.86666666666667</v>
      </c>
      <c r="Z16" s="7" t="n">
        <f aca="false">SUMIFS(Doors!AL:AL,Doors!$A:$A,$D16,Doors!$B:$B,$B16,Doors!$C:$C,$C16)*SUMIFS(Velocity!$I:$I,Velocity!$A:$A,$A16,Velocity!$B:$B,$C16)/Assumptions!$B$4*Assumptions!$B$6</f>
        <v>4.86666666666667</v>
      </c>
      <c r="AA16" s="7" t="n">
        <f aca="false">SUMIFS(Doors!AM:AM,Doors!$A:$A,$D16,Doors!$B:$B,$B16,Doors!$C:$C,$C16)*SUMIFS(Velocity!$I:$I,Velocity!$A:$A,$A16,Velocity!$B:$B,$C16)/Assumptions!$B$4*Assumptions!$B$6</f>
        <v>6.08333333333333</v>
      </c>
      <c r="AB16" s="7" t="n">
        <f aca="false">SUMIFS(Doors!AN:AN,Doors!$A:$A,$D16,Doors!$B:$B,$B16,Doors!$C:$C,$C16)*SUMIFS(Velocity!$I:$I,Velocity!$A:$A,$A16,Velocity!$B:$B,$C16)/Assumptions!$B$4*Assumptions!$B$6</f>
        <v>6.08333333333333</v>
      </c>
      <c r="AC16" s="7" t="n">
        <f aca="false">SUMIFS(Doors!AO:AO,Doors!$A:$A,$D16,Doors!$B:$B,$B16,Doors!$C:$C,$C16)*SUMIFS(Velocity!$I:$I,Velocity!$A:$A,$A16,Velocity!$B:$B,$C16)/Assumptions!$B$4*Assumptions!$B$6</f>
        <v>6.08333333333333</v>
      </c>
      <c r="AD16" s="7" t="n">
        <f aca="false">SUMIFS(Doors!AP:AP,Doors!$A:$A,$D16,Doors!$B:$B,$B16,Doors!$C:$C,$C16)*SUMIFS(Velocity!$I:$I,Velocity!$A:$A,$A16,Velocity!$B:$B,$C16)/Assumptions!$B$4*Assumptions!$B$6</f>
        <v>6.08333333333333</v>
      </c>
      <c r="AE16" s="7" t="n">
        <f aca="false">SUMIFS(Doors!AQ:AQ,Doors!$A:$A,$D16,Doors!$B:$B,$B16,Doors!$C:$C,$C16)*SUMIFS(Velocity!$I:$I,Velocity!$A:$A,$A16,Velocity!$B:$B,$C16)/Assumptions!$B$4*Assumptions!$B$6</f>
        <v>7.3</v>
      </c>
      <c r="AF16" s="7" t="n">
        <f aca="false">SUMIFS(Doors!AR:AR,Doors!$A:$A,$D16,Doors!$B:$B,$B16,Doors!$C:$C,$C16)*SUMIFS(Velocity!$I:$I,Velocity!$A:$A,$A16,Velocity!$B:$B,$C16)/Assumptions!$B$4*Assumptions!$B$6</f>
        <v>7.3</v>
      </c>
      <c r="AG16" s="7" t="n">
        <f aca="false">SUMIFS(Doors!AS:AS,Doors!$A:$A,$D16,Doors!$B:$B,$B16,Doors!$C:$C,$C16)*SUMIFS(Velocity!$I:$I,Velocity!$A:$A,$A16,Velocity!$B:$B,$C16)/Assumptions!$B$4*Assumptions!$B$6</f>
        <v>7.3</v>
      </c>
      <c r="AH16" s="7" t="n">
        <f aca="false">SUMIFS(Doors!AT:AT,Doors!$A:$A,$D16,Doors!$B:$B,$B16,Doors!$C:$C,$C16)*SUMIFS(Velocity!$I:$I,Velocity!$A:$A,$A16,Velocity!$B:$B,$C16)/Assumptions!$B$4*Assumptions!$B$6</f>
        <v>7.3</v>
      </c>
      <c r="AI16" s="7" t="n">
        <f aca="false">SUMIFS(Doors!AU:AU,Doors!$A:$A,$D16,Doors!$B:$B,$B16,Doors!$C:$C,$C16)*SUMIFS(Velocity!$I:$I,Velocity!$A:$A,$A16,Velocity!$B:$B,$C16)/Assumptions!$B$4*Assumptions!$B$6</f>
        <v>7.3</v>
      </c>
      <c r="AJ16" s="7" t="n">
        <f aca="false">SUMIFS(Doors!AV:AV,Doors!$A:$A,$D16,Doors!$B:$B,$B16,Doors!$C:$C,$C16)*SUMIFS(Velocity!$I:$I,Velocity!$A:$A,$A16,Velocity!$B:$B,$C16)/Assumptions!$B$4*Assumptions!$B$6</f>
        <v>8.2125</v>
      </c>
      <c r="AK16" s="7" t="n">
        <f aca="false">SUMIFS(Doors!AW:AW,Doors!$A:$A,$D16,Doors!$B:$B,$B16,Doors!$C:$C,$C16)*SUMIFS(Velocity!$I:$I,Velocity!$A:$A,$A16,Velocity!$B:$B,$C16)/Assumptions!$B$4*Assumptions!$B$6</f>
        <v>8.2125</v>
      </c>
      <c r="AL16" s="7" t="n">
        <f aca="false">SUMIFS(Doors!AX:AX,Doors!$A:$A,$D16,Doors!$B:$B,$B16,Doors!$C:$C,$C16)*SUMIFS(Velocity!$I:$I,Velocity!$A:$A,$A16,Velocity!$B:$B,$C16)/Assumptions!$B$4*Assumptions!$B$6</f>
        <v>8.2125</v>
      </c>
      <c r="AM16" s="7" t="n">
        <f aca="false">SUMIFS(Doors!AY:AY,Doors!$A:$A,$D16,Doors!$B:$B,$B16,Doors!$C:$C,$C16)*SUMIFS(Velocity!$I:$I,Velocity!$A:$A,$A16,Velocity!$B:$B,$C16)/Assumptions!$B$4*Assumptions!$B$6</f>
        <v>8.2125</v>
      </c>
      <c r="AN16" s="7" t="n">
        <f aca="false">SUMIFS(Doors!AZ:AZ,Doors!$A:$A,$D16,Doors!$B:$B,$B16,Doors!$C:$C,$C16)*SUMIFS(Velocity!$I:$I,Velocity!$A:$A,$A16,Velocity!$B:$B,$C16)/Assumptions!$B$4*Assumptions!$B$6</f>
        <v>9.125</v>
      </c>
      <c r="AO16" s="7" t="n">
        <f aca="false">SUMIFS(Doors!BA:BA,Doors!$A:$A,$D16,Doors!$B:$B,$B16,Doors!$C:$C,$C16)*SUMIFS(Velocity!$I:$I,Velocity!$A:$A,$A16,Velocity!$B:$B,$C16)/Assumptions!$B$4*Assumptions!$B$6</f>
        <v>9.125</v>
      </c>
      <c r="AP16" s="7" t="n">
        <f aca="false">SUMIFS(Doors!BB:BB,Doors!$A:$A,$D16,Doors!$B:$B,$B16,Doors!$C:$C,$C16)*SUMIFS(Velocity!$I:$I,Velocity!$A:$A,$A16,Velocity!$B:$B,$C16)/Assumptions!$B$4*Assumptions!$B$6</f>
        <v>9.125</v>
      </c>
      <c r="AQ16" s="7" t="n">
        <f aca="false">SUMIFS(Doors!BC:BC,Doors!$A:$A,$D16,Doors!$B:$B,$B16,Doors!$C:$C,$C16)*SUMIFS(Velocity!$I:$I,Velocity!$A:$A,$A16,Velocity!$B:$B,$C16)/Assumptions!$B$4*Assumptions!$B$6</f>
        <v>9.125</v>
      </c>
      <c r="AR16" s="7" t="n">
        <f aca="false">SUMIFS(Doors!BD:BD,Doors!$A:$A,$D16,Doors!$B:$B,$B16,Doors!$C:$C,$C16)*SUMIFS(Velocity!$I:$I,Velocity!$A:$A,$A16,Velocity!$B:$B,$C16)/Assumptions!$B$4*Assumptions!$B$6</f>
        <v>9.73333333333333</v>
      </c>
      <c r="AS16" s="7" t="n">
        <f aca="false">SUMIFS(Doors!BE:BE,Doors!$A:$A,$D16,Doors!$B:$B,$B16,Doors!$C:$C,$C16)*SUMIFS(Velocity!$I:$I,Velocity!$A:$A,$A16,Velocity!$B:$B,$C16)/Assumptions!$B$4*Assumptions!$B$6</f>
        <v>9.73333333333333</v>
      </c>
      <c r="AT16" s="7" t="n">
        <f aca="false">SUMIFS(Doors!BF:BF,Doors!$A:$A,$D16,Doors!$B:$B,$B16,Doors!$C:$C,$C16)*SUMIFS(Velocity!$I:$I,Velocity!$A:$A,$A16,Velocity!$B:$B,$C16)/Assumptions!$B$4*Assumptions!$B$6</f>
        <v>9.73333333333333</v>
      </c>
      <c r="AU16" s="7" t="n">
        <f aca="false">SUMIFS(Doors!BG:BG,Doors!$A:$A,$D16,Doors!$B:$B,$B16,Doors!$C:$C,$C16)*SUMIFS(Velocity!$I:$I,Velocity!$A:$A,$A16,Velocity!$B:$B,$C16)/Assumptions!$B$4*Assumptions!$B$6</f>
        <v>9.73333333333333</v>
      </c>
      <c r="AV16" s="7" t="n">
        <f aca="false">SUMIFS(Doors!BH:BH,Doors!$A:$A,$D16,Doors!$B:$B,$B16,Doors!$C:$C,$C16)*SUMIFS(Velocity!$I:$I,Velocity!$A:$A,$A16,Velocity!$B:$B,$C16)/Assumptions!$B$4*Assumptions!$B$6</f>
        <v>9.73333333333333</v>
      </c>
      <c r="AW16" s="7" t="n">
        <f aca="false">SUMIFS(Doors!BI:BI,Doors!$A:$A,$D16,Doors!$B:$B,$B16,Doors!$C:$C,$C16)*SUMIFS(Velocity!$I:$I,Velocity!$A:$A,$A16,Velocity!$B:$B,$C16)/Assumptions!$B$4*Assumptions!$B$6</f>
        <v>10.0375</v>
      </c>
      <c r="AX16" s="7" t="n">
        <f aca="false">SUMIFS(Doors!BJ:BJ,Doors!$A:$A,$D16,Doors!$B:$B,$B16,Doors!$C:$C,$C16)*SUMIFS(Velocity!$I:$I,Velocity!$A:$A,$A16,Velocity!$B:$B,$C16)/Assumptions!$B$4*Assumptions!$B$6</f>
        <v>10.0375</v>
      </c>
      <c r="AY16" s="7" t="n">
        <f aca="false">SUMIFS(Doors!BK:BK,Doors!$A:$A,$D16,Doors!$B:$B,$B16,Doors!$C:$C,$C16)*SUMIFS(Velocity!$I:$I,Velocity!$A:$A,$A16,Velocity!$B:$B,$C16)/Assumptions!$B$4*Assumptions!$B$6</f>
        <v>10.0375</v>
      </c>
      <c r="AZ16" s="7" t="n">
        <f aca="false">SUMIFS(Doors!BL:BL,Doors!$A:$A,$D16,Doors!$B:$B,$B16,Doors!$C:$C,$C16)*SUMIFS(Velocity!$I:$I,Velocity!$A:$A,$A16,Velocity!$B:$B,$C16)/Assumptions!$B$4*Assumptions!$B$6</f>
        <v>10.0375</v>
      </c>
      <c r="BA16" s="7" t="n">
        <f aca="false">SUMIFS(Doors!BM:BM,Doors!$A:$A,$D16,Doors!$B:$B,$B16,Doors!$C:$C,$C16)*SUMIFS(Velocity!$I:$I,Velocity!$A:$A,$A16,Velocity!$B:$B,$C16)/Assumptions!$B$4*Assumptions!$B$6</f>
        <v>10.6458333333333</v>
      </c>
      <c r="BB16" s="7" t="n">
        <f aca="false">SUMIFS(Doors!BN:BN,Doors!$A:$A,$D16,Doors!$B:$B,$B16,Doors!$C:$C,$C16)*SUMIFS(Velocity!$I:$I,Velocity!$A:$A,$A16,Velocity!$B:$B,$C16)/Assumptions!$B$4*Assumptions!$B$6</f>
        <v>10.6458333333333</v>
      </c>
      <c r="BC16" s="7" t="n">
        <f aca="false">SUMIFS(Doors!BO:BO,Doors!$A:$A,$D16,Doors!$B:$B,$B16,Doors!$C:$C,$C16)*SUMIFS(Velocity!$I:$I,Velocity!$A:$A,$A16,Velocity!$B:$B,$C16)/Assumptions!$B$4*Assumptions!$B$6</f>
        <v>10.6458333333333</v>
      </c>
      <c r="BD16" s="7" t="n">
        <f aca="false">SUMIFS(Doors!BP:BP,Doors!$A:$A,$D16,Doors!$B:$B,$B16,Doors!$C:$C,$C16)*SUMIFS(Velocity!$I:$I,Velocity!$A:$A,$A16,Velocity!$B:$B,$C16)/Assumptions!$B$4*Assumptions!$B$6</f>
        <v>10.6458333333333</v>
      </c>
    </row>
    <row r="17" customFormat="false" ht="15" hidden="false" customHeight="false" outlineLevel="0" collapsed="false">
      <c r="A17" s="0" t="s">
        <v>108</v>
      </c>
      <c r="B17" s="0" t="s">
        <v>127</v>
      </c>
      <c r="C17" s="0" t="s">
        <v>117</v>
      </c>
      <c r="D17" s="0" t="s">
        <v>235</v>
      </c>
      <c r="E17" s="7" t="n">
        <f aca="false">SUMIFS(Doors!Q:Q,Doors!$A:$A,$D17,Doors!$B:$B,$B17,Doors!$C:$C,$C17)*SUMIFS(Velocity!$I:$I,Velocity!$A:$A,$A17,Velocity!$B:$B,$C17)/Assumptions!$B$4*Assumptions!$B$6</f>
        <v>0</v>
      </c>
      <c r="F17" s="7" t="n">
        <f aca="false">SUMIFS(Doors!R:R,Doors!$A:$A,$D17,Doors!$B:$B,$B17,Doors!$C:$C,$C17)*SUMIFS(Velocity!$I:$I,Velocity!$A:$A,$A17,Velocity!$B:$B,$C17)/Assumptions!$B$4*Assumptions!$B$6</f>
        <v>0</v>
      </c>
      <c r="G17" s="7" t="n">
        <f aca="false">SUMIFS(Doors!S:S,Doors!$A:$A,$D17,Doors!$B:$B,$B17,Doors!$C:$C,$C17)*SUMIFS(Velocity!$I:$I,Velocity!$A:$A,$A17,Velocity!$B:$B,$C17)/Assumptions!$B$4*Assumptions!$B$6</f>
        <v>0</v>
      </c>
      <c r="H17" s="7" t="n">
        <f aca="false">SUMIFS(Doors!T:T,Doors!$A:$A,$D17,Doors!$B:$B,$B17,Doors!$C:$C,$C17)*SUMIFS(Velocity!$I:$I,Velocity!$A:$A,$A17,Velocity!$B:$B,$C17)/Assumptions!$B$4*Assumptions!$B$6</f>
        <v>0</v>
      </c>
      <c r="I17" s="7" t="n">
        <f aca="false">SUMIFS(Doors!U:U,Doors!$A:$A,$D17,Doors!$B:$B,$B17,Doors!$C:$C,$C17)*SUMIFS(Velocity!$I:$I,Velocity!$A:$A,$A17,Velocity!$B:$B,$C17)/Assumptions!$B$4*Assumptions!$B$6</f>
        <v>0</v>
      </c>
      <c r="J17" s="7" t="n">
        <f aca="false">SUMIFS(Doors!V:V,Doors!$A:$A,$D17,Doors!$B:$B,$B17,Doors!$C:$C,$C17)*SUMIFS(Velocity!$I:$I,Velocity!$A:$A,$A17,Velocity!$B:$B,$C17)/Assumptions!$B$4*Assumptions!$B$6</f>
        <v>0</v>
      </c>
      <c r="K17" s="7" t="n">
        <f aca="false">SUMIFS(Doors!W:W,Doors!$A:$A,$D17,Doors!$B:$B,$B17,Doors!$C:$C,$C17)*SUMIFS(Velocity!$I:$I,Velocity!$A:$A,$A17,Velocity!$B:$B,$C17)/Assumptions!$B$4*Assumptions!$B$6</f>
        <v>0</v>
      </c>
      <c r="L17" s="7" t="n">
        <f aca="false">SUMIFS(Doors!X:X,Doors!$A:$A,$D17,Doors!$B:$B,$B17,Doors!$C:$C,$C17)*SUMIFS(Velocity!$I:$I,Velocity!$A:$A,$A17,Velocity!$B:$B,$C17)/Assumptions!$B$4*Assumptions!$B$6</f>
        <v>0</v>
      </c>
      <c r="M17" s="7" t="n">
        <f aca="false">SUMIFS(Doors!Y:Y,Doors!$A:$A,$D17,Doors!$B:$B,$B17,Doors!$C:$C,$C17)*SUMIFS(Velocity!$I:$I,Velocity!$A:$A,$A17,Velocity!$B:$B,$C17)/Assumptions!$B$4*Assumptions!$B$6</f>
        <v>0</v>
      </c>
      <c r="N17" s="7" t="n">
        <f aca="false">SUMIFS(Doors!Z:Z,Doors!$A:$A,$D17,Doors!$B:$B,$B17,Doors!$C:$C,$C17)*SUMIFS(Velocity!$I:$I,Velocity!$A:$A,$A17,Velocity!$B:$B,$C17)/Assumptions!$B$4*Assumptions!$B$6</f>
        <v>0</v>
      </c>
      <c r="O17" s="7" t="n">
        <f aca="false">SUMIFS(Doors!AA:AA,Doors!$A:$A,$D17,Doors!$B:$B,$B17,Doors!$C:$C,$C17)*SUMIFS(Velocity!$I:$I,Velocity!$A:$A,$A17,Velocity!$B:$B,$C17)/Assumptions!$B$4*Assumptions!$B$6</f>
        <v>0</v>
      </c>
      <c r="P17" s="7" t="n">
        <f aca="false">SUMIFS(Doors!AB:AB,Doors!$A:$A,$D17,Doors!$B:$B,$B17,Doors!$C:$C,$C17)*SUMIFS(Velocity!$I:$I,Velocity!$A:$A,$A17,Velocity!$B:$B,$C17)/Assumptions!$B$4*Assumptions!$B$6</f>
        <v>0</v>
      </c>
      <c r="Q17" s="7" t="n">
        <f aca="false">SUMIFS(Doors!AC:AC,Doors!$A:$A,$D17,Doors!$B:$B,$B17,Doors!$C:$C,$C17)*SUMIFS(Velocity!$I:$I,Velocity!$A:$A,$A17,Velocity!$B:$B,$C17)/Assumptions!$B$4*Assumptions!$B$6</f>
        <v>0</v>
      </c>
      <c r="R17" s="7" t="n">
        <f aca="false">SUMIFS(Doors!AD:AD,Doors!$A:$A,$D17,Doors!$B:$B,$B17,Doors!$C:$C,$C17)*SUMIFS(Velocity!$I:$I,Velocity!$A:$A,$A17,Velocity!$B:$B,$C17)/Assumptions!$B$4*Assumptions!$B$6</f>
        <v>3.14583333333333</v>
      </c>
      <c r="S17" s="7" t="n">
        <f aca="false">SUMIFS(Doors!AE:AE,Doors!$A:$A,$D17,Doors!$B:$B,$B17,Doors!$C:$C,$C17)*SUMIFS(Velocity!$I:$I,Velocity!$A:$A,$A17,Velocity!$B:$B,$C17)/Assumptions!$B$4*Assumptions!$B$6</f>
        <v>3.14583333333333</v>
      </c>
      <c r="T17" s="7" t="n">
        <f aca="false">SUMIFS(Doors!AF:AF,Doors!$A:$A,$D17,Doors!$B:$B,$B17,Doors!$C:$C,$C17)*SUMIFS(Velocity!$I:$I,Velocity!$A:$A,$A17,Velocity!$B:$B,$C17)/Assumptions!$B$4*Assumptions!$B$6</f>
        <v>3.14583333333333</v>
      </c>
      <c r="U17" s="7" t="n">
        <f aca="false">SUMIFS(Doors!AG:AG,Doors!$A:$A,$D17,Doors!$B:$B,$B17,Doors!$C:$C,$C17)*SUMIFS(Velocity!$I:$I,Velocity!$A:$A,$A17,Velocity!$B:$B,$C17)/Assumptions!$B$4*Assumptions!$B$6</f>
        <v>3.14583333333333</v>
      </c>
      <c r="V17" s="7" t="n">
        <f aca="false">SUMIFS(Doors!AH:AH,Doors!$A:$A,$D17,Doors!$B:$B,$B17,Doors!$C:$C,$C17)*SUMIFS(Velocity!$I:$I,Velocity!$A:$A,$A17,Velocity!$B:$B,$C17)/Assumptions!$B$4*Assumptions!$B$6</f>
        <v>3.14583333333333</v>
      </c>
      <c r="W17" s="7" t="n">
        <f aca="false">SUMIFS(Doors!AI:AI,Doors!$A:$A,$D17,Doors!$B:$B,$B17,Doors!$C:$C,$C17)*SUMIFS(Velocity!$I:$I,Velocity!$A:$A,$A17,Velocity!$B:$B,$C17)/Assumptions!$B$4*Assumptions!$B$6</f>
        <v>6.29166666666667</v>
      </c>
      <c r="X17" s="7" t="n">
        <f aca="false">SUMIFS(Doors!AJ:AJ,Doors!$A:$A,$D17,Doors!$B:$B,$B17,Doors!$C:$C,$C17)*SUMIFS(Velocity!$I:$I,Velocity!$A:$A,$A17,Velocity!$B:$B,$C17)/Assumptions!$B$4*Assumptions!$B$6</f>
        <v>6.29166666666667</v>
      </c>
      <c r="Y17" s="7" t="n">
        <f aca="false">SUMIFS(Doors!AK:AK,Doors!$A:$A,$D17,Doors!$B:$B,$B17,Doors!$C:$C,$C17)*SUMIFS(Velocity!$I:$I,Velocity!$A:$A,$A17,Velocity!$B:$B,$C17)/Assumptions!$B$4*Assumptions!$B$6</f>
        <v>6.29166666666667</v>
      </c>
      <c r="Z17" s="7" t="n">
        <f aca="false">SUMIFS(Doors!AL:AL,Doors!$A:$A,$D17,Doors!$B:$B,$B17,Doors!$C:$C,$C17)*SUMIFS(Velocity!$I:$I,Velocity!$A:$A,$A17,Velocity!$B:$B,$C17)/Assumptions!$B$4*Assumptions!$B$6</f>
        <v>6.29166666666667</v>
      </c>
      <c r="AA17" s="7" t="n">
        <f aca="false">SUMIFS(Doors!AM:AM,Doors!$A:$A,$D17,Doors!$B:$B,$B17,Doors!$C:$C,$C17)*SUMIFS(Velocity!$I:$I,Velocity!$A:$A,$A17,Velocity!$B:$B,$C17)/Assumptions!$B$4*Assumptions!$B$6</f>
        <v>9.4375</v>
      </c>
      <c r="AB17" s="7" t="n">
        <f aca="false">SUMIFS(Doors!AN:AN,Doors!$A:$A,$D17,Doors!$B:$B,$B17,Doors!$C:$C,$C17)*SUMIFS(Velocity!$I:$I,Velocity!$A:$A,$A17,Velocity!$B:$B,$C17)/Assumptions!$B$4*Assumptions!$B$6</f>
        <v>9.4375</v>
      </c>
      <c r="AC17" s="7" t="n">
        <f aca="false">SUMIFS(Doors!AO:AO,Doors!$A:$A,$D17,Doors!$B:$B,$B17,Doors!$C:$C,$C17)*SUMIFS(Velocity!$I:$I,Velocity!$A:$A,$A17,Velocity!$B:$B,$C17)/Assumptions!$B$4*Assumptions!$B$6</f>
        <v>9.4375</v>
      </c>
      <c r="AD17" s="7" t="n">
        <f aca="false">SUMIFS(Doors!AP:AP,Doors!$A:$A,$D17,Doors!$B:$B,$B17,Doors!$C:$C,$C17)*SUMIFS(Velocity!$I:$I,Velocity!$A:$A,$A17,Velocity!$B:$B,$C17)/Assumptions!$B$4*Assumptions!$B$6</f>
        <v>9.4375</v>
      </c>
      <c r="AE17" s="7" t="n">
        <f aca="false">SUMIFS(Doors!AQ:AQ,Doors!$A:$A,$D17,Doors!$B:$B,$B17,Doors!$C:$C,$C17)*SUMIFS(Velocity!$I:$I,Velocity!$A:$A,$A17,Velocity!$B:$B,$C17)/Assumptions!$B$4*Assumptions!$B$6</f>
        <v>11.325</v>
      </c>
      <c r="AF17" s="7" t="n">
        <f aca="false">SUMIFS(Doors!AR:AR,Doors!$A:$A,$D17,Doors!$B:$B,$B17,Doors!$C:$C,$C17)*SUMIFS(Velocity!$I:$I,Velocity!$A:$A,$A17,Velocity!$B:$B,$C17)/Assumptions!$B$4*Assumptions!$B$6</f>
        <v>11.325</v>
      </c>
      <c r="AG17" s="7" t="n">
        <f aca="false">SUMIFS(Doors!AS:AS,Doors!$A:$A,$D17,Doors!$B:$B,$B17,Doors!$C:$C,$C17)*SUMIFS(Velocity!$I:$I,Velocity!$A:$A,$A17,Velocity!$B:$B,$C17)/Assumptions!$B$4*Assumptions!$B$6</f>
        <v>11.325</v>
      </c>
      <c r="AH17" s="7" t="n">
        <f aca="false">SUMIFS(Doors!AT:AT,Doors!$A:$A,$D17,Doors!$B:$B,$B17,Doors!$C:$C,$C17)*SUMIFS(Velocity!$I:$I,Velocity!$A:$A,$A17,Velocity!$B:$B,$C17)/Assumptions!$B$4*Assumptions!$B$6</f>
        <v>11.325</v>
      </c>
      <c r="AI17" s="7" t="n">
        <f aca="false">SUMIFS(Doors!AU:AU,Doors!$A:$A,$D17,Doors!$B:$B,$B17,Doors!$C:$C,$C17)*SUMIFS(Velocity!$I:$I,Velocity!$A:$A,$A17,Velocity!$B:$B,$C17)/Assumptions!$B$4*Assumptions!$B$6</f>
        <v>11.325</v>
      </c>
      <c r="AJ17" s="7" t="n">
        <f aca="false">SUMIFS(Doors!AV:AV,Doors!$A:$A,$D17,Doors!$B:$B,$B17,Doors!$C:$C,$C17)*SUMIFS(Velocity!$I:$I,Velocity!$A:$A,$A17,Velocity!$B:$B,$C17)/Assumptions!$B$4*Assumptions!$B$6</f>
        <v>13.8416666666667</v>
      </c>
      <c r="AK17" s="7" t="n">
        <f aca="false">SUMIFS(Doors!AW:AW,Doors!$A:$A,$D17,Doors!$B:$B,$B17,Doors!$C:$C,$C17)*SUMIFS(Velocity!$I:$I,Velocity!$A:$A,$A17,Velocity!$B:$B,$C17)/Assumptions!$B$4*Assumptions!$B$6</f>
        <v>13.8416666666667</v>
      </c>
      <c r="AL17" s="7" t="n">
        <f aca="false">SUMIFS(Doors!AX:AX,Doors!$A:$A,$D17,Doors!$B:$B,$B17,Doors!$C:$C,$C17)*SUMIFS(Velocity!$I:$I,Velocity!$A:$A,$A17,Velocity!$B:$B,$C17)/Assumptions!$B$4*Assumptions!$B$6</f>
        <v>13.8416666666667</v>
      </c>
      <c r="AM17" s="7" t="n">
        <f aca="false">SUMIFS(Doors!AY:AY,Doors!$A:$A,$D17,Doors!$B:$B,$B17,Doors!$C:$C,$C17)*SUMIFS(Velocity!$I:$I,Velocity!$A:$A,$A17,Velocity!$B:$B,$C17)/Assumptions!$B$4*Assumptions!$B$6</f>
        <v>13.8416666666667</v>
      </c>
      <c r="AN17" s="7" t="n">
        <f aca="false">SUMIFS(Doors!AZ:AZ,Doors!$A:$A,$D17,Doors!$B:$B,$B17,Doors!$C:$C,$C17)*SUMIFS(Velocity!$I:$I,Velocity!$A:$A,$A17,Velocity!$B:$B,$C17)/Assumptions!$B$4*Assumptions!$B$6</f>
        <v>15.7291666666667</v>
      </c>
      <c r="AO17" s="7" t="n">
        <f aca="false">SUMIFS(Doors!BA:BA,Doors!$A:$A,$D17,Doors!$B:$B,$B17,Doors!$C:$C,$C17)*SUMIFS(Velocity!$I:$I,Velocity!$A:$A,$A17,Velocity!$B:$B,$C17)/Assumptions!$B$4*Assumptions!$B$6</f>
        <v>15.7291666666667</v>
      </c>
      <c r="AP17" s="7" t="n">
        <f aca="false">SUMIFS(Doors!BB:BB,Doors!$A:$A,$D17,Doors!$B:$B,$B17,Doors!$C:$C,$C17)*SUMIFS(Velocity!$I:$I,Velocity!$A:$A,$A17,Velocity!$B:$B,$C17)/Assumptions!$B$4*Assumptions!$B$6</f>
        <v>15.7291666666667</v>
      </c>
      <c r="AQ17" s="7" t="n">
        <f aca="false">SUMIFS(Doors!BC:BC,Doors!$A:$A,$D17,Doors!$B:$B,$B17,Doors!$C:$C,$C17)*SUMIFS(Velocity!$I:$I,Velocity!$A:$A,$A17,Velocity!$B:$B,$C17)/Assumptions!$B$4*Assumptions!$B$6</f>
        <v>15.7291666666667</v>
      </c>
      <c r="AR17" s="7" t="n">
        <f aca="false">SUMIFS(Doors!BD:BD,Doors!$A:$A,$D17,Doors!$B:$B,$B17,Doors!$C:$C,$C17)*SUMIFS(Velocity!$I:$I,Velocity!$A:$A,$A17,Velocity!$B:$B,$C17)/Assumptions!$B$4*Assumptions!$B$6</f>
        <v>16.9875</v>
      </c>
      <c r="AS17" s="7" t="n">
        <f aca="false">SUMIFS(Doors!BE:BE,Doors!$A:$A,$D17,Doors!$B:$B,$B17,Doors!$C:$C,$C17)*SUMIFS(Velocity!$I:$I,Velocity!$A:$A,$A17,Velocity!$B:$B,$C17)/Assumptions!$B$4*Assumptions!$B$6</f>
        <v>16.9875</v>
      </c>
      <c r="AT17" s="7" t="n">
        <f aca="false">SUMIFS(Doors!BF:BF,Doors!$A:$A,$D17,Doors!$B:$B,$B17,Doors!$C:$C,$C17)*SUMIFS(Velocity!$I:$I,Velocity!$A:$A,$A17,Velocity!$B:$B,$C17)/Assumptions!$B$4*Assumptions!$B$6</f>
        <v>16.9875</v>
      </c>
      <c r="AU17" s="7" t="n">
        <f aca="false">SUMIFS(Doors!BG:BG,Doors!$A:$A,$D17,Doors!$B:$B,$B17,Doors!$C:$C,$C17)*SUMIFS(Velocity!$I:$I,Velocity!$A:$A,$A17,Velocity!$B:$B,$C17)/Assumptions!$B$4*Assumptions!$B$6</f>
        <v>16.9875</v>
      </c>
      <c r="AV17" s="7" t="n">
        <f aca="false">SUMIFS(Doors!BH:BH,Doors!$A:$A,$D17,Doors!$B:$B,$B17,Doors!$C:$C,$C17)*SUMIFS(Velocity!$I:$I,Velocity!$A:$A,$A17,Velocity!$B:$B,$C17)/Assumptions!$B$4*Assumptions!$B$6</f>
        <v>16.9875</v>
      </c>
      <c r="AW17" s="7" t="n">
        <f aca="false">SUMIFS(Doors!BI:BI,Doors!$A:$A,$D17,Doors!$B:$B,$B17,Doors!$C:$C,$C17)*SUMIFS(Velocity!$I:$I,Velocity!$A:$A,$A17,Velocity!$B:$B,$C17)/Assumptions!$B$4*Assumptions!$B$6</f>
        <v>17.6166666666667</v>
      </c>
      <c r="AX17" s="7" t="n">
        <f aca="false">SUMIFS(Doors!BJ:BJ,Doors!$A:$A,$D17,Doors!$B:$B,$B17,Doors!$C:$C,$C17)*SUMIFS(Velocity!$I:$I,Velocity!$A:$A,$A17,Velocity!$B:$B,$C17)/Assumptions!$B$4*Assumptions!$B$6</f>
        <v>17.6166666666667</v>
      </c>
      <c r="AY17" s="7" t="n">
        <f aca="false">SUMIFS(Doors!BK:BK,Doors!$A:$A,$D17,Doors!$B:$B,$B17,Doors!$C:$C,$C17)*SUMIFS(Velocity!$I:$I,Velocity!$A:$A,$A17,Velocity!$B:$B,$C17)/Assumptions!$B$4*Assumptions!$B$6</f>
        <v>17.6166666666667</v>
      </c>
      <c r="AZ17" s="7" t="n">
        <f aca="false">SUMIFS(Doors!BL:BL,Doors!$A:$A,$D17,Doors!$B:$B,$B17,Doors!$C:$C,$C17)*SUMIFS(Velocity!$I:$I,Velocity!$A:$A,$A17,Velocity!$B:$B,$C17)/Assumptions!$B$4*Assumptions!$B$6</f>
        <v>17.6166666666667</v>
      </c>
      <c r="BA17" s="7" t="n">
        <f aca="false">SUMIFS(Doors!BM:BM,Doors!$A:$A,$D17,Doors!$B:$B,$B17,Doors!$C:$C,$C17)*SUMIFS(Velocity!$I:$I,Velocity!$A:$A,$A17,Velocity!$B:$B,$C17)/Assumptions!$B$4*Assumptions!$B$6</f>
        <v>18.875</v>
      </c>
      <c r="BB17" s="7" t="n">
        <f aca="false">SUMIFS(Doors!BN:BN,Doors!$A:$A,$D17,Doors!$B:$B,$B17,Doors!$C:$C,$C17)*SUMIFS(Velocity!$I:$I,Velocity!$A:$A,$A17,Velocity!$B:$B,$C17)/Assumptions!$B$4*Assumptions!$B$6</f>
        <v>18.875</v>
      </c>
      <c r="BC17" s="7" t="n">
        <f aca="false">SUMIFS(Doors!BO:BO,Doors!$A:$A,$D17,Doors!$B:$B,$B17,Doors!$C:$C,$C17)*SUMIFS(Velocity!$I:$I,Velocity!$A:$A,$A17,Velocity!$B:$B,$C17)/Assumptions!$B$4*Assumptions!$B$6</f>
        <v>18.875</v>
      </c>
      <c r="BD17" s="7" t="n">
        <f aca="false">SUMIFS(Doors!BP:BP,Doors!$A:$A,$D17,Doors!$B:$B,$B17,Doors!$C:$C,$C17)*SUMIFS(Velocity!$I:$I,Velocity!$A:$A,$A17,Velocity!$B:$B,$C17)/Assumptions!$B$4*Assumptions!$B$6</f>
        <v>18.875</v>
      </c>
    </row>
    <row r="18" customFormat="false" ht="15" hidden="false" customHeight="false" outlineLevel="0" collapsed="false">
      <c r="A18" s="0" t="s">
        <v>108</v>
      </c>
      <c r="B18" s="0" t="s">
        <v>127</v>
      </c>
      <c r="C18" s="0" t="s">
        <v>118</v>
      </c>
      <c r="D18" s="0" t="s">
        <v>235</v>
      </c>
      <c r="E18" s="7" t="n">
        <f aca="false">SUMIFS(Doors!Q:Q,Doors!$A:$A,$D18,Doors!$B:$B,$B18,Doors!$C:$C,$C18)*SUMIFS(Velocity!$I:$I,Velocity!$A:$A,$A18,Velocity!$B:$B,$C18)/Assumptions!$B$4*Assumptions!$B$6</f>
        <v>0</v>
      </c>
      <c r="F18" s="7" t="n">
        <f aca="false">SUMIFS(Doors!R:R,Doors!$A:$A,$D18,Doors!$B:$B,$B18,Doors!$C:$C,$C18)*SUMIFS(Velocity!$I:$I,Velocity!$A:$A,$A18,Velocity!$B:$B,$C18)/Assumptions!$B$4*Assumptions!$B$6</f>
        <v>0</v>
      </c>
      <c r="G18" s="7" t="n">
        <f aca="false">SUMIFS(Doors!S:S,Doors!$A:$A,$D18,Doors!$B:$B,$B18,Doors!$C:$C,$C18)*SUMIFS(Velocity!$I:$I,Velocity!$A:$A,$A18,Velocity!$B:$B,$C18)/Assumptions!$B$4*Assumptions!$B$6</f>
        <v>0</v>
      </c>
      <c r="H18" s="7" t="n">
        <f aca="false">SUMIFS(Doors!T:T,Doors!$A:$A,$D18,Doors!$B:$B,$B18,Doors!$C:$C,$C18)*SUMIFS(Velocity!$I:$I,Velocity!$A:$A,$A18,Velocity!$B:$B,$C18)/Assumptions!$B$4*Assumptions!$B$6</f>
        <v>0</v>
      </c>
      <c r="I18" s="7" t="n">
        <f aca="false">SUMIFS(Doors!U:U,Doors!$A:$A,$D18,Doors!$B:$B,$B18,Doors!$C:$C,$C18)*SUMIFS(Velocity!$I:$I,Velocity!$A:$A,$A18,Velocity!$B:$B,$C18)/Assumptions!$B$4*Assumptions!$B$6</f>
        <v>0</v>
      </c>
      <c r="J18" s="7" t="n">
        <f aca="false">SUMIFS(Doors!V:V,Doors!$A:$A,$D18,Doors!$B:$B,$B18,Doors!$C:$C,$C18)*SUMIFS(Velocity!$I:$I,Velocity!$A:$A,$A18,Velocity!$B:$B,$C18)/Assumptions!$B$4*Assumptions!$B$6</f>
        <v>0</v>
      </c>
      <c r="K18" s="7" t="n">
        <f aca="false">SUMIFS(Doors!W:W,Doors!$A:$A,$D18,Doors!$B:$B,$B18,Doors!$C:$C,$C18)*SUMIFS(Velocity!$I:$I,Velocity!$A:$A,$A18,Velocity!$B:$B,$C18)/Assumptions!$B$4*Assumptions!$B$6</f>
        <v>0</v>
      </c>
      <c r="L18" s="7" t="n">
        <f aca="false">SUMIFS(Doors!X:X,Doors!$A:$A,$D18,Doors!$B:$B,$B18,Doors!$C:$C,$C18)*SUMIFS(Velocity!$I:$I,Velocity!$A:$A,$A18,Velocity!$B:$B,$C18)/Assumptions!$B$4*Assumptions!$B$6</f>
        <v>0</v>
      </c>
      <c r="M18" s="7" t="n">
        <f aca="false">SUMIFS(Doors!Y:Y,Doors!$A:$A,$D18,Doors!$B:$B,$B18,Doors!$C:$C,$C18)*SUMIFS(Velocity!$I:$I,Velocity!$A:$A,$A18,Velocity!$B:$B,$C18)/Assumptions!$B$4*Assumptions!$B$6</f>
        <v>0</v>
      </c>
      <c r="N18" s="7" t="n">
        <f aca="false">SUMIFS(Doors!Z:Z,Doors!$A:$A,$D18,Doors!$B:$B,$B18,Doors!$C:$C,$C18)*SUMIFS(Velocity!$I:$I,Velocity!$A:$A,$A18,Velocity!$B:$B,$C18)/Assumptions!$B$4*Assumptions!$B$6</f>
        <v>0</v>
      </c>
      <c r="O18" s="7" t="n">
        <f aca="false">SUMIFS(Doors!AA:AA,Doors!$A:$A,$D18,Doors!$B:$B,$B18,Doors!$C:$C,$C18)*SUMIFS(Velocity!$I:$I,Velocity!$A:$A,$A18,Velocity!$B:$B,$C18)/Assumptions!$B$4*Assumptions!$B$6</f>
        <v>0</v>
      </c>
      <c r="P18" s="7" t="n">
        <f aca="false">SUMIFS(Doors!AB:AB,Doors!$A:$A,$D18,Doors!$B:$B,$B18,Doors!$C:$C,$C18)*SUMIFS(Velocity!$I:$I,Velocity!$A:$A,$A18,Velocity!$B:$B,$C18)/Assumptions!$B$4*Assumptions!$B$6</f>
        <v>0</v>
      </c>
      <c r="Q18" s="7" t="n">
        <f aca="false">SUMIFS(Doors!AC:AC,Doors!$A:$A,$D18,Doors!$B:$B,$B18,Doors!$C:$C,$C18)*SUMIFS(Velocity!$I:$I,Velocity!$A:$A,$A18,Velocity!$B:$B,$C18)/Assumptions!$B$4*Assumptions!$B$6</f>
        <v>0</v>
      </c>
      <c r="R18" s="7" t="n">
        <f aca="false">SUMIFS(Doors!AD:AD,Doors!$A:$A,$D18,Doors!$B:$B,$B18,Doors!$C:$C,$C18)*SUMIFS(Velocity!$I:$I,Velocity!$A:$A,$A18,Velocity!$B:$B,$C18)/Assumptions!$B$4*Assumptions!$B$6</f>
        <v>0</v>
      </c>
      <c r="S18" s="7" t="n">
        <f aca="false">SUMIFS(Doors!AE:AE,Doors!$A:$A,$D18,Doors!$B:$B,$B18,Doors!$C:$C,$C18)*SUMIFS(Velocity!$I:$I,Velocity!$A:$A,$A18,Velocity!$B:$B,$C18)/Assumptions!$B$4*Assumptions!$B$6</f>
        <v>0</v>
      </c>
      <c r="T18" s="7" t="n">
        <f aca="false">SUMIFS(Doors!AF:AF,Doors!$A:$A,$D18,Doors!$B:$B,$B18,Doors!$C:$C,$C18)*SUMIFS(Velocity!$I:$I,Velocity!$A:$A,$A18,Velocity!$B:$B,$C18)/Assumptions!$B$4*Assumptions!$B$6</f>
        <v>0</v>
      </c>
      <c r="U18" s="7" t="n">
        <f aca="false">SUMIFS(Doors!AG:AG,Doors!$A:$A,$D18,Doors!$B:$B,$B18,Doors!$C:$C,$C18)*SUMIFS(Velocity!$I:$I,Velocity!$A:$A,$A18,Velocity!$B:$B,$C18)/Assumptions!$B$4*Assumptions!$B$6</f>
        <v>0</v>
      </c>
      <c r="V18" s="7" t="n">
        <f aca="false">SUMIFS(Doors!AH:AH,Doors!$A:$A,$D18,Doors!$B:$B,$B18,Doors!$C:$C,$C18)*SUMIFS(Velocity!$I:$I,Velocity!$A:$A,$A18,Velocity!$B:$B,$C18)/Assumptions!$B$4*Assumptions!$B$6</f>
        <v>0</v>
      </c>
      <c r="W18" s="7" t="n">
        <f aca="false">SUMIFS(Doors!AI:AI,Doors!$A:$A,$D18,Doors!$B:$B,$B18,Doors!$C:$C,$C18)*SUMIFS(Velocity!$I:$I,Velocity!$A:$A,$A18,Velocity!$B:$B,$C18)/Assumptions!$B$4*Assumptions!$B$6</f>
        <v>0</v>
      </c>
      <c r="X18" s="7" t="n">
        <f aca="false">SUMIFS(Doors!AJ:AJ,Doors!$A:$A,$D18,Doors!$B:$B,$B18,Doors!$C:$C,$C18)*SUMIFS(Velocity!$I:$I,Velocity!$A:$A,$A18,Velocity!$B:$B,$C18)/Assumptions!$B$4*Assumptions!$B$6</f>
        <v>0</v>
      </c>
      <c r="Y18" s="7" t="n">
        <f aca="false">SUMIFS(Doors!AK:AK,Doors!$A:$A,$D18,Doors!$B:$B,$B18,Doors!$C:$C,$C18)*SUMIFS(Velocity!$I:$I,Velocity!$A:$A,$A18,Velocity!$B:$B,$C18)/Assumptions!$B$4*Assumptions!$B$6</f>
        <v>0</v>
      </c>
      <c r="Z18" s="7" t="n">
        <f aca="false">SUMIFS(Doors!AL:AL,Doors!$A:$A,$D18,Doors!$B:$B,$B18,Doors!$C:$C,$C18)*SUMIFS(Velocity!$I:$I,Velocity!$A:$A,$A18,Velocity!$B:$B,$C18)/Assumptions!$B$4*Assumptions!$B$6</f>
        <v>0</v>
      </c>
      <c r="AA18" s="7" t="n">
        <f aca="false">SUMIFS(Doors!AM:AM,Doors!$A:$A,$D18,Doors!$B:$B,$B18,Doors!$C:$C,$C18)*SUMIFS(Velocity!$I:$I,Velocity!$A:$A,$A18,Velocity!$B:$B,$C18)/Assumptions!$B$4*Assumptions!$B$6</f>
        <v>0</v>
      </c>
      <c r="AB18" s="7" t="n">
        <f aca="false">SUMIFS(Doors!AN:AN,Doors!$A:$A,$D18,Doors!$B:$B,$B18,Doors!$C:$C,$C18)*SUMIFS(Velocity!$I:$I,Velocity!$A:$A,$A18,Velocity!$B:$B,$C18)/Assumptions!$B$4*Assumptions!$B$6</f>
        <v>0</v>
      </c>
      <c r="AC18" s="7" t="n">
        <f aca="false">SUMIFS(Doors!AO:AO,Doors!$A:$A,$D18,Doors!$B:$B,$B18,Doors!$C:$C,$C18)*SUMIFS(Velocity!$I:$I,Velocity!$A:$A,$A18,Velocity!$B:$B,$C18)/Assumptions!$B$4*Assumptions!$B$6</f>
        <v>0</v>
      </c>
      <c r="AD18" s="7" t="n">
        <f aca="false">SUMIFS(Doors!AP:AP,Doors!$A:$A,$D18,Doors!$B:$B,$B18,Doors!$C:$C,$C18)*SUMIFS(Velocity!$I:$I,Velocity!$A:$A,$A18,Velocity!$B:$B,$C18)/Assumptions!$B$4*Assumptions!$B$6</f>
        <v>0</v>
      </c>
      <c r="AE18" s="7" t="n">
        <f aca="false">SUMIFS(Doors!AQ:AQ,Doors!$A:$A,$D18,Doors!$B:$B,$B18,Doors!$C:$C,$C18)*SUMIFS(Velocity!$I:$I,Velocity!$A:$A,$A18,Velocity!$B:$B,$C18)/Assumptions!$B$4*Assumptions!$B$6</f>
        <v>306.666666666667</v>
      </c>
      <c r="AF18" s="7" t="n">
        <f aca="false">SUMIFS(Doors!AR:AR,Doors!$A:$A,$D18,Doors!$B:$B,$B18,Doors!$C:$C,$C18)*SUMIFS(Velocity!$I:$I,Velocity!$A:$A,$A18,Velocity!$B:$B,$C18)/Assumptions!$B$4*Assumptions!$B$6</f>
        <v>306.666666666667</v>
      </c>
      <c r="AG18" s="7" t="n">
        <f aca="false">SUMIFS(Doors!AS:AS,Doors!$A:$A,$D18,Doors!$B:$B,$B18,Doors!$C:$C,$C18)*SUMIFS(Velocity!$I:$I,Velocity!$A:$A,$A18,Velocity!$B:$B,$C18)/Assumptions!$B$4*Assumptions!$B$6</f>
        <v>306.666666666667</v>
      </c>
      <c r="AH18" s="7" t="n">
        <f aca="false">SUMIFS(Doors!AT:AT,Doors!$A:$A,$D18,Doors!$B:$B,$B18,Doors!$C:$C,$C18)*SUMIFS(Velocity!$I:$I,Velocity!$A:$A,$A18,Velocity!$B:$B,$C18)/Assumptions!$B$4*Assumptions!$B$6</f>
        <v>306.666666666667</v>
      </c>
      <c r="AI18" s="7" t="n">
        <f aca="false">SUMIFS(Doors!AU:AU,Doors!$A:$A,$D18,Doors!$B:$B,$B18,Doors!$C:$C,$C18)*SUMIFS(Velocity!$I:$I,Velocity!$A:$A,$A18,Velocity!$B:$B,$C18)/Assumptions!$B$4*Assumptions!$B$6</f>
        <v>306.666666666667</v>
      </c>
      <c r="AJ18" s="7" t="n">
        <f aca="false">SUMIFS(Doors!AV:AV,Doors!$A:$A,$D18,Doors!$B:$B,$B18,Doors!$C:$C,$C18)*SUMIFS(Velocity!$I:$I,Velocity!$A:$A,$A18,Velocity!$B:$B,$C18)/Assumptions!$B$4*Assumptions!$B$6</f>
        <v>0</v>
      </c>
      <c r="AK18" s="7" t="n">
        <f aca="false">SUMIFS(Doors!AW:AW,Doors!$A:$A,$D18,Doors!$B:$B,$B18,Doors!$C:$C,$C18)*SUMIFS(Velocity!$I:$I,Velocity!$A:$A,$A18,Velocity!$B:$B,$C18)/Assumptions!$B$4*Assumptions!$B$6</f>
        <v>0</v>
      </c>
      <c r="AL18" s="7" t="n">
        <f aca="false">SUMIFS(Doors!AX:AX,Doors!$A:$A,$D18,Doors!$B:$B,$B18,Doors!$C:$C,$C18)*SUMIFS(Velocity!$I:$I,Velocity!$A:$A,$A18,Velocity!$B:$B,$C18)/Assumptions!$B$4*Assumptions!$B$6</f>
        <v>0</v>
      </c>
      <c r="AM18" s="7" t="n">
        <f aca="false">SUMIFS(Doors!AY:AY,Doors!$A:$A,$D18,Doors!$B:$B,$B18,Doors!$C:$C,$C18)*SUMIFS(Velocity!$I:$I,Velocity!$A:$A,$A18,Velocity!$B:$B,$C18)/Assumptions!$B$4*Assumptions!$B$6</f>
        <v>0</v>
      </c>
      <c r="AN18" s="7" t="n">
        <f aca="false">SUMIFS(Doors!AZ:AZ,Doors!$A:$A,$D18,Doors!$B:$B,$B18,Doors!$C:$C,$C18)*SUMIFS(Velocity!$I:$I,Velocity!$A:$A,$A18,Velocity!$B:$B,$C18)/Assumptions!$B$4*Assumptions!$B$6</f>
        <v>0</v>
      </c>
      <c r="AO18" s="7" t="n">
        <f aca="false">SUMIFS(Doors!BA:BA,Doors!$A:$A,$D18,Doors!$B:$B,$B18,Doors!$C:$C,$C18)*SUMIFS(Velocity!$I:$I,Velocity!$A:$A,$A18,Velocity!$B:$B,$C18)/Assumptions!$B$4*Assumptions!$B$6</f>
        <v>0</v>
      </c>
      <c r="AP18" s="7" t="n">
        <f aca="false">SUMIFS(Doors!BB:BB,Doors!$A:$A,$D18,Doors!$B:$B,$B18,Doors!$C:$C,$C18)*SUMIFS(Velocity!$I:$I,Velocity!$A:$A,$A18,Velocity!$B:$B,$C18)/Assumptions!$B$4*Assumptions!$B$6</f>
        <v>0</v>
      </c>
      <c r="AQ18" s="7" t="n">
        <f aca="false">SUMIFS(Doors!BC:BC,Doors!$A:$A,$D18,Doors!$B:$B,$B18,Doors!$C:$C,$C18)*SUMIFS(Velocity!$I:$I,Velocity!$A:$A,$A18,Velocity!$B:$B,$C18)/Assumptions!$B$4*Assumptions!$B$6</f>
        <v>0</v>
      </c>
      <c r="AR18" s="7" t="n">
        <f aca="false">SUMIFS(Doors!BD:BD,Doors!$A:$A,$D18,Doors!$B:$B,$B18,Doors!$C:$C,$C18)*SUMIFS(Velocity!$I:$I,Velocity!$A:$A,$A18,Velocity!$B:$B,$C18)/Assumptions!$B$4*Assumptions!$B$6</f>
        <v>153.333333333333</v>
      </c>
      <c r="AS18" s="7" t="n">
        <f aca="false">SUMIFS(Doors!BE:BE,Doors!$A:$A,$D18,Doors!$B:$B,$B18,Doors!$C:$C,$C18)*SUMIFS(Velocity!$I:$I,Velocity!$A:$A,$A18,Velocity!$B:$B,$C18)/Assumptions!$B$4*Assumptions!$B$6</f>
        <v>153.333333333333</v>
      </c>
      <c r="AT18" s="7" t="n">
        <f aca="false">SUMIFS(Doors!BF:BF,Doors!$A:$A,$D18,Doors!$B:$B,$B18,Doors!$C:$C,$C18)*SUMIFS(Velocity!$I:$I,Velocity!$A:$A,$A18,Velocity!$B:$B,$C18)/Assumptions!$B$4*Assumptions!$B$6</f>
        <v>153.333333333333</v>
      </c>
      <c r="AU18" s="7" t="n">
        <f aca="false">SUMIFS(Doors!BG:BG,Doors!$A:$A,$D18,Doors!$B:$B,$B18,Doors!$C:$C,$C18)*SUMIFS(Velocity!$I:$I,Velocity!$A:$A,$A18,Velocity!$B:$B,$C18)/Assumptions!$B$4*Assumptions!$B$6</f>
        <v>153.333333333333</v>
      </c>
      <c r="AV18" s="7" t="n">
        <f aca="false">SUMIFS(Doors!BH:BH,Doors!$A:$A,$D18,Doors!$B:$B,$B18,Doors!$C:$C,$C18)*SUMIFS(Velocity!$I:$I,Velocity!$A:$A,$A18,Velocity!$B:$B,$C18)/Assumptions!$B$4*Assumptions!$B$6</f>
        <v>153.333333333333</v>
      </c>
      <c r="AW18" s="7" t="n">
        <f aca="false">SUMIFS(Doors!BI:BI,Doors!$A:$A,$D18,Doors!$B:$B,$B18,Doors!$C:$C,$C18)*SUMIFS(Velocity!$I:$I,Velocity!$A:$A,$A18,Velocity!$B:$B,$C18)/Assumptions!$B$4*Assumptions!$B$6</f>
        <v>168.666666666667</v>
      </c>
      <c r="AX18" s="7" t="n">
        <f aca="false">SUMIFS(Doors!BJ:BJ,Doors!$A:$A,$D18,Doors!$B:$B,$B18,Doors!$C:$C,$C18)*SUMIFS(Velocity!$I:$I,Velocity!$A:$A,$A18,Velocity!$B:$B,$C18)/Assumptions!$B$4*Assumptions!$B$6</f>
        <v>168.666666666667</v>
      </c>
      <c r="AY18" s="7" t="n">
        <f aca="false">SUMIFS(Doors!BK:BK,Doors!$A:$A,$D18,Doors!$B:$B,$B18,Doors!$C:$C,$C18)*SUMIFS(Velocity!$I:$I,Velocity!$A:$A,$A18,Velocity!$B:$B,$C18)/Assumptions!$B$4*Assumptions!$B$6</f>
        <v>168.666666666667</v>
      </c>
      <c r="AZ18" s="7" t="n">
        <f aca="false">SUMIFS(Doors!BL:BL,Doors!$A:$A,$D18,Doors!$B:$B,$B18,Doors!$C:$C,$C18)*SUMIFS(Velocity!$I:$I,Velocity!$A:$A,$A18,Velocity!$B:$B,$C18)/Assumptions!$B$4*Assumptions!$B$6</f>
        <v>168.666666666667</v>
      </c>
      <c r="BA18" s="7" t="n">
        <f aca="false">SUMIFS(Doors!BM:BM,Doors!$A:$A,$D18,Doors!$B:$B,$B18,Doors!$C:$C,$C18)*SUMIFS(Velocity!$I:$I,Velocity!$A:$A,$A18,Velocity!$B:$B,$C18)/Assumptions!$B$4*Assumptions!$B$6</f>
        <v>168.666666666667</v>
      </c>
      <c r="BB18" s="7" t="n">
        <f aca="false">SUMIFS(Doors!BN:BN,Doors!$A:$A,$D18,Doors!$B:$B,$B18,Doors!$C:$C,$C18)*SUMIFS(Velocity!$I:$I,Velocity!$A:$A,$A18,Velocity!$B:$B,$C18)/Assumptions!$B$4*Assumptions!$B$6</f>
        <v>168.666666666667</v>
      </c>
      <c r="BC18" s="7" t="n">
        <f aca="false">SUMIFS(Doors!BO:BO,Doors!$A:$A,$D18,Doors!$B:$B,$B18,Doors!$C:$C,$C18)*SUMIFS(Velocity!$I:$I,Velocity!$A:$A,$A18,Velocity!$B:$B,$C18)/Assumptions!$B$4*Assumptions!$B$6</f>
        <v>168.666666666667</v>
      </c>
      <c r="BD18" s="7" t="n">
        <f aca="false">SUMIFS(Doors!BP:BP,Doors!$A:$A,$D18,Doors!$B:$B,$B18,Doors!$C:$C,$C18)*SUMIFS(Velocity!$I:$I,Velocity!$A:$A,$A18,Velocity!$B:$B,$C18)/Assumptions!$B$4*Assumptions!$B$6</f>
        <v>168.666666666667</v>
      </c>
    </row>
    <row r="19" customFormat="false" ht="15" hidden="false" customHeight="false" outlineLevel="0" collapsed="false">
      <c r="A19" s="0" t="s">
        <v>108</v>
      </c>
      <c r="B19" s="0" t="s">
        <v>127</v>
      </c>
      <c r="C19" s="0" t="s">
        <v>119</v>
      </c>
      <c r="D19" s="0" t="s">
        <v>235</v>
      </c>
      <c r="E19" s="7" t="n">
        <f aca="false">SUMIFS(Doors!Q:Q,Doors!$A:$A,$D19,Doors!$B:$B,$B19,Doors!$C:$C,$C19)*SUMIFS(Velocity!$I:$I,Velocity!$A:$A,$A19,Velocity!$B:$B,$C19)/Assumptions!$B$4*Assumptions!$B$6</f>
        <v>3.33333333333333</v>
      </c>
      <c r="F19" s="7" t="n">
        <f aca="false">SUMIFS(Doors!R:R,Doors!$A:$A,$D19,Doors!$B:$B,$B19,Doors!$C:$C,$C19)*SUMIFS(Velocity!$I:$I,Velocity!$A:$A,$A19,Velocity!$B:$B,$C19)/Assumptions!$B$4*Assumptions!$B$6</f>
        <v>3.33333333333333</v>
      </c>
      <c r="G19" s="7" t="n">
        <f aca="false">SUMIFS(Doors!S:S,Doors!$A:$A,$D19,Doors!$B:$B,$B19,Doors!$C:$C,$C19)*SUMIFS(Velocity!$I:$I,Velocity!$A:$A,$A19,Velocity!$B:$B,$C19)/Assumptions!$B$4*Assumptions!$B$6</f>
        <v>3.33333333333333</v>
      </c>
      <c r="H19" s="7" t="n">
        <f aca="false">SUMIFS(Doors!T:T,Doors!$A:$A,$D19,Doors!$B:$B,$B19,Doors!$C:$C,$C19)*SUMIFS(Velocity!$I:$I,Velocity!$A:$A,$A19,Velocity!$B:$B,$C19)/Assumptions!$B$4*Assumptions!$B$6</f>
        <v>3.33333333333333</v>
      </c>
      <c r="I19" s="7" t="n">
        <f aca="false">SUMIFS(Doors!U:U,Doors!$A:$A,$D19,Doors!$B:$B,$B19,Doors!$C:$C,$C19)*SUMIFS(Velocity!$I:$I,Velocity!$A:$A,$A19,Velocity!$B:$B,$C19)/Assumptions!$B$4*Assumptions!$B$6</f>
        <v>3.33333333333333</v>
      </c>
      <c r="J19" s="7" t="n">
        <f aca="false">SUMIFS(Doors!V:V,Doors!$A:$A,$D19,Doors!$B:$B,$B19,Doors!$C:$C,$C19)*SUMIFS(Velocity!$I:$I,Velocity!$A:$A,$A19,Velocity!$B:$B,$C19)/Assumptions!$B$4*Assumptions!$B$6</f>
        <v>4.66666666666667</v>
      </c>
      <c r="K19" s="7" t="n">
        <f aca="false">SUMIFS(Doors!W:W,Doors!$A:$A,$D19,Doors!$B:$B,$B19,Doors!$C:$C,$C19)*SUMIFS(Velocity!$I:$I,Velocity!$A:$A,$A19,Velocity!$B:$B,$C19)/Assumptions!$B$4*Assumptions!$B$6</f>
        <v>4.66666666666667</v>
      </c>
      <c r="L19" s="7" t="n">
        <f aca="false">SUMIFS(Doors!X:X,Doors!$A:$A,$D19,Doors!$B:$B,$B19,Doors!$C:$C,$C19)*SUMIFS(Velocity!$I:$I,Velocity!$A:$A,$A19,Velocity!$B:$B,$C19)/Assumptions!$B$4*Assumptions!$B$6</f>
        <v>4.66666666666667</v>
      </c>
      <c r="M19" s="7" t="n">
        <f aca="false">SUMIFS(Doors!Y:Y,Doors!$A:$A,$D19,Doors!$B:$B,$B19,Doors!$C:$C,$C19)*SUMIFS(Velocity!$I:$I,Velocity!$A:$A,$A19,Velocity!$B:$B,$C19)/Assumptions!$B$4*Assumptions!$B$6</f>
        <v>4.66666666666667</v>
      </c>
      <c r="N19" s="7" t="n">
        <f aca="false">SUMIFS(Doors!Z:Z,Doors!$A:$A,$D19,Doors!$B:$B,$B19,Doors!$C:$C,$C19)*SUMIFS(Velocity!$I:$I,Velocity!$A:$A,$A19,Velocity!$B:$B,$C19)/Assumptions!$B$4*Assumptions!$B$6</f>
        <v>6.33333333333333</v>
      </c>
      <c r="O19" s="7" t="n">
        <f aca="false">SUMIFS(Doors!AA:AA,Doors!$A:$A,$D19,Doors!$B:$B,$B19,Doors!$C:$C,$C19)*SUMIFS(Velocity!$I:$I,Velocity!$A:$A,$A19,Velocity!$B:$B,$C19)/Assumptions!$B$4*Assumptions!$B$6</f>
        <v>6.33333333333333</v>
      </c>
      <c r="P19" s="7" t="n">
        <f aca="false">SUMIFS(Doors!AB:AB,Doors!$A:$A,$D19,Doors!$B:$B,$B19,Doors!$C:$C,$C19)*SUMIFS(Velocity!$I:$I,Velocity!$A:$A,$A19,Velocity!$B:$B,$C19)/Assumptions!$B$4*Assumptions!$B$6</f>
        <v>6.33333333333333</v>
      </c>
      <c r="Q19" s="7" t="n">
        <f aca="false">SUMIFS(Doors!AC:AC,Doors!$A:$A,$D19,Doors!$B:$B,$B19,Doors!$C:$C,$C19)*SUMIFS(Velocity!$I:$I,Velocity!$A:$A,$A19,Velocity!$B:$B,$C19)/Assumptions!$B$4*Assumptions!$B$6</f>
        <v>6.33333333333333</v>
      </c>
      <c r="R19" s="7" t="n">
        <f aca="false">SUMIFS(Doors!AD:AD,Doors!$A:$A,$D19,Doors!$B:$B,$B19,Doors!$C:$C,$C19)*SUMIFS(Velocity!$I:$I,Velocity!$A:$A,$A19,Velocity!$B:$B,$C19)/Assumptions!$B$4*Assumptions!$B$6</f>
        <v>8</v>
      </c>
      <c r="S19" s="7" t="n">
        <f aca="false">SUMIFS(Doors!AE:AE,Doors!$A:$A,$D19,Doors!$B:$B,$B19,Doors!$C:$C,$C19)*SUMIFS(Velocity!$I:$I,Velocity!$A:$A,$A19,Velocity!$B:$B,$C19)/Assumptions!$B$4*Assumptions!$B$6</f>
        <v>8</v>
      </c>
      <c r="T19" s="7" t="n">
        <f aca="false">SUMIFS(Doors!AF:AF,Doors!$A:$A,$D19,Doors!$B:$B,$B19,Doors!$C:$C,$C19)*SUMIFS(Velocity!$I:$I,Velocity!$A:$A,$A19,Velocity!$B:$B,$C19)/Assumptions!$B$4*Assumptions!$B$6</f>
        <v>8</v>
      </c>
      <c r="U19" s="7" t="n">
        <f aca="false">SUMIFS(Doors!AG:AG,Doors!$A:$A,$D19,Doors!$B:$B,$B19,Doors!$C:$C,$C19)*SUMIFS(Velocity!$I:$I,Velocity!$A:$A,$A19,Velocity!$B:$B,$C19)/Assumptions!$B$4*Assumptions!$B$6</f>
        <v>8</v>
      </c>
      <c r="V19" s="7" t="n">
        <f aca="false">SUMIFS(Doors!AH:AH,Doors!$A:$A,$D19,Doors!$B:$B,$B19,Doors!$C:$C,$C19)*SUMIFS(Velocity!$I:$I,Velocity!$A:$A,$A19,Velocity!$B:$B,$C19)/Assumptions!$B$4*Assumptions!$B$6</f>
        <v>8</v>
      </c>
      <c r="W19" s="7" t="n">
        <f aca="false">SUMIFS(Doors!AI:AI,Doors!$A:$A,$D19,Doors!$B:$B,$B19,Doors!$C:$C,$C19)*SUMIFS(Velocity!$I:$I,Velocity!$A:$A,$A19,Velocity!$B:$B,$C19)/Assumptions!$B$4*Assumptions!$B$6</f>
        <v>9.33333333333333</v>
      </c>
      <c r="X19" s="7" t="n">
        <f aca="false">SUMIFS(Doors!AJ:AJ,Doors!$A:$A,$D19,Doors!$B:$B,$B19,Doors!$C:$C,$C19)*SUMIFS(Velocity!$I:$I,Velocity!$A:$A,$A19,Velocity!$B:$B,$C19)/Assumptions!$B$4*Assumptions!$B$6</f>
        <v>9.33333333333333</v>
      </c>
      <c r="Y19" s="7" t="n">
        <f aca="false">SUMIFS(Doors!AK:AK,Doors!$A:$A,$D19,Doors!$B:$B,$B19,Doors!$C:$C,$C19)*SUMIFS(Velocity!$I:$I,Velocity!$A:$A,$A19,Velocity!$B:$B,$C19)/Assumptions!$B$4*Assumptions!$B$6</f>
        <v>9.33333333333333</v>
      </c>
      <c r="Z19" s="7" t="n">
        <f aca="false">SUMIFS(Doors!AL:AL,Doors!$A:$A,$D19,Doors!$B:$B,$B19,Doors!$C:$C,$C19)*SUMIFS(Velocity!$I:$I,Velocity!$A:$A,$A19,Velocity!$B:$B,$C19)/Assumptions!$B$4*Assumptions!$B$6</f>
        <v>9.33333333333333</v>
      </c>
      <c r="AA19" s="7" t="n">
        <f aca="false">SUMIFS(Doors!AM:AM,Doors!$A:$A,$D19,Doors!$B:$B,$B19,Doors!$C:$C,$C19)*SUMIFS(Velocity!$I:$I,Velocity!$A:$A,$A19,Velocity!$B:$B,$C19)/Assumptions!$B$4*Assumptions!$B$6</f>
        <v>10.3333333333333</v>
      </c>
      <c r="AB19" s="7" t="n">
        <f aca="false">SUMIFS(Doors!AN:AN,Doors!$A:$A,$D19,Doors!$B:$B,$B19,Doors!$C:$C,$C19)*SUMIFS(Velocity!$I:$I,Velocity!$A:$A,$A19,Velocity!$B:$B,$C19)/Assumptions!$B$4*Assumptions!$B$6</f>
        <v>10.3333333333333</v>
      </c>
      <c r="AC19" s="7" t="n">
        <f aca="false">SUMIFS(Doors!AO:AO,Doors!$A:$A,$D19,Doors!$B:$B,$B19,Doors!$C:$C,$C19)*SUMIFS(Velocity!$I:$I,Velocity!$A:$A,$A19,Velocity!$B:$B,$C19)/Assumptions!$B$4*Assumptions!$B$6</f>
        <v>10.3333333333333</v>
      </c>
      <c r="AD19" s="7" t="n">
        <f aca="false">SUMIFS(Doors!AP:AP,Doors!$A:$A,$D19,Doors!$B:$B,$B19,Doors!$C:$C,$C19)*SUMIFS(Velocity!$I:$I,Velocity!$A:$A,$A19,Velocity!$B:$B,$C19)/Assumptions!$B$4*Assumptions!$B$6</f>
        <v>10.3333333333333</v>
      </c>
      <c r="AE19" s="7" t="n">
        <f aca="false">SUMIFS(Doors!AQ:AQ,Doors!$A:$A,$D19,Doors!$B:$B,$B19,Doors!$C:$C,$C19)*SUMIFS(Velocity!$I:$I,Velocity!$A:$A,$A19,Velocity!$B:$B,$C19)/Assumptions!$B$4*Assumptions!$B$6</f>
        <v>11.3333333333333</v>
      </c>
      <c r="AF19" s="7" t="n">
        <f aca="false">SUMIFS(Doors!AR:AR,Doors!$A:$A,$D19,Doors!$B:$B,$B19,Doors!$C:$C,$C19)*SUMIFS(Velocity!$I:$I,Velocity!$A:$A,$A19,Velocity!$B:$B,$C19)/Assumptions!$B$4*Assumptions!$B$6</f>
        <v>11.3333333333333</v>
      </c>
      <c r="AG19" s="7" t="n">
        <f aca="false">SUMIFS(Doors!AS:AS,Doors!$A:$A,$D19,Doors!$B:$B,$B19,Doors!$C:$C,$C19)*SUMIFS(Velocity!$I:$I,Velocity!$A:$A,$A19,Velocity!$B:$B,$C19)/Assumptions!$B$4*Assumptions!$B$6</f>
        <v>11.3333333333333</v>
      </c>
      <c r="AH19" s="7" t="n">
        <f aca="false">SUMIFS(Doors!AT:AT,Doors!$A:$A,$D19,Doors!$B:$B,$B19,Doors!$C:$C,$C19)*SUMIFS(Velocity!$I:$I,Velocity!$A:$A,$A19,Velocity!$B:$B,$C19)/Assumptions!$B$4*Assumptions!$B$6</f>
        <v>11.3333333333333</v>
      </c>
      <c r="AI19" s="7" t="n">
        <f aca="false">SUMIFS(Doors!AU:AU,Doors!$A:$A,$D19,Doors!$B:$B,$B19,Doors!$C:$C,$C19)*SUMIFS(Velocity!$I:$I,Velocity!$A:$A,$A19,Velocity!$B:$B,$C19)/Assumptions!$B$4*Assumptions!$B$6</f>
        <v>11.3333333333333</v>
      </c>
      <c r="AJ19" s="7" t="n">
        <f aca="false">SUMIFS(Doors!AV:AV,Doors!$A:$A,$D19,Doors!$B:$B,$B19,Doors!$C:$C,$C19)*SUMIFS(Velocity!$I:$I,Velocity!$A:$A,$A19,Velocity!$B:$B,$C19)/Assumptions!$B$4*Assumptions!$B$6</f>
        <v>12</v>
      </c>
      <c r="AK19" s="7" t="n">
        <f aca="false">SUMIFS(Doors!AW:AW,Doors!$A:$A,$D19,Doors!$B:$B,$B19,Doors!$C:$C,$C19)*SUMIFS(Velocity!$I:$I,Velocity!$A:$A,$A19,Velocity!$B:$B,$C19)/Assumptions!$B$4*Assumptions!$B$6</f>
        <v>12</v>
      </c>
      <c r="AL19" s="7" t="n">
        <f aca="false">SUMIFS(Doors!AX:AX,Doors!$A:$A,$D19,Doors!$B:$B,$B19,Doors!$C:$C,$C19)*SUMIFS(Velocity!$I:$I,Velocity!$A:$A,$A19,Velocity!$B:$B,$C19)/Assumptions!$B$4*Assumptions!$B$6</f>
        <v>12</v>
      </c>
      <c r="AM19" s="7" t="n">
        <f aca="false">SUMIFS(Doors!AY:AY,Doors!$A:$A,$D19,Doors!$B:$B,$B19,Doors!$C:$C,$C19)*SUMIFS(Velocity!$I:$I,Velocity!$A:$A,$A19,Velocity!$B:$B,$C19)/Assumptions!$B$4*Assumptions!$B$6</f>
        <v>12</v>
      </c>
      <c r="AN19" s="7" t="n">
        <f aca="false">SUMIFS(Doors!AZ:AZ,Doors!$A:$A,$D19,Doors!$B:$B,$B19,Doors!$C:$C,$C19)*SUMIFS(Velocity!$I:$I,Velocity!$A:$A,$A19,Velocity!$B:$B,$C19)/Assumptions!$B$4*Assumptions!$B$6</f>
        <v>12.5</v>
      </c>
      <c r="AO19" s="7" t="n">
        <f aca="false">SUMIFS(Doors!BA:BA,Doors!$A:$A,$D19,Doors!$B:$B,$B19,Doors!$C:$C,$C19)*SUMIFS(Velocity!$I:$I,Velocity!$A:$A,$A19,Velocity!$B:$B,$C19)/Assumptions!$B$4*Assumptions!$B$6</f>
        <v>12.5</v>
      </c>
      <c r="AP19" s="7" t="n">
        <f aca="false">SUMIFS(Doors!BB:BB,Doors!$A:$A,$D19,Doors!$B:$B,$B19,Doors!$C:$C,$C19)*SUMIFS(Velocity!$I:$I,Velocity!$A:$A,$A19,Velocity!$B:$B,$C19)/Assumptions!$B$4*Assumptions!$B$6</f>
        <v>12.5</v>
      </c>
      <c r="AQ19" s="7" t="n">
        <f aca="false">SUMIFS(Doors!BC:BC,Doors!$A:$A,$D19,Doors!$B:$B,$B19,Doors!$C:$C,$C19)*SUMIFS(Velocity!$I:$I,Velocity!$A:$A,$A19,Velocity!$B:$B,$C19)/Assumptions!$B$4*Assumptions!$B$6</f>
        <v>12.5</v>
      </c>
      <c r="AR19" s="7" t="n">
        <f aca="false">SUMIFS(Doors!BD:BD,Doors!$A:$A,$D19,Doors!$B:$B,$B19,Doors!$C:$C,$C19)*SUMIFS(Velocity!$I:$I,Velocity!$A:$A,$A19,Velocity!$B:$B,$C19)/Assumptions!$B$4*Assumptions!$B$6</f>
        <v>13</v>
      </c>
      <c r="AS19" s="7" t="n">
        <f aca="false">SUMIFS(Doors!BE:BE,Doors!$A:$A,$D19,Doors!$B:$B,$B19,Doors!$C:$C,$C19)*SUMIFS(Velocity!$I:$I,Velocity!$A:$A,$A19,Velocity!$B:$B,$C19)/Assumptions!$B$4*Assumptions!$B$6</f>
        <v>13</v>
      </c>
      <c r="AT19" s="7" t="n">
        <f aca="false">SUMIFS(Doors!BF:BF,Doors!$A:$A,$D19,Doors!$B:$B,$B19,Doors!$C:$C,$C19)*SUMIFS(Velocity!$I:$I,Velocity!$A:$A,$A19,Velocity!$B:$B,$C19)/Assumptions!$B$4*Assumptions!$B$6</f>
        <v>13</v>
      </c>
      <c r="AU19" s="7" t="n">
        <f aca="false">SUMIFS(Doors!BG:BG,Doors!$A:$A,$D19,Doors!$B:$B,$B19,Doors!$C:$C,$C19)*SUMIFS(Velocity!$I:$I,Velocity!$A:$A,$A19,Velocity!$B:$B,$C19)/Assumptions!$B$4*Assumptions!$B$6</f>
        <v>13</v>
      </c>
      <c r="AV19" s="7" t="n">
        <f aca="false">SUMIFS(Doors!BH:BH,Doors!$A:$A,$D19,Doors!$B:$B,$B19,Doors!$C:$C,$C19)*SUMIFS(Velocity!$I:$I,Velocity!$A:$A,$A19,Velocity!$B:$B,$C19)/Assumptions!$B$4*Assumptions!$B$6</f>
        <v>13</v>
      </c>
      <c r="AW19" s="7" t="n">
        <f aca="false">SUMIFS(Doors!BI:BI,Doors!$A:$A,$D19,Doors!$B:$B,$B19,Doors!$C:$C,$C19)*SUMIFS(Velocity!$I:$I,Velocity!$A:$A,$A19,Velocity!$B:$B,$C19)/Assumptions!$B$4*Assumptions!$B$6</f>
        <v>13.3333333333333</v>
      </c>
      <c r="AX19" s="7" t="n">
        <f aca="false">SUMIFS(Doors!BJ:BJ,Doors!$A:$A,$D19,Doors!$B:$B,$B19,Doors!$C:$C,$C19)*SUMIFS(Velocity!$I:$I,Velocity!$A:$A,$A19,Velocity!$B:$B,$C19)/Assumptions!$B$4*Assumptions!$B$6</f>
        <v>13.3333333333333</v>
      </c>
      <c r="AY19" s="7" t="n">
        <f aca="false">SUMIFS(Doors!BK:BK,Doors!$A:$A,$D19,Doors!$B:$B,$B19,Doors!$C:$C,$C19)*SUMIFS(Velocity!$I:$I,Velocity!$A:$A,$A19,Velocity!$B:$B,$C19)/Assumptions!$B$4*Assumptions!$B$6</f>
        <v>13.3333333333333</v>
      </c>
      <c r="AZ19" s="7" t="n">
        <f aca="false">SUMIFS(Doors!BL:BL,Doors!$A:$A,$D19,Doors!$B:$B,$B19,Doors!$C:$C,$C19)*SUMIFS(Velocity!$I:$I,Velocity!$A:$A,$A19,Velocity!$B:$B,$C19)/Assumptions!$B$4*Assumptions!$B$6</f>
        <v>13.3333333333333</v>
      </c>
      <c r="BA19" s="7" t="n">
        <f aca="false">SUMIFS(Doors!BM:BM,Doors!$A:$A,$D19,Doors!$B:$B,$B19,Doors!$C:$C,$C19)*SUMIFS(Velocity!$I:$I,Velocity!$A:$A,$A19,Velocity!$B:$B,$C19)/Assumptions!$B$4*Assumptions!$B$6</f>
        <v>13.6666666666667</v>
      </c>
      <c r="BB19" s="7" t="n">
        <f aca="false">SUMIFS(Doors!BN:BN,Doors!$A:$A,$D19,Doors!$B:$B,$B19,Doors!$C:$C,$C19)*SUMIFS(Velocity!$I:$I,Velocity!$A:$A,$A19,Velocity!$B:$B,$C19)/Assumptions!$B$4*Assumptions!$B$6</f>
        <v>13.6666666666667</v>
      </c>
      <c r="BC19" s="7" t="n">
        <f aca="false">SUMIFS(Doors!BO:BO,Doors!$A:$A,$D19,Doors!$B:$B,$B19,Doors!$C:$C,$C19)*SUMIFS(Velocity!$I:$I,Velocity!$A:$A,$A19,Velocity!$B:$B,$C19)/Assumptions!$B$4*Assumptions!$B$6</f>
        <v>13.6666666666667</v>
      </c>
      <c r="BD19" s="7" t="n">
        <f aca="false">SUMIFS(Doors!BP:BP,Doors!$A:$A,$D19,Doors!$B:$B,$B19,Doors!$C:$C,$C19)*SUMIFS(Velocity!$I:$I,Velocity!$A:$A,$A19,Velocity!$B:$B,$C19)/Assumptions!$B$4*Assumptions!$B$6</f>
        <v>13.6666666666667</v>
      </c>
    </row>
    <row r="20" customFormat="false" ht="15" hidden="false" customHeight="false" outlineLevel="0" collapsed="false">
      <c r="A20" s="0" t="s">
        <v>108</v>
      </c>
      <c r="B20" s="0" t="s">
        <v>127</v>
      </c>
      <c r="C20" s="0" t="s">
        <v>120</v>
      </c>
      <c r="D20" s="0" t="s">
        <v>235</v>
      </c>
      <c r="E20" s="7" t="n">
        <f aca="false">SUMIFS(Doors!Q:Q,Doors!$A:$A,$D20,Doors!$B:$B,$B20,Doors!$C:$C,$C20)*SUMIFS(Velocity!$I:$I,Velocity!$A:$A,$A20,Velocity!$B:$B,$C20)/Assumptions!$B$4*Assumptions!$B$6</f>
        <v>2.96875</v>
      </c>
      <c r="F20" s="7" t="n">
        <f aca="false">SUMIFS(Doors!R:R,Doors!$A:$A,$D20,Doors!$B:$B,$B20,Doors!$C:$C,$C20)*SUMIFS(Velocity!$I:$I,Velocity!$A:$A,$A20,Velocity!$B:$B,$C20)/Assumptions!$B$4*Assumptions!$B$6</f>
        <v>2.96875</v>
      </c>
      <c r="G20" s="7" t="n">
        <f aca="false">SUMIFS(Doors!S:S,Doors!$A:$A,$D20,Doors!$B:$B,$B20,Doors!$C:$C,$C20)*SUMIFS(Velocity!$I:$I,Velocity!$A:$A,$A20,Velocity!$B:$B,$C20)/Assumptions!$B$4*Assumptions!$B$6</f>
        <v>2.96875</v>
      </c>
      <c r="H20" s="7" t="n">
        <f aca="false">SUMIFS(Doors!T:T,Doors!$A:$A,$D20,Doors!$B:$B,$B20,Doors!$C:$C,$C20)*SUMIFS(Velocity!$I:$I,Velocity!$A:$A,$A20,Velocity!$B:$B,$C20)/Assumptions!$B$4*Assumptions!$B$6</f>
        <v>2.96875</v>
      </c>
      <c r="I20" s="7" t="n">
        <f aca="false">SUMIFS(Doors!U:U,Doors!$A:$A,$D20,Doors!$B:$B,$B20,Doors!$C:$C,$C20)*SUMIFS(Velocity!$I:$I,Velocity!$A:$A,$A20,Velocity!$B:$B,$C20)/Assumptions!$B$4*Assumptions!$B$6</f>
        <v>2.96875</v>
      </c>
      <c r="J20" s="7" t="n">
        <f aca="false">SUMIFS(Doors!V:V,Doors!$A:$A,$D20,Doors!$B:$B,$B20,Doors!$C:$C,$C20)*SUMIFS(Velocity!$I:$I,Velocity!$A:$A,$A20,Velocity!$B:$B,$C20)/Assumptions!$B$4*Assumptions!$B$6</f>
        <v>4.35416666666667</v>
      </c>
      <c r="K20" s="7" t="n">
        <f aca="false">SUMIFS(Doors!W:W,Doors!$A:$A,$D20,Doors!$B:$B,$B20,Doors!$C:$C,$C20)*SUMIFS(Velocity!$I:$I,Velocity!$A:$A,$A20,Velocity!$B:$B,$C20)/Assumptions!$B$4*Assumptions!$B$6</f>
        <v>4.35416666666667</v>
      </c>
      <c r="L20" s="7" t="n">
        <f aca="false">SUMIFS(Doors!X:X,Doors!$A:$A,$D20,Doors!$B:$B,$B20,Doors!$C:$C,$C20)*SUMIFS(Velocity!$I:$I,Velocity!$A:$A,$A20,Velocity!$B:$B,$C20)/Assumptions!$B$4*Assumptions!$B$6</f>
        <v>4.35416666666667</v>
      </c>
      <c r="M20" s="7" t="n">
        <f aca="false">SUMIFS(Doors!Y:Y,Doors!$A:$A,$D20,Doors!$B:$B,$B20,Doors!$C:$C,$C20)*SUMIFS(Velocity!$I:$I,Velocity!$A:$A,$A20,Velocity!$B:$B,$C20)/Assumptions!$B$4*Assumptions!$B$6</f>
        <v>4.35416666666667</v>
      </c>
      <c r="N20" s="7" t="n">
        <f aca="false">SUMIFS(Doors!Z:Z,Doors!$A:$A,$D20,Doors!$B:$B,$B20,Doors!$C:$C,$C20)*SUMIFS(Velocity!$I:$I,Velocity!$A:$A,$A20,Velocity!$B:$B,$C20)/Assumptions!$B$4*Assumptions!$B$6</f>
        <v>6.33333333333333</v>
      </c>
      <c r="O20" s="7" t="n">
        <f aca="false">SUMIFS(Doors!AA:AA,Doors!$A:$A,$D20,Doors!$B:$B,$B20,Doors!$C:$C,$C20)*SUMIFS(Velocity!$I:$I,Velocity!$A:$A,$A20,Velocity!$B:$B,$C20)/Assumptions!$B$4*Assumptions!$B$6</f>
        <v>6.33333333333333</v>
      </c>
      <c r="P20" s="7" t="n">
        <f aca="false">SUMIFS(Doors!AB:AB,Doors!$A:$A,$D20,Doors!$B:$B,$B20,Doors!$C:$C,$C20)*SUMIFS(Velocity!$I:$I,Velocity!$A:$A,$A20,Velocity!$B:$B,$C20)/Assumptions!$B$4*Assumptions!$B$6</f>
        <v>6.33333333333333</v>
      </c>
      <c r="Q20" s="7" t="n">
        <f aca="false">SUMIFS(Doors!AC:AC,Doors!$A:$A,$D20,Doors!$B:$B,$B20,Doors!$C:$C,$C20)*SUMIFS(Velocity!$I:$I,Velocity!$A:$A,$A20,Velocity!$B:$B,$C20)/Assumptions!$B$4*Assumptions!$B$6</f>
        <v>6.33333333333333</v>
      </c>
      <c r="R20" s="7" t="n">
        <f aca="false">SUMIFS(Doors!AD:AD,Doors!$A:$A,$D20,Doors!$B:$B,$B20,Doors!$C:$C,$C20)*SUMIFS(Velocity!$I:$I,Velocity!$A:$A,$A20,Velocity!$B:$B,$C20)/Assumptions!$B$4*Assumptions!$B$6</f>
        <v>8.90625</v>
      </c>
      <c r="S20" s="7" t="n">
        <f aca="false">SUMIFS(Doors!AE:AE,Doors!$A:$A,$D20,Doors!$B:$B,$B20,Doors!$C:$C,$C20)*SUMIFS(Velocity!$I:$I,Velocity!$A:$A,$A20,Velocity!$B:$B,$C20)/Assumptions!$B$4*Assumptions!$B$6</f>
        <v>8.90625</v>
      </c>
      <c r="T20" s="7" t="n">
        <f aca="false">SUMIFS(Doors!AF:AF,Doors!$A:$A,$D20,Doors!$B:$B,$B20,Doors!$C:$C,$C20)*SUMIFS(Velocity!$I:$I,Velocity!$A:$A,$A20,Velocity!$B:$B,$C20)/Assumptions!$B$4*Assumptions!$B$6</f>
        <v>8.90625</v>
      </c>
      <c r="U20" s="7" t="n">
        <f aca="false">SUMIFS(Doors!AG:AG,Doors!$A:$A,$D20,Doors!$B:$B,$B20,Doors!$C:$C,$C20)*SUMIFS(Velocity!$I:$I,Velocity!$A:$A,$A20,Velocity!$B:$B,$C20)/Assumptions!$B$4*Assumptions!$B$6</f>
        <v>8.90625</v>
      </c>
      <c r="V20" s="7" t="n">
        <f aca="false">SUMIFS(Doors!AH:AH,Doors!$A:$A,$D20,Doors!$B:$B,$B20,Doors!$C:$C,$C20)*SUMIFS(Velocity!$I:$I,Velocity!$A:$A,$A20,Velocity!$B:$B,$C20)/Assumptions!$B$4*Assumptions!$B$6</f>
        <v>8.90625</v>
      </c>
      <c r="W20" s="7" t="n">
        <f aca="false">SUMIFS(Doors!AI:AI,Doors!$A:$A,$D20,Doors!$B:$B,$B20,Doors!$C:$C,$C20)*SUMIFS(Velocity!$I:$I,Velocity!$A:$A,$A20,Velocity!$B:$B,$C20)/Assumptions!$B$4*Assumptions!$B$6</f>
        <v>10.8854166666667</v>
      </c>
      <c r="X20" s="7" t="n">
        <f aca="false">SUMIFS(Doors!AJ:AJ,Doors!$A:$A,$D20,Doors!$B:$B,$B20,Doors!$C:$C,$C20)*SUMIFS(Velocity!$I:$I,Velocity!$A:$A,$A20,Velocity!$B:$B,$C20)/Assumptions!$B$4*Assumptions!$B$6</f>
        <v>10.8854166666667</v>
      </c>
      <c r="Y20" s="7" t="n">
        <f aca="false">SUMIFS(Doors!AK:AK,Doors!$A:$A,$D20,Doors!$B:$B,$B20,Doors!$C:$C,$C20)*SUMIFS(Velocity!$I:$I,Velocity!$A:$A,$A20,Velocity!$B:$B,$C20)/Assumptions!$B$4*Assumptions!$B$6</f>
        <v>10.8854166666667</v>
      </c>
      <c r="Z20" s="7" t="n">
        <f aca="false">SUMIFS(Doors!AL:AL,Doors!$A:$A,$D20,Doors!$B:$B,$B20,Doors!$C:$C,$C20)*SUMIFS(Velocity!$I:$I,Velocity!$A:$A,$A20,Velocity!$B:$B,$C20)/Assumptions!$B$4*Assumptions!$B$6</f>
        <v>10.8854166666667</v>
      </c>
      <c r="AA20" s="7" t="n">
        <f aca="false">SUMIFS(Doors!AM:AM,Doors!$A:$A,$D20,Doors!$B:$B,$B20,Doors!$C:$C,$C20)*SUMIFS(Velocity!$I:$I,Velocity!$A:$A,$A20,Velocity!$B:$B,$C20)/Assumptions!$B$4*Assumptions!$B$6</f>
        <v>12.2708333333333</v>
      </c>
      <c r="AB20" s="7" t="n">
        <f aca="false">SUMIFS(Doors!AN:AN,Doors!$A:$A,$D20,Doors!$B:$B,$B20,Doors!$C:$C,$C20)*SUMIFS(Velocity!$I:$I,Velocity!$A:$A,$A20,Velocity!$B:$B,$C20)/Assumptions!$B$4*Assumptions!$B$6</f>
        <v>12.2708333333333</v>
      </c>
      <c r="AC20" s="7" t="n">
        <f aca="false">SUMIFS(Doors!AO:AO,Doors!$A:$A,$D20,Doors!$B:$B,$B20,Doors!$C:$C,$C20)*SUMIFS(Velocity!$I:$I,Velocity!$A:$A,$A20,Velocity!$B:$B,$C20)/Assumptions!$B$4*Assumptions!$B$6</f>
        <v>12.2708333333333</v>
      </c>
      <c r="AD20" s="7" t="n">
        <f aca="false">SUMIFS(Doors!AP:AP,Doors!$A:$A,$D20,Doors!$B:$B,$B20,Doors!$C:$C,$C20)*SUMIFS(Velocity!$I:$I,Velocity!$A:$A,$A20,Velocity!$B:$B,$C20)/Assumptions!$B$4*Assumptions!$B$6</f>
        <v>12.2708333333333</v>
      </c>
      <c r="AE20" s="7" t="n">
        <f aca="false">SUMIFS(Doors!AQ:AQ,Doors!$A:$A,$D20,Doors!$B:$B,$B20,Doors!$C:$C,$C20)*SUMIFS(Velocity!$I:$I,Velocity!$A:$A,$A20,Velocity!$B:$B,$C20)/Assumptions!$B$4*Assumptions!$B$6</f>
        <v>13.4583333333333</v>
      </c>
      <c r="AF20" s="7" t="n">
        <f aca="false">SUMIFS(Doors!AR:AR,Doors!$A:$A,$D20,Doors!$B:$B,$B20,Doors!$C:$C,$C20)*SUMIFS(Velocity!$I:$I,Velocity!$A:$A,$A20,Velocity!$B:$B,$C20)/Assumptions!$B$4*Assumptions!$B$6</f>
        <v>13.4583333333333</v>
      </c>
      <c r="AG20" s="7" t="n">
        <f aca="false">SUMIFS(Doors!AS:AS,Doors!$A:$A,$D20,Doors!$B:$B,$B20,Doors!$C:$C,$C20)*SUMIFS(Velocity!$I:$I,Velocity!$A:$A,$A20,Velocity!$B:$B,$C20)/Assumptions!$B$4*Assumptions!$B$6</f>
        <v>13.4583333333333</v>
      </c>
      <c r="AH20" s="7" t="n">
        <f aca="false">SUMIFS(Doors!AT:AT,Doors!$A:$A,$D20,Doors!$B:$B,$B20,Doors!$C:$C,$C20)*SUMIFS(Velocity!$I:$I,Velocity!$A:$A,$A20,Velocity!$B:$B,$C20)/Assumptions!$B$4*Assumptions!$B$6</f>
        <v>13.4583333333333</v>
      </c>
      <c r="AI20" s="7" t="n">
        <f aca="false">SUMIFS(Doors!AU:AU,Doors!$A:$A,$D20,Doors!$B:$B,$B20,Doors!$C:$C,$C20)*SUMIFS(Velocity!$I:$I,Velocity!$A:$A,$A20,Velocity!$B:$B,$C20)/Assumptions!$B$4*Assumptions!$B$6</f>
        <v>13.4583333333333</v>
      </c>
      <c r="AJ20" s="7" t="n">
        <f aca="false">SUMIFS(Doors!AV:AV,Doors!$A:$A,$D20,Doors!$B:$B,$B20,Doors!$C:$C,$C20)*SUMIFS(Velocity!$I:$I,Velocity!$A:$A,$A20,Velocity!$B:$B,$C20)/Assumptions!$B$4*Assumptions!$B$6</f>
        <v>14.25</v>
      </c>
      <c r="AK20" s="7" t="n">
        <f aca="false">SUMIFS(Doors!AW:AW,Doors!$A:$A,$D20,Doors!$B:$B,$B20,Doors!$C:$C,$C20)*SUMIFS(Velocity!$I:$I,Velocity!$A:$A,$A20,Velocity!$B:$B,$C20)/Assumptions!$B$4*Assumptions!$B$6</f>
        <v>14.25</v>
      </c>
      <c r="AL20" s="7" t="n">
        <f aca="false">SUMIFS(Doors!AX:AX,Doors!$A:$A,$D20,Doors!$B:$B,$B20,Doors!$C:$C,$C20)*SUMIFS(Velocity!$I:$I,Velocity!$A:$A,$A20,Velocity!$B:$B,$C20)/Assumptions!$B$4*Assumptions!$B$6</f>
        <v>14.25</v>
      </c>
      <c r="AM20" s="7" t="n">
        <f aca="false">SUMIFS(Doors!AY:AY,Doors!$A:$A,$D20,Doors!$B:$B,$B20,Doors!$C:$C,$C20)*SUMIFS(Velocity!$I:$I,Velocity!$A:$A,$A20,Velocity!$B:$B,$C20)/Assumptions!$B$4*Assumptions!$B$6</f>
        <v>14.25</v>
      </c>
      <c r="AN20" s="7" t="n">
        <f aca="false">SUMIFS(Doors!AZ:AZ,Doors!$A:$A,$D20,Doors!$B:$B,$B20,Doors!$C:$C,$C20)*SUMIFS(Velocity!$I:$I,Velocity!$A:$A,$A20,Velocity!$B:$B,$C20)/Assumptions!$B$4*Assumptions!$B$6</f>
        <v>14.84375</v>
      </c>
      <c r="AO20" s="7" t="n">
        <f aca="false">SUMIFS(Doors!BA:BA,Doors!$A:$A,$D20,Doors!$B:$B,$B20,Doors!$C:$C,$C20)*SUMIFS(Velocity!$I:$I,Velocity!$A:$A,$A20,Velocity!$B:$B,$C20)/Assumptions!$B$4*Assumptions!$B$6</f>
        <v>14.84375</v>
      </c>
      <c r="AP20" s="7" t="n">
        <f aca="false">SUMIFS(Doors!BB:BB,Doors!$A:$A,$D20,Doors!$B:$B,$B20,Doors!$C:$C,$C20)*SUMIFS(Velocity!$I:$I,Velocity!$A:$A,$A20,Velocity!$B:$B,$C20)/Assumptions!$B$4*Assumptions!$B$6</f>
        <v>14.84375</v>
      </c>
      <c r="AQ20" s="7" t="n">
        <f aca="false">SUMIFS(Doors!BC:BC,Doors!$A:$A,$D20,Doors!$B:$B,$B20,Doors!$C:$C,$C20)*SUMIFS(Velocity!$I:$I,Velocity!$A:$A,$A20,Velocity!$B:$B,$C20)/Assumptions!$B$4*Assumptions!$B$6</f>
        <v>14.84375</v>
      </c>
      <c r="AR20" s="7" t="n">
        <f aca="false">SUMIFS(Doors!BD:BD,Doors!$A:$A,$D20,Doors!$B:$B,$B20,Doors!$C:$C,$C20)*SUMIFS(Velocity!$I:$I,Velocity!$A:$A,$A20,Velocity!$B:$B,$C20)/Assumptions!$B$4*Assumptions!$B$6</f>
        <v>15.4375</v>
      </c>
      <c r="AS20" s="7" t="n">
        <f aca="false">SUMIFS(Doors!BE:BE,Doors!$A:$A,$D20,Doors!$B:$B,$B20,Doors!$C:$C,$C20)*SUMIFS(Velocity!$I:$I,Velocity!$A:$A,$A20,Velocity!$B:$B,$C20)/Assumptions!$B$4*Assumptions!$B$6</f>
        <v>15.4375</v>
      </c>
      <c r="AT20" s="7" t="n">
        <f aca="false">SUMIFS(Doors!BF:BF,Doors!$A:$A,$D20,Doors!$B:$B,$B20,Doors!$C:$C,$C20)*SUMIFS(Velocity!$I:$I,Velocity!$A:$A,$A20,Velocity!$B:$B,$C20)/Assumptions!$B$4*Assumptions!$B$6</f>
        <v>15.4375</v>
      </c>
      <c r="AU20" s="7" t="n">
        <f aca="false">SUMIFS(Doors!BG:BG,Doors!$A:$A,$D20,Doors!$B:$B,$B20,Doors!$C:$C,$C20)*SUMIFS(Velocity!$I:$I,Velocity!$A:$A,$A20,Velocity!$B:$B,$C20)/Assumptions!$B$4*Assumptions!$B$6</f>
        <v>15.4375</v>
      </c>
      <c r="AV20" s="7" t="n">
        <f aca="false">SUMIFS(Doors!BH:BH,Doors!$A:$A,$D20,Doors!$B:$B,$B20,Doors!$C:$C,$C20)*SUMIFS(Velocity!$I:$I,Velocity!$A:$A,$A20,Velocity!$B:$B,$C20)/Assumptions!$B$4*Assumptions!$B$6</f>
        <v>15.4375</v>
      </c>
      <c r="AW20" s="7" t="n">
        <f aca="false">SUMIFS(Doors!BI:BI,Doors!$A:$A,$D20,Doors!$B:$B,$B20,Doors!$C:$C,$C20)*SUMIFS(Velocity!$I:$I,Velocity!$A:$A,$A20,Velocity!$B:$B,$C20)/Assumptions!$B$4*Assumptions!$B$6</f>
        <v>15.8333333333333</v>
      </c>
      <c r="AX20" s="7" t="n">
        <f aca="false">SUMIFS(Doors!BJ:BJ,Doors!$A:$A,$D20,Doors!$B:$B,$B20,Doors!$C:$C,$C20)*SUMIFS(Velocity!$I:$I,Velocity!$A:$A,$A20,Velocity!$B:$B,$C20)/Assumptions!$B$4*Assumptions!$B$6</f>
        <v>15.8333333333333</v>
      </c>
      <c r="AY20" s="7" t="n">
        <f aca="false">SUMIFS(Doors!BK:BK,Doors!$A:$A,$D20,Doors!$B:$B,$B20,Doors!$C:$C,$C20)*SUMIFS(Velocity!$I:$I,Velocity!$A:$A,$A20,Velocity!$B:$B,$C20)/Assumptions!$B$4*Assumptions!$B$6</f>
        <v>15.8333333333333</v>
      </c>
      <c r="AZ20" s="7" t="n">
        <f aca="false">SUMIFS(Doors!BL:BL,Doors!$A:$A,$D20,Doors!$B:$B,$B20,Doors!$C:$C,$C20)*SUMIFS(Velocity!$I:$I,Velocity!$A:$A,$A20,Velocity!$B:$B,$C20)/Assumptions!$B$4*Assumptions!$B$6</f>
        <v>15.8333333333333</v>
      </c>
      <c r="BA20" s="7" t="n">
        <f aca="false">SUMIFS(Doors!BM:BM,Doors!$A:$A,$D20,Doors!$B:$B,$B20,Doors!$C:$C,$C20)*SUMIFS(Velocity!$I:$I,Velocity!$A:$A,$A20,Velocity!$B:$B,$C20)/Assumptions!$B$4*Assumptions!$B$6</f>
        <v>15.8333333333333</v>
      </c>
      <c r="BB20" s="7" t="n">
        <f aca="false">SUMIFS(Doors!BN:BN,Doors!$A:$A,$D20,Doors!$B:$B,$B20,Doors!$C:$C,$C20)*SUMIFS(Velocity!$I:$I,Velocity!$A:$A,$A20,Velocity!$B:$B,$C20)/Assumptions!$B$4*Assumptions!$B$6</f>
        <v>15.8333333333333</v>
      </c>
      <c r="BC20" s="7" t="n">
        <f aca="false">SUMIFS(Doors!BO:BO,Doors!$A:$A,$D20,Doors!$B:$B,$B20,Doors!$C:$C,$C20)*SUMIFS(Velocity!$I:$I,Velocity!$A:$A,$A20,Velocity!$B:$B,$C20)/Assumptions!$B$4*Assumptions!$B$6</f>
        <v>15.8333333333333</v>
      </c>
      <c r="BD20" s="7" t="n">
        <f aca="false">SUMIFS(Doors!BP:BP,Doors!$A:$A,$D20,Doors!$B:$B,$B20,Doors!$C:$C,$C20)*SUMIFS(Velocity!$I:$I,Velocity!$A:$A,$A20,Velocity!$B:$B,$C20)/Assumptions!$B$4*Assumptions!$B$6</f>
        <v>15.8333333333333</v>
      </c>
    </row>
    <row r="21" customFormat="false" ht="15" hidden="false" customHeight="false" outlineLevel="0" collapsed="false">
      <c r="A21" s="0" t="s">
        <v>108</v>
      </c>
      <c r="B21" s="0" t="s">
        <v>127</v>
      </c>
      <c r="C21" s="0" t="s">
        <v>121</v>
      </c>
      <c r="D21" s="0" t="s">
        <v>235</v>
      </c>
      <c r="E21" s="7" t="n">
        <f aca="false">SUMIFS(Doors!Q:Q,Doors!$A:$A,$D21,Doors!$B:$B,$B21,Doors!$C:$C,$C21)*SUMIFS(Velocity!$I:$I,Velocity!$A:$A,$A21,Velocity!$B:$B,$C21)/Assumptions!$B$4*Assumptions!$B$6</f>
        <v>3.04166666666667</v>
      </c>
      <c r="F21" s="7" t="n">
        <f aca="false">SUMIFS(Doors!R:R,Doors!$A:$A,$D21,Doors!$B:$B,$B21,Doors!$C:$C,$C21)*SUMIFS(Velocity!$I:$I,Velocity!$A:$A,$A21,Velocity!$B:$B,$C21)/Assumptions!$B$4*Assumptions!$B$6</f>
        <v>3.04166666666667</v>
      </c>
      <c r="G21" s="7" t="n">
        <f aca="false">SUMIFS(Doors!S:S,Doors!$A:$A,$D21,Doors!$B:$B,$B21,Doors!$C:$C,$C21)*SUMIFS(Velocity!$I:$I,Velocity!$A:$A,$A21,Velocity!$B:$B,$C21)/Assumptions!$B$4*Assumptions!$B$6</f>
        <v>3.04166666666667</v>
      </c>
      <c r="H21" s="7" t="n">
        <f aca="false">SUMIFS(Doors!T:T,Doors!$A:$A,$D21,Doors!$B:$B,$B21,Doors!$C:$C,$C21)*SUMIFS(Velocity!$I:$I,Velocity!$A:$A,$A21,Velocity!$B:$B,$C21)/Assumptions!$B$4*Assumptions!$B$6</f>
        <v>3.04166666666667</v>
      </c>
      <c r="I21" s="7" t="n">
        <f aca="false">SUMIFS(Doors!U:U,Doors!$A:$A,$D21,Doors!$B:$B,$B21,Doors!$C:$C,$C21)*SUMIFS(Velocity!$I:$I,Velocity!$A:$A,$A21,Velocity!$B:$B,$C21)/Assumptions!$B$4*Assumptions!$B$6</f>
        <v>3.04166666666667</v>
      </c>
      <c r="J21" s="7" t="n">
        <f aca="false">SUMIFS(Doors!V:V,Doors!$A:$A,$D21,Doors!$B:$B,$B21,Doors!$C:$C,$C21)*SUMIFS(Velocity!$I:$I,Velocity!$A:$A,$A21,Velocity!$B:$B,$C21)/Assumptions!$B$4*Assumptions!$B$6</f>
        <v>4.86666666666667</v>
      </c>
      <c r="K21" s="7" t="n">
        <f aca="false">SUMIFS(Doors!W:W,Doors!$A:$A,$D21,Doors!$B:$B,$B21,Doors!$C:$C,$C21)*SUMIFS(Velocity!$I:$I,Velocity!$A:$A,$A21,Velocity!$B:$B,$C21)/Assumptions!$B$4*Assumptions!$B$6</f>
        <v>4.86666666666667</v>
      </c>
      <c r="L21" s="7" t="n">
        <f aca="false">SUMIFS(Doors!X:X,Doors!$A:$A,$D21,Doors!$B:$B,$B21,Doors!$C:$C,$C21)*SUMIFS(Velocity!$I:$I,Velocity!$A:$A,$A21,Velocity!$B:$B,$C21)/Assumptions!$B$4*Assumptions!$B$6</f>
        <v>4.86666666666667</v>
      </c>
      <c r="M21" s="7" t="n">
        <f aca="false">SUMIFS(Doors!Y:Y,Doors!$A:$A,$D21,Doors!$B:$B,$B21,Doors!$C:$C,$C21)*SUMIFS(Velocity!$I:$I,Velocity!$A:$A,$A21,Velocity!$B:$B,$C21)/Assumptions!$B$4*Assumptions!$B$6</f>
        <v>4.86666666666667</v>
      </c>
      <c r="N21" s="7" t="n">
        <f aca="false">SUMIFS(Doors!Z:Z,Doors!$A:$A,$D21,Doors!$B:$B,$B21,Doors!$C:$C,$C21)*SUMIFS(Velocity!$I:$I,Velocity!$A:$A,$A21,Velocity!$B:$B,$C21)/Assumptions!$B$4*Assumptions!$B$6</f>
        <v>7.3</v>
      </c>
      <c r="O21" s="7" t="n">
        <f aca="false">SUMIFS(Doors!AA:AA,Doors!$A:$A,$D21,Doors!$B:$B,$B21,Doors!$C:$C,$C21)*SUMIFS(Velocity!$I:$I,Velocity!$A:$A,$A21,Velocity!$B:$B,$C21)/Assumptions!$B$4*Assumptions!$B$6</f>
        <v>7.3</v>
      </c>
      <c r="P21" s="7" t="n">
        <f aca="false">SUMIFS(Doors!AB:AB,Doors!$A:$A,$D21,Doors!$B:$B,$B21,Doors!$C:$C,$C21)*SUMIFS(Velocity!$I:$I,Velocity!$A:$A,$A21,Velocity!$B:$B,$C21)/Assumptions!$B$4*Assumptions!$B$6</f>
        <v>7.3</v>
      </c>
      <c r="Q21" s="7" t="n">
        <f aca="false">SUMIFS(Doors!AC:AC,Doors!$A:$A,$D21,Doors!$B:$B,$B21,Doors!$C:$C,$C21)*SUMIFS(Velocity!$I:$I,Velocity!$A:$A,$A21,Velocity!$B:$B,$C21)/Assumptions!$B$4*Assumptions!$B$6</f>
        <v>7.3</v>
      </c>
      <c r="R21" s="7" t="n">
        <f aca="false">SUMIFS(Doors!AD:AD,Doors!$A:$A,$D21,Doors!$B:$B,$B21,Doors!$C:$C,$C21)*SUMIFS(Velocity!$I:$I,Velocity!$A:$A,$A21,Velocity!$B:$B,$C21)/Assumptions!$B$4*Assumptions!$B$6</f>
        <v>9.73333333333333</v>
      </c>
      <c r="S21" s="7" t="n">
        <f aca="false">SUMIFS(Doors!AE:AE,Doors!$A:$A,$D21,Doors!$B:$B,$B21,Doors!$C:$C,$C21)*SUMIFS(Velocity!$I:$I,Velocity!$A:$A,$A21,Velocity!$B:$B,$C21)/Assumptions!$B$4*Assumptions!$B$6</f>
        <v>9.73333333333333</v>
      </c>
      <c r="T21" s="7" t="n">
        <f aca="false">SUMIFS(Doors!AF:AF,Doors!$A:$A,$D21,Doors!$B:$B,$B21,Doors!$C:$C,$C21)*SUMIFS(Velocity!$I:$I,Velocity!$A:$A,$A21,Velocity!$B:$B,$C21)/Assumptions!$B$4*Assumptions!$B$6</f>
        <v>9.73333333333333</v>
      </c>
      <c r="U21" s="7" t="n">
        <f aca="false">SUMIFS(Doors!AG:AG,Doors!$A:$A,$D21,Doors!$B:$B,$B21,Doors!$C:$C,$C21)*SUMIFS(Velocity!$I:$I,Velocity!$A:$A,$A21,Velocity!$B:$B,$C21)/Assumptions!$B$4*Assumptions!$B$6</f>
        <v>9.73333333333333</v>
      </c>
      <c r="V21" s="7" t="n">
        <f aca="false">SUMIFS(Doors!AH:AH,Doors!$A:$A,$D21,Doors!$B:$B,$B21,Doors!$C:$C,$C21)*SUMIFS(Velocity!$I:$I,Velocity!$A:$A,$A21,Velocity!$B:$B,$C21)/Assumptions!$B$4*Assumptions!$B$6</f>
        <v>9.73333333333333</v>
      </c>
      <c r="W21" s="7" t="n">
        <f aca="false">SUMIFS(Doors!AI:AI,Doors!$A:$A,$D21,Doors!$B:$B,$B21,Doors!$C:$C,$C21)*SUMIFS(Velocity!$I:$I,Velocity!$A:$A,$A21,Velocity!$B:$B,$C21)/Assumptions!$B$4*Assumptions!$B$6</f>
        <v>11.5583333333333</v>
      </c>
      <c r="X21" s="7" t="n">
        <f aca="false">SUMIFS(Doors!AJ:AJ,Doors!$A:$A,$D21,Doors!$B:$B,$B21,Doors!$C:$C,$C21)*SUMIFS(Velocity!$I:$I,Velocity!$A:$A,$A21,Velocity!$B:$B,$C21)/Assumptions!$B$4*Assumptions!$B$6</f>
        <v>11.5583333333333</v>
      </c>
      <c r="Y21" s="7" t="n">
        <f aca="false">SUMIFS(Doors!AK:AK,Doors!$A:$A,$D21,Doors!$B:$B,$B21,Doors!$C:$C,$C21)*SUMIFS(Velocity!$I:$I,Velocity!$A:$A,$A21,Velocity!$B:$B,$C21)/Assumptions!$B$4*Assumptions!$B$6</f>
        <v>11.5583333333333</v>
      </c>
      <c r="Z21" s="7" t="n">
        <f aca="false">SUMIFS(Doors!AL:AL,Doors!$A:$A,$D21,Doors!$B:$B,$B21,Doors!$C:$C,$C21)*SUMIFS(Velocity!$I:$I,Velocity!$A:$A,$A21,Velocity!$B:$B,$C21)/Assumptions!$B$4*Assumptions!$B$6</f>
        <v>11.5583333333333</v>
      </c>
      <c r="AA21" s="7" t="n">
        <f aca="false">SUMIFS(Doors!AM:AM,Doors!$A:$A,$D21,Doors!$B:$B,$B21,Doors!$C:$C,$C21)*SUMIFS(Velocity!$I:$I,Velocity!$A:$A,$A21,Velocity!$B:$B,$C21)/Assumptions!$B$4*Assumptions!$B$6</f>
        <v>12.775</v>
      </c>
      <c r="AB21" s="7" t="n">
        <f aca="false">SUMIFS(Doors!AN:AN,Doors!$A:$A,$D21,Doors!$B:$B,$B21,Doors!$C:$C,$C21)*SUMIFS(Velocity!$I:$I,Velocity!$A:$A,$A21,Velocity!$B:$B,$C21)/Assumptions!$B$4*Assumptions!$B$6</f>
        <v>12.775</v>
      </c>
      <c r="AC21" s="7" t="n">
        <f aca="false">SUMIFS(Doors!AO:AO,Doors!$A:$A,$D21,Doors!$B:$B,$B21,Doors!$C:$C,$C21)*SUMIFS(Velocity!$I:$I,Velocity!$A:$A,$A21,Velocity!$B:$B,$C21)/Assumptions!$B$4*Assumptions!$B$6</f>
        <v>12.775</v>
      </c>
      <c r="AD21" s="7" t="n">
        <f aca="false">SUMIFS(Doors!AP:AP,Doors!$A:$A,$D21,Doors!$B:$B,$B21,Doors!$C:$C,$C21)*SUMIFS(Velocity!$I:$I,Velocity!$A:$A,$A21,Velocity!$B:$B,$C21)/Assumptions!$B$4*Assumptions!$B$6</f>
        <v>12.775</v>
      </c>
      <c r="AE21" s="7" t="n">
        <f aca="false">SUMIFS(Doors!AQ:AQ,Doors!$A:$A,$D21,Doors!$B:$B,$B21,Doors!$C:$C,$C21)*SUMIFS(Velocity!$I:$I,Velocity!$A:$A,$A21,Velocity!$B:$B,$C21)/Assumptions!$B$4*Assumptions!$B$6</f>
        <v>13.6875</v>
      </c>
      <c r="AF21" s="7" t="n">
        <f aca="false">SUMIFS(Doors!AR:AR,Doors!$A:$A,$D21,Doors!$B:$B,$B21,Doors!$C:$C,$C21)*SUMIFS(Velocity!$I:$I,Velocity!$A:$A,$A21,Velocity!$B:$B,$C21)/Assumptions!$B$4*Assumptions!$B$6</f>
        <v>13.6875</v>
      </c>
      <c r="AG21" s="7" t="n">
        <f aca="false">SUMIFS(Doors!AS:AS,Doors!$A:$A,$D21,Doors!$B:$B,$B21,Doors!$C:$C,$C21)*SUMIFS(Velocity!$I:$I,Velocity!$A:$A,$A21,Velocity!$B:$B,$C21)/Assumptions!$B$4*Assumptions!$B$6</f>
        <v>13.6875</v>
      </c>
      <c r="AH21" s="7" t="n">
        <f aca="false">SUMIFS(Doors!AT:AT,Doors!$A:$A,$D21,Doors!$B:$B,$B21,Doors!$C:$C,$C21)*SUMIFS(Velocity!$I:$I,Velocity!$A:$A,$A21,Velocity!$B:$B,$C21)/Assumptions!$B$4*Assumptions!$B$6</f>
        <v>13.6875</v>
      </c>
      <c r="AI21" s="7" t="n">
        <f aca="false">SUMIFS(Doors!AU:AU,Doors!$A:$A,$D21,Doors!$B:$B,$B21,Doors!$C:$C,$C21)*SUMIFS(Velocity!$I:$I,Velocity!$A:$A,$A21,Velocity!$B:$B,$C21)/Assumptions!$B$4*Assumptions!$B$6</f>
        <v>13.6875</v>
      </c>
      <c r="AJ21" s="7" t="n">
        <f aca="false">SUMIFS(Doors!AV:AV,Doors!$A:$A,$D21,Doors!$B:$B,$B21,Doors!$C:$C,$C21)*SUMIFS(Velocity!$I:$I,Velocity!$A:$A,$A21,Velocity!$B:$B,$C21)/Assumptions!$B$4*Assumptions!$B$6</f>
        <v>14.2958333333333</v>
      </c>
      <c r="AK21" s="7" t="n">
        <f aca="false">SUMIFS(Doors!AW:AW,Doors!$A:$A,$D21,Doors!$B:$B,$B21,Doors!$C:$C,$C21)*SUMIFS(Velocity!$I:$I,Velocity!$A:$A,$A21,Velocity!$B:$B,$C21)/Assumptions!$B$4*Assumptions!$B$6</f>
        <v>14.2958333333333</v>
      </c>
      <c r="AL21" s="7" t="n">
        <f aca="false">SUMIFS(Doors!AX:AX,Doors!$A:$A,$D21,Doors!$B:$B,$B21,Doors!$C:$C,$C21)*SUMIFS(Velocity!$I:$I,Velocity!$A:$A,$A21,Velocity!$B:$B,$C21)/Assumptions!$B$4*Assumptions!$B$6</f>
        <v>14.2958333333333</v>
      </c>
      <c r="AM21" s="7" t="n">
        <f aca="false">SUMIFS(Doors!AY:AY,Doors!$A:$A,$D21,Doors!$B:$B,$B21,Doors!$C:$C,$C21)*SUMIFS(Velocity!$I:$I,Velocity!$A:$A,$A21,Velocity!$B:$B,$C21)/Assumptions!$B$4*Assumptions!$B$6</f>
        <v>14.2958333333333</v>
      </c>
      <c r="AN21" s="7" t="n">
        <f aca="false">SUMIFS(Doors!AZ:AZ,Doors!$A:$A,$D21,Doors!$B:$B,$B21,Doors!$C:$C,$C21)*SUMIFS(Velocity!$I:$I,Velocity!$A:$A,$A21,Velocity!$B:$B,$C21)/Assumptions!$B$4*Assumptions!$B$6</f>
        <v>14.9041666666667</v>
      </c>
      <c r="AO21" s="7" t="n">
        <f aca="false">SUMIFS(Doors!BA:BA,Doors!$A:$A,$D21,Doors!$B:$B,$B21,Doors!$C:$C,$C21)*SUMIFS(Velocity!$I:$I,Velocity!$A:$A,$A21,Velocity!$B:$B,$C21)/Assumptions!$B$4*Assumptions!$B$6</f>
        <v>14.9041666666667</v>
      </c>
      <c r="AP21" s="7" t="n">
        <f aca="false">SUMIFS(Doors!BB:BB,Doors!$A:$A,$D21,Doors!$B:$B,$B21,Doors!$C:$C,$C21)*SUMIFS(Velocity!$I:$I,Velocity!$A:$A,$A21,Velocity!$B:$B,$C21)/Assumptions!$B$4*Assumptions!$B$6</f>
        <v>14.9041666666667</v>
      </c>
      <c r="AQ21" s="7" t="n">
        <f aca="false">SUMIFS(Doors!BC:BC,Doors!$A:$A,$D21,Doors!$B:$B,$B21,Doors!$C:$C,$C21)*SUMIFS(Velocity!$I:$I,Velocity!$A:$A,$A21,Velocity!$B:$B,$C21)/Assumptions!$B$4*Assumptions!$B$6</f>
        <v>14.9041666666667</v>
      </c>
      <c r="AR21" s="7" t="n">
        <f aca="false">SUMIFS(Doors!BD:BD,Doors!$A:$A,$D21,Doors!$B:$B,$B21,Doors!$C:$C,$C21)*SUMIFS(Velocity!$I:$I,Velocity!$A:$A,$A21,Velocity!$B:$B,$C21)/Assumptions!$B$4*Assumptions!$B$6</f>
        <v>15.2083333333333</v>
      </c>
      <c r="AS21" s="7" t="n">
        <f aca="false">SUMIFS(Doors!BE:BE,Doors!$A:$A,$D21,Doors!$B:$B,$B21,Doors!$C:$C,$C21)*SUMIFS(Velocity!$I:$I,Velocity!$A:$A,$A21,Velocity!$B:$B,$C21)/Assumptions!$B$4*Assumptions!$B$6</f>
        <v>15.2083333333333</v>
      </c>
      <c r="AT21" s="7" t="n">
        <f aca="false">SUMIFS(Doors!BF:BF,Doors!$A:$A,$D21,Doors!$B:$B,$B21,Doors!$C:$C,$C21)*SUMIFS(Velocity!$I:$I,Velocity!$A:$A,$A21,Velocity!$B:$B,$C21)/Assumptions!$B$4*Assumptions!$B$6</f>
        <v>15.2083333333333</v>
      </c>
      <c r="AU21" s="7" t="n">
        <f aca="false">SUMIFS(Doors!BG:BG,Doors!$A:$A,$D21,Doors!$B:$B,$B21,Doors!$C:$C,$C21)*SUMIFS(Velocity!$I:$I,Velocity!$A:$A,$A21,Velocity!$B:$B,$C21)/Assumptions!$B$4*Assumptions!$B$6</f>
        <v>15.2083333333333</v>
      </c>
      <c r="AV21" s="7" t="n">
        <f aca="false">SUMIFS(Doors!BH:BH,Doors!$A:$A,$D21,Doors!$B:$B,$B21,Doors!$C:$C,$C21)*SUMIFS(Velocity!$I:$I,Velocity!$A:$A,$A21,Velocity!$B:$B,$C21)/Assumptions!$B$4*Assumptions!$B$6</f>
        <v>15.2083333333333</v>
      </c>
      <c r="AW21" s="7" t="n">
        <f aca="false">SUMIFS(Doors!BI:BI,Doors!$A:$A,$D21,Doors!$B:$B,$B21,Doors!$C:$C,$C21)*SUMIFS(Velocity!$I:$I,Velocity!$A:$A,$A21,Velocity!$B:$B,$C21)/Assumptions!$B$4*Assumptions!$B$6</f>
        <v>15.2083333333333</v>
      </c>
      <c r="AX21" s="7" t="n">
        <f aca="false">SUMIFS(Doors!BJ:BJ,Doors!$A:$A,$D21,Doors!$B:$B,$B21,Doors!$C:$C,$C21)*SUMIFS(Velocity!$I:$I,Velocity!$A:$A,$A21,Velocity!$B:$B,$C21)/Assumptions!$B$4*Assumptions!$B$6</f>
        <v>15.2083333333333</v>
      </c>
      <c r="AY21" s="7" t="n">
        <f aca="false">SUMIFS(Doors!BK:BK,Doors!$A:$A,$D21,Doors!$B:$B,$B21,Doors!$C:$C,$C21)*SUMIFS(Velocity!$I:$I,Velocity!$A:$A,$A21,Velocity!$B:$B,$C21)/Assumptions!$B$4*Assumptions!$B$6</f>
        <v>15.2083333333333</v>
      </c>
      <c r="AZ21" s="7" t="n">
        <f aca="false">SUMIFS(Doors!BL:BL,Doors!$A:$A,$D21,Doors!$B:$B,$B21,Doors!$C:$C,$C21)*SUMIFS(Velocity!$I:$I,Velocity!$A:$A,$A21,Velocity!$B:$B,$C21)/Assumptions!$B$4*Assumptions!$B$6</f>
        <v>15.2083333333333</v>
      </c>
      <c r="BA21" s="7" t="n">
        <f aca="false">SUMIFS(Doors!BM:BM,Doors!$A:$A,$D21,Doors!$B:$B,$B21,Doors!$C:$C,$C21)*SUMIFS(Velocity!$I:$I,Velocity!$A:$A,$A21,Velocity!$B:$B,$C21)/Assumptions!$B$4*Assumptions!$B$6</f>
        <v>15.2083333333333</v>
      </c>
      <c r="BB21" s="7" t="n">
        <f aca="false">SUMIFS(Doors!BN:BN,Doors!$A:$A,$D21,Doors!$B:$B,$B21,Doors!$C:$C,$C21)*SUMIFS(Velocity!$I:$I,Velocity!$A:$A,$A21,Velocity!$B:$B,$C21)/Assumptions!$B$4*Assumptions!$B$6</f>
        <v>15.2083333333333</v>
      </c>
      <c r="BC21" s="7" t="n">
        <f aca="false">SUMIFS(Doors!BO:BO,Doors!$A:$A,$D21,Doors!$B:$B,$B21,Doors!$C:$C,$C21)*SUMIFS(Velocity!$I:$I,Velocity!$A:$A,$A21,Velocity!$B:$B,$C21)/Assumptions!$B$4*Assumptions!$B$6</f>
        <v>15.2083333333333</v>
      </c>
      <c r="BD21" s="7" t="n">
        <f aca="false">SUMIFS(Doors!BP:BP,Doors!$A:$A,$D21,Doors!$B:$B,$B21,Doors!$C:$C,$C21)*SUMIFS(Velocity!$I:$I,Velocity!$A:$A,$A21,Velocity!$B:$B,$C21)/Assumptions!$B$4*Assumptions!$B$6</f>
        <v>15.2083333333333</v>
      </c>
    </row>
    <row r="22" customFormat="false" ht="15" hidden="false" customHeight="false" outlineLevel="0" collapsed="false">
      <c r="A22" s="0" t="s">
        <v>108</v>
      </c>
      <c r="B22" s="0" t="s">
        <v>127</v>
      </c>
      <c r="C22" s="0" t="s">
        <v>122</v>
      </c>
      <c r="D22" s="0" t="s">
        <v>235</v>
      </c>
      <c r="E22" s="7" t="n">
        <f aca="false">SUMIFS(Doors!Q:Q,Doors!$A:$A,$D22,Doors!$B:$B,$B22,Doors!$C:$C,$C22)*SUMIFS(Velocity!$I:$I,Velocity!$A:$A,$A22,Velocity!$B:$B,$C22)/Assumptions!$B$4*Assumptions!$B$6</f>
        <v>1.1</v>
      </c>
      <c r="F22" s="7" t="n">
        <f aca="false">SUMIFS(Doors!R:R,Doors!$A:$A,$D22,Doors!$B:$B,$B22,Doors!$C:$C,$C22)*SUMIFS(Velocity!$I:$I,Velocity!$A:$A,$A22,Velocity!$B:$B,$C22)/Assumptions!$B$4*Assumptions!$B$6</f>
        <v>1.1</v>
      </c>
      <c r="G22" s="7" t="n">
        <f aca="false">SUMIFS(Doors!S:S,Doors!$A:$A,$D22,Doors!$B:$B,$B22,Doors!$C:$C,$C22)*SUMIFS(Velocity!$I:$I,Velocity!$A:$A,$A22,Velocity!$B:$B,$C22)/Assumptions!$B$4*Assumptions!$B$6</f>
        <v>1.1</v>
      </c>
      <c r="H22" s="7" t="n">
        <f aca="false">SUMIFS(Doors!T:T,Doors!$A:$A,$D22,Doors!$B:$B,$B22,Doors!$C:$C,$C22)*SUMIFS(Velocity!$I:$I,Velocity!$A:$A,$A22,Velocity!$B:$B,$C22)/Assumptions!$B$4*Assumptions!$B$6</f>
        <v>1.1</v>
      </c>
      <c r="I22" s="7" t="n">
        <f aca="false">SUMIFS(Doors!U:U,Doors!$A:$A,$D22,Doors!$B:$B,$B22,Doors!$C:$C,$C22)*SUMIFS(Velocity!$I:$I,Velocity!$A:$A,$A22,Velocity!$B:$B,$C22)/Assumptions!$B$4*Assumptions!$B$6</f>
        <v>1.1</v>
      </c>
      <c r="J22" s="7" t="n">
        <f aca="false">SUMIFS(Doors!V:V,Doors!$A:$A,$D22,Doors!$B:$B,$B22,Doors!$C:$C,$C22)*SUMIFS(Velocity!$I:$I,Velocity!$A:$A,$A22,Velocity!$B:$B,$C22)/Assumptions!$B$4*Assumptions!$B$6</f>
        <v>1.65</v>
      </c>
      <c r="K22" s="7" t="n">
        <f aca="false">SUMIFS(Doors!W:W,Doors!$A:$A,$D22,Doors!$B:$B,$B22,Doors!$C:$C,$C22)*SUMIFS(Velocity!$I:$I,Velocity!$A:$A,$A22,Velocity!$B:$B,$C22)/Assumptions!$B$4*Assumptions!$B$6</f>
        <v>1.65</v>
      </c>
      <c r="L22" s="7" t="n">
        <f aca="false">SUMIFS(Doors!X:X,Doors!$A:$A,$D22,Doors!$B:$B,$B22,Doors!$C:$C,$C22)*SUMIFS(Velocity!$I:$I,Velocity!$A:$A,$A22,Velocity!$B:$B,$C22)/Assumptions!$B$4*Assumptions!$B$6</f>
        <v>1.65</v>
      </c>
      <c r="M22" s="7" t="n">
        <f aca="false">SUMIFS(Doors!Y:Y,Doors!$A:$A,$D22,Doors!$B:$B,$B22,Doors!$C:$C,$C22)*SUMIFS(Velocity!$I:$I,Velocity!$A:$A,$A22,Velocity!$B:$B,$C22)/Assumptions!$B$4*Assumptions!$B$6</f>
        <v>1.65</v>
      </c>
      <c r="N22" s="7" t="n">
        <f aca="false">SUMIFS(Doors!Z:Z,Doors!$A:$A,$D22,Doors!$B:$B,$B22,Doors!$C:$C,$C22)*SUMIFS(Velocity!$I:$I,Velocity!$A:$A,$A22,Velocity!$B:$B,$C22)/Assumptions!$B$4*Assumptions!$B$6</f>
        <v>2.475</v>
      </c>
      <c r="O22" s="7" t="n">
        <f aca="false">SUMIFS(Doors!AA:AA,Doors!$A:$A,$D22,Doors!$B:$B,$B22,Doors!$C:$C,$C22)*SUMIFS(Velocity!$I:$I,Velocity!$A:$A,$A22,Velocity!$B:$B,$C22)/Assumptions!$B$4*Assumptions!$B$6</f>
        <v>2.475</v>
      </c>
      <c r="P22" s="7" t="n">
        <f aca="false">SUMIFS(Doors!AB:AB,Doors!$A:$A,$D22,Doors!$B:$B,$B22,Doors!$C:$C,$C22)*SUMIFS(Velocity!$I:$I,Velocity!$A:$A,$A22,Velocity!$B:$B,$C22)/Assumptions!$B$4*Assumptions!$B$6</f>
        <v>2.475</v>
      </c>
      <c r="Q22" s="7" t="n">
        <f aca="false">SUMIFS(Doors!AC:AC,Doors!$A:$A,$D22,Doors!$B:$B,$B22,Doors!$C:$C,$C22)*SUMIFS(Velocity!$I:$I,Velocity!$A:$A,$A22,Velocity!$B:$B,$C22)/Assumptions!$B$4*Assumptions!$B$6</f>
        <v>2.475</v>
      </c>
      <c r="R22" s="7" t="n">
        <f aca="false">SUMIFS(Doors!AD:AD,Doors!$A:$A,$D22,Doors!$B:$B,$B22,Doors!$C:$C,$C22)*SUMIFS(Velocity!$I:$I,Velocity!$A:$A,$A22,Velocity!$B:$B,$C22)/Assumptions!$B$4*Assumptions!$B$6</f>
        <v>3.3</v>
      </c>
      <c r="S22" s="7" t="n">
        <f aca="false">SUMIFS(Doors!AE:AE,Doors!$A:$A,$D22,Doors!$B:$B,$B22,Doors!$C:$C,$C22)*SUMIFS(Velocity!$I:$I,Velocity!$A:$A,$A22,Velocity!$B:$B,$C22)/Assumptions!$B$4*Assumptions!$B$6</f>
        <v>3.3</v>
      </c>
      <c r="T22" s="7" t="n">
        <f aca="false">SUMIFS(Doors!AF:AF,Doors!$A:$A,$D22,Doors!$B:$B,$B22,Doors!$C:$C,$C22)*SUMIFS(Velocity!$I:$I,Velocity!$A:$A,$A22,Velocity!$B:$B,$C22)/Assumptions!$B$4*Assumptions!$B$6</f>
        <v>3.3</v>
      </c>
      <c r="U22" s="7" t="n">
        <f aca="false">SUMIFS(Doors!AG:AG,Doors!$A:$A,$D22,Doors!$B:$B,$B22,Doors!$C:$C,$C22)*SUMIFS(Velocity!$I:$I,Velocity!$A:$A,$A22,Velocity!$B:$B,$C22)/Assumptions!$B$4*Assumptions!$B$6</f>
        <v>3.3</v>
      </c>
      <c r="V22" s="7" t="n">
        <f aca="false">SUMIFS(Doors!AH:AH,Doors!$A:$A,$D22,Doors!$B:$B,$B22,Doors!$C:$C,$C22)*SUMIFS(Velocity!$I:$I,Velocity!$A:$A,$A22,Velocity!$B:$B,$C22)/Assumptions!$B$4*Assumptions!$B$6</f>
        <v>3.3</v>
      </c>
      <c r="W22" s="7" t="n">
        <f aca="false">SUMIFS(Doors!AI:AI,Doors!$A:$A,$D22,Doors!$B:$B,$B22,Doors!$C:$C,$C22)*SUMIFS(Velocity!$I:$I,Velocity!$A:$A,$A22,Velocity!$B:$B,$C22)/Assumptions!$B$4*Assumptions!$B$6</f>
        <v>4.125</v>
      </c>
      <c r="X22" s="7" t="n">
        <f aca="false">SUMIFS(Doors!AJ:AJ,Doors!$A:$A,$D22,Doors!$B:$B,$B22,Doors!$C:$C,$C22)*SUMIFS(Velocity!$I:$I,Velocity!$A:$A,$A22,Velocity!$B:$B,$C22)/Assumptions!$B$4*Assumptions!$B$6</f>
        <v>4.125</v>
      </c>
      <c r="Y22" s="7" t="n">
        <f aca="false">SUMIFS(Doors!AK:AK,Doors!$A:$A,$D22,Doors!$B:$B,$B22,Doors!$C:$C,$C22)*SUMIFS(Velocity!$I:$I,Velocity!$A:$A,$A22,Velocity!$B:$B,$C22)/Assumptions!$B$4*Assumptions!$B$6</f>
        <v>4.125</v>
      </c>
      <c r="Z22" s="7" t="n">
        <f aca="false">SUMIFS(Doors!AL:AL,Doors!$A:$A,$D22,Doors!$B:$B,$B22,Doors!$C:$C,$C22)*SUMIFS(Velocity!$I:$I,Velocity!$A:$A,$A22,Velocity!$B:$B,$C22)/Assumptions!$B$4*Assumptions!$B$6</f>
        <v>4.125</v>
      </c>
      <c r="AA22" s="7" t="n">
        <f aca="false">SUMIFS(Doors!AM:AM,Doors!$A:$A,$D22,Doors!$B:$B,$B22,Doors!$C:$C,$C22)*SUMIFS(Velocity!$I:$I,Velocity!$A:$A,$A22,Velocity!$B:$B,$C22)/Assumptions!$B$4*Assumptions!$B$6</f>
        <v>4.675</v>
      </c>
      <c r="AB22" s="7" t="n">
        <f aca="false">SUMIFS(Doors!AN:AN,Doors!$A:$A,$D22,Doors!$B:$B,$B22,Doors!$C:$C,$C22)*SUMIFS(Velocity!$I:$I,Velocity!$A:$A,$A22,Velocity!$B:$B,$C22)/Assumptions!$B$4*Assumptions!$B$6</f>
        <v>4.675</v>
      </c>
      <c r="AC22" s="7" t="n">
        <f aca="false">SUMIFS(Doors!AO:AO,Doors!$A:$A,$D22,Doors!$B:$B,$B22,Doors!$C:$C,$C22)*SUMIFS(Velocity!$I:$I,Velocity!$A:$A,$A22,Velocity!$B:$B,$C22)/Assumptions!$B$4*Assumptions!$B$6</f>
        <v>4.675</v>
      </c>
      <c r="AD22" s="7" t="n">
        <f aca="false">SUMIFS(Doors!AP:AP,Doors!$A:$A,$D22,Doors!$B:$B,$B22,Doors!$C:$C,$C22)*SUMIFS(Velocity!$I:$I,Velocity!$A:$A,$A22,Velocity!$B:$B,$C22)/Assumptions!$B$4*Assumptions!$B$6</f>
        <v>4.675</v>
      </c>
      <c r="AE22" s="7" t="n">
        <f aca="false">SUMIFS(Doors!AQ:AQ,Doors!$A:$A,$D22,Doors!$B:$B,$B22,Doors!$C:$C,$C22)*SUMIFS(Velocity!$I:$I,Velocity!$A:$A,$A22,Velocity!$B:$B,$C22)/Assumptions!$B$4*Assumptions!$B$6</f>
        <v>5.0875</v>
      </c>
      <c r="AF22" s="7" t="n">
        <f aca="false">SUMIFS(Doors!AR:AR,Doors!$A:$A,$D22,Doors!$B:$B,$B22,Doors!$C:$C,$C22)*SUMIFS(Velocity!$I:$I,Velocity!$A:$A,$A22,Velocity!$B:$B,$C22)/Assumptions!$B$4*Assumptions!$B$6</f>
        <v>5.0875</v>
      </c>
      <c r="AG22" s="7" t="n">
        <f aca="false">SUMIFS(Doors!AS:AS,Doors!$A:$A,$D22,Doors!$B:$B,$B22,Doors!$C:$C,$C22)*SUMIFS(Velocity!$I:$I,Velocity!$A:$A,$A22,Velocity!$B:$B,$C22)/Assumptions!$B$4*Assumptions!$B$6</f>
        <v>5.0875</v>
      </c>
      <c r="AH22" s="7" t="n">
        <f aca="false">SUMIFS(Doors!AT:AT,Doors!$A:$A,$D22,Doors!$B:$B,$B22,Doors!$C:$C,$C22)*SUMIFS(Velocity!$I:$I,Velocity!$A:$A,$A22,Velocity!$B:$B,$C22)/Assumptions!$B$4*Assumptions!$B$6</f>
        <v>5.0875</v>
      </c>
      <c r="AI22" s="7" t="n">
        <f aca="false">SUMIFS(Doors!AU:AU,Doors!$A:$A,$D22,Doors!$B:$B,$B22,Doors!$C:$C,$C22)*SUMIFS(Velocity!$I:$I,Velocity!$A:$A,$A22,Velocity!$B:$B,$C22)/Assumptions!$B$4*Assumptions!$B$6</f>
        <v>5.0875</v>
      </c>
      <c r="AJ22" s="7" t="n">
        <f aca="false">SUMIFS(Doors!AV:AV,Doors!$A:$A,$D22,Doors!$B:$B,$B22,Doors!$C:$C,$C22)*SUMIFS(Velocity!$I:$I,Velocity!$A:$A,$A22,Velocity!$B:$B,$C22)/Assumptions!$B$4*Assumptions!$B$6</f>
        <v>5.3625</v>
      </c>
      <c r="AK22" s="7" t="n">
        <f aca="false">SUMIFS(Doors!AW:AW,Doors!$A:$A,$D22,Doors!$B:$B,$B22,Doors!$C:$C,$C22)*SUMIFS(Velocity!$I:$I,Velocity!$A:$A,$A22,Velocity!$B:$B,$C22)/Assumptions!$B$4*Assumptions!$B$6</f>
        <v>5.3625</v>
      </c>
      <c r="AL22" s="7" t="n">
        <f aca="false">SUMIFS(Doors!AX:AX,Doors!$A:$A,$D22,Doors!$B:$B,$B22,Doors!$C:$C,$C22)*SUMIFS(Velocity!$I:$I,Velocity!$A:$A,$A22,Velocity!$B:$B,$C22)/Assumptions!$B$4*Assumptions!$B$6</f>
        <v>5.3625</v>
      </c>
      <c r="AM22" s="7" t="n">
        <f aca="false">SUMIFS(Doors!AY:AY,Doors!$A:$A,$D22,Doors!$B:$B,$B22,Doors!$C:$C,$C22)*SUMIFS(Velocity!$I:$I,Velocity!$A:$A,$A22,Velocity!$B:$B,$C22)/Assumptions!$B$4*Assumptions!$B$6</f>
        <v>5.3625</v>
      </c>
      <c r="AN22" s="7" t="n">
        <f aca="false">SUMIFS(Doors!AZ:AZ,Doors!$A:$A,$D22,Doors!$B:$B,$B22,Doors!$C:$C,$C22)*SUMIFS(Velocity!$I:$I,Velocity!$A:$A,$A22,Velocity!$B:$B,$C22)/Assumptions!$B$4*Assumptions!$B$6</f>
        <v>5.5</v>
      </c>
      <c r="AO22" s="7" t="n">
        <f aca="false">SUMIFS(Doors!BA:BA,Doors!$A:$A,$D22,Doors!$B:$B,$B22,Doors!$C:$C,$C22)*SUMIFS(Velocity!$I:$I,Velocity!$A:$A,$A22,Velocity!$B:$B,$C22)/Assumptions!$B$4*Assumptions!$B$6</f>
        <v>5.5</v>
      </c>
      <c r="AP22" s="7" t="n">
        <f aca="false">SUMIFS(Doors!BB:BB,Doors!$A:$A,$D22,Doors!$B:$B,$B22,Doors!$C:$C,$C22)*SUMIFS(Velocity!$I:$I,Velocity!$A:$A,$A22,Velocity!$B:$B,$C22)/Assumptions!$B$4*Assumptions!$B$6</f>
        <v>5.5</v>
      </c>
      <c r="AQ22" s="7" t="n">
        <f aca="false">SUMIFS(Doors!BC:BC,Doors!$A:$A,$D22,Doors!$B:$B,$B22,Doors!$C:$C,$C22)*SUMIFS(Velocity!$I:$I,Velocity!$A:$A,$A22,Velocity!$B:$B,$C22)/Assumptions!$B$4*Assumptions!$B$6</f>
        <v>5.5</v>
      </c>
      <c r="AR22" s="7" t="n">
        <f aca="false">SUMIFS(Doors!BD:BD,Doors!$A:$A,$D22,Doors!$B:$B,$B22,Doors!$C:$C,$C22)*SUMIFS(Velocity!$I:$I,Velocity!$A:$A,$A22,Velocity!$B:$B,$C22)/Assumptions!$B$4*Assumptions!$B$6</f>
        <v>5.5</v>
      </c>
      <c r="AS22" s="7" t="n">
        <f aca="false">SUMIFS(Doors!BE:BE,Doors!$A:$A,$D22,Doors!$B:$B,$B22,Doors!$C:$C,$C22)*SUMIFS(Velocity!$I:$I,Velocity!$A:$A,$A22,Velocity!$B:$B,$C22)/Assumptions!$B$4*Assumptions!$B$6</f>
        <v>5.5</v>
      </c>
      <c r="AT22" s="7" t="n">
        <f aca="false">SUMIFS(Doors!BF:BF,Doors!$A:$A,$D22,Doors!$B:$B,$B22,Doors!$C:$C,$C22)*SUMIFS(Velocity!$I:$I,Velocity!$A:$A,$A22,Velocity!$B:$B,$C22)/Assumptions!$B$4*Assumptions!$B$6</f>
        <v>5.5</v>
      </c>
      <c r="AU22" s="7" t="n">
        <f aca="false">SUMIFS(Doors!BG:BG,Doors!$A:$A,$D22,Doors!$B:$B,$B22,Doors!$C:$C,$C22)*SUMIFS(Velocity!$I:$I,Velocity!$A:$A,$A22,Velocity!$B:$B,$C22)/Assumptions!$B$4*Assumptions!$B$6</f>
        <v>5.5</v>
      </c>
      <c r="AV22" s="7" t="n">
        <f aca="false">SUMIFS(Doors!BH:BH,Doors!$A:$A,$D22,Doors!$B:$B,$B22,Doors!$C:$C,$C22)*SUMIFS(Velocity!$I:$I,Velocity!$A:$A,$A22,Velocity!$B:$B,$C22)/Assumptions!$B$4*Assumptions!$B$6</f>
        <v>5.5</v>
      </c>
      <c r="AW22" s="7" t="n">
        <f aca="false">SUMIFS(Doors!BI:BI,Doors!$A:$A,$D22,Doors!$B:$B,$B22,Doors!$C:$C,$C22)*SUMIFS(Velocity!$I:$I,Velocity!$A:$A,$A22,Velocity!$B:$B,$C22)/Assumptions!$B$4*Assumptions!$B$6</f>
        <v>5.5</v>
      </c>
      <c r="AX22" s="7" t="n">
        <f aca="false">SUMIFS(Doors!BJ:BJ,Doors!$A:$A,$D22,Doors!$B:$B,$B22,Doors!$C:$C,$C22)*SUMIFS(Velocity!$I:$I,Velocity!$A:$A,$A22,Velocity!$B:$B,$C22)/Assumptions!$B$4*Assumptions!$B$6</f>
        <v>5.5</v>
      </c>
      <c r="AY22" s="7" t="n">
        <f aca="false">SUMIFS(Doors!BK:BK,Doors!$A:$A,$D22,Doors!$B:$B,$B22,Doors!$C:$C,$C22)*SUMIFS(Velocity!$I:$I,Velocity!$A:$A,$A22,Velocity!$B:$B,$C22)/Assumptions!$B$4*Assumptions!$B$6</f>
        <v>5.5</v>
      </c>
      <c r="AZ22" s="7" t="n">
        <f aca="false">SUMIFS(Doors!BL:BL,Doors!$A:$A,$D22,Doors!$B:$B,$B22,Doors!$C:$C,$C22)*SUMIFS(Velocity!$I:$I,Velocity!$A:$A,$A22,Velocity!$B:$B,$C22)/Assumptions!$B$4*Assumptions!$B$6</f>
        <v>5.5</v>
      </c>
      <c r="BA22" s="7" t="n">
        <f aca="false">SUMIFS(Doors!BM:BM,Doors!$A:$A,$D22,Doors!$B:$B,$B22,Doors!$C:$C,$C22)*SUMIFS(Velocity!$I:$I,Velocity!$A:$A,$A22,Velocity!$B:$B,$C22)/Assumptions!$B$4*Assumptions!$B$6</f>
        <v>5.5</v>
      </c>
      <c r="BB22" s="7" t="n">
        <f aca="false">SUMIFS(Doors!BN:BN,Doors!$A:$A,$D22,Doors!$B:$B,$B22,Doors!$C:$C,$C22)*SUMIFS(Velocity!$I:$I,Velocity!$A:$A,$A22,Velocity!$B:$B,$C22)/Assumptions!$B$4*Assumptions!$B$6</f>
        <v>5.5</v>
      </c>
      <c r="BC22" s="7" t="n">
        <f aca="false">SUMIFS(Doors!BO:BO,Doors!$A:$A,$D22,Doors!$B:$B,$B22,Doors!$C:$C,$C22)*SUMIFS(Velocity!$I:$I,Velocity!$A:$A,$A22,Velocity!$B:$B,$C22)/Assumptions!$B$4*Assumptions!$B$6</f>
        <v>5.5</v>
      </c>
      <c r="BD22" s="7" t="n">
        <f aca="false">SUMIFS(Doors!BP:BP,Doors!$A:$A,$D22,Doors!$B:$B,$B22,Doors!$C:$C,$C22)*SUMIFS(Velocity!$I:$I,Velocity!$A:$A,$A22,Velocity!$B:$B,$C22)/Assumptions!$B$4*Assumptions!$B$6</f>
        <v>5.5</v>
      </c>
    </row>
    <row r="23" customFormat="false" ht="15" hidden="false" customHeight="false" outlineLevel="0" collapsed="false">
      <c r="A23" s="0" t="s">
        <v>108</v>
      </c>
      <c r="B23" s="0" t="s">
        <v>127</v>
      </c>
      <c r="C23" s="0" t="s">
        <v>123</v>
      </c>
      <c r="D23" s="0" t="s">
        <v>235</v>
      </c>
      <c r="E23" s="7" t="n">
        <f aca="false">SUMIFS(Doors!Q:Q,Doors!$A:$A,$D23,Doors!$B:$B,$B23,Doors!$C:$C,$C23)*SUMIFS(Velocity!$I:$I,Velocity!$A:$A,$A23,Velocity!$B:$B,$C23)/Assumptions!$B$4*Assumptions!$B$6</f>
        <v>0</v>
      </c>
      <c r="F23" s="7" t="n">
        <f aca="false">SUMIFS(Doors!R:R,Doors!$A:$A,$D23,Doors!$B:$B,$B23,Doors!$C:$C,$C23)*SUMIFS(Velocity!$I:$I,Velocity!$A:$A,$A23,Velocity!$B:$B,$C23)/Assumptions!$B$4*Assumptions!$B$6</f>
        <v>0</v>
      </c>
      <c r="G23" s="7" t="n">
        <f aca="false">SUMIFS(Doors!S:S,Doors!$A:$A,$D23,Doors!$B:$B,$B23,Doors!$C:$C,$C23)*SUMIFS(Velocity!$I:$I,Velocity!$A:$A,$A23,Velocity!$B:$B,$C23)/Assumptions!$B$4*Assumptions!$B$6</f>
        <v>0</v>
      </c>
      <c r="H23" s="7" t="n">
        <f aca="false">SUMIFS(Doors!T:T,Doors!$A:$A,$D23,Doors!$B:$B,$B23,Doors!$C:$C,$C23)*SUMIFS(Velocity!$I:$I,Velocity!$A:$A,$A23,Velocity!$B:$B,$C23)/Assumptions!$B$4*Assumptions!$B$6</f>
        <v>0</v>
      </c>
      <c r="I23" s="7" t="n">
        <f aca="false">SUMIFS(Doors!U:U,Doors!$A:$A,$D23,Doors!$B:$B,$B23,Doors!$C:$C,$C23)*SUMIFS(Velocity!$I:$I,Velocity!$A:$A,$A23,Velocity!$B:$B,$C23)/Assumptions!$B$4*Assumptions!$B$6</f>
        <v>0</v>
      </c>
      <c r="J23" s="7" t="n">
        <f aca="false">SUMIFS(Doors!V:V,Doors!$A:$A,$D23,Doors!$B:$B,$B23,Doors!$C:$C,$C23)*SUMIFS(Velocity!$I:$I,Velocity!$A:$A,$A23,Velocity!$B:$B,$C23)/Assumptions!$B$4*Assumptions!$B$6</f>
        <v>0</v>
      </c>
      <c r="K23" s="7" t="n">
        <f aca="false">SUMIFS(Doors!W:W,Doors!$A:$A,$D23,Doors!$B:$B,$B23,Doors!$C:$C,$C23)*SUMIFS(Velocity!$I:$I,Velocity!$A:$A,$A23,Velocity!$B:$B,$C23)/Assumptions!$B$4*Assumptions!$B$6</f>
        <v>0</v>
      </c>
      <c r="L23" s="7" t="n">
        <f aca="false">SUMIFS(Doors!X:X,Doors!$A:$A,$D23,Doors!$B:$B,$B23,Doors!$C:$C,$C23)*SUMIFS(Velocity!$I:$I,Velocity!$A:$A,$A23,Velocity!$B:$B,$C23)/Assumptions!$B$4*Assumptions!$B$6</f>
        <v>0</v>
      </c>
      <c r="M23" s="7" t="n">
        <f aca="false">SUMIFS(Doors!Y:Y,Doors!$A:$A,$D23,Doors!$B:$B,$B23,Doors!$C:$C,$C23)*SUMIFS(Velocity!$I:$I,Velocity!$A:$A,$A23,Velocity!$B:$B,$C23)/Assumptions!$B$4*Assumptions!$B$6</f>
        <v>0</v>
      </c>
      <c r="N23" s="7" t="n">
        <f aca="false">SUMIFS(Doors!Z:Z,Doors!$A:$A,$D23,Doors!$B:$B,$B23,Doors!$C:$C,$C23)*SUMIFS(Velocity!$I:$I,Velocity!$A:$A,$A23,Velocity!$B:$B,$C23)/Assumptions!$B$4*Assumptions!$B$6</f>
        <v>0</v>
      </c>
      <c r="O23" s="7" t="n">
        <f aca="false">SUMIFS(Doors!AA:AA,Doors!$A:$A,$D23,Doors!$B:$B,$B23,Doors!$C:$C,$C23)*SUMIFS(Velocity!$I:$I,Velocity!$A:$A,$A23,Velocity!$B:$B,$C23)/Assumptions!$B$4*Assumptions!$B$6</f>
        <v>0</v>
      </c>
      <c r="P23" s="7" t="n">
        <f aca="false">SUMIFS(Doors!AB:AB,Doors!$A:$A,$D23,Doors!$B:$B,$B23,Doors!$C:$C,$C23)*SUMIFS(Velocity!$I:$I,Velocity!$A:$A,$A23,Velocity!$B:$B,$C23)/Assumptions!$B$4*Assumptions!$B$6</f>
        <v>0</v>
      </c>
      <c r="Q23" s="7" t="n">
        <f aca="false">SUMIFS(Doors!AC:AC,Doors!$A:$A,$D23,Doors!$B:$B,$B23,Doors!$C:$C,$C23)*SUMIFS(Velocity!$I:$I,Velocity!$A:$A,$A23,Velocity!$B:$B,$C23)/Assumptions!$B$4*Assumptions!$B$6</f>
        <v>0</v>
      </c>
      <c r="R23" s="7" t="n">
        <f aca="false">SUMIFS(Doors!AD:AD,Doors!$A:$A,$D23,Doors!$B:$B,$B23,Doors!$C:$C,$C23)*SUMIFS(Velocity!$I:$I,Velocity!$A:$A,$A23,Velocity!$B:$B,$C23)/Assumptions!$B$4*Assumptions!$B$6</f>
        <v>0</v>
      </c>
      <c r="S23" s="7" t="n">
        <f aca="false">SUMIFS(Doors!AE:AE,Doors!$A:$A,$D23,Doors!$B:$B,$B23,Doors!$C:$C,$C23)*SUMIFS(Velocity!$I:$I,Velocity!$A:$A,$A23,Velocity!$B:$B,$C23)/Assumptions!$B$4*Assumptions!$B$6</f>
        <v>0</v>
      </c>
      <c r="T23" s="7" t="n">
        <f aca="false">SUMIFS(Doors!AF:AF,Doors!$A:$A,$D23,Doors!$B:$B,$B23,Doors!$C:$C,$C23)*SUMIFS(Velocity!$I:$I,Velocity!$A:$A,$A23,Velocity!$B:$B,$C23)/Assumptions!$B$4*Assumptions!$B$6</f>
        <v>0</v>
      </c>
      <c r="U23" s="7" t="n">
        <f aca="false">SUMIFS(Doors!AG:AG,Doors!$A:$A,$D23,Doors!$B:$B,$B23,Doors!$C:$C,$C23)*SUMIFS(Velocity!$I:$I,Velocity!$A:$A,$A23,Velocity!$B:$B,$C23)/Assumptions!$B$4*Assumptions!$B$6</f>
        <v>0</v>
      </c>
      <c r="V23" s="7" t="n">
        <f aca="false">SUMIFS(Doors!AH:AH,Doors!$A:$A,$D23,Doors!$B:$B,$B23,Doors!$C:$C,$C23)*SUMIFS(Velocity!$I:$I,Velocity!$A:$A,$A23,Velocity!$B:$B,$C23)/Assumptions!$B$4*Assumptions!$B$6</f>
        <v>0</v>
      </c>
      <c r="W23" s="7" t="n">
        <f aca="false">SUMIFS(Doors!AI:AI,Doors!$A:$A,$D23,Doors!$B:$B,$B23,Doors!$C:$C,$C23)*SUMIFS(Velocity!$I:$I,Velocity!$A:$A,$A23,Velocity!$B:$B,$C23)/Assumptions!$B$4*Assumptions!$B$6</f>
        <v>0</v>
      </c>
      <c r="X23" s="7" t="n">
        <f aca="false">SUMIFS(Doors!AJ:AJ,Doors!$A:$A,$D23,Doors!$B:$B,$B23,Doors!$C:$C,$C23)*SUMIFS(Velocity!$I:$I,Velocity!$A:$A,$A23,Velocity!$B:$B,$C23)/Assumptions!$B$4*Assumptions!$B$6</f>
        <v>0</v>
      </c>
      <c r="Y23" s="7" t="n">
        <f aca="false">SUMIFS(Doors!AK:AK,Doors!$A:$A,$D23,Doors!$B:$B,$B23,Doors!$C:$C,$C23)*SUMIFS(Velocity!$I:$I,Velocity!$A:$A,$A23,Velocity!$B:$B,$C23)/Assumptions!$B$4*Assumptions!$B$6</f>
        <v>0</v>
      </c>
      <c r="Z23" s="7" t="n">
        <f aca="false">SUMIFS(Doors!AL:AL,Doors!$A:$A,$D23,Doors!$B:$B,$B23,Doors!$C:$C,$C23)*SUMIFS(Velocity!$I:$I,Velocity!$A:$A,$A23,Velocity!$B:$B,$C23)/Assumptions!$B$4*Assumptions!$B$6</f>
        <v>0</v>
      </c>
      <c r="AA23" s="7" t="n">
        <f aca="false">SUMIFS(Doors!AM:AM,Doors!$A:$A,$D23,Doors!$B:$B,$B23,Doors!$C:$C,$C23)*SUMIFS(Velocity!$I:$I,Velocity!$A:$A,$A23,Velocity!$B:$B,$C23)/Assumptions!$B$4*Assumptions!$B$6</f>
        <v>0</v>
      </c>
      <c r="AB23" s="7" t="n">
        <f aca="false">SUMIFS(Doors!AN:AN,Doors!$A:$A,$D23,Doors!$B:$B,$B23,Doors!$C:$C,$C23)*SUMIFS(Velocity!$I:$I,Velocity!$A:$A,$A23,Velocity!$B:$B,$C23)/Assumptions!$B$4*Assumptions!$B$6</f>
        <v>0</v>
      </c>
      <c r="AC23" s="7" t="n">
        <f aca="false">SUMIFS(Doors!AO:AO,Doors!$A:$A,$D23,Doors!$B:$B,$B23,Doors!$C:$C,$C23)*SUMIFS(Velocity!$I:$I,Velocity!$A:$A,$A23,Velocity!$B:$B,$C23)/Assumptions!$B$4*Assumptions!$B$6</f>
        <v>0</v>
      </c>
      <c r="AD23" s="7" t="n">
        <f aca="false">SUMIFS(Doors!AP:AP,Doors!$A:$A,$D23,Doors!$B:$B,$B23,Doors!$C:$C,$C23)*SUMIFS(Velocity!$I:$I,Velocity!$A:$A,$A23,Velocity!$B:$B,$C23)/Assumptions!$B$4*Assumptions!$B$6</f>
        <v>0</v>
      </c>
      <c r="AE23" s="7" t="n">
        <f aca="false">SUMIFS(Doors!AQ:AQ,Doors!$A:$A,$D23,Doors!$B:$B,$B23,Doors!$C:$C,$C23)*SUMIFS(Velocity!$I:$I,Velocity!$A:$A,$A23,Velocity!$B:$B,$C23)/Assumptions!$B$4*Assumptions!$B$6</f>
        <v>0</v>
      </c>
      <c r="AF23" s="7" t="n">
        <f aca="false">SUMIFS(Doors!AR:AR,Doors!$A:$A,$D23,Doors!$B:$B,$B23,Doors!$C:$C,$C23)*SUMIFS(Velocity!$I:$I,Velocity!$A:$A,$A23,Velocity!$B:$B,$C23)/Assumptions!$B$4*Assumptions!$B$6</f>
        <v>0</v>
      </c>
      <c r="AG23" s="7" t="n">
        <f aca="false">SUMIFS(Doors!AS:AS,Doors!$A:$A,$D23,Doors!$B:$B,$B23,Doors!$C:$C,$C23)*SUMIFS(Velocity!$I:$I,Velocity!$A:$A,$A23,Velocity!$B:$B,$C23)/Assumptions!$B$4*Assumptions!$B$6</f>
        <v>0</v>
      </c>
      <c r="AH23" s="7" t="n">
        <f aca="false">SUMIFS(Doors!AT:AT,Doors!$A:$A,$D23,Doors!$B:$B,$B23,Doors!$C:$C,$C23)*SUMIFS(Velocity!$I:$I,Velocity!$A:$A,$A23,Velocity!$B:$B,$C23)/Assumptions!$B$4*Assumptions!$B$6</f>
        <v>0</v>
      </c>
      <c r="AI23" s="7" t="n">
        <f aca="false">SUMIFS(Doors!AU:AU,Doors!$A:$A,$D23,Doors!$B:$B,$B23,Doors!$C:$C,$C23)*SUMIFS(Velocity!$I:$I,Velocity!$A:$A,$A23,Velocity!$B:$B,$C23)/Assumptions!$B$4*Assumptions!$B$6</f>
        <v>0</v>
      </c>
      <c r="AJ23" s="7" t="n">
        <f aca="false">SUMIFS(Doors!AV:AV,Doors!$A:$A,$D23,Doors!$B:$B,$B23,Doors!$C:$C,$C23)*SUMIFS(Velocity!$I:$I,Velocity!$A:$A,$A23,Velocity!$B:$B,$C23)/Assumptions!$B$4*Assumptions!$B$6</f>
        <v>0</v>
      </c>
      <c r="AK23" s="7" t="n">
        <f aca="false">SUMIFS(Doors!AW:AW,Doors!$A:$A,$D23,Doors!$B:$B,$B23,Doors!$C:$C,$C23)*SUMIFS(Velocity!$I:$I,Velocity!$A:$A,$A23,Velocity!$B:$B,$C23)/Assumptions!$B$4*Assumptions!$B$6</f>
        <v>0</v>
      </c>
      <c r="AL23" s="7" t="n">
        <f aca="false">SUMIFS(Doors!AX:AX,Doors!$A:$A,$D23,Doors!$B:$B,$B23,Doors!$C:$C,$C23)*SUMIFS(Velocity!$I:$I,Velocity!$A:$A,$A23,Velocity!$B:$B,$C23)/Assumptions!$B$4*Assumptions!$B$6</f>
        <v>0</v>
      </c>
      <c r="AM23" s="7" t="n">
        <f aca="false">SUMIFS(Doors!AY:AY,Doors!$A:$A,$D23,Doors!$B:$B,$B23,Doors!$C:$C,$C23)*SUMIFS(Velocity!$I:$I,Velocity!$A:$A,$A23,Velocity!$B:$B,$C23)/Assumptions!$B$4*Assumptions!$B$6</f>
        <v>0</v>
      </c>
      <c r="AN23" s="7" t="n">
        <f aca="false">SUMIFS(Doors!AZ:AZ,Doors!$A:$A,$D23,Doors!$B:$B,$B23,Doors!$C:$C,$C23)*SUMIFS(Velocity!$I:$I,Velocity!$A:$A,$A23,Velocity!$B:$B,$C23)/Assumptions!$B$4*Assumptions!$B$6</f>
        <v>0</v>
      </c>
      <c r="AO23" s="7" t="n">
        <f aca="false">SUMIFS(Doors!BA:BA,Doors!$A:$A,$D23,Doors!$B:$B,$B23,Doors!$C:$C,$C23)*SUMIFS(Velocity!$I:$I,Velocity!$A:$A,$A23,Velocity!$B:$B,$C23)/Assumptions!$B$4*Assumptions!$B$6</f>
        <v>0</v>
      </c>
      <c r="AP23" s="7" t="n">
        <f aca="false">SUMIFS(Doors!BB:BB,Doors!$A:$A,$D23,Doors!$B:$B,$B23,Doors!$C:$C,$C23)*SUMIFS(Velocity!$I:$I,Velocity!$A:$A,$A23,Velocity!$B:$B,$C23)/Assumptions!$B$4*Assumptions!$B$6</f>
        <v>0</v>
      </c>
      <c r="AQ23" s="7" t="n">
        <f aca="false">SUMIFS(Doors!BC:BC,Doors!$A:$A,$D23,Doors!$B:$B,$B23,Doors!$C:$C,$C23)*SUMIFS(Velocity!$I:$I,Velocity!$A:$A,$A23,Velocity!$B:$B,$C23)/Assumptions!$B$4*Assumptions!$B$6</f>
        <v>0</v>
      </c>
      <c r="AR23" s="7" t="n">
        <f aca="false">SUMIFS(Doors!BD:BD,Doors!$A:$A,$D23,Doors!$B:$B,$B23,Doors!$C:$C,$C23)*SUMIFS(Velocity!$I:$I,Velocity!$A:$A,$A23,Velocity!$B:$B,$C23)/Assumptions!$B$4*Assumptions!$B$6</f>
        <v>0</v>
      </c>
      <c r="AS23" s="7" t="n">
        <f aca="false">SUMIFS(Doors!BE:BE,Doors!$A:$A,$D23,Doors!$B:$B,$B23,Doors!$C:$C,$C23)*SUMIFS(Velocity!$I:$I,Velocity!$A:$A,$A23,Velocity!$B:$B,$C23)/Assumptions!$B$4*Assumptions!$B$6</f>
        <v>0</v>
      </c>
      <c r="AT23" s="7" t="n">
        <f aca="false">SUMIFS(Doors!BF:BF,Doors!$A:$A,$D23,Doors!$B:$B,$B23,Doors!$C:$C,$C23)*SUMIFS(Velocity!$I:$I,Velocity!$A:$A,$A23,Velocity!$B:$B,$C23)/Assumptions!$B$4*Assumptions!$B$6</f>
        <v>0</v>
      </c>
      <c r="AU23" s="7" t="n">
        <f aca="false">SUMIFS(Doors!BG:BG,Doors!$A:$A,$D23,Doors!$B:$B,$B23,Doors!$C:$C,$C23)*SUMIFS(Velocity!$I:$I,Velocity!$A:$A,$A23,Velocity!$B:$B,$C23)/Assumptions!$B$4*Assumptions!$B$6</f>
        <v>0</v>
      </c>
      <c r="AV23" s="7" t="n">
        <f aca="false">SUMIFS(Doors!BH:BH,Doors!$A:$A,$D23,Doors!$B:$B,$B23,Doors!$C:$C,$C23)*SUMIFS(Velocity!$I:$I,Velocity!$A:$A,$A23,Velocity!$B:$B,$C23)/Assumptions!$B$4*Assumptions!$B$6</f>
        <v>0</v>
      </c>
      <c r="AW23" s="7" t="n">
        <f aca="false">SUMIFS(Doors!BI:BI,Doors!$A:$A,$D23,Doors!$B:$B,$B23,Doors!$C:$C,$C23)*SUMIFS(Velocity!$I:$I,Velocity!$A:$A,$A23,Velocity!$B:$B,$C23)/Assumptions!$B$4*Assumptions!$B$6</f>
        <v>0</v>
      </c>
      <c r="AX23" s="7" t="n">
        <f aca="false">SUMIFS(Doors!BJ:BJ,Doors!$A:$A,$D23,Doors!$B:$B,$B23,Doors!$C:$C,$C23)*SUMIFS(Velocity!$I:$I,Velocity!$A:$A,$A23,Velocity!$B:$B,$C23)/Assumptions!$B$4*Assumptions!$B$6</f>
        <v>0</v>
      </c>
      <c r="AY23" s="7" t="n">
        <f aca="false">SUMIFS(Doors!BK:BK,Doors!$A:$A,$D23,Doors!$B:$B,$B23,Doors!$C:$C,$C23)*SUMIFS(Velocity!$I:$I,Velocity!$A:$A,$A23,Velocity!$B:$B,$C23)/Assumptions!$B$4*Assumptions!$B$6</f>
        <v>0</v>
      </c>
      <c r="AZ23" s="7" t="n">
        <f aca="false">SUMIFS(Doors!BL:BL,Doors!$A:$A,$D23,Doors!$B:$B,$B23,Doors!$C:$C,$C23)*SUMIFS(Velocity!$I:$I,Velocity!$A:$A,$A23,Velocity!$B:$B,$C23)/Assumptions!$B$4*Assumptions!$B$6</f>
        <v>0</v>
      </c>
      <c r="BA23" s="7" t="n">
        <f aca="false">SUMIFS(Doors!BM:BM,Doors!$A:$A,$D23,Doors!$B:$B,$B23,Doors!$C:$C,$C23)*SUMIFS(Velocity!$I:$I,Velocity!$A:$A,$A23,Velocity!$B:$B,$C23)/Assumptions!$B$4*Assumptions!$B$6</f>
        <v>0</v>
      </c>
      <c r="BB23" s="7" t="n">
        <f aca="false">SUMIFS(Doors!BN:BN,Doors!$A:$A,$D23,Doors!$B:$B,$B23,Doors!$C:$C,$C23)*SUMIFS(Velocity!$I:$I,Velocity!$A:$A,$A23,Velocity!$B:$B,$C23)/Assumptions!$B$4*Assumptions!$B$6</f>
        <v>0</v>
      </c>
      <c r="BC23" s="7" t="n">
        <f aca="false">SUMIFS(Doors!BO:BO,Doors!$A:$A,$D23,Doors!$B:$B,$B23,Doors!$C:$C,$C23)*SUMIFS(Velocity!$I:$I,Velocity!$A:$A,$A23,Velocity!$B:$B,$C23)/Assumptions!$B$4*Assumptions!$B$6</f>
        <v>0</v>
      </c>
      <c r="BD23" s="7" t="n">
        <f aca="false">SUMIFS(Doors!BP:BP,Doors!$A:$A,$D23,Doors!$B:$B,$B23,Doors!$C:$C,$C23)*SUMIFS(Velocity!$I:$I,Velocity!$A:$A,$A23,Velocity!$B:$B,$C23)/Assumptions!$B$4*Assumptions!$B$6</f>
        <v>0</v>
      </c>
    </row>
    <row r="24" customFormat="false" ht="15" hidden="false" customHeight="false" outlineLevel="0" collapsed="false">
      <c r="A24" s="0" t="s">
        <v>108</v>
      </c>
      <c r="B24" s="0" t="s">
        <v>128</v>
      </c>
      <c r="C24" s="0" t="s">
        <v>115</v>
      </c>
      <c r="D24" s="0" t="s">
        <v>235</v>
      </c>
      <c r="E24" s="7" t="n">
        <f aca="false">SUMIFS(Doors!Q:Q,Doors!$A:$A,$D24,Doors!$B:$B,$B24,Doors!$C:$C,$C24)*SUMIFS(Velocity!$I:$I,Velocity!$A:$A,$A24,Velocity!$B:$B,$C24)/Assumptions!$B$4*Assumptions!$B$6</f>
        <v>0</v>
      </c>
      <c r="F24" s="7" t="n">
        <f aca="false">SUMIFS(Doors!R:R,Doors!$A:$A,$D24,Doors!$B:$B,$B24,Doors!$C:$C,$C24)*SUMIFS(Velocity!$I:$I,Velocity!$A:$A,$A24,Velocity!$B:$B,$C24)/Assumptions!$B$4*Assumptions!$B$6</f>
        <v>0</v>
      </c>
      <c r="G24" s="7" t="n">
        <f aca="false">SUMIFS(Doors!S:S,Doors!$A:$A,$D24,Doors!$B:$B,$B24,Doors!$C:$C,$C24)*SUMIFS(Velocity!$I:$I,Velocity!$A:$A,$A24,Velocity!$B:$B,$C24)/Assumptions!$B$4*Assumptions!$B$6</f>
        <v>0</v>
      </c>
      <c r="H24" s="7" t="n">
        <f aca="false">SUMIFS(Doors!T:T,Doors!$A:$A,$D24,Doors!$B:$B,$B24,Doors!$C:$C,$C24)*SUMIFS(Velocity!$I:$I,Velocity!$A:$A,$A24,Velocity!$B:$B,$C24)/Assumptions!$B$4*Assumptions!$B$6</f>
        <v>0</v>
      </c>
      <c r="I24" s="7" t="n">
        <f aca="false">SUMIFS(Doors!U:U,Doors!$A:$A,$D24,Doors!$B:$B,$B24,Doors!$C:$C,$C24)*SUMIFS(Velocity!$I:$I,Velocity!$A:$A,$A24,Velocity!$B:$B,$C24)/Assumptions!$B$4*Assumptions!$B$6</f>
        <v>0</v>
      </c>
      <c r="J24" s="7" t="n">
        <f aca="false">SUMIFS(Doors!V:V,Doors!$A:$A,$D24,Doors!$B:$B,$B24,Doors!$C:$C,$C24)*SUMIFS(Velocity!$I:$I,Velocity!$A:$A,$A24,Velocity!$B:$B,$C24)/Assumptions!$B$4*Assumptions!$B$6</f>
        <v>0</v>
      </c>
      <c r="K24" s="7" t="n">
        <f aca="false">SUMIFS(Doors!W:W,Doors!$A:$A,$D24,Doors!$B:$B,$B24,Doors!$C:$C,$C24)*SUMIFS(Velocity!$I:$I,Velocity!$A:$A,$A24,Velocity!$B:$B,$C24)/Assumptions!$B$4*Assumptions!$B$6</f>
        <v>0</v>
      </c>
      <c r="L24" s="7" t="n">
        <f aca="false">SUMIFS(Doors!X:X,Doors!$A:$A,$D24,Doors!$B:$B,$B24,Doors!$C:$C,$C24)*SUMIFS(Velocity!$I:$I,Velocity!$A:$A,$A24,Velocity!$B:$B,$C24)/Assumptions!$B$4*Assumptions!$B$6</f>
        <v>0</v>
      </c>
      <c r="M24" s="7" t="n">
        <f aca="false">SUMIFS(Doors!Y:Y,Doors!$A:$A,$D24,Doors!$B:$B,$B24,Doors!$C:$C,$C24)*SUMIFS(Velocity!$I:$I,Velocity!$A:$A,$A24,Velocity!$B:$B,$C24)/Assumptions!$B$4*Assumptions!$B$6</f>
        <v>0</v>
      </c>
      <c r="N24" s="7" t="n">
        <f aca="false">SUMIFS(Doors!Z:Z,Doors!$A:$A,$D24,Doors!$B:$B,$B24,Doors!$C:$C,$C24)*SUMIFS(Velocity!$I:$I,Velocity!$A:$A,$A24,Velocity!$B:$B,$C24)/Assumptions!$B$4*Assumptions!$B$6</f>
        <v>0.658333333333333</v>
      </c>
      <c r="O24" s="7" t="n">
        <f aca="false">SUMIFS(Doors!AA:AA,Doors!$A:$A,$D24,Doors!$B:$B,$B24,Doors!$C:$C,$C24)*SUMIFS(Velocity!$I:$I,Velocity!$A:$A,$A24,Velocity!$B:$B,$C24)/Assumptions!$B$4*Assumptions!$B$6</f>
        <v>0.658333333333333</v>
      </c>
      <c r="P24" s="7" t="n">
        <f aca="false">SUMIFS(Doors!AB:AB,Doors!$A:$A,$D24,Doors!$B:$B,$B24,Doors!$C:$C,$C24)*SUMIFS(Velocity!$I:$I,Velocity!$A:$A,$A24,Velocity!$B:$B,$C24)/Assumptions!$B$4*Assumptions!$B$6</f>
        <v>0.658333333333333</v>
      </c>
      <c r="Q24" s="7" t="n">
        <f aca="false">SUMIFS(Doors!AC:AC,Doors!$A:$A,$D24,Doors!$B:$B,$B24,Doors!$C:$C,$C24)*SUMIFS(Velocity!$I:$I,Velocity!$A:$A,$A24,Velocity!$B:$B,$C24)/Assumptions!$B$4*Assumptions!$B$6</f>
        <v>0.658333333333333</v>
      </c>
      <c r="R24" s="7" t="n">
        <f aca="false">SUMIFS(Doors!AD:AD,Doors!$A:$A,$D24,Doors!$B:$B,$B24,Doors!$C:$C,$C24)*SUMIFS(Velocity!$I:$I,Velocity!$A:$A,$A24,Velocity!$B:$B,$C24)/Assumptions!$B$4*Assumptions!$B$6</f>
        <v>1.64583333333333</v>
      </c>
      <c r="S24" s="7" t="n">
        <f aca="false">SUMIFS(Doors!AE:AE,Doors!$A:$A,$D24,Doors!$B:$B,$B24,Doors!$C:$C,$C24)*SUMIFS(Velocity!$I:$I,Velocity!$A:$A,$A24,Velocity!$B:$B,$C24)/Assumptions!$B$4*Assumptions!$B$6</f>
        <v>1.64583333333333</v>
      </c>
      <c r="T24" s="7" t="n">
        <f aca="false">SUMIFS(Doors!AF:AF,Doors!$A:$A,$D24,Doors!$B:$B,$B24,Doors!$C:$C,$C24)*SUMIFS(Velocity!$I:$I,Velocity!$A:$A,$A24,Velocity!$B:$B,$C24)/Assumptions!$B$4*Assumptions!$B$6</f>
        <v>1.64583333333333</v>
      </c>
      <c r="U24" s="7" t="n">
        <f aca="false">SUMIFS(Doors!AG:AG,Doors!$A:$A,$D24,Doors!$B:$B,$B24,Doors!$C:$C,$C24)*SUMIFS(Velocity!$I:$I,Velocity!$A:$A,$A24,Velocity!$B:$B,$C24)/Assumptions!$B$4*Assumptions!$B$6</f>
        <v>1.64583333333333</v>
      </c>
      <c r="V24" s="7" t="n">
        <f aca="false">SUMIFS(Doors!AH:AH,Doors!$A:$A,$D24,Doors!$B:$B,$B24,Doors!$C:$C,$C24)*SUMIFS(Velocity!$I:$I,Velocity!$A:$A,$A24,Velocity!$B:$B,$C24)/Assumptions!$B$4*Assumptions!$B$6</f>
        <v>1.64583333333333</v>
      </c>
      <c r="W24" s="7" t="n">
        <f aca="false">SUMIFS(Doors!AI:AI,Doors!$A:$A,$D24,Doors!$B:$B,$B24,Doors!$C:$C,$C24)*SUMIFS(Velocity!$I:$I,Velocity!$A:$A,$A24,Velocity!$B:$B,$C24)/Assumptions!$B$4*Assumptions!$B$6</f>
        <v>2.63333333333333</v>
      </c>
      <c r="X24" s="7" t="n">
        <f aca="false">SUMIFS(Doors!AJ:AJ,Doors!$A:$A,$D24,Doors!$B:$B,$B24,Doors!$C:$C,$C24)*SUMIFS(Velocity!$I:$I,Velocity!$A:$A,$A24,Velocity!$B:$B,$C24)/Assumptions!$B$4*Assumptions!$B$6</f>
        <v>2.63333333333333</v>
      </c>
      <c r="Y24" s="7" t="n">
        <f aca="false">SUMIFS(Doors!AK:AK,Doors!$A:$A,$D24,Doors!$B:$B,$B24,Doors!$C:$C,$C24)*SUMIFS(Velocity!$I:$I,Velocity!$A:$A,$A24,Velocity!$B:$B,$C24)/Assumptions!$B$4*Assumptions!$B$6</f>
        <v>2.63333333333333</v>
      </c>
      <c r="Z24" s="7" t="n">
        <f aca="false">SUMIFS(Doors!AL:AL,Doors!$A:$A,$D24,Doors!$B:$B,$B24,Doors!$C:$C,$C24)*SUMIFS(Velocity!$I:$I,Velocity!$A:$A,$A24,Velocity!$B:$B,$C24)/Assumptions!$B$4*Assumptions!$B$6</f>
        <v>2.63333333333333</v>
      </c>
      <c r="AA24" s="7" t="n">
        <f aca="false">SUMIFS(Doors!AM:AM,Doors!$A:$A,$D24,Doors!$B:$B,$B24,Doors!$C:$C,$C24)*SUMIFS(Velocity!$I:$I,Velocity!$A:$A,$A24,Velocity!$B:$B,$C24)/Assumptions!$B$4*Assumptions!$B$6</f>
        <v>3.95</v>
      </c>
      <c r="AB24" s="7" t="n">
        <f aca="false">SUMIFS(Doors!AN:AN,Doors!$A:$A,$D24,Doors!$B:$B,$B24,Doors!$C:$C,$C24)*SUMIFS(Velocity!$I:$I,Velocity!$A:$A,$A24,Velocity!$B:$B,$C24)/Assumptions!$B$4*Assumptions!$B$6</f>
        <v>3.95</v>
      </c>
      <c r="AC24" s="7" t="n">
        <f aca="false">SUMIFS(Doors!AO:AO,Doors!$A:$A,$D24,Doors!$B:$B,$B24,Doors!$C:$C,$C24)*SUMIFS(Velocity!$I:$I,Velocity!$A:$A,$A24,Velocity!$B:$B,$C24)/Assumptions!$B$4*Assumptions!$B$6</f>
        <v>3.95</v>
      </c>
      <c r="AD24" s="7" t="n">
        <f aca="false">SUMIFS(Doors!AP:AP,Doors!$A:$A,$D24,Doors!$B:$B,$B24,Doors!$C:$C,$C24)*SUMIFS(Velocity!$I:$I,Velocity!$A:$A,$A24,Velocity!$B:$B,$C24)/Assumptions!$B$4*Assumptions!$B$6</f>
        <v>3.95</v>
      </c>
      <c r="AE24" s="7" t="n">
        <f aca="false">SUMIFS(Doors!AQ:AQ,Doors!$A:$A,$D24,Doors!$B:$B,$B24,Doors!$C:$C,$C24)*SUMIFS(Velocity!$I:$I,Velocity!$A:$A,$A24,Velocity!$B:$B,$C24)/Assumptions!$B$4*Assumptions!$B$6</f>
        <v>4.9375</v>
      </c>
      <c r="AF24" s="7" t="n">
        <f aca="false">SUMIFS(Doors!AR:AR,Doors!$A:$A,$D24,Doors!$B:$B,$B24,Doors!$C:$C,$C24)*SUMIFS(Velocity!$I:$I,Velocity!$A:$A,$A24,Velocity!$B:$B,$C24)/Assumptions!$B$4*Assumptions!$B$6</f>
        <v>4.9375</v>
      </c>
      <c r="AG24" s="7" t="n">
        <f aca="false">SUMIFS(Doors!AS:AS,Doors!$A:$A,$D24,Doors!$B:$B,$B24,Doors!$C:$C,$C24)*SUMIFS(Velocity!$I:$I,Velocity!$A:$A,$A24,Velocity!$B:$B,$C24)/Assumptions!$B$4*Assumptions!$B$6</f>
        <v>4.9375</v>
      </c>
      <c r="AH24" s="7" t="n">
        <f aca="false">SUMIFS(Doors!AT:AT,Doors!$A:$A,$D24,Doors!$B:$B,$B24,Doors!$C:$C,$C24)*SUMIFS(Velocity!$I:$I,Velocity!$A:$A,$A24,Velocity!$B:$B,$C24)/Assumptions!$B$4*Assumptions!$B$6</f>
        <v>4.9375</v>
      </c>
      <c r="AI24" s="7" t="n">
        <f aca="false">SUMIFS(Doors!AU:AU,Doors!$A:$A,$D24,Doors!$B:$B,$B24,Doors!$C:$C,$C24)*SUMIFS(Velocity!$I:$I,Velocity!$A:$A,$A24,Velocity!$B:$B,$C24)/Assumptions!$B$4*Assumptions!$B$6</f>
        <v>4.9375</v>
      </c>
      <c r="AJ24" s="7" t="n">
        <f aca="false">SUMIFS(Doors!AV:AV,Doors!$A:$A,$D24,Doors!$B:$B,$B24,Doors!$C:$C,$C24)*SUMIFS(Velocity!$I:$I,Velocity!$A:$A,$A24,Velocity!$B:$B,$C24)/Assumptions!$B$4*Assumptions!$B$6</f>
        <v>5.925</v>
      </c>
      <c r="AK24" s="7" t="n">
        <f aca="false">SUMIFS(Doors!AW:AW,Doors!$A:$A,$D24,Doors!$B:$B,$B24,Doors!$C:$C,$C24)*SUMIFS(Velocity!$I:$I,Velocity!$A:$A,$A24,Velocity!$B:$B,$C24)/Assumptions!$B$4*Assumptions!$B$6</f>
        <v>5.925</v>
      </c>
      <c r="AL24" s="7" t="n">
        <f aca="false">SUMIFS(Doors!AX:AX,Doors!$A:$A,$D24,Doors!$B:$B,$B24,Doors!$C:$C,$C24)*SUMIFS(Velocity!$I:$I,Velocity!$A:$A,$A24,Velocity!$B:$B,$C24)/Assumptions!$B$4*Assumptions!$B$6</f>
        <v>5.925</v>
      </c>
      <c r="AM24" s="7" t="n">
        <f aca="false">SUMIFS(Doors!AY:AY,Doors!$A:$A,$D24,Doors!$B:$B,$B24,Doors!$C:$C,$C24)*SUMIFS(Velocity!$I:$I,Velocity!$A:$A,$A24,Velocity!$B:$B,$C24)/Assumptions!$B$4*Assumptions!$B$6</f>
        <v>5.925</v>
      </c>
      <c r="AN24" s="7" t="n">
        <f aca="false">SUMIFS(Doors!AZ:AZ,Doors!$A:$A,$D24,Doors!$B:$B,$B24,Doors!$C:$C,$C24)*SUMIFS(Velocity!$I:$I,Velocity!$A:$A,$A24,Velocity!$B:$B,$C24)/Assumptions!$B$4*Assumptions!$B$6</f>
        <v>6.58333333333333</v>
      </c>
      <c r="AO24" s="7" t="n">
        <f aca="false">SUMIFS(Doors!BA:BA,Doors!$A:$A,$D24,Doors!$B:$B,$B24,Doors!$C:$C,$C24)*SUMIFS(Velocity!$I:$I,Velocity!$A:$A,$A24,Velocity!$B:$B,$C24)/Assumptions!$B$4*Assumptions!$B$6</f>
        <v>6.58333333333333</v>
      </c>
      <c r="AP24" s="7" t="n">
        <f aca="false">SUMIFS(Doors!BB:BB,Doors!$A:$A,$D24,Doors!$B:$B,$B24,Doors!$C:$C,$C24)*SUMIFS(Velocity!$I:$I,Velocity!$A:$A,$A24,Velocity!$B:$B,$C24)/Assumptions!$B$4*Assumptions!$B$6</f>
        <v>6.58333333333333</v>
      </c>
      <c r="AQ24" s="7" t="n">
        <f aca="false">SUMIFS(Doors!BC:BC,Doors!$A:$A,$D24,Doors!$B:$B,$B24,Doors!$C:$C,$C24)*SUMIFS(Velocity!$I:$I,Velocity!$A:$A,$A24,Velocity!$B:$B,$C24)/Assumptions!$B$4*Assumptions!$B$6</f>
        <v>6.58333333333333</v>
      </c>
      <c r="AR24" s="7" t="n">
        <f aca="false">SUMIFS(Doors!BD:BD,Doors!$A:$A,$D24,Doors!$B:$B,$B24,Doors!$C:$C,$C24)*SUMIFS(Velocity!$I:$I,Velocity!$A:$A,$A24,Velocity!$B:$B,$C24)/Assumptions!$B$4*Assumptions!$B$6</f>
        <v>7.24166666666667</v>
      </c>
      <c r="AS24" s="7" t="n">
        <f aca="false">SUMIFS(Doors!BE:BE,Doors!$A:$A,$D24,Doors!$B:$B,$B24,Doors!$C:$C,$C24)*SUMIFS(Velocity!$I:$I,Velocity!$A:$A,$A24,Velocity!$B:$B,$C24)/Assumptions!$B$4*Assumptions!$B$6</f>
        <v>7.24166666666667</v>
      </c>
      <c r="AT24" s="7" t="n">
        <f aca="false">SUMIFS(Doors!BF:BF,Doors!$A:$A,$D24,Doors!$B:$B,$B24,Doors!$C:$C,$C24)*SUMIFS(Velocity!$I:$I,Velocity!$A:$A,$A24,Velocity!$B:$B,$C24)/Assumptions!$B$4*Assumptions!$B$6</f>
        <v>7.24166666666667</v>
      </c>
      <c r="AU24" s="7" t="n">
        <f aca="false">SUMIFS(Doors!BG:BG,Doors!$A:$A,$D24,Doors!$B:$B,$B24,Doors!$C:$C,$C24)*SUMIFS(Velocity!$I:$I,Velocity!$A:$A,$A24,Velocity!$B:$B,$C24)/Assumptions!$B$4*Assumptions!$B$6</f>
        <v>7.24166666666667</v>
      </c>
      <c r="AV24" s="7" t="n">
        <f aca="false">SUMIFS(Doors!BH:BH,Doors!$A:$A,$D24,Doors!$B:$B,$B24,Doors!$C:$C,$C24)*SUMIFS(Velocity!$I:$I,Velocity!$A:$A,$A24,Velocity!$B:$B,$C24)/Assumptions!$B$4*Assumptions!$B$6</f>
        <v>7.24166666666667</v>
      </c>
      <c r="AW24" s="7" t="n">
        <f aca="false">SUMIFS(Doors!BI:BI,Doors!$A:$A,$D24,Doors!$B:$B,$B24,Doors!$C:$C,$C24)*SUMIFS(Velocity!$I:$I,Velocity!$A:$A,$A24,Velocity!$B:$B,$C24)/Assumptions!$B$4*Assumptions!$B$6</f>
        <v>7.9</v>
      </c>
      <c r="AX24" s="7" t="n">
        <f aca="false">SUMIFS(Doors!BJ:BJ,Doors!$A:$A,$D24,Doors!$B:$B,$B24,Doors!$C:$C,$C24)*SUMIFS(Velocity!$I:$I,Velocity!$A:$A,$A24,Velocity!$B:$B,$C24)/Assumptions!$B$4*Assumptions!$B$6</f>
        <v>7.9</v>
      </c>
      <c r="AY24" s="7" t="n">
        <f aca="false">SUMIFS(Doors!BK:BK,Doors!$A:$A,$D24,Doors!$B:$B,$B24,Doors!$C:$C,$C24)*SUMIFS(Velocity!$I:$I,Velocity!$A:$A,$A24,Velocity!$B:$B,$C24)/Assumptions!$B$4*Assumptions!$B$6</f>
        <v>7.9</v>
      </c>
      <c r="AZ24" s="7" t="n">
        <f aca="false">SUMIFS(Doors!BL:BL,Doors!$A:$A,$D24,Doors!$B:$B,$B24,Doors!$C:$C,$C24)*SUMIFS(Velocity!$I:$I,Velocity!$A:$A,$A24,Velocity!$B:$B,$C24)/Assumptions!$B$4*Assumptions!$B$6</f>
        <v>7.9</v>
      </c>
      <c r="BA24" s="7" t="n">
        <f aca="false">SUMIFS(Doors!BM:BM,Doors!$A:$A,$D24,Doors!$B:$B,$B24,Doors!$C:$C,$C24)*SUMIFS(Velocity!$I:$I,Velocity!$A:$A,$A24,Velocity!$B:$B,$C24)/Assumptions!$B$4*Assumptions!$B$6</f>
        <v>8.22916666666667</v>
      </c>
      <c r="BB24" s="7" t="n">
        <f aca="false">SUMIFS(Doors!BN:BN,Doors!$A:$A,$D24,Doors!$B:$B,$B24,Doors!$C:$C,$C24)*SUMIFS(Velocity!$I:$I,Velocity!$A:$A,$A24,Velocity!$B:$B,$C24)/Assumptions!$B$4*Assumptions!$B$6</f>
        <v>8.22916666666667</v>
      </c>
      <c r="BC24" s="7" t="n">
        <f aca="false">SUMIFS(Doors!BO:BO,Doors!$A:$A,$D24,Doors!$B:$B,$B24,Doors!$C:$C,$C24)*SUMIFS(Velocity!$I:$I,Velocity!$A:$A,$A24,Velocity!$B:$B,$C24)/Assumptions!$B$4*Assumptions!$B$6</f>
        <v>8.22916666666667</v>
      </c>
      <c r="BD24" s="7" t="n">
        <f aca="false">SUMIFS(Doors!BP:BP,Doors!$A:$A,$D24,Doors!$B:$B,$B24,Doors!$C:$C,$C24)*SUMIFS(Velocity!$I:$I,Velocity!$A:$A,$A24,Velocity!$B:$B,$C24)/Assumptions!$B$4*Assumptions!$B$6</f>
        <v>8.22916666666667</v>
      </c>
    </row>
    <row r="25" customFormat="false" ht="15" hidden="false" customHeight="false" outlineLevel="0" collapsed="false">
      <c r="A25" s="0" t="s">
        <v>108</v>
      </c>
      <c r="B25" s="0" t="s">
        <v>128</v>
      </c>
      <c r="C25" s="0" t="s">
        <v>116</v>
      </c>
      <c r="D25" s="0" t="s">
        <v>235</v>
      </c>
      <c r="E25" s="7" t="n">
        <f aca="false">SUMIFS(Doors!Q:Q,Doors!$A:$A,$D25,Doors!$B:$B,$B25,Doors!$C:$C,$C25)*SUMIFS(Velocity!$I:$I,Velocity!$A:$A,$A25,Velocity!$B:$B,$C25)/Assumptions!$B$4*Assumptions!$B$6</f>
        <v>0</v>
      </c>
      <c r="F25" s="7" t="n">
        <f aca="false">SUMIFS(Doors!R:R,Doors!$A:$A,$D25,Doors!$B:$B,$B25,Doors!$C:$C,$C25)*SUMIFS(Velocity!$I:$I,Velocity!$A:$A,$A25,Velocity!$B:$B,$C25)/Assumptions!$B$4*Assumptions!$B$6</f>
        <v>0</v>
      </c>
      <c r="G25" s="7" t="n">
        <f aca="false">SUMIFS(Doors!S:S,Doors!$A:$A,$D25,Doors!$B:$B,$B25,Doors!$C:$C,$C25)*SUMIFS(Velocity!$I:$I,Velocity!$A:$A,$A25,Velocity!$B:$B,$C25)/Assumptions!$B$4*Assumptions!$B$6</f>
        <v>0</v>
      </c>
      <c r="H25" s="7" t="n">
        <f aca="false">SUMIFS(Doors!T:T,Doors!$A:$A,$D25,Doors!$B:$B,$B25,Doors!$C:$C,$C25)*SUMIFS(Velocity!$I:$I,Velocity!$A:$A,$A25,Velocity!$B:$B,$C25)/Assumptions!$B$4*Assumptions!$B$6</f>
        <v>0</v>
      </c>
      <c r="I25" s="7" t="n">
        <f aca="false">SUMIFS(Doors!U:U,Doors!$A:$A,$D25,Doors!$B:$B,$B25,Doors!$C:$C,$C25)*SUMIFS(Velocity!$I:$I,Velocity!$A:$A,$A25,Velocity!$B:$B,$C25)/Assumptions!$B$4*Assumptions!$B$6</f>
        <v>0</v>
      </c>
      <c r="J25" s="7" t="n">
        <f aca="false">SUMIFS(Doors!V:V,Doors!$A:$A,$D25,Doors!$B:$B,$B25,Doors!$C:$C,$C25)*SUMIFS(Velocity!$I:$I,Velocity!$A:$A,$A25,Velocity!$B:$B,$C25)/Assumptions!$B$4*Assumptions!$B$6</f>
        <v>0</v>
      </c>
      <c r="K25" s="7" t="n">
        <f aca="false">SUMIFS(Doors!W:W,Doors!$A:$A,$D25,Doors!$B:$B,$B25,Doors!$C:$C,$C25)*SUMIFS(Velocity!$I:$I,Velocity!$A:$A,$A25,Velocity!$B:$B,$C25)/Assumptions!$B$4*Assumptions!$B$6</f>
        <v>0</v>
      </c>
      <c r="L25" s="7" t="n">
        <f aca="false">SUMIFS(Doors!X:X,Doors!$A:$A,$D25,Doors!$B:$B,$B25,Doors!$C:$C,$C25)*SUMIFS(Velocity!$I:$I,Velocity!$A:$A,$A25,Velocity!$B:$B,$C25)/Assumptions!$B$4*Assumptions!$B$6</f>
        <v>0</v>
      </c>
      <c r="M25" s="7" t="n">
        <f aca="false">SUMIFS(Doors!Y:Y,Doors!$A:$A,$D25,Doors!$B:$B,$B25,Doors!$C:$C,$C25)*SUMIFS(Velocity!$I:$I,Velocity!$A:$A,$A25,Velocity!$B:$B,$C25)/Assumptions!$B$4*Assumptions!$B$6</f>
        <v>0</v>
      </c>
      <c r="N25" s="7" t="n">
        <f aca="false">SUMIFS(Doors!Z:Z,Doors!$A:$A,$D25,Doors!$B:$B,$B25,Doors!$C:$C,$C25)*SUMIFS(Velocity!$I:$I,Velocity!$A:$A,$A25,Velocity!$B:$B,$C25)/Assumptions!$B$4*Assumptions!$B$6</f>
        <v>0.304166666666667</v>
      </c>
      <c r="O25" s="7" t="n">
        <f aca="false">SUMIFS(Doors!AA:AA,Doors!$A:$A,$D25,Doors!$B:$B,$B25,Doors!$C:$C,$C25)*SUMIFS(Velocity!$I:$I,Velocity!$A:$A,$A25,Velocity!$B:$B,$C25)/Assumptions!$B$4*Assumptions!$B$6</f>
        <v>0.304166666666667</v>
      </c>
      <c r="P25" s="7" t="n">
        <f aca="false">SUMIFS(Doors!AB:AB,Doors!$A:$A,$D25,Doors!$B:$B,$B25,Doors!$C:$C,$C25)*SUMIFS(Velocity!$I:$I,Velocity!$A:$A,$A25,Velocity!$B:$B,$C25)/Assumptions!$B$4*Assumptions!$B$6</f>
        <v>0.304166666666667</v>
      </c>
      <c r="Q25" s="7" t="n">
        <f aca="false">SUMIFS(Doors!AC:AC,Doors!$A:$A,$D25,Doors!$B:$B,$B25,Doors!$C:$C,$C25)*SUMIFS(Velocity!$I:$I,Velocity!$A:$A,$A25,Velocity!$B:$B,$C25)/Assumptions!$B$4*Assumptions!$B$6</f>
        <v>0.304166666666667</v>
      </c>
      <c r="R25" s="7" t="n">
        <f aca="false">SUMIFS(Doors!AD:AD,Doors!$A:$A,$D25,Doors!$B:$B,$B25,Doors!$C:$C,$C25)*SUMIFS(Velocity!$I:$I,Velocity!$A:$A,$A25,Velocity!$B:$B,$C25)/Assumptions!$B$4*Assumptions!$B$6</f>
        <v>0.608333333333333</v>
      </c>
      <c r="S25" s="7" t="n">
        <f aca="false">SUMIFS(Doors!AE:AE,Doors!$A:$A,$D25,Doors!$B:$B,$B25,Doors!$C:$C,$C25)*SUMIFS(Velocity!$I:$I,Velocity!$A:$A,$A25,Velocity!$B:$B,$C25)/Assumptions!$B$4*Assumptions!$B$6</f>
        <v>0.608333333333333</v>
      </c>
      <c r="T25" s="7" t="n">
        <f aca="false">SUMIFS(Doors!AF:AF,Doors!$A:$A,$D25,Doors!$B:$B,$B25,Doors!$C:$C,$C25)*SUMIFS(Velocity!$I:$I,Velocity!$A:$A,$A25,Velocity!$B:$B,$C25)/Assumptions!$B$4*Assumptions!$B$6</f>
        <v>0.608333333333333</v>
      </c>
      <c r="U25" s="7" t="n">
        <f aca="false">SUMIFS(Doors!AG:AG,Doors!$A:$A,$D25,Doors!$B:$B,$B25,Doors!$C:$C,$C25)*SUMIFS(Velocity!$I:$I,Velocity!$A:$A,$A25,Velocity!$B:$B,$C25)/Assumptions!$B$4*Assumptions!$B$6</f>
        <v>0.608333333333333</v>
      </c>
      <c r="V25" s="7" t="n">
        <f aca="false">SUMIFS(Doors!AH:AH,Doors!$A:$A,$D25,Doors!$B:$B,$B25,Doors!$C:$C,$C25)*SUMIFS(Velocity!$I:$I,Velocity!$A:$A,$A25,Velocity!$B:$B,$C25)/Assumptions!$B$4*Assumptions!$B$6</f>
        <v>0.608333333333333</v>
      </c>
      <c r="W25" s="7" t="n">
        <f aca="false">SUMIFS(Doors!AI:AI,Doors!$A:$A,$D25,Doors!$B:$B,$B25,Doors!$C:$C,$C25)*SUMIFS(Velocity!$I:$I,Velocity!$A:$A,$A25,Velocity!$B:$B,$C25)/Assumptions!$B$4*Assumptions!$B$6</f>
        <v>1.21666666666667</v>
      </c>
      <c r="X25" s="7" t="n">
        <f aca="false">SUMIFS(Doors!AJ:AJ,Doors!$A:$A,$D25,Doors!$B:$B,$B25,Doors!$C:$C,$C25)*SUMIFS(Velocity!$I:$I,Velocity!$A:$A,$A25,Velocity!$B:$B,$C25)/Assumptions!$B$4*Assumptions!$B$6</f>
        <v>1.21666666666667</v>
      </c>
      <c r="Y25" s="7" t="n">
        <f aca="false">SUMIFS(Doors!AK:AK,Doors!$A:$A,$D25,Doors!$B:$B,$B25,Doors!$C:$C,$C25)*SUMIFS(Velocity!$I:$I,Velocity!$A:$A,$A25,Velocity!$B:$B,$C25)/Assumptions!$B$4*Assumptions!$B$6</f>
        <v>1.21666666666667</v>
      </c>
      <c r="Z25" s="7" t="n">
        <f aca="false">SUMIFS(Doors!AL:AL,Doors!$A:$A,$D25,Doors!$B:$B,$B25,Doors!$C:$C,$C25)*SUMIFS(Velocity!$I:$I,Velocity!$A:$A,$A25,Velocity!$B:$B,$C25)/Assumptions!$B$4*Assumptions!$B$6</f>
        <v>1.21666666666667</v>
      </c>
      <c r="AA25" s="7" t="n">
        <f aca="false">SUMIFS(Doors!AM:AM,Doors!$A:$A,$D25,Doors!$B:$B,$B25,Doors!$C:$C,$C25)*SUMIFS(Velocity!$I:$I,Velocity!$A:$A,$A25,Velocity!$B:$B,$C25)/Assumptions!$B$4*Assumptions!$B$6</f>
        <v>1.825</v>
      </c>
      <c r="AB25" s="7" t="n">
        <f aca="false">SUMIFS(Doors!AN:AN,Doors!$A:$A,$D25,Doors!$B:$B,$B25,Doors!$C:$C,$C25)*SUMIFS(Velocity!$I:$I,Velocity!$A:$A,$A25,Velocity!$B:$B,$C25)/Assumptions!$B$4*Assumptions!$B$6</f>
        <v>1.825</v>
      </c>
      <c r="AC25" s="7" t="n">
        <f aca="false">SUMIFS(Doors!AO:AO,Doors!$A:$A,$D25,Doors!$B:$B,$B25,Doors!$C:$C,$C25)*SUMIFS(Velocity!$I:$I,Velocity!$A:$A,$A25,Velocity!$B:$B,$C25)/Assumptions!$B$4*Assumptions!$B$6</f>
        <v>1.825</v>
      </c>
      <c r="AD25" s="7" t="n">
        <f aca="false">SUMIFS(Doors!AP:AP,Doors!$A:$A,$D25,Doors!$B:$B,$B25,Doors!$C:$C,$C25)*SUMIFS(Velocity!$I:$I,Velocity!$A:$A,$A25,Velocity!$B:$B,$C25)/Assumptions!$B$4*Assumptions!$B$6</f>
        <v>1.825</v>
      </c>
      <c r="AE25" s="7" t="n">
        <f aca="false">SUMIFS(Doors!AQ:AQ,Doors!$A:$A,$D25,Doors!$B:$B,$B25,Doors!$C:$C,$C25)*SUMIFS(Velocity!$I:$I,Velocity!$A:$A,$A25,Velocity!$B:$B,$C25)/Assumptions!$B$4*Assumptions!$B$6</f>
        <v>2.43333333333333</v>
      </c>
      <c r="AF25" s="7" t="n">
        <f aca="false">SUMIFS(Doors!AR:AR,Doors!$A:$A,$D25,Doors!$B:$B,$B25,Doors!$C:$C,$C25)*SUMIFS(Velocity!$I:$I,Velocity!$A:$A,$A25,Velocity!$B:$B,$C25)/Assumptions!$B$4*Assumptions!$B$6</f>
        <v>2.43333333333333</v>
      </c>
      <c r="AG25" s="7" t="n">
        <f aca="false">SUMIFS(Doors!AS:AS,Doors!$A:$A,$D25,Doors!$B:$B,$B25,Doors!$C:$C,$C25)*SUMIFS(Velocity!$I:$I,Velocity!$A:$A,$A25,Velocity!$B:$B,$C25)/Assumptions!$B$4*Assumptions!$B$6</f>
        <v>2.43333333333333</v>
      </c>
      <c r="AH25" s="7" t="n">
        <f aca="false">SUMIFS(Doors!AT:AT,Doors!$A:$A,$D25,Doors!$B:$B,$B25,Doors!$C:$C,$C25)*SUMIFS(Velocity!$I:$I,Velocity!$A:$A,$A25,Velocity!$B:$B,$C25)/Assumptions!$B$4*Assumptions!$B$6</f>
        <v>2.43333333333333</v>
      </c>
      <c r="AI25" s="7" t="n">
        <f aca="false">SUMIFS(Doors!AU:AU,Doors!$A:$A,$D25,Doors!$B:$B,$B25,Doors!$C:$C,$C25)*SUMIFS(Velocity!$I:$I,Velocity!$A:$A,$A25,Velocity!$B:$B,$C25)/Assumptions!$B$4*Assumptions!$B$6</f>
        <v>2.43333333333333</v>
      </c>
      <c r="AJ25" s="7" t="n">
        <f aca="false">SUMIFS(Doors!AV:AV,Doors!$A:$A,$D25,Doors!$B:$B,$B25,Doors!$C:$C,$C25)*SUMIFS(Velocity!$I:$I,Velocity!$A:$A,$A25,Velocity!$B:$B,$C25)/Assumptions!$B$4*Assumptions!$B$6</f>
        <v>3.04166666666667</v>
      </c>
      <c r="AK25" s="7" t="n">
        <f aca="false">SUMIFS(Doors!AW:AW,Doors!$A:$A,$D25,Doors!$B:$B,$B25,Doors!$C:$C,$C25)*SUMIFS(Velocity!$I:$I,Velocity!$A:$A,$A25,Velocity!$B:$B,$C25)/Assumptions!$B$4*Assumptions!$B$6</f>
        <v>3.04166666666667</v>
      </c>
      <c r="AL25" s="7" t="n">
        <f aca="false">SUMIFS(Doors!AX:AX,Doors!$A:$A,$D25,Doors!$B:$B,$B25,Doors!$C:$C,$C25)*SUMIFS(Velocity!$I:$I,Velocity!$A:$A,$A25,Velocity!$B:$B,$C25)/Assumptions!$B$4*Assumptions!$B$6</f>
        <v>3.04166666666667</v>
      </c>
      <c r="AM25" s="7" t="n">
        <f aca="false">SUMIFS(Doors!AY:AY,Doors!$A:$A,$D25,Doors!$B:$B,$B25,Doors!$C:$C,$C25)*SUMIFS(Velocity!$I:$I,Velocity!$A:$A,$A25,Velocity!$B:$B,$C25)/Assumptions!$B$4*Assumptions!$B$6</f>
        <v>3.04166666666667</v>
      </c>
      <c r="AN25" s="7" t="n">
        <f aca="false">SUMIFS(Doors!AZ:AZ,Doors!$A:$A,$D25,Doors!$B:$B,$B25,Doors!$C:$C,$C25)*SUMIFS(Velocity!$I:$I,Velocity!$A:$A,$A25,Velocity!$B:$B,$C25)/Assumptions!$B$4*Assumptions!$B$6</f>
        <v>3.65</v>
      </c>
      <c r="AO25" s="7" t="n">
        <f aca="false">SUMIFS(Doors!BA:BA,Doors!$A:$A,$D25,Doors!$B:$B,$B25,Doors!$C:$C,$C25)*SUMIFS(Velocity!$I:$I,Velocity!$A:$A,$A25,Velocity!$B:$B,$C25)/Assumptions!$B$4*Assumptions!$B$6</f>
        <v>3.65</v>
      </c>
      <c r="AP25" s="7" t="n">
        <f aca="false">SUMIFS(Doors!BB:BB,Doors!$A:$A,$D25,Doors!$B:$B,$B25,Doors!$C:$C,$C25)*SUMIFS(Velocity!$I:$I,Velocity!$A:$A,$A25,Velocity!$B:$B,$C25)/Assumptions!$B$4*Assumptions!$B$6</f>
        <v>3.65</v>
      </c>
      <c r="AQ25" s="7" t="n">
        <f aca="false">SUMIFS(Doors!BC:BC,Doors!$A:$A,$D25,Doors!$B:$B,$B25,Doors!$C:$C,$C25)*SUMIFS(Velocity!$I:$I,Velocity!$A:$A,$A25,Velocity!$B:$B,$C25)/Assumptions!$B$4*Assumptions!$B$6</f>
        <v>3.65</v>
      </c>
      <c r="AR25" s="7" t="n">
        <f aca="false">SUMIFS(Doors!BD:BD,Doors!$A:$A,$D25,Doors!$B:$B,$B25,Doors!$C:$C,$C25)*SUMIFS(Velocity!$I:$I,Velocity!$A:$A,$A25,Velocity!$B:$B,$C25)/Assumptions!$B$4*Assumptions!$B$6</f>
        <v>3.95416666666667</v>
      </c>
      <c r="AS25" s="7" t="n">
        <f aca="false">SUMIFS(Doors!BE:BE,Doors!$A:$A,$D25,Doors!$B:$B,$B25,Doors!$C:$C,$C25)*SUMIFS(Velocity!$I:$I,Velocity!$A:$A,$A25,Velocity!$B:$B,$C25)/Assumptions!$B$4*Assumptions!$B$6</f>
        <v>3.95416666666667</v>
      </c>
      <c r="AT25" s="7" t="n">
        <f aca="false">SUMIFS(Doors!BF:BF,Doors!$A:$A,$D25,Doors!$B:$B,$B25,Doors!$C:$C,$C25)*SUMIFS(Velocity!$I:$I,Velocity!$A:$A,$A25,Velocity!$B:$B,$C25)/Assumptions!$B$4*Assumptions!$B$6</f>
        <v>3.95416666666667</v>
      </c>
      <c r="AU25" s="7" t="n">
        <f aca="false">SUMIFS(Doors!BG:BG,Doors!$A:$A,$D25,Doors!$B:$B,$B25,Doors!$C:$C,$C25)*SUMIFS(Velocity!$I:$I,Velocity!$A:$A,$A25,Velocity!$B:$B,$C25)/Assumptions!$B$4*Assumptions!$B$6</f>
        <v>3.95416666666667</v>
      </c>
      <c r="AV25" s="7" t="n">
        <f aca="false">SUMIFS(Doors!BH:BH,Doors!$A:$A,$D25,Doors!$B:$B,$B25,Doors!$C:$C,$C25)*SUMIFS(Velocity!$I:$I,Velocity!$A:$A,$A25,Velocity!$B:$B,$C25)/Assumptions!$B$4*Assumptions!$B$6</f>
        <v>3.95416666666667</v>
      </c>
      <c r="AW25" s="7" t="n">
        <f aca="false">SUMIFS(Doors!BI:BI,Doors!$A:$A,$D25,Doors!$B:$B,$B25,Doors!$C:$C,$C25)*SUMIFS(Velocity!$I:$I,Velocity!$A:$A,$A25,Velocity!$B:$B,$C25)/Assumptions!$B$4*Assumptions!$B$6</f>
        <v>4.25833333333333</v>
      </c>
      <c r="AX25" s="7" t="n">
        <f aca="false">SUMIFS(Doors!BJ:BJ,Doors!$A:$A,$D25,Doors!$B:$B,$B25,Doors!$C:$C,$C25)*SUMIFS(Velocity!$I:$I,Velocity!$A:$A,$A25,Velocity!$B:$B,$C25)/Assumptions!$B$4*Assumptions!$B$6</f>
        <v>4.25833333333333</v>
      </c>
      <c r="AY25" s="7" t="n">
        <f aca="false">SUMIFS(Doors!BK:BK,Doors!$A:$A,$D25,Doors!$B:$B,$B25,Doors!$C:$C,$C25)*SUMIFS(Velocity!$I:$I,Velocity!$A:$A,$A25,Velocity!$B:$B,$C25)/Assumptions!$B$4*Assumptions!$B$6</f>
        <v>4.25833333333333</v>
      </c>
      <c r="AZ25" s="7" t="n">
        <f aca="false">SUMIFS(Doors!BL:BL,Doors!$A:$A,$D25,Doors!$B:$B,$B25,Doors!$C:$C,$C25)*SUMIFS(Velocity!$I:$I,Velocity!$A:$A,$A25,Velocity!$B:$B,$C25)/Assumptions!$B$4*Assumptions!$B$6</f>
        <v>4.25833333333333</v>
      </c>
      <c r="BA25" s="7" t="n">
        <f aca="false">SUMIFS(Doors!BM:BM,Doors!$A:$A,$D25,Doors!$B:$B,$B25,Doors!$C:$C,$C25)*SUMIFS(Velocity!$I:$I,Velocity!$A:$A,$A25,Velocity!$B:$B,$C25)/Assumptions!$B$4*Assumptions!$B$6</f>
        <v>4.5625</v>
      </c>
      <c r="BB25" s="7" t="n">
        <f aca="false">SUMIFS(Doors!BN:BN,Doors!$A:$A,$D25,Doors!$B:$B,$B25,Doors!$C:$C,$C25)*SUMIFS(Velocity!$I:$I,Velocity!$A:$A,$A25,Velocity!$B:$B,$C25)/Assumptions!$B$4*Assumptions!$B$6</f>
        <v>4.5625</v>
      </c>
      <c r="BC25" s="7" t="n">
        <f aca="false">SUMIFS(Doors!BO:BO,Doors!$A:$A,$D25,Doors!$B:$B,$B25,Doors!$C:$C,$C25)*SUMIFS(Velocity!$I:$I,Velocity!$A:$A,$A25,Velocity!$B:$B,$C25)/Assumptions!$B$4*Assumptions!$B$6</f>
        <v>4.5625</v>
      </c>
      <c r="BD25" s="7" t="n">
        <f aca="false">SUMIFS(Doors!BP:BP,Doors!$A:$A,$D25,Doors!$B:$B,$B25,Doors!$C:$C,$C25)*SUMIFS(Velocity!$I:$I,Velocity!$A:$A,$A25,Velocity!$B:$B,$C25)/Assumptions!$B$4*Assumptions!$B$6</f>
        <v>4.5625</v>
      </c>
    </row>
    <row r="26" customFormat="false" ht="15" hidden="false" customHeight="false" outlineLevel="0" collapsed="false">
      <c r="A26" s="0" t="s">
        <v>108</v>
      </c>
      <c r="B26" s="0" t="s">
        <v>128</v>
      </c>
      <c r="C26" s="0" t="s">
        <v>117</v>
      </c>
      <c r="D26" s="0" t="s">
        <v>235</v>
      </c>
      <c r="E26" s="7" t="n">
        <f aca="false">SUMIFS(Doors!Q:Q,Doors!$A:$A,$D26,Doors!$B:$B,$B26,Doors!$C:$C,$C26)*SUMIFS(Velocity!$I:$I,Velocity!$A:$A,$A26,Velocity!$B:$B,$C26)/Assumptions!$B$4*Assumptions!$B$6</f>
        <v>0</v>
      </c>
      <c r="F26" s="7" t="n">
        <f aca="false">SUMIFS(Doors!R:R,Doors!$A:$A,$D26,Doors!$B:$B,$B26,Doors!$C:$C,$C26)*SUMIFS(Velocity!$I:$I,Velocity!$A:$A,$A26,Velocity!$B:$B,$C26)/Assumptions!$B$4*Assumptions!$B$6</f>
        <v>0</v>
      </c>
      <c r="G26" s="7" t="n">
        <f aca="false">SUMIFS(Doors!S:S,Doors!$A:$A,$D26,Doors!$B:$B,$B26,Doors!$C:$C,$C26)*SUMIFS(Velocity!$I:$I,Velocity!$A:$A,$A26,Velocity!$B:$B,$C26)/Assumptions!$B$4*Assumptions!$B$6</f>
        <v>0</v>
      </c>
      <c r="H26" s="7" t="n">
        <f aca="false">SUMIFS(Doors!T:T,Doors!$A:$A,$D26,Doors!$B:$B,$B26,Doors!$C:$C,$C26)*SUMIFS(Velocity!$I:$I,Velocity!$A:$A,$A26,Velocity!$B:$B,$C26)/Assumptions!$B$4*Assumptions!$B$6</f>
        <v>0</v>
      </c>
      <c r="I26" s="7" t="n">
        <f aca="false">SUMIFS(Doors!U:U,Doors!$A:$A,$D26,Doors!$B:$B,$B26,Doors!$C:$C,$C26)*SUMIFS(Velocity!$I:$I,Velocity!$A:$A,$A26,Velocity!$B:$B,$C26)/Assumptions!$B$4*Assumptions!$B$6</f>
        <v>0</v>
      </c>
      <c r="J26" s="7" t="n">
        <f aca="false">SUMIFS(Doors!V:V,Doors!$A:$A,$D26,Doors!$B:$B,$B26,Doors!$C:$C,$C26)*SUMIFS(Velocity!$I:$I,Velocity!$A:$A,$A26,Velocity!$B:$B,$C26)/Assumptions!$B$4*Assumptions!$B$6</f>
        <v>0</v>
      </c>
      <c r="K26" s="7" t="n">
        <f aca="false">SUMIFS(Doors!W:W,Doors!$A:$A,$D26,Doors!$B:$B,$B26,Doors!$C:$C,$C26)*SUMIFS(Velocity!$I:$I,Velocity!$A:$A,$A26,Velocity!$B:$B,$C26)/Assumptions!$B$4*Assumptions!$B$6</f>
        <v>0</v>
      </c>
      <c r="L26" s="7" t="n">
        <f aca="false">SUMIFS(Doors!X:X,Doors!$A:$A,$D26,Doors!$B:$B,$B26,Doors!$C:$C,$C26)*SUMIFS(Velocity!$I:$I,Velocity!$A:$A,$A26,Velocity!$B:$B,$C26)/Assumptions!$B$4*Assumptions!$B$6</f>
        <v>0</v>
      </c>
      <c r="M26" s="7" t="n">
        <f aca="false">SUMIFS(Doors!Y:Y,Doors!$A:$A,$D26,Doors!$B:$B,$B26,Doors!$C:$C,$C26)*SUMIFS(Velocity!$I:$I,Velocity!$A:$A,$A26,Velocity!$B:$B,$C26)/Assumptions!$B$4*Assumptions!$B$6</f>
        <v>0</v>
      </c>
      <c r="N26" s="7" t="n">
        <f aca="false">SUMIFS(Doors!Z:Z,Doors!$A:$A,$D26,Doors!$B:$B,$B26,Doors!$C:$C,$C26)*SUMIFS(Velocity!$I:$I,Velocity!$A:$A,$A26,Velocity!$B:$B,$C26)/Assumptions!$B$4*Assumptions!$B$6</f>
        <v>0</v>
      </c>
      <c r="O26" s="7" t="n">
        <f aca="false">SUMIFS(Doors!AA:AA,Doors!$A:$A,$D26,Doors!$B:$B,$B26,Doors!$C:$C,$C26)*SUMIFS(Velocity!$I:$I,Velocity!$A:$A,$A26,Velocity!$B:$B,$C26)/Assumptions!$B$4*Assumptions!$B$6</f>
        <v>0</v>
      </c>
      <c r="P26" s="7" t="n">
        <f aca="false">SUMIFS(Doors!AB:AB,Doors!$A:$A,$D26,Doors!$B:$B,$B26,Doors!$C:$C,$C26)*SUMIFS(Velocity!$I:$I,Velocity!$A:$A,$A26,Velocity!$B:$B,$C26)/Assumptions!$B$4*Assumptions!$B$6</f>
        <v>0</v>
      </c>
      <c r="Q26" s="7" t="n">
        <f aca="false">SUMIFS(Doors!AC:AC,Doors!$A:$A,$D26,Doors!$B:$B,$B26,Doors!$C:$C,$C26)*SUMIFS(Velocity!$I:$I,Velocity!$A:$A,$A26,Velocity!$B:$B,$C26)/Assumptions!$B$4*Assumptions!$B$6</f>
        <v>0</v>
      </c>
      <c r="R26" s="7" t="n">
        <f aca="false">SUMIFS(Doors!AD:AD,Doors!$A:$A,$D26,Doors!$B:$B,$B26,Doors!$C:$C,$C26)*SUMIFS(Velocity!$I:$I,Velocity!$A:$A,$A26,Velocity!$B:$B,$C26)/Assumptions!$B$4*Assumptions!$B$6</f>
        <v>0</v>
      </c>
      <c r="S26" s="7" t="n">
        <f aca="false">SUMIFS(Doors!AE:AE,Doors!$A:$A,$D26,Doors!$B:$B,$B26,Doors!$C:$C,$C26)*SUMIFS(Velocity!$I:$I,Velocity!$A:$A,$A26,Velocity!$B:$B,$C26)/Assumptions!$B$4*Assumptions!$B$6</f>
        <v>0</v>
      </c>
      <c r="T26" s="7" t="n">
        <f aca="false">SUMIFS(Doors!AF:AF,Doors!$A:$A,$D26,Doors!$B:$B,$B26,Doors!$C:$C,$C26)*SUMIFS(Velocity!$I:$I,Velocity!$A:$A,$A26,Velocity!$B:$B,$C26)/Assumptions!$B$4*Assumptions!$B$6</f>
        <v>0</v>
      </c>
      <c r="U26" s="7" t="n">
        <f aca="false">SUMIFS(Doors!AG:AG,Doors!$A:$A,$D26,Doors!$B:$B,$B26,Doors!$C:$C,$C26)*SUMIFS(Velocity!$I:$I,Velocity!$A:$A,$A26,Velocity!$B:$B,$C26)/Assumptions!$B$4*Assumptions!$B$6</f>
        <v>0</v>
      </c>
      <c r="V26" s="7" t="n">
        <f aca="false">SUMIFS(Doors!AH:AH,Doors!$A:$A,$D26,Doors!$B:$B,$B26,Doors!$C:$C,$C26)*SUMIFS(Velocity!$I:$I,Velocity!$A:$A,$A26,Velocity!$B:$B,$C26)/Assumptions!$B$4*Assumptions!$B$6</f>
        <v>0</v>
      </c>
      <c r="W26" s="7" t="n">
        <f aca="false">SUMIFS(Doors!AI:AI,Doors!$A:$A,$D26,Doors!$B:$B,$B26,Doors!$C:$C,$C26)*SUMIFS(Velocity!$I:$I,Velocity!$A:$A,$A26,Velocity!$B:$B,$C26)/Assumptions!$B$4*Assumptions!$B$6</f>
        <v>1.25833333333333</v>
      </c>
      <c r="X26" s="7" t="n">
        <f aca="false">SUMIFS(Doors!AJ:AJ,Doors!$A:$A,$D26,Doors!$B:$B,$B26,Doors!$C:$C,$C26)*SUMIFS(Velocity!$I:$I,Velocity!$A:$A,$A26,Velocity!$B:$B,$C26)/Assumptions!$B$4*Assumptions!$B$6</f>
        <v>1.25833333333333</v>
      </c>
      <c r="Y26" s="7" t="n">
        <f aca="false">SUMIFS(Doors!AK:AK,Doors!$A:$A,$D26,Doors!$B:$B,$B26,Doors!$C:$C,$C26)*SUMIFS(Velocity!$I:$I,Velocity!$A:$A,$A26,Velocity!$B:$B,$C26)/Assumptions!$B$4*Assumptions!$B$6</f>
        <v>1.25833333333333</v>
      </c>
      <c r="Z26" s="7" t="n">
        <f aca="false">SUMIFS(Doors!AL:AL,Doors!$A:$A,$D26,Doors!$B:$B,$B26,Doors!$C:$C,$C26)*SUMIFS(Velocity!$I:$I,Velocity!$A:$A,$A26,Velocity!$B:$B,$C26)/Assumptions!$B$4*Assumptions!$B$6</f>
        <v>1.25833333333333</v>
      </c>
      <c r="AA26" s="7" t="n">
        <f aca="false">SUMIFS(Doors!AM:AM,Doors!$A:$A,$D26,Doors!$B:$B,$B26,Doors!$C:$C,$C26)*SUMIFS(Velocity!$I:$I,Velocity!$A:$A,$A26,Velocity!$B:$B,$C26)/Assumptions!$B$4*Assumptions!$B$6</f>
        <v>3.14583333333333</v>
      </c>
      <c r="AB26" s="7" t="n">
        <f aca="false">SUMIFS(Doors!AN:AN,Doors!$A:$A,$D26,Doors!$B:$B,$B26,Doors!$C:$C,$C26)*SUMIFS(Velocity!$I:$I,Velocity!$A:$A,$A26,Velocity!$B:$B,$C26)/Assumptions!$B$4*Assumptions!$B$6</f>
        <v>3.14583333333333</v>
      </c>
      <c r="AC26" s="7" t="n">
        <f aca="false">SUMIFS(Doors!AO:AO,Doors!$A:$A,$D26,Doors!$B:$B,$B26,Doors!$C:$C,$C26)*SUMIFS(Velocity!$I:$I,Velocity!$A:$A,$A26,Velocity!$B:$B,$C26)/Assumptions!$B$4*Assumptions!$B$6</f>
        <v>3.14583333333333</v>
      </c>
      <c r="AD26" s="7" t="n">
        <f aca="false">SUMIFS(Doors!AP:AP,Doors!$A:$A,$D26,Doors!$B:$B,$B26,Doors!$C:$C,$C26)*SUMIFS(Velocity!$I:$I,Velocity!$A:$A,$A26,Velocity!$B:$B,$C26)/Assumptions!$B$4*Assumptions!$B$6</f>
        <v>3.14583333333333</v>
      </c>
      <c r="AE26" s="7" t="n">
        <f aca="false">SUMIFS(Doors!AQ:AQ,Doors!$A:$A,$D26,Doors!$B:$B,$B26,Doors!$C:$C,$C26)*SUMIFS(Velocity!$I:$I,Velocity!$A:$A,$A26,Velocity!$B:$B,$C26)/Assumptions!$B$4*Assumptions!$B$6</f>
        <v>4.40416666666667</v>
      </c>
      <c r="AF26" s="7" t="n">
        <f aca="false">SUMIFS(Doors!AR:AR,Doors!$A:$A,$D26,Doors!$B:$B,$B26,Doors!$C:$C,$C26)*SUMIFS(Velocity!$I:$I,Velocity!$A:$A,$A26,Velocity!$B:$B,$C26)/Assumptions!$B$4*Assumptions!$B$6</f>
        <v>4.40416666666667</v>
      </c>
      <c r="AG26" s="7" t="n">
        <f aca="false">SUMIFS(Doors!AS:AS,Doors!$A:$A,$D26,Doors!$B:$B,$B26,Doors!$C:$C,$C26)*SUMIFS(Velocity!$I:$I,Velocity!$A:$A,$A26,Velocity!$B:$B,$C26)/Assumptions!$B$4*Assumptions!$B$6</f>
        <v>4.40416666666667</v>
      </c>
      <c r="AH26" s="7" t="n">
        <f aca="false">SUMIFS(Doors!AT:AT,Doors!$A:$A,$D26,Doors!$B:$B,$B26,Doors!$C:$C,$C26)*SUMIFS(Velocity!$I:$I,Velocity!$A:$A,$A26,Velocity!$B:$B,$C26)/Assumptions!$B$4*Assumptions!$B$6</f>
        <v>4.40416666666667</v>
      </c>
      <c r="AI26" s="7" t="n">
        <f aca="false">SUMIFS(Doors!AU:AU,Doors!$A:$A,$D26,Doors!$B:$B,$B26,Doors!$C:$C,$C26)*SUMIFS(Velocity!$I:$I,Velocity!$A:$A,$A26,Velocity!$B:$B,$C26)/Assumptions!$B$4*Assumptions!$B$6</f>
        <v>4.40416666666667</v>
      </c>
      <c r="AJ26" s="7" t="n">
        <f aca="false">SUMIFS(Doors!AV:AV,Doors!$A:$A,$D26,Doors!$B:$B,$B26,Doors!$C:$C,$C26)*SUMIFS(Velocity!$I:$I,Velocity!$A:$A,$A26,Velocity!$B:$B,$C26)/Assumptions!$B$4*Assumptions!$B$6</f>
        <v>6.29166666666667</v>
      </c>
      <c r="AK26" s="7" t="n">
        <f aca="false">SUMIFS(Doors!AW:AW,Doors!$A:$A,$D26,Doors!$B:$B,$B26,Doors!$C:$C,$C26)*SUMIFS(Velocity!$I:$I,Velocity!$A:$A,$A26,Velocity!$B:$B,$C26)/Assumptions!$B$4*Assumptions!$B$6</f>
        <v>6.29166666666667</v>
      </c>
      <c r="AL26" s="7" t="n">
        <f aca="false">SUMIFS(Doors!AX:AX,Doors!$A:$A,$D26,Doors!$B:$B,$B26,Doors!$C:$C,$C26)*SUMIFS(Velocity!$I:$I,Velocity!$A:$A,$A26,Velocity!$B:$B,$C26)/Assumptions!$B$4*Assumptions!$B$6</f>
        <v>6.29166666666667</v>
      </c>
      <c r="AM26" s="7" t="n">
        <f aca="false">SUMIFS(Doors!AY:AY,Doors!$A:$A,$D26,Doors!$B:$B,$B26,Doors!$C:$C,$C26)*SUMIFS(Velocity!$I:$I,Velocity!$A:$A,$A26,Velocity!$B:$B,$C26)/Assumptions!$B$4*Assumptions!$B$6</f>
        <v>6.29166666666667</v>
      </c>
      <c r="AN26" s="7" t="n">
        <f aca="false">SUMIFS(Doors!AZ:AZ,Doors!$A:$A,$D26,Doors!$B:$B,$B26,Doors!$C:$C,$C26)*SUMIFS(Velocity!$I:$I,Velocity!$A:$A,$A26,Velocity!$B:$B,$C26)/Assumptions!$B$4*Assumptions!$B$6</f>
        <v>7.55</v>
      </c>
      <c r="AO26" s="7" t="n">
        <f aca="false">SUMIFS(Doors!BA:BA,Doors!$A:$A,$D26,Doors!$B:$B,$B26,Doors!$C:$C,$C26)*SUMIFS(Velocity!$I:$I,Velocity!$A:$A,$A26,Velocity!$B:$B,$C26)/Assumptions!$B$4*Assumptions!$B$6</f>
        <v>7.55</v>
      </c>
      <c r="AP26" s="7" t="n">
        <f aca="false">SUMIFS(Doors!BB:BB,Doors!$A:$A,$D26,Doors!$B:$B,$B26,Doors!$C:$C,$C26)*SUMIFS(Velocity!$I:$I,Velocity!$A:$A,$A26,Velocity!$B:$B,$C26)/Assumptions!$B$4*Assumptions!$B$6</f>
        <v>7.55</v>
      </c>
      <c r="AQ26" s="7" t="n">
        <f aca="false">SUMIFS(Doors!BC:BC,Doors!$A:$A,$D26,Doors!$B:$B,$B26,Doors!$C:$C,$C26)*SUMIFS(Velocity!$I:$I,Velocity!$A:$A,$A26,Velocity!$B:$B,$C26)/Assumptions!$B$4*Assumptions!$B$6</f>
        <v>7.55</v>
      </c>
      <c r="AR26" s="7" t="n">
        <f aca="false">SUMIFS(Doors!BD:BD,Doors!$A:$A,$D26,Doors!$B:$B,$B26,Doors!$C:$C,$C26)*SUMIFS(Velocity!$I:$I,Velocity!$A:$A,$A26,Velocity!$B:$B,$C26)/Assumptions!$B$4*Assumptions!$B$6</f>
        <v>8.17916666666667</v>
      </c>
      <c r="AS26" s="7" t="n">
        <f aca="false">SUMIFS(Doors!BE:BE,Doors!$A:$A,$D26,Doors!$B:$B,$B26,Doors!$C:$C,$C26)*SUMIFS(Velocity!$I:$I,Velocity!$A:$A,$A26,Velocity!$B:$B,$C26)/Assumptions!$B$4*Assumptions!$B$6</f>
        <v>8.17916666666667</v>
      </c>
      <c r="AT26" s="7" t="n">
        <f aca="false">SUMIFS(Doors!BF:BF,Doors!$A:$A,$D26,Doors!$B:$B,$B26,Doors!$C:$C,$C26)*SUMIFS(Velocity!$I:$I,Velocity!$A:$A,$A26,Velocity!$B:$B,$C26)/Assumptions!$B$4*Assumptions!$B$6</f>
        <v>8.17916666666667</v>
      </c>
      <c r="AU26" s="7" t="n">
        <f aca="false">SUMIFS(Doors!BG:BG,Doors!$A:$A,$D26,Doors!$B:$B,$B26,Doors!$C:$C,$C26)*SUMIFS(Velocity!$I:$I,Velocity!$A:$A,$A26,Velocity!$B:$B,$C26)/Assumptions!$B$4*Assumptions!$B$6</f>
        <v>8.17916666666667</v>
      </c>
      <c r="AV26" s="7" t="n">
        <f aca="false">SUMIFS(Doors!BH:BH,Doors!$A:$A,$D26,Doors!$B:$B,$B26,Doors!$C:$C,$C26)*SUMIFS(Velocity!$I:$I,Velocity!$A:$A,$A26,Velocity!$B:$B,$C26)/Assumptions!$B$4*Assumptions!$B$6</f>
        <v>8.17916666666667</v>
      </c>
      <c r="AW26" s="7" t="n">
        <f aca="false">SUMIFS(Doors!BI:BI,Doors!$A:$A,$D26,Doors!$B:$B,$B26,Doors!$C:$C,$C26)*SUMIFS(Velocity!$I:$I,Velocity!$A:$A,$A26,Velocity!$B:$B,$C26)/Assumptions!$B$4*Assumptions!$B$6</f>
        <v>8.80833333333333</v>
      </c>
      <c r="AX26" s="7" t="n">
        <f aca="false">SUMIFS(Doors!BJ:BJ,Doors!$A:$A,$D26,Doors!$B:$B,$B26,Doors!$C:$C,$C26)*SUMIFS(Velocity!$I:$I,Velocity!$A:$A,$A26,Velocity!$B:$B,$C26)/Assumptions!$B$4*Assumptions!$B$6</f>
        <v>8.80833333333333</v>
      </c>
      <c r="AY26" s="7" t="n">
        <f aca="false">SUMIFS(Doors!BK:BK,Doors!$A:$A,$D26,Doors!$B:$B,$B26,Doors!$C:$C,$C26)*SUMIFS(Velocity!$I:$I,Velocity!$A:$A,$A26,Velocity!$B:$B,$C26)/Assumptions!$B$4*Assumptions!$B$6</f>
        <v>8.80833333333333</v>
      </c>
      <c r="AZ26" s="7" t="n">
        <f aca="false">SUMIFS(Doors!BL:BL,Doors!$A:$A,$D26,Doors!$B:$B,$B26,Doors!$C:$C,$C26)*SUMIFS(Velocity!$I:$I,Velocity!$A:$A,$A26,Velocity!$B:$B,$C26)/Assumptions!$B$4*Assumptions!$B$6</f>
        <v>8.80833333333333</v>
      </c>
      <c r="BA26" s="7" t="n">
        <f aca="false">SUMIFS(Doors!BM:BM,Doors!$A:$A,$D26,Doors!$B:$B,$B26,Doors!$C:$C,$C26)*SUMIFS(Velocity!$I:$I,Velocity!$A:$A,$A26,Velocity!$B:$B,$C26)/Assumptions!$B$4*Assumptions!$B$6</f>
        <v>9.4375</v>
      </c>
      <c r="BB26" s="7" t="n">
        <f aca="false">SUMIFS(Doors!BN:BN,Doors!$A:$A,$D26,Doors!$B:$B,$B26,Doors!$C:$C,$C26)*SUMIFS(Velocity!$I:$I,Velocity!$A:$A,$A26,Velocity!$B:$B,$C26)/Assumptions!$B$4*Assumptions!$B$6</f>
        <v>9.4375</v>
      </c>
      <c r="BC26" s="7" t="n">
        <f aca="false">SUMIFS(Doors!BO:BO,Doors!$A:$A,$D26,Doors!$B:$B,$B26,Doors!$C:$C,$C26)*SUMIFS(Velocity!$I:$I,Velocity!$A:$A,$A26,Velocity!$B:$B,$C26)/Assumptions!$B$4*Assumptions!$B$6</f>
        <v>9.4375</v>
      </c>
      <c r="BD26" s="7" t="n">
        <f aca="false">SUMIFS(Doors!BP:BP,Doors!$A:$A,$D26,Doors!$B:$B,$B26,Doors!$C:$C,$C26)*SUMIFS(Velocity!$I:$I,Velocity!$A:$A,$A26,Velocity!$B:$B,$C26)/Assumptions!$B$4*Assumptions!$B$6</f>
        <v>9.4375</v>
      </c>
    </row>
    <row r="27" customFormat="false" ht="15" hidden="false" customHeight="false" outlineLevel="0" collapsed="false">
      <c r="A27" s="0" t="s">
        <v>108</v>
      </c>
      <c r="B27" s="0" t="s">
        <v>128</v>
      </c>
      <c r="C27" s="0" t="s">
        <v>118</v>
      </c>
      <c r="D27" s="0" t="s">
        <v>235</v>
      </c>
      <c r="E27" s="7" t="n">
        <f aca="false">SUMIFS(Doors!Q:Q,Doors!$A:$A,$D27,Doors!$B:$B,$B27,Doors!$C:$C,$C27)*SUMIFS(Velocity!$I:$I,Velocity!$A:$A,$A27,Velocity!$B:$B,$C27)/Assumptions!$B$4*Assumptions!$B$6</f>
        <v>0</v>
      </c>
      <c r="F27" s="7" t="n">
        <f aca="false">SUMIFS(Doors!R:R,Doors!$A:$A,$D27,Doors!$B:$B,$B27,Doors!$C:$C,$C27)*SUMIFS(Velocity!$I:$I,Velocity!$A:$A,$A27,Velocity!$B:$B,$C27)/Assumptions!$B$4*Assumptions!$B$6</f>
        <v>0</v>
      </c>
      <c r="G27" s="7" t="n">
        <f aca="false">SUMIFS(Doors!S:S,Doors!$A:$A,$D27,Doors!$B:$B,$B27,Doors!$C:$C,$C27)*SUMIFS(Velocity!$I:$I,Velocity!$A:$A,$A27,Velocity!$B:$B,$C27)/Assumptions!$B$4*Assumptions!$B$6</f>
        <v>0</v>
      </c>
      <c r="H27" s="7" t="n">
        <f aca="false">SUMIFS(Doors!T:T,Doors!$A:$A,$D27,Doors!$B:$B,$B27,Doors!$C:$C,$C27)*SUMIFS(Velocity!$I:$I,Velocity!$A:$A,$A27,Velocity!$B:$B,$C27)/Assumptions!$B$4*Assumptions!$B$6</f>
        <v>0</v>
      </c>
      <c r="I27" s="7" t="n">
        <f aca="false">SUMIFS(Doors!U:U,Doors!$A:$A,$D27,Doors!$B:$B,$B27,Doors!$C:$C,$C27)*SUMIFS(Velocity!$I:$I,Velocity!$A:$A,$A27,Velocity!$B:$B,$C27)/Assumptions!$B$4*Assumptions!$B$6</f>
        <v>0</v>
      </c>
      <c r="J27" s="7" t="n">
        <f aca="false">SUMIFS(Doors!V:V,Doors!$A:$A,$D27,Doors!$B:$B,$B27,Doors!$C:$C,$C27)*SUMIFS(Velocity!$I:$I,Velocity!$A:$A,$A27,Velocity!$B:$B,$C27)/Assumptions!$B$4*Assumptions!$B$6</f>
        <v>0</v>
      </c>
      <c r="K27" s="7" t="n">
        <f aca="false">SUMIFS(Doors!W:W,Doors!$A:$A,$D27,Doors!$B:$B,$B27,Doors!$C:$C,$C27)*SUMIFS(Velocity!$I:$I,Velocity!$A:$A,$A27,Velocity!$B:$B,$C27)/Assumptions!$B$4*Assumptions!$B$6</f>
        <v>0</v>
      </c>
      <c r="L27" s="7" t="n">
        <f aca="false">SUMIFS(Doors!X:X,Doors!$A:$A,$D27,Doors!$B:$B,$B27,Doors!$C:$C,$C27)*SUMIFS(Velocity!$I:$I,Velocity!$A:$A,$A27,Velocity!$B:$B,$C27)/Assumptions!$B$4*Assumptions!$B$6</f>
        <v>0</v>
      </c>
      <c r="M27" s="7" t="n">
        <f aca="false">SUMIFS(Doors!Y:Y,Doors!$A:$A,$D27,Doors!$B:$B,$B27,Doors!$C:$C,$C27)*SUMIFS(Velocity!$I:$I,Velocity!$A:$A,$A27,Velocity!$B:$B,$C27)/Assumptions!$B$4*Assumptions!$B$6</f>
        <v>0</v>
      </c>
      <c r="N27" s="7" t="n">
        <f aca="false">SUMIFS(Doors!Z:Z,Doors!$A:$A,$D27,Doors!$B:$B,$B27,Doors!$C:$C,$C27)*SUMIFS(Velocity!$I:$I,Velocity!$A:$A,$A27,Velocity!$B:$B,$C27)/Assumptions!$B$4*Assumptions!$B$6</f>
        <v>0</v>
      </c>
      <c r="O27" s="7" t="n">
        <f aca="false">SUMIFS(Doors!AA:AA,Doors!$A:$A,$D27,Doors!$B:$B,$B27,Doors!$C:$C,$C27)*SUMIFS(Velocity!$I:$I,Velocity!$A:$A,$A27,Velocity!$B:$B,$C27)/Assumptions!$B$4*Assumptions!$B$6</f>
        <v>0</v>
      </c>
      <c r="P27" s="7" t="n">
        <f aca="false">SUMIFS(Doors!AB:AB,Doors!$A:$A,$D27,Doors!$B:$B,$B27,Doors!$C:$C,$C27)*SUMIFS(Velocity!$I:$I,Velocity!$A:$A,$A27,Velocity!$B:$B,$C27)/Assumptions!$B$4*Assumptions!$B$6</f>
        <v>0</v>
      </c>
      <c r="Q27" s="7" t="n">
        <f aca="false">SUMIFS(Doors!AC:AC,Doors!$A:$A,$D27,Doors!$B:$B,$B27,Doors!$C:$C,$C27)*SUMIFS(Velocity!$I:$I,Velocity!$A:$A,$A27,Velocity!$B:$B,$C27)/Assumptions!$B$4*Assumptions!$B$6</f>
        <v>0</v>
      </c>
      <c r="R27" s="7" t="n">
        <f aca="false">SUMIFS(Doors!AD:AD,Doors!$A:$A,$D27,Doors!$B:$B,$B27,Doors!$C:$C,$C27)*SUMIFS(Velocity!$I:$I,Velocity!$A:$A,$A27,Velocity!$B:$B,$C27)/Assumptions!$B$4*Assumptions!$B$6</f>
        <v>0</v>
      </c>
      <c r="S27" s="7" t="n">
        <f aca="false">SUMIFS(Doors!AE:AE,Doors!$A:$A,$D27,Doors!$B:$B,$B27,Doors!$C:$C,$C27)*SUMIFS(Velocity!$I:$I,Velocity!$A:$A,$A27,Velocity!$B:$B,$C27)/Assumptions!$B$4*Assumptions!$B$6</f>
        <v>0</v>
      </c>
      <c r="T27" s="7" t="n">
        <f aca="false">SUMIFS(Doors!AF:AF,Doors!$A:$A,$D27,Doors!$B:$B,$B27,Doors!$C:$C,$C27)*SUMIFS(Velocity!$I:$I,Velocity!$A:$A,$A27,Velocity!$B:$B,$C27)/Assumptions!$B$4*Assumptions!$B$6</f>
        <v>0</v>
      </c>
      <c r="U27" s="7" t="n">
        <f aca="false">SUMIFS(Doors!AG:AG,Doors!$A:$A,$D27,Doors!$B:$B,$B27,Doors!$C:$C,$C27)*SUMIFS(Velocity!$I:$I,Velocity!$A:$A,$A27,Velocity!$B:$B,$C27)/Assumptions!$B$4*Assumptions!$B$6</f>
        <v>0</v>
      </c>
      <c r="V27" s="7" t="n">
        <f aca="false">SUMIFS(Doors!AH:AH,Doors!$A:$A,$D27,Doors!$B:$B,$B27,Doors!$C:$C,$C27)*SUMIFS(Velocity!$I:$I,Velocity!$A:$A,$A27,Velocity!$B:$B,$C27)/Assumptions!$B$4*Assumptions!$B$6</f>
        <v>0</v>
      </c>
      <c r="W27" s="7" t="n">
        <f aca="false">SUMIFS(Doors!AI:AI,Doors!$A:$A,$D27,Doors!$B:$B,$B27,Doors!$C:$C,$C27)*SUMIFS(Velocity!$I:$I,Velocity!$A:$A,$A27,Velocity!$B:$B,$C27)/Assumptions!$B$4*Assumptions!$B$6</f>
        <v>0</v>
      </c>
      <c r="X27" s="7" t="n">
        <f aca="false">SUMIFS(Doors!AJ:AJ,Doors!$A:$A,$D27,Doors!$B:$B,$B27,Doors!$C:$C,$C27)*SUMIFS(Velocity!$I:$I,Velocity!$A:$A,$A27,Velocity!$B:$B,$C27)/Assumptions!$B$4*Assumptions!$B$6</f>
        <v>0</v>
      </c>
      <c r="Y27" s="7" t="n">
        <f aca="false">SUMIFS(Doors!AK:AK,Doors!$A:$A,$D27,Doors!$B:$B,$B27,Doors!$C:$C,$C27)*SUMIFS(Velocity!$I:$I,Velocity!$A:$A,$A27,Velocity!$B:$B,$C27)/Assumptions!$B$4*Assumptions!$B$6</f>
        <v>0</v>
      </c>
      <c r="Z27" s="7" t="n">
        <f aca="false">SUMIFS(Doors!AL:AL,Doors!$A:$A,$D27,Doors!$B:$B,$B27,Doors!$C:$C,$C27)*SUMIFS(Velocity!$I:$I,Velocity!$A:$A,$A27,Velocity!$B:$B,$C27)/Assumptions!$B$4*Assumptions!$B$6</f>
        <v>0</v>
      </c>
      <c r="AA27" s="7" t="n">
        <f aca="false">SUMIFS(Doors!AM:AM,Doors!$A:$A,$D27,Doors!$B:$B,$B27,Doors!$C:$C,$C27)*SUMIFS(Velocity!$I:$I,Velocity!$A:$A,$A27,Velocity!$B:$B,$C27)/Assumptions!$B$4*Assumptions!$B$6</f>
        <v>0</v>
      </c>
      <c r="AB27" s="7" t="n">
        <f aca="false">SUMIFS(Doors!AN:AN,Doors!$A:$A,$D27,Doors!$B:$B,$B27,Doors!$C:$C,$C27)*SUMIFS(Velocity!$I:$I,Velocity!$A:$A,$A27,Velocity!$B:$B,$C27)/Assumptions!$B$4*Assumptions!$B$6</f>
        <v>0</v>
      </c>
      <c r="AC27" s="7" t="n">
        <f aca="false">SUMIFS(Doors!AO:AO,Doors!$A:$A,$D27,Doors!$B:$B,$B27,Doors!$C:$C,$C27)*SUMIFS(Velocity!$I:$I,Velocity!$A:$A,$A27,Velocity!$B:$B,$C27)/Assumptions!$B$4*Assumptions!$B$6</f>
        <v>0</v>
      </c>
      <c r="AD27" s="7" t="n">
        <f aca="false">SUMIFS(Doors!AP:AP,Doors!$A:$A,$D27,Doors!$B:$B,$B27,Doors!$C:$C,$C27)*SUMIFS(Velocity!$I:$I,Velocity!$A:$A,$A27,Velocity!$B:$B,$C27)/Assumptions!$B$4*Assumptions!$B$6</f>
        <v>0</v>
      </c>
      <c r="AE27" s="7" t="n">
        <f aca="false">SUMIFS(Doors!AQ:AQ,Doors!$A:$A,$D27,Doors!$B:$B,$B27,Doors!$C:$C,$C27)*SUMIFS(Velocity!$I:$I,Velocity!$A:$A,$A27,Velocity!$B:$B,$C27)/Assumptions!$B$4*Assumptions!$B$6</f>
        <v>0</v>
      </c>
      <c r="AF27" s="7" t="n">
        <f aca="false">SUMIFS(Doors!AR:AR,Doors!$A:$A,$D27,Doors!$B:$B,$B27,Doors!$C:$C,$C27)*SUMIFS(Velocity!$I:$I,Velocity!$A:$A,$A27,Velocity!$B:$B,$C27)/Assumptions!$B$4*Assumptions!$B$6</f>
        <v>0</v>
      </c>
      <c r="AG27" s="7" t="n">
        <f aca="false">SUMIFS(Doors!AS:AS,Doors!$A:$A,$D27,Doors!$B:$B,$B27,Doors!$C:$C,$C27)*SUMIFS(Velocity!$I:$I,Velocity!$A:$A,$A27,Velocity!$B:$B,$C27)/Assumptions!$B$4*Assumptions!$B$6</f>
        <v>0</v>
      </c>
      <c r="AH27" s="7" t="n">
        <f aca="false">SUMIFS(Doors!AT:AT,Doors!$A:$A,$D27,Doors!$B:$B,$B27,Doors!$C:$C,$C27)*SUMIFS(Velocity!$I:$I,Velocity!$A:$A,$A27,Velocity!$B:$B,$C27)/Assumptions!$B$4*Assumptions!$B$6</f>
        <v>0</v>
      </c>
      <c r="AI27" s="7" t="n">
        <f aca="false">SUMIFS(Doors!AU:AU,Doors!$A:$A,$D27,Doors!$B:$B,$B27,Doors!$C:$C,$C27)*SUMIFS(Velocity!$I:$I,Velocity!$A:$A,$A27,Velocity!$B:$B,$C27)/Assumptions!$B$4*Assumptions!$B$6</f>
        <v>0</v>
      </c>
      <c r="AJ27" s="7" t="n">
        <f aca="false">SUMIFS(Doors!AV:AV,Doors!$A:$A,$D27,Doors!$B:$B,$B27,Doors!$C:$C,$C27)*SUMIFS(Velocity!$I:$I,Velocity!$A:$A,$A27,Velocity!$B:$B,$C27)/Assumptions!$B$4*Assumptions!$B$6</f>
        <v>0</v>
      </c>
      <c r="AK27" s="7" t="n">
        <f aca="false">SUMIFS(Doors!AW:AW,Doors!$A:$A,$D27,Doors!$B:$B,$B27,Doors!$C:$C,$C27)*SUMIFS(Velocity!$I:$I,Velocity!$A:$A,$A27,Velocity!$B:$B,$C27)/Assumptions!$B$4*Assumptions!$B$6</f>
        <v>0</v>
      </c>
      <c r="AL27" s="7" t="n">
        <f aca="false">SUMIFS(Doors!AX:AX,Doors!$A:$A,$D27,Doors!$B:$B,$B27,Doors!$C:$C,$C27)*SUMIFS(Velocity!$I:$I,Velocity!$A:$A,$A27,Velocity!$B:$B,$C27)/Assumptions!$B$4*Assumptions!$B$6</f>
        <v>0</v>
      </c>
      <c r="AM27" s="7" t="n">
        <f aca="false">SUMIFS(Doors!AY:AY,Doors!$A:$A,$D27,Doors!$B:$B,$B27,Doors!$C:$C,$C27)*SUMIFS(Velocity!$I:$I,Velocity!$A:$A,$A27,Velocity!$B:$B,$C27)/Assumptions!$B$4*Assumptions!$B$6</f>
        <v>0</v>
      </c>
      <c r="AN27" s="7" t="n">
        <f aca="false">SUMIFS(Doors!AZ:AZ,Doors!$A:$A,$D27,Doors!$B:$B,$B27,Doors!$C:$C,$C27)*SUMIFS(Velocity!$I:$I,Velocity!$A:$A,$A27,Velocity!$B:$B,$C27)/Assumptions!$B$4*Assumptions!$B$6</f>
        <v>0</v>
      </c>
      <c r="AO27" s="7" t="n">
        <f aca="false">SUMIFS(Doors!BA:BA,Doors!$A:$A,$D27,Doors!$B:$B,$B27,Doors!$C:$C,$C27)*SUMIFS(Velocity!$I:$I,Velocity!$A:$A,$A27,Velocity!$B:$B,$C27)/Assumptions!$B$4*Assumptions!$B$6</f>
        <v>0</v>
      </c>
      <c r="AP27" s="7" t="n">
        <f aca="false">SUMIFS(Doors!BB:BB,Doors!$A:$A,$D27,Doors!$B:$B,$B27,Doors!$C:$C,$C27)*SUMIFS(Velocity!$I:$I,Velocity!$A:$A,$A27,Velocity!$B:$B,$C27)/Assumptions!$B$4*Assumptions!$B$6</f>
        <v>0</v>
      </c>
      <c r="AQ27" s="7" t="n">
        <f aca="false">SUMIFS(Doors!BC:BC,Doors!$A:$A,$D27,Doors!$B:$B,$B27,Doors!$C:$C,$C27)*SUMIFS(Velocity!$I:$I,Velocity!$A:$A,$A27,Velocity!$B:$B,$C27)/Assumptions!$B$4*Assumptions!$B$6</f>
        <v>0</v>
      </c>
      <c r="AR27" s="7" t="n">
        <f aca="false">SUMIFS(Doors!BD:BD,Doors!$A:$A,$D27,Doors!$B:$B,$B27,Doors!$C:$C,$C27)*SUMIFS(Velocity!$I:$I,Velocity!$A:$A,$A27,Velocity!$B:$B,$C27)/Assumptions!$B$4*Assumptions!$B$6</f>
        <v>38.3333333333333</v>
      </c>
      <c r="AS27" s="7" t="n">
        <f aca="false">SUMIFS(Doors!BE:BE,Doors!$A:$A,$D27,Doors!$B:$B,$B27,Doors!$C:$C,$C27)*SUMIFS(Velocity!$I:$I,Velocity!$A:$A,$A27,Velocity!$B:$B,$C27)/Assumptions!$B$4*Assumptions!$B$6</f>
        <v>38.3333333333333</v>
      </c>
      <c r="AT27" s="7" t="n">
        <f aca="false">SUMIFS(Doors!BF:BF,Doors!$A:$A,$D27,Doors!$B:$B,$B27,Doors!$C:$C,$C27)*SUMIFS(Velocity!$I:$I,Velocity!$A:$A,$A27,Velocity!$B:$B,$C27)/Assumptions!$B$4*Assumptions!$B$6</f>
        <v>38.3333333333333</v>
      </c>
      <c r="AU27" s="7" t="n">
        <f aca="false">SUMIFS(Doors!BG:BG,Doors!$A:$A,$D27,Doors!$B:$B,$B27,Doors!$C:$C,$C27)*SUMIFS(Velocity!$I:$I,Velocity!$A:$A,$A27,Velocity!$B:$B,$C27)/Assumptions!$B$4*Assumptions!$B$6</f>
        <v>38.3333333333333</v>
      </c>
      <c r="AV27" s="7" t="n">
        <f aca="false">SUMIFS(Doors!BH:BH,Doors!$A:$A,$D27,Doors!$B:$B,$B27,Doors!$C:$C,$C27)*SUMIFS(Velocity!$I:$I,Velocity!$A:$A,$A27,Velocity!$B:$B,$C27)/Assumptions!$B$4*Assumptions!$B$6</f>
        <v>38.3333333333333</v>
      </c>
      <c r="AW27" s="7" t="n">
        <f aca="false">SUMIFS(Doors!BI:BI,Doors!$A:$A,$D27,Doors!$B:$B,$B27,Doors!$C:$C,$C27)*SUMIFS(Velocity!$I:$I,Velocity!$A:$A,$A27,Velocity!$B:$B,$C27)/Assumptions!$B$4*Assumptions!$B$6</f>
        <v>46</v>
      </c>
      <c r="AX27" s="7" t="n">
        <f aca="false">SUMIFS(Doors!BJ:BJ,Doors!$A:$A,$D27,Doors!$B:$B,$B27,Doors!$C:$C,$C27)*SUMIFS(Velocity!$I:$I,Velocity!$A:$A,$A27,Velocity!$B:$B,$C27)/Assumptions!$B$4*Assumptions!$B$6</f>
        <v>46</v>
      </c>
      <c r="AY27" s="7" t="n">
        <f aca="false">SUMIFS(Doors!BK:BK,Doors!$A:$A,$D27,Doors!$B:$B,$B27,Doors!$C:$C,$C27)*SUMIFS(Velocity!$I:$I,Velocity!$A:$A,$A27,Velocity!$B:$B,$C27)/Assumptions!$B$4*Assumptions!$B$6</f>
        <v>46</v>
      </c>
      <c r="AZ27" s="7" t="n">
        <f aca="false">SUMIFS(Doors!BL:BL,Doors!$A:$A,$D27,Doors!$B:$B,$B27,Doors!$C:$C,$C27)*SUMIFS(Velocity!$I:$I,Velocity!$A:$A,$A27,Velocity!$B:$B,$C27)/Assumptions!$B$4*Assumptions!$B$6</f>
        <v>46</v>
      </c>
      <c r="BA27" s="7" t="n">
        <f aca="false">SUMIFS(Doors!BM:BM,Doors!$A:$A,$D27,Doors!$B:$B,$B27,Doors!$C:$C,$C27)*SUMIFS(Velocity!$I:$I,Velocity!$A:$A,$A27,Velocity!$B:$B,$C27)/Assumptions!$B$4*Assumptions!$B$6</f>
        <v>53.6666666666667</v>
      </c>
      <c r="BB27" s="7" t="n">
        <f aca="false">SUMIFS(Doors!BN:BN,Doors!$A:$A,$D27,Doors!$B:$B,$B27,Doors!$C:$C,$C27)*SUMIFS(Velocity!$I:$I,Velocity!$A:$A,$A27,Velocity!$B:$B,$C27)/Assumptions!$B$4*Assumptions!$B$6</f>
        <v>53.6666666666667</v>
      </c>
      <c r="BC27" s="7" t="n">
        <f aca="false">SUMIFS(Doors!BO:BO,Doors!$A:$A,$D27,Doors!$B:$B,$B27,Doors!$C:$C,$C27)*SUMIFS(Velocity!$I:$I,Velocity!$A:$A,$A27,Velocity!$B:$B,$C27)/Assumptions!$B$4*Assumptions!$B$6</f>
        <v>53.6666666666667</v>
      </c>
      <c r="BD27" s="7" t="n">
        <f aca="false">SUMIFS(Doors!BP:BP,Doors!$A:$A,$D27,Doors!$B:$B,$B27,Doors!$C:$C,$C27)*SUMIFS(Velocity!$I:$I,Velocity!$A:$A,$A27,Velocity!$B:$B,$C27)/Assumptions!$B$4*Assumptions!$B$6</f>
        <v>53.6666666666667</v>
      </c>
    </row>
    <row r="28" customFormat="false" ht="15" hidden="false" customHeight="false" outlineLevel="0" collapsed="false">
      <c r="A28" s="0" t="s">
        <v>108</v>
      </c>
      <c r="B28" s="0" t="s">
        <v>128</v>
      </c>
      <c r="C28" s="0" t="s">
        <v>119</v>
      </c>
      <c r="D28" s="0" t="s">
        <v>235</v>
      </c>
      <c r="E28" s="7" t="n">
        <f aca="false">SUMIFS(Doors!Q:Q,Doors!$A:$A,$D28,Doors!$B:$B,$B28,Doors!$C:$C,$C28)*SUMIFS(Velocity!$I:$I,Velocity!$A:$A,$A28,Velocity!$B:$B,$C28)/Assumptions!$B$4*Assumptions!$B$6</f>
        <v>0.833333333333333</v>
      </c>
      <c r="F28" s="7" t="n">
        <f aca="false">SUMIFS(Doors!R:R,Doors!$A:$A,$D28,Doors!$B:$B,$B28,Doors!$C:$C,$C28)*SUMIFS(Velocity!$I:$I,Velocity!$A:$A,$A28,Velocity!$B:$B,$C28)/Assumptions!$B$4*Assumptions!$B$6</f>
        <v>0.833333333333333</v>
      </c>
      <c r="G28" s="7" t="n">
        <f aca="false">SUMIFS(Doors!S:S,Doors!$A:$A,$D28,Doors!$B:$B,$B28,Doors!$C:$C,$C28)*SUMIFS(Velocity!$I:$I,Velocity!$A:$A,$A28,Velocity!$B:$B,$C28)/Assumptions!$B$4*Assumptions!$B$6</f>
        <v>0.833333333333333</v>
      </c>
      <c r="H28" s="7" t="n">
        <f aca="false">SUMIFS(Doors!T:T,Doors!$A:$A,$D28,Doors!$B:$B,$B28,Doors!$C:$C,$C28)*SUMIFS(Velocity!$I:$I,Velocity!$A:$A,$A28,Velocity!$B:$B,$C28)/Assumptions!$B$4*Assumptions!$B$6</f>
        <v>0.833333333333333</v>
      </c>
      <c r="I28" s="7" t="n">
        <f aca="false">SUMIFS(Doors!U:U,Doors!$A:$A,$D28,Doors!$B:$B,$B28,Doors!$C:$C,$C28)*SUMIFS(Velocity!$I:$I,Velocity!$A:$A,$A28,Velocity!$B:$B,$C28)/Assumptions!$B$4*Assumptions!$B$6</f>
        <v>0.833333333333333</v>
      </c>
      <c r="J28" s="7" t="n">
        <f aca="false">SUMIFS(Doors!V:V,Doors!$A:$A,$D28,Doors!$B:$B,$B28,Doors!$C:$C,$C28)*SUMIFS(Velocity!$I:$I,Velocity!$A:$A,$A28,Velocity!$B:$B,$C28)/Assumptions!$B$4*Assumptions!$B$6</f>
        <v>1.33333333333333</v>
      </c>
      <c r="K28" s="7" t="n">
        <f aca="false">SUMIFS(Doors!W:W,Doors!$A:$A,$D28,Doors!$B:$B,$B28,Doors!$C:$C,$C28)*SUMIFS(Velocity!$I:$I,Velocity!$A:$A,$A28,Velocity!$B:$B,$C28)/Assumptions!$B$4*Assumptions!$B$6</f>
        <v>1.33333333333333</v>
      </c>
      <c r="L28" s="7" t="n">
        <f aca="false">SUMIFS(Doors!X:X,Doors!$A:$A,$D28,Doors!$B:$B,$B28,Doors!$C:$C,$C28)*SUMIFS(Velocity!$I:$I,Velocity!$A:$A,$A28,Velocity!$B:$B,$C28)/Assumptions!$B$4*Assumptions!$B$6</f>
        <v>1.33333333333333</v>
      </c>
      <c r="M28" s="7" t="n">
        <f aca="false">SUMIFS(Doors!Y:Y,Doors!$A:$A,$D28,Doors!$B:$B,$B28,Doors!$C:$C,$C28)*SUMIFS(Velocity!$I:$I,Velocity!$A:$A,$A28,Velocity!$B:$B,$C28)/Assumptions!$B$4*Assumptions!$B$6</f>
        <v>1.33333333333333</v>
      </c>
      <c r="N28" s="7" t="n">
        <f aca="false">SUMIFS(Doors!Z:Z,Doors!$A:$A,$D28,Doors!$B:$B,$B28,Doors!$C:$C,$C28)*SUMIFS(Velocity!$I:$I,Velocity!$A:$A,$A28,Velocity!$B:$B,$C28)/Assumptions!$B$4*Assumptions!$B$6</f>
        <v>2</v>
      </c>
      <c r="O28" s="7" t="n">
        <f aca="false">SUMIFS(Doors!AA:AA,Doors!$A:$A,$D28,Doors!$B:$B,$B28,Doors!$C:$C,$C28)*SUMIFS(Velocity!$I:$I,Velocity!$A:$A,$A28,Velocity!$B:$B,$C28)/Assumptions!$B$4*Assumptions!$B$6</f>
        <v>2</v>
      </c>
      <c r="P28" s="7" t="n">
        <f aca="false">SUMIFS(Doors!AB:AB,Doors!$A:$A,$D28,Doors!$B:$B,$B28,Doors!$C:$C,$C28)*SUMIFS(Velocity!$I:$I,Velocity!$A:$A,$A28,Velocity!$B:$B,$C28)/Assumptions!$B$4*Assumptions!$B$6</f>
        <v>2</v>
      </c>
      <c r="Q28" s="7" t="n">
        <f aca="false">SUMIFS(Doors!AC:AC,Doors!$A:$A,$D28,Doors!$B:$B,$B28,Doors!$C:$C,$C28)*SUMIFS(Velocity!$I:$I,Velocity!$A:$A,$A28,Velocity!$B:$B,$C28)/Assumptions!$B$4*Assumptions!$B$6</f>
        <v>2</v>
      </c>
      <c r="R28" s="7" t="n">
        <f aca="false">SUMIFS(Doors!AD:AD,Doors!$A:$A,$D28,Doors!$B:$B,$B28,Doors!$C:$C,$C28)*SUMIFS(Velocity!$I:$I,Velocity!$A:$A,$A28,Velocity!$B:$B,$C28)/Assumptions!$B$4*Assumptions!$B$6</f>
        <v>2.5</v>
      </c>
      <c r="S28" s="7" t="n">
        <f aca="false">SUMIFS(Doors!AE:AE,Doors!$A:$A,$D28,Doors!$B:$B,$B28,Doors!$C:$C,$C28)*SUMIFS(Velocity!$I:$I,Velocity!$A:$A,$A28,Velocity!$B:$B,$C28)/Assumptions!$B$4*Assumptions!$B$6</f>
        <v>2.5</v>
      </c>
      <c r="T28" s="7" t="n">
        <f aca="false">SUMIFS(Doors!AF:AF,Doors!$A:$A,$D28,Doors!$B:$B,$B28,Doors!$C:$C,$C28)*SUMIFS(Velocity!$I:$I,Velocity!$A:$A,$A28,Velocity!$B:$B,$C28)/Assumptions!$B$4*Assumptions!$B$6</f>
        <v>2.5</v>
      </c>
      <c r="U28" s="7" t="n">
        <f aca="false">SUMIFS(Doors!AG:AG,Doors!$A:$A,$D28,Doors!$B:$B,$B28,Doors!$C:$C,$C28)*SUMIFS(Velocity!$I:$I,Velocity!$A:$A,$A28,Velocity!$B:$B,$C28)/Assumptions!$B$4*Assumptions!$B$6</f>
        <v>2.5</v>
      </c>
      <c r="V28" s="7" t="n">
        <f aca="false">SUMIFS(Doors!AH:AH,Doors!$A:$A,$D28,Doors!$B:$B,$B28,Doors!$C:$C,$C28)*SUMIFS(Velocity!$I:$I,Velocity!$A:$A,$A28,Velocity!$B:$B,$C28)/Assumptions!$B$4*Assumptions!$B$6</f>
        <v>2.5</v>
      </c>
      <c r="W28" s="7" t="n">
        <f aca="false">SUMIFS(Doors!AI:AI,Doors!$A:$A,$D28,Doors!$B:$B,$B28,Doors!$C:$C,$C28)*SUMIFS(Velocity!$I:$I,Velocity!$A:$A,$A28,Velocity!$B:$B,$C28)/Assumptions!$B$4*Assumptions!$B$6</f>
        <v>3</v>
      </c>
      <c r="X28" s="7" t="n">
        <f aca="false">SUMIFS(Doors!AJ:AJ,Doors!$A:$A,$D28,Doors!$B:$B,$B28,Doors!$C:$C,$C28)*SUMIFS(Velocity!$I:$I,Velocity!$A:$A,$A28,Velocity!$B:$B,$C28)/Assumptions!$B$4*Assumptions!$B$6</f>
        <v>3</v>
      </c>
      <c r="Y28" s="7" t="n">
        <f aca="false">SUMIFS(Doors!AK:AK,Doors!$A:$A,$D28,Doors!$B:$B,$B28,Doors!$C:$C,$C28)*SUMIFS(Velocity!$I:$I,Velocity!$A:$A,$A28,Velocity!$B:$B,$C28)/Assumptions!$B$4*Assumptions!$B$6</f>
        <v>3</v>
      </c>
      <c r="Z28" s="7" t="n">
        <f aca="false">SUMIFS(Doors!AL:AL,Doors!$A:$A,$D28,Doors!$B:$B,$B28,Doors!$C:$C,$C28)*SUMIFS(Velocity!$I:$I,Velocity!$A:$A,$A28,Velocity!$B:$B,$C28)/Assumptions!$B$4*Assumptions!$B$6</f>
        <v>3</v>
      </c>
      <c r="AA28" s="7" t="n">
        <f aca="false">SUMIFS(Doors!AM:AM,Doors!$A:$A,$D28,Doors!$B:$B,$B28,Doors!$C:$C,$C28)*SUMIFS(Velocity!$I:$I,Velocity!$A:$A,$A28,Velocity!$B:$B,$C28)/Assumptions!$B$4*Assumptions!$B$6</f>
        <v>3.5</v>
      </c>
      <c r="AB28" s="7" t="n">
        <f aca="false">SUMIFS(Doors!AN:AN,Doors!$A:$A,$D28,Doors!$B:$B,$B28,Doors!$C:$C,$C28)*SUMIFS(Velocity!$I:$I,Velocity!$A:$A,$A28,Velocity!$B:$B,$C28)/Assumptions!$B$4*Assumptions!$B$6</f>
        <v>3.5</v>
      </c>
      <c r="AC28" s="7" t="n">
        <f aca="false">SUMIFS(Doors!AO:AO,Doors!$A:$A,$D28,Doors!$B:$B,$B28,Doors!$C:$C,$C28)*SUMIFS(Velocity!$I:$I,Velocity!$A:$A,$A28,Velocity!$B:$B,$C28)/Assumptions!$B$4*Assumptions!$B$6</f>
        <v>3.5</v>
      </c>
      <c r="AD28" s="7" t="n">
        <f aca="false">SUMIFS(Doors!AP:AP,Doors!$A:$A,$D28,Doors!$B:$B,$B28,Doors!$C:$C,$C28)*SUMIFS(Velocity!$I:$I,Velocity!$A:$A,$A28,Velocity!$B:$B,$C28)/Assumptions!$B$4*Assumptions!$B$6</f>
        <v>3.5</v>
      </c>
      <c r="AE28" s="7" t="n">
        <f aca="false">SUMIFS(Doors!AQ:AQ,Doors!$A:$A,$D28,Doors!$B:$B,$B28,Doors!$C:$C,$C28)*SUMIFS(Velocity!$I:$I,Velocity!$A:$A,$A28,Velocity!$B:$B,$C28)/Assumptions!$B$4*Assumptions!$B$6</f>
        <v>4</v>
      </c>
      <c r="AF28" s="7" t="n">
        <f aca="false">SUMIFS(Doors!AR:AR,Doors!$A:$A,$D28,Doors!$B:$B,$B28,Doors!$C:$C,$C28)*SUMIFS(Velocity!$I:$I,Velocity!$A:$A,$A28,Velocity!$B:$B,$C28)/Assumptions!$B$4*Assumptions!$B$6</f>
        <v>4</v>
      </c>
      <c r="AG28" s="7" t="n">
        <f aca="false">SUMIFS(Doors!AS:AS,Doors!$A:$A,$D28,Doors!$B:$B,$B28,Doors!$C:$C,$C28)*SUMIFS(Velocity!$I:$I,Velocity!$A:$A,$A28,Velocity!$B:$B,$C28)/Assumptions!$B$4*Assumptions!$B$6</f>
        <v>4</v>
      </c>
      <c r="AH28" s="7" t="n">
        <f aca="false">SUMIFS(Doors!AT:AT,Doors!$A:$A,$D28,Doors!$B:$B,$B28,Doors!$C:$C,$C28)*SUMIFS(Velocity!$I:$I,Velocity!$A:$A,$A28,Velocity!$B:$B,$C28)/Assumptions!$B$4*Assumptions!$B$6</f>
        <v>4</v>
      </c>
      <c r="AI28" s="7" t="n">
        <f aca="false">SUMIFS(Doors!AU:AU,Doors!$A:$A,$D28,Doors!$B:$B,$B28,Doors!$C:$C,$C28)*SUMIFS(Velocity!$I:$I,Velocity!$A:$A,$A28,Velocity!$B:$B,$C28)/Assumptions!$B$4*Assumptions!$B$6</f>
        <v>4</v>
      </c>
      <c r="AJ28" s="7" t="n">
        <f aca="false">SUMIFS(Doors!AV:AV,Doors!$A:$A,$D28,Doors!$B:$B,$B28,Doors!$C:$C,$C28)*SUMIFS(Velocity!$I:$I,Velocity!$A:$A,$A28,Velocity!$B:$B,$C28)/Assumptions!$B$4*Assumptions!$B$6</f>
        <v>4.33333333333333</v>
      </c>
      <c r="AK28" s="7" t="n">
        <f aca="false">SUMIFS(Doors!AW:AW,Doors!$A:$A,$D28,Doors!$B:$B,$B28,Doors!$C:$C,$C28)*SUMIFS(Velocity!$I:$I,Velocity!$A:$A,$A28,Velocity!$B:$B,$C28)/Assumptions!$B$4*Assumptions!$B$6</f>
        <v>4.33333333333333</v>
      </c>
      <c r="AL28" s="7" t="n">
        <f aca="false">SUMIFS(Doors!AX:AX,Doors!$A:$A,$D28,Doors!$B:$B,$B28,Doors!$C:$C,$C28)*SUMIFS(Velocity!$I:$I,Velocity!$A:$A,$A28,Velocity!$B:$B,$C28)/Assumptions!$B$4*Assumptions!$B$6</f>
        <v>4.33333333333333</v>
      </c>
      <c r="AM28" s="7" t="n">
        <f aca="false">SUMIFS(Doors!AY:AY,Doors!$A:$A,$D28,Doors!$B:$B,$B28,Doors!$C:$C,$C28)*SUMIFS(Velocity!$I:$I,Velocity!$A:$A,$A28,Velocity!$B:$B,$C28)/Assumptions!$B$4*Assumptions!$B$6</f>
        <v>4.33333333333333</v>
      </c>
      <c r="AN28" s="7" t="n">
        <f aca="false">SUMIFS(Doors!AZ:AZ,Doors!$A:$A,$D28,Doors!$B:$B,$B28,Doors!$C:$C,$C28)*SUMIFS(Velocity!$I:$I,Velocity!$A:$A,$A28,Velocity!$B:$B,$C28)/Assumptions!$B$4*Assumptions!$B$6</f>
        <v>4.66666666666667</v>
      </c>
      <c r="AO28" s="7" t="n">
        <f aca="false">SUMIFS(Doors!BA:BA,Doors!$A:$A,$D28,Doors!$B:$B,$B28,Doors!$C:$C,$C28)*SUMIFS(Velocity!$I:$I,Velocity!$A:$A,$A28,Velocity!$B:$B,$C28)/Assumptions!$B$4*Assumptions!$B$6</f>
        <v>4.66666666666667</v>
      </c>
      <c r="AP28" s="7" t="n">
        <f aca="false">SUMIFS(Doors!BB:BB,Doors!$A:$A,$D28,Doors!$B:$B,$B28,Doors!$C:$C,$C28)*SUMIFS(Velocity!$I:$I,Velocity!$A:$A,$A28,Velocity!$B:$B,$C28)/Assumptions!$B$4*Assumptions!$B$6</f>
        <v>4.66666666666667</v>
      </c>
      <c r="AQ28" s="7" t="n">
        <f aca="false">SUMIFS(Doors!BC:BC,Doors!$A:$A,$D28,Doors!$B:$B,$B28,Doors!$C:$C,$C28)*SUMIFS(Velocity!$I:$I,Velocity!$A:$A,$A28,Velocity!$B:$B,$C28)/Assumptions!$B$4*Assumptions!$B$6</f>
        <v>4.66666666666667</v>
      </c>
      <c r="AR28" s="7" t="n">
        <f aca="false">SUMIFS(Doors!BD:BD,Doors!$A:$A,$D28,Doors!$B:$B,$B28,Doors!$C:$C,$C28)*SUMIFS(Velocity!$I:$I,Velocity!$A:$A,$A28,Velocity!$B:$B,$C28)/Assumptions!$B$4*Assumptions!$B$6</f>
        <v>4.83333333333333</v>
      </c>
      <c r="AS28" s="7" t="n">
        <f aca="false">SUMIFS(Doors!BE:BE,Doors!$A:$A,$D28,Doors!$B:$B,$B28,Doors!$C:$C,$C28)*SUMIFS(Velocity!$I:$I,Velocity!$A:$A,$A28,Velocity!$B:$B,$C28)/Assumptions!$B$4*Assumptions!$B$6</f>
        <v>4.83333333333333</v>
      </c>
      <c r="AT28" s="7" t="n">
        <f aca="false">SUMIFS(Doors!BF:BF,Doors!$A:$A,$D28,Doors!$B:$B,$B28,Doors!$C:$C,$C28)*SUMIFS(Velocity!$I:$I,Velocity!$A:$A,$A28,Velocity!$B:$B,$C28)/Assumptions!$B$4*Assumptions!$B$6</f>
        <v>4.83333333333333</v>
      </c>
      <c r="AU28" s="7" t="n">
        <f aca="false">SUMIFS(Doors!BG:BG,Doors!$A:$A,$D28,Doors!$B:$B,$B28,Doors!$C:$C,$C28)*SUMIFS(Velocity!$I:$I,Velocity!$A:$A,$A28,Velocity!$B:$B,$C28)/Assumptions!$B$4*Assumptions!$B$6</f>
        <v>4.83333333333333</v>
      </c>
      <c r="AV28" s="7" t="n">
        <f aca="false">SUMIFS(Doors!BH:BH,Doors!$A:$A,$D28,Doors!$B:$B,$B28,Doors!$C:$C,$C28)*SUMIFS(Velocity!$I:$I,Velocity!$A:$A,$A28,Velocity!$B:$B,$C28)/Assumptions!$B$4*Assumptions!$B$6</f>
        <v>4.83333333333333</v>
      </c>
      <c r="AW28" s="7" t="n">
        <f aca="false">SUMIFS(Doors!BI:BI,Doors!$A:$A,$D28,Doors!$B:$B,$B28,Doors!$C:$C,$C28)*SUMIFS(Velocity!$I:$I,Velocity!$A:$A,$A28,Velocity!$B:$B,$C28)/Assumptions!$B$4*Assumptions!$B$6</f>
        <v>5</v>
      </c>
      <c r="AX28" s="7" t="n">
        <f aca="false">SUMIFS(Doors!BJ:BJ,Doors!$A:$A,$D28,Doors!$B:$B,$B28,Doors!$C:$C,$C28)*SUMIFS(Velocity!$I:$I,Velocity!$A:$A,$A28,Velocity!$B:$B,$C28)/Assumptions!$B$4*Assumptions!$B$6</f>
        <v>5</v>
      </c>
      <c r="AY28" s="7" t="n">
        <f aca="false">SUMIFS(Doors!BK:BK,Doors!$A:$A,$D28,Doors!$B:$B,$B28,Doors!$C:$C,$C28)*SUMIFS(Velocity!$I:$I,Velocity!$A:$A,$A28,Velocity!$B:$B,$C28)/Assumptions!$B$4*Assumptions!$B$6</f>
        <v>5</v>
      </c>
      <c r="AZ28" s="7" t="n">
        <f aca="false">SUMIFS(Doors!BL:BL,Doors!$A:$A,$D28,Doors!$B:$B,$B28,Doors!$C:$C,$C28)*SUMIFS(Velocity!$I:$I,Velocity!$A:$A,$A28,Velocity!$B:$B,$C28)/Assumptions!$B$4*Assumptions!$B$6</f>
        <v>5</v>
      </c>
      <c r="BA28" s="7" t="n">
        <f aca="false">SUMIFS(Doors!BM:BM,Doors!$A:$A,$D28,Doors!$B:$B,$B28,Doors!$C:$C,$C28)*SUMIFS(Velocity!$I:$I,Velocity!$A:$A,$A28,Velocity!$B:$B,$C28)/Assumptions!$B$4*Assumptions!$B$6</f>
        <v>5</v>
      </c>
      <c r="BB28" s="7" t="n">
        <f aca="false">SUMIFS(Doors!BN:BN,Doors!$A:$A,$D28,Doors!$B:$B,$B28,Doors!$C:$C,$C28)*SUMIFS(Velocity!$I:$I,Velocity!$A:$A,$A28,Velocity!$B:$B,$C28)/Assumptions!$B$4*Assumptions!$B$6</f>
        <v>5</v>
      </c>
      <c r="BC28" s="7" t="n">
        <f aca="false">SUMIFS(Doors!BO:BO,Doors!$A:$A,$D28,Doors!$B:$B,$B28,Doors!$C:$C,$C28)*SUMIFS(Velocity!$I:$I,Velocity!$A:$A,$A28,Velocity!$B:$B,$C28)/Assumptions!$B$4*Assumptions!$B$6</f>
        <v>5</v>
      </c>
      <c r="BD28" s="7" t="n">
        <f aca="false">SUMIFS(Doors!BP:BP,Doors!$A:$A,$D28,Doors!$B:$B,$B28,Doors!$C:$C,$C28)*SUMIFS(Velocity!$I:$I,Velocity!$A:$A,$A28,Velocity!$B:$B,$C28)/Assumptions!$B$4*Assumptions!$B$6</f>
        <v>5</v>
      </c>
    </row>
    <row r="29" customFormat="false" ht="15" hidden="false" customHeight="false" outlineLevel="0" collapsed="false">
      <c r="A29" s="0" t="s">
        <v>108</v>
      </c>
      <c r="B29" s="0" t="s">
        <v>128</v>
      </c>
      <c r="C29" s="0" t="s">
        <v>120</v>
      </c>
      <c r="D29" s="0" t="s">
        <v>235</v>
      </c>
      <c r="E29" s="7" t="n">
        <f aca="false">SUMIFS(Doors!Q:Q,Doors!$A:$A,$D29,Doors!$B:$B,$B29,Doors!$C:$C,$C29)*SUMIFS(Velocity!$I:$I,Velocity!$A:$A,$A29,Velocity!$B:$B,$C29)/Assumptions!$B$4*Assumptions!$B$6</f>
        <v>0.989583333333333</v>
      </c>
      <c r="F29" s="7" t="n">
        <f aca="false">SUMIFS(Doors!R:R,Doors!$A:$A,$D29,Doors!$B:$B,$B29,Doors!$C:$C,$C29)*SUMIFS(Velocity!$I:$I,Velocity!$A:$A,$A29,Velocity!$B:$B,$C29)/Assumptions!$B$4*Assumptions!$B$6</f>
        <v>0.989583333333333</v>
      </c>
      <c r="G29" s="7" t="n">
        <f aca="false">SUMIFS(Doors!S:S,Doors!$A:$A,$D29,Doors!$B:$B,$B29,Doors!$C:$C,$C29)*SUMIFS(Velocity!$I:$I,Velocity!$A:$A,$A29,Velocity!$B:$B,$C29)/Assumptions!$B$4*Assumptions!$B$6</f>
        <v>0.989583333333333</v>
      </c>
      <c r="H29" s="7" t="n">
        <f aca="false">SUMIFS(Doors!T:T,Doors!$A:$A,$D29,Doors!$B:$B,$B29,Doors!$C:$C,$C29)*SUMIFS(Velocity!$I:$I,Velocity!$A:$A,$A29,Velocity!$B:$B,$C29)/Assumptions!$B$4*Assumptions!$B$6</f>
        <v>0.989583333333333</v>
      </c>
      <c r="I29" s="7" t="n">
        <f aca="false">SUMIFS(Doors!U:U,Doors!$A:$A,$D29,Doors!$B:$B,$B29,Doors!$C:$C,$C29)*SUMIFS(Velocity!$I:$I,Velocity!$A:$A,$A29,Velocity!$B:$B,$C29)/Assumptions!$B$4*Assumptions!$B$6</f>
        <v>0.989583333333333</v>
      </c>
      <c r="J29" s="7" t="n">
        <f aca="false">SUMIFS(Doors!V:V,Doors!$A:$A,$D29,Doors!$B:$B,$B29,Doors!$C:$C,$C29)*SUMIFS(Velocity!$I:$I,Velocity!$A:$A,$A29,Velocity!$B:$B,$C29)/Assumptions!$B$4*Assumptions!$B$6</f>
        <v>1.58333333333333</v>
      </c>
      <c r="K29" s="7" t="n">
        <f aca="false">SUMIFS(Doors!W:W,Doors!$A:$A,$D29,Doors!$B:$B,$B29,Doors!$C:$C,$C29)*SUMIFS(Velocity!$I:$I,Velocity!$A:$A,$A29,Velocity!$B:$B,$C29)/Assumptions!$B$4*Assumptions!$B$6</f>
        <v>1.58333333333333</v>
      </c>
      <c r="L29" s="7" t="n">
        <f aca="false">SUMIFS(Doors!X:X,Doors!$A:$A,$D29,Doors!$B:$B,$B29,Doors!$C:$C,$C29)*SUMIFS(Velocity!$I:$I,Velocity!$A:$A,$A29,Velocity!$B:$B,$C29)/Assumptions!$B$4*Assumptions!$B$6</f>
        <v>1.58333333333333</v>
      </c>
      <c r="M29" s="7" t="n">
        <f aca="false">SUMIFS(Doors!Y:Y,Doors!$A:$A,$D29,Doors!$B:$B,$B29,Doors!$C:$C,$C29)*SUMIFS(Velocity!$I:$I,Velocity!$A:$A,$A29,Velocity!$B:$B,$C29)/Assumptions!$B$4*Assumptions!$B$6</f>
        <v>1.58333333333333</v>
      </c>
      <c r="N29" s="7" t="n">
        <f aca="false">SUMIFS(Doors!Z:Z,Doors!$A:$A,$D29,Doors!$B:$B,$B29,Doors!$C:$C,$C29)*SUMIFS(Velocity!$I:$I,Velocity!$A:$A,$A29,Velocity!$B:$B,$C29)/Assumptions!$B$4*Assumptions!$B$6</f>
        <v>2.375</v>
      </c>
      <c r="O29" s="7" t="n">
        <f aca="false">SUMIFS(Doors!AA:AA,Doors!$A:$A,$D29,Doors!$B:$B,$B29,Doors!$C:$C,$C29)*SUMIFS(Velocity!$I:$I,Velocity!$A:$A,$A29,Velocity!$B:$B,$C29)/Assumptions!$B$4*Assumptions!$B$6</f>
        <v>2.375</v>
      </c>
      <c r="P29" s="7" t="n">
        <f aca="false">SUMIFS(Doors!AB:AB,Doors!$A:$A,$D29,Doors!$B:$B,$B29,Doors!$C:$C,$C29)*SUMIFS(Velocity!$I:$I,Velocity!$A:$A,$A29,Velocity!$B:$B,$C29)/Assumptions!$B$4*Assumptions!$B$6</f>
        <v>2.375</v>
      </c>
      <c r="Q29" s="7" t="n">
        <f aca="false">SUMIFS(Doors!AC:AC,Doors!$A:$A,$D29,Doors!$B:$B,$B29,Doors!$C:$C,$C29)*SUMIFS(Velocity!$I:$I,Velocity!$A:$A,$A29,Velocity!$B:$B,$C29)/Assumptions!$B$4*Assumptions!$B$6</f>
        <v>2.375</v>
      </c>
      <c r="R29" s="7" t="n">
        <f aca="false">SUMIFS(Doors!AD:AD,Doors!$A:$A,$D29,Doors!$B:$B,$B29,Doors!$C:$C,$C29)*SUMIFS(Velocity!$I:$I,Velocity!$A:$A,$A29,Velocity!$B:$B,$C29)/Assumptions!$B$4*Assumptions!$B$6</f>
        <v>3.16666666666667</v>
      </c>
      <c r="S29" s="7" t="n">
        <f aca="false">SUMIFS(Doors!AE:AE,Doors!$A:$A,$D29,Doors!$B:$B,$B29,Doors!$C:$C,$C29)*SUMIFS(Velocity!$I:$I,Velocity!$A:$A,$A29,Velocity!$B:$B,$C29)/Assumptions!$B$4*Assumptions!$B$6</f>
        <v>3.16666666666667</v>
      </c>
      <c r="T29" s="7" t="n">
        <f aca="false">SUMIFS(Doors!AF:AF,Doors!$A:$A,$D29,Doors!$B:$B,$B29,Doors!$C:$C,$C29)*SUMIFS(Velocity!$I:$I,Velocity!$A:$A,$A29,Velocity!$B:$B,$C29)/Assumptions!$B$4*Assumptions!$B$6</f>
        <v>3.16666666666667</v>
      </c>
      <c r="U29" s="7" t="n">
        <f aca="false">SUMIFS(Doors!AG:AG,Doors!$A:$A,$D29,Doors!$B:$B,$B29,Doors!$C:$C,$C29)*SUMIFS(Velocity!$I:$I,Velocity!$A:$A,$A29,Velocity!$B:$B,$C29)/Assumptions!$B$4*Assumptions!$B$6</f>
        <v>3.16666666666667</v>
      </c>
      <c r="V29" s="7" t="n">
        <f aca="false">SUMIFS(Doors!AH:AH,Doors!$A:$A,$D29,Doors!$B:$B,$B29,Doors!$C:$C,$C29)*SUMIFS(Velocity!$I:$I,Velocity!$A:$A,$A29,Velocity!$B:$B,$C29)/Assumptions!$B$4*Assumptions!$B$6</f>
        <v>3.16666666666667</v>
      </c>
      <c r="W29" s="7" t="n">
        <f aca="false">SUMIFS(Doors!AI:AI,Doors!$A:$A,$D29,Doors!$B:$B,$B29,Doors!$C:$C,$C29)*SUMIFS(Velocity!$I:$I,Velocity!$A:$A,$A29,Velocity!$B:$B,$C29)/Assumptions!$B$4*Assumptions!$B$6</f>
        <v>3.95833333333333</v>
      </c>
      <c r="X29" s="7" t="n">
        <f aca="false">SUMIFS(Doors!AJ:AJ,Doors!$A:$A,$D29,Doors!$B:$B,$B29,Doors!$C:$C,$C29)*SUMIFS(Velocity!$I:$I,Velocity!$A:$A,$A29,Velocity!$B:$B,$C29)/Assumptions!$B$4*Assumptions!$B$6</f>
        <v>3.95833333333333</v>
      </c>
      <c r="Y29" s="7" t="n">
        <f aca="false">SUMIFS(Doors!AK:AK,Doors!$A:$A,$D29,Doors!$B:$B,$B29,Doors!$C:$C,$C29)*SUMIFS(Velocity!$I:$I,Velocity!$A:$A,$A29,Velocity!$B:$B,$C29)/Assumptions!$B$4*Assumptions!$B$6</f>
        <v>3.95833333333333</v>
      </c>
      <c r="Z29" s="7" t="n">
        <f aca="false">SUMIFS(Doors!AL:AL,Doors!$A:$A,$D29,Doors!$B:$B,$B29,Doors!$C:$C,$C29)*SUMIFS(Velocity!$I:$I,Velocity!$A:$A,$A29,Velocity!$B:$B,$C29)/Assumptions!$B$4*Assumptions!$B$6</f>
        <v>3.95833333333333</v>
      </c>
      <c r="AA29" s="7" t="n">
        <f aca="false">SUMIFS(Doors!AM:AM,Doors!$A:$A,$D29,Doors!$B:$B,$B29,Doors!$C:$C,$C29)*SUMIFS(Velocity!$I:$I,Velocity!$A:$A,$A29,Velocity!$B:$B,$C29)/Assumptions!$B$4*Assumptions!$B$6</f>
        <v>4.55208333333333</v>
      </c>
      <c r="AB29" s="7" t="n">
        <f aca="false">SUMIFS(Doors!AN:AN,Doors!$A:$A,$D29,Doors!$B:$B,$B29,Doors!$C:$C,$C29)*SUMIFS(Velocity!$I:$I,Velocity!$A:$A,$A29,Velocity!$B:$B,$C29)/Assumptions!$B$4*Assumptions!$B$6</f>
        <v>4.55208333333333</v>
      </c>
      <c r="AC29" s="7" t="n">
        <f aca="false">SUMIFS(Doors!AO:AO,Doors!$A:$A,$D29,Doors!$B:$B,$B29,Doors!$C:$C,$C29)*SUMIFS(Velocity!$I:$I,Velocity!$A:$A,$A29,Velocity!$B:$B,$C29)/Assumptions!$B$4*Assumptions!$B$6</f>
        <v>4.55208333333333</v>
      </c>
      <c r="AD29" s="7" t="n">
        <f aca="false">SUMIFS(Doors!AP:AP,Doors!$A:$A,$D29,Doors!$B:$B,$B29,Doors!$C:$C,$C29)*SUMIFS(Velocity!$I:$I,Velocity!$A:$A,$A29,Velocity!$B:$B,$C29)/Assumptions!$B$4*Assumptions!$B$6</f>
        <v>4.55208333333333</v>
      </c>
      <c r="AE29" s="7" t="n">
        <f aca="false">SUMIFS(Doors!AQ:AQ,Doors!$A:$A,$D29,Doors!$B:$B,$B29,Doors!$C:$C,$C29)*SUMIFS(Velocity!$I:$I,Velocity!$A:$A,$A29,Velocity!$B:$B,$C29)/Assumptions!$B$4*Assumptions!$B$6</f>
        <v>4.94791666666667</v>
      </c>
      <c r="AF29" s="7" t="n">
        <f aca="false">SUMIFS(Doors!AR:AR,Doors!$A:$A,$D29,Doors!$B:$B,$B29,Doors!$C:$C,$C29)*SUMIFS(Velocity!$I:$I,Velocity!$A:$A,$A29,Velocity!$B:$B,$C29)/Assumptions!$B$4*Assumptions!$B$6</f>
        <v>4.94791666666667</v>
      </c>
      <c r="AG29" s="7" t="n">
        <f aca="false">SUMIFS(Doors!AS:AS,Doors!$A:$A,$D29,Doors!$B:$B,$B29,Doors!$C:$C,$C29)*SUMIFS(Velocity!$I:$I,Velocity!$A:$A,$A29,Velocity!$B:$B,$C29)/Assumptions!$B$4*Assumptions!$B$6</f>
        <v>4.94791666666667</v>
      </c>
      <c r="AH29" s="7" t="n">
        <f aca="false">SUMIFS(Doors!AT:AT,Doors!$A:$A,$D29,Doors!$B:$B,$B29,Doors!$C:$C,$C29)*SUMIFS(Velocity!$I:$I,Velocity!$A:$A,$A29,Velocity!$B:$B,$C29)/Assumptions!$B$4*Assumptions!$B$6</f>
        <v>4.94791666666667</v>
      </c>
      <c r="AI29" s="7" t="n">
        <f aca="false">SUMIFS(Doors!AU:AU,Doors!$A:$A,$D29,Doors!$B:$B,$B29,Doors!$C:$C,$C29)*SUMIFS(Velocity!$I:$I,Velocity!$A:$A,$A29,Velocity!$B:$B,$C29)/Assumptions!$B$4*Assumptions!$B$6</f>
        <v>4.94791666666667</v>
      </c>
      <c r="AJ29" s="7" t="n">
        <f aca="false">SUMIFS(Doors!AV:AV,Doors!$A:$A,$D29,Doors!$B:$B,$B29,Doors!$C:$C,$C29)*SUMIFS(Velocity!$I:$I,Velocity!$A:$A,$A29,Velocity!$B:$B,$C29)/Assumptions!$B$4*Assumptions!$B$6</f>
        <v>5.34375</v>
      </c>
      <c r="AK29" s="7" t="n">
        <f aca="false">SUMIFS(Doors!AW:AW,Doors!$A:$A,$D29,Doors!$B:$B,$B29,Doors!$C:$C,$C29)*SUMIFS(Velocity!$I:$I,Velocity!$A:$A,$A29,Velocity!$B:$B,$C29)/Assumptions!$B$4*Assumptions!$B$6</f>
        <v>5.34375</v>
      </c>
      <c r="AL29" s="7" t="n">
        <f aca="false">SUMIFS(Doors!AX:AX,Doors!$A:$A,$D29,Doors!$B:$B,$B29,Doors!$C:$C,$C29)*SUMIFS(Velocity!$I:$I,Velocity!$A:$A,$A29,Velocity!$B:$B,$C29)/Assumptions!$B$4*Assumptions!$B$6</f>
        <v>5.34375</v>
      </c>
      <c r="AM29" s="7" t="n">
        <f aca="false">SUMIFS(Doors!AY:AY,Doors!$A:$A,$D29,Doors!$B:$B,$B29,Doors!$C:$C,$C29)*SUMIFS(Velocity!$I:$I,Velocity!$A:$A,$A29,Velocity!$B:$B,$C29)/Assumptions!$B$4*Assumptions!$B$6</f>
        <v>5.34375</v>
      </c>
      <c r="AN29" s="7" t="n">
        <f aca="false">SUMIFS(Doors!AZ:AZ,Doors!$A:$A,$D29,Doors!$B:$B,$B29,Doors!$C:$C,$C29)*SUMIFS(Velocity!$I:$I,Velocity!$A:$A,$A29,Velocity!$B:$B,$C29)/Assumptions!$B$4*Assumptions!$B$6</f>
        <v>5.54166666666667</v>
      </c>
      <c r="AO29" s="7" t="n">
        <f aca="false">SUMIFS(Doors!BA:BA,Doors!$A:$A,$D29,Doors!$B:$B,$B29,Doors!$C:$C,$C29)*SUMIFS(Velocity!$I:$I,Velocity!$A:$A,$A29,Velocity!$B:$B,$C29)/Assumptions!$B$4*Assumptions!$B$6</f>
        <v>5.54166666666667</v>
      </c>
      <c r="AP29" s="7" t="n">
        <f aca="false">SUMIFS(Doors!BB:BB,Doors!$A:$A,$D29,Doors!$B:$B,$B29,Doors!$C:$C,$C29)*SUMIFS(Velocity!$I:$I,Velocity!$A:$A,$A29,Velocity!$B:$B,$C29)/Assumptions!$B$4*Assumptions!$B$6</f>
        <v>5.54166666666667</v>
      </c>
      <c r="AQ29" s="7" t="n">
        <f aca="false">SUMIFS(Doors!BC:BC,Doors!$A:$A,$D29,Doors!$B:$B,$B29,Doors!$C:$C,$C29)*SUMIFS(Velocity!$I:$I,Velocity!$A:$A,$A29,Velocity!$B:$B,$C29)/Assumptions!$B$4*Assumptions!$B$6</f>
        <v>5.54166666666667</v>
      </c>
      <c r="AR29" s="7" t="n">
        <f aca="false">SUMIFS(Doors!BD:BD,Doors!$A:$A,$D29,Doors!$B:$B,$B29,Doors!$C:$C,$C29)*SUMIFS(Velocity!$I:$I,Velocity!$A:$A,$A29,Velocity!$B:$B,$C29)/Assumptions!$B$4*Assumptions!$B$6</f>
        <v>5.73958333333333</v>
      </c>
      <c r="AS29" s="7" t="n">
        <f aca="false">SUMIFS(Doors!BE:BE,Doors!$A:$A,$D29,Doors!$B:$B,$B29,Doors!$C:$C,$C29)*SUMIFS(Velocity!$I:$I,Velocity!$A:$A,$A29,Velocity!$B:$B,$C29)/Assumptions!$B$4*Assumptions!$B$6</f>
        <v>5.73958333333333</v>
      </c>
      <c r="AT29" s="7" t="n">
        <f aca="false">SUMIFS(Doors!BF:BF,Doors!$A:$A,$D29,Doors!$B:$B,$B29,Doors!$C:$C,$C29)*SUMIFS(Velocity!$I:$I,Velocity!$A:$A,$A29,Velocity!$B:$B,$C29)/Assumptions!$B$4*Assumptions!$B$6</f>
        <v>5.73958333333333</v>
      </c>
      <c r="AU29" s="7" t="n">
        <f aca="false">SUMIFS(Doors!BG:BG,Doors!$A:$A,$D29,Doors!$B:$B,$B29,Doors!$C:$C,$C29)*SUMIFS(Velocity!$I:$I,Velocity!$A:$A,$A29,Velocity!$B:$B,$C29)/Assumptions!$B$4*Assumptions!$B$6</f>
        <v>5.73958333333333</v>
      </c>
      <c r="AV29" s="7" t="n">
        <f aca="false">SUMIFS(Doors!BH:BH,Doors!$A:$A,$D29,Doors!$B:$B,$B29,Doors!$C:$C,$C29)*SUMIFS(Velocity!$I:$I,Velocity!$A:$A,$A29,Velocity!$B:$B,$C29)/Assumptions!$B$4*Assumptions!$B$6</f>
        <v>5.73958333333333</v>
      </c>
      <c r="AW29" s="7" t="n">
        <f aca="false">SUMIFS(Doors!BI:BI,Doors!$A:$A,$D29,Doors!$B:$B,$B29,Doors!$C:$C,$C29)*SUMIFS(Velocity!$I:$I,Velocity!$A:$A,$A29,Velocity!$B:$B,$C29)/Assumptions!$B$4*Assumptions!$B$6</f>
        <v>5.9375</v>
      </c>
      <c r="AX29" s="7" t="n">
        <f aca="false">SUMIFS(Doors!BJ:BJ,Doors!$A:$A,$D29,Doors!$B:$B,$B29,Doors!$C:$C,$C29)*SUMIFS(Velocity!$I:$I,Velocity!$A:$A,$A29,Velocity!$B:$B,$C29)/Assumptions!$B$4*Assumptions!$B$6</f>
        <v>5.9375</v>
      </c>
      <c r="AY29" s="7" t="n">
        <f aca="false">SUMIFS(Doors!BK:BK,Doors!$A:$A,$D29,Doors!$B:$B,$B29,Doors!$C:$C,$C29)*SUMIFS(Velocity!$I:$I,Velocity!$A:$A,$A29,Velocity!$B:$B,$C29)/Assumptions!$B$4*Assumptions!$B$6</f>
        <v>5.9375</v>
      </c>
      <c r="AZ29" s="7" t="n">
        <f aca="false">SUMIFS(Doors!BL:BL,Doors!$A:$A,$D29,Doors!$B:$B,$B29,Doors!$C:$C,$C29)*SUMIFS(Velocity!$I:$I,Velocity!$A:$A,$A29,Velocity!$B:$B,$C29)/Assumptions!$B$4*Assumptions!$B$6</f>
        <v>5.9375</v>
      </c>
      <c r="BA29" s="7" t="n">
        <f aca="false">SUMIFS(Doors!BM:BM,Doors!$A:$A,$D29,Doors!$B:$B,$B29,Doors!$C:$C,$C29)*SUMIFS(Velocity!$I:$I,Velocity!$A:$A,$A29,Velocity!$B:$B,$C29)/Assumptions!$B$4*Assumptions!$B$6</f>
        <v>5.9375</v>
      </c>
      <c r="BB29" s="7" t="n">
        <f aca="false">SUMIFS(Doors!BN:BN,Doors!$A:$A,$D29,Doors!$B:$B,$B29,Doors!$C:$C,$C29)*SUMIFS(Velocity!$I:$I,Velocity!$A:$A,$A29,Velocity!$B:$B,$C29)/Assumptions!$B$4*Assumptions!$B$6</f>
        <v>5.9375</v>
      </c>
      <c r="BC29" s="7" t="n">
        <f aca="false">SUMIFS(Doors!BO:BO,Doors!$A:$A,$D29,Doors!$B:$B,$B29,Doors!$C:$C,$C29)*SUMIFS(Velocity!$I:$I,Velocity!$A:$A,$A29,Velocity!$B:$B,$C29)/Assumptions!$B$4*Assumptions!$B$6</f>
        <v>5.9375</v>
      </c>
      <c r="BD29" s="7" t="n">
        <f aca="false">SUMIFS(Doors!BP:BP,Doors!$A:$A,$D29,Doors!$B:$B,$B29,Doors!$C:$C,$C29)*SUMIFS(Velocity!$I:$I,Velocity!$A:$A,$A29,Velocity!$B:$B,$C29)/Assumptions!$B$4*Assumptions!$B$6</f>
        <v>5.9375</v>
      </c>
    </row>
    <row r="30" customFormat="false" ht="15" hidden="false" customHeight="false" outlineLevel="0" collapsed="false">
      <c r="A30" s="0" t="s">
        <v>108</v>
      </c>
      <c r="B30" s="0" t="s">
        <v>128</v>
      </c>
      <c r="C30" s="0" t="s">
        <v>121</v>
      </c>
      <c r="D30" s="0" t="s">
        <v>235</v>
      </c>
      <c r="E30" s="7" t="n">
        <f aca="false">SUMIFS(Doors!Q:Q,Doors!$A:$A,$D30,Doors!$B:$B,$B30,Doors!$C:$C,$C30)*SUMIFS(Velocity!$I:$I,Velocity!$A:$A,$A30,Velocity!$B:$B,$C30)/Assumptions!$B$4*Assumptions!$B$6</f>
        <v>0.9125</v>
      </c>
      <c r="F30" s="7" t="n">
        <f aca="false">SUMIFS(Doors!R:R,Doors!$A:$A,$D30,Doors!$B:$B,$B30,Doors!$C:$C,$C30)*SUMIFS(Velocity!$I:$I,Velocity!$A:$A,$A30,Velocity!$B:$B,$C30)/Assumptions!$B$4*Assumptions!$B$6</f>
        <v>0.9125</v>
      </c>
      <c r="G30" s="7" t="n">
        <f aca="false">SUMIFS(Doors!S:S,Doors!$A:$A,$D30,Doors!$B:$B,$B30,Doors!$C:$C,$C30)*SUMIFS(Velocity!$I:$I,Velocity!$A:$A,$A30,Velocity!$B:$B,$C30)/Assumptions!$B$4*Assumptions!$B$6</f>
        <v>0.9125</v>
      </c>
      <c r="H30" s="7" t="n">
        <f aca="false">SUMIFS(Doors!T:T,Doors!$A:$A,$D30,Doors!$B:$B,$B30,Doors!$C:$C,$C30)*SUMIFS(Velocity!$I:$I,Velocity!$A:$A,$A30,Velocity!$B:$B,$C30)/Assumptions!$B$4*Assumptions!$B$6</f>
        <v>0.9125</v>
      </c>
      <c r="I30" s="7" t="n">
        <f aca="false">SUMIFS(Doors!U:U,Doors!$A:$A,$D30,Doors!$B:$B,$B30,Doors!$C:$C,$C30)*SUMIFS(Velocity!$I:$I,Velocity!$A:$A,$A30,Velocity!$B:$B,$C30)/Assumptions!$B$4*Assumptions!$B$6</f>
        <v>0.9125</v>
      </c>
      <c r="J30" s="7" t="n">
        <f aca="false">SUMIFS(Doors!V:V,Doors!$A:$A,$D30,Doors!$B:$B,$B30,Doors!$C:$C,$C30)*SUMIFS(Velocity!$I:$I,Velocity!$A:$A,$A30,Velocity!$B:$B,$C30)/Assumptions!$B$4*Assumptions!$B$6</f>
        <v>1.52083333333333</v>
      </c>
      <c r="K30" s="7" t="n">
        <f aca="false">SUMIFS(Doors!W:W,Doors!$A:$A,$D30,Doors!$B:$B,$B30,Doors!$C:$C,$C30)*SUMIFS(Velocity!$I:$I,Velocity!$A:$A,$A30,Velocity!$B:$B,$C30)/Assumptions!$B$4*Assumptions!$B$6</f>
        <v>1.52083333333333</v>
      </c>
      <c r="L30" s="7" t="n">
        <f aca="false">SUMIFS(Doors!X:X,Doors!$A:$A,$D30,Doors!$B:$B,$B30,Doors!$C:$C,$C30)*SUMIFS(Velocity!$I:$I,Velocity!$A:$A,$A30,Velocity!$B:$B,$C30)/Assumptions!$B$4*Assumptions!$B$6</f>
        <v>1.52083333333333</v>
      </c>
      <c r="M30" s="7" t="n">
        <f aca="false">SUMIFS(Doors!Y:Y,Doors!$A:$A,$D30,Doors!$B:$B,$B30,Doors!$C:$C,$C30)*SUMIFS(Velocity!$I:$I,Velocity!$A:$A,$A30,Velocity!$B:$B,$C30)/Assumptions!$B$4*Assumptions!$B$6</f>
        <v>1.52083333333333</v>
      </c>
      <c r="N30" s="7" t="n">
        <f aca="false">SUMIFS(Doors!Z:Z,Doors!$A:$A,$D30,Doors!$B:$B,$B30,Doors!$C:$C,$C30)*SUMIFS(Velocity!$I:$I,Velocity!$A:$A,$A30,Velocity!$B:$B,$C30)/Assumptions!$B$4*Assumptions!$B$6</f>
        <v>2.12916666666667</v>
      </c>
      <c r="O30" s="7" t="n">
        <f aca="false">SUMIFS(Doors!AA:AA,Doors!$A:$A,$D30,Doors!$B:$B,$B30,Doors!$C:$C,$C30)*SUMIFS(Velocity!$I:$I,Velocity!$A:$A,$A30,Velocity!$B:$B,$C30)/Assumptions!$B$4*Assumptions!$B$6</f>
        <v>2.12916666666667</v>
      </c>
      <c r="P30" s="7" t="n">
        <f aca="false">SUMIFS(Doors!AB:AB,Doors!$A:$A,$D30,Doors!$B:$B,$B30,Doors!$C:$C,$C30)*SUMIFS(Velocity!$I:$I,Velocity!$A:$A,$A30,Velocity!$B:$B,$C30)/Assumptions!$B$4*Assumptions!$B$6</f>
        <v>2.12916666666667</v>
      </c>
      <c r="Q30" s="7" t="n">
        <f aca="false">SUMIFS(Doors!AC:AC,Doors!$A:$A,$D30,Doors!$B:$B,$B30,Doors!$C:$C,$C30)*SUMIFS(Velocity!$I:$I,Velocity!$A:$A,$A30,Velocity!$B:$B,$C30)/Assumptions!$B$4*Assumptions!$B$6</f>
        <v>2.12916666666667</v>
      </c>
      <c r="R30" s="7" t="n">
        <f aca="false">SUMIFS(Doors!AD:AD,Doors!$A:$A,$D30,Doors!$B:$B,$B30,Doors!$C:$C,$C30)*SUMIFS(Velocity!$I:$I,Velocity!$A:$A,$A30,Velocity!$B:$B,$C30)/Assumptions!$B$4*Assumptions!$B$6</f>
        <v>2.7375</v>
      </c>
      <c r="S30" s="7" t="n">
        <f aca="false">SUMIFS(Doors!AE:AE,Doors!$A:$A,$D30,Doors!$B:$B,$B30,Doors!$C:$C,$C30)*SUMIFS(Velocity!$I:$I,Velocity!$A:$A,$A30,Velocity!$B:$B,$C30)/Assumptions!$B$4*Assumptions!$B$6</f>
        <v>2.7375</v>
      </c>
      <c r="T30" s="7" t="n">
        <f aca="false">SUMIFS(Doors!AF:AF,Doors!$A:$A,$D30,Doors!$B:$B,$B30,Doors!$C:$C,$C30)*SUMIFS(Velocity!$I:$I,Velocity!$A:$A,$A30,Velocity!$B:$B,$C30)/Assumptions!$B$4*Assumptions!$B$6</f>
        <v>2.7375</v>
      </c>
      <c r="U30" s="7" t="n">
        <f aca="false">SUMIFS(Doors!AG:AG,Doors!$A:$A,$D30,Doors!$B:$B,$B30,Doors!$C:$C,$C30)*SUMIFS(Velocity!$I:$I,Velocity!$A:$A,$A30,Velocity!$B:$B,$C30)/Assumptions!$B$4*Assumptions!$B$6</f>
        <v>2.7375</v>
      </c>
      <c r="V30" s="7" t="n">
        <f aca="false">SUMIFS(Doors!AH:AH,Doors!$A:$A,$D30,Doors!$B:$B,$B30,Doors!$C:$C,$C30)*SUMIFS(Velocity!$I:$I,Velocity!$A:$A,$A30,Velocity!$B:$B,$C30)/Assumptions!$B$4*Assumptions!$B$6</f>
        <v>2.7375</v>
      </c>
      <c r="W30" s="7" t="n">
        <f aca="false">SUMIFS(Doors!AI:AI,Doors!$A:$A,$D30,Doors!$B:$B,$B30,Doors!$C:$C,$C30)*SUMIFS(Velocity!$I:$I,Velocity!$A:$A,$A30,Velocity!$B:$B,$C30)/Assumptions!$B$4*Assumptions!$B$6</f>
        <v>3.34583333333333</v>
      </c>
      <c r="X30" s="7" t="n">
        <f aca="false">SUMIFS(Doors!AJ:AJ,Doors!$A:$A,$D30,Doors!$B:$B,$B30,Doors!$C:$C,$C30)*SUMIFS(Velocity!$I:$I,Velocity!$A:$A,$A30,Velocity!$B:$B,$C30)/Assumptions!$B$4*Assumptions!$B$6</f>
        <v>3.34583333333333</v>
      </c>
      <c r="Y30" s="7" t="n">
        <f aca="false">SUMIFS(Doors!AK:AK,Doors!$A:$A,$D30,Doors!$B:$B,$B30,Doors!$C:$C,$C30)*SUMIFS(Velocity!$I:$I,Velocity!$A:$A,$A30,Velocity!$B:$B,$C30)/Assumptions!$B$4*Assumptions!$B$6</f>
        <v>3.34583333333333</v>
      </c>
      <c r="Z30" s="7" t="n">
        <f aca="false">SUMIFS(Doors!AL:AL,Doors!$A:$A,$D30,Doors!$B:$B,$B30,Doors!$C:$C,$C30)*SUMIFS(Velocity!$I:$I,Velocity!$A:$A,$A30,Velocity!$B:$B,$C30)/Assumptions!$B$4*Assumptions!$B$6</f>
        <v>3.34583333333333</v>
      </c>
      <c r="AA30" s="7" t="n">
        <f aca="false">SUMIFS(Doors!AM:AM,Doors!$A:$A,$D30,Doors!$B:$B,$B30,Doors!$C:$C,$C30)*SUMIFS(Velocity!$I:$I,Velocity!$A:$A,$A30,Velocity!$B:$B,$C30)/Assumptions!$B$4*Assumptions!$B$6</f>
        <v>3.65</v>
      </c>
      <c r="AB30" s="7" t="n">
        <f aca="false">SUMIFS(Doors!AN:AN,Doors!$A:$A,$D30,Doors!$B:$B,$B30,Doors!$C:$C,$C30)*SUMIFS(Velocity!$I:$I,Velocity!$A:$A,$A30,Velocity!$B:$B,$C30)/Assumptions!$B$4*Assumptions!$B$6</f>
        <v>3.65</v>
      </c>
      <c r="AC30" s="7" t="n">
        <f aca="false">SUMIFS(Doors!AO:AO,Doors!$A:$A,$D30,Doors!$B:$B,$B30,Doors!$C:$C,$C30)*SUMIFS(Velocity!$I:$I,Velocity!$A:$A,$A30,Velocity!$B:$B,$C30)/Assumptions!$B$4*Assumptions!$B$6</f>
        <v>3.65</v>
      </c>
      <c r="AD30" s="7" t="n">
        <f aca="false">SUMIFS(Doors!AP:AP,Doors!$A:$A,$D30,Doors!$B:$B,$B30,Doors!$C:$C,$C30)*SUMIFS(Velocity!$I:$I,Velocity!$A:$A,$A30,Velocity!$B:$B,$C30)/Assumptions!$B$4*Assumptions!$B$6</f>
        <v>3.65</v>
      </c>
      <c r="AE30" s="7" t="n">
        <f aca="false">SUMIFS(Doors!AQ:AQ,Doors!$A:$A,$D30,Doors!$B:$B,$B30,Doors!$C:$C,$C30)*SUMIFS(Velocity!$I:$I,Velocity!$A:$A,$A30,Velocity!$B:$B,$C30)/Assumptions!$B$4*Assumptions!$B$6</f>
        <v>3.95416666666667</v>
      </c>
      <c r="AF30" s="7" t="n">
        <f aca="false">SUMIFS(Doors!AR:AR,Doors!$A:$A,$D30,Doors!$B:$B,$B30,Doors!$C:$C,$C30)*SUMIFS(Velocity!$I:$I,Velocity!$A:$A,$A30,Velocity!$B:$B,$C30)/Assumptions!$B$4*Assumptions!$B$6</f>
        <v>3.95416666666667</v>
      </c>
      <c r="AG30" s="7" t="n">
        <f aca="false">SUMIFS(Doors!AS:AS,Doors!$A:$A,$D30,Doors!$B:$B,$B30,Doors!$C:$C,$C30)*SUMIFS(Velocity!$I:$I,Velocity!$A:$A,$A30,Velocity!$B:$B,$C30)/Assumptions!$B$4*Assumptions!$B$6</f>
        <v>3.95416666666667</v>
      </c>
      <c r="AH30" s="7" t="n">
        <f aca="false">SUMIFS(Doors!AT:AT,Doors!$A:$A,$D30,Doors!$B:$B,$B30,Doors!$C:$C,$C30)*SUMIFS(Velocity!$I:$I,Velocity!$A:$A,$A30,Velocity!$B:$B,$C30)/Assumptions!$B$4*Assumptions!$B$6</f>
        <v>3.95416666666667</v>
      </c>
      <c r="AI30" s="7" t="n">
        <f aca="false">SUMIFS(Doors!AU:AU,Doors!$A:$A,$D30,Doors!$B:$B,$B30,Doors!$C:$C,$C30)*SUMIFS(Velocity!$I:$I,Velocity!$A:$A,$A30,Velocity!$B:$B,$C30)/Assumptions!$B$4*Assumptions!$B$6</f>
        <v>3.95416666666667</v>
      </c>
      <c r="AJ30" s="7" t="n">
        <f aca="false">SUMIFS(Doors!AV:AV,Doors!$A:$A,$D30,Doors!$B:$B,$B30,Doors!$C:$C,$C30)*SUMIFS(Velocity!$I:$I,Velocity!$A:$A,$A30,Velocity!$B:$B,$C30)/Assumptions!$B$4*Assumptions!$B$6</f>
        <v>4.25833333333333</v>
      </c>
      <c r="AK30" s="7" t="n">
        <f aca="false">SUMIFS(Doors!AW:AW,Doors!$A:$A,$D30,Doors!$B:$B,$B30,Doors!$C:$C,$C30)*SUMIFS(Velocity!$I:$I,Velocity!$A:$A,$A30,Velocity!$B:$B,$C30)/Assumptions!$B$4*Assumptions!$B$6</f>
        <v>4.25833333333333</v>
      </c>
      <c r="AL30" s="7" t="n">
        <f aca="false">SUMIFS(Doors!AX:AX,Doors!$A:$A,$D30,Doors!$B:$B,$B30,Doors!$C:$C,$C30)*SUMIFS(Velocity!$I:$I,Velocity!$A:$A,$A30,Velocity!$B:$B,$C30)/Assumptions!$B$4*Assumptions!$B$6</f>
        <v>4.25833333333333</v>
      </c>
      <c r="AM30" s="7" t="n">
        <f aca="false">SUMIFS(Doors!AY:AY,Doors!$A:$A,$D30,Doors!$B:$B,$B30,Doors!$C:$C,$C30)*SUMIFS(Velocity!$I:$I,Velocity!$A:$A,$A30,Velocity!$B:$B,$C30)/Assumptions!$B$4*Assumptions!$B$6</f>
        <v>4.25833333333333</v>
      </c>
      <c r="AN30" s="7" t="n">
        <f aca="false">SUMIFS(Doors!AZ:AZ,Doors!$A:$A,$D30,Doors!$B:$B,$B30,Doors!$C:$C,$C30)*SUMIFS(Velocity!$I:$I,Velocity!$A:$A,$A30,Velocity!$B:$B,$C30)/Assumptions!$B$4*Assumptions!$B$6</f>
        <v>4.25833333333333</v>
      </c>
      <c r="AO30" s="7" t="n">
        <f aca="false">SUMIFS(Doors!BA:BA,Doors!$A:$A,$D30,Doors!$B:$B,$B30,Doors!$C:$C,$C30)*SUMIFS(Velocity!$I:$I,Velocity!$A:$A,$A30,Velocity!$B:$B,$C30)/Assumptions!$B$4*Assumptions!$B$6</f>
        <v>4.25833333333333</v>
      </c>
      <c r="AP30" s="7" t="n">
        <f aca="false">SUMIFS(Doors!BB:BB,Doors!$A:$A,$D30,Doors!$B:$B,$B30,Doors!$C:$C,$C30)*SUMIFS(Velocity!$I:$I,Velocity!$A:$A,$A30,Velocity!$B:$B,$C30)/Assumptions!$B$4*Assumptions!$B$6</f>
        <v>4.25833333333333</v>
      </c>
      <c r="AQ30" s="7" t="n">
        <f aca="false">SUMIFS(Doors!BC:BC,Doors!$A:$A,$D30,Doors!$B:$B,$B30,Doors!$C:$C,$C30)*SUMIFS(Velocity!$I:$I,Velocity!$A:$A,$A30,Velocity!$B:$B,$C30)/Assumptions!$B$4*Assumptions!$B$6</f>
        <v>4.25833333333333</v>
      </c>
      <c r="AR30" s="7" t="n">
        <f aca="false">SUMIFS(Doors!BD:BD,Doors!$A:$A,$D30,Doors!$B:$B,$B30,Doors!$C:$C,$C30)*SUMIFS(Velocity!$I:$I,Velocity!$A:$A,$A30,Velocity!$B:$B,$C30)/Assumptions!$B$4*Assumptions!$B$6</f>
        <v>4.5625</v>
      </c>
      <c r="AS30" s="7" t="n">
        <f aca="false">SUMIFS(Doors!BE:BE,Doors!$A:$A,$D30,Doors!$B:$B,$B30,Doors!$C:$C,$C30)*SUMIFS(Velocity!$I:$I,Velocity!$A:$A,$A30,Velocity!$B:$B,$C30)/Assumptions!$B$4*Assumptions!$B$6</f>
        <v>4.5625</v>
      </c>
      <c r="AT30" s="7" t="n">
        <f aca="false">SUMIFS(Doors!BF:BF,Doors!$A:$A,$D30,Doors!$B:$B,$B30,Doors!$C:$C,$C30)*SUMIFS(Velocity!$I:$I,Velocity!$A:$A,$A30,Velocity!$B:$B,$C30)/Assumptions!$B$4*Assumptions!$B$6</f>
        <v>4.5625</v>
      </c>
      <c r="AU30" s="7" t="n">
        <f aca="false">SUMIFS(Doors!BG:BG,Doors!$A:$A,$D30,Doors!$B:$B,$B30,Doors!$C:$C,$C30)*SUMIFS(Velocity!$I:$I,Velocity!$A:$A,$A30,Velocity!$B:$B,$C30)/Assumptions!$B$4*Assumptions!$B$6</f>
        <v>4.5625</v>
      </c>
      <c r="AV30" s="7" t="n">
        <f aca="false">SUMIFS(Doors!BH:BH,Doors!$A:$A,$D30,Doors!$B:$B,$B30,Doors!$C:$C,$C30)*SUMIFS(Velocity!$I:$I,Velocity!$A:$A,$A30,Velocity!$B:$B,$C30)/Assumptions!$B$4*Assumptions!$B$6</f>
        <v>4.5625</v>
      </c>
      <c r="AW30" s="7" t="n">
        <f aca="false">SUMIFS(Doors!BI:BI,Doors!$A:$A,$D30,Doors!$B:$B,$B30,Doors!$C:$C,$C30)*SUMIFS(Velocity!$I:$I,Velocity!$A:$A,$A30,Velocity!$B:$B,$C30)/Assumptions!$B$4*Assumptions!$B$6</f>
        <v>4.5625</v>
      </c>
      <c r="AX30" s="7" t="n">
        <f aca="false">SUMIFS(Doors!BJ:BJ,Doors!$A:$A,$D30,Doors!$B:$B,$B30,Doors!$C:$C,$C30)*SUMIFS(Velocity!$I:$I,Velocity!$A:$A,$A30,Velocity!$B:$B,$C30)/Assumptions!$B$4*Assumptions!$B$6</f>
        <v>4.5625</v>
      </c>
      <c r="AY30" s="7" t="n">
        <f aca="false">SUMIFS(Doors!BK:BK,Doors!$A:$A,$D30,Doors!$B:$B,$B30,Doors!$C:$C,$C30)*SUMIFS(Velocity!$I:$I,Velocity!$A:$A,$A30,Velocity!$B:$B,$C30)/Assumptions!$B$4*Assumptions!$B$6</f>
        <v>4.5625</v>
      </c>
      <c r="AZ30" s="7" t="n">
        <f aca="false">SUMIFS(Doors!BL:BL,Doors!$A:$A,$D30,Doors!$B:$B,$B30,Doors!$C:$C,$C30)*SUMIFS(Velocity!$I:$I,Velocity!$A:$A,$A30,Velocity!$B:$B,$C30)/Assumptions!$B$4*Assumptions!$B$6</f>
        <v>4.5625</v>
      </c>
      <c r="BA30" s="7" t="n">
        <f aca="false">SUMIFS(Doors!BM:BM,Doors!$A:$A,$D30,Doors!$B:$B,$B30,Doors!$C:$C,$C30)*SUMIFS(Velocity!$I:$I,Velocity!$A:$A,$A30,Velocity!$B:$B,$C30)/Assumptions!$B$4*Assumptions!$B$6</f>
        <v>4.5625</v>
      </c>
      <c r="BB30" s="7" t="n">
        <f aca="false">SUMIFS(Doors!BN:BN,Doors!$A:$A,$D30,Doors!$B:$B,$B30,Doors!$C:$C,$C30)*SUMIFS(Velocity!$I:$I,Velocity!$A:$A,$A30,Velocity!$B:$B,$C30)/Assumptions!$B$4*Assumptions!$B$6</f>
        <v>4.5625</v>
      </c>
      <c r="BC30" s="7" t="n">
        <f aca="false">SUMIFS(Doors!BO:BO,Doors!$A:$A,$D30,Doors!$B:$B,$B30,Doors!$C:$C,$C30)*SUMIFS(Velocity!$I:$I,Velocity!$A:$A,$A30,Velocity!$B:$B,$C30)/Assumptions!$B$4*Assumptions!$B$6</f>
        <v>4.5625</v>
      </c>
      <c r="BD30" s="7" t="n">
        <f aca="false">SUMIFS(Doors!BP:BP,Doors!$A:$A,$D30,Doors!$B:$B,$B30,Doors!$C:$C,$C30)*SUMIFS(Velocity!$I:$I,Velocity!$A:$A,$A30,Velocity!$B:$B,$C30)/Assumptions!$B$4*Assumptions!$B$6</f>
        <v>4.5625</v>
      </c>
    </row>
    <row r="31" customFormat="false" ht="15" hidden="false" customHeight="false" outlineLevel="0" collapsed="false">
      <c r="A31" s="0" t="s">
        <v>108</v>
      </c>
      <c r="B31" s="0" t="s">
        <v>128</v>
      </c>
      <c r="C31" s="0" t="s">
        <v>122</v>
      </c>
      <c r="D31" s="0" t="s">
        <v>235</v>
      </c>
      <c r="E31" s="7" t="n">
        <f aca="false">SUMIFS(Doors!Q:Q,Doors!$A:$A,$D31,Doors!$B:$B,$B31,Doors!$C:$C,$C31)*SUMIFS(Velocity!$I:$I,Velocity!$A:$A,$A31,Velocity!$B:$B,$C31)/Assumptions!$B$4*Assumptions!$B$6</f>
        <v>0</v>
      </c>
      <c r="F31" s="7" t="n">
        <f aca="false">SUMIFS(Doors!R:R,Doors!$A:$A,$D31,Doors!$B:$B,$B31,Doors!$C:$C,$C31)*SUMIFS(Velocity!$I:$I,Velocity!$A:$A,$A31,Velocity!$B:$B,$C31)/Assumptions!$B$4*Assumptions!$B$6</f>
        <v>0</v>
      </c>
      <c r="G31" s="7" t="n">
        <f aca="false">SUMIFS(Doors!S:S,Doors!$A:$A,$D31,Doors!$B:$B,$B31,Doors!$C:$C,$C31)*SUMIFS(Velocity!$I:$I,Velocity!$A:$A,$A31,Velocity!$B:$B,$C31)/Assumptions!$B$4*Assumptions!$B$6</f>
        <v>0</v>
      </c>
      <c r="H31" s="7" t="n">
        <f aca="false">SUMIFS(Doors!T:T,Doors!$A:$A,$D31,Doors!$B:$B,$B31,Doors!$C:$C,$C31)*SUMIFS(Velocity!$I:$I,Velocity!$A:$A,$A31,Velocity!$B:$B,$C31)/Assumptions!$B$4*Assumptions!$B$6</f>
        <v>0</v>
      </c>
      <c r="I31" s="7" t="n">
        <f aca="false">SUMIFS(Doors!U:U,Doors!$A:$A,$D31,Doors!$B:$B,$B31,Doors!$C:$C,$C31)*SUMIFS(Velocity!$I:$I,Velocity!$A:$A,$A31,Velocity!$B:$B,$C31)/Assumptions!$B$4*Assumptions!$B$6</f>
        <v>0</v>
      </c>
      <c r="J31" s="7" t="n">
        <f aca="false">SUMIFS(Doors!V:V,Doors!$A:$A,$D31,Doors!$B:$B,$B31,Doors!$C:$C,$C31)*SUMIFS(Velocity!$I:$I,Velocity!$A:$A,$A31,Velocity!$B:$B,$C31)/Assumptions!$B$4*Assumptions!$B$6</f>
        <v>0</v>
      </c>
      <c r="K31" s="7" t="n">
        <f aca="false">SUMIFS(Doors!W:W,Doors!$A:$A,$D31,Doors!$B:$B,$B31,Doors!$C:$C,$C31)*SUMIFS(Velocity!$I:$I,Velocity!$A:$A,$A31,Velocity!$B:$B,$C31)/Assumptions!$B$4*Assumptions!$B$6</f>
        <v>0</v>
      </c>
      <c r="L31" s="7" t="n">
        <f aca="false">SUMIFS(Doors!X:X,Doors!$A:$A,$D31,Doors!$B:$B,$B31,Doors!$C:$C,$C31)*SUMIFS(Velocity!$I:$I,Velocity!$A:$A,$A31,Velocity!$B:$B,$C31)/Assumptions!$B$4*Assumptions!$B$6</f>
        <v>0</v>
      </c>
      <c r="M31" s="7" t="n">
        <f aca="false">SUMIFS(Doors!Y:Y,Doors!$A:$A,$D31,Doors!$B:$B,$B31,Doors!$C:$C,$C31)*SUMIFS(Velocity!$I:$I,Velocity!$A:$A,$A31,Velocity!$B:$B,$C31)/Assumptions!$B$4*Assumptions!$B$6</f>
        <v>0</v>
      </c>
      <c r="N31" s="7" t="n">
        <f aca="false">SUMIFS(Doors!Z:Z,Doors!$A:$A,$D31,Doors!$B:$B,$B31,Doors!$C:$C,$C31)*SUMIFS(Velocity!$I:$I,Velocity!$A:$A,$A31,Velocity!$B:$B,$C31)/Assumptions!$B$4*Assumptions!$B$6</f>
        <v>0.275</v>
      </c>
      <c r="O31" s="7" t="n">
        <f aca="false">SUMIFS(Doors!AA:AA,Doors!$A:$A,$D31,Doors!$B:$B,$B31,Doors!$C:$C,$C31)*SUMIFS(Velocity!$I:$I,Velocity!$A:$A,$A31,Velocity!$B:$B,$C31)/Assumptions!$B$4*Assumptions!$B$6</f>
        <v>0.275</v>
      </c>
      <c r="P31" s="7" t="n">
        <f aca="false">SUMIFS(Doors!AB:AB,Doors!$A:$A,$D31,Doors!$B:$B,$B31,Doors!$C:$C,$C31)*SUMIFS(Velocity!$I:$I,Velocity!$A:$A,$A31,Velocity!$B:$B,$C31)/Assumptions!$B$4*Assumptions!$B$6</f>
        <v>0.275</v>
      </c>
      <c r="Q31" s="7" t="n">
        <f aca="false">SUMIFS(Doors!AC:AC,Doors!$A:$A,$D31,Doors!$B:$B,$B31,Doors!$C:$C,$C31)*SUMIFS(Velocity!$I:$I,Velocity!$A:$A,$A31,Velocity!$B:$B,$C31)/Assumptions!$B$4*Assumptions!$B$6</f>
        <v>0.275</v>
      </c>
      <c r="R31" s="7" t="n">
        <f aca="false">SUMIFS(Doors!AD:AD,Doors!$A:$A,$D31,Doors!$B:$B,$B31,Doors!$C:$C,$C31)*SUMIFS(Velocity!$I:$I,Velocity!$A:$A,$A31,Velocity!$B:$B,$C31)/Assumptions!$B$4*Assumptions!$B$6</f>
        <v>0.55</v>
      </c>
      <c r="S31" s="7" t="n">
        <f aca="false">SUMIFS(Doors!AE:AE,Doors!$A:$A,$D31,Doors!$B:$B,$B31,Doors!$C:$C,$C31)*SUMIFS(Velocity!$I:$I,Velocity!$A:$A,$A31,Velocity!$B:$B,$C31)/Assumptions!$B$4*Assumptions!$B$6</f>
        <v>0.55</v>
      </c>
      <c r="T31" s="7" t="n">
        <f aca="false">SUMIFS(Doors!AF:AF,Doors!$A:$A,$D31,Doors!$B:$B,$B31,Doors!$C:$C,$C31)*SUMIFS(Velocity!$I:$I,Velocity!$A:$A,$A31,Velocity!$B:$B,$C31)/Assumptions!$B$4*Assumptions!$B$6</f>
        <v>0.55</v>
      </c>
      <c r="U31" s="7" t="n">
        <f aca="false">SUMIFS(Doors!AG:AG,Doors!$A:$A,$D31,Doors!$B:$B,$B31,Doors!$C:$C,$C31)*SUMIFS(Velocity!$I:$I,Velocity!$A:$A,$A31,Velocity!$B:$B,$C31)/Assumptions!$B$4*Assumptions!$B$6</f>
        <v>0.55</v>
      </c>
      <c r="V31" s="7" t="n">
        <f aca="false">SUMIFS(Doors!AH:AH,Doors!$A:$A,$D31,Doors!$B:$B,$B31,Doors!$C:$C,$C31)*SUMIFS(Velocity!$I:$I,Velocity!$A:$A,$A31,Velocity!$B:$B,$C31)/Assumptions!$B$4*Assumptions!$B$6</f>
        <v>0.55</v>
      </c>
      <c r="W31" s="7" t="n">
        <f aca="false">SUMIFS(Doors!AI:AI,Doors!$A:$A,$D31,Doors!$B:$B,$B31,Doors!$C:$C,$C31)*SUMIFS(Velocity!$I:$I,Velocity!$A:$A,$A31,Velocity!$B:$B,$C31)/Assumptions!$B$4*Assumptions!$B$6</f>
        <v>0.825</v>
      </c>
      <c r="X31" s="7" t="n">
        <f aca="false">SUMIFS(Doors!AJ:AJ,Doors!$A:$A,$D31,Doors!$B:$B,$B31,Doors!$C:$C,$C31)*SUMIFS(Velocity!$I:$I,Velocity!$A:$A,$A31,Velocity!$B:$B,$C31)/Assumptions!$B$4*Assumptions!$B$6</f>
        <v>0.825</v>
      </c>
      <c r="Y31" s="7" t="n">
        <f aca="false">SUMIFS(Doors!AK:AK,Doors!$A:$A,$D31,Doors!$B:$B,$B31,Doors!$C:$C,$C31)*SUMIFS(Velocity!$I:$I,Velocity!$A:$A,$A31,Velocity!$B:$B,$C31)/Assumptions!$B$4*Assumptions!$B$6</f>
        <v>0.825</v>
      </c>
      <c r="Z31" s="7" t="n">
        <f aca="false">SUMIFS(Doors!AL:AL,Doors!$A:$A,$D31,Doors!$B:$B,$B31,Doors!$C:$C,$C31)*SUMIFS(Velocity!$I:$I,Velocity!$A:$A,$A31,Velocity!$B:$B,$C31)/Assumptions!$B$4*Assumptions!$B$6</f>
        <v>0.825</v>
      </c>
      <c r="AA31" s="7" t="n">
        <f aca="false">SUMIFS(Doors!AM:AM,Doors!$A:$A,$D31,Doors!$B:$B,$B31,Doors!$C:$C,$C31)*SUMIFS(Velocity!$I:$I,Velocity!$A:$A,$A31,Velocity!$B:$B,$C31)/Assumptions!$B$4*Assumptions!$B$6</f>
        <v>1.1</v>
      </c>
      <c r="AB31" s="7" t="n">
        <f aca="false">SUMIFS(Doors!AN:AN,Doors!$A:$A,$D31,Doors!$B:$B,$B31,Doors!$C:$C,$C31)*SUMIFS(Velocity!$I:$I,Velocity!$A:$A,$A31,Velocity!$B:$B,$C31)/Assumptions!$B$4*Assumptions!$B$6</f>
        <v>1.1</v>
      </c>
      <c r="AC31" s="7" t="n">
        <f aca="false">SUMIFS(Doors!AO:AO,Doors!$A:$A,$D31,Doors!$B:$B,$B31,Doors!$C:$C,$C31)*SUMIFS(Velocity!$I:$I,Velocity!$A:$A,$A31,Velocity!$B:$B,$C31)/Assumptions!$B$4*Assumptions!$B$6</f>
        <v>1.1</v>
      </c>
      <c r="AD31" s="7" t="n">
        <f aca="false">SUMIFS(Doors!AP:AP,Doors!$A:$A,$D31,Doors!$B:$B,$B31,Doors!$C:$C,$C31)*SUMIFS(Velocity!$I:$I,Velocity!$A:$A,$A31,Velocity!$B:$B,$C31)/Assumptions!$B$4*Assumptions!$B$6</f>
        <v>1.1</v>
      </c>
      <c r="AE31" s="7" t="n">
        <f aca="false">SUMIFS(Doors!AQ:AQ,Doors!$A:$A,$D31,Doors!$B:$B,$B31,Doors!$C:$C,$C31)*SUMIFS(Velocity!$I:$I,Velocity!$A:$A,$A31,Velocity!$B:$B,$C31)/Assumptions!$B$4*Assumptions!$B$6</f>
        <v>1.375</v>
      </c>
      <c r="AF31" s="7" t="n">
        <f aca="false">SUMIFS(Doors!AR:AR,Doors!$A:$A,$D31,Doors!$B:$B,$B31,Doors!$C:$C,$C31)*SUMIFS(Velocity!$I:$I,Velocity!$A:$A,$A31,Velocity!$B:$B,$C31)/Assumptions!$B$4*Assumptions!$B$6</f>
        <v>1.375</v>
      </c>
      <c r="AG31" s="7" t="n">
        <f aca="false">SUMIFS(Doors!AS:AS,Doors!$A:$A,$D31,Doors!$B:$B,$B31,Doors!$C:$C,$C31)*SUMIFS(Velocity!$I:$I,Velocity!$A:$A,$A31,Velocity!$B:$B,$C31)/Assumptions!$B$4*Assumptions!$B$6</f>
        <v>1.375</v>
      </c>
      <c r="AH31" s="7" t="n">
        <f aca="false">SUMIFS(Doors!AT:AT,Doors!$A:$A,$D31,Doors!$B:$B,$B31,Doors!$C:$C,$C31)*SUMIFS(Velocity!$I:$I,Velocity!$A:$A,$A31,Velocity!$B:$B,$C31)/Assumptions!$B$4*Assumptions!$B$6</f>
        <v>1.375</v>
      </c>
      <c r="AI31" s="7" t="n">
        <f aca="false">SUMIFS(Doors!AU:AU,Doors!$A:$A,$D31,Doors!$B:$B,$B31,Doors!$C:$C,$C31)*SUMIFS(Velocity!$I:$I,Velocity!$A:$A,$A31,Velocity!$B:$B,$C31)/Assumptions!$B$4*Assumptions!$B$6</f>
        <v>1.375</v>
      </c>
      <c r="AJ31" s="7" t="n">
        <f aca="false">SUMIFS(Doors!AV:AV,Doors!$A:$A,$D31,Doors!$B:$B,$B31,Doors!$C:$C,$C31)*SUMIFS(Velocity!$I:$I,Velocity!$A:$A,$A31,Velocity!$B:$B,$C31)/Assumptions!$B$4*Assumptions!$B$6</f>
        <v>1.65</v>
      </c>
      <c r="AK31" s="7" t="n">
        <f aca="false">SUMIFS(Doors!AW:AW,Doors!$A:$A,$D31,Doors!$B:$B,$B31,Doors!$C:$C,$C31)*SUMIFS(Velocity!$I:$I,Velocity!$A:$A,$A31,Velocity!$B:$B,$C31)/Assumptions!$B$4*Assumptions!$B$6</f>
        <v>1.65</v>
      </c>
      <c r="AL31" s="7" t="n">
        <f aca="false">SUMIFS(Doors!AX:AX,Doors!$A:$A,$D31,Doors!$B:$B,$B31,Doors!$C:$C,$C31)*SUMIFS(Velocity!$I:$I,Velocity!$A:$A,$A31,Velocity!$B:$B,$C31)/Assumptions!$B$4*Assumptions!$B$6</f>
        <v>1.65</v>
      </c>
      <c r="AM31" s="7" t="n">
        <f aca="false">SUMIFS(Doors!AY:AY,Doors!$A:$A,$D31,Doors!$B:$B,$B31,Doors!$C:$C,$C31)*SUMIFS(Velocity!$I:$I,Velocity!$A:$A,$A31,Velocity!$B:$B,$C31)/Assumptions!$B$4*Assumptions!$B$6</f>
        <v>1.65</v>
      </c>
      <c r="AN31" s="7" t="n">
        <f aca="false">SUMIFS(Doors!AZ:AZ,Doors!$A:$A,$D31,Doors!$B:$B,$B31,Doors!$C:$C,$C31)*SUMIFS(Velocity!$I:$I,Velocity!$A:$A,$A31,Velocity!$B:$B,$C31)/Assumptions!$B$4*Assumptions!$B$6</f>
        <v>1.925</v>
      </c>
      <c r="AO31" s="7" t="n">
        <f aca="false">SUMIFS(Doors!BA:BA,Doors!$A:$A,$D31,Doors!$B:$B,$B31,Doors!$C:$C,$C31)*SUMIFS(Velocity!$I:$I,Velocity!$A:$A,$A31,Velocity!$B:$B,$C31)/Assumptions!$B$4*Assumptions!$B$6</f>
        <v>1.925</v>
      </c>
      <c r="AP31" s="7" t="n">
        <f aca="false">SUMIFS(Doors!BB:BB,Doors!$A:$A,$D31,Doors!$B:$B,$B31,Doors!$C:$C,$C31)*SUMIFS(Velocity!$I:$I,Velocity!$A:$A,$A31,Velocity!$B:$B,$C31)/Assumptions!$B$4*Assumptions!$B$6</f>
        <v>1.925</v>
      </c>
      <c r="AQ31" s="7" t="n">
        <f aca="false">SUMIFS(Doors!BC:BC,Doors!$A:$A,$D31,Doors!$B:$B,$B31,Doors!$C:$C,$C31)*SUMIFS(Velocity!$I:$I,Velocity!$A:$A,$A31,Velocity!$B:$B,$C31)/Assumptions!$B$4*Assumptions!$B$6</f>
        <v>1.925</v>
      </c>
      <c r="AR31" s="7" t="n">
        <f aca="false">SUMIFS(Doors!BD:BD,Doors!$A:$A,$D31,Doors!$B:$B,$B31,Doors!$C:$C,$C31)*SUMIFS(Velocity!$I:$I,Velocity!$A:$A,$A31,Velocity!$B:$B,$C31)/Assumptions!$B$4*Assumptions!$B$6</f>
        <v>2.0625</v>
      </c>
      <c r="AS31" s="7" t="n">
        <f aca="false">SUMIFS(Doors!BE:BE,Doors!$A:$A,$D31,Doors!$B:$B,$B31,Doors!$C:$C,$C31)*SUMIFS(Velocity!$I:$I,Velocity!$A:$A,$A31,Velocity!$B:$B,$C31)/Assumptions!$B$4*Assumptions!$B$6</f>
        <v>2.0625</v>
      </c>
      <c r="AT31" s="7" t="n">
        <f aca="false">SUMIFS(Doors!BF:BF,Doors!$A:$A,$D31,Doors!$B:$B,$B31,Doors!$C:$C,$C31)*SUMIFS(Velocity!$I:$I,Velocity!$A:$A,$A31,Velocity!$B:$B,$C31)/Assumptions!$B$4*Assumptions!$B$6</f>
        <v>2.0625</v>
      </c>
      <c r="AU31" s="7" t="n">
        <f aca="false">SUMIFS(Doors!BG:BG,Doors!$A:$A,$D31,Doors!$B:$B,$B31,Doors!$C:$C,$C31)*SUMIFS(Velocity!$I:$I,Velocity!$A:$A,$A31,Velocity!$B:$B,$C31)/Assumptions!$B$4*Assumptions!$B$6</f>
        <v>2.0625</v>
      </c>
      <c r="AV31" s="7" t="n">
        <f aca="false">SUMIFS(Doors!BH:BH,Doors!$A:$A,$D31,Doors!$B:$B,$B31,Doors!$C:$C,$C31)*SUMIFS(Velocity!$I:$I,Velocity!$A:$A,$A31,Velocity!$B:$B,$C31)/Assumptions!$B$4*Assumptions!$B$6</f>
        <v>2.0625</v>
      </c>
      <c r="AW31" s="7" t="n">
        <f aca="false">SUMIFS(Doors!BI:BI,Doors!$A:$A,$D31,Doors!$B:$B,$B31,Doors!$C:$C,$C31)*SUMIFS(Velocity!$I:$I,Velocity!$A:$A,$A31,Velocity!$B:$B,$C31)/Assumptions!$B$4*Assumptions!$B$6</f>
        <v>2.0625</v>
      </c>
      <c r="AX31" s="7" t="n">
        <f aca="false">SUMIFS(Doors!BJ:BJ,Doors!$A:$A,$D31,Doors!$B:$B,$B31,Doors!$C:$C,$C31)*SUMIFS(Velocity!$I:$I,Velocity!$A:$A,$A31,Velocity!$B:$B,$C31)/Assumptions!$B$4*Assumptions!$B$6</f>
        <v>2.0625</v>
      </c>
      <c r="AY31" s="7" t="n">
        <f aca="false">SUMIFS(Doors!BK:BK,Doors!$A:$A,$D31,Doors!$B:$B,$B31,Doors!$C:$C,$C31)*SUMIFS(Velocity!$I:$I,Velocity!$A:$A,$A31,Velocity!$B:$B,$C31)/Assumptions!$B$4*Assumptions!$B$6</f>
        <v>2.0625</v>
      </c>
      <c r="AZ31" s="7" t="n">
        <f aca="false">SUMIFS(Doors!BL:BL,Doors!$A:$A,$D31,Doors!$B:$B,$B31,Doors!$C:$C,$C31)*SUMIFS(Velocity!$I:$I,Velocity!$A:$A,$A31,Velocity!$B:$B,$C31)/Assumptions!$B$4*Assumptions!$B$6</f>
        <v>2.0625</v>
      </c>
      <c r="BA31" s="7" t="n">
        <f aca="false">SUMIFS(Doors!BM:BM,Doors!$A:$A,$D31,Doors!$B:$B,$B31,Doors!$C:$C,$C31)*SUMIFS(Velocity!$I:$I,Velocity!$A:$A,$A31,Velocity!$B:$B,$C31)/Assumptions!$B$4*Assumptions!$B$6</f>
        <v>2.0625</v>
      </c>
      <c r="BB31" s="7" t="n">
        <f aca="false">SUMIFS(Doors!BN:BN,Doors!$A:$A,$D31,Doors!$B:$B,$B31,Doors!$C:$C,$C31)*SUMIFS(Velocity!$I:$I,Velocity!$A:$A,$A31,Velocity!$B:$B,$C31)/Assumptions!$B$4*Assumptions!$B$6</f>
        <v>2.0625</v>
      </c>
      <c r="BC31" s="7" t="n">
        <f aca="false">SUMIFS(Doors!BO:BO,Doors!$A:$A,$D31,Doors!$B:$B,$B31,Doors!$C:$C,$C31)*SUMIFS(Velocity!$I:$I,Velocity!$A:$A,$A31,Velocity!$B:$B,$C31)/Assumptions!$B$4*Assumptions!$B$6</f>
        <v>2.0625</v>
      </c>
      <c r="BD31" s="7" t="n">
        <f aca="false">SUMIFS(Doors!BP:BP,Doors!$A:$A,$D31,Doors!$B:$B,$B31,Doors!$C:$C,$C31)*SUMIFS(Velocity!$I:$I,Velocity!$A:$A,$A31,Velocity!$B:$B,$C31)/Assumptions!$B$4*Assumptions!$B$6</f>
        <v>2.0625</v>
      </c>
    </row>
    <row r="32" customFormat="false" ht="15" hidden="false" customHeight="false" outlineLevel="0" collapsed="false">
      <c r="A32" s="0" t="s">
        <v>108</v>
      </c>
      <c r="B32" s="0" t="s">
        <v>128</v>
      </c>
      <c r="C32" s="0" t="s">
        <v>123</v>
      </c>
      <c r="D32" s="0" t="s">
        <v>235</v>
      </c>
      <c r="E32" s="7" t="n">
        <f aca="false">SUMIFS(Doors!Q:Q,Doors!$A:$A,$D32,Doors!$B:$B,$B32,Doors!$C:$C,$C32)*SUMIFS(Velocity!$I:$I,Velocity!$A:$A,$A32,Velocity!$B:$B,$C32)/Assumptions!$B$4*Assumptions!$B$6</f>
        <v>0</v>
      </c>
      <c r="F32" s="7" t="n">
        <f aca="false">SUMIFS(Doors!R:R,Doors!$A:$A,$D32,Doors!$B:$B,$B32,Doors!$C:$C,$C32)*SUMIFS(Velocity!$I:$I,Velocity!$A:$A,$A32,Velocity!$B:$B,$C32)/Assumptions!$B$4*Assumptions!$B$6</f>
        <v>0</v>
      </c>
      <c r="G32" s="7" t="n">
        <f aca="false">SUMIFS(Doors!S:S,Doors!$A:$A,$D32,Doors!$B:$B,$B32,Doors!$C:$C,$C32)*SUMIFS(Velocity!$I:$I,Velocity!$A:$A,$A32,Velocity!$B:$B,$C32)/Assumptions!$B$4*Assumptions!$B$6</f>
        <v>0</v>
      </c>
      <c r="H32" s="7" t="n">
        <f aca="false">SUMIFS(Doors!T:T,Doors!$A:$A,$D32,Doors!$B:$B,$B32,Doors!$C:$C,$C32)*SUMIFS(Velocity!$I:$I,Velocity!$A:$A,$A32,Velocity!$B:$B,$C32)/Assumptions!$B$4*Assumptions!$B$6</f>
        <v>0</v>
      </c>
      <c r="I32" s="7" t="n">
        <f aca="false">SUMIFS(Doors!U:U,Doors!$A:$A,$D32,Doors!$B:$B,$B32,Doors!$C:$C,$C32)*SUMIFS(Velocity!$I:$I,Velocity!$A:$A,$A32,Velocity!$B:$B,$C32)/Assumptions!$B$4*Assumptions!$B$6</f>
        <v>0</v>
      </c>
      <c r="J32" s="7" t="n">
        <f aca="false">SUMIFS(Doors!V:V,Doors!$A:$A,$D32,Doors!$B:$B,$B32,Doors!$C:$C,$C32)*SUMIFS(Velocity!$I:$I,Velocity!$A:$A,$A32,Velocity!$B:$B,$C32)/Assumptions!$B$4*Assumptions!$B$6</f>
        <v>0</v>
      </c>
      <c r="K32" s="7" t="n">
        <f aca="false">SUMIFS(Doors!W:W,Doors!$A:$A,$D32,Doors!$B:$B,$B32,Doors!$C:$C,$C32)*SUMIFS(Velocity!$I:$I,Velocity!$A:$A,$A32,Velocity!$B:$B,$C32)/Assumptions!$B$4*Assumptions!$B$6</f>
        <v>0</v>
      </c>
      <c r="L32" s="7" t="n">
        <f aca="false">SUMIFS(Doors!X:X,Doors!$A:$A,$D32,Doors!$B:$B,$B32,Doors!$C:$C,$C32)*SUMIFS(Velocity!$I:$I,Velocity!$A:$A,$A32,Velocity!$B:$B,$C32)/Assumptions!$B$4*Assumptions!$B$6</f>
        <v>0</v>
      </c>
      <c r="M32" s="7" t="n">
        <f aca="false">SUMIFS(Doors!Y:Y,Doors!$A:$A,$D32,Doors!$B:$B,$B32,Doors!$C:$C,$C32)*SUMIFS(Velocity!$I:$I,Velocity!$A:$A,$A32,Velocity!$B:$B,$C32)/Assumptions!$B$4*Assumptions!$B$6</f>
        <v>0</v>
      </c>
      <c r="N32" s="7" t="n">
        <f aca="false">SUMIFS(Doors!Z:Z,Doors!$A:$A,$D32,Doors!$B:$B,$B32,Doors!$C:$C,$C32)*SUMIFS(Velocity!$I:$I,Velocity!$A:$A,$A32,Velocity!$B:$B,$C32)/Assumptions!$B$4*Assumptions!$B$6</f>
        <v>0</v>
      </c>
      <c r="O32" s="7" t="n">
        <f aca="false">SUMIFS(Doors!AA:AA,Doors!$A:$A,$D32,Doors!$B:$B,$B32,Doors!$C:$C,$C32)*SUMIFS(Velocity!$I:$I,Velocity!$A:$A,$A32,Velocity!$B:$B,$C32)/Assumptions!$B$4*Assumptions!$B$6</f>
        <v>0</v>
      </c>
      <c r="P32" s="7" t="n">
        <f aca="false">SUMIFS(Doors!AB:AB,Doors!$A:$A,$D32,Doors!$B:$B,$B32,Doors!$C:$C,$C32)*SUMIFS(Velocity!$I:$I,Velocity!$A:$A,$A32,Velocity!$B:$B,$C32)/Assumptions!$B$4*Assumptions!$B$6</f>
        <v>0</v>
      </c>
      <c r="Q32" s="7" t="n">
        <f aca="false">SUMIFS(Doors!AC:AC,Doors!$A:$A,$D32,Doors!$B:$B,$B32,Doors!$C:$C,$C32)*SUMIFS(Velocity!$I:$I,Velocity!$A:$A,$A32,Velocity!$B:$B,$C32)/Assumptions!$B$4*Assumptions!$B$6</f>
        <v>0</v>
      </c>
      <c r="R32" s="7" t="n">
        <f aca="false">SUMIFS(Doors!AD:AD,Doors!$A:$A,$D32,Doors!$B:$B,$B32,Doors!$C:$C,$C32)*SUMIFS(Velocity!$I:$I,Velocity!$A:$A,$A32,Velocity!$B:$B,$C32)/Assumptions!$B$4*Assumptions!$B$6</f>
        <v>0</v>
      </c>
      <c r="S32" s="7" t="n">
        <f aca="false">SUMIFS(Doors!AE:AE,Doors!$A:$A,$D32,Doors!$B:$B,$B32,Doors!$C:$C,$C32)*SUMIFS(Velocity!$I:$I,Velocity!$A:$A,$A32,Velocity!$B:$B,$C32)/Assumptions!$B$4*Assumptions!$B$6</f>
        <v>0</v>
      </c>
      <c r="T32" s="7" t="n">
        <f aca="false">SUMIFS(Doors!AF:AF,Doors!$A:$A,$D32,Doors!$B:$B,$B32,Doors!$C:$C,$C32)*SUMIFS(Velocity!$I:$I,Velocity!$A:$A,$A32,Velocity!$B:$B,$C32)/Assumptions!$B$4*Assumptions!$B$6</f>
        <v>0</v>
      </c>
      <c r="U32" s="7" t="n">
        <f aca="false">SUMIFS(Doors!AG:AG,Doors!$A:$A,$D32,Doors!$B:$B,$B32,Doors!$C:$C,$C32)*SUMIFS(Velocity!$I:$I,Velocity!$A:$A,$A32,Velocity!$B:$B,$C32)/Assumptions!$B$4*Assumptions!$B$6</f>
        <v>0</v>
      </c>
      <c r="V32" s="7" t="n">
        <f aca="false">SUMIFS(Doors!AH:AH,Doors!$A:$A,$D32,Doors!$B:$B,$B32,Doors!$C:$C,$C32)*SUMIFS(Velocity!$I:$I,Velocity!$A:$A,$A32,Velocity!$B:$B,$C32)/Assumptions!$B$4*Assumptions!$B$6</f>
        <v>0</v>
      </c>
      <c r="W32" s="7" t="n">
        <f aca="false">SUMIFS(Doors!AI:AI,Doors!$A:$A,$D32,Doors!$B:$B,$B32,Doors!$C:$C,$C32)*SUMIFS(Velocity!$I:$I,Velocity!$A:$A,$A32,Velocity!$B:$B,$C32)/Assumptions!$B$4*Assumptions!$B$6</f>
        <v>0</v>
      </c>
      <c r="X32" s="7" t="n">
        <f aca="false">SUMIFS(Doors!AJ:AJ,Doors!$A:$A,$D32,Doors!$B:$B,$B32,Doors!$C:$C,$C32)*SUMIFS(Velocity!$I:$I,Velocity!$A:$A,$A32,Velocity!$B:$B,$C32)/Assumptions!$B$4*Assumptions!$B$6</f>
        <v>0</v>
      </c>
      <c r="Y32" s="7" t="n">
        <f aca="false">SUMIFS(Doors!AK:AK,Doors!$A:$A,$D32,Doors!$B:$B,$B32,Doors!$C:$C,$C32)*SUMIFS(Velocity!$I:$I,Velocity!$A:$A,$A32,Velocity!$B:$B,$C32)/Assumptions!$B$4*Assumptions!$B$6</f>
        <v>0</v>
      </c>
      <c r="Z32" s="7" t="n">
        <f aca="false">SUMIFS(Doors!AL:AL,Doors!$A:$A,$D32,Doors!$B:$B,$B32,Doors!$C:$C,$C32)*SUMIFS(Velocity!$I:$I,Velocity!$A:$A,$A32,Velocity!$B:$B,$C32)/Assumptions!$B$4*Assumptions!$B$6</f>
        <v>0</v>
      </c>
      <c r="AA32" s="7" t="n">
        <f aca="false">SUMIFS(Doors!AM:AM,Doors!$A:$A,$D32,Doors!$B:$B,$B32,Doors!$C:$C,$C32)*SUMIFS(Velocity!$I:$I,Velocity!$A:$A,$A32,Velocity!$B:$B,$C32)/Assumptions!$B$4*Assumptions!$B$6</f>
        <v>0</v>
      </c>
      <c r="AB32" s="7" t="n">
        <f aca="false">SUMIFS(Doors!AN:AN,Doors!$A:$A,$D32,Doors!$B:$B,$B32,Doors!$C:$C,$C32)*SUMIFS(Velocity!$I:$I,Velocity!$A:$A,$A32,Velocity!$B:$B,$C32)/Assumptions!$B$4*Assumptions!$B$6</f>
        <v>0</v>
      </c>
      <c r="AC32" s="7" t="n">
        <f aca="false">SUMIFS(Doors!AO:AO,Doors!$A:$A,$D32,Doors!$B:$B,$B32,Doors!$C:$C,$C32)*SUMIFS(Velocity!$I:$I,Velocity!$A:$A,$A32,Velocity!$B:$B,$C32)/Assumptions!$B$4*Assumptions!$B$6</f>
        <v>0</v>
      </c>
      <c r="AD32" s="7" t="n">
        <f aca="false">SUMIFS(Doors!AP:AP,Doors!$A:$A,$D32,Doors!$B:$B,$B32,Doors!$C:$C,$C32)*SUMIFS(Velocity!$I:$I,Velocity!$A:$A,$A32,Velocity!$B:$B,$C32)/Assumptions!$B$4*Assumptions!$B$6</f>
        <v>0</v>
      </c>
      <c r="AE32" s="7" t="n">
        <f aca="false">SUMIFS(Doors!AQ:AQ,Doors!$A:$A,$D32,Doors!$B:$B,$B32,Doors!$C:$C,$C32)*SUMIFS(Velocity!$I:$I,Velocity!$A:$A,$A32,Velocity!$B:$B,$C32)/Assumptions!$B$4*Assumptions!$B$6</f>
        <v>0</v>
      </c>
      <c r="AF32" s="7" t="n">
        <f aca="false">SUMIFS(Doors!AR:AR,Doors!$A:$A,$D32,Doors!$B:$B,$B32,Doors!$C:$C,$C32)*SUMIFS(Velocity!$I:$I,Velocity!$A:$A,$A32,Velocity!$B:$B,$C32)/Assumptions!$B$4*Assumptions!$B$6</f>
        <v>0</v>
      </c>
      <c r="AG32" s="7" t="n">
        <f aca="false">SUMIFS(Doors!AS:AS,Doors!$A:$A,$D32,Doors!$B:$B,$B32,Doors!$C:$C,$C32)*SUMIFS(Velocity!$I:$I,Velocity!$A:$A,$A32,Velocity!$B:$B,$C32)/Assumptions!$B$4*Assumptions!$B$6</f>
        <v>0</v>
      </c>
      <c r="AH32" s="7" t="n">
        <f aca="false">SUMIFS(Doors!AT:AT,Doors!$A:$A,$D32,Doors!$B:$B,$B32,Doors!$C:$C,$C32)*SUMIFS(Velocity!$I:$I,Velocity!$A:$A,$A32,Velocity!$B:$B,$C32)/Assumptions!$B$4*Assumptions!$B$6</f>
        <v>0</v>
      </c>
      <c r="AI32" s="7" t="n">
        <f aca="false">SUMIFS(Doors!AU:AU,Doors!$A:$A,$D32,Doors!$B:$B,$B32,Doors!$C:$C,$C32)*SUMIFS(Velocity!$I:$I,Velocity!$A:$A,$A32,Velocity!$B:$B,$C32)/Assumptions!$B$4*Assumptions!$B$6</f>
        <v>0</v>
      </c>
      <c r="AJ32" s="7" t="n">
        <f aca="false">SUMIFS(Doors!AV:AV,Doors!$A:$A,$D32,Doors!$B:$B,$B32,Doors!$C:$C,$C32)*SUMIFS(Velocity!$I:$I,Velocity!$A:$A,$A32,Velocity!$B:$B,$C32)/Assumptions!$B$4*Assumptions!$B$6</f>
        <v>0</v>
      </c>
      <c r="AK32" s="7" t="n">
        <f aca="false">SUMIFS(Doors!AW:AW,Doors!$A:$A,$D32,Doors!$B:$B,$B32,Doors!$C:$C,$C32)*SUMIFS(Velocity!$I:$I,Velocity!$A:$A,$A32,Velocity!$B:$B,$C32)/Assumptions!$B$4*Assumptions!$B$6</f>
        <v>0</v>
      </c>
      <c r="AL32" s="7" t="n">
        <f aca="false">SUMIFS(Doors!AX:AX,Doors!$A:$A,$D32,Doors!$B:$B,$B32,Doors!$C:$C,$C32)*SUMIFS(Velocity!$I:$I,Velocity!$A:$A,$A32,Velocity!$B:$B,$C32)/Assumptions!$B$4*Assumptions!$B$6</f>
        <v>0</v>
      </c>
      <c r="AM32" s="7" t="n">
        <f aca="false">SUMIFS(Doors!AY:AY,Doors!$A:$A,$D32,Doors!$B:$B,$B32,Doors!$C:$C,$C32)*SUMIFS(Velocity!$I:$I,Velocity!$A:$A,$A32,Velocity!$B:$B,$C32)/Assumptions!$B$4*Assumptions!$B$6</f>
        <v>0</v>
      </c>
      <c r="AN32" s="7" t="n">
        <f aca="false">SUMIFS(Doors!AZ:AZ,Doors!$A:$A,$D32,Doors!$B:$B,$B32,Doors!$C:$C,$C32)*SUMIFS(Velocity!$I:$I,Velocity!$A:$A,$A32,Velocity!$B:$B,$C32)/Assumptions!$B$4*Assumptions!$B$6</f>
        <v>0</v>
      </c>
      <c r="AO32" s="7" t="n">
        <f aca="false">SUMIFS(Doors!BA:BA,Doors!$A:$A,$D32,Doors!$B:$B,$B32,Doors!$C:$C,$C32)*SUMIFS(Velocity!$I:$I,Velocity!$A:$A,$A32,Velocity!$B:$B,$C32)/Assumptions!$B$4*Assumptions!$B$6</f>
        <v>0</v>
      </c>
      <c r="AP32" s="7" t="n">
        <f aca="false">SUMIFS(Doors!BB:BB,Doors!$A:$A,$D32,Doors!$B:$B,$B32,Doors!$C:$C,$C32)*SUMIFS(Velocity!$I:$I,Velocity!$A:$A,$A32,Velocity!$B:$B,$C32)/Assumptions!$B$4*Assumptions!$B$6</f>
        <v>0</v>
      </c>
      <c r="AQ32" s="7" t="n">
        <f aca="false">SUMIFS(Doors!BC:BC,Doors!$A:$A,$D32,Doors!$B:$B,$B32,Doors!$C:$C,$C32)*SUMIFS(Velocity!$I:$I,Velocity!$A:$A,$A32,Velocity!$B:$B,$C32)/Assumptions!$B$4*Assumptions!$B$6</f>
        <v>0</v>
      </c>
      <c r="AR32" s="7" t="n">
        <f aca="false">SUMIFS(Doors!BD:BD,Doors!$A:$A,$D32,Doors!$B:$B,$B32,Doors!$C:$C,$C32)*SUMIFS(Velocity!$I:$I,Velocity!$A:$A,$A32,Velocity!$B:$B,$C32)/Assumptions!$B$4*Assumptions!$B$6</f>
        <v>0</v>
      </c>
      <c r="AS32" s="7" t="n">
        <f aca="false">SUMIFS(Doors!BE:BE,Doors!$A:$A,$D32,Doors!$B:$B,$B32,Doors!$C:$C,$C32)*SUMIFS(Velocity!$I:$I,Velocity!$A:$A,$A32,Velocity!$B:$B,$C32)/Assumptions!$B$4*Assumptions!$B$6</f>
        <v>0</v>
      </c>
      <c r="AT32" s="7" t="n">
        <f aca="false">SUMIFS(Doors!BF:BF,Doors!$A:$A,$D32,Doors!$B:$B,$B32,Doors!$C:$C,$C32)*SUMIFS(Velocity!$I:$I,Velocity!$A:$A,$A32,Velocity!$B:$B,$C32)/Assumptions!$B$4*Assumptions!$B$6</f>
        <v>0</v>
      </c>
      <c r="AU32" s="7" t="n">
        <f aca="false">SUMIFS(Doors!BG:BG,Doors!$A:$A,$D32,Doors!$B:$B,$B32,Doors!$C:$C,$C32)*SUMIFS(Velocity!$I:$I,Velocity!$A:$A,$A32,Velocity!$B:$B,$C32)/Assumptions!$B$4*Assumptions!$B$6</f>
        <v>0</v>
      </c>
      <c r="AV32" s="7" t="n">
        <f aca="false">SUMIFS(Doors!BH:BH,Doors!$A:$A,$D32,Doors!$B:$B,$B32,Doors!$C:$C,$C32)*SUMIFS(Velocity!$I:$I,Velocity!$A:$A,$A32,Velocity!$B:$B,$C32)/Assumptions!$B$4*Assumptions!$B$6</f>
        <v>0</v>
      </c>
      <c r="AW32" s="7" t="n">
        <f aca="false">SUMIFS(Doors!BI:BI,Doors!$A:$A,$D32,Doors!$B:$B,$B32,Doors!$C:$C,$C32)*SUMIFS(Velocity!$I:$I,Velocity!$A:$A,$A32,Velocity!$B:$B,$C32)/Assumptions!$B$4*Assumptions!$B$6</f>
        <v>0</v>
      </c>
      <c r="AX32" s="7" t="n">
        <f aca="false">SUMIFS(Doors!BJ:BJ,Doors!$A:$A,$D32,Doors!$B:$B,$B32,Doors!$C:$C,$C32)*SUMIFS(Velocity!$I:$I,Velocity!$A:$A,$A32,Velocity!$B:$B,$C32)/Assumptions!$B$4*Assumptions!$B$6</f>
        <v>0</v>
      </c>
      <c r="AY32" s="7" t="n">
        <f aca="false">SUMIFS(Doors!BK:BK,Doors!$A:$A,$D32,Doors!$B:$B,$B32,Doors!$C:$C,$C32)*SUMIFS(Velocity!$I:$I,Velocity!$A:$A,$A32,Velocity!$B:$B,$C32)/Assumptions!$B$4*Assumptions!$B$6</f>
        <v>0</v>
      </c>
      <c r="AZ32" s="7" t="n">
        <f aca="false">SUMIFS(Doors!BL:BL,Doors!$A:$A,$D32,Doors!$B:$B,$B32,Doors!$C:$C,$C32)*SUMIFS(Velocity!$I:$I,Velocity!$A:$A,$A32,Velocity!$B:$B,$C32)/Assumptions!$B$4*Assumptions!$B$6</f>
        <v>0</v>
      </c>
      <c r="BA32" s="7" t="n">
        <f aca="false">SUMIFS(Doors!BM:BM,Doors!$A:$A,$D32,Doors!$B:$B,$B32,Doors!$C:$C,$C32)*SUMIFS(Velocity!$I:$I,Velocity!$A:$A,$A32,Velocity!$B:$B,$C32)/Assumptions!$B$4*Assumptions!$B$6</f>
        <v>0</v>
      </c>
      <c r="BB32" s="7" t="n">
        <f aca="false">SUMIFS(Doors!BN:BN,Doors!$A:$A,$D32,Doors!$B:$B,$B32,Doors!$C:$C,$C32)*SUMIFS(Velocity!$I:$I,Velocity!$A:$A,$A32,Velocity!$B:$B,$C32)/Assumptions!$B$4*Assumptions!$B$6</f>
        <v>0</v>
      </c>
      <c r="BC32" s="7" t="n">
        <f aca="false">SUMIFS(Doors!BO:BO,Doors!$A:$A,$D32,Doors!$B:$B,$B32,Doors!$C:$C,$C32)*SUMIFS(Velocity!$I:$I,Velocity!$A:$A,$A32,Velocity!$B:$B,$C32)/Assumptions!$B$4*Assumptions!$B$6</f>
        <v>0</v>
      </c>
      <c r="BD32" s="7" t="n">
        <f aca="false">SUMIFS(Doors!BP:BP,Doors!$A:$A,$D32,Doors!$B:$B,$B32,Doors!$C:$C,$C32)*SUMIFS(Velocity!$I:$I,Velocity!$A:$A,$A32,Velocity!$B:$B,$C32)/Assumptions!$B$4*Assumptions!$B$6</f>
        <v>0</v>
      </c>
    </row>
    <row r="33" customFormat="false" ht="15" hidden="false" customHeight="false" outlineLevel="0" collapsed="false">
      <c r="A33" s="0" t="s">
        <v>108</v>
      </c>
      <c r="B33" s="0" t="s">
        <v>129</v>
      </c>
      <c r="C33" s="0" t="s">
        <v>115</v>
      </c>
      <c r="D33" s="0" t="s">
        <v>235</v>
      </c>
      <c r="E33" s="7" t="n">
        <f aca="false">SUMIFS(Doors!Q:Q,Doors!$A:$A,$D33,Doors!$B:$B,$B33,Doors!$C:$C,$C33)*SUMIFS(Velocity!$I:$I,Velocity!$A:$A,$A33,Velocity!$B:$B,$C33)/Assumptions!$B$4*Assumptions!$B$6</f>
        <v>0</v>
      </c>
      <c r="F33" s="7" t="n">
        <f aca="false">SUMIFS(Doors!R:R,Doors!$A:$A,$D33,Doors!$B:$B,$B33,Doors!$C:$C,$C33)*SUMIFS(Velocity!$I:$I,Velocity!$A:$A,$A33,Velocity!$B:$B,$C33)/Assumptions!$B$4*Assumptions!$B$6</f>
        <v>0</v>
      </c>
      <c r="G33" s="7" t="n">
        <f aca="false">SUMIFS(Doors!S:S,Doors!$A:$A,$D33,Doors!$B:$B,$B33,Doors!$C:$C,$C33)*SUMIFS(Velocity!$I:$I,Velocity!$A:$A,$A33,Velocity!$B:$B,$C33)/Assumptions!$B$4*Assumptions!$B$6</f>
        <v>0</v>
      </c>
      <c r="H33" s="7" t="n">
        <f aca="false">SUMIFS(Doors!T:T,Doors!$A:$A,$D33,Doors!$B:$B,$B33,Doors!$C:$C,$C33)*SUMIFS(Velocity!$I:$I,Velocity!$A:$A,$A33,Velocity!$B:$B,$C33)/Assumptions!$B$4*Assumptions!$B$6</f>
        <v>0</v>
      </c>
      <c r="I33" s="7" t="n">
        <f aca="false">SUMIFS(Doors!U:U,Doors!$A:$A,$D33,Doors!$B:$B,$B33,Doors!$C:$C,$C33)*SUMIFS(Velocity!$I:$I,Velocity!$A:$A,$A33,Velocity!$B:$B,$C33)/Assumptions!$B$4*Assumptions!$B$6</f>
        <v>0</v>
      </c>
      <c r="J33" s="7" t="n">
        <f aca="false">SUMIFS(Doors!V:V,Doors!$A:$A,$D33,Doors!$B:$B,$B33,Doors!$C:$C,$C33)*SUMIFS(Velocity!$I:$I,Velocity!$A:$A,$A33,Velocity!$B:$B,$C33)/Assumptions!$B$4*Assumptions!$B$6</f>
        <v>0</v>
      </c>
      <c r="K33" s="7" t="n">
        <f aca="false">SUMIFS(Doors!W:W,Doors!$A:$A,$D33,Doors!$B:$B,$B33,Doors!$C:$C,$C33)*SUMIFS(Velocity!$I:$I,Velocity!$A:$A,$A33,Velocity!$B:$B,$C33)/Assumptions!$B$4*Assumptions!$B$6</f>
        <v>0</v>
      </c>
      <c r="L33" s="7" t="n">
        <f aca="false">SUMIFS(Doors!X:X,Doors!$A:$A,$D33,Doors!$B:$B,$B33,Doors!$C:$C,$C33)*SUMIFS(Velocity!$I:$I,Velocity!$A:$A,$A33,Velocity!$B:$B,$C33)/Assumptions!$B$4*Assumptions!$B$6</f>
        <v>0</v>
      </c>
      <c r="M33" s="7" t="n">
        <f aca="false">SUMIFS(Doors!Y:Y,Doors!$A:$A,$D33,Doors!$B:$B,$B33,Doors!$C:$C,$C33)*SUMIFS(Velocity!$I:$I,Velocity!$A:$A,$A33,Velocity!$B:$B,$C33)/Assumptions!$B$4*Assumptions!$B$6</f>
        <v>0</v>
      </c>
      <c r="N33" s="7" t="n">
        <f aca="false">SUMIFS(Doors!Z:Z,Doors!$A:$A,$D33,Doors!$B:$B,$B33,Doors!$C:$C,$C33)*SUMIFS(Velocity!$I:$I,Velocity!$A:$A,$A33,Velocity!$B:$B,$C33)/Assumptions!$B$4*Assumptions!$B$6</f>
        <v>0.658333333333333</v>
      </c>
      <c r="O33" s="7" t="n">
        <f aca="false">SUMIFS(Doors!AA:AA,Doors!$A:$A,$D33,Doors!$B:$B,$B33,Doors!$C:$C,$C33)*SUMIFS(Velocity!$I:$I,Velocity!$A:$A,$A33,Velocity!$B:$B,$C33)/Assumptions!$B$4*Assumptions!$B$6</f>
        <v>0.658333333333333</v>
      </c>
      <c r="P33" s="7" t="n">
        <f aca="false">SUMIFS(Doors!AB:AB,Doors!$A:$A,$D33,Doors!$B:$B,$B33,Doors!$C:$C,$C33)*SUMIFS(Velocity!$I:$I,Velocity!$A:$A,$A33,Velocity!$B:$B,$C33)/Assumptions!$B$4*Assumptions!$B$6</f>
        <v>0.658333333333333</v>
      </c>
      <c r="Q33" s="7" t="n">
        <f aca="false">SUMIFS(Doors!AC:AC,Doors!$A:$A,$D33,Doors!$B:$B,$B33,Doors!$C:$C,$C33)*SUMIFS(Velocity!$I:$I,Velocity!$A:$A,$A33,Velocity!$B:$B,$C33)/Assumptions!$B$4*Assumptions!$B$6</f>
        <v>0.658333333333333</v>
      </c>
      <c r="R33" s="7" t="n">
        <f aca="false">SUMIFS(Doors!AD:AD,Doors!$A:$A,$D33,Doors!$B:$B,$B33,Doors!$C:$C,$C33)*SUMIFS(Velocity!$I:$I,Velocity!$A:$A,$A33,Velocity!$B:$B,$C33)/Assumptions!$B$4*Assumptions!$B$6</f>
        <v>1.31666666666667</v>
      </c>
      <c r="S33" s="7" t="n">
        <f aca="false">SUMIFS(Doors!AE:AE,Doors!$A:$A,$D33,Doors!$B:$B,$B33,Doors!$C:$C,$C33)*SUMIFS(Velocity!$I:$I,Velocity!$A:$A,$A33,Velocity!$B:$B,$C33)/Assumptions!$B$4*Assumptions!$B$6</f>
        <v>1.31666666666667</v>
      </c>
      <c r="T33" s="7" t="n">
        <f aca="false">SUMIFS(Doors!AF:AF,Doors!$A:$A,$D33,Doors!$B:$B,$B33,Doors!$C:$C,$C33)*SUMIFS(Velocity!$I:$I,Velocity!$A:$A,$A33,Velocity!$B:$B,$C33)/Assumptions!$B$4*Assumptions!$B$6</f>
        <v>1.31666666666667</v>
      </c>
      <c r="U33" s="7" t="n">
        <f aca="false">SUMIFS(Doors!AG:AG,Doors!$A:$A,$D33,Doors!$B:$B,$B33,Doors!$C:$C,$C33)*SUMIFS(Velocity!$I:$I,Velocity!$A:$A,$A33,Velocity!$B:$B,$C33)/Assumptions!$B$4*Assumptions!$B$6</f>
        <v>1.31666666666667</v>
      </c>
      <c r="V33" s="7" t="n">
        <f aca="false">SUMIFS(Doors!AH:AH,Doors!$A:$A,$D33,Doors!$B:$B,$B33,Doors!$C:$C,$C33)*SUMIFS(Velocity!$I:$I,Velocity!$A:$A,$A33,Velocity!$B:$B,$C33)/Assumptions!$B$4*Assumptions!$B$6</f>
        <v>1.31666666666667</v>
      </c>
      <c r="W33" s="7" t="n">
        <f aca="false">SUMIFS(Doors!AI:AI,Doors!$A:$A,$D33,Doors!$B:$B,$B33,Doors!$C:$C,$C33)*SUMIFS(Velocity!$I:$I,Velocity!$A:$A,$A33,Velocity!$B:$B,$C33)/Assumptions!$B$4*Assumptions!$B$6</f>
        <v>2.30416666666667</v>
      </c>
      <c r="X33" s="7" t="n">
        <f aca="false">SUMIFS(Doors!AJ:AJ,Doors!$A:$A,$D33,Doors!$B:$B,$B33,Doors!$C:$C,$C33)*SUMIFS(Velocity!$I:$I,Velocity!$A:$A,$A33,Velocity!$B:$B,$C33)/Assumptions!$B$4*Assumptions!$B$6</f>
        <v>2.30416666666667</v>
      </c>
      <c r="Y33" s="7" t="n">
        <f aca="false">SUMIFS(Doors!AK:AK,Doors!$A:$A,$D33,Doors!$B:$B,$B33,Doors!$C:$C,$C33)*SUMIFS(Velocity!$I:$I,Velocity!$A:$A,$A33,Velocity!$B:$B,$C33)/Assumptions!$B$4*Assumptions!$B$6</f>
        <v>2.30416666666667</v>
      </c>
      <c r="Z33" s="7" t="n">
        <f aca="false">SUMIFS(Doors!AL:AL,Doors!$A:$A,$D33,Doors!$B:$B,$B33,Doors!$C:$C,$C33)*SUMIFS(Velocity!$I:$I,Velocity!$A:$A,$A33,Velocity!$B:$B,$C33)/Assumptions!$B$4*Assumptions!$B$6</f>
        <v>2.30416666666667</v>
      </c>
      <c r="AA33" s="7" t="n">
        <f aca="false">SUMIFS(Doors!AM:AM,Doors!$A:$A,$D33,Doors!$B:$B,$B33,Doors!$C:$C,$C33)*SUMIFS(Velocity!$I:$I,Velocity!$A:$A,$A33,Velocity!$B:$B,$C33)/Assumptions!$B$4*Assumptions!$B$6</f>
        <v>3.29166666666667</v>
      </c>
      <c r="AB33" s="7" t="n">
        <f aca="false">SUMIFS(Doors!AN:AN,Doors!$A:$A,$D33,Doors!$B:$B,$B33,Doors!$C:$C,$C33)*SUMIFS(Velocity!$I:$I,Velocity!$A:$A,$A33,Velocity!$B:$B,$C33)/Assumptions!$B$4*Assumptions!$B$6</f>
        <v>3.29166666666667</v>
      </c>
      <c r="AC33" s="7" t="n">
        <f aca="false">SUMIFS(Doors!AO:AO,Doors!$A:$A,$D33,Doors!$B:$B,$B33,Doors!$C:$C,$C33)*SUMIFS(Velocity!$I:$I,Velocity!$A:$A,$A33,Velocity!$B:$B,$C33)/Assumptions!$B$4*Assumptions!$B$6</f>
        <v>3.29166666666667</v>
      </c>
      <c r="AD33" s="7" t="n">
        <f aca="false">SUMIFS(Doors!AP:AP,Doors!$A:$A,$D33,Doors!$B:$B,$B33,Doors!$C:$C,$C33)*SUMIFS(Velocity!$I:$I,Velocity!$A:$A,$A33,Velocity!$B:$B,$C33)/Assumptions!$B$4*Assumptions!$B$6</f>
        <v>3.29166666666667</v>
      </c>
      <c r="AE33" s="7" t="n">
        <f aca="false">SUMIFS(Doors!AQ:AQ,Doors!$A:$A,$D33,Doors!$B:$B,$B33,Doors!$C:$C,$C33)*SUMIFS(Velocity!$I:$I,Velocity!$A:$A,$A33,Velocity!$B:$B,$C33)/Assumptions!$B$4*Assumptions!$B$6</f>
        <v>4.27916666666667</v>
      </c>
      <c r="AF33" s="7" t="n">
        <f aca="false">SUMIFS(Doors!AR:AR,Doors!$A:$A,$D33,Doors!$B:$B,$B33,Doors!$C:$C,$C33)*SUMIFS(Velocity!$I:$I,Velocity!$A:$A,$A33,Velocity!$B:$B,$C33)/Assumptions!$B$4*Assumptions!$B$6</f>
        <v>4.27916666666667</v>
      </c>
      <c r="AG33" s="7" t="n">
        <f aca="false">SUMIFS(Doors!AS:AS,Doors!$A:$A,$D33,Doors!$B:$B,$B33,Doors!$C:$C,$C33)*SUMIFS(Velocity!$I:$I,Velocity!$A:$A,$A33,Velocity!$B:$B,$C33)/Assumptions!$B$4*Assumptions!$B$6</f>
        <v>4.27916666666667</v>
      </c>
      <c r="AH33" s="7" t="n">
        <f aca="false">SUMIFS(Doors!AT:AT,Doors!$A:$A,$D33,Doors!$B:$B,$B33,Doors!$C:$C,$C33)*SUMIFS(Velocity!$I:$I,Velocity!$A:$A,$A33,Velocity!$B:$B,$C33)/Assumptions!$B$4*Assumptions!$B$6</f>
        <v>4.27916666666667</v>
      </c>
      <c r="AI33" s="7" t="n">
        <f aca="false">SUMIFS(Doors!AU:AU,Doors!$A:$A,$D33,Doors!$B:$B,$B33,Doors!$C:$C,$C33)*SUMIFS(Velocity!$I:$I,Velocity!$A:$A,$A33,Velocity!$B:$B,$C33)/Assumptions!$B$4*Assumptions!$B$6</f>
        <v>4.27916666666667</v>
      </c>
      <c r="AJ33" s="7" t="n">
        <f aca="false">SUMIFS(Doors!AV:AV,Doors!$A:$A,$D33,Doors!$B:$B,$B33,Doors!$C:$C,$C33)*SUMIFS(Velocity!$I:$I,Velocity!$A:$A,$A33,Velocity!$B:$B,$C33)/Assumptions!$B$4*Assumptions!$B$6</f>
        <v>4.9375</v>
      </c>
      <c r="AK33" s="7" t="n">
        <f aca="false">SUMIFS(Doors!AW:AW,Doors!$A:$A,$D33,Doors!$B:$B,$B33,Doors!$C:$C,$C33)*SUMIFS(Velocity!$I:$I,Velocity!$A:$A,$A33,Velocity!$B:$B,$C33)/Assumptions!$B$4*Assumptions!$B$6</f>
        <v>4.9375</v>
      </c>
      <c r="AL33" s="7" t="n">
        <f aca="false">SUMIFS(Doors!AX:AX,Doors!$A:$A,$D33,Doors!$B:$B,$B33,Doors!$C:$C,$C33)*SUMIFS(Velocity!$I:$I,Velocity!$A:$A,$A33,Velocity!$B:$B,$C33)/Assumptions!$B$4*Assumptions!$B$6</f>
        <v>4.9375</v>
      </c>
      <c r="AM33" s="7" t="n">
        <f aca="false">SUMIFS(Doors!AY:AY,Doors!$A:$A,$D33,Doors!$B:$B,$B33,Doors!$C:$C,$C33)*SUMIFS(Velocity!$I:$I,Velocity!$A:$A,$A33,Velocity!$B:$B,$C33)/Assumptions!$B$4*Assumptions!$B$6</f>
        <v>4.9375</v>
      </c>
      <c r="AN33" s="7" t="n">
        <f aca="false">SUMIFS(Doors!AZ:AZ,Doors!$A:$A,$D33,Doors!$B:$B,$B33,Doors!$C:$C,$C33)*SUMIFS(Velocity!$I:$I,Velocity!$A:$A,$A33,Velocity!$B:$B,$C33)/Assumptions!$B$4*Assumptions!$B$6</f>
        <v>5.59583333333333</v>
      </c>
      <c r="AO33" s="7" t="n">
        <f aca="false">SUMIFS(Doors!BA:BA,Doors!$A:$A,$D33,Doors!$B:$B,$B33,Doors!$C:$C,$C33)*SUMIFS(Velocity!$I:$I,Velocity!$A:$A,$A33,Velocity!$B:$B,$C33)/Assumptions!$B$4*Assumptions!$B$6</f>
        <v>5.59583333333333</v>
      </c>
      <c r="AP33" s="7" t="n">
        <f aca="false">SUMIFS(Doors!BB:BB,Doors!$A:$A,$D33,Doors!$B:$B,$B33,Doors!$C:$C,$C33)*SUMIFS(Velocity!$I:$I,Velocity!$A:$A,$A33,Velocity!$B:$B,$C33)/Assumptions!$B$4*Assumptions!$B$6</f>
        <v>5.59583333333333</v>
      </c>
      <c r="AQ33" s="7" t="n">
        <f aca="false">SUMIFS(Doors!BC:BC,Doors!$A:$A,$D33,Doors!$B:$B,$B33,Doors!$C:$C,$C33)*SUMIFS(Velocity!$I:$I,Velocity!$A:$A,$A33,Velocity!$B:$B,$C33)/Assumptions!$B$4*Assumptions!$B$6</f>
        <v>5.59583333333333</v>
      </c>
      <c r="AR33" s="7" t="n">
        <f aca="false">SUMIFS(Doors!BD:BD,Doors!$A:$A,$D33,Doors!$B:$B,$B33,Doors!$C:$C,$C33)*SUMIFS(Velocity!$I:$I,Velocity!$A:$A,$A33,Velocity!$B:$B,$C33)/Assumptions!$B$4*Assumptions!$B$6</f>
        <v>6.25416666666667</v>
      </c>
      <c r="AS33" s="7" t="n">
        <f aca="false">SUMIFS(Doors!BE:BE,Doors!$A:$A,$D33,Doors!$B:$B,$B33,Doors!$C:$C,$C33)*SUMIFS(Velocity!$I:$I,Velocity!$A:$A,$A33,Velocity!$B:$B,$C33)/Assumptions!$B$4*Assumptions!$B$6</f>
        <v>6.25416666666667</v>
      </c>
      <c r="AT33" s="7" t="n">
        <f aca="false">SUMIFS(Doors!BF:BF,Doors!$A:$A,$D33,Doors!$B:$B,$B33,Doors!$C:$C,$C33)*SUMIFS(Velocity!$I:$I,Velocity!$A:$A,$A33,Velocity!$B:$B,$C33)/Assumptions!$B$4*Assumptions!$B$6</f>
        <v>6.25416666666667</v>
      </c>
      <c r="AU33" s="7" t="n">
        <f aca="false">SUMIFS(Doors!BG:BG,Doors!$A:$A,$D33,Doors!$B:$B,$B33,Doors!$C:$C,$C33)*SUMIFS(Velocity!$I:$I,Velocity!$A:$A,$A33,Velocity!$B:$B,$C33)/Assumptions!$B$4*Assumptions!$B$6</f>
        <v>6.25416666666667</v>
      </c>
      <c r="AV33" s="7" t="n">
        <f aca="false">SUMIFS(Doors!BH:BH,Doors!$A:$A,$D33,Doors!$B:$B,$B33,Doors!$C:$C,$C33)*SUMIFS(Velocity!$I:$I,Velocity!$A:$A,$A33,Velocity!$B:$B,$C33)/Assumptions!$B$4*Assumptions!$B$6</f>
        <v>6.25416666666667</v>
      </c>
      <c r="AW33" s="7" t="n">
        <f aca="false">SUMIFS(Doors!BI:BI,Doors!$A:$A,$D33,Doors!$B:$B,$B33,Doors!$C:$C,$C33)*SUMIFS(Velocity!$I:$I,Velocity!$A:$A,$A33,Velocity!$B:$B,$C33)/Assumptions!$B$4*Assumptions!$B$6</f>
        <v>6.9125</v>
      </c>
      <c r="AX33" s="7" t="n">
        <f aca="false">SUMIFS(Doors!BJ:BJ,Doors!$A:$A,$D33,Doors!$B:$B,$B33,Doors!$C:$C,$C33)*SUMIFS(Velocity!$I:$I,Velocity!$A:$A,$A33,Velocity!$B:$B,$C33)/Assumptions!$B$4*Assumptions!$B$6</f>
        <v>6.9125</v>
      </c>
      <c r="AY33" s="7" t="n">
        <f aca="false">SUMIFS(Doors!BK:BK,Doors!$A:$A,$D33,Doors!$B:$B,$B33,Doors!$C:$C,$C33)*SUMIFS(Velocity!$I:$I,Velocity!$A:$A,$A33,Velocity!$B:$B,$C33)/Assumptions!$B$4*Assumptions!$B$6</f>
        <v>6.9125</v>
      </c>
      <c r="AZ33" s="7" t="n">
        <f aca="false">SUMIFS(Doors!BL:BL,Doors!$A:$A,$D33,Doors!$B:$B,$B33,Doors!$C:$C,$C33)*SUMIFS(Velocity!$I:$I,Velocity!$A:$A,$A33,Velocity!$B:$B,$C33)/Assumptions!$B$4*Assumptions!$B$6</f>
        <v>6.9125</v>
      </c>
      <c r="BA33" s="7" t="n">
        <f aca="false">SUMIFS(Doors!BM:BM,Doors!$A:$A,$D33,Doors!$B:$B,$B33,Doors!$C:$C,$C33)*SUMIFS(Velocity!$I:$I,Velocity!$A:$A,$A33,Velocity!$B:$B,$C33)/Assumptions!$B$4*Assumptions!$B$6</f>
        <v>7.24166666666667</v>
      </c>
      <c r="BB33" s="7" t="n">
        <f aca="false">SUMIFS(Doors!BN:BN,Doors!$A:$A,$D33,Doors!$B:$B,$B33,Doors!$C:$C,$C33)*SUMIFS(Velocity!$I:$I,Velocity!$A:$A,$A33,Velocity!$B:$B,$C33)/Assumptions!$B$4*Assumptions!$B$6</f>
        <v>7.24166666666667</v>
      </c>
      <c r="BC33" s="7" t="n">
        <f aca="false">SUMIFS(Doors!BO:BO,Doors!$A:$A,$D33,Doors!$B:$B,$B33,Doors!$C:$C,$C33)*SUMIFS(Velocity!$I:$I,Velocity!$A:$A,$A33,Velocity!$B:$B,$C33)/Assumptions!$B$4*Assumptions!$B$6</f>
        <v>7.24166666666667</v>
      </c>
      <c r="BD33" s="7" t="n">
        <f aca="false">SUMIFS(Doors!BP:BP,Doors!$A:$A,$D33,Doors!$B:$B,$B33,Doors!$C:$C,$C33)*SUMIFS(Velocity!$I:$I,Velocity!$A:$A,$A33,Velocity!$B:$B,$C33)/Assumptions!$B$4*Assumptions!$B$6</f>
        <v>7.24166666666667</v>
      </c>
    </row>
    <row r="34" customFormat="false" ht="15" hidden="false" customHeight="false" outlineLevel="0" collapsed="false">
      <c r="A34" s="0" t="s">
        <v>108</v>
      </c>
      <c r="B34" s="0" t="s">
        <v>129</v>
      </c>
      <c r="C34" s="0" t="s">
        <v>116</v>
      </c>
      <c r="D34" s="0" t="s">
        <v>235</v>
      </c>
      <c r="E34" s="7" t="n">
        <f aca="false">SUMIFS(Doors!Q:Q,Doors!$A:$A,$D34,Doors!$B:$B,$B34,Doors!$C:$C,$C34)*SUMIFS(Velocity!$I:$I,Velocity!$A:$A,$A34,Velocity!$B:$B,$C34)/Assumptions!$B$4*Assumptions!$B$6</f>
        <v>0</v>
      </c>
      <c r="F34" s="7" t="n">
        <f aca="false">SUMIFS(Doors!R:R,Doors!$A:$A,$D34,Doors!$B:$B,$B34,Doors!$C:$C,$C34)*SUMIFS(Velocity!$I:$I,Velocity!$A:$A,$A34,Velocity!$B:$B,$C34)/Assumptions!$B$4*Assumptions!$B$6</f>
        <v>0</v>
      </c>
      <c r="G34" s="7" t="n">
        <f aca="false">SUMIFS(Doors!S:S,Doors!$A:$A,$D34,Doors!$B:$B,$B34,Doors!$C:$C,$C34)*SUMIFS(Velocity!$I:$I,Velocity!$A:$A,$A34,Velocity!$B:$B,$C34)/Assumptions!$B$4*Assumptions!$B$6</f>
        <v>0</v>
      </c>
      <c r="H34" s="7" t="n">
        <f aca="false">SUMIFS(Doors!T:T,Doors!$A:$A,$D34,Doors!$B:$B,$B34,Doors!$C:$C,$C34)*SUMIFS(Velocity!$I:$I,Velocity!$A:$A,$A34,Velocity!$B:$B,$C34)/Assumptions!$B$4*Assumptions!$B$6</f>
        <v>0</v>
      </c>
      <c r="I34" s="7" t="n">
        <f aca="false">SUMIFS(Doors!U:U,Doors!$A:$A,$D34,Doors!$B:$B,$B34,Doors!$C:$C,$C34)*SUMIFS(Velocity!$I:$I,Velocity!$A:$A,$A34,Velocity!$B:$B,$C34)/Assumptions!$B$4*Assumptions!$B$6</f>
        <v>0</v>
      </c>
      <c r="J34" s="7" t="n">
        <f aca="false">SUMIFS(Doors!V:V,Doors!$A:$A,$D34,Doors!$B:$B,$B34,Doors!$C:$C,$C34)*SUMIFS(Velocity!$I:$I,Velocity!$A:$A,$A34,Velocity!$B:$B,$C34)/Assumptions!$B$4*Assumptions!$B$6</f>
        <v>0</v>
      </c>
      <c r="K34" s="7" t="n">
        <f aca="false">SUMIFS(Doors!W:W,Doors!$A:$A,$D34,Doors!$B:$B,$B34,Doors!$C:$C,$C34)*SUMIFS(Velocity!$I:$I,Velocity!$A:$A,$A34,Velocity!$B:$B,$C34)/Assumptions!$B$4*Assumptions!$B$6</f>
        <v>0</v>
      </c>
      <c r="L34" s="7" t="n">
        <f aca="false">SUMIFS(Doors!X:X,Doors!$A:$A,$D34,Doors!$B:$B,$B34,Doors!$C:$C,$C34)*SUMIFS(Velocity!$I:$I,Velocity!$A:$A,$A34,Velocity!$B:$B,$C34)/Assumptions!$B$4*Assumptions!$B$6</f>
        <v>0</v>
      </c>
      <c r="M34" s="7" t="n">
        <f aca="false">SUMIFS(Doors!Y:Y,Doors!$A:$A,$D34,Doors!$B:$B,$B34,Doors!$C:$C,$C34)*SUMIFS(Velocity!$I:$I,Velocity!$A:$A,$A34,Velocity!$B:$B,$C34)/Assumptions!$B$4*Assumptions!$B$6</f>
        <v>0</v>
      </c>
      <c r="N34" s="7" t="n">
        <f aca="false">SUMIFS(Doors!Z:Z,Doors!$A:$A,$D34,Doors!$B:$B,$B34,Doors!$C:$C,$C34)*SUMIFS(Velocity!$I:$I,Velocity!$A:$A,$A34,Velocity!$B:$B,$C34)/Assumptions!$B$4*Assumptions!$B$6</f>
        <v>0.304166666666667</v>
      </c>
      <c r="O34" s="7" t="n">
        <f aca="false">SUMIFS(Doors!AA:AA,Doors!$A:$A,$D34,Doors!$B:$B,$B34,Doors!$C:$C,$C34)*SUMIFS(Velocity!$I:$I,Velocity!$A:$A,$A34,Velocity!$B:$B,$C34)/Assumptions!$B$4*Assumptions!$B$6</f>
        <v>0.304166666666667</v>
      </c>
      <c r="P34" s="7" t="n">
        <f aca="false">SUMIFS(Doors!AB:AB,Doors!$A:$A,$D34,Doors!$B:$B,$B34,Doors!$C:$C,$C34)*SUMIFS(Velocity!$I:$I,Velocity!$A:$A,$A34,Velocity!$B:$B,$C34)/Assumptions!$B$4*Assumptions!$B$6</f>
        <v>0.304166666666667</v>
      </c>
      <c r="Q34" s="7" t="n">
        <f aca="false">SUMIFS(Doors!AC:AC,Doors!$A:$A,$D34,Doors!$B:$B,$B34,Doors!$C:$C,$C34)*SUMIFS(Velocity!$I:$I,Velocity!$A:$A,$A34,Velocity!$B:$B,$C34)/Assumptions!$B$4*Assumptions!$B$6</f>
        <v>0.304166666666667</v>
      </c>
      <c r="R34" s="7" t="n">
        <f aca="false">SUMIFS(Doors!AD:AD,Doors!$A:$A,$D34,Doors!$B:$B,$B34,Doors!$C:$C,$C34)*SUMIFS(Velocity!$I:$I,Velocity!$A:$A,$A34,Velocity!$B:$B,$C34)/Assumptions!$B$4*Assumptions!$B$6</f>
        <v>0.608333333333333</v>
      </c>
      <c r="S34" s="7" t="n">
        <f aca="false">SUMIFS(Doors!AE:AE,Doors!$A:$A,$D34,Doors!$B:$B,$B34,Doors!$C:$C,$C34)*SUMIFS(Velocity!$I:$I,Velocity!$A:$A,$A34,Velocity!$B:$B,$C34)/Assumptions!$B$4*Assumptions!$B$6</f>
        <v>0.608333333333333</v>
      </c>
      <c r="T34" s="7" t="n">
        <f aca="false">SUMIFS(Doors!AF:AF,Doors!$A:$A,$D34,Doors!$B:$B,$B34,Doors!$C:$C,$C34)*SUMIFS(Velocity!$I:$I,Velocity!$A:$A,$A34,Velocity!$B:$B,$C34)/Assumptions!$B$4*Assumptions!$B$6</f>
        <v>0.608333333333333</v>
      </c>
      <c r="U34" s="7" t="n">
        <f aca="false">SUMIFS(Doors!AG:AG,Doors!$A:$A,$D34,Doors!$B:$B,$B34,Doors!$C:$C,$C34)*SUMIFS(Velocity!$I:$I,Velocity!$A:$A,$A34,Velocity!$B:$B,$C34)/Assumptions!$B$4*Assumptions!$B$6</f>
        <v>0.608333333333333</v>
      </c>
      <c r="V34" s="7" t="n">
        <f aca="false">SUMIFS(Doors!AH:AH,Doors!$A:$A,$D34,Doors!$B:$B,$B34,Doors!$C:$C,$C34)*SUMIFS(Velocity!$I:$I,Velocity!$A:$A,$A34,Velocity!$B:$B,$C34)/Assumptions!$B$4*Assumptions!$B$6</f>
        <v>0.608333333333333</v>
      </c>
      <c r="W34" s="7" t="n">
        <f aca="false">SUMIFS(Doors!AI:AI,Doors!$A:$A,$D34,Doors!$B:$B,$B34,Doors!$C:$C,$C34)*SUMIFS(Velocity!$I:$I,Velocity!$A:$A,$A34,Velocity!$B:$B,$C34)/Assumptions!$B$4*Assumptions!$B$6</f>
        <v>0.9125</v>
      </c>
      <c r="X34" s="7" t="n">
        <f aca="false">SUMIFS(Doors!AJ:AJ,Doors!$A:$A,$D34,Doors!$B:$B,$B34,Doors!$C:$C,$C34)*SUMIFS(Velocity!$I:$I,Velocity!$A:$A,$A34,Velocity!$B:$B,$C34)/Assumptions!$B$4*Assumptions!$B$6</f>
        <v>0.9125</v>
      </c>
      <c r="Y34" s="7" t="n">
        <f aca="false">SUMIFS(Doors!AK:AK,Doors!$A:$A,$D34,Doors!$B:$B,$B34,Doors!$C:$C,$C34)*SUMIFS(Velocity!$I:$I,Velocity!$A:$A,$A34,Velocity!$B:$B,$C34)/Assumptions!$B$4*Assumptions!$B$6</f>
        <v>0.9125</v>
      </c>
      <c r="Z34" s="7" t="n">
        <f aca="false">SUMIFS(Doors!AL:AL,Doors!$A:$A,$D34,Doors!$B:$B,$B34,Doors!$C:$C,$C34)*SUMIFS(Velocity!$I:$I,Velocity!$A:$A,$A34,Velocity!$B:$B,$C34)/Assumptions!$B$4*Assumptions!$B$6</f>
        <v>0.9125</v>
      </c>
      <c r="AA34" s="7" t="n">
        <f aca="false">SUMIFS(Doors!AM:AM,Doors!$A:$A,$D34,Doors!$B:$B,$B34,Doors!$C:$C,$C34)*SUMIFS(Velocity!$I:$I,Velocity!$A:$A,$A34,Velocity!$B:$B,$C34)/Assumptions!$B$4*Assumptions!$B$6</f>
        <v>1.52083333333333</v>
      </c>
      <c r="AB34" s="7" t="n">
        <f aca="false">SUMIFS(Doors!AN:AN,Doors!$A:$A,$D34,Doors!$B:$B,$B34,Doors!$C:$C,$C34)*SUMIFS(Velocity!$I:$I,Velocity!$A:$A,$A34,Velocity!$B:$B,$C34)/Assumptions!$B$4*Assumptions!$B$6</f>
        <v>1.52083333333333</v>
      </c>
      <c r="AC34" s="7" t="n">
        <f aca="false">SUMIFS(Doors!AO:AO,Doors!$A:$A,$D34,Doors!$B:$B,$B34,Doors!$C:$C,$C34)*SUMIFS(Velocity!$I:$I,Velocity!$A:$A,$A34,Velocity!$B:$B,$C34)/Assumptions!$B$4*Assumptions!$B$6</f>
        <v>1.52083333333333</v>
      </c>
      <c r="AD34" s="7" t="n">
        <f aca="false">SUMIFS(Doors!AP:AP,Doors!$A:$A,$D34,Doors!$B:$B,$B34,Doors!$C:$C,$C34)*SUMIFS(Velocity!$I:$I,Velocity!$A:$A,$A34,Velocity!$B:$B,$C34)/Assumptions!$B$4*Assumptions!$B$6</f>
        <v>1.52083333333333</v>
      </c>
      <c r="AE34" s="7" t="n">
        <f aca="false">SUMIFS(Doors!AQ:AQ,Doors!$A:$A,$D34,Doors!$B:$B,$B34,Doors!$C:$C,$C34)*SUMIFS(Velocity!$I:$I,Velocity!$A:$A,$A34,Velocity!$B:$B,$C34)/Assumptions!$B$4*Assumptions!$B$6</f>
        <v>2.12916666666667</v>
      </c>
      <c r="AF34" s="7" t="n">
        <f aca="false">SUMIFS(Doors!AR:AR,Doors!$A:$A,$D34,Doors!$B:$B,$B34,Doors!$C:$C,$C34)*SUMIFS(Velocity!$I:$I,Velocity!$A:$A,$A34,Velocity!$B:$B,$C34)/Assumptions!$B$4*Assumptions!$B$6</f>
        <v>2.12916666666667</v>
      </c>
      <c r="AG34" s="7" t="n">
        <f aca="false">SUMIFS(Doors!AS:AS,Doors!$A:$A,$D34,Doors!$B:$B,$B34,Doors!$C:$C,$C34)*SUMIFS(Velocity!$I:$I,Velocity!$A:$A,$A34,Velocity!$B:$B,$C34)/Assumptions!$B$4*Assumptions!$B$6</f>
        <v>2.12916666666667</v>
      </c>
      <c r="AH34" s="7" t="n">
        <f aca="false">SUMIFS(Doors!AT:AT,Doors!$A:$A,$D34,Doors!$B:$B,$B34,Doors!$C:$C,$C34)*SUMIFS(Velocity!$I:$I,Velocity!$A:$A,$A34,Velocity!$B:$B,$C34)/Assumptions!$B$4*Assumptions!$B$6</f>
        <v>2.12916666666667</v>
      </c>
      <c r="AI34" s="7" t="n">
        <f aca="false">SUMIFS(Doors!AU:AU,Doors!$A:$A,$D34,Doors!$B:$B,$B34,Doors!$C:$C,$C34)*SUMIFS(Velocity!$I:$I,Velocity!$A:$A,$A34,Velocity!$B:$B,$C34)/Assumptions!$B$4*Assumptions!$B$6</f>
        <v>2.12916666666667</v>
      </c>
      <c r="AJ34" s="7" t="n">
        <f aca="false">SUMIFS(Doors!AV:AV,Doors!$A:$A,$D34,Doors!$B:$B,$B34,Doors!$C:$C,$C34)*SUMIFS(Velocity!$I:$I,Velocity!$A:$A,$A34,Velocity!$B:$B,$C34)/Assumptions!$B$4*Assumptions!$B$6</f>
        <v>2.43333333333333</v>
      </c>
      <c r="AK34" s="7" t="n">
        <f aca="false">SUMIFS(Doors!AW:AW,Doors!$A:$A,$D34,Doors!$B:$B,$B34,Doors!$C:$C,$C34)*SUMIFS(Velocity!$I:$I,Velocity!$A:$A,$A34,Velocity!$B:$B,$C34)/Assumptions!$B$4*Assumptions!$B$6</f>
        <v>2.43333333333333</v>
      </c>
      <c r="AL34" s="7" t="n">
        <f aca="false">SUMIFS(Doors!AX:AX,Doors!$A:$A,$D34,Doors!$B:$B,$B34,Doors!$C:$C,$C34)*SUMIFS(Velocity!$I:$I,Velocity!$A:$A,$A34,Velocity!$B:$B,$C34)/Assumptions!$B$4*Assumptions!$B$6</f>
        <v>2.43333333333333</v>
      </c>
      <c r="AM34" s="7" t="n">
        <f aca="false">SUMIFS(Doors!AY:AY,Doors!$A:$A,$D34,Doors!$B:$B,$B34,Doors!$C:$C,$C34)*SUMIFS(Velocity!$I:$I,Velocity!$A:$A,$A34,Velocity!$B:$B,$C34)/Assumptions!$B$4*Assumptions!$B$6</f>
        <v>2.43333333333333</v>
      </c>
      <c r="AN34" s="7" t="n">
        <f aca="false">SUMIFS(Doors!AZ:AZ,Doors!$A:$A,$D34,Doors!$B:$B,$B34,Doors!$C:$C,$C34)*SUMIFS(Velocity!$I:$I,Velocity!$A:$A,$A34,Velocity!$B:$B,$C34)/Assumptions!$B$4*Assumptions!$B$6</f>
        <v>3.04166666666667</v>
      </c>
      <c r="AO34" s="7" t="n">
        <f aca="false">SUMIFS(Doors!BA:BA,Doors!$A:$A,$D34,Doors!$B:$B,$B34,Doors!$C:$C,$C34)*SUMIFS(Velocity!$I:$I,Velocity!$A:$A,$A34,Velocity!$B:$B,$C34)/Assumptions!$B$4*Assumptions!$B$6</f>
        <v>3.04166666666667</v>
      </c>
      <c r="AP34" s="7" t="n">
        <f aca="false">SUMIFS(Doors!BB:BB,Doors!$A:$A,$D34,Doors!$B:$B,$B34,Doors!$C:$C,$C34)*SUMIFS(Velocity!$I:$I,Velocity!$A:$A,$A34,Velocity!$B:$B,$C34)/Assumptions!$B$4*Assumptions!$B$6</f>
        <v>3.04166666666667</v>
      </c>
      <c r="AQ34" s="7" t="n">
        <f aca="false">SUMIFS(Doors!BC:BC,Doors!$A:$A,$D34,Doors!$B:$B,$B34,Doors!$C:$C,$C34)*SUMIFS(Velocity!$I:$I,Velocity!$A:$A,$A34,Velocity!$B:$B,$C34)/Assumptions!$B$4*Assumptions!$B$6</f>
        <v>3.04166666666667</v>
      </c>
      <c r="AR34" s="7" t="n">
        <f aca="false">SUMIFS(Doors!BD:BD,Doors!$A:$A,$D34,Doors!$B:$B,$B34,Doors!$C:$C,$C34)*SUMIFS(Velocity!$I:$I,Velocity!$A:$A,$A34,Velocity!$B:$B,$C34)/Assumptions!$B$4*Assumptions!$B$6</f>
        <v>3.34583333333333</v>
      </c>
      <c r="AS34" s="7" t="n">
        <f aca="false">SUMIFS(Doors!BE:BE,Doors!$A:$A,$D34,Doors!$B:$B,$B34,Doors!$C:$C,$C34)*SUMIFS(Velocity!$I:$I,Velocity!$A:$A,$A34,Velocity!$B:$B,$C34)/Assumptions!$B$4*Assumptions!$B$6</f>
        <v>3.34583333333333</v>
      </c>
      <c r="AT34" s="7" t="n">
        <f aca="false">SUMIFS(Doors!BF:BF,Doors!$A:$A,$D34,Doors!$B:$B,$B34,Doors!$C:$C,$C34)*SUMIFS(Velocity!$I:$I,Velocity!$A:$A,$A34,Velocity!$B:$B,$C34)/Assumptions!$B$4*Assumptions!$B$6</f>
        <v>3.34583333333333</v>
      </c>
      <c r="AU34" s="7" t="n">
        <f aca="false">SUMIFS(Doors!BG:BG,Doors!$A:$A,$D34,Doors!$B:$B,$B34,Doors!$C:$C,$C34)*SUMIFS(Velocity!$I:$I,Velocity!$A:$A,$A34,Velocity!$B:$B,$C34)/Assumptions!$B$4*Assumptions!$B$6</f>
        <v>3.34583333333333</v>
      </c>
      <c r="AV34" s="7" t="n">
        <f aca="false">SUMIFS(Doors!BH:BH,Doors!$A:$A,$D34,Doors!$B:$B,$B34,Doors!$C:$C,$C34)*SUMIFS(Velocity!$I:$I,Velocity!$A:$A,$A34,Velocity!$B:$B,$C34)/Assumptions!$B$4*Assumptions!$B$6</f>
        <v>3.34583333333333</v>
      </c>
      <c r="AW34" s="7" t="n">
        <f aca="false">SUMIFS(Doors!BI:BI,Doors!$A:$A,$D34,Doors!$B:$B,$B34,Doors!$C:$C,$C34)*SUMIFS(Velocity!$I:$I,Velocity!$A:$A,$A34,Velocity!$B:$B,$C34)/Assumptions!$B$4*Assumptions!$B$6</f>
        <v>3.65</v>
      </c>
      <c r="AX34" s="7" t="n">
        <f aca="false">SUMIFS(Doors!BJ:BJ,Doors!$A:$A,$D34,Doors!$B:$B,$B34,Doors!$C:$C,$C34)*SUMIFS(Velocity!$I:$I,Velocity!$A:$A,$A34,Velocity!$B:$B,$C34)/Assumptions!$B$4*Assumptions!$B$6</f>
        <v>3.65</v>
      </c>
      <c r="AY34" s="7" t="n">
        <f aca="false">SUMIFS(Doors!BK:BK,Doors!$A:$A,$D34,Doors!$B:$B,$B34,Doors!$C:$C,$C34)*SUMIFS(Velocity!$I:$I,Velocity!$A:$A,$A34,Velocity!$B:$B,$C34)/Assumptions!$B$4*Assumptions!$B$6</f>
        <v>3.65</v>
      </c>
      <c r="AZ34" s="7" t="n">
        <f aca="false">SUMIFS(Doors!BL:BL,Doors!$A:$A,$D34,Doors!$B:$B,$B34,Doors!$C:$C,$C34)*SUMIFS(Velocity!$I:$I,Velocity!$A:$A,$A34,Velocity!$B:$B,$C34)/Assumptions!$B$4*Assumptions!$B$6</f>
        <v>3.65</v>
      </c>
      <c r="BA34" s="7" t="n">
        <f aca="false">SUMIFS(Doors!BM:BM,Doors!$A:$A,$D34,Doors!$B:$B,$B34,Doors!$C:$C,$C34)*SUMIFS(Velocity!$I:$I,Velocity!$A:$A,$A34,Velocity!$B:$B,$C34)/Assumptions!$B$4*Assumptions!$B$6</f>
        <v>3.95416666666667</v>
      </c>
      <c r="BB34" s="7" t="n">
        <f aca="false">SUMIFS(Doors!BN:BN,Doors!$A:$A,$D34,Doors!$B:$B,$B34,Doors!$C:$C,$C34)*SUMIFS(Velocity!$I:$I,Velocity!$A:$A,$A34,Velocity!$B:$B,$C34)/Assumptions!$B$4*Assumptions!$B$6</f>
        <v>3.95416666666667</v>
      </c>
      <c r="BC34" s="7" t="n">
        <f aca="false">SUMIFS(Doors!BO:BO,Doors!$A:$A,$D34,Doors!$B:$B,$B34,Doors!$C:$C,$C34)*SUMIFS(Velocity!$I:$I,Velocity!$A:$A,$A34,Velocity!$B:$B,$C34)/Assumptions!$B$4*Assumptions!$B$6</f>
        <v>3.95416666666667</v>
      </c>
      <c r="BD34" s="7" t="n">
        <f aca="false">SUMIFS(Doors!BP:BP,Doors!$A:$A,$D34,Doors!$B:$B,$B34,Doors!$C:$C,$C34)*SUMIFS(Velocity!$I:$I,Velocity!$A:$A,$A34,Velocity!$B:$B,$C34)/Assumptions!$B$4*Assumptions!$B$6</f>
        <v>3.95416666666667</v>
      </c>
    </row>
    <row r="35" customFormat="false" ht="15" hidden="false" customHeight="false" outlineLevel="0" collapsed="false">
      <c r="A35" s="0" t="s">
        <v>108</v>
      </c>
      <c r="B35" s="0" t="s">
        <v>129</v>
      </c>
      <c r="C35" s="0" t="s">
        <v>117</v>
      </c>
      <c r="D35" s="0" t="s">
        <v>235</v>
      </c>
      <c r="E35" s="7" t="n">
        <f aca="false">SUMIFS(Doors!Q:Q,Doors!$A:$A,$D35,Doors!$B:$B,$B35,Doors!$C:$C,$C35)*SUMIFS(Velocity!$I:$I,Velocity!$A:$A,$A35,Velocity!$B:$B,$C35)/Assumptions!$B$4*Assumptions!$B$6</f>
        <v>0</v>
      </c>
      <c r="F35" s="7" t="n">
        <f aca="false">SUMIFS(Doors!R:R,Doors!$A:$A,$D35,Doors!$B:$B,$B35,Doors!$C:$C,$C35)*SUMIFS(Velocity!$I:$I,Velocity!$A:$A,$A35,Velocity!$B:$B,$C35)/Assumptions!$B$4*Assumptions!$B$6</f>
        <v>0</v>
      </c>
      <c r="G35" s="7" t="n">
        <f aca="false">SUMIFS(Doors!S:S,Doors!$A:$A,$D35,Doors!$B:$B,$B35,Doors!$C:$C,$C35)*SUMIFS(Velocity!$I:$I,Velocity!$A:$A,$A35,Velocity!$B:$B,$C35)/Assumptions!$B$4*Assumptions!$B$6</f>
        <v>0</v>
      </c>
      <c r="H35" s="7" t="n">
        <f aca="false">SUMIFS(Doors!T:T,Doors!$A:$A,$D35,Doors!$B:$B,$B35,Doors!$C:$C,$C35)*SUMIFS(Velocity!$I:$I,Velocity!$A:$A,$A35,Velocity!$B:$B,$C35)/Assumptions!$B$4*Assumptions!$B$6</f>
        <v>0</v>
      </c>
      <c r="I35" s="7" t="n">
        <f aca="false">SUMIFS(Doors!U:U,Doors!$A:$A,$D35,Doors!$B:$B,$B35,Doors!$C:$C,$C35)*SUMIFS(Velocity!$I:$I,Velocity!$A:$A,$A35,Velocity!$B:$B,$C35)/Assumptions!$B$4*Assumptions!$B$6</f>
        <v>0</v>
      </c>
      <c r="J35" s="7" t="n">
        <f aca="false">SUMIFS(Doors!V:V,Doors!$A:$A,$D35,Doors!$B:$B,$B35,Doors!$C:$C,$C35)*SUMIFS(Velocity!$I:$I,Velocity!$A:$A,$A35,Velocity!$B:$B,$C35)/Assumptions!$B$4*Assumptions!$B$6</f>
        <v>0</v>
      </c>
      <c r="K35" s="7" t="n">
        <f aca="false">SUMIFS(Doors!W:W,Doors!$A:$A,$D35,Doors!$B:$B,$B35,Doors!$C:$C,$C35)*SUMIFS(Velocity!$I:$I,Velocity!$A:$A,$A35,Velocity!$B:$B,$C35)/Assumptions!$B$4*Assumptions!$B$6</f>
        <v>0</v>
      </c>
      <c r="L35" s="7" t="n">
        <f aca="false">SUMIFS(Doors!X:X,Doors!$A:$A,$D35,Doors!$B:$B,$B35,Doors!$C:$C,$C35)*SUMIFS(Velocity!$I:$I,Velocity!$A:$A,$A35,Velocity!$B:$B,$C35)/Assumptions!$B$4*Assumptions!$B$6</f>
        <v>0</v>
      </c>
      <c r="M35" s="7" t="n">
        <f aca="false">SUMIFS(Doors!Y:Y,Doors!$A:$A,$D35,Doors!$B:$B,$B35,Doors!$C:$C,$C35)*SUMIFS(Velocity!$I:$I,Velocity!$A:$A,$A35,Velocity!$B:$B,$C35)/Assumptions!$B$4*Assumptions!$B$6</f>
        <v>0</v>
      </c>
      <c r="N35" s="7" t="n">
        <f aca="false">SUMIFS(Doors!Z:Z,Doors!$A:$A,$D35,Doors!$B:$B,$B35,Doors!$C:$C,$C35)*SUMIFS(Velocity!$I:$I,Velocity!$A:$A,$A35,Velocity!$B:$B,$C35)/Assumptions!$B$4*Assumptions!$B$6</f>
        <v>0</v>
      </c>
      <c r="O35" s="7" t="n">
        <f aca="false">SUMIFS(Doors!AA:AA,Doors!$A:$A,$D35,Doors!$B:$B,$B35,Doors!$C:$C,$C35)*SUMIFS(Velocity!$I:$I,Velocity!$A:$A,$A35,Velocity!$B:$B,$C35)/Assumptions!$B$4*Assumptions!$B$6</f>
        <v>0</v>
      </c>
      <c r="P35" s="7" t="n">
        <f aca="false">SUMIFS(Doors!AB:AB,Doors!$A:$A,$D35,Doors!$B:$B,$B35,Doors!$C:$C,$C35)*SUMIFS(Velocity!$I:$I,Velocity!$A:$A,$A35,Velocity!$B:$B,$C35)/Assumptions!$B$4*Assumptions!$B$6</f>
        <v>0</v>
      </c>
      <c r="Q35" s="7" t="n">
        <f aca="false">SUMIFS(Doors!AC:AC,Doors!$A:$A,$D35,Doors!$B:$B,$B35,Doors!$C:$C,$C35)*SUMIFS(Velocity!$I:$I,Velocity!$A:$A,$A35,Velocity!$B:$B,$C35)/Assumptions!$B$4*Assumptions!$B$6</f>
        <v>0</v>
      </c>
      <c r="R35" s="7" t="n">
        <f aca="false">SUMIFS(Doors!AD:AD,Doors!$A:$A,$D35,Doors!$B:$B,$B35,Doors!$C:$C,$C35)*SUMIFS(Velocity!$I:$I,Velocity!$A:$A,$A35,Velocity!$B:$B,$C35)/Assumptions!$B$4*Assumptions!$B$6</f>
        <v>0</v>
      </c>
      <c r="S35" s="7" t="n">
        <f aca="false">SUMIFS(Doors!AE:AE,Doors!$A:$A,$D35,Doors!$B:$B,$B35,Doors!$C:$C,$C35)*SUMIFS(Velocity!$I:$I,Velocity!$A:$A,$A35,Velocity!$B:$B,$C35)/Assumptions!$B$4*Assumptions!$B$6</f>
        <v>0</v>
      </c>
      <c r="T35" s="7" t="n">
        <f aca="false">SUMIFS(Doors!AF:AF,Doors!$A:$A,$D35,Doors!$B:$B,$B35,Doors!$C:$C,$C35)*SUMIFS(Velocity!$I:$I,Velocity!$A:$A,$A35,Velocity!$B:$B,$C35)/Assumptions!$B$4*Assumptions!$B$6</f>
        <v>0</v>
      </c>
      <c r="U35" s="7" t="n">
        <f aca="false">SUMIFS(Doors!AG:AG,Doors!$A:$A,$D35,Doors!$B:$B,$B35,Doors!$C:$C,$C35)*SUMIFS(Velocity!$I:$I,Velocity!$A:$A,$A35,Velocity!$B:$B,$C35)/Assumptions!$B$4*Assumptions!$B$6</f>
        <v>0</v>
      </c>
      <c r="V35" s="7" t="n">
        <f aca="false">SUMIFS(Doors!AH:AH,Doors!$A:$A,$D35,Doors!$B:$B,$B35,Doors!$C:$C,$C35)*SUMIFS(Velocity!$I:$I,Velocity!$A:$A,$A35,Velocity!$B:$B,$C35)/Assumptions!$B$4*Assumptions!$B$6</f>
        <v>0</v>
      </c>
      <c r="W35" s="7" t="n">
        <f aca="false">SUMIFS(Doors!AI:AI,Doors!$A:$A,$D35,Doors!$B:$B,$B35,Doors!$C:$C,$C35)*SUMIFS(Velocity!$I:$I,Velocity!$A:$A,$A35,Velocity!$B:$B,$C35)/Assumptions!$B$4*Assumptions!$B$6</f>
        <v>1.25833333333333</v>
      </c>
      <c r="X35" s="7" t="n">
        <f aca="false">SUMIFS(Doors!AJ:AJ,Doors!$A:$A,$D35,Doors!$B:$B,$B35,Doors!$C:$C,$C35)*SUMIFS(Velocity!$I:$I,Velocity!$A:$A,$A35,Velocity!$B:$B,$C35)/Assumptions!$B$4*Assumptions!$B$6</f>
        <v>1.25833333333333</v>
      </c>
      <c r="Y35" s="7" t="n">
        <f aca="false">SUMIFS(Doors!AK:AK,Doors!$A:$A,$D35,Doors!$B:$B,$B35,Doors!$C:$C,$C35)*SUMIFS(Velocity!$I:$I,Velocity!$A:$A,$A35,Velocity!$B:$B,$C35)/Assumptions!$B$4*Assumptions!$B$6</f>
        <v>1.25833333333333</v>
      </c>
      <c r="Z35" s="7" t="n">
        <f aca="false">SUMIFS(Doors!AL:AL,Doors!$A:$A,$D35,Doors!$B:$B,$B35,Doors!$C:$C,$C35)*SUMIFS(Velocity!$I:$I,Velocity!$A:$A,$A35,Velocity!$B:$B,$C35)/Assumptions!$B$4*Assumptions!$B$6</f>
        <v>1.25833333333333</v>
      </c>
      <c r="AA35" s="7" t="n">
        <f aca="false">SUMIFS(Doors!AM:AM,Doors!$A:$A,$D35,Doors!$B:$B,$B35,Doors!$C:$C,$C35)*SUMIFS(Velocity!$I:$I,Velocity!$A:$A,$A35,Velocity!$B:$B,$C35)/Assumptions!$B$4*Assumptions!$B$6</f>
        <v>2.51666666666667</v>
      </c>
      <c r="AB35" s="7" t="n">
        <f aca="false">SUMIFS(Doors!AN:AN,Doors!$A:$A,$D35,Doors!$B:$B,$B35,Doors!$C:$C,$C35)*SUMIFS(Velocity!$I:$I,Velocity!$A:$A,$A35,Velocity!$B:$B,$C35)/Assumptions!$B$4*Assumptions!$B$6</f>
        <v>2.51666666666667</v>
      </c>
      <c r="AC35" s="7" t="n">
        <f aca="false">SUMIFS(Doors!AO:AO,Doors!$A:$A,$D35,Doors!$B:$B,$B35,Doors!$C:$C,$C35)*SUMIFS(Velocity!$I:$I,Velocity!$A:$A,$A35,Velocity!$B:$B,$C35)/Assumptions!$B$4*Assumptions!$B$6</f>
        <v>2.51666666666667</v>
      </c>
      <c r="AD35" s="7" t="n">
        <f aca="false">SUMIFS(Doors!AP:AP,Doors!$A:$A,$D35,Doors!$B:$B,$B35,Doors!$C:$C,$C35)*SUMIFS(Velocity!$I:$I,Velocity!$A:$A,$A35,Velocity!$B:$B,$C35)/Assumptions!$B$4*Assumptions!$B$6</f>
        <v>2.51666666666667</v>
      </c>
      <c r="AE35" s="7" t="n">
        <f aca="false">SUMIFS(Doors!AQ:AQ,Doors!$A:$A,$D35,Doors!$B:$B,$B35,Doors!$C:$C,$C35)*SUMIFS(Velocity!$I:$I,Velocity!$A:$A,$A35,Velocity!$B:$B,$C35)/Assumptions!$B$4*Assumptions!$B$6</f>
        <v>3.775</v>
      </c>
      <c r="AF35" s="7" t="n">
        <f aca="false">SUMIFS(Doors!AR:AR,Doors!$A:$A,$D35,Doors!$B:$B,$B35,Doors!$C:$C,$C35)*SUMIFS(Velocity!$I:$I,Velocity!$A:$A,$A35,Velocity!$B:$B,$C35)/Assumptions!$B$4*Assumptions!$B$6</f>
        <v>3.775</v>
      </c>
      <c r="AG35" s="7" t="n">
        <f aca="false">SUMIFS(Doors!AS:AS,Doors!$A:$A,$D35,Doors!$B:$B,$B35,Doors!$C:$C,$C35)*SUMIFS(Velocity!$I:$I,Velocity!$A:$A,$A35,Velocity!$B:$B,$C35)/Assumptions!$B$4*Assumptions!$B$6</f>
        <v>3.775</v>
      </c>
      <c r="AH35" s="7" t="n">
        <f aca="false">SUMIFS(Doors!AT:AT,Doors!$A:$A,$D35,Doors!$B:$B,$B35,Doors!$C:$C,$C35)*SUMIFS(Velocity!$I:$I,Velocity!$A:$A,$A35,Velocity!$B:$B,$C35)/Assumptions!$B$4*Assumptions!$B$6</f>
        <v>3.775</v>
      </c>
      <c r="AI35" s="7" t="n">
        <f aca="false">SUMIFS(Doors!AU:AU,Doors!$A:$A,$D35,Doors!$B:$B,$B35,Doors!$C:$C,$C35)*SUMIFS(Velocity!$I:$I,Velocity!$A:$A,$A35,Velocity!$B:$B,$C35)/Assumptions!$B$4*Assumptions!$B$6</f>
        <v>3.775</v>
      </c>
      <c r="AJ35" s="7" t="n">
        <f aca="false">SUMIFS(Doors!AV:AV,Doors!$A:$A,$D35,Doors!$B:$B,$B35,Doors!$C:$C,$C35)*SUMIFS(Velocity!$I:$I,Velocity!$A:$A,$A35,Velocity!$B:$B,$C35)/Assumptions!$B$4*Assumptions!$B$6</f>
        <v>5.03333333333333</v>
      </c>
      <c r="AK35" s="7" t="n">
        <f aca="false">SUMIFS(Doors!AW:AW,Doors!$A:$A,$D35,Doors!$B:$B,$B35,Doors!$C:$C,$C35)*SUMIFS(Velocity!$I:$I,Velocity!$A:$A,$A35,Velocity!$B:$B,$C35)/Assumptions!$B$4*Assumptions!$B$6</f>
        <v>5.03333333333333</v>
      </c>
      <c r="AL35" s="7" t="n">
        <f aca="false">SUMIFS(Doors!AX:AX,Doors!$A:$A,$D35,Doors!$B:$B,$B35,Doors!$C:$C,$C35)*SUMIFS(Velocity!$I:$I,Velocity!$A:$A,$A35,Velocity!$B:$B,$C35)/Assumptions!$B$4*Assumptions!$B$6</f>
        <v>5.03333333333333</v>
      </c>
      <c r="AM35" s="7" t="n">
        <f aca="false">SUMIFS(Doors!AY:AY,Doors!$A:$A,$D35,Doors!$B:$B,$B35,Doors!$C:$C,$C35)*SUMIFS(Velocity!$I:$I,Velocity!$A:$A,$A35,Velocity!$B:$B,$C35)/Assumptions!$B$4*Assumptions!$B$6</f>
        <v>5.03333333333333</v>
      </c>
      <c r="AN35" s="7" t="n">
        <f aca="false">SUMIFS(Doors!AZ:AZ,Doors!$A:$A,$D35,Doors!$B:$B,$B35,Doors!$C:$C,$C35)*SUMIFS(Velocity!$I:$I,Velocity!$A:$A,$A35,Velocity!$B:$B,$C35)/Assumptions!$B$4*Assumptions!$B$6</f>
        <v>6.29166666666667</v>
      </c>
      <c r="AO35" s="7" t="n">
        <f aca="false">SUMIFS(Doors!BA:BA,Doors!$A:$A,$D35,Doors!$B:$B,$B35,Doors!$C:$C,$C35)*SUMIFS(Velocity!$I:$I,Velocity!$A:$A,$A35,Velocity!$B:$B,$C35)/Assumptions!$B$4*Assumptions!$B$6</f>
        <v>6.29166666666667</v>
      </c>
      <c r="AP35" s="7" t="n">
        <f aca="false">SUMIFS(Doors!BB:BB,Doors!$A:$A,$D35,Doors!$B:$B,$B35,Doors!$C:$C,$C35)*SUMIFS(Velocity!$I:$I,Velocity!$A:$A,$A35,Velocity!$B:$B,$C35)/Assumptions!$B$4*Assumptions!$B$6</f>
        <v>6.29166666666667</v>
      </c>
      <c r="AQ35" s="7" t="n">
        <f aca="false">SUMIFS(Doors!BC:BC,Doors!$A:$A,$D35,Doors!$B:$B,$B35,Doors!$C:$C,$C35)*SUMIFS(Velocity!$I:$I,Velocity!$A:$A,$A35,Velocity!$B:$B,$C35)/Assumptions!$B$4*Assumptions!$B$6</f>
        <v>6.29166666666667</v>
      </c>
      <c r="AR35" s="7" t="n">
        <f aca="false">SUMIFS(Doors!BD:BD,Doors!$A:$A,$D35,Doors!$B:$B,$B35,Doors!$C:$C,$C35)*SUMIFS(Velocity!$I:$I,Velocity!$A:$A,$A35,Velocity!$B:$B,$C35)/Assumptions!$B$4*Assumptions!$B$6</f>
        <v>7.55</v>
      </c>
      <c r="AS35" s="7" t="n">
        <f aca="false">SUMIFS(Doors!BE:BE,Doors!$A:$A,$D35,Doors!$B:$B,$B35,Doors!$C:$C,$C35)*SUMIFS(Velocity!$I:$I,Velocity!$A:$A,$A35,Velocity!$B:$B,$C35)/Assumptions!$B$4*Assumptions!$B$6</f>
        <v>7.55</v>
      </c>
      <c r="AT35" s="7" t="n">
        <f aca="false">SUMIFS(Doors!BF:BF,Doors!$A:$A,$D35,Doors!$B:$B,$B35,Doors!$C:$C,$C35)*SUMIFS(Velocity!$I:$I,Velocity!$A:$A,$A35,Velocity!$B:$B,$C35)/Assumptions!$B$4*Assumptions!$B$6</f>
        <v>7.55</v>
      </c>
      <c r="AU35" s="7" t="n">
        <f aca="false">SUMIFS(Doors!BG:BG,Doors!$A:$A,$D35,Doors!$B:$B,$B35,Doors!$C:$C,$C35)*SUMIFS(Velocity!$I:$I,Velocity!$A:$A,$A35,Velocity!$B:$B,$C35)/Assumptions!$B$4*Assumptions!$B$6</f>
        <v>7.55</v>
      </c>
      <c r="AV35" s="7" t="n">
        <f aca="false">SUMIFS(Doors!BH:BH,Doors!$A:$A,$D35,Doors!$B:$B,$B35,Doors!$C:$C,$C35)*SUMIFS(Velocity!$I:$I,Velocity!$A:$A,$A35,Velocity!$B:$B,$C35)/Assumptions!$B$4*Assumptions!$B$6</f>
        <v>7.55</v>
      </c>
      <c r="AW35" s="7" t="n">
        <f aca="false">SUMIFS(Doors!BI:BI,Doors!$A:$A,$D35,Doors!$B:$B,$B35,Doors!$C:$C,$C35)*SUMIFS(Velocity!$I:$I,Velocity!$A:$A,$A35,Velocity!$B:$B,$C35)/Assumptions!$B$4*Assumptions!$B$6</f>
        <v>8.17916666666667</v>
      </c>
      <c r="AX35" s="7" t="n">
        <f aca="false">SUMIFS(Doors!BJ:BJ,Doors!$A:$A,$D35,Doors!$B:$B,$B35,Doors!$C:$C,$C35)*SUMIFS(Velocity!$I:$I,Velocity!$A:$A,$A35,Velocity!$B:$B,$C35)/Assumptions!$B$4*Assumptions!$B$6</f>
        <v>8.17916666666667</v>
      </c>
      <c r="AY35" s="7" t="n">
        <f aca="false">SUMIFS(Doors!BK:BK,Doors!$A:$A,$D35,Doors!$B:$B,$B35,Doors!$C:$C,$C35)*SUMIFS(Velocity!$I:$I,Velocity!$A:$A,$A35,Velocity!$B:$B,$C35)/Assumptions!$B$4*Assumptions!$B$6</f>
        <v>8.17916666666667</v>
      </c>
      <c r="AZ35" s="7" t="n">
        <f aca="false">SUMIFS(Doors!BL:BL,Doors!$A:$A,$D35,Doors!$B:$B,$B35,Doors!$C:$C,$C35)*SUMIFS(Velocity!$I:$I,Velocity!$A:$A,$A35,Velocity!$B:$B,$C35)/Assumptions!$B$4*Assumptions!$B$6</f>
        <v>8.17916666666667</v>
      </c>
      <c r="BA35" s="7" t="n">
        <f aca="false">SUMIFS(Doors!BM:BM,Doors!$A:$A,$D35,Doors!$B:$B,$B35,Doors!$C:$C,$C35)*SUMIFS(Velocity!$I:$I,Velocity!$A:$A,$A35,Velocity!$B:$B,$C35)/Assumptions!$B$4*Assumptions!$B$6</f>
        <v>8.80833333333333</v>
      </c>
      <c r="BB35" s="7" t="n">
        <f aca="false">SUMIFS(Doors!BN:BN,Doors!$A:$A,$D35,Doors!$B:$B,$B35,Doors!$C:$C,$C35)*SUMIFS(Velocity!$I:$I,Velocity!$A:$A,$A35,Velocity!$B:$B,$C35)/Assumptions!$B$4*Assumptions!$B$6</f>
        <v>8.80833333333333</v>
      </c>
      <c r="BC35" s="7" t="n">
        <f aca="false">SUMIFS(Doors!BO:BO,Doors!$A:$A,$D35,Doors!$B:$B,$B35,Doors!$C:$C,$C35)*SUMIFS(Velocity!$I:$I,Velocity!$A:$A,$A35,Velocity!$B:$B,$C35)/Assumptions!$B$4*Assumptions!$B$6</f>
        <v>8.80833333333333</v>
      </c>
      <c r="BD35" s="7" t="n">
        <f aca="false">SUMIFS(Doors!BP:BP,Doors!$A:$A,$D35,Doors!$B:$B,$B35,Doors!$C:$C,$C35)*SUMIFS(Velocity!$I:$I,Velocity!$A:$A,$A35,Velocity!$B:$B,$C35)/Assumptions!$B$4*Assumptions!$B$6</f>
        <v>8.80833333333333</v>
      </c>
    </row>
    <row r="36" customFormat="false" ht="15" hidden="false" customHeight="false" outlineLevel="0" collapsed="false">
      <c r="A36" s="0" t="s">
        <v>108</v>
      </c>
      <c r="B36" s="0" t="s">
        <v>129</v>
      </c>
      <c r="C36" s="0" t="s">
        <v>118</v>
      </c>
      <c r="D36" s="0" t="s">
        <v>235</v>
      </c>
      <c r="E36" s="7" t="n">
        <f aca="false">SUMIFS(Doors!Q:Q,Doors!$A:$A,$D36,Doors!$B:$B,$B36,Doors!$C:$C,$C36)*SUMIFS(Velocity!$I:$I,Velocity!$A:$A,$A36,Velocity!$B:$B,$C36)/Assumptions!$B$4*Assumptions!$B$6</f>
        <v>0</v>
      </c>
      <c r="F36" s="7" t="n">
        <f aca="false">SUMIFS(Doors!R:R,Doors!$A:$A,$D36,Doors!$B:$B,$B36,Doors!$C:$C,$C36)*SUMIFS(Velocity!$I:$I,Velocity!$A:$A,$A36,Velocity!$B:$B,$C36)/Assumptions!$B$4*Assumptions!$B$6</f>
        <v>0</v>
      </c>
      <c r="G36" s="7" t="n">
        <f aca="false">SUMIFS(Doors!S:S,Doors!$A:$A,$D36,Doors!$B:$B,$B36,Doors!$C:$C,$C36)*SUMIFS(Velocity!$I:$I,Velocity!$A:$A,$A36,Velocity!$B:$B,$C36)/Assumptions!$B$4*Assumptions!$B$6</f>
        <v>0</v>
      </c>
      <c r="H36" s="7" t="n">
        <f aca="false">SUMIFS(Doors!T:T,Doors!$A:$A,$D36,Doors!$B:$B,$B36,Doors!$C:$C,$C36)*SUMIFS(Velocity!$I:$I,Velocity!$A:$A,$A36,Velocity!$B:$B,$C36)/Assumptions!$B$4*Assumptions!$B$6</f>
        <v>0</v>
      </c>
      <c r="I36" s="7" t="n">
        <f aca="false">SUMIFS(Doors!U:U,Doors!$A:$A,$D36,Doors!$B:$B,$B36,Doors!$C:$C,$C36)*SUMIFS(Velocity!$I:$I,Velocity!$A:$A,$A36,Velocity!$B:$B,$C36)/Assumptions!$B$4*Assumptions!$B$6</f>
        <v>0</v>
      </c>
      <c r="J36" s="7" t="n">
        <f aca="false">SUMIFS(Doors!V:V,Doors!$A:$A,$D36,Doors!$B:$B,$B36,Doors!$C:$C,$C36)*SUMIFS(Velocity!$I:$I,Velocity!$A:$A,$A36,Velocity!$B:$B,$C36)/Assumptions!$B$4*Assumptions!$B$6</f>
        <v>0</v>
      </c>
      <c r="K36" s="7" t="n">
        <f aca="false">SUMIFS(Doors!W:W,Doors!$A:$A,$D36,Doors!$B:$B,$B36,Doors!$C:$C,$C36)*SUMIFS(Velocity!$I:$I,Velocity!$A:$A,$A36,Velocity!$B:$B,$C36)/Assumptions!$B$4*Assumptions!$B$6</f>
        <v>0</v>
      </c>
      <c r="L36" s="7" t="n">
        <f aca="false">SUMIFS(Doors!X:X,Doors!$A:$A,$D36,Doors!$B:$B,$B36,Doors!$C:$C,$C36)*SUMIFS(Velocity!$I:$I,Velocity!$A:$A,$A36,Velocity!$B:$B,$C36)/Assumptions!$B$4*Assumptions!$B$6</f>
        <v>0</v>
      </c>
      <c r="M36" s="7" t="n">
        <f aca="false">SUMIFS(Doors!Y:Y,Doors!$A:$A,$D36,Doors!$B:$B,$B36,Doors!$C:$C,$C36)*SUMIFS(Velocity!$I:$I,Velocity!$A:$A,$A36,Velocity!$B:$B,$C36)/Assumptions!$B$4*Assumptions!$B$6</f>
        <v>0</v>
      </c>
      <c r="N36" s="7" t="n">
        <f aca="false">SUMIFS(Doors!Z:Z,Doors!$A:$A,$D36,Doors!$B:$B,$B36,Doors!$C:$C,$C36)*SUMIFS(Velocity!$I:$I,Velocity!$A:$A,$A36,Velocity!$B:$B,$C36)/Assumptions!$B$4*Assumptions!$B$6</f>
        <v>0</v>
      </c>
      <c r="O36" s="7" t="n">
        <f aca="false">SUMIFS(Doors!AA:AA,Doors!$A:$A,$D36,Doors!$B:$B,$B36,Doors!$C:$C,$C36)*SUMIFS(Velocity!$I:$I,Velocity!$A:$A,$A36,Velocity!$B:$B,$C36)/Assumptions!$B$4*Assumptions!$B$6</f>
        <v>0</v>
      </c>
      <c r="P36" s="7" t="n">
        <f aca="false">SUMIFS(Doors!AB:AB,Doors!$A:$A,$D36,Doors!$B:$B,$B36,Doors!$C:$C,$C36)*SUMIFS(Velocity!$I:$I,Velocity!$A:$A,$A36,Velocity!$B:$B,$C36)/Assumptions!$B$4*Assumptions!$B$6</f>
        <v>0</v>
      </c>
      <c r="Q36" s="7" t="n">
        <f aca="false">SUMIFS(Doors!AC:AC,Doors!$A:$A,$D36,Doors!$B:$B,$B36,Doors!$C:$C,$C36)*SUMIFS(Velocity!$I:$I,Velocity!$A:$A,$A36,Velocity!$B:$B,$C36)/Assumptions!$B$4*Assumptions!$B$6</f>
        <v>0</v>
      </c>
      <c r="R36" s="7" t="n">
        <f aca="false">SUMIFS(Doors!AD:AD,Doors!$A:$A,$D36,Doors!$B:$B,$B36,Doors!$C:$C,$C36)*SUMIFS(Velocity!$I:$I,Velocity!$A:$A,$A36,Velocity!$B:$B,$C36)/Assumptions!$B$4*Assumptions!$B$6</f>
        <v>0</v>
      </c>
      <c r="S36" s="7" t="n">
        <f aca="false">SUMIFS(Doors!AE:AE,Doors!$A:$A,$D36,Doors!$B:$B,$B36,Doors!$C:$C,$C36)*SUMIFS(Velocity!$I:$I,Velocity!$A:$A,$A36,Velocity!$B:$B,$C36)/Assumptions!$B$4*Assumptions!$B$6</f>
        <v>0</v>
      </c>
      <c r="T36" s="7" t="n">
        <f aca="false">SUMIFS(Doors!AF:AF,Doors!$A:$A,$D36,Doors!$B:$B,$B36,Doors!$C:$C,$C36)*SUMIFS(Velocity!$I:$I,Velocity!$A:$A,$A36,Velocity!$B:$B,$C36)/Assumptions!$B$4*Assumptions!$B$6</f>
        <v>0</v>
      </c>
      <c r="U36" s="7" t="n">
        <f aca="false">SUMIFS(Doors!AG:AG,Doors!$A:$A,$D36,Doors!$B:$B,$B36,Doors!$C:$C,$C36)*SUMIFS(Velocity!$I:$I,Velocity!$A:$A,$A36,Velocity!$B:$B,$C36)/Assumptions!$B$4*Assumptions!$B$6</f>
        <v>0</v>
      </c>
      <c r="V36" s="7" t="n">
        <f aca="false">SUMIFS(Doors!AH:AH,Doors!$A:$A,$D36,Doors!$B:$B,$B36,Doors!$C:$C,$C36)*SUMIFS(Velocity!$I:$I,Velocity!$A:$A,$A36,Velocity!$B:$B,$C36)/Assumptions!$B$4*Assumptions!$B$6</f>
        <v>0</v>
      </c>
      <c r="W36" s="7" t="n">
        <f aca="false">SUMIFS(Doors!AI:AI,Doors!$A:$A,$D36,Doors!$B:$B,$B36,Doors!$C:$C,$C36)*SUMIFS(Velocity!$I:$I,Velocity!$A:$A,$A36,Velocity!$B:$B,$C36)/Assumptions!$B$4*Assumptions!$B$6</f>
        <v>0</v>
      </c>
      <c r="X36" s="7" t="n">
        <f aca="false">SUMIFS(Doors!AJ:AJ,Doors!$A:$A,$D36,Doors!$B:$B,$B36,Doors!$C:$C,$C36)*SUMIFS(Velocity!$I:$I,Velocity!$A:$A,$A36,Velocity!$B:$B,$C36)/Assumptions!$B$4*Assumptions!$B$6</f>
        <v>0</v>
      </c>
      <c r="Y36" s="7" t="n">
        <f aca="false">SUMIFS(Doors!AK:AK,Doors!$A:$A,$D36,Doors!$B:$B,$B36,Doors!$C:$C,$C36)*SUMIFS(Velocity!$I:$I,Velocity!$A:$A,$A36,Velocity!$B:$B,$C36)/Assumptions!$B$4*Assumptions!$B$6</f>
        <v>0</v>
      </c>
      <c r="Z36" s="7" t="n">
        <f aca="false">SUMIFS(Doors!AL:AL,Doors!$A:$A,$D36,Doors!$B:$B,$B36,Doors!$C:$C,$C36)*SUMIFS(Velocity!$I:$I,Velocity!$A:$A,$A36,Velocity!$B:$B,$C36)/Assumptions!$B$4*Assumptions!$B$6</f>
        <v>0</v>
      </c>
      <c r="AA36" s="7" t="n">
        <f aca="false">SUMIFS(Doors!AM:AM,Doors!$A:$A,$D36,Doors!$B:$B,$B36,Doors!$C:$C,$C36)*SUMIFS(Velocity!$I:$I,Velocity!$A:$A,$A36,Velocity!$B:$B,$C36)/Assumptions!$B$4*Assumptions!$B$6</f>
        <v>0</v>
      </c>
      <c r="AB36" s="7" t="n">
        <f aca="false">SUMIFS(Doors!AN:AN,Doors!$A:$A,$D36,Doors!$B:$B,$B36,Doors!$C:$C,$C36)*SUMIFS(Velocity!$I:$I,Velocity!$A:$A,$A36,Velocity!$B:$B,$C36)/Assumptions!$B$4*Assumptions!$B$6</f>
        <v>0</v>
      </c>
      <c r="AC36" s="7" t="n">
        <f aca="false">SUMIFS(Doors!AO:AO,Doors!$A:$A,$D36,Doors!$B:$B,$B36,Doors!$C:$C,$C36)*SUMIFS(Velocity!$I:$I,Velocity!$A:$A,$A36,Velocity!$B:$B,$C36)/Assumptions!$B$4*Assumptions!$B$6</f>
        <v>0</v>
      </c>
      <c r="AD36" s="7" t="n">
        <f aca="false">SUMIFS(Doors!AP:AP,Doors!$A:$A,$D36,Doors!$B:$B,$B36,Doors!$C:$C,$C36)*SUMIFS(Velocity!$I:$I,Velocity!$A:$A,$A36,Velocity!$B:$B,$C36)/Assumptions!$B$4*Assumptions!$B$6</f>
        <v>0</v>
      </c>
      <c r="AE36" s="7" t="n">
        <f aca="false">SUMIFS(Doors!AQ:AQ,Doors!$A:$A,$D36,Doors!$B:$B,$B36,Doors!$C:$C,$C36)*SUMIFS(Velocity!$I:$I,Velocity!$A:$A,$A36,Velocity!$B:$B,$C36)/Assumptions!$B$4*Assumptions!$B$6</f>
        <v>0</v>
      </c>
      <c r="AF36" s="7" t="n">
        <f aca="false">SUMIFS(Doors!AR:AR,Doors!$A:$A,$D36,Doors!$B:$B,$B36,Doors!$C:$C,$C36)*SUMIFS(Velocity!$I:$I,Velocity!$A:$A,$A36,Velocity!$B:$B,$C36)/Assumptions!$B$4*Assumptions!$B$6</f>
        <v>0</v>
      </c>
      <c r="AG36" s="7" t="n">
        <f aca="false">SUMIFS(Doors!AS:AS,Doors!$A:$A,$D36,Doors!$B:$B,$B36,Doors!$C:$C,$C36)*SUMIFS(Velocity!$I:$I,Velocity!$A:$A,$A36,Velocity!$B:$B,$C36)/Assumptions!$B$4*Assumptions!$B$6</f>
        <v>0</v>
      </c>
      <c r="AH36" s="7" t="n">
        <f aca="false">SUMIFS(Doors!AT:AT,Doors!$A:$A,$D36,Doors!$B:$B,$B36,Doors!$C:$C,$C36)*SUMIFS(Velocity!$I:$I,Velocity!$A:$A,$A36,Velocity!$B:$B,$C36)/Assumptions!$B$4*Assumptions!$B$6</f>
        <v>0</v>
      </c>
      <c r="AI36" s="7" t="n">
        <f aca="false">SUMIFS(Doors!AU:AU,Doors!$A:$A,$D36,Doors!$B:$B,$B36,Doors!$C:$C,$C36)*SUMIFS(Velocity!$I:$I,Velocity!$A:$A,$A36,Velocity!$B:$B,$C36)/Assumptions!$B$4*Assumptions!$B$6</f>
        <v>0</v>
      </c>
      <c r="AJ36" s="7" t="n">
        <f aca="false">SUMIFS(Doors!AV:AV,Doors!$A:$A,$D36,Doors!$B:$B,$B36,Doors!$C:$C,$C36)*SUMIFS(Velocity!$I:$I,Velocity!$A:$A,$A36,Velocity!$B:$B,$C36)/Assumptions!$B$4*Assumptions!$B$6</f>
        <v>0</v>
      </c>
      <c r="AK36" s="7" t="n">
        <f aca="false">SUMIFS(Doors!AW:AW,Doors!$A:$A,$D36,Doors!$B:$B,$B36,Doors!$C:$C,$C36)*SUMIFS(Velocity!$I:$I,Velocity!$A:$A,$A36,Velocity!$B:$B,$C36)/Assumptions!$B$4*Assumptions!$B$6</f>
        <v>0</v>
      </c>
      <c r="AL36" s="7" t="n">
        <f aca="false">SUMIFS(Doors!AX:AX,Doors!$A:$A,$D36,Doors!$B:$B,$B36,Doors!$C:$C,$C36)*SUMIFS(Velocity!$I:$I,Velocity!$A:$A,$A36,Velocity!$B:$B,$C36)/Assumptions!$B$4*Assumptions!$B$6</f>
        <v>0</v>
      </c>
      <c r="AM36" s="7" t="n">
        <f aca="false">SUMIFS(Doors!AY:AY,Doors!$A:$A,$D36,Doors!$B:$B,$B36,Doors!$C:$C,$C36)*SUMIFS(Velocity!$I:$I,Velocity!$A:$A,$A36,Velocity!$B:$B,$C36)/Assumptions!$B$4*Assumptions!$B$6</f>
        <v>0</v>
      </c>
      <c r="AN36" s="7" t="n">
        <f aca="false">SUMIFS(Doors!AZ:AZ,Doors!$A:$A,$D36,Doors!$B:$B,$B36,Doors!$C:$C,$C36)*SUMIFS(Velocity!$I:$I,Velocity!$A:$A,$A36,Velocity!$B:$B,$C36)/Assumptions!$B$4*Assumptions!$B$6</f>
        <v>0</v>
      </c>
      <c r="AO36" s="7" t="n">
        <f aca="false">SUMIFS(Doors!BA:BA,Doors!$A:$A,$D36,Doors!$B:$B,$B36,Doors!$C:$C,$C36)*SUMIFS(Velocity!$I:$I,Velocity!$A:$A,$A36,Velocity!$B:$B,$C36)/Assumptions!$B$4*Assumptions!$B$6</f>
        <v>0</v>
      </c>
      <c r="AP36" s="7" t="n">
        <f aca="false">SUMIFS(Doors!BB:BB,Doors!$A:$A,$D36,Doors!$B:$B,$B36,Doors!$C:$C,$C36)*SUMIFS(Velocity!$I:$I,Velocity!$A:$A,$A36,Velocity!$B:$B,$C36)/Assumptions!$B$4*Assumptions!$B$6</f>
        <v>0</v>
      </c>
      <c r="AQ36" s="7" t="n">
        <f aca="false">SUMIFS(Doors!BC:BC,Doors!$A:$A,$D36,Doors!$B:$B,$B36,Doors!$C:$C,$C36)*SUMIFS(Velocity!$I:$I,Velocity!$A:$A,$A36,Velocity!$B:$B,$C36)/Assumptions!$B$4*Assumptions!$B$6</f>
        <v>0</v>
      </c>
      <c r="AR36" s="7" t="n">
        <f aca="false">SUMIFS(Doors!BD:BD,Doors!$A:$A,$D36,Doors!$B:$B,$B36,Doors!$C:$C,$C36)*SUMIFS(Velocity!$I:$I,Velocity!$A:$A,$A36,Velocity!$B:$B,$C36)/Assumptions!$B$4*Assumptions!$B$6</f>
        <v>30.6666666666667</v>
      </c>
      <c r="AS36" s="7" t="n">
        <f aca="false">SUMIFS(Doors!BE:BE,Doors!$A:$A,$D36,Doors!$B:$B,$B36,Doors!$C:$C,$C36)*SUMIFS(Velocity!$I:$I,Velocity!$A:$A,$A36,Velocity!$B:$B,$C36)/Assumptions!$B$4*Assumptions!$B$6</f>
        <v>30.6666666666667</v>
      </c>
      <c r="AT36" s="7" t="n">
        <f aca="false">SUMIFS(Doors!BF:BF,Doors!$A:$A,$D36,Doors!$B:$B,$B36,Doors!$C:$C,$C36)*SUMIFS(Velocity!$I:$I,Velocity!$A:$A,$A36,Velocity!$B:$B,$C36)/Assumptions!$B$4*Assumptions!$B$6</f>
        <v>30.6666666666667</v>
      </c>
      <c r="AU36" s="7" t="n">
        <f aca="false">SUMIFS(Doors!BG:BG,Doors!$A:$A,$D36,Doors!$B:$B,$B36,Doors!$C:$C,$C36)*SUMIFS(Velocity!$I:$I,Velocity!$A:$A,$A36,Velocity!$B:$B,$C36)/Assumptions!$B$4*Assumptions!$B$6</f>
        <v>30.6666666666667</v>
      </c>
      <c r="AV36" s="7" t="n">
        <f aca="false">SUMIFS(Doors!BH:BH,Doors!$A:$A,$D36,Doors!$B:$B,$B36,Doors!$C:$C,$C36)*SUMIFS(Velocity!$I:$I,Velocity!$A:$A,$A36,Velocity!$B:$B,$C36)/Assumptions!$B$4*Assumptions!$B$6</f>
        <v>30.6666666666667</v>
      </c>
      <c r="AW36" s="7" t="n">
        <f aca="false">SUMIFS(Doors!BI:BI,Doors!$A:$A,$D36,Doors!$B:$B,$B36,Doors!$C:$C,$C36)*SUMIFS(Velocity!$I:$I,Velocity!$A:$A,$A36,Velocity!$B:$B,$C36)/Assumptions!$B$4*Assumptions!$B$6</f>
        <v>38.3333333333333</v>
      </c>
      <c r="AX36" s="7" t="n">
        <f aca="false">SUMIFS(Doors!BJ:BJ,Doors!$A:$A,$D36,Doors!$B:$B,$B36,Doors!$C:$C,$C36)*SUMIFS(Velocity!$I:$I,Velocity!$A:$A,$A36,Velocity!$B:$B,$C36)/Assumptions!$B$4*Assumptions!$B$6</f>
        <v>38.3333333333333</v>
      </c>
      <c r="AY36" s="7" t="n">
        <f aca="false">SUMIFS(Doors!BK:BK,Doors!$A:$A,$D36,Doors!$B:$B,$B36,Doors!$C:$C,$C36)*SUMIFS(Velocity!$I:$I,Velocity!$A:$A,$A36,Velocity!$B:$B,$C36)/Assumptions!$B$4*Assumptions!$B$6</f>
        <v>38.3333333333333</v>
      </c>
      <c r="AZ36" s="7" t="n">
        <f aca="false">SUMIFS(Doors!BL:BL,Doors!$A:$A,$D36,Doors!$B:$B,$B36,Doors!$C:$C,$C36)*SUMIFS(Velocity!$I:$I,Velocity!$A:$A,$A36,Velocity!$B:$B,$C36)/Assumptions!$B$4*Assumptions!$B$6</f>
        <v>38.3333333333333</v>
      </c>
      <c r="BA36" s="7" t="n">
        <f aca="false">SUMIFS(Doors!BM:BM,Doors!$A:$A,$D36,Doors!$B:$B,$B36,Doors!$C:$C,$C36)*SUMIFS(Velocity!$I:$I,Velocity!$A:$A,$A36,Velocity!$B:$B,$C36)/Assumptions!$B$4*Assumptions!$B$6</f>
        <v>46</v>
      </c>
      <c r="BB36" s="7" t="n">
        <f aca="false">SUMIFS(Doors!BN:BN,Doors!$A:$A,$D36,Doors!$B:$B,$B36,Doors!$C:$C,$C36)*SUMIFS(Velocity!$I:$I,Velocity!$A:$A,$A36,Velocity!$B:$B,$C36)/Assumptions!$B$4*Assumptions!$B$6</f>
        <v>46</v>
      </c>
      <c r="BC36" s="7" t="n">
        <f aca="false">SUMIFS(Doors!BO:BO,Doors!$A:$A,$D36,Doors!$B:$B,$B36,Doors!$C:$C,$C36)*SUMIFS(Velocity!$I:$I,Velocity!$A:$A,$A36,Velocity!$B:$B,$C36)/Assumptions!$B$4*Assumptions!$B$6</f>
        <v>46</v>
      </c>
      <c r="BD36" s="7" t="n">
        <f aca="false">SUMIFS(Doors!BP:BP,Doors!$A:$A,$D36,Doors!$B:$B,$B36,Doors!$C:$C,$C36)*SUMIFS(Velocity!$I:$I,Velocity!$A:$A,$A36,Velocity!$B:$B,$C36)/Assumptions!$B$4*Assumptions!$B$6</f>
        <v>46</v>
      </c>
    </row>
    <row r="37" customFormat="false" ht="15" hidden="false" customHeight="false" outlineLevel="0" collapsed="false">
      <c r="A37" s="0" t="s">
        <v>108</v>
      </c>
      <c r="B37" s="0" t="s">
        <v>129</v>
      </c>
      <c r="C37" s="0" t="s">
        <v>119</v>
      </c>
      <c r="D37" s="0" t="s">
        <v>235</v>
      </c>
      <c r="E37" s="7" t="n">
        <f aca="false">SUMIFS(Doors!Q:Q,Doors!$A:$A,$D37,Doors!$B:$B,$B37,Doors!$C:$C,$C37)*SUMIFS(Velocity!$I:$I,Velocity!$A:$A,$A37,Velocity!$B:$B,$C37)/Assumptions!$B$4*Assumptions!$B$6</f>
        <v>0.833333333333333</v>
      </c>
      <c r="F37" s="7" t="n">
        <f aca="false">SUMIFS(Doors!R:R,Doors!$A:$A,$D37,Doors!$B:$B,$B37,Doors!$C:$C,$C37)*SUMIFS(Velocity!$I:$I,Velocity!$A:$A,$A37,Velocity!$B:$B,$C37)/Assumptions!$B$4*Assumptions!$B$6</f>
        <v>0.833333333333333</v>
      </c>
      <c r="G37" s="7" t="n">
        <f aca="false">SUMIFS(Doors!S:S,Doors!$A:$A,$D37,Doors!$B:$B,$B37,Doors!$C:$C,$C37)*SUMIFS(Velocity!$I:$I,Velocity!$A:$A,$A37,Velocity!$B:$B,$C37)/Assumptions!$B$4*Assumptions!$B$6</f>
        <v>0.833333333333333</v>
      </c>
      <c r="H37" s="7" t="n">
        <f aca="false">SUMIFS(Doors!T:T,Doors!$A:$A,$D37,Doors!$B:$B,$B37,Doors!$C:$C,$C37)*SUMIFS(Velocity!$I:$I,Velocity!$A:$A,$A37,Velocity!$B:$B,$C37)/Assumptions!$B$4*Assumptions!$B$6</f>
        <v>0.833333333333333</v>
      </c>
      <c r="I37" s="7" t="n">
        <f aca="false">SUMIFS(Doors!U:U,Doors!$A:$A,$D37,Doors!$B:$B,$B37,Doors!$C:$C,$C37)*SUMIFS(Velocity!$I:$I,Velocity!$A:$A,$A37,Velocity!$B:$B,$C37)/Assumptions!$B$4*Assumptions!$B$6</f>
        <v>0.833333333333333</v>
      </c>
      <c r="J37" s="7" t="n">
        <f aca="false">SUMIFS(Doors!V:V,Doors!$A:$A,$D37,Doors!$B:$B,$B37,Doors!$C:$C,$C37)*SUMIFS(Velocity!$I:$I,Velocity!$A:$A,$A37,Velocity!$B:$B,$C37)/Assumptions!$B$4*Assumptions!$B$6</f>
        <v>1.33333333333333</v>
      </c>
      <c r="K37" s="7" t="n">
        <f aca="false">SUMIFS(Doors!W:W,Doors!$A:$A,$D37,Doors!$B:$B,$B37,Doors!$C:$C,$C37)*SUMIFS(Velocity!$I:$I,Velocity!$A:$A,$A37,Velocity!$B:$B,$C37)/Assumptions!$B$4*Assumptions!$B$6</f>
        <v>1.33333333333333</v>
      </c>
      <c r="L37" s="7" t="n">
        <f aca="false">SUMIFS(Doors!X:X,Doors!$A:$A,$D37,Doors!$B:$B,$B37,Doors!$C:$C,$C37)*SUMIFS(Velocity!$I:$I,Velocity!$A:$A,$A37,Velocity!$B:$B,$C37)/Assumptions!$B$4*Assumptions!$B$6</f>
        <v>1.33333333333333</v>
      </c>
      <c r="M37" s="7" t="n">
        <f aca="false">SUMIFS(Doors!Y:Y,Doors!$A:$A,$D37,Doors!$B:$B,$B37,Doors!$C:$C,$C37)*SUMIFS(Velocity!$I:$I,Velocity!$A:$A,$A37,Velocity!$B:$B,$C37)/Assumptions!$B$4*Assumptions!$B$6</f>
        <v>1.33333333333333</v>
      </c>
      <c r="N37" s="7" t="n">
        <f aca="false">SUMIFS(Doors!Z:Z,Doors!$A:$A,$D37,Doors!$B:$B,$B37,Doors!$C:$C,$C37)*SUMIFS(Velocity!$I:$I,Velocity!$A:$A,$A37,Velocity!$B:$B,$C37)/Assumptions!$B$4*Assumptions!$B$6</f>
        <v>2</v>
      </c>
      <c r="O37" s="7" t="n">
        <f aca="false">SUMIFS(Doors!AA:AA,Doors!$A:$A,$D37,Doors!$B:$B,$B37,Doors!$C:$C,$C37)*SUMIFS(Velocity!$I:$I,Velocity!$A:$A,$A37,Velocity!$B:$B,$C37)/Assumptions!$B$4*Assumptions!$B$6</f>
        <v>2</v>
      </c>
      <c r="P37" s="7" t="n">
        <f aca="false">SUMIFS(Doors!AB:AB,Doors!$A:$A,$D37,Doors!$B:$B,$B37,Doors!$C:$C,$C37)*SUMIFS(Velocity!$I:$I,Velocity!$A:$A,$A37,Velocity!$B:$B,$C37)/Assumptions!$B$4*Assumptions!$B$6</f>
        <v>2</v>
      </c>
      <c r="Q37" s="7" t="n">
        <f aca="false">SUMIFS(Doors!AC:AC,Doors!$A:$A,$D37,Doors!$B:$B,$B37,Doors!$C:$C,$C37)*SUMIFS(Velocity!$I:$I,Velocity!$A:$A,$A37,Velocity!$B:$B,$C37)/Assumptions!$B$4*Assumptions!$B$6</f>
        <v>2</v>
      </c>
      <c r="R37" s="7" t="n">
        <f aca="false">SUMIFS(Doors!AD:AD,Doors!$A:$A,$D37,Doors!$B:$B,$B37,Doors!$C:$C,$C37)*SUMIFS(Velocity!$I:$I,Velocity!$A:$A,$A37,Velocity!$B:$B,$C37)/Assumptions!$B$4*Assumptions!$B$6</f>
        <v>2.5</v>
      </c>
      <c r="S37" s="7" t="n">
        <f aca="false">SUMIFS(Doors!AE:AE,Doors!$A:$A,$D37,Doors!$B:$B,$B37,Doors!$C:$C,$C37)*SUMIFS(Velocity!$I:$I,Velocity!$A:$A,$A37,Velocity!$B:$B,$C37)/Assumptions!$B$4*Assumptions!$B$6</f>
        <v>2.5</v>
      </c>
      <c r="T37" s="7" t="n">
        <f aca="false">SUMIFS(Doors!AF:AF,Doors!$A:$A,$D37,Doors!$B:$B,$B37,Doors!$C:$C,$C37)*SUMIFS(Velocity!$I:$I,Velocity!$A:$A,$A37,Velocity!$B:$B,$C37)/Assumptions!$B$4*Assumptions!$B$6</f>
        <v>2.5</v>
      </c>
      <c r="U37" s="7" t="n">
        <f aca="false">SUMIFS(Doors!AG:AG,Doors!$A:$A,$D37,Doors!$B:$B,$B37,Doors!$C:$C,$C37)*SUMIFS(Velocity!$I:$I,Velocity!$A:$A,$A37,Velocity!$B:$B,$C37)/Assumptions!$B$4*Assumptions!$B$6</f>
        <v>2.5</v>
      </c>
      <c r="V37" s="7" t="n">
        <f aca="false">SUMIFS(Doors!AH:AH,Doors!$A:$A,$D37,Doors!$B:$B,$B37,Doors!$C:$C,$C37)*SUMIFS(Velocity!$I:$I,Velocity!$A:$A,$A37,Velocity!$B:$B,$C37)/Assumptions!$B$4*Assumptions!$B$6</f>
        <v>2.5</v>
      </c>
      <c r="W37" s="7" t="n">
        <f aca="false">SUMIFS(Doors!AI:AI,Doors!$A:$A,$D37,Doors!$B:$B,$B37,Doors!$C:$C,$C37)*SUMIFS(Velocity!$I:$I,Velocity!$A:$A,$A37,Velocity!$B:$B,$C37)/Assumptions!$B$4*Assumptions!$B$6</f>
        <v>3</v>
      </c>
      <c r="X37" s="7" t="n">
        <f aca="false">SUMIFS(Doors!AJ:AJ,Doors!$A:$A,$D37,Doors!$B:$B,$B37,Doors!$C:$C,$C37)*SUMIFS(Velocity!$I:$I,Velocity!$A:$A,$A37,Velocity!$B:$B,$C37)/Assumptions!$B$4*Assumptions!$B$6</f>
        <v>3</v>
      </c>
      <c r="Y37" s="7" t="n">
        <f aca="false">SUMIFS(Doors!AK:AK,Doors!$A:$A,$D37,Doors!$B:$B,$B37,Doors!$C:$C,$C37)*SUMIFS(Velocity!$I:$I,Velocity!$A:$A,$A37,Velocity!$B:$B,$C37)/Assumptions!$B$4*Assumptions!$B$6</f>
        <v>3</v>
      </c>
      <c r="Z37" s="7" t="n">
        <f aca="false">SUMIFS(Doors!AL:AL,Doors!$A:$A,$D37,Doors!$B:$B,$B37,Doors!$C:$C,$C37)*SUMIFS(Velocity!$I:$I,Velocity!$A:$A,$A37,Velocity!$B:$B,$C37)/Assumptions!$B$4*Assumptions!$B$6</f>
        <v>3</v>
      </c>
      <c r="AA37" s="7" t="n">
        <f aca="false">SUMIFS(Doors!AM:AM,Doors!$A:$A,$D37,Doors!$B:$B,$B37,Doors!$C:$C,$C37)*SUMIFS(Velocity!$I:$I,Velocity!$A:$A,$A37,Velocity!$B:$B,$C37)/Assumptions!$B$4*Assumptions!$B$6</f>
        <v>3.5</v>
      </c>
      <c r="AB37" s="7" t="n">
        <f aca="false">SUMIFS(Doors!AN:AN,Doors!$A:$A,$D37,Doors!$B:$B,$B37,Doors!$C:$C,$C37)*SUMIFS(Velocity!$I:$I,Velocity!$A:$A,$A37,Velocity!$B:$B,$C37)/Assumptions!$B$4*Assumptions!$B$6</f>
        <v>3.5</v>
      </c>
      <c r="AC37" s="7" t="n">
        <f aca="false">SUMIFS(Doors!AO:AO,Doors!$A:$A,$D37,Doors!$B:$B,$B37,Doors!$C:$C,$C37)*SUMIFS(Velocity!$I:$I,Velocity!$A:$A,$A37,Velocity!$B:$B,$C37)/Assumptions!$B$4*Assumptions!$B$6</f>
        <v>3.5</v>
      </c>
      <c r="AD37" s="7" t="n">
        <f aca="false">SUMIFS(Doors!AP:AP,Doors!$A:$A,$D37,Doors!$B:$B,$B37,Doors!$C:$C,$C37)*SUMIFS(Velocity!$I:$I,Velocity!$A:$A,$A37,Velocity!$B:$B,$C37)/Assumptions!$B$4*Assumptions!$B$6</f>
        <v>3.5</v>
      </c>
      <c r="AE37" s="7" t="n">
        <f aca="false">SUMIFS(Doors!AQ:AQ,Doors!$A:$A,$D37,Doors!$B:$B,$B37,Doors!$C:$C,$C37)*SUMIFS(Velocity!$I:$I,Velocity!$A:$A,$A37,Velocity!$B:$B,$C37)/Assumptions!$B$4*Assumptions!$B$6</f>
        <v>4</v>
      </c>
      <c r="AF37" s="7" t="n">
        <f aca="false">SUMIFS(Doors!AR:AR,Doors!$A:$A,$D37,Doors!$B:$B,$B37,Doors!$C:$C,$C37)*SUMIFS(Velocity!$I:$I,Velocity!$A:$A,$A37,Velocity!$B:$B,$C37)/Assumptions!$B$4*Assumptions!$B$6</f>
        <v>4</v>
      </c>
      <c r="AG37" s="7" t="n">
        <f aca="false">SUMIFS(Doors!AS:AS,Doors!$A:$A,$D37,Doors!$B:$B,$B37,Doors!$C:$C,$C37)*SUMIFS(Velocity!$I:$I,Velocity!$A:$A,$A37,Velocity!$B:$B,$C37)/Assumptions!$B$4*Assumptions!$B$6</f>
        <v>4</v>
      </c>
      <c r="AH37" s="7" t="n">
        <f aca="false">SUMIFS(Doors!AT:AT,Doors!$A:$A,$D37,Doors!$B:$B,$B37,Doors!$C:$C,$C37)*SUMIFS(Velocity!$I:$I,Velocity!$A:$A,$A37,Velocity!$B:$B,$C37)/Assumptions!$B$4*Assumptions!$B$6</f>
        <v>4</v>
      </c>
      <c r="AI37" s="7" t="n">
        <f aca="false">SUMIFS(Doors!AU:AU,Doors!$A:$A,$D37,Doors!$B:$B,$B37,Doors!$C:$C,$C37)*SUMIFS(Velocity!$I:$I,Velocity!$A:$A,$A37,Velocity!$B:$B,$C37)/Assumptions!$B$4*Assumptions!$B$6</f>
        <v>4</v>
      </c>
      <c r="AJ37" s="7" t="n">
        <f aca="false">SUMIFS(Doors!AV:AV,Doors!$A:$A,$D37,Doors!$B:$B,$B37,Doors!$C:$C,$C37)*SUMIFS(Velocity!$I:$I,Velocity!$A:$A,$A37,Velocity!$B:$B,$C37)/Assumptions!$B$4*Assumptions!$B$6</f>
        <v>4.33333333333333</v>
      </c>
      <c r="AK37" s="7" t="n">
        <f aca="false">SUMIFS(Doors!AW:AW,Doors!$A:$A,$D37,Doors!$B:$B,$B37,Doors!$C:$C,$C37)*SUMIFS(Velocity!$I:$I,Velocity!$A:$A,$A37,Velocity!$B:$B,$C37)/Assumptions!$B$4*Assumptions!$B$6</f>
        <v>4.33333333333333</v>
      </c>
      <c r="AL37" s="7" t="n">
        <f aca="false">SUMIFS(Doors!AX:AX,Doors!$A:$A,$D37,Doors!$B:$B,$B37,Doors!$C:$C,$C37)*SUMIFS(Velocity!$I:$I,Velocity!$A:$A,$A37,Velocity!$B:$B,$C37)/Assumptions!$B$4*Assumptions!$B$6</f>
        <v>4.33333333333333</v>
      </c>
      <c r="AM37" s="7" t="n">
        <f aca="false">SUMIFS(Doors!AY:AY,Doors!$A:$A,$D37,Doors!$B:$B,$B37,Doors!$C:$C,$C37)*SUMIFS(Velocity!$I:$I,Velocity!$A:$A,$A37,Velocity!$B:$B,$C37)/Assumptions!$B$4*Assumptions!$B$6</f>
        <v>4.33333333333333</v>
      </c>
      <c r="AN37" s="7" t="n">
        <f aca="false">SUMIFS(Doors!AZ:AZ,Doors!$A:$A,$D37,Doors!$B:$B,$B37,Doors!$C:$C,$C37)*SUMIFS(Velocity!$I:$I,Velocity!$A:$A,$A37,Velocity!$B:$B,$C37)/Assumptions!$B$4*Assumptions!$B$6</f>
        <v>4.66666666666667</v>
      </c>
      <c r="AO37" s="7" t="n">
        <f aca="false">SUMIFS(Doors!BA:BA,Doors!$A:$A,$D37,Doors!$B:$B,$B37,Doors!$C:$C,$C37)*SUMIFS(Velocity!$I:$I,Velocity!$A:$A,$A37,Velocity!$B:$B,$C37)/Assumptions!$B$4*Assumptions!$B$6</f>
        <v>4.66666666666667</v>
      </c>
      <c r="AP37" s="7" t="n">
        <f aca="false">SUMIFS(Doors!BB:BB,Doors!$A:$A,$D37,Doors!$B:$B,$B37,Doors!$C:$C,$C37)*SUMIFS(Velocity!$I:$I,Velocity!$A:$A,$A37,Velocity!$B:$B,$C37)/Assumptions!$B$4*Assumptions!$B$6</f>
        <v>4.66666666666667</v>
      </c>
      <c r="AQ37" s="7" t="n">
        <f aca="false">SUMIFS(Doors!BC:BC,Doors!$A:$A,$D37,Doors!$B:$B,$B37,Doors!$C:$C,$C37)*SUMIFS(Velocity!$I:$I,Velocity!$A:$A,$A37,Velocity!$B:$B,$C37)/Assumptions!$B$4*Assumptions!$B$6</f>
        <v>4.66666666666667</v>
      </c>
      <c r="AR37" s="7" t="n">
        <f aca="false">SUMIFS(Doors!BD:BD,Doors!$A:$A,$D37,Doors!$B:$B,$B37,Doors!$C:$C,$C37)*SUMIFS(Velocity!$I:$I,Velocity!$A:$A,$A37,Velocity!$B:$B,$C37)/Assumptions!$B$4*Assumptions!$B$6</f>
        <v>4.83333333333333</v>
      </c>
      <c r="AS37" s="7" t="n">
        <f aca="false">SUMIFS(Doors!BE:BE,Doors!$A:$A,$D37,Doors!$B:$B,$B37,Doors!$C:$C,$C37)*SUMIFS(Velocity!$I:$I,Velocity!$A:$A,$A37,Velocity!$B:$B,$C37)/Assumptions!$B$4*Assumptions!$B$6</f>
        <v>4.83333333333333</v>
      </c>
      <c r="AT37" s="7" t="n">
        <f aca="false">SUMIFS(Doors!BF:BF,Doors!$A:$A,$D37,Doors!$B:$B,$B37,Doors!$C:$C,$C37)*SUMIFS(Velocity!$I:$I,Velocity!$A:$A,$A37,Velocity!$B:$B,$C37)/Assumptions!$B$4*Assumptions!$B$6</f>
        <v>4.83333333333333</v>
      </c>
      <c r="AU37" s="7" t="n">
        <f aca="false">SUMIFS(Doors!BG:BG,Doors!$A:$A,$D37,Doors!$B:$B,$B37,Doors!$C:$C,$C37)*SUMIFS(Velocity!$I:$I,Velocity!$A:$A,$A37,Velocity!$B:$B,$C37)/Assumptions!$B$4*Assumptions!$B$6</f>
        <v>4.83333333333333</v>
      </c>
      <c r="AV37" s="7" t="n">
        <f aca="false">SUMIFS(Doors!BH:BH,Doors!$A:$A,$D37,Doors!$B:$B,$B37,Doors!$C:$C,$C37)*SUMIFS(Velocity!$I:$I,Velocity!$A:$A,$A37,Velocity!$B:$B,$C37)/Assumptions!$B$4*Assumptions!$B$6</f>
        <v>4.83333333333333</v>
      </c>
      <c r="AW37" s="7" t="n">
        <f aca="false">SUMIFS(Doors!BI:BI,Doors!$A:$A,$D37,Doors!$B:$B,$B37,Doors!$C:$C,$C37)*SUMIFS(Velocity!$I:$I,Velocity!$A:$A,$A37,Velocity!$B:$B,$C37)/Assumptions!$B$4*Assumptions!$B$6</f>
        <v>5</v>
      </c>
      <c r="AX37" s="7" t="n">
        <f aca="false">SUMIFS(Doors!BJ:BJ,Doors!$A:$A,$D37,Doors!$B:$B,$B37,Doors!$C:$C,$C37)*SUMIFS(Velocity!$I:$I,Velocity!$A:$A,$A37,Velocity!$B:$B,$C37)/Assumptions!$B$4*Assumptions!$B$6</f>
        <v>5</v>
      </c>
      <c r="AY37" s="7" t="n">
        <f aca="false">SUMIFS(Doors!BK:BK,Doors!$A:$A,$D37,Doors!$B:$B,$B37,Doors!$C:$C,$C37)*SUMIFS(Velocity!$I:$I,Velocity!$A:$A,$A37,Velocity!$B:$B,$C37)/Assumptions!$B$4*Assumptions!$B$6</f>
        <v>5</v>
      </c>
      <c r="AZ37" s="7" t="n">
        <f aca="false">SUMIFS(Doors!BL:BL,Doors!$A:$A,$D37,Doors!$B:$B,$B37,Doors!$C:$C,$C37)*SUMIFS(Velocity!$I:$I,Velocity!$A:$A,$A37,Velocity!$B:$B,$C37)/Assumptions!$B$4*Assumptions!$B$6</f>
        <v>5</v>
      </c>
      <c r="BA37" s="7" t="n">
        <f aca="false">SUMIFS(Doors!BM:BM,Doors!$A:$A,$D37,Doors!$B:$B,$B37,Doors!$C:$C,$C37)*SUMIFS(Velocity!$I:$I,Velocity!$A:$A,$A37,Velocity!$B:$B,$C37)/Assumptions!$B$4*Assumptions!$B$6</f>
        <v>5</v>
      </c>
      <c r="BB37" s="7" t="n">
        <f aca="false">SUMIFS(Doors!BN:BN,Doors!$A:$A,$D37,Doors!$B:$B,$B37,Doors!$C:$C,$C37)*SUMIFS(Velocity!$I:$I,Velocity!$A:$A,$A37,Velocity!$B:$B,$C37)/Assumptions!$B$4*Assumptions!$B$6</f>
        <v>5</v>
      </c>
      <c r="BC37" s="7" t="n">
        <f aca="false">SUMIFS(Doors!BO:BO,Doors!$A:$A,$D37,Doors!$B:$B,$B37,Doors!$C:$C,$C37)*SUMIFS(Velocity!$I:$I,Velocity!$A:$A,$A37,Velocity!$B:$B,$C37)/Assumptions!$B$4*Assumptions!$B$6</f>
        <v>5</v>
      </c>
      <c r="BD37" s="7" t="n">
        <f aca="false">SUMIFS(Doors!BP:BP,Doors!$A:$A,$D37,Doors!$B:$B,$B37,Doors!$C:$C,$C37)*SUMIFS(Velocity!$I:$I,Velocity!$A:$A,$A37,Velocity!$B:$B,$C37)/Assumptions!$B$4*Assumptions!$B$6</f>
        <v>5</v>
      </c>
    </row>
    <row r="38" customFormat="false" ht="15" hidden="false" customHeight="false" outlineLevel="0" collapsed="false">
      <c r="A38" s="0" t="s">
        <v>108</v>
      </c>
      <c r="B38" s="0" t="s">
        <v>129</v>
      </c>
      <c r="C38" s="0" t="s">
        <v>120</v>
      </c>
      <c r="D38" s="0" t="s">
        <v>235</v>
      </c>
      <c r="E38" s="7" t="n">
        <f aca="false">SUMIFS(Doors!Q:Q,Doors!$A:$A,$D38,Doors!$B:$B,$B38,Doors!$C:$C,$C38)*SUMIFS(Velocity!$I:$I,Velocity!$A:$A,$A38,Velocity!$B:$B,$C38)/Assumptions!$B$4*Assumptions!$B$6</f>
        <v>0.989583333333333</v>
      </c>
      <c r="F38" s="7" t="n">
        <f aca="false">SUMIFS(Doors!R:R,Doors!$A:$A,$D38,Doors!$B:$B,$B38,Doors!$C:$C,$C38)*SUMIFS(Velocity!$I:$I,Velocity!$A:$A,$A38,Velocity!$B:$B,$C38)/Assumptions!$B$4*Assumptions!$B$6</f>
        <v>0.989583333333333</v>
      </c>
      <c r="G38" s="7" t="n">
        <f aca="false">SUMIFS(Doors!S:S,Doors!$A:$A,$D38,Doors!$B:$B,$B38,Doors!$C:$C,$C38)*SUMIFS(Velocity!$I:$I,Velocity!$A:$A,$A38,Velocity!$B:$B,$C38)/Assumptions!$B$4*Assumptions!$B$6</f>
        <v>0.989583333333333</v>
      </c>
      <c r="H38" s="7" t="n">
        <f aca="false">SUMIFS(Doors!T:T,Doors!$A:$A,$D38,Doors!$B:$B,$B38,Doors!$C:$C,$C38)*SUMIFS(Velocity!$I:$I,Velocity!$A:$A,$A38,Velocity!$B:$B,$C38)/Assumptions!$B$4*Assumptions!$B$6</f>
        <v>0.989583333333333</v>
      </c>
      <c r="I38" s="7" t="n">
        <f aca="false">SUMIFS(Doors!U:U,Doors!$A:$A,$D38,Doors!$B:$B,$B38,Doors!$C:$C,$C38)*SUMIFS(Velocity!$I:$I,Velocity!$A:$A,$A38,Velocity!$B:$B,$C38)/Assumptions!$B$4*Assumptions!$B$6</f>
        <v>0.989583333333333</v>
      </c>
      <c r="J38" s="7" t="n">
        <f aca="false">SUMIFS(Doors!V:V,Doors!$A:$A,$D38,Doors!$B:$B,$B38,Doors!$C:$C,$C38)*SUMIFS(Velocity!$I:$I,Velocity!$A:$A,$A38,Velocity!$B:$B,$C38)/Assumptions!$B$4*Assumptions!$B$6</f>
        <v>1.58333333333333</v>
      </c>
      <c r="K38" s="7" t="n">
        <f aca="false">SUMIFS(Doors!W:W,Doors!$A:$A,$D38,Doors!$B:$B,$B38,Doors!$C:$C,$C38)*SUMIFS(Velocity!$I:$I,Velocity!$A:$A,$A38,Velocity!$B:$B,$C38)/Assumptions!$B$4*Assumptions!$B$6</f>
        <v>1.58333333333333</v>
      </c>
      <c r="L38" s="7" t="n">
        <f aca="false">SUMIFS(Doors!X:X,Doors!$A:$A,$D38,Doors!$B:$B,$B38,Doors!$C:$C,$C38)*SUMIFS(Velocity!$I:$I,Velocity!$A:$A,$A38,Velocity!$B:$B,$C38)/Assumptions!$B$4*Assumptions!$B$6</f>
        <v>1.58333333333333</v>
      </c>
      <c r="M38" s="7" t="n">
        <f aca="false">SUMIFS(Doors!Y:Y,Doors!$A:$A,$D38,Doors!$B:$B,$B38,Doors!$C:$C,$C38)*SUMIFS(Velocity!$I:$I,Velocity!$A:$A,$A38,Velocity!$B:$B,$C38)/Assumptions!$B$4*Assumptions!$B$6</f>
        <v>1.58333333333333</v>
      </c>
      <c r="N38" s="7" t="n">
        <f aca="false">SUMIFS(Doors!Z:Z,Doors!$A:$A,$D38,Doors!$B:$B,$B38,Doors!$C:$C,$C38)*SUMIFS(Velocity!$I:$I,Velocity!$A:$A,$A38,Velocity!$B:$B,$C38)/Assumptions!$B$4*Assumptions!$B$6</f>
        <v>2.375</v>
      </c>
      <c r="O38" s="7" t="n">
        <f aca="false">SUMIFS(Doors!AA:AA,Doors!$A:$A,$D38,Doors!$B:$B,$B38,Doors!$C:$C,$C38)*SUMIFS(Velocity!$I:$I,Velocity!$A:$A,$A38,Velocity!$B:$B,$C38)/Assumptions!$B$4*Assumptions!$B$6</f>
        <v>2.375</v>
      </c>
      <c r="P38" s="7" t="n">
        <f aca="false">SUMIFS(Doors!AB:AB,Doors!$A:$A,$D38,Doors!$B:$B,$B38,Doors!$C:$C,$C38)*SUMIFS(Velocity!$I:$I,Velocity!$A:$A,$A38,Velocity!$B:$B,$C38)/Assumptions!$B$4*Assumptions!$B$6</f>
        <v>2.375</v>
      </c>
      <c r="Q38" s="7" t="n">
        <f aca="false">SUMIFS(Doors!AC:AC,Doors!$A:$A,$D38,Doors!$B:$B,$B38,Doors!$C:$C,$C38)*SUMIFS(Velocity!$I:$I,Velocity!$A:$A,$A38,Velocity!$B:$B,$C38)/Assumptions!$B$4*Assumptions!$B$6</f>
        <v>2.375</v>
      </c>
      <c r="R38" s="7" t="n">
        <f aca="false">SUMIFS(Doors!AD:AD,Doors!$A:$A,$D38,Doors!$B:$B,$B38,Doors!$C:$C,$C38)*SUMIFS(Velocity!$I:$I,Velocity!$A:$A,$A38,Velocity!$B:$B,$C38)/Assumptions!$B$4*Assumptions!$B$6</f>
        <v>3.16666666666667</v>
      </c>
      <c r="S38" s="7" t="n">
        <f aca="false">SUMIFS(Doors!AE:AE,Doors!$A:$A,$D38,Doors!$B:$B,$B38,Doors!$C:$C,$C38)*SUMIFS(Velocity!$I:$I,Velocity!$A:$A,$A38,Velocity!$B:$B,$C38)/Assumptions!$B$4*Assumptions!$B$6</f>
        <v>3.16666666666667</v>
      </c>
      <c r="T38" s="7" t="n">
        <f aca="false">SUMIFS(Doors!AF:AF,Doors!$A:$A,$D38,Doors!$B:$B,$B38,Doors!$C:$C,$C38)*SUMIFS(Velocity!$I:$I,Velocity!$A:$A,$A38,Velocity!$B:$B,$C38)/Assumptions!$B$4*Assumptions!$B$6</f>
        <v>3.16666666666667</v>
      </c>
      <c r="U38" s="7" t="n">
        <f aca="false">SUMIFS(Doors!AG:AG,Doors!$A:$A,$D38,Doors!$B:$B,$B38,Doors!$C:$C,$C38)*SUMIFS(Velocity!$I:$I,Velocity!$A:$A,$A38,Velocity!$B:$B,$C38)/Assumptions!$B$4*Assumptions!$B$6</f>
        <v>3.16666666666667</v>
      </c>
      <c r="V38" s="7" t="n">
        <f aca="false">SUMIFS(Doors!AH:AH,Doors!$A:$A,$D38,Doors!$B:$B,$B38,Doors!$C:$C,$C38)*SUMIFS(Velocity!$I:$I,Velocity!$A:$A,$A38,Velocity!$B:$B,$C38)/Assumptions!$B$4*Assumptions!$B$6</f>
        <v>3.16666666666667</v>
      </c>
      <c r="W38" s="7" t="n">
        <f aca="false">SUMIFS(Doors!AI:AI,Doors!$A:$A,$D38,Doors!$B:$B,$B38,Doors!$C:$C,$C38)*SUMIFS(Velocity!$I:$I,Velocity!$A:$A,$A38,Velocity!$B:$B,$C38)/Assumptions!$B$4*Assumptions!$B$6</f>
        <v>3.95833333333333</v>
      </c>
      <c r="X38" s="7" t="n">
        <f aca="false">SUMIFS(Doors!AJ:AJ,Doors!$A:$A,$D38,Doors!$B:$B,$B38,Doors!$C:$C,$C38)*SUMIFS(Velocity!$I:$I,Velocity!$A:$A,$A38,Velocity!$B:$B,$C38)/Assumptions!$B$4*Assumptions!$B$6</f>
        <v>3.95833333333333</v>
      </c>
      <c r="Y38" s="7" t="n">
        <f aca="false">SUMIFS(Doors!AK:AK,Doors!$A:$A,$D38,Doors!$B:$B,$B38,Doors!$C:$C,$C38)*SUMIFS(Velocity!$I:$I,Velocity!$A:$A,$A38,Velocity!$B:$B,$C38)/Assumptions!$B$4*Assumptions!$B$6</f>
        <v>3.95833333333333</v>
      </c>
      <c r="Z38" s="7" t="n">
        <f aca="false">SUMIFS(Doors!AL:AL,Doors!$A:$A,$D38,Doors!$B:$B,$B38,Doors!$C:$C,$C38)*SUMIFS(Velocity!$I:$I,Velocity!$A:$A,$A38,Velocity!$B:$B,$C38)/Assumptions!$B$4*Assumptions!$B$6</f>
        <v>3.95833333333333</v>
      </c>
      <c r="AA38" s="7" t="n">
        <f aca="false">SUMIFS(Doors!AM:AM,Doors!$A:$A,$D38,Doors!$B:$B,$B38,Doors!$C:$C,$C38)*SUMIFS(Velocity!$I:$I,Velocity!$A:$A,$A38,Velocity!$B:$B,$C38)/Assumptions!$B$4*Assumptions!$B$6</f>
        <v>4.55208333333333</v>
      </c>
      <c r="AB38" s="7" t="n">
        <f aca="false">SUMIFS(Doors!AN:AN,Doors!$A:$A,$D38,Doors!$B:$B,$B38,Doors!$C:$C,$C38)*SUMIFS(Velocity!$I:$I,Velocity!$A:$A,$A38,Velocity!$B:$B,$C38)/Assumptions!$B$4*Assumptions!$B$6</f>
        <v>4.55208333333333</v>
      </c>
      <c r="AC38" s="7" t="n">
        <f aca="false">SUMIFS(Doors!AO:AO,Doors!$A:$A,$D38,Doors!$B:$B,$B38,Doors!$C:$C,$C38)*SUMIFS(Velocity!$I:$I,Velocity!$A:$A,$A38,Velocity!$B:$B,$C38)/Assumptions!$B$4*Assumptions!$B$6</f>
        <v>4.55208333333333</v>
      </c>
      <c r="AD38" s="7" t="n">
        <f aca="false">SUMIFS(Doors!AP:AP,Doors!$A:$A,$D38,Doors!$B:$B,$B38,Doors!$C:$C,$C38)*SUMIFS(Velocity!$I:$I,Velocity!$A:$A,$A38,Velocity!$B:$B,$C38)/Assumptions!$B$4*Assumptions!$B$6</f>
        <v>4.55208333333333</v>
      </c>
      <c r="AE38" s="7" t="n">
        <f aca="false">SUMIFS(Doors!AQ:AQ,Doors!$A:$A,$D38,Doors!$B:$B,$B38,Doors!$C:$C,$C38)*SUMIFS(Velocity!$I:$I,Velocity!$A:$A,$A38,Velocity!$B:$B,$C38)/Assumptions!$B$4*Assumptions!$B$6</f>
        <v>4.94791666666667</v>
      </c>
      <c r="AF38" s="7" t="n">
        <f aca="false">SUMIFS(Doors!AR:AR,Doors!$A:$A,$D38,Doors!$B:$B,$B38,Doors!$C:$C,$C38)*SUMIFS(Velocity!$I:$I,Velocity!$A:$A,$A38,Velocity!$B:$B,$C38)/Assumptions!$B$4*Assumptions!$B$6</f>
        <v>4.94791666666667</v>
      </c>
      <c r="AG38" s="7" t="n">
        <f aca="false">SUMIFS(Doors!AS:AS,Doors!$A:$A,$D38,Doors!$B:$B,$B38,Doors!$C:$C,$C38)*SUMIFS(Velocity!$I:$I,Velocity!$A:$A,$A38,Velocity!$B:$B,$C38)/Assumptions!$B$4*Assumptions!$B$6</f>
        <v>4.94791666666667</v>
      </c>
      <c r="AH38" s="7" t="n">
        <f aca="false">SUMIFS(Doors!AT:AT,Doors!$A:$A,$D38,Doors!$B:$B,$B38,Doors!$C:$C,$C38)*SUMIFS(Velocity!$I:$I,Velocity!$A:$A,$A38,Velocity!$B:$B,$C38)/Assumptions!$B$4*Assumptions!$B$6</f>
        <v>4.94791666666667</v>
      </c>
      <c r="AI38" s="7" t="n">
        <f aca="false">SUMIFS(Doors!AU:AU,Doors!$A:$A,$D38,Doors!$B:$B,$B38,Doors!$C:$C,$C38)*SUMIFS(Velocity!$I:$I,Velocity!$A:$A,$A38,Velocity!$B:$B,$C38)/Assumptions!$B$4*Assumptions!$B$6</f>
        <v>4.94791666666667</v>
      </c>
      <c r="AJ38" s="7" t="n">
        <f aca="false">SUMIFS(Doors!AV:AV,Doors!$A:$A,$D38,Doors!$B:$B,$B38,Doors!$C:$C,$C38)*SUMIFS(Velocity!$I:$I,Velocity!$A:$A,$A38,Velocity!$B:$B,$C38)/Assumptions!$B$4*Assumptions!$B$6</f>
        <v>5.34375</v>
      </c>
      <c r="AK38" s="7" t="n">
        <f aca="false">SUMIFS(Doors!AW:AW,Doors!$A:$A,$D38,Doors!$B:$B,$B38,Doors!$C:$C,$C38)*SUMIFS(Velocity!$I:$I,Velocity!$A:$A,$A38,Velocity!$B:$B,$C38)/Assumptions!$B$4*Assumptions!$B$6</f>
        <v>5.34375</v>
      </c>
      <c r="AL38" s="7" t="n">
        <f aca="false">SUMIFS(Doors!AX:AX,Doors!$A:$A,$D38,Doors!$B:$B,$B38,Doors!$C:$C,$C38)*SUMIFS(Velocity!$I:$I,Velocity!$A:$A,$A38,Velocity!$B:$B,$C38)/Assumptions!$B$4*Assumptions!$B$6</f>
        <v>5.34375</v>
      </c>
      <c r="AM38" s="7" t="n">
        <f aca="false">SUMIFS(Doors!AY:AY,Doors!$A:$A,$D38,Doors!$B:$B,$B38,Doors!$C:$C,$C38)*SUMIFS(Velocity!$I:$I,Velocity!$A:$A,$A38,Velocity!$B:$B,$C38)/Assumptions!$B$4*Assumptions!$B$6</f>
        <v>5.34375</v>
      </c>
      <c r="AN38" s="7" t="n">
        <f aca="false">SUMIFS(Doors!AZ:AZ,Doors!$A:$A,$D38,Doors!$B:$B,$B38,Doors!$C:$C,$C38)*SUMIFS(Velocity!$I:$I,Velocity!$A:$A,$A38,Velocity!$B:$B,$C38)/Assumptions!$B$4*Assumptions!$B$6</f>
        <v>5.54166666666667</v>
      </c>
      <c r="AO38" s="7" t="n">
        <f aca="false">SUMIFS(Doors!BA:BA,Doors!$A:$A,$D38,Doors!$B:$B,$B38,Doors!$C:$C,$C38)*SUMIFS(Velocity!$I:$I,Velocity!$A:$A,$A38,Velocity!$B:$B,$C38)/Assumptions!$B$4*Assumptions!$B$6</f>
        <v>5.54166666666667</v>
      </c>
      <c r="AP38" s="7" t="n">
        <f aca="false">SUMIFS(Doors!BB:BB,Doors!$A:$A,$D38,Doors!$B:$B,$B38,Doors!$C:$C,$C38)*SUMIFS(Velocity!$I:$I,Velocity!$A:$A,$A38,Velocity!$B:$B,$C38)/Assumptions!$B$4*Assumptions!$B$6</f>
        <v>5.54166666666667</v>
      </c>
      <c r="AQ38" s="7" t="n">
        <f aca="false">SUMIFS(Doors!BC:BC,Doors!$A:$A,$D38,Doors!$B:$B,$B38,Doors!$C:$C,$C38)*SUMIFS(Velocity!$I:$I,Velocity!$A:$A,$A38,Velocity!$B:$B,$C38)/Assumptions!$B$4*Assumptions!$B$6</f>
        <v>5.54166666666667</v>
      </c>
      <c r="AR38" s="7" t="n">
        <f aca="false">SUMIFS(Doors!BD:BD,Doors!$A:$A,$D38,Doors!$B:$B,$B38,Doors!$C:$C,$C38)*SUMIFS(Velocity!$I:$I,Velocity!$A:$A,$A38,Velocity!$B:$B,$C38)/Assumptions!$B$4*Assumptions!$B$6</f>
        <v>5.73958333333333</v>
      </c>
      <c r="AS38" s="7" t="n">
        <f aca="false">SUMIFS(Doors!BE:BE,Doors!$A:$A,$D38,Doors!$B:$B,$B38,Doors!$C:$C,$C38)*SUMIFS(Velocity!$I:$I,Velocity!$A:$A,$A38,Velocity!$B:$B,$C38)/Assumptions!$B$4*Assumptions!$B$6</f>
        <v>5.73958333333333</v>
      </c>
      <c r="AT38" s="7" t="n">
        <f aca="false">SUMIFS(Doors!BF:BF,Doors!$A:$A,$D38,Doors!$B:$B,$B38,Doors!$C:$C,$C38)*SUMIFS(Velocity!$I:$I,Velocity!$A:$A,$A38,Velocity!$B:$B,$C38)/Assumptions!$B$4*Assumptions!$B$6</f>
        <v>5.73958333333333</v>
      </c>
      <c r="AU38" s="7" t="n">
        <f aca="false">SUMIFS(Doors!BG:BG,Doors!$A:$A,$D38,Doors!$B:$B,$B38,Doors!$C:$C,$C38)*SUMIFS(Velocity!$I:$I,Velocity!$A:$A,$A38,Velocity!$B:$B,$C38)/Assumptions!$B$4*Assumptions!$B$6</f>
        <v>5.73958333333333</v>
      </c>
      <c r="AV38" s="7" t="n">
        <f aca="false">SUMIFS(Doors!BH:BH,Doors!$A:$A,$D38,Doors!$B:$B,$B38,Doors!$C:$C,$C38)*SUMIFS(Velocity!$I:$I,Velocity!$A:$A,$A38,Velocity!$B:$B,$C38)/Assumptions!$B$4*Assumptions!$B$6</f>
        <v>5.73958333333333</v>
      </c>
      <c r="AW38" s="7" t="n">
        <f aca="false">SUMIFS(Doors!BI:BI,Doors!$A:$A,$D38,Doors!$B:$B,$B38,Doors!$C:$C,$C38)*SUMIFS(Velocity!$I:$I,Velocity!$A:$A,$A38,Velocity!$B:$B,$C38)/Assumptions!$B$4*Assumptions!$B$6</f>
        <v>5.9375</v>
      </c>
      <c r="AX38" s="7" t="n">
        <f aca="false">SUMIFS(Doors!BJ:BJ,Doors!$A:$A,$D38,Doors!$B:$B,$B38,Doors!$C:$C,$C38)*SUMIFS(Velocity!$I:$I,Velocity!$A:$A,$A38,Velocity!$B:$B,$C38)/Assumptions!$B$4*Assumptions!$B$6</f>
        <v>5.9375</v>
      </c>
      <c r="AY38" s="7" t="n">
        <f aca="false">SUMIFS(Doors!BK:BK,Doors!$A:$A,$D38,Doors!$B:$B,$B38,Doors!$C:$C,$C38)*SUMIFS(Velocity!$I:$I,Velocity!$A:$A,$A38,Velocity!$B:$B,$C38)/Assumptions!$B$4*Assumptions!$B$6</f>
        <v>5.9375</v>
      </c>
      <c r="AZ38" s="7" t="n">
        <f aca="false">SUMIFS(Doors!BL:BL,Doors!$A:$A,$D38,Doors!$B:$B,$B38,Doors!$C:$C,$C38)*SUMIFS(Velocity!$I:$I,Velocity!$A:$A,$A38,Velocity!$B:$B,$C38)/Assumptions!$B$4*Assumptions!$B$6</f>
        <v>5.9375</v>
      </c>
      <c r="BA38" s="7" t="n">
        <f aca="false">SUMIFS(Doors!BM:BM,Doors!$A:$A,$D38,Doors!$B:$B,$B38,Doors!$C:$C,$C38)*SUMIFS(Velocity!$I:$I,Velocity!$A:$A,$A38,Velocity!$B:$B,$C38)/Assumptions!$B$4*Assumptions!$B$6</f>
        <v>5.9375</v>
      </c>
      <c r="BB38" s="7" t="n">
        <f aca="false">SUMIFS(Doors!BN:BN,Doors!$A:$A,$D38,Doors!$B:$B,$B38,Doors!$C:$C,$C38)*SUMIFS(Velocity!$I:$I,Velocity!$A:$A,$A38,Velocity!$B:$B,$C38)/Assumptions!$B$4*Assumptions!$B$6</f>
        <v>5.9375</v>
      </c>
      <c r="BC38" s="7" t="n">
        <f aca="false">SUMIFS(Doors!BO:BO,Doors!$A:$A,$D38,Doors!$B:$B,$B38,Doors!$C:$C,$C38)*SUMIFS(Velocity!$I:$I,Velocity!$A:$A,$A38,Velocity!$B:$B,$C38)/Assumptions!$B$4*Assumptions!$B$6</f>
        <v>5.9375</v>
      </c>
      <c r="BD38" s="7" t="n">
        <f aca="false">SUMIFS(Doors!BP:BP,Doors!$A:$A,$D38,Doors!$B:$B,$B38,Doors!$C:$C,$C38)*SUMIFS(Velocity!$I:$I,Velocity!$A:$A,$A38,Velocity!$B:$B,$C38)/Assumptions!$B$4*Assumptions!$B$6</f>
        <v>5.9375</v>
      </c>
    </row>
    <row r="39" customFormat="false" ht="15" hidden="false" customHeight="false" outlineLevel="0" collapsed="false">
      <c r="A39" s="0" t="s">
        <v>108</v>
      </c>
      <c r="B39" s="0" t="s">
        <v>129</v>
      </c>
      <c r="C39" s="0" t="s">
        <v>121</v>
      </c>
      <c r="D39" s="0" t="s">
        <v>235</v>
      </c>
      <c r="E39" s="7" t="n">
        <f aca="false">SUMIFS(Doors!Q:Q,Doors!$A:$A,$D39,Doors!$B:$B,$B39,Doors!$C:$C,$C39)*SUMIFS(Velocity!$I:$I,Velocity!$A:$A,$A39,Velocity!$B:$B,$C39)/Assumptions!$B$4*Assumptions!$B$6</f>
        <v>0.9125</v>
      </c>
      <c r="F39" s="7" t="n">
        <f aca="false">SUMIFS(Doors!R:R,Doors!$A:$A,$D39,Doors!$B:$B,$B39,Doors!$C:$C,$C39)*SUMIFS(Velocity!$I:$I,Velocity!$A:$A,$A39,Velocity!$B:$B,$C39)/Assumptions!$B$4*Assumptions!$B$6</f>
        <v>0.9125</v>
      </c>
      <c r="G39" s="7" t="n">
        <f aca="false">SUMIFS(Doors!S:S,Doors!$A:$A,$D39,Doors!$B:$B,$B39,Doors!$C:$C,$C39)*SUMIFS(Velocity!$I:$I,Velocity!$A:$A,$A39,Velocity!$B:$B,$C39)/Assumptions!$B$4*Assumptions!$B$6</f>
        <v>0.9125</v>
      </c>
      <c r="H39" s="7" t="n">
        <f aca="false">SUMIFS(Doors!T:T,Doors!$A:$A,$D39,Doors!$B:$B,$B39,Doors!$C:$C,$C39)*SUMIFS(Velocity!$I:$I,Velocity!$A:$A,$A39,Velocity!$B:$B,$C39)/Assumptions!$B$4*Assumptions!$B$6</f>
        <v>0.9125</v>
      </c>
      <c r="I39" s="7" t="n">
        <f aca="false">SUMIFS(Doors!U:U,Doors!$A:$A,$D39,Doors!$B:$B,$B39,Doors!$C:$C,$C39)*SUMIFS(Velocity!$I:$I,Velocity!$A:$A,$A39,Velocity!$B:$B,$C39)/Assumptions!$B$4*Assumptions!$B$6</f>
        <v>0.9125</v>
      </c>
      <c r="J39" s="7" t="n">
        <f aca="false">SUMIFS(Doors!V:V,Doors!$A:$A,$D39,Doors!$B:$B,$B39,Doors!$C:$C,$C39)*SUMIFS(Velocity!$I:$I,Velocity!$A:$A,$A39,Velocity!$B:$B,$C39)/Assumptions!$B$4*Assumptions!$B$6</f>
        <v>1.52083333333333</v>
      </c>
      <c r="K39" s="7" t="n">
        <f aca="false">SUMIFS(Doors!W:W,Doors!$A:$A,$D39,Doors!$B:$B,$B39,Doors!$C:$C,$C39)*SUMIFS(Velocity!$I:$I,Velocity!$A:$A,$A39,Velocity!$B:$B,$C39)/Assumptions!$B$4*Assumptions!$B$6</f>
        <v>1.52083333333333</v>
      </c>
      <c r="L39" s="7" t="n">
        <f aca="false">SUMIFS(Doors!X:X,Doors!$A:$A,$D39,Doors!$B:$B,$B39,Doors!$C:$C,$C39)*SUMIFS(Velocity!$I:$I,Velocity!$A:$A,$A39,Velocity!$B:$B,$C39)/Assumptions!$B$4*Assumptions!$B$6</f>
        <v>1.52083333333333</v>
      </c>
      <c r="M39" s="7" t="n">
        <f aca="false">SUMIFS(Doors!Y:Y,Doors!$A:$A,$D39,Doors!$B:$B,$B39,Doors!$C:$C,$C39)*SUMIFS(Velocity!$I:$I,Velocity!$A:$A,$A39,Velocity!$B:$B,$C39)/Assumptions!$B$4*Assumptions!$B$6</f>
        <v>1.52083333333333</v>
      </c>
      <c r="N39" s="7" t="n">
        <f aca="false">SUMIFS(Doors!Z:Z,Doors!$A:$A,$D39,Doors!$B:$B,$B39,Doors!$C:$C,$C39)*SUMIFS(Velocity!$I:$I,Velocity!$A:$A,$A39,Velocity!$B:$B,$C39)/Assumptions!$B$4*Assumptions!$B$6</f>
        <v>2.12916666666667</v>
      </c>
      <c r="O39" s="7" t="n">
        <f aca="false">SUMIFS(Doors!AA:AA,Doors!$A:$A,$D39,Doors!$B:$B,$B39,Doors!$C:$C,$C39)*SUMIFS(Velocity!$I:$I,Velocity!$A:$A,$A39,Velocity!$B:$B,$C39)/Assumptions!$B$4*Assumptions!$B$6</f>
        <v>2.12916666666667</v>
      </c>
      <c r="P39" s="7" t="n">
        <f aca="false">SUMIFS(Doors!AB:AB,Doors!$A:$A,$D39,Doors!$B:$B,$B39,Doors!$C:$C,$C39)*SUMIFS(Velocity!$I:$I,Velocity!$A:$A,$A39,Velocity!$B:$B,$C39)/Assumptions!$B$4*Assumptions!$B$6</f>
        <v>2.12916666666667</v>
      </c>
      <c r="Q39" s="7" t="n">
        <f aca="false">SUMIFS(Doors!AC:AC,Doors!$A:$A,$D39,Doors!$B:$B,$B39,Doors!$C:$C,$C39)*SUMIFS(Velocity!$I:$I,Velocity!$A:$A,$A39,Velocity!$B:$B,$C39)/Assumptions!$B$4*Assumptions!$B$6</f>
        <v>2.12916666666667</v>
      </c>
      <c r="R39" s="7" t="n">
        <f aca="false">SUMIFS(Doors!AD:AD,Doors!$A:$A,$D39,Doors!$B:$B,$B39,Doors!$C:$C,$C39)*SUMIFS(Velocity!$I:$I,Velocity!$A:$A,$A39,Velocity!$B:$B,$C39)/Assumptions!$B$4*Assumptions!$B$6</f>
        <v>2.7375</v>
      </c>
      <c r="S39" s="7" t="n">
        <f aca="false">SUMIFS(Doors!AE:AE,Doors!$A:$A,$D39,Doors!$B:$B,$B39,Doors!$C:$C,$C39)*SUMIFS(Velocity!$I:$I,Velocity!$A:$A,$A39,Velocity!$B:$B,$C39)/Assumptions!$B$4*Assumptions!$B$6</f>
        <v>2.7375</v>
      </c>
      <c r="T39" s="7" t="n">
        <f aca="false">SUMIFS(Doors!AF:AF,Doors!$A:$A,$D39,Doors!$B:$B,$B39,Doors!$C:$C,$C39)*SUMIFS(Velocity!$I:$I,Velocity!$A:$A,$A39,Velocity!$B:$B,$C39)/Assumptions!$B$4*Assumptions!$B$6</f>
        <v>2.7375</v>
      </c>
      <c r="U39" s="7" t="n">
        <f aca="false">SUMIFS(Doors!AG:AG,Doors!$A:$A,$D39,Doors!$B:$B,$B39,Doors!$C:$C,$C39)*SUMIFS(Velocity!$I:$I,Velocity!$A:$A,$A39,Velocity!$B:$B,$C39)/Assumptions!$B$4*Assumptions!$B$6</f>
        <v>2.7375</v>
      </c>
      <c r="V39" s="7" t="n">
        <f aca="false">SUMIFS(Doors!AH:AH,Doors!$A:$A,$D39,Doors!$B:$B,$B39,Doors!$C:$C,$C39)*SUMIFS(Velocity!$I:$I,Velocity!$A:$A,$A39,Velocity!$B:$B,$C39)/Assumptions!$B$4*Assumptions!$B$6</f>
        <v>2.7375</v>
      </c>
      <c r="W39" s="7" t="n">
        <f aca="false">SUMIFS(Doors!AI:AI,Doors!$A:$A,$D39,Doors!$B:$B,$B39,Doors!$C:$C,$C39)*SUMIFS(Velocity!$I:$I,Velocity!$A:$A,$A39,Velocity!$B:$B,$C39)/Assumptions!$B$4*Assumptions!$B$6</f>
        <v>3.34583333333333</v>
      </c>
      <c r="X39" s="7" t="n">
        <f aca="false">SUMIFS(Doors!AJ:AJ,Doors!$A:$A,$D39,Doors!$B:$B,$B39,Doors!$C:$C,$C39)*SUMIFS(Velocity!$I:$I,Velocity!$A:$A,$A39,Velocity!$B:$B,$C39)/Assumptions!$B$4*Assumptions!$B$6</f>
        <v>3.34583333333333</v>
      </c>
      <c r="Y39" s="7" t="n">
        <f aca="false">SUMIFS(Doors!AK:AK,Doors!$A:$A,$D39,Doors!$B:$B,$B39,Doors!$C:$C,$C39)*SUMIFS(Velocity!$I:$I,Velocity!$A:$A,$A39,Velocity!$B:$B,$C39)/Assumptions!$B$4*Assumptions!$B$6</f>
        <v>3.34583333333333</v>
      </c>
      <c r="Z39" s="7" t="n">
        <f aca="false">SUMIFS(Doors!AL:AL,Doors!$A:$A,$D39,Doors!$B:$B,$B39,Doors!$C:$C,$C39)*SUMIFS(Velocity!$I:$I,Velocity!$A:$A,$A39,Velocity!$B:$B,$C39)/Assumptions!$B$4*Assumptions!$B$6</f>
        <v>3.34583333333333</v>
      </c>
      <c r="AA39" s="7" t="n">
        <f aca="false">SUMIFS(Doors!AM:AM,Doors!$A:$A,$D39,Doors!$B:$B,$B39,Doors!$C:$C,$C39)*SUMIFS(Velocity!$I:$I,Velocity!$A:$A,$A39,Velocity!$B:$B,$C39)/Assumptions!$B$4*Assumptions!$B$6</f>
        <v>3.65</v>
      </c>
      <c r="AB39" s="7" t="n">
        <f aca="false">SUMIFS(Doors!AN:AN,Doors!$A:$A,$D39,Doors!$B:$B,$B39,Doors!$C:$C,$C39)*SUMIFS(Velocity!$I:$I,Velocity!$A:$A,$A39,Velocity!$B:$B,$C39)/Assumptions!$B$4*Assumptions!$B$6</f>
        <v>3.65</v>
      </c>
      <c r="AC39" s="7" t="n">
        <f aca="false">SUMIFS(Doors!AO:AO,Doors!$A:$A,$D39,Doors!$B:$B,$B39,Doors!$C:$C,$C39)*SUMIFS(Velocity!$I:$I,Velocity!$A:$A,$A39,Velocity!$B:$B,$C39)/Assumptions!$B$4*Assumptions!$B$6</f>
        <v>3.65</v>
      </c>
      <c r="AD39" s="7" t="n">
        <f aca="false">SUMIFS(Doors!AP:AP,Doors!$A:$A,$D39,Doors!$B:$B,$B39,Doors!$C:$C,$C39)*SUMIFS(Velocity!$I:$I,Velocity!$A:$A,$A39,Velocity!$B:$B,$C39)/Assumptions!$B$4*Assumptions!$B$6</f>
        <v>3.65</v>
      </c>
      <c r="AE39" s="7" t="n">
        <f aca="false">SUMIFS(Doors!AQ:AQ,Doors!$A:$A,$D39,Doors!$B:$B,$B39,Doors!$C:$C,$C39)*SUMIFS(Velocity!$I:$I,Velocity!$A:$A,$A39,Velocity!$B:$B,$C39)/Assumptions!$B$4*Assumptions!$B$6</f>
        <v>3.95416666666667</v>
      </c>
      <c r="AF39" s="7" t="n">
        <f aca="false">SUMIFS(Doors!AR:AR,Doors!$A:$A,$D39,Doors!$B:$B,$B39,Doors!$C:$C,$C39)*SUMIFS(Velocity!$I:$I,Velocity!$A:$A,$A39,Velocity!$B:$B,$C39)/Assumptions!$B$4*Assumptions!$B$6</f>
        <v>3.95416666666667</v>
      </c>
      <c r="AG39" s="7" t="n">
        <f aca="false">SUMIFS(Doors!AS:AS,Doors!$A:$A,$D39,Doors!$B:$B,$B39,Doors!$C:$C,$C39)*SUMIFS(Velocity!$I:$I,Velocity!$A:$A,$A39,Velocity!$B:$B,$C39)/Assumptions!$B$4*Assumptions!$B$6</f>
        <v>3.95416666666667</v>
      </c>
      <c r="AH39" s="7" t="n">
        <f aca="false">SUMIFS(Doors!AT:AT,Doors!$A:$A,$D39,Doors!$B:$B,$B39,Doors!$C:$C,$C39)*SUMIFS(Velocity!$I:$I,Velocity!$A:$A,$A39,Velocity!$B:$B,$C39)/Assumptions!$B$4*Assumptions!$B$6</f>
        <v>3.95416666666667</v>
      </c>
      <c r="AI39" s="7" t="n">
        <f aca="false">SUMIFS(Doors!AU:AU,Doors!$A:$A,$D39,Doors!$B:$B,$B39,Doors!$C:$C,$C39)*SUMIFS(Velocity!$I:$I,Velocity!$A:$A,$A39,Velocity!$B:$B,$C39)/Assumptions!$B$4*Assumptions!$B$6</f>
        <v>3.95416666666667</v>
      </c>
      <c r="AJ39" s="7" t="n">
        <f aca="false">SUMIFS(Doors!AV:AV,Doors!$A:$A,$D39,Doors!$B:$B,$B39,Doors!$C:$C,$C39)*SUMIFS(Velocity!$I:$I,Velocity!$A:$A,$A39,Velocity!$B:$B,$C39)/Assumptions!$B$4*Assumptions!$B$6</f>
        <v>4.25833333333333</v>
      </c>
      <c r="AK39" s="7" t="n">
        <f aca="false">SUMIFS(Doors!AW:AW,Doors!$A:$A,$D39,Doors!$B:$B,$B39,Doors!$C:$C,$C39)*SUMIFS(Velocity!$I:$I,Velocity!$A:$A,$A39,Velocity!$B:$B,$C39)/Assumptions!$B$4*Assumptions!$B$6</f>
        <v>4.25833333333333</v>
      </c>
      <c r="AL39" s="7" t="n">
        <f aca="false">SUMIFS(Doors!AX:AX,Doors!$A:$A,$D39,Doors!$B:$B,$B39,Doors!$C:$C,$C39)*SUMIFS(Velocity!$I:$I,Velocity!$A:$A,$A39,Velocity!$B:$B,$C39)/Assumptions!$B$4*Assumptions!$B$6</f>
        <v>4.25833333333333</v>
      </c>
      <c r="AM39" s="7" t="n">
        <f aca="false">SUMIFS(Doors!AY:AY,Doors!$A:$A,$D39,Doors!$B:$B,$B39,Doors!$C:$C,$C39)*SUMIFS(Velocity!$I:$I,Velocity!$A:$A,$A39,Velocity!$B:$B,$C39)/Assumptions!$B$4*Assumptions!$B$6</f>
        <v>4.25833333333333</v>
      </c>
      <c r="AN39" s="7" t="n">
        <f aca="false">SUMIFS(Doors!AZ:AZ,Doors!$A:$A,$D39,Doors!$B:$B,$B39,Doors!$C:$C,$C39)*SUMIFS(Velocity!$I:$I,Velocity!$A:$A,$A39,Velocity!$B:$B,$C39)/Assumptions!$B$4*Assumptions!$B$6</f>
        <v>4.25833333333333</v>
      </c>
      <c r="AO39" s="7" t="n">
        <f aca="false">SUMIFS(Doors!BA:BA,Doors!$A:$A,$D39,Doors!$B:$B,$B39,Doors!$C:$C,$C39)*SUMIFS(Velocity!$I:$I,Velocity!$A:$A,$A39,Velocity!$B:$B,$C39)/Assumptions!$B$4*Assumptions!$B$6</f>
        <v>4.25833333333333</v>
      </c>
      <c r="AP39" s="7" t="n">
        <f aca="false">SUMIFS(Doors!BB:BB,Doors!$A:$A,$D39,Doors!$B:$B,$B39,Doors!$C:$C,$C39)*SUMIFS(Velocity!$I:$I,Velocity!$A:$A,$A39,Velocity!$B:$B,$C39)/Assumptions!$B$4*Assumptions!$B$6</f>
        <v>4.25833333333333</v>
      </c>
      <c r="AQ39" s="7" t="n">
        <f aca="false">SUMIFS(Doors!BC:BC,Doors!$A:$A,$D39,Doors!$B:$B,$B39,Doors!$C:$C,$C39)*SUMIFS(Velocity!$I:$I,Velocity!$A:$A,$A39,Velocity!$B:$B,$C39)/Assumptions!$B$4*Assumptions!$B$6</f>
        <v>4.25833333333333</v>
      </c>
      <c r="AR39" s="7" t="n">
        <f aca="false">SUMIFS(Doors!BD:BD,Doors!$A:$A,$D39,Doors!$B:$B,$B39,Doors!$C:$C,$C39)*SUMIFS(Velocity!$I:$I,Velocity!$A:$A,$A39,Velocity!$B:$B,$C39)/Assumptions!$B$4*Assumptions!$B$6</f>
        <v>4.5625</v>
      </c>
      <c r="AS39" s="7" t="n">
        <f aca="false">SUMIFS(Doors!BE:BE,Doors!$A:$A,$D39,Doors!$B:$B,$B39,Doors!$C:$C,$C39)*SUMIFS(Velocity!$I:$I,Velocity!$A:$A,$A39,Velocity!$B:$B,$C39)/Assumptions!$B$4*Assumptions!$B$6</f>
        <v>4.5625</v>
      </c>
      <c r="AT39" s="7" t="n">
        <f aca="false">SUMIFS(Doors!BF:BF,Doors!$A:$A,$D39,Doors!$B:$B,$B39,Doors!$C:$C,$C39)*SUMIFS(Velocity!$I:$I,Velocity!$A:$A,$A39,Velocity!$B:$B,$C39)/Assumptions!$B$4*Assumptions!$B$6</f>
        <v>4.5625</v>
      </c>
      <c r="AU39" s="7" t="n">
        <f aca="false">SUMIFS(Doors!BG:BG,Doors!$A:$A,$D39,Doors!$B:$B,$B39,Doors!$C:$C,$C39)*SUMIFS(Velocity!$I:$I,Velocity!$A:$A,$A39,Velocity!$B:$B,$C39)/Assumptions!$B$4*Assumptions!$B$6</f>
        <v>4.5625</v>
      </c>
      <c r="AV39" s="7" t="n">
        <f aca="false">SUMIFS(Doors!BH:BH,Doors!$A:$A,$D39,Doors!$B:$B,$B39,Doors!$C:$C,$C39)*SUMIFS(Velocity!$I:$I,Velocity!$A:$A,$A39,Velocity!$B:$B,$C39)/Assumptions!$B$4*Assumptions!$B$6</f>
        <v>4.5625</v>
      </c>
      <c r="AW39" s="7" t="n">
        <f aca="false">SUMIFS(Doors!BI:BI,Doors!$A:$A,$D39,Doors!$B:$B,$B39,Doors!$C:$C,$C39)*SUMIFS(Velocity!$I:$I,Velocity!$A:$A,$A39,Velocity!$B:$B,$C39)/Assumptions!$B$4*Assumptions!$B$6</f>
        <v>4.5625</v>
      </c>
      <c r="AX39" s="7" t="n">
        <f aca="false">SUMIFS(Doors!BJ:BJ,Doors!$A:$A,$D39,Doors!$B:$B,$B39,Doors!$C:$C,$C39)*SUMIFS(Velocity!$I:$I,Velocity!$A:$A,$A39,Velocity!$B:$B,$C39)/Assumptions!$B$4*Assumptions!$B$6</f>
        <v>4.5625</v>
      </c>
      <c r="AY39" s="7" t="n">
        <f aca="false">SUMIFS(Doors!BK:BK,Doors!$A:$A,$D39,Doors!$B:$B,$B39,Doors!$C:$C,$C39)*SUMIFS(Velocity!$I:$I,Velocity!$A:$A,$A39,Velocity!$B:$B,$C39)/Assumptions!$B$4*Assumptions!$B$6</f>
        <v>4.5625</v>
      </c>
      <c r="AZ39" s="7" t="n">
        <f aca="false">SUMIFS(Doors!BL:BL,Doors!$A:$A,$D39,Doors!$B:$B,$B39,Doors!$C:$C,$C39)*SUMIFS(Velocity!$I:$I,Velocity!$A:$A,$A39,Velocity!$B:$B,$C39)/Assumptions!$B$4*Assumptions!$B$6</f>
        <v>4.5625</v>
      </c>
      <c r="BA39" s="7" t="n">
        <f aca="false">SUMIFS(Doors!BM:BM,Doors!$A:$A,$D39,Doors!$B:$B,$B39,Doors!$C:$C,$C39)*SUMIFS(Velocity!$I:$I,Velocity!$A:$A,$A39,Velocity!$B:$B,$C39)/Assumptions!$B$4*Assumptions!$B$6</f>
        <v>4.5625</v>
      </c>
      <c r="BB39" s="7" t="n">
        <f aca="false">SUMIFS(Doors!BN:BN,Doors!$A:$A,$D39,Doors!$B:$B,$B39,Doors!$C:$C,$C39)*SUMIFS(Velocity!$I:$I,Velocity!$A:$A,$A39,Velocity!$B:$B,$C39)/Assumptions!$B$4*Assumptions!$B$6</f>
        <v>4.5625</v>
      </c>
      <c r="BC39" s="7" t="n">
        <f aca="false">SUMIFS(Doors!BO:BO,Doors!$A:$A,$D39,Doors!$B:$B,$B39,Doors!$C:$C,$C39)*SUMIFS(Velocity!$I:$I,Velocity!$A:$A,$A39,Velocity!$B:$B,$C39)/Assumptions!$B$4*Assumptions!$B$6</f>
        <v>4.5625</v>
      </c>
      <c r="BD39" s="7" t="n">
        <f aca="false">SUMIFS(Doors!BP:BP,Doors!$A:$A,$D39,Doors!$B:$B,$B39,Doors!$C:$C,$C39)*SUMIFS(Velocity!$I:$I,Velocity!$A:$A,$A39,Velocity!$B:$B,$C39)/Assumptions!$B$4*Assumptions!$B$6</f>
        <v>4.5625</v>
      </c>
    </row>
    <row r="40" customFormat="false" ht="15" hidden="false" customHeight="false" outlineLevel="0" collapsed="false">
      <c r="A40" s="0" t="s">
        <v>108</v>
      </c>
      <c r="B40" s="0" t="s">
        <v>129</v>
      </c>
      <c r="C40" s="0" t="s">
        <v>122</v>
      </c>
      <c r="D40" s="0" t="s">
        <v>235</v>
      </c>
      <c r="E40" s="7" t="n">
        <f aca="false">SUMIFS(Doors!Q:Q,Doors!$A:$A,$D40,Doors!$B:$B,$B40,Doors!$C:$C,$C40)*SUMIFS(Velocity!$I:$I,Velocity!$A:$A,$A40,Velocity!$B:$B,$C40)/Assumptions!$B$4*Assumptions!$B$6</f>
        <v>0</v>
      </c>
      <c r="F40" s="7" t="n">
        <f aca="false">SUMIFS(Doors!R:R,Doors!$A:$A,$D40,Doors!$B:$B,$B40,Doors!$C:$C,$C40)*SUMIFS(Velocity!$I:$I,Velocity!$A:$A,$A40,Velocity!$B:$B,$C40)/Assumptions!$B$4*Assumptions!$B$6</f>
        <v>0</v>
      </c>
      <c r="G40" s="7" t="n">
        <f aca="false">SUMIFS(Doors!S:S,Doors!$A:$A,$D40,Doors!$B:$B,$B40,Doors!$C:$C,$C40)*SUMIFS(Velocity!$I:$I,Velocity!$A:$A,$A40,Velocity!$B:$B,$C40)/Assumptions!$B$4*Assumptions!$B$6</f>
        <v>0</v>
      </c>
      <c r="H40" s="7" t="n">
        <f aca="false">SUMIFS(Doors!T:T,Doors!$A:$A,$D40,Doors!$B:$B,$B40,Doors!$C:$C,$C40)*SUMIFS(Velocity!$I:$I,Velocity!$A:$A,$A40,Velocity!$B:$B,$C40)/Assumptions!$B$4*Assumptions!$B$6</f>
        <v>0</v>
      </c>
      <c r="I40" s="7" t="n">
        <f aca="false">SUMIFS(Doors!U:U,Doors!$A:$A,$D40,Doors!$B:$B,$B40,Doors!$C:$C,$C40)*SUMIFS(Velocity!$I:$I,Velocity!$A:$A,$A40,Velocity!$B:$B,$C40)/Assumptions!$B$4*Assumptions!$B$6</f>
        <v>0</v>
      </c>
      <c r="J40" s="7" t="n">
        <f aca="false">SUMIFS(Doors!V:V,Doors!$A:$A,$D40,Doors!$B:$B,$B40,Doors!$C:$C,$C40)*SUMIFS(Velocity!$I:$I,Velocity!$A:$A,$A40,Velocity!$B:$B,$C40)/Assumptions!$B$4*Assumptions!$B$6</f>
        <v>0</v>
      </c>
      <c r="K40" s="7" t="n">
        <f aca="false">SUMIFS(Doors!W:W,Doors!$A:$A,$D40,Doors!$B:$B,$B40,Doors!$C:$C,$C40)*SUMIFS(Velocity!$I:$I,Velocity!$A:$A,$A40,Velocity!$B:$B,$C40)/Assumptions!$B$4*Assumptions!$B$6</f>
        <v>0</v>
      </c>
      <c r="L40" s="7" t="n">
        <f aca="false">SUMIFS(Doors!X:X,Doors!$A:$A,$D40,Doors!$B:$B,$B40,Doors!$C:$C,$C40)*SUMIFS(Velocity!$I:$I,Velocity!$A:$A,$A40,Velocity!$B:$B,$C40)/Assumptions!$B$4*Assumptions!$B$6</f>
        <v>0</v>
      </c>
      <c r="M40" s="7" t="n">
        <f aca="false">SUMIFS(Doors!Y:Y,Doors!$A:$A,$D40,Doors!$B:$B,$B40,Doors!$C:$C,$C40)*SUMIFS(Velocity!$I:$I,Velocity!$A:$A,$A40,Velocity!$B:$B,$C40)/Assumptions!$B$4*Assumptions!$B$6</f>
        <v>0</v>
      </c>
      <c r="N40" s="7" t="n">
        <f aca="false">SUMIFS(Doors!Z:Z,Doors!$A:$A,$D40,Doors!$B:$B,$B40,Doors!$C:$C,$C40)*SUMIFS(Velocity!$I:$I,Velocity!$A:$A,$A40,Velocity!$B:$B,$C40)/Assumptions!$B$4*Assumptions!$B$6</f>
        <v>0.275</v>
      </c>
      <c r="O40" s="7" t="n">
        <f aca="false">SUMIFS(Doors!AA:AA,Doors!$A:$A,$D40,Doors!$B:$B,$B40,Doors!$C:$C,$C40)*SUMIFS(Velocity!$I:$I,Velocity!$A:$A,$A40,Velocity!$B:$B,$C40)/Assumptions!$B$4*Assumptions!$B$6</f>
        <v>0.275</v>
      </c>
      <c r="P40" s="7" t="n">
        <f aca="false">SUMIFS(Doors!AB:AB,Doors!$A:$A,$D40,Doors!$B:$B,$B40,Doors!$C:$C,$C40)*SUMIFS(Velocity!$I:$I,Velocity!$A:$A,$A40,Velocity!$B:$B,$C40)/Assumptions!$B$4*Assumptions!$B$6</f>
        <v>0.275</v>
      </c>
      <c r="Q40" s="7" t="n">
        <f aca="false">SUMIFS(Doors!AC:AC,Doors!$A:$A,$D40,Doors!$B:$B,$B40,Doors!$C:$C,$C40)*SUMIFS(Velocity!$I:$I,Velocity!$A:$A,$A40,Velocity!$B:$B,$C40)/Assumptions!$B$4*Assumptions!$B$6</f>
        <v>0.275</v>
      </c>
      <c r="R40" s="7" t="n">
        <f aca="false">SUMIFS(Doors!AD:AD,Doors!$A:$A,$D40,Doors!$B:$B,$B40,Doors!$C:$C,$C40)*SUMIFS(Velocity!$I:$I,Velocity!$A:$A,$A40,Velocity!$B:$B,$C40)/Assumptions!$B$4*Assumptions!$B$6</f>
        <v>0.55</v>
      </c>
      <c r="S40" s="7" t="n">
        <f aca="false">SUMIFS(Doors!AE:AE,Doors!$A:$A,$D40,Doors!$B:$B,$B40,Doors!$C:$C,$C40)*SUMIFS(Velocity!$I:$I,Velocity!$A:$A,$A40,Velocity!$B:$B,$C40)/Assumptions!$B$4*Assumptions!$B$6</f>
        <v>0.55</v>
      </c>
      <c r="T40" s="7" t="n">
        <f aca="false">SUMIFS(Doors!AF:AF,Doors!$A:$A,$D40,Doors!$B:$B,$B40,Doors!$C:$C,$C40)*SUMIFS(Velocity!$I:$I,Velocity!$A:$A,$A40,Velocity!$B:$B,$C40)/Assumptions!$B$4*Assumptions!$B$6</f>
        <v>0.55</v>
      </c>
      <c r="U40" s="7" t="n">
        <f aca="false">SUMIFS(Doors!AG:AG,Doors!$A:$A,$D40,Doors!$B:$B,$B40,Doors!$C:$C,$C40)*SUMIFS(Velocity!$I:$I,Velocity!$A:$A,$A40,Velocity!$B:$B,$C40)/Assumptions!$B$4*Assumptions!$B$6</f>
        <v>0.55</v>
      </c>
      <c r="V40" s="7" t="n">
        <f aca="false">SUMIFS(Doors!AH:AH,Doors!$A:$A,$D40,Doors!$B:$B,$B40,Doors!$C:$C,$C40)*SUMIFS(Velocity!$I:$I,Velocity!$A:$A,$A40,Velocity!$B:$B,$C40)/Assumptions!$B$4*Assumptions!$B$6</f>
        <v>0.55</v>
      </c>
      <c r="W40" s="7" t="n">
        <f aca="false">SUMIFS(Doors!AI:AI,Doors!$A:$A,$D40,Doors!$B:$B,$B40,Doors!$C:$C,$C40)*SUMIFS(Velocity!$I:$I,Velocity!$A:$A,$A40,Velocity!$B:$B,$C40)/Assumptions!$B$4*Assumptions!$B$6</f>
        <v>0.825</v>
      </c>
      <c r="X40" s="7" t="n">
        <f aca="false">SUMIFS(Doors!AJ:AJ,Doors!$A:$A,$D40,Doors!$B:$B,$B40,Doors!$C:$C,$C40)*SUMIFS(Velocity!$I:$I,Velocity!$A:$A,$A40,Velocity!$B:$B,$C40)/Assumptions!$B$4*Assumptions!$B$6</f>
        <v>0.825</v>
      </c>
      <c r="Y40" s="7" t="n">
        <f aca="false">SUMIFS(Doors!AK:AK,Doors!$A:$A,$D40,Doors!$B:$B,$B40,Doors!$C:$C,$C40)*SUMIFS(Velocity!$I:$I,Velocity!$A:$A,$A40,Velocity!$B:$B,$C40)/Assumptions!$B$4*Assumptions!$B$6</f>
        <v>0.825</v>
      </c>
      <c r="Z40" s="7" t="n">
        <f aca="false">SUMIFS(Doors!AL:AL,Doors!$A:$A,$D40,Doors!$B:$B,$B40,Doors!$C:$C,$C40)*SUMIFS(Velocity!$I:$I,Velocity!$A:$A,$A40,Velocity!$B:$B,$C40)/Assumptions!$B$4*Assumptions!$B$6</f>
        <v>0.825</v>
      </c>
      <c r="AA40" s="7" t="n">
        <f aca="false">SUMIFS(Doors!AM:AM,Doors!$A:$A,$D40,Doors!$B:$B,$B40,Doors!$C:$C,$C40)*SUMIFS(Velocity!$I:$I,Velocity!$A:$A,$A40,Velocity!$B:$B,$C40)/Assumptions!$B$4*Assumptions!$B$6</f>
        <v>1.1</v>
      </c>
      <c r="AB40" s="7" t="n">
        <f aca="false">SUMIFS(Doors!AN:AN,Doors!$A:$A,$D40,Doors!$B:$B,$B40,Doors!$C:$C,$C40)*SUMIFS(Velocity!$I:$I,Velocity!$A:$A,$A40,Velocity!$B:$B,$C40)/Assumptions!$B$4*Assumptions!$B$6</f>
        <v>1.1</v>
      </c>
      <c r="AC40" s="7" t="n">
        <f aca="false">SUMIFS(Doors!AO:AO,Doors!$A:$A,$D40,Doors!$B:$B,$B40,Doors!$C:$C,$C40)*SUMIFS(Velocity!$I:$I,Velocity!$A:$A,$A40,Velocity!$B:$B,$C40)/Assumptions!$B$4*Assumptions!$B$6</f>
        <v>1.1</v>
      </c>
      <c r="AD40" s="7" t="n">
        <f aca="false">SUMIFS(Doors!AP:AP,Doors!$A:$A,$D40,Doors!$B:$B,$B40,Doors!$C:$C,$C40)*SUMIFS(Velocity!$I:$I,Velocity!$A:$A,$A40,Velocity!$B:$B,$C40)/Assumptions!$B$4*Assumptions!$B$6</f>
        <v>1.1</v>
      </c>
      <c r="AE40" s="7" t="n">
        <f aca="false">SUMIFS(Doors!AQ:AQ,Doors!$A:$A,$D40,Doors!$B:$B,$B40,Doors!$C:$C,$C40)*SUMIFS(Velocity!$I:$I,Velocity!$A:$A,$A40,Velocity!$B:$B,$C40)/Assumptions!$B$4*Assumptions!$B$6</f>
        <v>1.375</v>
      </c>
      <c r="AF40" s="7" t="n">
        <f aca="false">SUMIFS(Doors!AR:AR,Doors!$A:$A,$D40,Doors!$B:$B,$B40,Doors!$C:$C,$C40)*SUMIFS(Velocity!$I:$I,Velocity!$A:$A,$A40,Velocity!$B:$B,$C40)/Assumptions!$B$4*Assumptions!$B$6</f>
        <v>1.375</v>
      </c>
      <c r="AG40" s="7" t="n">
        <f aca="false">SUMIFS(Doors!AS:AS,Doors!$A:$A,$D40,Doors!$B:$B,$B40,Doors!$C:$C,$C40)*SUMIFS(Velocity!$I:$I,Velocity!$A:$A,$A40,Velocity!$B:$B,$C40)/Assumptions!$B$4*Assumptions!$B$6</f>
        <v>1.375</v>
      </c>
      <c r="AH40" s="7" t="n">
        <f aca="false">SUMIFS(Doors!AT:AT,Doors!$A:$A,$D40,Doors!$B:$B,$B40,Doors!$C:$C,$C40)*SUMIFS(Velocity!$I:$I,Velocity!$A:$A,$A40,Velocity!$B:$B,$C40)/Assumptions!$B$4*Assumptions!$B$6</f>
        <v>1.375</v>
      </c>
      <c r="AI40" s="7" t="n">
        <f aca="false">SUMIFS(Doors!AU:AU,Doors!$A:$A,$D40,Doors!$B:$B,$B40,Doors!$C:$C,$C40)*SUMIFS(Velocity!$I:$I,Velocity!$A:$A,$A40,Velocity!$B:$B,$C40)/Assumptions!$B$4*Assumptions!$B$6</f>
        <v>1.375</v>
      </c>
      <c r="AJ40" s="7" t="n">
        <f aca="false">SUMIFS(Doors!AV:AV,Doors!$A:$A,$D40,Doors!$B:$B,$B40,Doors!$C:$C,$C40)*SUMIFS(Velocity!$I:$I,Velocity!$A:$A,$A40,Velocity!$B:$B,$C40)/Assumptions!$B$4*Assumptions!$B$6</f>
        <v>1.5125</v>
      </c>
      <c r="AK40" s="7" t="n">
        <f aca="false">SUMIFS(Doors!AW:AW,Doors!$A:$A,$D40,Doors!$B:$B,$B40,Doors!$C:$C,$C40)*SUMIFS(Velocity!$I:$I,Velocity!$A:$A,$A40,Velocity!$B:$B,$C40)/Assumptions!$B$4*Assumptions!$B$6</f>
        <v>1.5125</v>
      </c>
      <c r="AL40" s="7" t="n">
        <f aca="false">SUMIFS(Doors!AX:AX,Doors!$A:$A,$D40,Doors!$B:$B,$B40,Doors!$C:$C,$C40)*SUMIFS(Velocity!$I:$I,Velocity!$A:$A,$A40,Velocity!$B:$B,$C40)/Assumptions!$B$4*Assumptions!$B$6</f>
        <v>1.5125</v>
      </c>
      <c r="AM40" s="7" t="n">
        <f aca="false">SUMIFS(Doors!AY:AY,Doors!$A:$A,$D40,Doors!$B:$B,$B40,Doors!$C:$C,$C40)*SUMIFS(Velocity!$I:$I,Velocity!$A:$A,$A40,Velocity!$B:$B,$C40)/Assumptions!$B$4*Assumptions!$B$6</f>
        <v>1.5125</v>
      </c>
      <c r="AN40" s="7" t="n">
        <f aca="false">SUMIFS(Doors!AZ:AZ,Doors!$A:$A,$D40,Doors!$B:$B,$B40,Doors!$C:$C,$C40)*SUMIFS(Velocity!$I:$I,Velocity!$A:$A,$A40,Velocity!$B:$B,$C40)/Assumptions!$B$4*Assumptions!$B$6</f>
        <v>1.65</v>
      </c>
      <c r="AO40" s="7" t="n">
        <f aca="false">SUMIFS(Doors!BA:BA,Doors!$A:$A,$D40,Doors!$B:$B,$B40,Doors!$C:$C,$C40)*SUMIFS(Velocity!$I:$I,Velocity!$A:$A,$A40,Velocity!$B:$B,$C40)/Assumptions!$B$4*Assumptions!$B$6</f>
        <v>1.65</v>
      </c>
      <c r="AP40" s="7" t="n">
        <f aca="false">SUMIFS(Doors!BB:BB,Doors!$A:$A,$D40,Doors!$B:$B,$B40,Doors!$C:$C,$C40)*SUMIFS(Velocity!$I:$I,Velocity!$A:$A,$A40,Velocity!$B:$B,$C40)/Assumptions!$B$4*Assumptions!$B$6</f>
        <v>1.65</v>
      </c>
      <c r="AQ40" s="7" t="n">
        <f aca="false">SUMIFS(Doors!BC:BC,Doors!$A:$A,$D40,Doors!$B:$B,$B40,Doors!$C:$C,$C40)*SUMIFS(Velocity!$I:$I,Velocity!$A:$A,$A40,Velocity!$B:$B,$C40)/Assumptions!$B$4*Assumptions!$B$6</f>
        <v>1.65</v>
      </c>
      <c r="AR40" s="7" t="n">
        <f aca="false">SUMIFS(Doors!BD:BD,Doors!$A:$A,$D40,Doors!$B:$B,$B40,Doors!$C:$C,$C40)*SUMIFS(Velocity!$I:$I,Velocity!$A:$A,$A40,Velocity!$B:$B,$C40)/Assumptions!$B$4*Assumptions!$B$6</f>
        <v>1.7875</v>
      </c>
      <c r="AS40" s="7" t="n">
        <f aca="false">SUMIFS(Doors!BE:BE,Doors!$A:$A,$D40,Doors!$B:$B,$B40,Doors!$C:$C,$C40)*SUMIFS(Velocity!$I:$I,Velocity!$A:$A,$A40,Velocity!$B:$B,$C40)/Assumptions!$B$4*Assumptions!$B$6</f>
        <v>1.7875</v>
      </c>
      <c r="AT40" s="7" t="n">
        <f aca="false">SUMIFS(Doors!BF:BF,Doors!$A:$A,$D40,Doors!$B:$B,$B40,Doors!$C:$C,$C40)*SUMIFS(Velocity!$I:$I,Velocity!$A:$A,$A40,Velocity!$B:$B,$C40)/Assumptions!$B$4*Assumptions!$B$6</f>
        <v>1.7875</v>
      </c>
      <c r="AU40" s="7" t="n">
        <f aca="false">SUMIFS(Doors!BG:BG,Doors!$A:$A,$D40,Doors!$B:$B,$B40,Doors!$C:$C,$C40)*SUMIFS(Velocity!$I:$I,Velocity!$A:$A,$A40,Velocity!$B:$B,$C40)/Assumptions!$B$4*Assumptions!$B$6</f>
        <v>1.7875</v>
      </c>
      <c r="AV40" s="7" t="n">
        <f aca="false">SUMIFS(Doors!BH:BH,Doors!$A:$A,$D40,Doors!$B:$B,$B40,Doors!$C:$C,$C40)*SUMIFS(Velocity!$I:$I,Velocity!$A:$A,$A40,Velocity!$B:$B,$C40)/Assumptions!$B$4*Assumptions!$B$6</f>
        <v>1.7875</v>
      </c>
      <c r="AW40" s="7" t="n">
        <f aca="false">SUMIFS(Doors!BI:BI,Doors!$A:$A,$D40,Doors!$B:$B,$B40,Doors!$C:$C,$C40)*SUMIFS(Velocity!$I:$I,Velocity!$A:$A,$A40,Velocity!$B:$B,$C40)/Assumptions!$B$4*Assumptions!$B$6</f>
        <v>1.925</v>
      </c>
      <c r="AX40" s="7" t="n">
        <f aca="false">SUMIFS(Doors!BJ:BJ,Doors!$A:$A,$D40,Doors!$B:$B,$B40,Doors!$C:$C,$C40)*SUMIFS(Velocity!$I:$I,Velocity!$A:$A,$A40,Velocity!$B:$B,$C40)/Assumptions!$B$4*Assumptions!$B$6</f>
        <v>1.925</v>
      </c>
      <c r="AY40" s="7" t="n">
        <f aca="false">SUMIFS(Doors!BK:BK,Doors!$A:$A,$D40,Doors!$B:$B,$B40,Doors!$C:$C,$C40)*SUMIFS(Velocity!$I:$I,Velocity!$A:$A,$A40,Velocity!$B:$B,$C40)/Assumptions!$B$4*Assumptions!$B$6</f>
        <v>1.925</v>
      </c>
      <c r="AZ40" s="7" t="n">
        <f aca="false">SUMIFS(Doors!BL:BL,Doors!$A:$A,$D40,Doors!$B:$B,$B40,Doors!$C:$C,$C40)*SUMIFS(Velocity!$I:$I,Velocity!$A:$A,$A40,Velocity!$B:$B,$C40)/Assumptions!$B$4*Assumptions!$B$6</f>
        <v>1.925</v>
      </c>
      <c r="BA40" s="7" t="n">
        <f aca="false">SUMIFS(Doors!BM:BM,Doors!$A:$A,$D40,Doors!$B:$B,$B40,Doors!$C:$C,$C40)*SUMIFS(Velocity!$I:$I,Velocity!$A:$A,$A40,Velocity!$B:$B,$C40)/Assumptions!$B$4*Assumptions!$B$6</f>
        <v>2.0625</v>
      </c>
      <c r="BB40" s="7" t="n">
        <f aca="false">SUMIFS(Doors!BN:BN,Doors!$A:$A,$D40,Doors!$B:$B,$B40,Doors!$C:$C,$C40)*SUMIFS(Velocity!$I:$I,Velocity!$A:$A,$A40,Velocity!$B:$B,$C40)/Assumptions!$B$4*Assumptions!$B$6</f>
        <v>2.0625</v>
      </c>
      <c r="BC40" s="7" t="n">
        <f aca="false">SUMIFS(Doors!BO:BO,Doors!$A:$A,$D40,Doors!$B:$B,$B40,Doors!$C:$C,$C40)*SUMIFS(Velocity!$I:$I,Velocity!$A:$A,$A40,Velocity!$B:$B,$C40)/Assumptions!$B$4*Assumptions!$B$6</f>
        <v>2.0625</v>
      </c>
      <c r="BD40" s="7" t="n">
        <f aca="false">SUMIFS(Doors!BP:BP,Doors!$A:$A,$D40,Doors!$B:$B,$B40,Doors!$C:$C,$C40)*SUMIFS(Velocity!$I:$I,Velocity!$A:$A,$A40,Velocity!$B:$B,$C40)/Assumptions!$B$4*Assumptions!$B$6</f>
        <v>2.0625</v>
      </c>
    </row>
    <row r="41" customFormat="false" ht="15" hidden="false" customHeight="false" outlineLevel="0" collapsed="false">
      <c r="A41" s="0" t="s">
        <v>108</v>
      </c>
      <c r="B41" s="0" t="s">
        <v>129</v>
      </c>
      <c r="C41" s="0" t="s">
        <v>123</v>
      </c>
      <c r="D41" s="0" t="s">
        <v>235</v>
      </c>
      <c r="E41" s="7" t="n">
        <f aca="false">SUMIFS(Doors!Q:Q,Doors!$A:$A,$D41,Doors!$B:$B,$B41,Doors!$C:$C,$C41)*SUMIFS(Velocity!$I:$I,Velocity!$A:$A,$A41,Velocity!$B:$B,$C41)/Assumptions!$B$4*Assumptions!$B$6</f>
        <v>0</v>
      </c>
      <c r="F41" s="7" t="n">
        <f aca="false">SUMIFS(Doors!R:R,Doors!$A:$A,$D41,Doors!$B:$B,$B41,Doors!$C:$C,$C41)*SUMIFS(Velocity!$I:$I,Velocity!$A:$A,$A41,Velocity!$B:$B,$C41)/Assumptions!$B$4*Assumptions!$B$6</f>
        <v>0</v>
      </c>
      <c r="G41" s="7" t="n">
        <f aca="false">SUMIFS(Doors!S:S,Doors!$A:$A,$D41,Doors!$B:$B,$B41,Doors!$C:$C,$C41)*SUMIFS(Velocity!$I:$I,Velocity!$A:$A,$A41,Velocity!$B:$B,$C41)/Assumptions!$B$4*Assumptions!$B$6</f>
        <v>0</v>
      </c>
      <c r="H41" s="7" t="n">
        <f aca="false">SUMIFS(Doors!T:T,Doors!$A:$A,$D41,Doors!$B:$B,$B41,Doors!$C:$C,$C41)*SUMIFS(Velocity!$I:$I,Velocity!$A:$A,$A41,Velocity!$B:$B,$C41)/Assumptions!$B$4*Assumptions!$B$6</f>
        <v>0</v>
      </c>
      <c r="I41" s="7" t="n">
        <f aca="false">SUMIFS(Doors!U:U,Doors!$A:$A,$D41,Doors!$B:$B,$B41,Doors!$C:$C,$C41)*SUMIFS(Velocity!$I:$I,Velocity!$A:$A,$A41,Velocity!$B:$B,$C41)/Assumptions!$B$4*Assumptions!$B$6</f>
        <v>0</v>
      </c>
      <c r="J41" s="7" t="n">
        <f aca="false">SUMIFS(Doors!V:V,Doors!$A:$A,$D41,Doors!$B:$B,$B41,Doors!$C:$C,$C41)*SUMIFS(Velocity!$I:$I,Velocity!$A:$A,$A41,Velocity!$B:$B,$C41)/Assumptions!$B$4*Assumptions!$B$6</f>
        <v>0</v>
      </c>
      <c r="K41" s="7" t="n">
        <f aca="false">SUMIFS(Doors!W:W,Doors!$A:$A,$D41,Doors!$B:$B,$B41,Doors!$C:$C,$C41)*SUMIFS(Velocity!$I:$I,Velocity!$A:$A,$A41,Velocity!$B:$B,$C41)/Assumptions!$B$4*Assumptions!$B$6</f>
        <v>0</v>
      </c>
      <c r="L41" s="7" t="n">
        <f aca="false">SUMIFS(Doors!X:X,Doors!$A:$A,$D41,Doors!$B:$B,$B41,Doors!$C:$C,$C41)*SUMIFS(Velocity!$I:$I,Velocity!$A:$A,$A41,Velocity!$B:$B,$C41)/Assumptions!$B$4*Assumptions!$B$6</f>
        <v>0</v>
      </c>
      <c r="M41" s="7" t="n">
        <f aca="false">SUMIFS(Doors!Y:Y,Doors!$A:$A,$D41,Doors!$B:$B,$B41,Doors!$C:$C,$C41)*SUMIFS(Velocity!$I:$I,Velocity!$A:$A,$A41,Velocity!$B:$B,$C41)/Assumptions!$B$4*Assumptions!$B$6</f>
        <v>0</v>
      </c>
      <c r="N41" s="7" t="n">
        <f aca="false">SUMIFS(Doors!Z:Z,Doors!$A:$A,$D41,Doors!$B:$B,$B41,Doors!$C:$C,$C41)*SUMIFS(Velocity!$I:$I,Velocity!$A:$A,$A41,Velocity!$B:$B,$C41)/Assumptions!$B$4*Assumptions!$B$6</f>
        <v>0</v>
      </c>
      <c r="O41" s="7" t="n">
        <f aca="false">SUMIFS(Doors!AA:AA,Doors!$A:$A,$D41,Doors!$B:$B,$B41,Doors!$C:$C,$C41)*SUMIFS(Velocity!$I:$I,Velocity!$A:$A,$A41,Velocity!$B:$B,$C41)/Assumptions!$B$4*Assumptions!$B$6</f>
        <v>0</v>
      </c>
      <c r="P41" s="7" t="n">
        <f aca="false">SUMIFS(Doors!AB:AB,Doors!$A:$A,$D41,Doors!$B:$B,$B41,Doors!$C:$C,$C41)*SUMIFS(Velocity!$I:$I,Velocity!$A:$A,$A41,Velocity!$B:$B,$C41)/Assumptions!$B$4*Assumptions!$B$6</f>
        <v>0</v>
      </c>
      <c r="Q41" s="7" t="n">
        <f aca="false">SUMIFS(Doors!AC:AC,Doors!$A:$A,$D41,Doors!$B:$B,$B41,Doors!$C:$C,$C41)*SUMIFS(Velocity!$I:$I,Velocity!$A:$A,$A41,Velocity!$B:$B,$C41)/Assumptions!$B$4*Assumptions!$B$6</f>
        <v>0</v>
      </c>
      <c r="R41" s="7" t="n">
        <f aca="false">SUMIFS(Doors!AD:AD,Doors!$A:$A,$D41,Doors!$B:$B,$B41,Doors!$C:$C,$C41)*SUMIFS(Velocity!$I:$I,Velocity!$A:$A,$A41,Velocity!$B:$B,$C41)/Assumptions!$B$4*Assumptions!$B$6</f>
        <v>0</v>
      </c>
      <c r="S41" s="7" t="n">
        <f aca="false">SUMIFS(Doors!AE:AE,Doors!$A:$A,$D41,Doors!$B:$B,$B41,Doors!$C:$C,$C41)*SUMIFS(Velocity!$I:$I,Velocity!$A:$A,$A41,Velocity!$B:$B,$C41)/Assumptions!$B$4*Assumptions!$B$6</f>
        <v>0</v>
      </c>
      <c r="T41" s="7" t="n">
        <f aca="false">SUMIFS(Doors!AF:AF,Doors!$A:$A,$D41,Doors!$B:$B,$B41,Doors!$C:$C,$C41)*SUMIFS(Velocity!$I:$I,Velocity!$A:$A,$A41,Velocity!$B:$B,$C41)/Assumptions!$B$4*Assumptions!$B$6</f>
        <v>0</v>
      </c>
      <c r="U41" s="7" t="n">
        <f aca="false">SUMIFS(Doors!AG:AG,Doors!$A:$A,$D41,Doors!$B:$B,$B41,Doors!$C:$C,$C41)*SUMIFS(Velocity!$I:$I,Velocity!$A:$A,$A41,Velocity!$B:$B,$C41)/Assumptions!$B$4*Assumptions!$B$6</f>
        <v>0</v>
      </c>
      <c r="V41" s="7" t="n">
        <f aca="false">SUMIFS(Doors!AH:AH,Doors!$A:$A,$D41,Doors!$B:$B,$B41,Doors!$C:$C,$C41)*SUMIFS(Velocity!$I:$I,Velocity!$A:$A,$A41,Velocity!$B:$B,$C41)/Assumptions!$B$4*Assumptions!$B$6</f>
        <v>0</v>
      </c>
      <c r="W41" s="7" t="n">
        <f aca="false">SUMIFS(Doors!AI:AI,Doors!$A:$A,$D41,Doors!$B:$B,$B41,Doors!$C:$C,$C41)*SUMIFS(Velocity!$I:$I,Velocity!$A:$A,$A41,Velocity!$B:$B,$C41)/Assumptions!$B$4*Assumptions!$B$6</f>
        <v>0</v>
      </c>
      <c r="X41" s="7" t="n">
        <f aca="false">SUMIFS(Doors!AJ:AJ,Doors!$A:$A,$D41,Doors!$B:$B,$B41,Doors!$C:$C,$C41)*SUMIFS(Velocity!$I:$I,Velocity!$A:$A,$A41,Velocity!$B:$B,$C41)/Assumptions!$B$4*Assumptions!$B$6</f>
        <v>0</v>
      </c>
      <c r="Y41" s="7" t="n">
        <f aca="false">SUMIFS(Doors!AK:AK,Doors!$A:$A,$D41,Doors!$B:$B,$B41,Doors!$C:$C,$C41)*SUMIFS(Velocity!$I:$I,Velocity!$A:$A,$A41,Velocity!$B:$B,$C41)/Assumptions!$B$4*Assumptions!$B$6</f>
        <v>0</v>
      </c>
      <c r="Z41" s="7" t="n">
        <f aca="false">SUMIFS(Doors!AL:AL,Doors!$A:$A,$D41,Doors!$B:$B,$B41,Doors!$C:$C,$C41)*SUMIFS(Velocity!$I:$I,Velocity!$A:$A,$A41,Velocity!$B:$B,$C41)/Assumptions!$B$4*Assumptions!$B$6</f>
        <v>0</v>
      </c>
      <c r="AA41" s="7" t="n">
        <f aca="false">SUMIFS(Doors!AM:AM,Doors!$A:$A,$D41,Doors!$B:$B,$B41,Doors!$C:$C,$C41)*SUMIFS(Velocity!$I:$I,Velocity!$A:$A,$A41,Velocity!$B:$B,$C41)/Assumptions!$B$4*Assumptions!$B$6</f>
        <v>0</v>
      </c>
      <c r="AB41" s="7" t="n">
        <f aca="false">SUMIFS(Doors!AN:AN,Doors!$A:$A,$D41,Doors!$B:$B,$B41,Doors!$C:$C,$C41)*SUMIFS(Velocity!$I:$I,Velocity!$A:$A,$A41,Velocity!$B:$B,$C41)/Assumptions!$B$4*Assumptions!$B$6</f>
        <v>0</v>
      </c>
      <c r="AC41" s="7" t="n">
        <f aca="false">SUMIFS(Doors!AO:AO,Doors!$A:$A,$D41,Doors!$B:$B,$B41,Doors!$C:$C,$C41)*SUMIFS(Velocity!$I:$I,Velocity!$A:$A,$A41,Velocity!$B:$B,$C41)/Assumptions!$B$4*Assumptions!$B$6</f>
        <v>0</v>
      </c>
      <c r="AD41" s="7" t="n">
        <f aca="false">SUMIFS(Doors!AP:AP,Doors!$A:$A,$D41,Doors!$B:$B,$B41,Doors!$C:$C,$C41)*SUMIFS(Velocity!$I:$I,Velocity!$A:$A,$A41,Velocity!$B:$B,$C41)/Assumptions!$B$4*Assumptions!$B$6</f>
        <v>0</v>
      </c>
      <c r="AE41" s="7" t="n">
        <f aca="false">SUMIFS(Doors!AQ:AQ,Doors!$A:$A,$D41,Doors!$B:$B,$B41,Doors!$C:$C,$C41)*SUMIFS(Velocity!$I:$I,Velocity!$A:$A,$A41,Velocity!$B:$B,$C41)/Assumptions!$B$4*Assumptions!$B$6</f>
        <v>0</v>
      </c>
      <c r="AF41" s="7" t="n">
        <f aca="false">SUMIFS(Doors!AR:AR,Doors!$A:$A,$D41,Doors!$B:$B,$B41,Doors!$C:$C,$C41)*SUMIFS(Velocity!$I:$I,Velocity!$A:$A,$A41,Velocity!$B:$B,$C41)/Assumptions!$B$4*Assumptions!$B$6</f>
        <v>0</v>
      </c>
      <c r="AG41" s="7" t="n">
        <f aca="false">SUMIFS(Doors!AS:AS,Doors!$A:$A,$D41,Doors!$B:$B,$B41,Doors!$C:$C,$C41)*SUMIFS(Velocity!$I:$I,Velocity!$A:$A,$A41,Velocity!$B:$B,$C41)/Assumptions!$B$4*Assumptions!$B$6</f>
        <v>0</v>
      </c>
      <c r="AH41" s="7" t="n">
        <f aca="false">SUMIFS(Doors!AT:AT,Doors!$A:$A,$D41,Doors!$B:$B,$B41,Doors!$C:$C,$C41)*SUMIFS(Velocity!$I:$I,Velocity!$A:$A,$A41,Velocity!$B:$B,$C41)/Assumptions!$B$4*Assumptions!$B$6</f>
        <v>0</v>
      </c>
      <c r="AI41" s="7" t="n">
        <f aca="false">SUMIFS(Doors!AU:AU,Doors!$A:$A,$D41,Doors!$B:$B,$B41,Doors!$C:$C,$C41)*SUMIFS(Velocity!$I:$I,Velocity!$A:$A,$A41,Velocity!$B:$B,$C41)/Assumptions!$B$4*Assumptions!$B$6</f>
        <v>0</v>
      </c>
      <c r="AJ41" s="7" t="n">
        <f aca="false">SUMIFS(Doors!AV:AV,Doors!$A:$A,$D41,Doors!$B:$B,$B41,Doors!$C:$C,$C41)*SUMIFS(Velocity!$I:$I,Velocity!$A:$A,$A41,Velocity!$B:$B,$C41)/Assumptions!$B$4*Assumptions!$B$6</f>
        <v>0</v>
      </c>
      <c r="AK41" s="7" t="n">
        <f aca="false">SUMIFS(Doors!AW:AW,Doors!$A:$A,$D41,Doors!$B:$B,$B41,Doors!$C:$C,$C41)*SUMIFS(Velocity!$I:$I,Velocity!$A:$A,$A41,Velocity!$B:$B,$C41)/Assumptions!$B$4*Assumptions!$B$6</f>
        <v>0</v>
      </c>
      <c r="AL41" s="7" t="n">
        <f aca="false">SUMIFS(Doors!AX:AX,Doors!$A:$A,$D41,Doors!$B:$B,$B41,Doors!$C:$C,$C41)*SUMIFS(Velocity!$I:$I,Velocity!$A:$A,$A41,Velocity!$B:$B,$C41)/Assumptions!$B$4*Assumptions!$B$6</f>
        <v>0</v>
      </c>
      <c r="AM41" s="7" t="n">
        <f aca="false">SUMIFS(Doors!AY:AY,Doors!$A:$A,$D41,Doors!$B:$B,$B41,Doors!$C:$C,$C41)*SUMIFS(Velocity!$I:$I,Velocity!$A:$A,$A41,Velocity!$B:$B,$C41)/Assumptions!$B$4*Assumptions!$B$6</f>
        <v>0</v>
      </c>
      <c r="AN41" s="7" t="n">
        <f aca="false">SUMIFS(Doors!AZ:AZ,Doors!$A:$A,$D41,Doors!$B:$B,$B41,Doors!$C:$C,$C41)*SUMIFS(Velocity!$I:$I,Velocity!$A:$A,$A41,Velocity!$B:$B,$C41)/Assumptions!$B$4*Assumptions!$B$6</f>
        <v>0</v>
      </c>
      <c r="AO41" s="7" t="n">
        <f aca="false">SUMIFS(Doors!BA:BA,Doors!$A:$A,$D41,Doors!$B:$B,$B41,Doors!$C:$C,$C41)*SUMIFS(Velocity!$I:$I,Velocity!$A:$A,$A41,Velocity!$B:$B,$C41)/Assumptions!$B$4*Assumptions!$B$6</f>
        <v>0</v>
      </c>
      <c r="AP41" s="7" t="n">
        <f aca="false">SUMIFS(Doors!BB:BB,Doors!$A:$A,$D41,Doors!$B:$B,$B41,Doors!$C:$C,$C41)*SUMIFS(Velocity!$I:$I,Velocity!$A:$A,$A41,Velocity!$B:$B,$C41)/Assumptions!$B$4*Assumptions!$B$6</f>
        <v>0</v>
      </c>
      <c r="AQ41" s="7" t="n">
        <f aca="false">SUMIFS(Doors!BC:BC,Doors!$A:$A,$D41,Doors!$B:$B,$B41,Doors!$C:$C,$C41)*SUMIFS(Velocity!$I:$I,Velocity!$A:$A,$A41,Velocity!$B:$B,$C41)/Assumptions!$B$4*Assumptions!$B$6</f>
        <v>0</v>
      </c>
      <c r="AR41" s="7" t="n">
        <f aca="false">SUMIFS(Doors!BD:BD,Doors!$A:$A,$D41,Doors!$B:$B,$B41,Doors!$C:$C,$C41)*SUMIFS(Velocity!$I:$I,Velocity!$A:$A,$A41,Velocity!$B:$B,$C41)/Assumptions!$B$4*Assumptions!$B$6</f>
        <v>0</v>
      </c>
      <c r="AS41" s="7" t="n">
        <f aca="false">SUMIFS(Doors!BE:BE,Doors!$A:$A,$D41,Doors!$B:$B,$B41,Doors!$C:$C,$C41)*SUMIFS(Velocity!$I:$I,Velocity!$A:$A,$A41,Velocity!$B:$B,$C41)/Assumptions!$B$4*Assumptions!$B$6</f>
        <v>0</v>
      </c>
      <c r="AT41" s="7" t="n">
        <f aca="false">SUMIFS(Doors!BF:BF,Doors!$A:$A,$D41,Doors!$B:$B,$B41,Doors!$C:$C,$C41)*SUMIFS(Velocity!$I:$I,Velocity!$A:$A,$A41,Velocity!$B:$B,$C41)/Assumptions!$B$4*Assumptions!$B$6</f>
        <v>0</v>
      </c>
      <c r="AU41" s="7" t="n">
        <f aca="false">SUMIFS(Doors!BG:BG,Doors!$A:$A,$D41,Doors!$B:$B,$B41,Doors!$C:$C,$C41)*SUMIFS(Velocity!$I:$I,Velocity!$A:$A,$A41,Velocity!$B:$B,$C41)/Assumptions!$B$4*Assumptions!$B$6</f>
        <v>0</v>
      </c>
      <c r="AV41" s="7" t="n">
        <f aca="false">SUMIFS(Doors!BH:BH,Doors!$A:$A,$D41,Doors!$B:$B,$B41,Doors!$C:$C,$C41)*SUMIFS(Velocity!$I:$I,Velocity!$A:$A,$A41,Velocity!$B:$B,$C41)/Assumptions!$B$4*Assumptions!$B$6</f>
        <v>0</v>
      </c>
      <c r="AW41" s="7" t="n">
        <f aca="false">SUMIFS(Doors!BI:BI,Doors!$A:$A,$D41,Doors!$B:$B,$B41,Doors!$C:$C,$C41)*SUMIFS(Velocity!$I:$I,Velocity!$A:$A,$A41,Velocity!$B:$B,$C41)/Assumptions!$B$4*Assumptions!$B$6</f>
        <v>0</v>
      </c>
      <c r="AX41" s="7" t="n">
        <f aca="false">SUMIFS(Doors!BJ:BJ,Doors!$A:$A,$D41,Doors!$B:$B,$B41,Doors!$C:$C,$C41)*SUMIFS(Velocity!$I:$I,Velocity!$A:$A,$A41,Velocity!$B:$B,$C41)/Assumptions!$B$4*Assumptions!$B$6</f>
        <v>0</v>
      </c>
      <c r="AY41" s="7" t="n">
        <f aca="false">SUMIFS(Doors!BK:BK,Doors!$A:$A,$D41,Doors!$B:$B,$B41,Doors!$C:$C,$C41)*SUMIFS(Velocity!$I:$I,Velocity!$A:$A,$A41,Velocity!$B:$B,$C41)/Assumptions!$B$4*Assumptions!$B$6</f>
        <v>0</v>
      </c>
      <c r="AZ41" s="7" t="n">
        <f aca="false">SUMIFS(Doors!BL:BL,Doors!$A:$A,$D41,Doors!$B:$B,$B41,Doors!$C:$C,$C41)*SUMIFS(Velocity!$I:$I,Velocity!$A:$A,$A41,Velocity!$B:$B,$C41)/Assumptions!$B$4*Assumptions!$B$6</f>
        <v>0</v>
      </c>
      <c r="BA41" s="7" t="n">
        <f aca="false">SUMIFS(Doors!BM:BM,Doors!$A:$A,$D41,Doors!$B:$B,$B41,Doors!$C:$C,$C41)*SUMIFS(Velocity!$I:$I,Velocity!$A:$A,$A41,Velocity!$B:$B,$C41)/Assumptions!$B$4*Assumptions!$B$6</f>
        <v>0</v>
      </c>
      <c r="BB41" s="7" t="n">
        <f aca="false">SUMIFS(Doors!BN:BN,Doors!$A:$A,$D41,Doors!$B:$B,$B41,Doors!$C:$C,$C41)*SUMIFS(Velocity!$I:$I,Velocity!$A:$A,$A41,Velocity!$B:$B,$C41)/Assumptions!$B$4*Assumptions!$B$6</f>
        <v>0</v>
      </c>
      <c r="BC41" s="7" t="n">
        <f aca="false">SUMIFS(Doors!BO:BO,Doors!$A:$A,$D41,Doors!$B:$B,$B41,Doors!$C:$C,$C41)*SUMIFS(Velocity!$I:$I,Velocity!$A:$A,$A41,Velocity!$B:$B,$C41)/Assumptions!$B$4*Assumptions!$B$6</f>
        <v>0</v>
      </c>
      <c r="BD41" s="7" t="n">
        <f aca="false">SUMIFS(Doors!BP:BP,Doors!$A:$A,$D41,Doors!$B:$B,$B41,Doors!$C:$C,$C41)*SUMIFS(Velocity!$I:$I,Velocity!$A:$A,$A41,Velocity!$B:$B,$C41)/Assumptions!$B$4*Assumptions!$B$6</f>
        <v>0</v>
      </c>
    </row>
    <row r="42" customFormat="false" ht="15" hidden="false" customHeight="false" outlineLevel="0" collapsed="false">
      <c r="A42" s="0" t="s">
        <v>108</v>
      </c>
      <c r="B42" s="0" t="s">
        <v>130</v>
      </c>
      <c r="C42" s="0" t="s">
        <v>115</v>
      </c>
      <c r="D42" s="0" t="s">
        <v>235</v>
      </c>
      <c r="E42" s="7" t="n">
        <f aca="false">SUMIFS(Doors!Q:Q,Doors!$A:$A,$D42,Doors!$B:$B,$B42,Doors!$C:$C,$C42)*SUMIFS(Velocity!$I:$I,Velocity!$A:$A,$A42,Velocity!$B:$B,$C42)/Assumptions!$B$4*Assumptions!$B$6</f>
        <v>3.29166666666667</v>
      </c>
      <c r="F42" s="7" t="n">
        <f aca="false">SUMIFS(Doors!R:R,Doors!$A:$A,$D42,Doors!$B:$B,$B42,Doors!$C:$C,$C42)*SUMIFS(Velocity!$I:$I,Velocity!$A:$A,$A42,Velocity!$B:$B,$C42)/Assumptions!$B$4*Assumptions!$B$6</f>
        <v>3.29166666666667</v>
      </c>
      <c r="G42" s="7" t="n">
        <f aca="false">SUMIFS(Doors!S:S,Doors!$A:$A,$D42,Doors!$B:$B,$B42,Doors!$C:$C,$C42)*SUMIFS(Velocity!$I:$I,Velocity!$A:$A,$A42,Velocity!$B:$B,$C42)/Assumptions!$B$4*Assumptions!$B$6</f>
        <v>3.29166666666667</v>
      </c>
      <c r="H42" s="7" t="n">
        <f aca="false">SUMIFS(Doors!T:T,Doors!$A:$A,$D42,Doors!$B:$B,$B42,Doors!$C:$C,$C42)*SUMIFS(Velocity!$I:$I,Velocity!$A:$A,$A42,Velocity!$B:$B,$C42)/Assumptions!$B$4*Assumptions!$B$6</f>
        <v>3.29166666666667</v>
      </c>
      <c r="I42" s="7" t="n">
        <f aca="false">SUMIFS(Doors!U:U,Doors!$A:$A,$D42,Doors!$B:$B,$B42,Doors!$C:$C,$C42)*SUMIFS(Velocity!$I:$I,Velocity!$A:$A,$A42,Velocity!$B:$B,$C42)/Assumptions!$B$4*Assumptions!$B$6</f>
        <v>3.29166666666667</v>
      </c>
      <c r="J42" s="7" t="n">
        <f aca="false">SUMIFS(Doors!V:V,Doors!$A:$A,$D42,Doors!$B:$B,$B42,Doors!$C:$C,$C42)*SUMIFS(Velocity!$I:$I,Velocity!$A:$A,$A42,Velocity!$B:$B,$C42)/Assumptions!$B$4*Assumptions!$B$6</f>
        <v>5.925</v>
      </c>
      <c r="K42" s="7" t="n">
        <f aca="false">SUMIFS(Doors!W:W,Doors!$A:$A,$D42,Doors!$B:$B,$B42,Doors!$C:$C,$C42)*SUMIFS(Velocity!$I:$I,Velocity!$A:$A,$A42,Velocity!$B:$B,$C42)/Assumptions!$B$4*Assumptions!$B$6</f>
        <v>5.925</v>
      </c>
      <c r="L42" s="7" t="n">
        <f aca="false">SUMIFS(Doors!X:X,Doors!$A:$A,$D42,Doors!$B:$B,$B42,Doors!$C:$C,$C42)*SUMIFS(Velocity!$I:$I,Velocity!$A:$A,$A42,Velocity!$B:$B,$C42)/Assumptions!$B$4*Assumptions!$B$6</f>
        <v>5.925</v>
      </c>
      <c r="M42" s="7" t="n">
        <f aca="false">SUMIFS(Doors!Y:Y,Doors!$A:$A,$D42,Doors!$B:$B,$B42,Doors!$C:$C,$C42)*SUMIFS(Velocity!$I:$I,Velocity!$A:$A,$A42,Velocity!$B:$B,$C42)/Assumptions!$B$4*Assumptions!$B$6</f>
        <v>5.925</v>
      </c>
      <c r="N42" s="7" t="n">
        <f aca="false">SUMIFS(Doors!Z:Z,Doors!$A:$A,$D42,Doors!$B:$B,$B42,Doors!$C:$C,$C42)*SUMIFS(Velocity!$I:$I,Velocity!$A:$A,$A42,Velocity!$B:$B,$C42)/Assumptions!$B$4*Assumptions!$B$6</f>
        <v>9.21666666666667</v>
      </c>
      <c r="O42" s="7" t="n">
        <f aca="false">SUMIFS(Doors!AA:AA,Doors!$A:$A,$D42,Doors!$B:$B,$B42,Doors!$C:$C,$C42)*SUMIFS(Velocity!$I:$I,Velocity!$A:$A,$A42,Velocity!$B:$B,$C42)/Assumptions!$B$4*Assumptions!$B$6</f>
        <v>9.21666666666667</v>
      </c>
      <c r="P42" s="7" t="n">
        <f aca="false">SUMIFS(Doors!AB:AB,Doors!$A:$A,$D42,Doors!$B:$B,$B42,Doors!$C:$C,$C42)*SUMIFS(Velocity!$I:$I,Velocity!$A:$A,$A42,Velocity!$B:$B,$C42)/Assumptions!$B$4*Assumptions!$B$6</f>
        <v>9.21666666666667</v>
      </c>
      <c r="Q42" s="7" t="n">
        <f aca="false">SUMIFS(Doors!AC:AC,Doors!$A:$A,$D42,Doors!$B:$B,$B42,Doors!$C:$C,$C42)*SUMIFS(Velocity!$I:$I,Velocity!$A:$A,$A42,Velocity!$B:$B,$C42)/Assumptions!$B$4*Assumptions!$B$6</f>
        <v>9.21666666666667</v>
      </c>
      <c r="R42" s="7" t="n">
        <f aca="false">SUMIFS(Doors!AD:AD,Doors!$A:$A,$D42,Doors!$B:$B,$B42,Doors!$C:$C,$C42)*SUMIFS(Velocity!$I:$I,Velocity!$A:$A,$A42,Velocity!$B:$B,$C42)/Assumptions!$B$4*Assumptions!$B$6</f>
        <v>13.1666666666667</v>
      </c>
      <c r="S42" s="7" t="n">
        <f aca="false">SUMIFS(Doors!AE:AE,Doors!$A:$A,$D42,Doors!$B:$B,$B42,Doors!$C:$C,$C42)*SUMIFS(Velocity!$I:$I,Velocity!$A:$A,$A42,Velocity!$B:$B,$C42)/Assumptions!$B$4*Assumptions!$B$6</f>
        <v>13.1666666666667</v>
      </c>
      <c r="T42" s="7" t="n">
        <f aca="false">SUMIFS(Doors!AF:AF,Doors!$A:$A,$D42,Doors!$B:$B,$B42,Doors!$C:$C,$C42)*SUMIFS(Velocity!$I:$I,Velocity!$A:$A,$A42,Velocity!$B:$B,$C42)/Assumptions!$B$4*Assumptions!$B$6</f>
        <v>13.1666666666667</v>
      </c>
      <c r="U42" s="7" t="n">
        <f aca="false">SUMIFS(Doors!AG:AG,Doors!$A:$A,$D42,Doors!$B:$B,$B42,Doors!$C:$C,$C42)*SUMIFS(Velocity!$I:$I,Velocity!$A:$A,$A42,Velocity!$B:$B,$C42)/Assumptions!$B$4*Assumptions!$B$6</f>
        <v>13.1666666666667</v>
      </c>
      <c r="V42" s="7" t="n">
        <f aca="false">SUMIFS(Doors!AH:AH,Doors!$A:$A,$D42,Doors!$B:$B,$B42,Doors!$C:$C,$C42)*SUMIFS(Velocity!$I:$I,Velocity!$A:$A,$A42,Velocity!$B:$B,$C42)/Assumptions!$B$4*Assumptions!$B$6</f>
        <v>13.1666666666667</v>
      </c>
      <c r="W42" s="7" t="n">
        <f aca="false">SUMIFS(Doors!AI:AI,Doors!$A:$A,$D42,Doors!$B:$B,$B42,Doors!$C:$C,$C42)*SUMIFS(Velocity!$I:$I,Velocity!$A:$A,$A42,Velocity!$B:$B,$C42)/Assumptions!$B$4*Assumptions!$B$6</f>
        <v>18.1041666666667</v>
      </c>
      <c r="X42" s="7" t="n">
        <f aca="false">SUMIFS(Doors!AJ:AJ,Doors!$A:$A,$D42,Doors!$B:$B,$B42,Doors!$C:$C,$C42)*SUMIFS(Velocity!$I:$I,Velocity!$A:$A,$A42,Velocity!$B:$B,$C42)/Assumptions!$B$4*Assumptions!$B$6</f>
        <v>18.1041666666667</v>
      </c>
      <c r="Y42" s="7" t="n">
        <f aca="false">SUMIFS(Doors!AK:AK,Doors!$A:$A,$D42,Doors!$B:$B,$B42,Doors!$C:$C,$C42)*SUMIFS(Velocity!$I:$I,Velocity!$A:$A,$A42,Velocity!$B:$B,$C42)/Assumptions!$B$4*Assumptions!$B$6</f>
        <v>18.1041666666667</v>
      </c>
      <c r="Z42" s="7" t="n">
        <f aca="false">SUMIFS(Doors!AL:AL,Doors!$A:$A,$D42,Doors!$B:$B,$B42,Doors!$C:$C,$C42)*SUMIFS(Velocity!$I:$I,Velocity!$A:$A,$A42,Velocity!$B:$B,$C42)/Assumptions!$B$4*Assumptions!$B$6</f>
        <v>18.1041666666667</v>
      </c>
      <c r="AA42" s="7" t="n">
        <f aca="false">SUMIFS(Doors!AM:AM,Doors!$A:$A,$D42,Doors!$B:$B,$B42,Doors!$C:$C,$C42)*SUMIFS(Velocity!$I:$I,Velocity!$A:$A,$A42,Velocity!$B:$B,$C42)/Assumptions!$B$4*Assumptions!$B$6</f>
        <v>24.6875</v>
      </c>
      <c r="AB42" s="7" t="n">
        <f aca="false">SUMIFS(Doors!AN:AN,Doors!$A:$A,$D42,Doors!$B:$B,$B42,Doors!$C:$C,$C42)*SUMIFS(Velocity!$I:$I,Velocity!$A:$A,$A42,Velocity!$B:$B,$C42)/Assumptions!$B$4*Assumptions!$B$6</f>
        <v>24.6875</v>
      </c>
      <c r="AC42" s="7" t="n">
        <f aca="false">SUMIFS(Doors!AO:AO,Doors!$A:$A,$D42,Doors!$B:$B,$B42,Doors!$C:$C,$C42)*SUMIFS(Velocity!$I:$I,Velocity!$A:$A,$A42,Velocity!$B:$B,$C42)/Assumptions!$B$4*Assumptions!$B$6</f>
        <v>24.6875</v>
      </c>
      <c r="AD42" s="7" t="n">
        <f aca="false">SUMIFS(Doors!AP:AP,Doors!$A:$A,$D42,Doors!$B:$B,$B42,Doors!$C:$C,$C42)*SUMIFS(Velocity!$I:$I,Velocity!$A:$A,$A42,Velocity!$B:$B,$C42)/Assumptions!$B$4*Assumptions!$B$6</f>
        <v>24.6875</v>
      </c>
      <c r="AE42" s="7" t="n">
        <f aca="false">SUMIFS(Doors!AQ:AQ,Doors!$A:$A,$D42,Doors!$B:$B,$B42,Doors!$C:$C,$C42)*SUMIFS(Velocity!$I:$I,Velocity!$A:$A,$A42,Velocity!$B:$B,$C42)/Assumptions!$B$4*Assumptions!$B$6</f>
        <v>31.2708333333333</v>
      </c>
      <c r="AF42" s="7" t="n">
        <f aca="false">SUMIFS(Doors!AR:AR,Doors!$A:$A,$D42,Doors!$B:$B,$B42,Doors!$C:$C,$C42)*SUMIFS(Velocity!$I:$I,Velocity!$A:$A,$A42,Velocity!$B:$B,$C42)/Assumptions!$B$4*Assumptions!$B$6</f>
        <v>31.2708333333333</v>
      </c>
      <c r="AG42" s="7" t="n">
        <f aca="false">SUMIFS(Doors!AS:AS,Doors!$A:$A,$D42,Doors!$B:$B,$B42,Doors!$C:$C,$C42)*SUMIFS(Velocity!$I:$I,Velocity!$A:$A,$A42,Velocity!$B:$B,$C42)/Assumptions!$B$4*Assumptions!$B$6</f>
        <v>31.2708333333333</v>
      </c>
      <c r="AH42" s="7" t="n">
        <f aca="false">SUMIFS(Doors!AT:AT,Doors!$A:$A,$D42,Doors!$B:$B,$B42,Doors!$C:$C,$C42)*SUMIFS(Velocity!$I:$I,Velocity!$A:$A,$A42,Velocity!$B:$B,$C42)/Assumptions!$B$4*Assumptions!$B$6</f>
        <v>31.2708333333333</v>
      </c>
      <c r="AI42" s="7" t="n">
        <f aca="false">SUMIFS(Doors!AU:AU,Doors!$A:$A,$D42,Doors!$B:$B,$B42,Doors!$C:$C,$C42)*SUMIFS(Velocity!$I:$I,Velocity!$A:$A,$A42,Velocity!$B:$B,$C42)/Assumptions!$B$4*Assumptions!$B$6</f>
        <v>31.2708333333333</v>
      </c>
      <c r="AJ42" s="7" t="n">
        <f aca="false">SUMIFS(Doors!AV:AV,Doors!$A:$A,$D42,Doors!$B:$B,$B42,Doors!$C:$C,$C42)*SUMIFS(Velocity!$I:$I,Velocity!$A:$A,$A42,Velocity!$B:$B,$C42)/Assumptions!$B$4*Assumptions!$B$6</f>
        <v>36.2083333333333</v>
      </c>
      <c r="AK42" s="7" t="n">
        <f aca="false">SUMIFS(Doors!AW:AW,Doors!$A:$A,$D42,Doors!$B:$B,$B42,Doors!$C:$C,$C42)*SUMIFS(Velocity!$I:$I,Velocity!$A:$A,$A42,Velocity!$B:$B,$C42)/Assumptions!$B$4*Assumptions!$B$6</f>
        <v>36.2083333333333</v>
      </c>
      <c r="AL42" s="7" t="n">
        <f aca="false">SUMIFS(Doors!AX:AX,Doors!$A:$A,$D42,Doors!$B:$B,$B42,Doors!$C:$C,$C42)*SUMIFS(Velocity!$I:$I,Velocity!$A:$A,$A42,Velocity!$B:$B,$C42)/Assumptions!$B$4*Assumptions!$B$6</f>
        <v>36.2083333333333</v>
      </c>
      <c r="AM42" s="7" t="n">
        <f aca="false">SUMIFS(Doors!AY:AY,Doors!$A:$A,$D42,Doors!$B:$B,$B42,Doors!$C:$C,$C42)*SUMIFS(Velocity!$I:$I,Velocity!$A:$A,$A42,Velocity!$B:$B,$C42)/Assumptions!$B$4*Assumptions!$B$6</f>
        <v>36.2083333333333</v>
      </c>
      <c r="AN42" s="7" t="n">
        <f aca="false">SUMIFS(Doors!AZ:AZ,Doors!$A:$A,$D42,Doors!$B:$B,$B42,Doors!$C:$C,$C42)*SUMIFS(Velocity!$I:$I,Velocity!$A:$A,$A42,Velocity!$B:$B,$C42)/Assumptions!$B$4*Assumptions!$B$6</f>
        <v>41.1458333333333</v>
      </c>
      <c r="AO42" s="7" t="n">
        <f aca="false">SUMIFS(Doors!BA:BA,Doors!$A:$A,$D42,Doors!$B:$B,$B42,Doors!$C:$C,$C42)*SUMIFS(Velocity!$I:$I,Velocity!$A:$A,$A42,Velocity!$B:$B,$C42)/Assumptions!$B$4*Assumptions!$B$6</f>
        <v>41.1458333333333</v>
      </c>
      <c r="AP42" s="7" t="n">
        <f aca="false">SUMIFS(Doors!BB:BB,Doors!$A:$A,$D42,Doors!$B:$B,$B42,Doors!$C:$C,$C42)*SUMIFS(Velocity!$I:$I,Velocity!$A:$A,$A42,Velocity!$B:$B,$C42)/Assumptions!$B$4*Assumptions!$B$6</f>
        <v>41.1458333333333</v>
      </c>
      <c r="AQ42" s="7" t="n">
        <f aca="false">SUMIFS(Doors!BC:BC,Doors!$A:$A,$D42,Doors!$B:$B,$B42,Doors!$C:$C,$C42)*SUMIFS(Velocity!$I:$I,Velocity!$A:$A,$A42,Velocity!$B:$B,$C42)/Assumptions!$B$4*Assumptions!$B$6</f>
        <v>41.1458333333333</v>
      </c>
      <c r="AR42" s="7" t="n">
        <f aca="false">SUMIFS(Doors!BD:BD,Doors!$A:$A,$D42,Doors!$B:$B,$B42,Doors!$C:$C,$C42)*SUMIFS(Velocity!$I:$I,Velocity!$A:$A,$A42,Velocity!$B:$B,$C42)/Assumptions!$B$4*Assumptions!$B$6</f>
        <v>44.4375</v>
      </c>
      <c r="AS42" s="7" t="n">
        <f aca="false">SUMIFS(Doors!BE:BE,Doors!$A:$A,$D42,Doors!$B:$B,$B42,Doors!$C:$C,$C42)*SUMIFS(Velocity!$I:$I,Velocity!$A:$A,$A42,Velocity!$B:$B,$C42)/Assumptions!$B$4*Assumptions!$B$6</f>
        <v>44.4375</v>
      </c>
      <c r="AT42" s="7" t="n">
        <f aca="false">SUMIFS(Doors!BF:BF,Doors!$A:$A,$D42,Doors!$B:$B,$B42,Doors!$C:$C,$C42)*SUMIFS(Velocity!$I:$I,Velocity!$A:$A,$A42,Velocity!$B:$B,$C42)/Assumptions!$B$4*Assumptions!$B$6</f>
        <v>44.4375</v>
      </c>
      <c r="AU42" s="7" t="n">
        <f aca="false">SUMIFS(Doors!BG:BG,Doors!$A:$A,$D42,Doors!$B:$B,$B42,Doors!$C:$C,$C42)*SUMIFS(Velocity!$I:$I,Velocity!$A:$A,$A42,Velocity!$B:$B,$C42)/Assumptions!$B$4*Assumptions!$B$6</f>
        <v>44.4375</v>
      </c>
      <c r="AV42" s="7" t="n">
        <f aca="false">SUMIFS(Doors!BH:BH,Doors!$A:$A,$D42,Doors!$B:$B,$B42,Doors!$C:$C,$C42)*SUMIFS(Velocity!$I:$I,Velocity!$A:$A,$A42,Velocity!$B:$B,$C42)/Assumptions!$B$4*Assumptions!$B$6</f>
        <v>44.4375</v>
      </c>
      <c r="AW42" s="7" t="n">
        <f aca="false">SUMIFS(Doors!BI:BI,Doors!$A:$A,$D42,Doors!$B:$B,$B42,Doors!$C:$C,$C42)*SUMIFS(Velocity!$I:$I,Velocity!$A:$A,$A42,Velocity!$B:$B,$C42)/Assumptions!$B$4*Assumptions!$B$6</f>
        <v>47.7291666666667</v>
      </c>
      <c r="AX42" s="7" t="n">
        <f aca="false">SUMIFS(Doors!BJ:BJ,Doors!$A:$A,$D42,Doors!$B:$B,$B42,Doors!$C:$C,$C42)*SUMIFS(Velocity!$I:$I,Velocity!$A:$A,$A42,Velocity!$B:$B,$C42)/Assumptions!$B$4*Assumptions!$B$6</f>
        <v>47.7291666666667</v>
      </c>
      <c r="AY42" s="7" t="n">
        <f aca="false">SUMIFS(Doors!BK:BK,Doors!$A:$A,$D42,Doors!$B:$B,$B42,Doors!$C:$C,$C42)*SUMIFS(Velocity!$I:$I,Velocity!$A:$A,$A42,Velocity!$B:$B,$C42)/Assumptions!$B$4*Assumptions!$B$6</f>
        <v>47.7291666666667</v>
      </c>
      <c r="AZ42" s="7" t="n">
        <f aca="false">SUMIFS(Doors!BL:BL,Doors!$A:$A,$D42,Doors!$B:$B,$B42,Doors!$C:$C,$C42)*SUMIFS(Velocity!$I:$I,Velocity!$A:$A,$A42,Velocity!$B:$B,$C42)/Assumptions!$B$4*Assumptions!$B$6</f>
        <v>47.7291666666667</v>
      </c>
      <c r="BA42" s="7" t="n">
        <f aca="false">SUMIFS(Doors!BM:BM,Doors!$A:$A,$D42,Doors!$B:$B,$B42,Doors!$C:$C,$C42)*SUMIFS(Velocity!$I:$I,Velocity!$A:$A,$A42,Velocity!$B:$B,$C42)/Assumptions!$B$4*Assumptions!$B$6</f>
        <v>49.375</v>
      </c>
      <c r="BB42" s="7" t="n">
        <f aca="false">SUMIFS(Doors!BN:BN,Doors!$A:$A,$D42,Doors!$B:$B,$B42,Doors!$C:$C,$C42)*SUMIFS(Velocity!$I:$I,Velocity!$A:$A,$A42,Velocity!$B:$B,$C42)/Assumptions!$B$4*Assumptions!$B$6</f>
        <v>49.375</v>
      </c>
      <c r="BC42" s="7" t="n">
        <f aca="false">SUMIFS(Doors!BO:BO,Doors!$A:$A,$D42,Doors!$B:$B,$B42,Doors!$C:$C,$C42)*SUMIFS(Velocity!$I:$I,Velocity!$A:$A,$A42,Velocity!$B:$B,$C42)/Assumptions!$B$4*Assumptions!$B$6</f>
        <v>49.375</v>
      </c>
      <c r="BD42" s="7" t="n">
        <f aca="false">SUMIFS(Doors!BP:BP,Doors!$A:$A,$D42,Doors!$B:$B,$B42,Doors!$C:$C,$C42)*SUMIFS(Velocity!$I:$I,Velocity!$A:$A,$A42,Velocity!$B:$B,$C42)/Assumptions!$B$4*Assumptions!$B$6</f>
        <v>49.375</v>
      </c>
    </row>
    <row r="43" customFormat="false" ht="15" hidden="false" customHeight="false" outlineLevel="0" collapsed="false">
      <c r="A43" s="0" t="s">
        <v>108</v>
      </c>
      <c r="B43" s="0" t="s">
        <v>130</v>
      </c>
      <c r="C43" s="0" t="s">
        <v>116</v>
      </c>
      <c r="D43" s="0" t="s">
        <v>235</v>
      </c>
      <c r="E43" s="7" t="n">
        <f aca="false">SUMIFS(Doors!Q:Q,Doors!$A:$A,$D43,Doors!$B:$B,$B43,Doors!$C:$C,$C43)*SUMIFS(Velocity!$I:$I,Velocity!$A:$A,$A43,Velocity!$B:$B,$C43)/Assumptions!$B$4*Assumptions!$B$6</f>
        <v>1.52083333333333</v>
      </c>
      <c r="F43" s="7" t="n">
        <f aca="false">SUMIFS(Doors!R:R,Doors!$A:$A,$D43,Doors!$B:$B,$B43,Doors!$C:$C,$C43)*SUMIFS(Velocity!$I:$I,Velocity!$A:$A,$A43,Velocity!$B:$B,$C43)/Assumptions!$B$4*Assumptions!$B$6</f>
        <v>1.52083333333333</v>
      </c>
      <c r="G43" s="7" t="n">
        <f aca="false">SUMIFS(Doors!S:S,Doors!$A:$A,$D43,Doors!$B:$B,$B43,Doors!$C:$C,$C43)*SUMIFS(Velocity!$I:$I,Velocity!$A:$A,$A43,Velocity!$B:$B,$C43)/Assumptions!$B$4*Assumptions!$B$6</f>
        <v>1.52083333333333</v>
      </c>
      <c r="H43" s="7" t="n">
        <f aca="false">SUMIFS(Doors!T:T,Doors!$A:$A,$D43,Doors!$B:$B,$B43,Doors!$C:$C,$C43)*SUMIFS(Velocity!$I:$I,Velocity!$A:$A,$A43,Velocity!$B:$B,$C43)/Assumptions!$B$4*Assumptions!$B$6</f>
        <v>1.52083333333333</v>
      </c>
      <c r="I43" s="7" t="n">
        <f aca="false">SUMIFS(Doors!U:U,Doors!$A:$A,$D43,Doors!$B:$B,$B43,Doors!$C:$C,$C43)*SUMIFS(Velocity!$I:$I,Velocity!$A:$A,$A43,Velocity!$B:$B,$C43)/Assumptions!$B$4*Assumptions!$B$6</f>
        <v>1.52083333333333</v>
      </c>
      <c r="J43" s="7" t="n">
        <f aca="false">SUMIFS(Doors!V:V,Doors!$A:$A,$D43,Doors!$B:$B,$B43,Doors!$C:$C,$C43)*SUMIFS(Velocity!$I:$I,Velocity!$A:$A,$A43,Velocity!$B:$B,$C43)/Assumptions!$B$4*Assumptions!$B$6</f>
        <v>2.43333333333333</v>
      </c>
      <c r="K43" s="7" t="n">
        <f aca="false">SUMIFS(Doors!W:W,Doors!$A:$A,$D43,Doors!$B:$B,$B43,Doors!$C:$C,$C43)*SUMIFS(Velocity!$I:$I,Velocity!$A:$A,$A43,Velocity!$B:$B,$C43)/Assumptions!$B$4*Assumptions!$B$6</f>
        <v>2.43333333333333</v>
      </c>
      <c r="L43" s="7" t="n">
        <f aca="false">SUMIFS(Doors!X:X,Doors!$A:$A,$D43,Doors!$B:$B,$B43,Doors!$C:$C,$C43)*SUMIFS(Velocity!$I:$I,Velocity!$A:$A,$A43,Velocity!$B:$B,$C43)/Assumptions!$B$4*Assumptions!$B$6</f>
        <v>2.43333333333333</v>
      </c>
      <c r="M43" s="7" t="n">
        <f aca="false">SUMIFS(Doors!Y:Y,Doors!$A:$A,$D43,Doors!$B:$B,$B43,Doors!$C:$C,$C43)*SUMIFS(Velocity!$I:$I,Velocity!$A:$A,$A43,Velocity!$B:$B,$C43)/Assumptions!$B$4*Assumptions!$B$6</f>
        <v>2.43333333333333</v>
      </c>
      <c r="N43" s="7" t="n">
        <f aca="false">SUMIFS(Doors!Z:Z,Doors!$A:$A,$D43,Doors!$B:$B,$B43,Doors!$C:$C,$C43)*SUMIFS(Velocity!$I:$I,Velocity!$A:$A,$A43,Velocity!$B:$B,$C43)/Assumptions!$B$4*Assumptions!$B$6</f>
        <v>3.65</v>
      </c>
      <c r="O43" s="7" t="n">
        <f aca="false">SUMIFS(Doors!AA:AA,Doors!$A:$A,$D43,Doors!$B:$B,$B43,Doors!$C:$C,$C43)*SUMIFS(Velocity!$I:$I,Velocity!$A:$A,$A43,Velocity!$B:$B,$C43)/Assumptions!$B$4*Assumptions!$B$6</f>
        <v>3.65</v>
      </c>
      <c r="P43" s="7" t="n">
        <f aca="false">SUMIFS(Doors!AB:AB,Doors!$A:$A,$D43,Doors!$B:$B,$B43,Doors!$C:$C,$C43)*SUMIFS(Velocity!$I:$I,Velocity!$A:$A,$A43,Velocity!$B:$B,$C43)/Assumptions!$B$4*Assumptions!$B$6</f>
        <v>3.65</v>
      </c>
      <c r="Q43" s="7" t="n">
        <f aca="false">SUMIFS(Doors!AC:AC,Doors!$A:$A,$D43,Doors!$B:$B,$B43,Doors!$C:$C,$C43)*SUMIFS(Velocity!$I:$I,Velocity!$A:$A,$A43,Velocity!$B:$B,$C43)/Assumptions!$B$4*Assumptions!$B$6</f>
        <v>3.65</v>
      </c>
      <c r="R43" s="7" t="n">
        <f aca="false">SUMIFS(Doors!AD:AD,Doors!$A:$A,$D43,Doors!$B:$B,$B43,Doors!$C:$C,$C43)*SUMIFS(Velocity!$I:$I,Velocity!$A:$A,$A43,Velocity!$B:$B,$C43)/Assumptions!$B$4*Assumptions!$B$6</f>
        <v>5.17083333333333</v>
      </c>
      <c r="S43" s="7" t="n">
        <f aca="false">SUMIFS(Doors!AE:AE,Doors!$A:$A,$D43,Doors!$B:$B,$B43,Doors!$C:$C,$C43)*SUMIFS(Velocity!$I:$I,Velocity!$A:$A,$A43,Velocity!$B:$B,$C43)/Assumptions!$B$4*Assumptions!$B$6</f>
        <v>5.17083333333333</v>
      </c>
      <c r="T43" s="7" t="n">
        <f aca="false">SUMIFS(Doors!AF:AF,Doors!$A:$A,$D43,Doors!$B:$B,$B43,Doors!$C:$C,$C43)*SUMIFS(Velocity!$I:$I,Velocity!$A:$A,$A43,Velocity!$B:$B,$C43)/Assumptions!$B$4*Assumptions!$B$6</f>
        <v>5.17083333333333</v>
      </c>
      <c r="U43" s="7" t="n">
        <f aca="false">SUMIFS(Doors!AG:AG,Doors!$A:$A,$D43,Doors!$B:$B,$B43,Doors!$C:$C,$C43)*SUMIFS(Velocity!$I:$I,Velocity!$A:$A,$A43,Velocity!$B:$B,$C43)/Assumptions!$B$4*Assumptions!$B$6</f>
        <v>5.17083333333333</v>
      </c>
      <c r="V43" s="7" t="n">
        <f aca="false">SUMIFS(Doors!AH:AH,Doors!$A:$A,$D43,Doors!$B:$B,$B43,Doors!$C:$C,$C43)*SUMIFS(Velocity!$I:$I,Velocity!$A:$A,$A43,Velocity!$B:$B,$C43)/Assumptions!$B$4*Assumptions!$B$6</f>
        <v>5.17083333333333</v>
      </c>
      <c r="W43" s="7" t="n">
        <f aca="false">SUMIFS(Doors!AI:AI,Doors!$A:$A,$D43,Doors!$B:$B,$B43,Doors!$C:$C,$C43)*SUMIFS(Velocity!$I:$I,Velocity!$A:$A,$A43,Velocity!$B:$B,$C43)/Assumptions!$B$4*Assumptions!$B$6</f>
        <v>6.99583333333333</v>
      </c>
      <c r="X43" s="7" t="n">
        <f aca="false">SUMIFS(Doors!AJ:AJ,Doors!$A:$A,$D43,Doors!$B:$B,$B43,Doors!$C:$C,$C43)*SUMIFS(Velocity!$I:$I,Velocity!$A:$A,$A43,Velocity!$B:$B,$C43)/Assumptions!$B$4*Assumptions!$B$6</f>
        <v>6.99583333333333</v>
      </c>
      <c r="Y43" s="7" t="n">
        <f aca="false">SUMIFS(Doors!AK:AK,Doors!$A:$A,$D43,Doors!$B:$B,$B43,Doors!$C:$C,$C43)*SUMIFS(Velocity!$I:$I,Velocity!$A:$A,$A43,Velocity!$B:$B,$C43)/Assumptions!$B$4*Assumptions!$B$6</f>
        <v>6.99583333333333</v>
      </c>
      <c r="Z43" s="7" t="n">
        <f aca="false">SUMIFS(Doors!AL:AL,Doors!$A:$A,$D43,Doors!$B:$B,$B43,Doors!$C:$C,$C43)*SUMIFS(Velocity!$I:$I,Velocity!$A:$A,$A43,Velocity!$B:$B,$C43)/Assumptions!$B$4*Assumptions!$B$6</f>
        <v>6.99583333333333</v>
      </c>
      <c r="AA43" s="7" t="n">
        <f aca="false">SUMIFS(Doors!AM:AM,Doors!$A:$A,$D43,Doors!$B:$B,$B43,Doors!$C:$C,$C43)*SUMIFS(Velocity!$I:$I,Velocity!$A:$A,$A43,Velocity!$B:$B,$C43)/Assumptions!$B$4*Assumptions!$B$6</f>
        <v>8.51666666666667</v>
      </c>
      <c r="AB43" s="7" t="n">
        <f aca="false">SUMIFS(Doors!AN:AN,Doors!$A:$A,$D43,Doors!$B:$B,$B43,Doors!$C:$C,$C43)*SUMIFS(Velocity!$I:$I,Velocity!$A:$A,$A43,Velocity!$B:$B,$C43)/Assumptions!$B$4*Assumptions!$B$6</f>
        <v>8.51666666666667</v>
      </c>
      <c r="AC43" s="7" t="n">
        <f aca="false">SUMIFS(Doors!AO:AO,Doors!$A:$A,$D43,Doors!$B:$B,$B43,Doors!$C:$C,$C43)*SUMIFS(Velocity!$I:$I,Velocity!$A:$A,$A43,Velocity!$B:$B,$C43)/Assumptions!$B$4*Assumptions!$B$6</f>
        <v>8.51666666666667</v>
      </c>
      <c r="AD43" s="7" t="n">
        <f aca="false">SUMIFS(Doors!AP:AP,Doors!$A:$A,$D43,Doors!$B:$B,$B43,Doors!$C:$C,$C43)*SUMIFS(Velocity!$I:$I,Velocity!$A:$A,$A43,Velocity!$B:$B,$C43)/Assumptions!$B$4*Assumptions!$B$6</f>
        <v>8.51666666666667</v>
      </c>
      <c r="AE43" s="7" t="n">
        <f aca="false">SUMIFS(Doors!AQ:AQ,Doors!$A:$A,$D43,Doors!$B:$B,$B43,Doors!$C:$C,$C43)*SUMIFS(Velocity!$I:$I,Velocity!$A:$A,$A43,Velocity!$B:$B,$C43)/Assumptions!$B$4*Assumptions!$B$6</f>
        <v>10.0375</v>
      </c>
      <c r="AF43" s="7" t="n">
        <f aca="false">SUMIFS(Doors!AR:AR,Doors!$A:$A,$D43,Doors!$B:$B,$B43,Doors!$C:$C,$C43)*SUMIFS(Velocity!$I:$I,Velocity!$A:$A,$A43,Velocity!$B:$B,$C43)/Assumptions!$B$4*Assumptions!$B$6</f>
        <v>10.0375</v>
      </c>
      <c r="AG43" s="7" t="n">
        <f aca="false">SUMIFS(Doors!AS:AS,Doors!$A:$A,$D43,Doors!$B:$B,$B43,Doors!$C:$C,$C43)*SUMIFS(Velocity!$I:$I,Velocity!$A:$A,$A43,Velocity!$B:$B,$C43)/Assumptions!$B$4*Assumptions!$B$6</f>
        <v>10.0375</v>
      </c>
      <c r="AH43" s="7" t="n">
        <f aca="false">SUMIFS(Doors!AT:AT,Doors!$A:$A,$D43,Doors!$B:$B,$B43,Doors!$C:$C,$C43)*SUMIFS(Velocity!$I:$I,Velocity!$A:$A,$A43,Velocity!$B:$B,$C43)/Assumptions!$B$4*Assumptions!$B$6</f>
        <v>10.0375</v>
      </c>
      <c r="AI43" s="7" t="n">
        <f aca="false">SUMIFS(Doors!AU:AU,Doors!$A:$A,$D43,Doors!$B:$B,$B43,Doors!$C:$C,$C43)*SUMIFS(Velocity!$I:$I,Velocity!$A:$A,$A43,Velocity!$B:$B,$C43)/Assumptions!$B$4*Assumptions!$B$6</f>
        <v>10.0375</v>
      </c>
      <c r="AJ43" s="7" t="n">
        <f aca="false">SUMIFS(Doors!AV:AV,Doors!$A:$A,$D43,Doors!$B:$B,$B43,Doors!$C:$C,$C43)*SUMIFS(Velocity!$I:$I,Velocity!$A:$A,$A43,Velocity!$B:$B,$C43)/Assumptions!$B$4*Assumptions!$B$6</f>
        <v>11.5583333333333</v>
      </c>
      <c r="AK43" s="7" t="n">
        <f aca="false">SUMIFS(Doors!AW:AW,Doors!$A:$A,$D43,Doors!$B:$B,$B43,Doors!$C:$C,$C43)*SUMIFS(Velocity!$I:$I,Velocity!$A:$A,$A43,Velocity!$B:$B,$C43)/Assumptions!$B$4*Assumptions!$B$6</f>
        <v>11.5583333333333</v>
      </c>
      <c r="AL43" s="7" t="n">
        <f aca="false">SUMIFS(Doors!AX:AX,Doors!$A:$A,$D43,Doors!$B:$B,$B43,Doors!$C:$C,$C43)*SUMIFS(Velocity!$I:$I,Velocity!$A:$A,$A43,Velocity!$B:$B,$C43)/Assumptions!$B$4*Assumptions!$B$6</f>
        <v>11.5583333333333</v>
      </c>
      <c r="AM43" s="7" t="n">
        <f aca="false">SUMIFS(Doors!AY:AY,Doors!$A:$A,$D43,Doors!$B:$B,$B43,Doors!$C:$C,$C43)*SUMIFS(Velocity!$I:$I,Velocity!$A:$A,$A43,Velocity!$B:$B,$C43)/Assumptions!$B$4*Assumptions!$B$6</f>
        <v>11.5583333333333</v>
      </c>
      <c r="AN43" s="7" t="n">
        <f aca="false">SUMIFS(Doors!AZ:AZ,Doors!$A:$A,$D43,Doors!$B:$B,$B43,Doors!$C:$C,$C43)*SUMIFS(Velocity!$I:$I,Velocity!$A:$A,$A43,Velocity!$B:$B,$C43)/Assumptions!$B$4*Assumptions!$B$6</f>
        <v>12.775</v>
      </c>
      <c r="AO43" s="7" t="n">
        <f aca="false">SUMIFS(Doors!BA:BA,Doors!$A:$A,$D43,Doors!$B:$B,$B43,Doors!$C:$C,$C43)*SUMIFS(Velocity!$I:$I,Velocity!$A:$A,$A43,Velocity!$B:$B,$C43)/Assumptions!$B$4*Assumptions!$B$6</f>
        <v>12.775</v>
      </c>
      <c r="AP43" s="7" t="n">
        <f aca="false">SUMIFS(Doors!BB:BB,Doors!$A:$A,$D43,Doors!$B:$B,$B43,Doors!$C:$C,$C43)*SUMIFS(Velocity!$I:$I,Velocity!$A:$A,$A43,Velocity!$B:$B,$C43)/Assumptions!$B$4*Assumptions!$B$6</f>
        <v>12.775</v>
      </c>
      <c r="AQ43" s="7" t="n">
        <f aca="false">SUMIFS(Doors!BC:BC,Doors!$A:$A,$D43,Doors!$B:$B,$B43,Doors!$C:$C,$C43)*SUMIFS(Velocity!$I:$I,Velocity!$A:$A,$A43,Velocity!$B:$B,$C43)/Assumptions!$B$4*Assumptions!$B$6</f>
        <v>12.775</v>
      </c>
      <c r="AR43" s="7" t="n">
        <f aca="false">SUMIFS(Doors!BD:BD,Doors!$A:$A,$D43,Doors!$B:$B,$B43,Doors!$C:$C,$C43)*SUMIFS(Velocity!$I:$I,Velocity!$A:$A,$A43,Velocity!$B:$B,$C43)/Assumptions!$B$4*Assumptions!$B$6</f>
        <v>13.6875</v>
      </c>
      <c r="AS43" s="7" t="n">
        <f aca="false">SUMIFS(Doors!BE:BE,Doors!$A:$A,$D43,Doors!$B:$B,$B43,Doors!$C:$C,$C43)*SUMIFS(Velocity!$I:$I,Velocity!$A:$A,$A43,Velocity!$B:$B,$C43)/Assumptions!$B$4*Assumptions!$B$6</f>
        <v>13.6875</v>
      </c>
      <c r="AT43" s="7" t="n">
        <f aca="false">SUMIFS(Doors!BF:BF,Doors!$A:$A,$D43,Doors!$B:$B,$B43,Doors!$C:$C,$C43)*SUMIFS(Velocity!$I:$I,Velocity!$A:$A,$A43,Velocity!$B:$B,$C43)/Assumptions!$B$4*Assumptions!$B$6</f>
        <v>13.6875</v>
      </c>
      <c r="AU43" s="7" t="n">
        <f aca="false">SUMIFS(Doors!BG:BG,Doors!$A:$A,$D43,Doors!$B:$B,$B43,Doors!$C:$C,$C43)*SUMIFS(Velocity!$I:$I,Velocity!$A:$A,$A43,Velocity!$B:$B,$C43)/Assumptions!$B$4*Assumptions!$B$6</f>
        <v>13.6875</v>
      </c>
      <c r="AV43" s="7" t="n">
        <f aca="false">SUMIFS(Doors!BH:BH,Doors!$A:$A,$D43,Doors!$B:$B,$B43,Doors!$C:$C,$C43)*SUMIFS(Velocity!$I:$I,Velocity!$A:$A,$A43,Velocity!$B:$B,$C43)/Assumptions!$B$4*Assumptions!$B$6</f>
        <v>13.6875</v>
      </c>
      <c r="AW43" s="7" t="n">
        <f aca="false">SUMIFS(Doors!BI:BI,Doors!$A:$A,$D43,Doors!$B:$B,$B43,Doors!$C:$C,$C43)*SUMIFS(Velocity!$I:$I,Velocity!$A:$A,$A43,Velocity!$B:$B,$C43)/Assumptions!$B$4*Assumptions!$B$6</f>
        <v>14.6</v>
      </c>
      <c r="AX43" s="7" t="n">
        <f aca="false">SUMIFS(Doors!BJ:BJ,Doors!$A:$A,$D43,Doors!$B:$B,$B43,Doors!$C:$C,$C43)*SUMIFS(Velocity!$I:$I,Velocity!$A:$A,$A43,Velocity!$B:$B,$C43)/Assumptions!$B$4*Assumptions!$B$6</f>
        <v>14.6</v>
      </c>
      <c r="AY43" s="7" t="n">
        <f aca="false">SUMIFS(Doors!BK:BK,Doors!$A:$A,$D43,Doors!$B:$B,$B43,Doors!$C:$C,$C43)*SUMIFS(Velocity!$I:$I,Velocity!$A:$A,$A43,Velocity!$B:$B,$C43)/Assumptions!$B$4*Assumptions!$B$6</f>
        <v>14.6</v>
      </c>
      <c r="AZ43" s="7" t="n">
        <f aca="false">SUMIFS(Doors!BL:BL,Doors!$A:$A,$D43,Doors!$B:$B,$B43,Doors!$C:$C,$C43)*SUMIFS(Velocity!$I:$I,Velocity!$A:$A,$A43,Velocity!$B:$B,$C43)/Assumptions!$B$4*Assumptions!$B$6</f>
        <v>14.6</v>
      </c>
      <c r="BA43" s="7" t="n">
        <f aca="false">SUMIFS(Doors!BM:BM,Doors!$A:$A,$D43,Doors!$B:$B,$B43,Doors!$C:$C,$C43)*SUMIFS(Velocity!$I:$I,Velocity!$A:$A,$A43,Velocity!$B:$B,$C43)/Assumptions!$B$4*Assumptions!$B$6</f>
        <v>15.2083333333333</v>
      </c>
      <c r="BB43" s="7" t="n">
        <f aca="false">SUMIFS(Doors!BN:BN,Doors!$A:$A,$D43,Doors!$B:$B,$B43,Doors!$C:$C,$C43)*SUMIFS(Velocity!$I:$I,Velocity!$A:$A,$A43,Velocity!$B:$B,$C43)/Assumptions!$B$4*Assumptions!$B$6</f>
        <v>15.2083333333333</v>
      </c>
      <c r="BC43" s="7" t="n">
        <f aca="false">SUMIFS(Doors!BO:BO,Doors!$A:$A,$D43,Doors!$B:$B,$B43,Doors!$C:$C,$C43)*SUMIFS(Velocity!$I:$I,Velocity!$A:$A,$A43,Velocity!$B:$B,$C43)/Assumptions!$B$4*Assumptions!$B$6</f>
        <v>15.2083333333333</v>
      </c>
      <c r="BD43" s="7" t="n">
        <f aca="false">SUMIFS(Doors!BP:BP,Doors!$A:$A,$D43,Doors!$B:$B,$B43,Doors!$C:$C,$C43)*SUMIFS(Velocity!$I:$I,Velocity!$A:$A,$A43,Velocity!$B:$B,$C43)/Assumptions!$B$4*Assumptions!$B$6</f>
        <v>15.2083333333333</v>
      </c>
    </row>
    <row r="44" customFormat="false" ht="15" hidden="false" customHeight="false" outlineLevel="0" collapsed="false">
      <c r="A44" s="0" t="s">
        <v>108</v>
      </c>
      <c r="B44" s="0" t="s">
        <v>130</v>
      </c>
      <c r="C44" s="0" t="s">
        <v>117</v>
      </c>
      <c r="D44" s="0" t="s">
        <v>235</v>
      </c>
      <c r="E44" s="7" t="n">
        <f aca="false">SUMIFS(Doors!Q:Q,Doors!$A:$A,$D44,Doors!$B:$B,$B44,Doors!$C:$C,$C44)*SUMIFS(Velocity!$I:$I,Velocity!$A:$A,$A44,Velocity!$B:$B,$C44)/Assumptions!$B$4*Assumptions!$B$6</f>
        <v>0</v>
      </c>
      <c r="F44" s="7" t="n">
        <f aca="false">SUMIFS(Doors!R:R,Doors!$A:$A,$D44,Doors!$B:$B,$B44,Doors!$C:$C,$C44)*SUMIFS(Velocity!$I:$I,Velocity!$A:$A,$A44,Velocity!$B:$B,$C44)/Assumptions!$B$4*Assumptions!$B$6</f>
        <v>0</v>
      </c>
      <c r="G44" s="7" t="n">
        <f aca="false">SUMIFS(Doors!S:S,Doors!$A:$A,$D44,Doors!$B:$B,$B44,Doors!$C:$C,$C44)*SUMIFS(Velocity!$I:$I,Velocity!$A:$A,$A44,Velocity!$B:$B,$C44)/Assumptions!$B$4*Assumptions!$B$6</f>
        <v>0</v>
      </c>
      <c r="H44" s="7" t="n">
        <f aca="false">SUMIFS(Doors!T:T,Doors!$A:$A,$D44,Doors!$B:$B,$B44,Doors!$C:$C,$C44)*SUMIFS(Velocity!$I:$I,Velocity!$A:$A,$A44,Velocity!$B:$B,$C44)/Assumptions!$B$4*Assumptions!$B$6</f>
        <v>0</v>
      </c>
      <c r="I44" s="7" t="n">
        <f aca="false">SUMIFS(Doors!U:U,Doors!$A:$A,$D44,Doors!$B:$B,$B44,Doors!$C:$C,$C44)*SUMIFS(Velocity!$I:$I,Velocity!$A:$A,$A44,Velocity!$B:$B,$C44)/Assumptions!$B$4*Assumptions!$B$6</f>
        <v>0</v>
      </c>
      <c r="J44" s="7" t="n">
        <f aca="false">SUMIFS(Doors!V:V,Doors!$A:$A,$D44,Doors!$B:$B,$B44,Doors!$C:$C,$C44)*SUMIFS(Velocity!$I:$I,Velocity!$A:$A,$A44,Velocity!$B:$B,$C44)/Assumptions!$B$4*Assumptions!$B$6</f>
        <v>0</v>
      </c>
      <c r="K44" s="7" t="n">
        <f aca="false">SUMIFS(Doors!W:W,Doors!$A:$A,$D44,Doors!$B:$B,$B44,Doors!$C:$C,$C44)*SUMIFS(Velocity!$I:$I,Velocity!$A:$A,$A44,Velocity!$B:$B,$C44)/Assumptions!$B$4*Assumptions!$B$6</f>
        <v>0</v>
      </c>
      <c r="L44" s="7" t="n">
        <f aca="false">SUMIFS(Doors!X:X,Doors!$A:$A,$D44,Doors!$B:$B,$B44,Doors!$C:$C,$C44)*SUMIFS(Velocity!$I:$I,Velocity!$A:$A,$A44,Velocity!$B:$B,$C44)/Assumptions!$B$4*Assumptions!$B$6</f>
        <v>0</v>
      </c>
      <c r="M44" s="7" t="n">
        <f aca="false">SUMIFS(Doors!Y:Y,Doors!$A:$A,$D44,Doors!$B:$B,$B44,Doors!$C:$C,$C44)*SUMIFS(Velocity!$I:$I,Velocity!$A:$A,$A44,Velocity!$B:$B,$C44)/Assumptions!$B$4*Assumptions!$B$6</f>
        <v>0</v>
      </c>
      <c r="N44" s="7" t="n">
        <f aca="false">SUMIFS(Doors!Z:Z,Doors!$A:$A,$D44,Doors!$B:$B,$B44,Doors!$C:$C,$C44)*SUMIFS(Velocity!$I:$I,Velocity!$A:$A,$A44,Velocity!$B:$B,$C44)/Assumptions!$B$4*Assumptions!$B$6</f>
        <v>3.14583333333333</v>
      </c>
      <c r="O44" s="7" t="n">
        <f aca="false">SUMIFS(Doors!AA:AA,Doors!$A:$A,$D44,Doors!$B:$B,$B44,Doors!$C:$C,$C44)*SUMIFS(Velocity!$I:$I,Velocity!$A:$A,$A44,Velocity!$B:$B,$C44)/Assumptions!$B$4*Assumptions!$B$6</f>
        <v>3.14583333333333</v>
      </c>
      <c r="P44" s="7" t="n">
        <f aca="false">SUMIFS(Doors!AB:AB,Doors!$A:$A,$D44,Doors!$B:$B,$B44,Doors!$C:$C,$C44)*SUMIFS(Velocity!$I:$I,Velocity!$A:$A,$A44,Velocity!$B:$B,$C44)/Assumptions!$B$4*Assumptions!$B$6</f>
        <v>3.14583333333333</v>
      </c>
      <c r="Q44" s="7" t="n">
        <f aca="false">SUMIFS(Doors!AC:AC,Doors!$A:$A,$D44,Doors!$B:$B,$B44,Doors!$C:$C,$C44)*SUMIFS(Velocity!$I:$I,Velocity!$A:$A,$A44,Velocity!$B:$B,$C44)/Assumptions!$B$4*Assumptions!$B$6</f>
        <v>3.14583333333333</v>
      </c>
      <c r="R44" s="7" t="n">
        <f aca="false">SUMIFS(Doors!AD:AD,Doors!$A:$A,$D44,Doors!$B:$B,$B44,Doors!$C:$C,$C44)*SUMIFS(Velocity!$I:$I,Velocity!$A:$A,$A44,Velocity!$B:$B,$C44)/Assumptions!$B$4*Assumptions!$B$6</f>
        <v>7.55</v>
      </c>
      <c r="S44" s="7" t="n">
        <f aca="false">SUMIFS(Doors!AE:AE,Doors!$A:$A,$D44,Doors!$B:$B,$B44,Doors!$C:$C,$C44)*SUMIFS(Velocity!$I:$I,Velocity!$A:$A,$A44,Velocity!$B:$B,$C44)/Assumptions!$B$4*Assumptions!$B$6</f>
        <v>7.55</v>
      </c>
      <c r="T44" s="7" t="n">
        <f aca="false">SUMIFS(Doors!AF:AF,Doors!$A:$A,$D44,Doors!$B:$B,$B44,Doors!$C:$C,$C44)*SUMIFS(Velocity!$I:$I,Velocity!$A:$A,$A44,Velocity!$B:$B,$C44)/Assumptions!$B$4*Assumptions!$B$6</f>
        <v>7.55</v>
      </c>
      <c r="U44" s="7" t="n">
        <f aca="false">SUMIFS(Doors!AG:AG,Doors!$A:$A,$D44,Doors!$B:$B,$B44,Doors!$C:$C,$C44)*SUMIFS(Velocity!$I:$I,Velocity!$A:$A,$A44,Velocity!$B:$B,$C44)/Assumptions!$B$4*Assumptions!$B$6</f>
        <v>7.55</v>
      </c>
      <c r="V44" s="7" t="n">
        <f aca="false">SUMIFS(Doors!AH:AH,Doors!$A:$A,$D44,Doors!$B:$B,$B44,Doors!$C:$C,$C44)*SUMIFS(Velocity!$I:$I,Velocity!$A:$A,$A44,Velocity!$B:$B,$C44)/Assumptions!$B$4*Assumptions!$B$6</f>
        <v>7.55</v>
      </c>
      <c r="W44" s="7" t="n">
        <f aca="false">SUMIFS(Doors!AI:AI,Doors!$A:$A,$D44,Doors!$B:$B,$B44,Doors!$C:$C,$C44)*SUMIFS(Velocity!$I:$I,Velocity!$A:$A,$A44,Velocity!$B:$B,$C44)/Assumptions!$B$4*Assumptions!$B$6</f>
        <v>12.5833333333333</v>
      </c>
      <c r="X44" s="7" t="n">
        <f aca="false">SUMIFS(Doors!AJ:AJ,Doors!$A:$A,$D44,Doors!$B:$B,$B44,Doors!$C:$C,$C44)*SUMIFS(Velocity!$I:$I,Velocity!$A:$A,$A44,Velocity!$B:$B,$C44)/Assumptions!$B$4*Assumptions!$B$6</f>
        <v>12.5833333333333</v>
      </c>
      <c r="Y44" s="7" t="n">
        <f aca="false">SUMIFS(Doors!AK:AK,Doors!$A:$A,$D44,Doors!$B:$B,$B44,Doors!$C:$C,$C44)*SUMIFS(Velocity!$I:$I,Velocity!$A:$A,$A44,Velocity!$B:$B,$C44)/Assumptions!$B$4*Assumptions!$B$6</f>
        <v>12.5833333333333</v>
      </c>
      <c r="Z44" s="7" t="n">
        <f aca="false">SUMIFS(Doors!AL:AL,Doors!$A:$A,$D44,Doors!$B:$B,$B44,Doors!$C:$C,$C44)*SUMIFS(Velocity!$I:$I,Velocity!$A:$A,$A44,Velocity!$B:$B,$C44)/Assumptions!$B$4*Assumptions!$B$6</f>
        <v>12.5833333333333</v>
      </c>
      <c r="AA44" s="7" t="n">
        <f aca="false">SUMIFS(Doors!AM:AM,Doors!$A:$A,$D44,Doors!$B:$B,$B44,Doors!$C:$C,$C44)*SUMIFS(Velocity!$I:$I,Velocity!$A:$A,$A44,Velocity!$B:$B,$C44)/Assumptions!$B$4*Assumptions!$B$6</f>
        <v>17.6166666666667</v>
      </c>
      <c r="AB44" s="7" t="n">
        <f aca="false">SUMIFS(Doors!AN:AN,Doors!$A:$A,$D44,Doors!$B:$B,$B44,Doors!$C:$C,$C44)*SUMIFS(Velocity!$I:$I,Velocity!$A:$A,$A44,Velocity!$B:$B,$C44)/Assumptions!$B$4*Assumptions!$B$6</f>
        <v>17.6166666666667</v>
      </c>
      <c r="AC44" s="7" t="n">
        <f aca="false">SUMIFS(Doors!AO:AO,Doors!$A:$A,$D44,Doors!$B:$B,$B44,Doors!$C:$C,$C44)*SUMIFS(Velocity!$I:$I,Velocity!$A:$A,$A44,Velocity!$B:$B,$C44)/Assumptions!$B$4*Assumptions!$B$6</f>
        <v>17.6166666666667</v>
      </c>
      <c r="AD44" s="7" t="n">
        <f aca="false">SUMIFS(Doors!AP:AP,Doors!$A:$A,$D44,Doors!$B:$B,$B44,Doors!$C:$C,$C44)*SUMIFS(Velocity!$I:$I,Velocity!$A:$A,$A44,Velocity!$B:$B,$C44)/Assumptions!$B$4*Assumptions!$B$6</f>
        <v>17.6166666666667</v>
      </c>
      <c r="AE44" s="7" t="n">
        <f aca="false">SUMIFS(Doors!AQ:AQ,Doors!$A:$A,$D44,Doors!$B:$B,$B44,Doors!$C:$C,$C44)*SUMIFS(Velocity!$I:$I,Velocity!$A:$A,$A44,Velocity!$B:$B,$C44)/Assumptions!$B$4*Assumptions!$B$6</f>
        <v>22.0208333333333</v>
      </c>
      <c r="AF44" s="7" t="n">
        <f aca="false">SUMIFS(Doors!AR:AR,Doors!$A:$A,$D44,Doors!$B:$B,$B44,Doors!$C:$C,$C44)*SUMIFS(Velocity!$I:$I,Velocity!$A:$A,$A44,Velocity!$B:$B,$C44)/Assumptions!$B$4*Assumptions!$B$6</f>
        <v>22.0208333333333</v>
      </c>
      <c r="AG44" s="7" t="n">
        <f aca="false">SUMIFS(Doors!AS:AS,Doors!$A:$A,$D44,Doors!$B:$B,$B44,Doors!$C:$C,$C44)*SUMIFS(Velocity!$I:$I,Velocity!$A:$A,$A44,Velocity!$B:$B,$C44)/Assumptions!$B$4*Assumptions!$B$6</f>
        <v>22.0208333333333</v>
      </c>
      <c r="AH44" s="7" t="n">
        <f aca="false">SUMIFS(Doors!AT:AT,Doors!$A:$A,$D44,Doors!$B:$B,$B44,Doors!$C:$C,$C44)*SUMIFS(Velocity!$I:$I,Velocity!$A:$A,$A44,Velocity!$B:$B,$C44)/Assumptions!$B$4*Assumptions!$B$6</f>
        <v>22.0208333333333</v>
      </c>
      <c r="AI44" s="7" t="n">
        <f aca="false">SUMIFS(Doors!AU:AU,Doors!$A:$A,$D44,Doors!$B:$B,$B44,Doors!$C:$C,$C44)*SUMIFS(Velocity!$I:$I,Velocity!$A:$A,$A44,Velocity!$B:$B,$C44)/Assumptions!$B$4*Assumptions!$B$6</f>
        <v>22.0208333333333</v>
      </c>
      <c r="AJ44" s="7" t="n">
        <f aca="false">SUMIFS(Doors!AV:AV,Doors!$A:$A,$D44,Doors!$B:$B,$B44,Doors!$C:$C,$C44)*SUMIFS(Velocity!$I:$I,Velocity!$A:$A,$A44,Velocity!$B:$B,$C44)/Assumptions!$B$4*Assumptions!$B$6</f>
        <v>26.425</v>
      </c>
      <c r="AK44" s="7" t="n">
        <f aca="false">SUMIFS(Doors!AW:AW,Doors!$A:$A,$D44,Doors!$B:$B,$B44,Doors!$C:$C,$C44)*SUMIFS(Velocity!$I:$I,Velocity!$A:$A,$A44,Velocity!$B:$B,$C44)/Assumptions!$B$4*Assumptions!$B$6</f>
        <v>26.425</v>
      </c>
      <c r="AL44" s="7" t="n">
        <f aca="false">SUMIFS(Doors!AX:AX,Doors!$A:$A,$D44,Doors!$B:$B,$B44,Doors!$C:$C,$C44)*SUMIFS(Velocity!$I:$I,Velocity!$A:$A,$A44,Velocity!$B:$B,$C44)/Assumptions!$B$4*Assumptions!$B$6</f>
        <v>26.425</v>
      </c>
      <c r="AM44" s="7" t="n">
        <f aca="false">SUMIFS(Doors!AY:AY,Doors!$A:$A,$D44,Doors!$B:$B,$B44,Doors!$C:$C,$C44)*SUMIFS(Velocity!$I:$I,Velocity!$A:$A,$A44,Velocity!$B:$B,$C44)/Assumptions!$B$4*Assumptions!$B$6</f>
        <v>26.425</v>
      </c>
      <c r="AN44" s="7" t="n">
        <f aca="false">SUMIFS(Doors!AZ:AZ,Doors!$A:$A,$D44,Doors!$B:$B,$B44,Doors!$C:$C,$C44)*SUMIFS(Velocity!$I:$I,Velocity!$A:$A,$A44,Velocity!$B:$B,$C44)/Assumptions!$B$4*Assumptions!$B$6</f>
        <v>30.2</v>
      </c>
      <c r="AO44" s="7" t="n">
        <f aca="false">SUMIFS(Doors!BA:BA,Doors!$A:$A,$D44,Doors!$B:$B,$B44,Doors!$C:$C,$C44)*SUMIFS(Velocity!$I:$I,Velocity!$A:$A,$A44,Velocity!$B:$B,$C44)/Assumptions!$B$4*Assumptions!$B$6</f>
        <v>30.2</v>
      </c>
      <c r="AP44" s="7" t="n">
        <f aca="false">SUMIFS(Doors!BB:BB,Doors!$A:$A,$D44,Doors!$B:$B,$B44,Doors!$C:$C,$C44)*SUMIFS(Velocity!$I:$I,Velocity!$A:$A,$A44,Velocity!$B:$B,$C44)/Assumptions!$B$4*Assumptions!$B$6</f>
        <v>30.2</v>
      </c>
      <c r="AQ44" s="7" t="n">
        <f aca="false">SUMIFS(Doors!BC:BC,Doors!$A:$A,$D44,Doors!$B:$B,$B44,Doors!$C:$C,$C44)*SUMIFS(Velocity!$I:$I,Velocity!$A:$A,$A44,Velocity!$B:$B,$C44)/Assumptions!$B$4*Assumptions!$B$6</f>
        <v>30.2</v>
      </c>
      <c r="AR44" s="7" t="n">
        <f aca="false">SUMIFS(Doors!BD:BD,Doors!$A:$A,$D44,Doors!$B:$B,$B44,Doors!$C:$C,$C44)*SUMIFS(Velocity!$I:$I,Velocity!$A:$A,$A44,Velocity!$B:$B,$C44)/Assumptions!$B$4*Assumptions!$B$6</f>
        <v>33.3458333333333</v>
      </c>
      <c r="AS44" s="7" t="n">
        <f aca="false">SUMIFS(Doors!BE:BE,Doors!$A:$A,$D44,Doors!$B:$B,$B44,Doors!$C:$C,$C44)*SUMIFS(Velocity!$I:$I,Velocity!$A:$A,$A44,Velocity!$B:$B,$C44)/Assumptions!$B$4*Assumptions!$B$6</f>
        <v>33.3458333333333</v>
      </c>
      <c r="AT44" s="7" t="n">
        <f aca="false">SUMIFS(Doors!BF:BF,Doors!$A:$A,$D44,Doors!$B:$B,$B44,Doors!$C:$C,$C44)*SUMIFS(Velocity!$I:$I,Velocity!$A:$A,$A44,Velocity!$B:$B,$C44)/Assumptions!$B$4*Assumptions!$B$6</f>
        <v>33.3458333333333</v>
      </c>
      <c r="AU44" s="7" t="n">
        <f aca="false">SUMIFS(Doors!BG:BG,Doors!$A:$A,$D44,Doors!$B:$B,$B44,Doors!$C:$C,$C44)*SUMIFS(Velocity!$I:$I,Velocity!$A:$A,$A44,Velocity!$B:$B,$C44)/Assumptions!$B$4*Assumptions!$B$6</f>
        <v>33.3458333333333</v>
      </c>
      <c r="AV44" s="7" t="n">
        <f aca="false">SUMIFS(Doors!BH:BH,Doors!$A:$A,$D44,Doors!$B:$B,$B44,Doors!$C:$C,$C44)*SUMIFS(Velocity!$I:$I,Velocity!$A:$A,$A44,Velocity!$B:$B,$C44)/Assumptions!$B$4*Assumptions!$B$6</f>
        <v>33.3458333333333</v>
      </c>
      <c r="AW44" s="7" t="n">
        <f aca="false">SUMIFS(Doors!BI:BI,Doors!$A:$A,$D44,Doors!$B:$B,$B44,Doors!$C:$C,$C44)*SUMIFS(Velocity!$I:$I,Velocity!$A:$A,$A44,Velocity!$B:$B,$C44)/Assumptions!$B$4*Assumptions!$B$6</f>
        <v>35.8625</v>
      </c>
      <c r="AX44" s="7" t="n">
        <f aca="false">SUMIFS(Doors!BJ:BJ,Doors!$A:$A,$D44,Doors!$B:$B,$B44,Doors!$C:$C,$C44)*SUMIFS(Velocity!$I:$I,Velocity!$A:$A,$A44,Velocity!$B:$B,$C44)/Assumptions!$B$4*Assumptions!$B$6</f>
        <v>35.8625</v>
      </c>
      <c r="AY44" s="7" t="n">
        <f aca="false">SUMIFS(Doors!BK:BK,Doors!$A:$A,$D44,Doors!$B:$B,$B44,Doors!$C:$C,$C44)*SUMIFS(Velocity!$I:$I,Velocity!$A:$A,$A44,Velocity!$B:$B,$C44)/Assumptions!$B$4*Assumptions!$B$6</f>
        <v>35.8625</v>
      </c>
      <c r="AZ44" s="7" t="n">
        <f aca="false">SUMIFS(Doors!BL:BL,Doors!$A:$A,$D44,Doors!$B:$B,$B44,Doors!$C:$C,$C44)*SUMIFS(Velocity!$I:$I,Velocity!$A:$A,$A44,Velocity!$B:$B,$C44)/Assumptions!$B$4*Assumptions!$B$6</f>
        <v>35.8625</v>
      </c>
      <c r="BA44" s="7" t="n">
        <f aca="false">SUMIFS(Doors!BM:BM,Doors!$A:$A,$D44,Doors!$B:$B,$B44,Doors!$C:$C,$C44)*SUMIFS(Velocity!$I:$I,Velocity!$A:$A,$A44,Velocity!$B:$B,$C44)/Assumptions!$B$4*Assumptions!$B$6</f>
        <v>37.75</v>
      </c>
      <c r="BB44" s="7" t="n">
        <f aca="false">SUMIFS(Doors!BN:BN,Doors!$A:$A,$D44,Doors!$B:$B,$B44,Doors!$C:$C,$C44)*SUMIFS(Velocity!$I:$I,Velocity!$A:$A,$A44,Velocity!$B:$B,$C44)/Assumptions!$B$4*Assumptions!$B$6</f>
        <v>37.75</v>
      </c>
      <c r="BC44" s="7" t="n">
        <f aca="false">SUMIFS(Doors!BO:BO,Doors!$A:$A,$D44,Doors!$B:$B,$B44,Doors!$C:$C,$C44)*SUMIFS(Velocity!$I:$I,Velocity!$A:$A,$A44,Velocity!$B:$B,$C44)/Assumptions!$B$4*Assumptions!$B$6</f>
        <v>37.75</v>
      </c>
      <c r="BD44" s="7" t="n">
        <f aca="false">SUMIFS(Doors!BP:BP,Doors!$A:$A,$D44,Doors!$B:$B,$B44,Doors!$C:$C,$C44)*SUMIFS(Velocity!$I:$I,Velocity!$A:$A,$A44,Velocity!$B:$B,$C44)/Assumptions!$B$4*Assumptions!$B$6</f>
        <v>37.75</v>
      </c>
    </row>
    <row r="45" customFormat="false" ht="15" hidden="false" customHeight="false" outlineLevel="0" collapsed="false">
      <c r="A45" s="0" t="s">
        <v>108</v>
      </c>
      <c r="B45" s="0" t="s">
        <v>130</v>
      </c>
      <c r="C45" s="0" t="s">
        <v>118</v>
      </c>
      <c r="D45" s="0" t="s">
        <v>235</v>
      </c>
      <c r="E45" s="7" t="n">
        <f aca="false">SUMIFS(Doors!Q:Q,Doors!$A:$A,$D45,Doors!$B:$B,$B45,Doors!$C:$C,$C45)*SUMIFS(Velocity!$I:$I,Velocity!$A:$A,$A45,Velocity!$B:$B,$C45)/Assumptions!$B$4*Assumptions!$B$6</f>
        <v>0</v>
      </c>
      <c r="F45" s="7" t="n">
        <f aca="false">SUMIFS(Doors!R:R,Doors!$A:$A,$D45,Doors!$B:$B,$B45,Doors!$C:$C,$C45)*SUMIFS(Velocity!$I:$I,Velocity!$A:$A,$A45,Velocity!$B:$B,$C45)/Assumptions!$B$4*Assumptions!$B$6</f>
        <v>0</v>
      </c>
      <c r="G45" s="7" t="n">
        <f aca="false">SUMIFS(Doors!S:S,Doors!$A:$A,$D45,Doors!$B:$B,$B45,Doors!$C:$C,$C45)*SUMIFS(Velocity!$I:$I,Velocity!$A:$A,$A45,Velocity!$B:$B,$C45)/Assumptions!$B$4*Assumptions!$B$6</f>
        <v>0</v>
      </c>
      <c r="H45" s="7" t="n">
        <f aca="false">SUMIFS(Doors!T:T,Doors!$A:$A,$D45,Doors!$B:$B,$B45,Doors!$C:$C,$C45)*SUMIFS(Velocity!$I:$I,Velocity!$A:$A,$A45,Velocity!$B:$B,$C45)/Assumptions!$B$4*Assumptions!$B$6</f>
        <v>0</v>
      </c>
      <c r="I45" s="7" t="n">
        <f aca="false">SUMIFS(Doors!U:U,Doors!$A:$A,$D45,Doors!$B:$B,$B45,Doors!$C:$C,$C45)*SUMIFS(Velocity!$I:$I,Velocity!$A:$A,$A45,Velocity!$B:$B,$C45)/Assumptions!$B$4*Assumptions!$B$6</f>
        <v>0</v>
      </c>
      <c r="J45" s="7" t="n">
        <f aca="false">SUMIFS(Doors!V:V,Doors!$A:$A,$D45,Doors!$B:$B,$B45,Doors!$C:$C,$C45)*SUMIFS(Velocity!$I:$I,Velocity!$A:$A,$A45,Velocity!$B:$B,$C45)/Assumptions!$B$4*Assumptions!$B$6</f>
        <v>0</v>
      </c>
      <c r="K45" s="7" t="n">
        <f aca="false">SUMIFS(Doors!W:W,Doors!$A:$A,$D45,Doors!$B:$B,$B45,Doors!$C:$C,$C45)*SUMIFS(Velocity!$I:$I,Velocity!$A:$A,$A45,Velocity!$B:$B,$C45)/Assumptions!$B$4*Assumptions!$B$6</f>
        <v>0</v>
      </c>
      <c r="L45" s="7" t="n">
        <f aca="false">SUMIFS(Doors!X:X,Doors!$A:$A,$D45,Doors!$B:$B,$B45,Doors!$C:$C,$C45)*SUMIFS(Velocity!$I:$I,Velocity!$A:$A,$A45,Velocity!$B:$B,$C45)/Assumptions!$B$4*Assumptions!$B$6</f>
        <v>0</v>
      </c>
      <c r="M45" s="7" t="n">
        <f aca="false">SUMIFS(Doors!Y:Y,Doors!$A:$A,$D45,Doors!$B:$B,$B45,Doors!$C:$C,$C45)*SUMIFS(Velocity!$I:$I,Velocity!$A:$A,$A45,Velocity!$B:$B,$C45)/Assumptions!$B$4*Assumptions!$B$6</f>
        <v>0</v>
      </c>
      <c r="N45" s="7" t="n">
        <f aca="false">SUMIFS(Doors!Z:Z,Doors!$A:$A,$D45,Doors!$B:$B,$B45,Doors!$C:$C,$C45)*SUMIFS(Velocity!$I:$I,Velocity!$A:$A,$A45,Velocity!$B:$B,$C45)/Assumptions!$B$4*Assumptions!$B$6</f>
        <v>0</v>
      </c>
      <c r="O45" s="7" t="n">
        <f aca="false">SUMIFS(Doors!AA:AA,Doors!$A:$A,$D45,Doors!$B:$B,$B45,Doors!$C:$C,$C45)*SUMIFS(Velocity!$I:$I,Velocity!$A:$A,$A45,Velocity!$B:$B,$C45)/Assumptions!$B$4*Assumptions!$B$6</f>
        <v>0</v>
      </c>
      <c r="P45" s="7" t="n">
        <f aca="false">SUMIFS(Doors!AB:AB,Doors!$A:$A,$D45,Doors!$B:$B,$B45,Doors!$C:$C,$C45)*SUMIFS(Velocity!$I:$I,Velocity!$A:$A,$A45,Velocity!$B:$B,$C45)/Assumptions!$B$4*Assumptions!$B$6</f>
        <v>0</v>
      </c>
      <c r="Q45" s="7" t="n">
        <f aca="false">SUMIFS(Doors!AC:AC,Doors!$A:$A,$D45,Doors!$B:$B,$B45,Doors!$C:$C,$C45)*SUMIFS(Velocity!$I:$I,Velocity!$A:$A,$A45,Velocity!$B:$B,$C45)/Assumptions!$B$4*Assumptions!$B$6</f>
        <v>0</v>
      </c>
      <c r="R45" s="7" t="n">
        <f aca="false">SUMIFS(Doors!AD:AD,Doors!$A:$A,$D45,Doors!$B:$B,$B45,Doors!$C:$C,$C45)*SUMIFS(Velocity!$I:$I,Velocity!$A:$A,$A45,Velocity!$B:$B,$C45)/Assumptions!$B$4*Assumptions!$B$6</f>
        <v>0</v>
      </c>
      <c r="S45" s="7" t="n">
        <f aca="false">SUMIFS(Doors!AE:AE,Doors!$A:$A,$D45,Doors!$B:$B,$B45,Doors!$C:$C,$C45)*SUMIFS(Velocity!$I:$I,Velocity!$A:$A,$A45,Velocity!$B:$B,$C45)/Assumptions!$B$4*Assumptions!$B$6</f>
        <v>0</v>
      </c>
      <c r="T45" s="7" t="n">
        <f aca="false">SUMIFS(Doors!AF:AF,Doors!$A:$A,$D45,Doors!$B:$B,$B45,Doors!$C:$C,$C45)*SUMIFS(Velocity!$I:$I,Velocity!$A:$A,$A45,Velocity!$B:$B,$C45)/Assumptions!$B$4*Assumptions!$B$6</f>
        <v>0</v>
      </c>
      <c r="U45" s="7" t="n">
        <f aca="false">SUMIFS(Doors!AG:AG,Doors!$A:$A,$D45,Doors!$B:$B,$B45,Doors!$C:$C,$C45)*SUMIFS(Velocity!$I:$I,Velocity!$A:$A,$A45,Velocity!$B:$B,$C45)/Assumptions!$B$4*Assumptions!$B$6</f>
        <v>0</v>
      </c>
      <c r="V45" s="7" t="n">
        <f aca="false">SUMIFS(Doors!AH:AH,Doors!$A:$A,$D45,Doors!$B:$B,$B45,Doors!$C:$C,$C45)*SUMIFS(Velocity!$I:$I,Velocity!$A:$A,$A45,Velocity!$B:$B,$C45)/Assumptions!$B$4*Assumptions!$B$6</f>
        <v>0</v>
      </c>
      <c r="W45" s="7" t="n">
        <f aca="false">SUMIFS(Doors!AI:AI,Doors!$A:$A,$D45,Doors!$B:$B,$B45,Doors!$C:$C,$C45)*SUMIFS(Velocity!$I:$I,Velocity!$A:$A,$A45,Velocity!$B:$B,$C45)/Assumptions!$B$4*Assumptions!$B$6</f>
        <v>0</v>
      </c>
      <c r="X45" s="7" t="n">
        <f aca="false">SUMIFS(Doors!AJ:AJ,Doors!$A:$A,$D45,Doors!$B:$B,$B45,Doors!$C:$C,$C45)*SUMIFS(Velocity!$I:$I,Velocity!$A:$A,$A45,Velocity!$B:$B,$C45)/Assumptions!$B$4*Assumptions!$B$6</f>
        <v>0</v>
      </c>
      <c r="Y45" s="7" t="n">
        <f aca="false">SUMIFS(Doors!AK:AK,Doors!$A:$A,$D45,Doors!$B:$B,$B45,Doors!$C:$C,$C45)*SUMIFS(Velocity!$I:$I,Velocity!$A:$A,$A45,Velocity!$B:$B,$C45)/Assumptions!$B$4*Assumptions!$B$6</f>
        <v>0</v>
      </c>
      <c r="Z45" s="7" t="n">
        <f aca="false">SUMIFS(Doors!AL:AL,Doors!$A:$A,$D45,Doors!$B:$B,$B45,Doors!$C:$C,$C45)*SUMIFS(Velocity!$I:$I,Velocity!$A:$A,$A45,Velocity!$B:$B,$C45)/Assumptions!$B$4*Assumptions!$B$6</f>
        <v>0</v>
      </c>
      <c r="AA45" s="7" t="n">
        <f aca="false">SUMIFS(Doors!AM:AM,Doors!$A:$A,$D45,Doors!$B:$B,$B45,Doors!$C:$C,$C45)*SUMIFS(Velocity!$I:$I,Velocity!$A:$A,$A45,Velocity!$B:$B,$C45)/Assumptions!$B$4*Assumptions!$B$6</f>
        <v>0</v>
      </c>
      <c r="AB45" s="7" t="n">
        <f aca="false">SUMIFS(Doors!AN:AN,Doors!$A:$A,$D45,Doors!$B:$B,$B45,Doors!$C:$C,$C45)*SUMIFS(Velocity!$I:$I,Velocity!$A:$A,$A45,Velocity!$B:$B,$C45)/Assumptions!$B$4*Assumptions!$B$6</f>
        <v>0</v>
      </c>
      <c r="AC45" s="7" t="n">
        <f aca="false">SUMIFS(Doors!AO:AO,Doors!$A:$A,$D45,Doors!$B:$B,$B45,Doors!$C:$C,$C45)*SUMIFS(Velocity!$I:$I,Velocity!$A:$A,$A45,Velocity!$B:$B,$C45)/Assumptions!$B$4*Assumptions!$B$6</f>
        <v>0</v>
      </c>
      <c r="AD45" s="7" t="n">
        <f aca="false">SUMIFS(Doors!AP:AP,Doors!$A:$A,$D45,Doors!$B:$B,$B45,Doors!$C:$C,$C45)*SUMIFS(Velocity!$I:$I,Velocity!$A:$A,$A45,Velocity!$B:$B,$C45)/Assumptions!$B$4*Assumptions!$B$6</f>
        <v>0</v>
      </c>
      <c r="AE45" s="7" t="n">
        <f aca="false">SUMIFS(Doors!AQ:AQ,Doors!$A:$A,$D45,Doors!$B:$B,$B45,Doors!$C:$C,$C45)*SUMIFS(Velocity!$I:$I,Velocity!$A:$A,$A45,Velocity!$B:$B,$C45)/Assumptions!$B$4*Assumptions!$B$6</f>
        <v>0</v>
      </c>
      <c r="AF45" s="7" t="n">
        <f aca="false">SUMIFS(Doors!AR:AR,Doors!$A:$A,$D45,Doors!$B:$B,$B45,Doors!$C:$C,$C45)*SUMIFS(Velocity!$I:$I,Velocity!$A:$A,$A45,Velocity!$B:$B,$C45)/Assumptions!$B$4*Assumptions!$B$6</f>
        <v>0</v>
      </c>
      <c r="AG45" s="7" t="n">
        <f aca="false">SUMIFS(Doors!AS:AS,Doors!$A:$A,$D45,Doors!$B:$B,$B45,Doors!$C:$C,$C45)*SUMIFS(Velocity!$I:$I,Velocity!$A:$A,$A45,Velocity!$B:$B,$C45)/Assumptions!$B$4*Assumptions!$B$6</f>
        <v>0</v>
      </c>
      <c r="AH45" s="7" t="n">
        <f aca="false">SUMIFS(Doors!AT:AT,Doors!$A:$A,$D45,Doors!$B:$B,$B45,Doors!$C:$C,$C45)*SUMIFS(Velocity!$I:$I,Velocity!$A:$A,$A45,Velocity!$B:$B,$C45)/Assumptions!$B$4*Assumptions!$B$6</f>
        <v>0</v>
      </c>
      <c r="AI45" s="7" t="n">
        <f aca="false">SUMIFS(Doors!AU:AU,Doors!$A:$A,$D45,Doors!$B:$B,$B45,Doors!$C:$C,$C45)*SUMIFS(Velocity!$I:$I,Velocity!$A:$A,$A45,Velocity!$B:$B,$C45)/Assumptions!$B$4*Assumptions!$B$6</f>
        <v>0</v>
      </c>
      <c r="AJ45" s="7" t="n">
        <f aca="false">SUMIFS(Doors!AV:AV,Doors!$A:$A,$D45,Doors!$B:$B,$B45,Doors!$C:$C,$C45)*SUMIFS(Velocity!$I:$I,Velocity!$A:$A,$A45,Velocity!$B:$B,$C45)/Assumptions!$B$4*Assumptions!$B$6</f>
        <v>0</v>
      </c>
      <c r="AK45" s="7" t="n">
        <f aca="false">SUMIFS(Doors!AW:AW,Doors!$A:$A,$D45,Doors!$B:$B,$B45,Doors!$C:$C,$C45)*SUMIFS(Velocity!$I:$I,Velocity!$A:$A,$A45,Velocity!$B:$B,$C45)/Assumptions!$B$4*Assumptions!$B$6</f>
        <v>0</v>
      </c>
      <c r="AL45" s="7" t="n">
        <f aca="false">SUMIFS(Doors!AX:AX,Doors!$A:$A,$D45,Doors!$B:$B,$B45,Doors!$C:$C,$C45)*SUMIFS(Velocity!$I:$I,Velocity!$A:$A,$A45,Velocity!$B:$B,$C45)/Assumptions!$B$4*Assumptions!$B$6</f>
        <v>0</v>
      </c>
      <c r="AM45" s="7" t="n">
        <f aca="false">SUMIFS(Doors!AY:AY,Doors!$A:$A,$D45,Doors!$B:$B,$B45,Doors!$C:$C,$C45)*SUMIFS(Velocity!$I:$I,Velocity!$A:$A,$A45,Velocity!$B:$B,$C45)/Assumptions!$B$4*Assumptions!$B$6</f>
        <v>0</v>
      </c>
      <c r="AN45" s="7" t="n">
        <f aca="false">SUMIFS(Doors!AZ:AZ,Doors!$A:$A,$D45,Doors!$B:$B,$B45,Doors!$C:$C,$C45)*SUMIFS(Velocity!$I:$I,Velocity!$A:$A,$A45,Velocity!$B:$B,$C45)/Assumptions!$B$4*Assumptions!$B$6</f>
        <v>0</v>
      </c>
      <c r="AO45" s="7" t="n">
        <f aca="false">SUMIFS(Doors!BA:BA,Doors!$A:$A,$D45,Doors!$B:$B,$B45,Doors!$C:$C,$C45)*SUMIFS(Velocity!$I:$I,Velocity!$A:$A,$A45,Velocity!$B:$B,$C45)/Assumptions!$B$4*Assumptions!$B$6</f>
        <v>0</v>
      </c>
      <c r="AP45" s="7" t="n">
        <f aca="false">SUMIFS(Doors!BB:BB,Doors!$A:$A,$D45,Doors!$B:$B,$B45,Doors!$C:$C,$C45)*SUMIFS(Velocity!$I:$I,Velocity!$A:$A,$A45,Velocity!$B:$B,$C45)/Assumptions!$B$4*Assumptions!$B$6</f>
        <v>0</v>
      </c>
      <c r="AQ45" s="7" t="n">
        <f aca="false">SUMIFS(Doors!BC:BC,Doors!$A:$A,$D45,Doors!$B:$B,$B45,Doors!$C:$C,$C45)*SUMIFS(Velocity!$I:$I,Velocity!$A:$A,$A45,Velocity!$B:$B,$C45)/Assumptions!$B$4*Assumptions!$B$6</f>
        <v>0</v>
      </c>
      <c r="AR45" s="7" t="n">
        <f aca="false">SUMIFS(Doors!BD:BD,Doors!$A:$A,$D45,Doors!$B:$B,$B45,Doors!$C:$C,$C45)*SUMIFS(Velocity!$I:$I,Velocity!$A:$A,$A45,Velocity!$B:$B,$C45)/Assumptions!$B$4*Assumptions!$B$6</f>
        <v>230</v>
      </c>
      <c r="AS45" s="7" t="n">
        <f aca="false">SUMIFS(Doors!BE:BE,Doors!$A:$A,$D45,Doors!$B:$B,$B45,Doors!$C:$C,$C45)*SUMIFS(Velocity!$I:$I,Velocity!$A:$A,$A45,Velocity!$B:$B,$C45)/Assumptions!$B$4*Assumptions!$B$6</f>
        <v>230</v>
      </c>
      <c r="AT45" s="7" t="n">
        <f aca="false">SUMIFS(Doors!BF:BF,Doors!$A:$A,$D45,Doors!$B:$B,$B45,Doors!$C:$C,$C45)*SUMIFS(Velocity!$I:$I,Velocity!$A:$A,$A45,Velocity!$B:$B,$C45)/Assumptions!$B$4*Assumptions!$B$6</f>
        <v>230</v>
      </c>
      <c r="AU45" s="7" t="n">
        <f aca="false">SUMIFS(Doors!BG:BG,Doors!$A:$A,$D45,Doors!$B:$B,$B45,Doors!$C:$C,$C45)*SUMIFS(Velocity!$I:$I,Velocity!$A:$A,$A45,Velocity!$B:$B,$C45)/Assumptions!$B$4*Assumptions!$B$6</f>
        <v>230</v>
      </c>
      <c r="AV45" s="7" t="n">
        <f aca="false">SUMIFS(Doors!BH:BH,Doors!$A:$A,$D45,Doors!$B:$B,$B45,Doors!$C:$C,$C45)*SUMIFS(Velocity!$I:$I,Velocity!$A:$A,$A45,Velocity!$B:$B,$C45)/Assumptions!$B$4*Assumptions!$B$6</f>
        <v>230</v>
      </c>
      <c r="AW45" s="7" t="n">
        <f aca="false">SUMIFS(Doors!BI:BI,Doors!$A:$A,$D45,Doors!$B:$B,$B45,Doors!$C:$C,$C45)*SUMIFS(Velocity!$I:$I,Velocity!$A:$A,$A45,Velocity!$B:$B,$C45)/Assumptions!$B$4*Assumptions!$B$6</f>
        <v>245.333333333333</v>
      </c>
      <c r="AX45" s="7" t="n">
        <f aca="false">SUMIFS(Doors!BJ:BJ,Doors!$A:$A,$D45,Doors!$B:$B,$B45,Doors!$C:$C,$C45)*SUMIFS(Velocity!$I:$I,Velocity!$A:$A,$A45,Velocity!$B:$B,$C45)/Assumptions!$B$4*Assumptions!$B$6</f>
        <v>245.333333333333</v>
      </c>
      <c r="AY45" s="7" t="n">
        <f aca="false">SUMIFS(Doors!BK:BK,Doors!$A:$A,$D45,Doors!$B:$B,$B45,Doors!$C:$C,$C45)*SUMIFS(Velocity!$I:$I,Velocity!$A:$A,$A45,Velocity!$B:$B,$C45)/Assumptions!$B$4*Assumptions!$B$6</f>
        <v>245.333333333333</v>
      </c>
      <c r="AZ45" s="7" t="n">
        <f aca="false">SUMIFS(Doors!BL:BL,Doors!$A:$A,$D45,Doors!$B:$B,$B45,Doors!$C:$C,$C45)*SUMIFS(Velocity!$I:$I,Velocity!$A:$A,$A45,Velocity!$B:$B,$C45)/Assumptions!$B$4*Assumptions!$B$6</f>
        <v>245.333333333333</v>
      </c>
      <c r="BA45" s="7" t="n">
        <f aca="false">SUMIFS(Doors!BM:BM,Doors!$A:$A,$D45,Doors!$B:$B,$B45,Doors!$C:$C,$C45)*SUMIFS(Velocity!$I:$I,Velocity!$A:$A,$A45,Velocity!$B:$B,$C45)/Assumptions!$B$4*Assumptions!$B$6</f>
        <v>268.333333333333</v>
      </c>
      <c r="BB45" s="7" t="n">
        <f aca="false">SUMIFS(Doors!BN:BN,Doors!$A:$A,$D45,Doors!$B:$B,$B45,Doors!$C:$C,$C45)*SUMIFS(Velocity!$I:$I,Velocity!$A:$A,$A45,Velocity!$B:$B,$C45)/Assumptions!$B$4*Assumptions!$B$6</f>
        <v>268.333333333333</v>
      </c>
      <c r="BC45" s="7" t="n">
        <f aca="false">SUMIFS(Doors!BO:BO,Doors!$A:$A,$D45,Doors!$B:$B,$B45,Doors!$C:$C,$C45)*SUMIFS(Velocity!$I:$I,Velocity!$A:$A,$A45,Velocity!$B:$B,$C45)/Assumptions!$B$4*Assumptions!$B$6</f>
        <v>268.333333333333</v>
      </c>
      <c r="BD45" s="7" t="n">
        <f aca="false">SUMIFS(Doors!BP:BP,Doors!$A:$A,$D45,Doors!$B:$B,$B45,Doors!$C:$C,$C45)*SUMIFS(Velocity!$I:$I,Velocity!$A:$A,$A45,Velocity!$B:$B,$C45)/Assumptions!$B$4*Assumptions!$B$6</f>
        <v>268.333333333333</v>
      </c>
    </row>
    <row r="46" customFormat="false" ht="15" hidden="false" customHeight="false" outlineLevel="0" collapsed="false">
      <c r="A46" s="0" t="s">
        <v>108</v>
      </c>
      <c r="B46" s="0" t="s">
        <v>130</v>
      </c>
      <c r="C46" s="0" t="s">
        <v>119</v>
      </c>
      <c r="D46" s="0" t="s">
        <v>235</v>
      </c>
      <c r="E46" s="7" t="n">
        <f aca="false">SUMIFS(Doors!Q:Q,Doors!$A:$A,$D46,Doors!$B:$B,$B46,Doors!$C:$C,$C46)*SUMIFS(Velocity!$I:$I,Velocity!$A:$A,$A46,Velocity!$B:$B,$C46)/Assumptions!$B$4*Assumptions!$B$6</f>
        <v>6.66666666666667</v>
      </c>
      <c r="F46" s="7" t="n">
        <f aca="false">SUMIFS(Doors!R:R,Doors!$A:$A,$D46,Doors!$B:$B,$B46,Doors!$C:$C,$C46)*SUMIFS(Velocity!$I:$I,Velocity!$A:$A,$A46,Velocity!$B:$B,$C46)/Assumptions!$B$4*Assumptions!$B$6</f>
        <v>6.66666666666667</v>
      </c>
      <c r="G46" s="7" t="n">
        <f aca="false">SUMIFS(Doors!S:S,Doors!$A:$A,$D46,Doors!$B:$B,$B46,Doors!$C:$C,$C46)*SUMIFS(Velocity!$I:$I,Velocity!$A:$A,$A46,Velocity!$B:$B,$C46)/Assumptions!$B$4*Assumptions!$B$6</f>
        <v>6.66666666666667</v>
      </c>
      <c r="H46" s="7" t="n">
        <f aca="false">SUMIFS(Doors!T:T,Doors!$A:$A,$D46,Doors!$B:$B,$B46,Doors!$C:$C,$C46)*SUMIFS(Velocity!$I:$I,Velocity!$A:$A,$A46,Velocity!$B:$B,$C46)/Assumptions!$B$4*Assumptions!$B$6</f>
        <v>6.66666666666667</v>
      </c>
      <c r="I46" s="7" t="n">
        <f aca="false">SUMIFS(Doors!U:U,Doors!$A:$A,$D46,Doors!$B:$B,$B46,Doors!$C:$C,$C46)*SUMIFS(Velocity!$I:$I,Velocity!$A:$A,$A46,Velocity!$B:$B,$C46)/Assumptions!$B$4*Assumptions!$B$6</f>
        <v>6.66666666666667</v>
      </c>
      <c r="J46" s="7" t="n">
        <f aca="false">SUMIFS(Doors!V:V,Doors!$A:$A,$D46,Doors!$B:$B,$B46,Doors!$C:$C,$C46)*SUMIFS(Velocity!$I:$I,Velocity!$A:$A,$A46,Velocity!$B:$B,$C46)/Assumptions!$B$4*Assumptions!$B$6</f>
        <v>9.16666666666667</v>
      </c>
      <c r="K46" s="7" t="n">
        <f aca="false">SUMIFS(Doors!W:W,Doors!$A:$A,$D46,Doors!$B:$B,$B46,Doors!$C:$C,$C46)*SUMIFS(Velocity!$I:$I,Velocity!$A:$A,$A46,Velocity!$B:$B,$C46)/Assumptions!$B$4*Assumptions!$B$6</f>
        <v>9.16666666666667</v>
      </c>
      <c r="L46" s="7" t="n">
        <f aca="false">SUMIFS(Doors!X:X,Doors!$A:$A,$D46,Doors!$B:$B,$B46,Doors!$C:$C,$C46)*SUMIFS(Velocity!$I:$I,Velocity!$A:$A,$A46,Velocity!$B:$B,$C46)/Assumptions!$B$4*Assumptions!$B$6</f>
        <v>9.16666666666667</v>
      </c>
      <c r="M46" s="7" t="n">
        <f aca="false">SUMIFS(Doors!Y:Y,Doors!$A:$A,$D46,Doors!$B:$B,$B46,Doors!$C:$C,$C46)*SUMIFS(Velocity!$I:$I,Velocity!$A:$A,$A46,Velocity!$B:$B,$C46)/Assumptions!$B$4*Assumptions!$B$6</f>
        <v>9.16666666666667</v>
      </c>
      <c r="N46" s="7" t="n">
        <f aca="false">SUMIFS(Doors!Z:Z,Doors!$A:$A,$D46,Doors!$B:$B,$B46,Doors!$C:$C,$C46)*SUMIFS(Velocity!$I:$I,Velocity!$A:$A,$A46,Velocity!$B:$B,$C46)/Assumptions!$B$4*Assumptions!$B$6</f>
        <v>12.5</v>
      </c>
      <c r="O46" s="7" t="n">
        <f aca="false">SUMIFS(Doors!AA:AA,Doors!$A:$A,$D46,Doors!$B:$B,$B46,Doors!$C:$C,$C46)*SUMIFS(Velocity!$I:$I,Velocity!$A:$A,$A46,Velocity!$B:$B,$C46)/Assumptions!$B$4*Assumptions!$B$6</f>
        <v>12.5</v>
      </c>
      <c r="P46" s="7" t="n">
        <f aca="false">SUMIFS(Doors!AB:AB,Doors!$A:$A,$D46,Doors!$B:$B,$B46,Doors!$C:$C,$C46)*SUMIFS(Velocity!$I:$I,Velocity!$A:$A,$A46,Velocity!$B:$B,$C46)/Assumptions!$B$4*Assumptions!$B$6</f>
        <v>12.5</v>
      </c>
      <c r="Q46" s="7" t="n">
        <f aca="false">SUMIFS(Doors!AC:AC,Doors!$A:$A,$D46,Doors!$B:$B,$B46,Doors!$C:$C,$C46)*SUMIFS(Velocity!$I:$I,Velocity!$A:$A,$A46,Velocity!$B:$B,$C46)/Assumptions!$B$4*Assumptions!$B$6</f>
        <v>12.5</v>
      </c>
      <c r="R46" s="7" t="n">
        <f aca="false">SUMIFS(Doors!AD:AD,Doors!$A:$A,$D46,Doors!$B:$B,$B46,Doors!$C:$C,$C46)*SUMIFS(Velocity!$I:$I,Velocity!$A:$A,$A46,Velocity!$B:$B,$C46)/Assumptions!$B$4*Assumptions!$B$6</f>
        <v>15</v>
      </c>
      <c r="S46" s="7" t="n">
        <f aca="false">SUMIFS(Doors!AE:AE,Doors!$A:$A,$D46,Doors!$B:$B,$B46,Doors!$C:$C,$C46)*SUMIFS(Velocity!$I:$I,Velocity!$A:$A,$A46,Velocity!$B:$B,$C46)/Assumptions!$B$4*Assumptions!$B$6</f>
        <v>15</v>
      </c>
      <c r="T46" s="7" t="n">
        <f aca="false">SUMIFS(Doors!AF:AF,Doors!$A:$A,$D46,Doors!$B:$B,$B46,Doors!$C:$C,$C46)*SUMIFS(Velocity!$I:$I,Velocity!$A:$A,$A46,Velocity!$B:$B,$C46)/Assumptions!$B$4*Assumptions!$B$6</f>
        <v>15</v>
      </c>
      <c r="U46" s="7" t="n">
        <f aca="false">SUMIFS(Doors!AG:AG,Doors!$A:$A,$D46,Doors!$B:$B,$B46,Doors!$C:$C,$C46)*SUMIFS(Velocity!$I:$I,Velocity!$A:$A,$A46,Velocity!$B:$B,$C46)/Assumptions!$B$4*Assumptions!$B$6</f>
        <v>15</v>
      </c>
      <c r="V46" s="7" t="n">
        <f aca="false">SUMIFS(Doors!AH:AH,Doors!$A:$A,$D46,Doors!$B:$B,$B46,Doors!$C:$C,$C46)*SUMIFS(Velocity!$I:$I,Velocity!$A:$A,$A46,Velocity!$B:$B,$C46)/Assumptions!$B$4*Assumptions!$B$6</f>
        <v>15</v>
      </c>
      <c r="W46" s="7" t="n">
        <f aca="false">SUMIFS(Doors!AI:AI,Doors!$A:$A,$D46,Doors!$B:$B,$B46,Doors!$C:$C,$C46)*SUMIFS(Velocity!$I:$I,Velocity!$A:$A,$A46,Velocity!$B:$B,$C46)/Assumptions!$B$4*Assumptions!$B$6</f>
        <v>17.5</v>
      </c>
      <c r="X46" s="7" t="n">
        <f aca="false">SUMIFS(Doors!AJ:AJ,Doors!$A:$A,$D46,Doors!$B:$B,$B46,Doors!$C:$C,$C46)*SUMIFS(Velocity!$I:$I,Velocity!$A:$A,$A46,Velocity!$B:$B,$C46)/Assumptions!$B$4*Assumptions!$B$6</f>
        <v>17.5</v>
      </c>
      <c r="Y46" s="7" t="n">
        <f aca="false">SUMIFS(Doors!AK:AK,Doors!$A:$A,$D46,Doors!$B:$B,$B46,Doors!$C:$C,$C46)*SUMIFS(Velocity!$I:$I,Velocity!$A:$A,$A46,Velocity!$B:$B,$C46)/Assumptions!$B$4*Assumptions!$B$6</f>
        <v>17.5</v>
      </c>
      <c r="Z46" s="7" t="n">
        <f aca="false">SUMIFS(Doors!AL:AL,Doors!$A:$A,$D46,Doors!$B:$B,$B46,Doors!$C:$C,$C46)*SUMIFS(Velocity!$I:$I,Velocity!$A:$A,$A46,Velocity!$B:$B,$C46)/Assumptions!$B$4*Assumptions!$B$6</f>
        <v>17.5</v>
      </c>
      <c r="AA46" s="7" t="n">
        <f aca="false">SUMIFS(Doors!AM:AM,Doors!$A:$A,$D46,Doors!$B:$B,$B46,Doors!$C:$C,$C46)*SUMIFS(Velocity!$I:$I,Velocity!$A:$A,$A46,Velocity!$B:$B,$C46)/Assumptions!$B$4*Assumptions!$B$6</f>
        <v>20</v>
      </c>
      <c r="AB46" s="7" t="n">
        <f aca="false">SUMIFS(Doors!AN:AN,Doors!$A:$A,$D46,Doors!$B:$B,$B46,Doors!$C:$C,$C46)*SUMIFS(Velocity!$I:$I,Velocity!$A:$A,$A46,Velocity!$B:$B,$C46)/Assumptions!$B$4*Assumptions!$B$6</f>
        <v>20</v>
      </c>
      <c r="AC46" s="7" t="n">
        <f aca="false">SUMIFS(Doors!AO:AO,Doors!$A:$A,$D46,Doors!$B:$B,$B46,Doors!$C:$C,$C46)*SUMIFS(Velocity!$I:$I,Velocity!$A:$A,$A46,Velocity!$B:$B,$C46)/Assumptions!$B$4*Assumptions!$B$6</f>
        <v>20</v>
      </c>
      <c r="AD46" s="7" t="n">
        <f aca="false">SUMIFS(Doors!AP:AP,Doors!$A:$A,$D46,Doors!$B:$B,$B46,Doors!$C:$C,$C46)*SUMIFS(Velocity!$I:$I,Velocity!$A:$A,$A46,Velocity!$B:$B,$C46)/Assumptions!$B$4*Assumptions!$B$6</f>
        <v>20</v>
      </c>
      <c r="AE46" s="7" t="n">
        <f aca="false">SUMIFS(Doors!AQ:AQ,Doors!$A:$A,$D46,Doors!$B:$B,$B46,Doors!$C:$C,$C46)*SUMIFS(Velocity!$I:$I,Velocity!$A:$A,$A46,Velocity!$B:$B,$C46)/Assumptions!$B$4*Assumptions!$B$6</f>
        <v>21.6666666666667</v>
      </c>
      <c r="AF46" s="7" t="n">
        <f aca="false">SUMIFS(Doors!AR:AR,Doors!$A:$A,$D46,Doors!$B:$B,$B46,Doors!$C:$C,$C46)*SUMIFS(Velocity!$I:$I,Velocity!$A:$A,$A46,Velocity!$B:$B,$C46)/Assumptions!$B$4*Assumptions!$B$6</f>
        <v>21.6666666666667</v>
      </c>
      <c r="AG46" s="7" t="n">
        <f aca="false">SUMIFS(Doors!AS:AS,Doors!$A:$A,$D46,Doors!$B:$B,$B46,Doors!$C:$C,$C46)*SUMIFS(Velocity!$I:$I,Velocity!$A:$A,$A46,Velocity!$B:$B,$C46)/Assumptions!$B$4*Assumptions!$B$6</f>
        <v>21.6666666666667</v>
      </c>
      <c r="AH46" s="7" t="n">
        <f aca="false">SUMIFS(Doors!AT:AT,Doors!$A:$A,$D46,Doors!$B:$B,$B46,Doors!$C:$C,$C46)*SUMIFS(Velocity!$I:$I,Velocity!$A:$A,$A46,Velocity!$B:$B,$C46)/Assumptions!$B$4*Assumptions!$B$6</f>
        <v>21.6666666666667</v>
      </c>
      <c r="AI46" s="7" t="n">
        <f aca="false">SUMIFS(Doors!AU:AU,Doors!$A:$A,$D46,Doors!$B:$B,$B46,Doors!$C:$C,$C46)*SUMIFS(Velocity!$I:$I,Velocity!$A:$A,$A46,Velocity!$B:$B,$C46)/Assumptions!$B$4*Assumptions!$B$6</f>
        <v>21.6666666666667</v>
      </c>
      <c r="AJ46" s="7" t="n">
        <f aca="false">SUMIFS(Doors!AV:AV,Doors!$A:$A,$D46,Doors!$B:$B,$B46,Doors!$C:$C,$C46)*SUMIFS(Velocity!$I:$I,Velocity!$A:$A,$A46,Velocity!$B:$B,$C46)/Assumptions!$B$4*Assumptions!$B$6</f>
        <v>23.3333333333333</v>
      </c>
      <c r="AK46" s="7" t="n">
        <f aca="false">SUMIFS(Doors!AW:AW,Doors!$A:$A,$D46,Doors!$B:$B,$B46,Doors!$C:$C,$C46)*SUMIFS(Velocity!$I:$I,Velocity!$A:$A,$A46,Velocity!$B:$B,$C46)/Assumptions!$B$4*Assumptions!$B$6</f>
        <v>23.3333333333333</v>
      </c>
      <c r="AL46" s="7" t="n">
        <f aca="false">SUMIFS(Doors!AX:AX,Doors!$A:$A,$D46,Doors!$B:$B,$B46,Doors!$C:$C,$C46)*SUMIFS(Velocity!$I:$I,Velocity!$A:$A,$A46,Velocity!$B:$B,$C46)/Assumptions!$B$4*Assumptions!$B$6</f>
        <v>23.3333333333333</v>
      </c>
      <c r="AM46" s="7" t="n">
        <f aca="false">SUMIFS(Doors!AY:AY,Doors!$A:$A,$D46,Doors!$B:$B,$B46,Doors!$C:$C,$C46)*SUMIFS(Velocity!$I:$I,Velocity!$A:$A,$A46,Velocity!$B:$B,$C46)/Assumptions!$B$4*Assumptions!$B$6</f>
        <v>23.3333333333333</v>
      </c>
      <c r="AN46" s="7" t="n">
        <f aca="false">SUMIFS(Doors!AZ:AZ,Doors!$A:$A,$D46,Doors!$B:$B,$B46,Doors!$C:$C,$C46)*SUMIFS(Velocity!$I:$I,Velocity!$A:$A,$A46,Velocity!$B:$B,$C46)/Assumptions!$B$4*Assumptions!$B$6</f>
        <v>24.1666666666667</v>
      </c>
      <c r="AO46" s="7" t="n">
        <f aca="false">SUMIFS(Doors!BA:BA,Doors!$A:$A,$D46,Doors!$B:$B,$B46,Doors!$C:$C,$C46)*SUMIFS(Velocity!$I:$I,Velocity!$A:$A,$A46,Velocity!$B:$B,$C46)/Assumptions!$B$4*Assumptions!$B$6</f>
        <v>24.1666666666667</v>
      </c>
      <c r="AP46" s="7" t="n">
        <f aca="false">SUMIFS(Doors!BB:BB,Doors!$A:$A,$D46,Doors!$B:$B,$B46,Doors!$C:$C,$C46)*SUMIFS(Velocity!$I:$I,Velocity!$A:$A,$A46,Velocity!$B:$B,$C46)/Assumptions!$B$4*Assumptions!$B$6</f>
        <v>24.1666666666667</v>
      </c>
      <c r="AQ46" s="7" t="n">
        <f aca="false">SUMIFS(Doors!BC:BC,Doors!$A:$A,$D46,Doors!$B:$B,$B46,Doors!$C:$C,$C46)*SUMIFS(Velocity!$I:$I,Velocity!$A:$A,$A46,Velocity!$B:$B,$C46)/Assumptions!$B$4*Assumptions!$B$6</f>
        <v>24.1666666666667</v>
      </c>
      <c r="AR46" s="7" t="n">
        <f aca="false">SUMIFS(Doors!BD:BD,Doors!$A:$A,$D46,Doors!$B:$B,$B46,Doors!$C:$C,$C46)*SUMIFS(Velocity!$I:$I,Velocity!$A:$A,$A46,Velocity!$B:$B,$C46)/Assumptions!$B$4*Assumptions!$B$6</f>
        <v>25</v>
      </c>
      <c r="AS46" s="7" t="n">
        <f aca="false">SUMIFS(Doors!BE:BE,Doors!$A:$A,$D46,Doors!$B:$B,$B46,Doors!$C:$C,$C46)*SUMIFS(Velocity!$I:$I,Velocity!$A:$A,$A46,Velocity!$B:$B,$C46)/Assumptions!$B$4*Assumptions!$B$6</f>
        <v>25</v>
      </c>
      <c r="AT46" s="7" t="n">
        <f aca="false">SUMIFS(Doors!BF:BF,Doors!$A:$A,$D46,Doors!$B:$B,$B46,Doors!$C:$C,$C46)*SUMIFS(Velocity!$I:$I,Velocity!$A:$A,$A46,Velocity!$B:$B,$C46)/Assumptions!$B$4*Assumptions!$B$6</f>
        <v>25</v>
      </c>
      <c r="AU46" s="7" t="n">
        <f aca="false">SUMIFS(Doors!BG:BG,Doors!$A:$A,$D46,Doors!$B:$B,$B46,Doors!$C:$C,$C46)*SUMIFS(Velocity!$I:$I,Velocity!$A:$A,$A46,Velocity!$B:$B,$C46)/Assumptions!$B$4*Assumptions!$B$6</f>
        <v>25</v>
      </c>
      <c r="AV46" s="7" t="n">
        <f aca="false">SUMIFS(Doors!BH:BH,Doors!$A:$A,$D46,Doors!$B:$B,$B46,Doors!$C:$C,$C46)*SUMIFS(Velocity!$I:$I,Velocity!$A:$A,$A46,Velocity!$B:$B,$C46)/Assumptions!$B$4*Assumptions!$B$6</f>
        <v>25</v>
      </c>
      <c r="AW46" s="7" t="n">
        <f aca="false">SUMIFS(Doors!BI:BI,Doors!$A:$A,$D46,Doors!$B:$B,$B46,Doors!$C:$C,$C46)*SUMIFS(Velocity!$I:$I,Velocity!$A:$A,$A46,Velocity!$B:$B,$C46)/Assumptions!$B$4*Assumptions!$B$6</f>
        <v>25.3333333333333</v>
      </c>
      <c r="AX46" s="7" t="n">
        <f aca="false">SUMIFS(Doors!BJ:BJ,Doors!$A:$A,$D46,Doors!$B:$B,$B46,Doors!$C:$C,$C46)*SUMIFS(Velocity!$I:$I,Velocity!$A:$A,$A46,Velocity!$B:$B,$C46)/Assumptions!$B$4*Assumptions!$B$6</f>
        <v>25.3333333333333</v>
      </c>
      <c r="AY46" s="7" t="n">
        <f aca="false">SUMIFS(Doors!BK:BK,Doors!$A:$A,$D46,Doors!$B:$B,$B46,Doors!$C:$C,$C46)*SUMIFS(Velocity!$I:$I,Velocity!$A:$A,$A46,Velocity!$B:$B,$C46)/Assumptions!$B$4*Assumptions!$B$6</f>
        <v>25.3333333333333</v>
      </c>
      <c r="AZ46" s="7" t="n">
        <f aca="false">SUMIFS(Doors!BL:BL,Doors!$A:$A,$D46,Doors!$B:$B,$B46,Doors!$C:$C,$C46)*SUMIFS(Velocity!$I:$I,Velocity!$A:$A,$A46,Velocity!$B:$B,$C46)/Assumptions!$B$4*Assumptions!$B$6</f>
        <v>25.3333333333333</v>
      </c>
      <c r="BA46" s="7" t="n">
        <f aca="false">SUMIFS(Doors!BM:BM,Doors!$A:$A,$D46,Doors!$B:$B,$B46,Doors!$C:$C,$C46)*SUMIFS(Velocity!$I:$I,Velocity!$A:$A,$A46,Velocity!$B:$B,$C46)/Assumptions!$B$4*Assumptions!$B$6</f>
        <v>25.8333333333333</v>
      </c>
      <c r="BB46" s="7" t="n">
        <f aca="false">SUMIFS(Doors!BN:BN,Doors!$A:$A,$D46,Doors!$B:$B,$B46,Doors!$C:$C,$C46)*SUMIFS(Velocity!$I:$I,Velocity!$A:$A,$A46,Velocity!$B:$B,$C46)/Assumptions!$B$4*Assumptions!$B$6</f>
        <v>25.8333333333333</v>
      </c>
      <c r="BC46" s="7" t="n">
        <f aca="false">SUMIFS(Doors!BO:BO,Doors!$A:$A,$D46,Doors!$B:$B,$B46,Doors!$C:$C,$C46)*SUMIFS(Velocity!$I:$I,Velocity!$A:$A,$A46,Velocity!$B:$B,$C46)/Assumptions!$B$4*Assumptions!$B$6</f>
        <v>25.8333333333333</v>
      </c>
      <c r="BD46" s="7" t="n">
        <f aca="false">SUMIFS(Doors!BP:BP,Doors!$A:$A,$D46,Doors!$B:$B,$B46,Doors!$C:$C,$C46)*SUMIFS(Velocity!$I:$I,Velocity!$A:$A,$A46,Velocity!$B:$B,$C46)/Assumptions!$B$4*Assumptions!$B$6</f>
        <v>25.8333333333333</v>
      </c>
    </row>
    <row r="47" customFormat="false" ht="15" hidden="false" customHeight="false" outlineLevel="0" collapsed="false">
      <c r="A47" s="0" t="s">
        <v>108</v>
      </c>
      <c r="B47" s="0" t="s">
        <v>130</v>
      </c>
      <c r="C47" s="0" t="s">
        <v>120</v>
      </c>
      <c r="D47" s="0" t="s">
        <v>235</v>
      </c>
      <c r="E47" s="7" t="n">
        <f aca="false">SUMIFS(Doors!Q:Q,Doors!$A:$A,$D47,Doors!$B:$B,$B47,Doors!$C:$C,$C47)*SUMIFS(Velocity!$I:$I,Velocity!$A:$A,$A47,Velocity!$B:$B,$C47)/Assumptions!$B$4*Assumptions!$B$6</f>
        <v>9.89583333333333</v>
      </c>
      <c r="F47" s="7" t="n">
        <f aca="false">SUMIFS(Doors!R:R,Doors!$A:$A,$D47,Doors!$B:$B,$B47,Doors!$C:$C,$C47)*SUMIFS(Velocity!$I:$I,Velocity!$A:$A,$A47,Velocity!$B:$B,$C47)/Assumptions!$B$4*Assumptions!$B$6</f>
        <v>9.89583333333333</v>
      </c>
      <c r="G47" s="7" t="n">
        <f aca="false">SUMIFS(Doors!S:S,Doors!$A:$A,$D47,Doors!$B:$B,$B47,Doors!$C:$C,$C47)*SUMIFS(Velocity!$I:$I,Velocity!$A:$A,$A47,Velocity!$B:$B,$C47)/Assumptions!$B$4*Assumptions!$B$6</f>
        <v>9.89583333333333</v>
      </c>
      <c r="H47" s="7" t="n">
        <f aca="false">SUMIFS(Doors!T:T,Doors!$A:$A,$D47,Doors!$B:$B,$B47,Doors!$C:$C,$C47)*SUMIFS(Velocity!$I:$I,Velocity!$A:$A,$A47,Velocity!$B:$B,$C47)/Assumptions!$B$4*Assumptions!$B$6</f>
        <v>9.89583333333333</v>
      </c>
      <c r="I47" s="7" t="n">
        <f aca="false">SUMIFS(Doors!U:U,Doors!$A:$A,$D47,Doors!$B:$B,$B47,Doors!$C:$C,$C47)*SUMIFS(Velocity!$I:$I,Velocity!$A:$A,$A47,Velocity!$B:$B,$C47)/Assumptions!$B$4*Assumptions!$B$6</f>
        <v>9.89583333333333</v>
      </c>
      <c r="J47" s="7" t="n">
        <f aca="false">SUMIFS(Doors!V:V,Doors!$A:$A,$D47,Doors!$B:$B,$B47,Doors!$C:$C,$C47)*SUMIFS(Velocity!$I:$I,Velocity!$A:$A,$A47,Velocity!$B:$B,$C47)/Assumptions!$B$4*Assumptions!$B$6</f>
        <v>14.84375</v>
      </c>
      <c r="K47" s="7" t="n">
        <f aca="false">SUMIFS(Doors!W:W,Doors!$A:$A,$D47,Doors!$B:$B,$B47,Doors!$C:$C,$C47)*SUMIFS(Velocity!$I:$I,Velocity!$A:$A,$A47,Velocity!$B:$B,$C47)/Assumptions!$B$4*Assumptions!$B$6</f>
        <v>14.84375</v>
      </c>
      <c r="L47" s="7" t="n">
        <f aca="false">SUMIFS(Doors!X:X,Doors!$A:$A,$D47,Doors!$B:$B,$B47,Doors!$C:$C,$C47)*SUMIFS(Velocity!$I:$I,Velocity!$A:$A,$A47,Velocity!$B:$B,$C47)/Assumptions!$B$4*Assumptions!$B$6</f>
        <v>14.84375</v>
      </c>
      <c r="M47" s="7" t="n">
        <f aca="false">SUMIFS(Doors!Y:Y,Doors!$A:$A,$D47,Doors!$B:$B,$B47,Doors!$C:$C,$C47)*SUMIFS(Velocity!$I:$I,Velocity!$A:$A,$A47,Velocity!$B:$B,$C47)/Assumptions!$B$4*Assumptions!$B$6</f>
        <v>14.84375</v>
      </c>
      <c r="N47" s="7" t="n">
        <f aca="false">SUMIFS(Doors!Z:Z,Doors!$A:$A,$D47,Doors!$B:$B,$B47,Doors!$C:$C,$C47)*SUMIFS(Velocity!$I:$I,Velocity!$A:$A,$A47,Velocity!$B:$B,$C47)/Assumptions!$B$4*Assumptions!$B$6</f>
        <v>20.78125</v>
      </c>
      <c r="O47" s="7" t="n">
        <f aca="false">SUMIFS(Doors!AA:AA,Doors!$A:$A,$D47,Doors!$B:$B,$B47,Doors!$C:$C,$C47)*SUMIFS(Velocity!$I:$I,Velocity!$A:$A,$A47,Velocity!$B:$B,$C47)/Assumptions!$B$4*Assumptions!$B$6</f>
        <v>20.78125</v>
      </c>
      <c r="P47" s="7" t="n">
        <f aca="false">SUMIFS(Doors!AB:AB,Doors!$A:$A,$D47,Doors!$B:$B,$B47,Doors!$C:$C,$C47)*SUMIFS(Velocity!$I:$I,Velocity!$A:$A,$A47,Velocity!$B:$B,$C47)/Assumptions!$B$4*Assumptions!$B$6</f>
        <v>20.78125</v>
      </c>
      <c r="Q47" s="7" t="n">
        <f aca="false">SUMIFS(Doors!AC:AC,Doors!$A:$A,$D47,Doors!$B:$B,$B47,Doors!$C:$C,$C47)*SUMIFS(Velocity!$I:$I,Velocity!$A:$A,$A47,Velocity!$B:$B,$C47)/Assumptions!$B$4*Assumptions!$B$6</f>
        <v>20.78125</v>
      </c>
      <c r="R47" s="7" t="n">
        <f aca="false">SUMIFS(Doors!AD:AD,Doors!$A:$A,$D47,Doors!$B:$B,$B47,Doors!$C:$C,$C47)*SUMIFS(Velocity!$I:$I,Velocity!$A:$A,$A47,Velocity!$B:$B,$C47)/Assumptions!$B$4*Assumptions!$B$6</f>
        <v>25.7291666666667</v>
      </c>
      <c r="S47" s="7" t="n">
        <f aca="false">SUMIFS(Doors!AE:AE,Doors!$A:$A,$D47,Doors!$B:$B,$B47,Doors!$C:$C,$C47)*SUMIFS(Velocity!$I:$I,Velocity!$A:$A,$A47,Velocity!$B:$B,$C47)/Assumptions!$B$4*Assumptions!$B$6</f>
        <v>25.7291666666667</v>
      </c>
      <c r="T47" s="7" t="n">
        <f aca="false">SUMIFS(Doors!AF:AF,Doors!$A:$A,$D47,Doors!$B:$B,$B47,Doors!$C:$C,$C47)*SUMIFS(Velocity!$I:$I,Velocity!$A:$A,$A47,Velocity!$B:$B,$C47)/Assumptions!$B$4*Assumptions!$B$6</f>
        <v>25.7291666666667</v>
      </c>
      <c r="U47" s="7" t="n">
        <f aca="false">SUMIFS(Doors!AG:AG,Doors!$A:$A,$D47,Doors!$B:$B,$B47,Doors!$C:$C,$C47)*SUMIFS(Velocity!$I:$I,Velocity!$A:$A,$A47,Velocity!$B:$B,$C47)/Assumptions!$B$4*Assumptions!$B$6</f>
        <v>25.7291666666667</v>
      </c>
      <c r="V47" s="7" t="n">
        <f aca="false">SUMIFS(Doors!AH:AH,Doors!$A:$A,$D47,Doors!$B:$B,$B47,Doors!$C:$C,$C47)*SUMIFS(Velocity!$I:$I,Velocity!$A:$A,$A47,Velocity!$B:$B,$C47)/Assumptions!$B$4*Assumptions!$B$6</f>
        <v>25.7291666666667</v>
      </c>
      <c r="W47" s="7" t="n">
        <f aca="false">SUMIFS(Doors!AI:AI,Doors!$A:$A,$D47,Doors!$B:$B,$B47,Doors!$C:$C,$C47)*SUMIFS(Velocity!$I:$I,Velocity!$A:$A,$A47,Velocity!$B:$B,$C47)/Assumptions!$B$4*Assumptions!$B$6</f>
        <v>29.6875</v>
      </c>
      <c r="X47" s="7" t="n">
        <f aca="false">SUMIFS(Doors!AJ:AJ,Doors!$A:$A,$D47,Doors!$B:$B,$B47,Doors!$C:$C,$C47)*SUMIFS(Velocity!$I:$I,Velocity!$A:$A,$A47,Velocity!$B:$B,$C47)/Assumptions!$B$4*Assumptions!$B$6</f>
        <v>29.6875</v>
      </c>
      <c r="Y47" s="7" t="n">
        <f aca="false">SUMIFS(Doors!AK:AK,Doors!$A:$A,$D47,Doors!$B:$B,$B47,Doors!$C:$C,$C47)*SUMIFS(Velocity!$I:$I,Velocity!$A:$A,$A47,Velocity!$B:$B,$C47)/Assumptions!$B$4*Assumptions!$B$6</f>
        <v>29.6875</v>
      </c>
      <c r="Z47" s="7" t="n">
        <f aca="false">SUMIFS(Doors!AL:AL,Doors!$A:$A,$D47,Doors!$B:$B,$B47,Doors!$C:$C,$C47)*SUMIFS(Velocity!$I:$I,Velocity!$A:$A,$A47,Velocity!$B:$B,$C47)/Assumptions!$B$4*Assumptions!$B$6</f>
        <v>29.6875</v>
      </c>
      <c r="AA47" s="7" t="n">
        <f aca="false">SUMIFS(Doors!AM:AM,Doors!$A:$A,$D47,Doors!$B:$B,$B47,Doors!$C:$C,$C47)*SUMIFS(Velocity!$I:$I,Velocity!$A:$A,$A47,Velocity!$B:$B,$C47)/Assumptions!$B$4*Assumptions!$B$6</f>
        <v>33.6458333333333</v>
      </c>
      <c r="AB47" s="7" t="n">
        <f aca="false">SUMIFS(Doors!AN:AN,Doors!$A:$A,$D47,Doors!$B:$B,$B47,Doors!$C:$C,$C47)*SUMIFS(Velocity!$I:$I,Velocity!$A:$A,$A47,Velocity!$B:$B,$C47)/Assumptions!$B$4*Assumptions!$B$6</f>
        <v>33.6458333333333</v>
      </c>
      <c r="AC47" s="7" t="n">
        <f aca="false">SUMIFS(Doors!AO:AO,Doors!$A:$A,$D47,Doors!$B:$B,$B47,Doors!$C:$C,$C47)*SUMIFS(Velocity!$I:$I,Velocity!$A:$A,$A47,Velocity!$B:$B,$C47)/Assumptions!$B$4*Assumptions!$B$6</f>
        <v>33.6458333333333</v>
      </c>
      <c r="AD47" s="7" t="n">
        <f aca="false">SUMIFS(Doors!AP:AP,Doors!$A:$A,$D47,Doors!$B:$B,$B47,Doors!$C:$C,$C47)*SUMIFS(Velocity!$I:$I,Velocity!$A:$A,$A47,Velocity!$B:$B,$C47)/Assumptions!$B$4*Assumptions!$B$6</f>
        <v>33.6458333333333</v>
      </c>
      <c r="AE47" s="7" t="n">
        <f aca="false">SUMIFS(Doors!AQ:AQ,Doors!$A:$A,$D47,Doors!$B:$B,$B47,Doors!$C:$C,$C47)*SUMIFS(Velocity!$I:$I,Velocity!$A:$A,$A47,Velocity!$B:$B,$C47)/Assumptions!$B$4*Assumptions!$B$6</f>
        <v>35.625</v>
      </c>
      <c r="AF47" s="7" t="n">
        <f aca="false">SUMIFS(Doors!AR:AR,Doors!$A:$A,$D47,Doors!$B:$B,$B47,Doors!$C:$C,$C47)*SUMIFS(Velocity!$I:$I,Velocity!$A:$A,$A47,Velocity!$B:$B,$C47)/Assumptions!$B$4*Assumptions!$B$6</f>
        <v>35.625</v>
      </c>
      <c r="AG47" s="7" t="n">
        <f aca="false">SUMIFS(Doors!AS:AS,Doors!$A:$A,$D47,Doors!$B:$B,$B47,Doors!$C:$C,$C47)*SUMIFS(Velocity!$I:$I,Velocity!$A:$A,$A47,Velocity!$B:$B,$C47)/Assumptions!$B$4*Assumptions!$B$6</f>
        <v>35.625</v>
      </c>
      <c r="AH47" s="7" t="n">
        <f aca="false">SUMIFS(Doors!AT:AT,Doors!$A:$A,$D47,Doors!$B:$B,$B47,Doors!$C:$C,$C47)*SUMIFS(Velocity!$I:$I,Velocity!$A:$A,$A47,Velocity!$B:$B,$C47)/Assumptions!$B$4*Assumptions!$B$6</f>
        <v>35.625</v>
      </c>
      <c r="AI47" s="7" t="n">
        <f aca="false">SUMIFS(Doors!AU:AU,Doors!$A:$A,$D47,Doors!$B:$B,$B47,Doors!$C:$C,$C47)*SUMIFS(Velocity!$I:$I,Velocity!$A:$A,$A47,Velocity!$B:$B,$C47)/Assumptions!$B$4*Assumptions!$B$6</f>
        <v>35.625</v>
      </c>
      <c r="AJ47" s="7" t="n">
        <f aca="false">SUMIFS(Doors!AV:AV,Doors!$A:$A,$D47,Doors!$B:$B,$B47,Doors!$C:$C,$C47)*SUMIFS(Velocity!$I:$I,Velocity!$A:$A,$A47,Velocity!$B:$B,$C47)/Assumptions!$B$4*Assumptions!$B$6</f>
        <v>37.6041666666667</v>
      </c>
      <c r="AK47" s="7" t="n">
        <f aca="false">SUMIFS(Doors!AW:AW,Doors!$A:$A,$D47,Doors!$B:$B,$B47,Doors!$C:$C,$C47)*SUMIFS(Velocity!$I:$I,Velocity!$A:$A,$A47,Velocity!$B:$B,$C47)/Assumptions!$B$4*Assumptions!$B$6</f>
        <v>37.6041666666667</v>
      </c>
      <c r="AL47" s="7" t="n">
        <f aca="false">SUMIFS(Doors!AX:AX,Doors!$A:$A,$D47,Doors!$B:$B,$B47,Doors!$C:$C,$C47)*SUMIFS(Velocity!$I:$I,Velocity!$A:$A,$A47,Velocity!$B:$B,$C47)/Assumptions!$B$4*Assumptions!$B$6</f>
        <v>37.6041666666667</v>
      </c>
      <c r="AM47" s="7" t="n">
        <f aca="false">SUMIFS(Doors!AY:AY,Doors!$A:$A,$D47,Doors!$B:$B,$B47,Doors!$C:$C,$C47)*SUMIFS(Velocity!$I:$I,Velocity!$A:$A,$A47,Velocity!$B:$B,$C47)/Assumptions!$B$4*Assumptions!$B$6</f>
        <v>37.6041666666667</v>
      </c>
      <c r="AN47" s="7" t="n">
        <f aca="false">SUMIFS(Doors!AZ:AZ,Doors!$A:$A,$D47,Doors!$B:$B,$B47,Doors!$C:$C,$C47)*SUMIFS(Velocity!$I:$I,Velocity!$A:$A,$A47,Velocity!$B:$B,$C47)/Assumptions!$B$4*Assumptions!$B$6</f>
        <v>38.59375</v>
      </c>
      <c r="AO47" s="7" t="n">
        <f aca="false">SUMIFS(Doors!BA:BA,Doors!$A:$A,$D47,Doors!$B:$B,$B47,Doors!$C:$C,$C47)*SUMIFS(Velocity!$I:$I,Velocity!$A:$A,$A47,Velocity!$B:$B,$C47)/Assumptions!$B$4*Assumptions!$B$6</f>
        <v>38.59375</v>
      </c>
      <c r="AP47" s="7" t="n">
        <f aca="false">SUMIFS(Doors!BB:BB,Doors!$A:$A,$D47,Doors!$B:$B,$B47,Doors!$C:$C,$C47)*SUMIFS(Velocity!$I:$I,Velocity!$A:$A,$A47,Velocity!$B:$B,$C47)/Assumptions!$B$4*Assumptions!$B$6</f>
        <v>38.59375</v>
      </c>
      <c r="AQ47" s="7" t="n">
        <f aca="false">SUMIFS(Doors!BC:BC,Doors!$A:$A,$D47,Doors!$B:$B,$B47,Doors!$C:$C,$C47)*SUMIFS(Velocity!$I:$I,Velocity!$A:$A,$A47,Velocity!$B:$B,$C47)/Assumptions!$B$4*Assumptions!$B$6</f>
        <v>38.59375</v>
      </c>
      <c r="AR47" s="7" t="n">
        <f aca="false">SUMIFS(Doors!BD:BD,Doors!$A:$A,$D47,Doors!$B:$B,$B47,Doors!$C:$C,$C47)*SUMIFS(Velocity!$I:$I,Velocity!$A:$A,$A47,Velocity!$B:$B,$C47)/Assumptions!$B$4*Assumptions!$B$6</f>
        <v>39.1875</v>
      </c>
      <c r="AS47" s="7" t="n">
        <f aca="false">SUMIFS(Doors!BE:BE,Doors!$A:$A,$D47,Doors!$B:$B,$B47,Doors!$C:$C,$C47)*SUMIFS(Velocity!$I:$I,Velocity!$A:$A,$A47,Velocity!$B:$B,$C47)/Assumptions!$B$4*Assumptions!$B$6</f>
        <v>39.1875</v>
      </c>
      <c r="AT47" s="7" t="n">
        <f aca="false">SUMIFS(Doors!BF:BF,Doors!$A:$A,$D47,Doors!$B:$B,$B47,Doors!$C:$C,$C47)*SUMIFS(Velocity!$I:$I,Velocity!$A:$A,$A47,Velocity!$B:$B,$C47)/Assumptions!$B$4*Assumptions!$B$6</f>
        <v>39.1875</v>
      </c>
      <c r="AU47" s="7" t="n">
        <f aca="false">SUMIFS(Doors!BG:BG,Doors!$A:$A,$D47,Doors!$B:$B,$B47,Doors!$C:$C,$C47)*SUMIFS(Velocity!$I:$I,Velocity!$A:$A,$A47,Velocity!$B:$B,$C47)/Assumptions!$B$4*Assumptions!$B$6</f>
        <v>39.1875</v>
      </c>
      <c r="AV47" s="7" t="n">
        <f aca="false">SUMIFS(Doors!BH:BH,Doors!$A:$A,$D47,Doors!$B:$B,$B47,Doors!$C:$C,$C47)*SUMIFS(Velocity!$I:$I,Velocity!$A:$A,$A47,Velocity!$B:$B,$C47)/Assumptions!$B$4*Assumptions!$B$6</f>
        <v>39.1875</v>
      </c>
      <c r="AW47" s="7" t="n">
        <f aca="false">SUMIFS(Doors!BI:BI,Doors!$A:$A,$D47,Doors!$B:$B,$B47,Doors!$C:$C,$C47)*SUMIFS(Velocity!$I:$I,Velocity!$A:$A,$A47,Velocity!$B:$B,$C47)/Assumptions!$B$4*Assumptions!$B$6</f>
        <v>39.5833333333333</v>
      </c>
      <c r="AX47" s="7" t="n">
        <f aca="false">SUMIFS(Doors!BJ:BJ,Doors!$A:$A,$D47,Doors!$B:$B,$B47,Doors!$C:$C,$C47)*SUMIFS(Velocity!$I:$I,Velocity!$A:$A,$A47,Velocity!$B:$B,$C47)/Assumptions!$B$4*Assumptions!$B$6</f>
        <v>39.5833333333333</v>
      </c>
      <c r="AY47" s="7" t="n">
        <f aca="false">SUMIFS(Doors!BK:BK,Doors!$A:$A,$D47,Doors!$B:$B,$B47,Doors!$C:$C,$C47)*SUMIFS(Velocity!$I:$I,Velocity!$A:$A,$A47,Velocity!$B:$B,$C47)/Assumptions!$B$4*Assumptions!$B$6</f>
        <v>39.5833333333333</v>
      </c>
      <c r="AZ47" s="7" t="n">
        <f aca="false">SUMIFS(Doors!BL:BL,Doors!$A:$A,$D47,Doors!$B:$B,$B47,Doors!$C:$C,$C47)*SUMIFS(Velocity!$I:$I,Velocity!$A:$A,$A47,Velocity!$B:$B,$C47)/Assumptions!$B$4*Assumptions!$B$6</f>
        <v>39.5833333333333</v>
      </c>
      <c r="BA47" s="7" t="n">
        <f aca="false">SUMIFS(Doors!BM:BM,Doors!$A:$A,$D47,Doors!$B:$B,$B47,Doors!$C:$C,$C47)*SUMIFS(Velocity!$I:$I,Velocity!$A:$A,$A47,Velocity!$B:$B,$C47)/Assumptions!$B$4*Assumptions!$B$6</f>
        <v>39.5833333333333</v>
      </c>
      <c r="BB47" s="7" t="n">
        <f aca="false">SUMIFS(Doors!BN:BN,Doors!$A:$A,$D47,Doors!$B:$B,$B47,Doors!$C:$C,$C47)*SUMIFS(Velocity!$I:$I,Velocity!$A:$A,$A47,Velocity!$B:$B,$C47)/Assumptions!$B$4*Assumptions!$B$6</f>
        <v>39.5833333333333</v>
      </c>
      <c r="BC47" s="7" t="n">
        <f aca="false">SUMIFS(Doors!BO:BO,Doors!$A:$A,$D47,Doors!$B:$B,$B47,Doors!$C:$C,$C47)*SUMIFS(Velocity!$I:$I,Velocity!$A:$A,$A47,Velocity!$B:$B,$C47)/Assumptions!$B$4*Assumptions!$B$6</f>
        <v>39.5833333333333</v>
      </c>
      <c r="BD47" s="7" t="n">
        <f aca="false">SUMIFS(Doors!BP:BP,Doors!$A:$A,$D47,Doors!$B:$B,$B47,Doors!$C:$C,$C47)*SUMIFS(Velocity!$I:$I,Velocity!$A:$A,$A47,Velocity!$B:$B,$C47)/Assumptions!$B$4*Assumptions!$B$6</f>
        <v>39.5833333333333</v>
      </c>
    </row>
    <row r="48" customFormat="false" ht="15" hidden="false" customHeight="false" outlineLevel="0" collapsed="false">
      <c r="A48" s="0" t="s">
        <v>108</v>
      </c>
      <c r="B48" s="0" t="s">
        <v>130</v>
      </c>
      <c r="C48" s="0" t="s">
        <v>121</v>
      </c>
      <c r="D48" s="0" t="s">
        <v>235</v>
      </c>
      <c r="E48" s="7" t="n">
        <f aca="false">SUMIFS(Doors!Q:Q,Doors!$A:$A,$D48,Doors!$B:$B,$B48,Doors!$C:$C,$C48)*SUMIFS(Velocity!$I:$I,Velocity!$A:$A,$A48,Velocity!$B:$B,$C48)/Assumptions!$B$4*Assumptions!$B$6</f>
        <v>7.60416666666667</v>
      </c>
      <c r="F48" s="7" t="n">
        <f aca="false">SUMIFS(Doors!R:R,Doors!$A:$A,$D48,Doors!$B:$B,$B48,Doors!$C:$C,$C48)*SUMIFS(Velocity!$I:$I,Velocity!$A:$A,$A48,Velocity!$B:$B,$C48)/Assumptions!$B$4*Assumptions!$B$6</f>
        <v>7.60416666666667</v>
      </c>
      <c r="G48" s="7" t="n">
        <f aca="false">SUMIFS(Doors!S:S,Doors!$A:$A,$D48,Doors!$B:$B,$B48,Doors!$C:$C,$C48)*SUMIFS(Velocity!$I:$I,Velocity!$A:$A,$A48,Velocity!$B:$B,$C48)/Assumptions!$B$4*Assumptions!$B$6</f>
        <v>7.60416666666667</v>
      </c>
      <c r="H48" s="7" t="n">
        <f aca="false">SUMIFS(Doors!T:T,Doors!$A:$A,$D48,Doors!$B:$B,$B48,Doors!$C:$C,$C48)*SUMIFS(Velocity!$I:$I,Velocity!$A:$A,$A48,Velocity!$B:$B,$C48)/Assumptions!$B$4*Assumptions!$B$6</f>
        <v>7.60416666666667</v>
      </c>
      <c r="I48" s="7" t="n">
        <f aca="false">SUMIFS(Doors!U:U,Doors!$A:$A,$D48,Doors!$B:$B,$B48,Doors!$C:$C,$C48)*SUMIFS(Velocity!$I:$I,Velocity!$A:$A,$A48,Velocity!$B:$B,$C48)/Assumptions!$B$4*Assumptions!$B$6</f>
        <v>7.60416666666667</v>
      </c>
      <c r="J48" s="7" t="n">
        <f aca="false">SUMIFS(Doors!V:V,Doors!$A:$A,$D48,Doors!$B:$B,$B48,Doors!$C:$C,$C48)*SUMIFS(Velocity!$I:$I,Velocity!$A:$A,$A48,Velocity!$B:$B,$C48)/Assumptions!$B$4*Assumptions!$B$6</f>
        <v>11.5583333333333</v>
      </c>
      <c r="K48" s="7" t="n">
        <f aca="false">SUMIFS(Doors!W:W,Doors!$A:$A,$D48,Doors!$B:$B,$B48,Doors!$C:$C,$C48)*SUMIFS(Velocity!$I:$I,Velocity!$A:$A,$A48,Velocity!$B:$B,$C48)/Assumptions!$B$4*Assumptions!$B$6</f>
        <v>11.5583333333333</v>
      </c>
      <c r="L48" s="7" t="n">
        <f aca="false">SUMIFS(Doors!X:X,Doors!$A:$A,$D48,Doors!$B:$B,$B48,Doors!$C:$C,$C48)*SUMIFS(Velocity!$I:$I,Velocity!$A:$A,$A48,Velocity!$B:$B,$C48)/Assumptions!$B$4*Assumptions!$B$6</f>
        <v>11.5583333333333</v>
      </c>
      <c r="M48" s="7" t="n">
        <f aca="false">SUMIFS(Doors!Y:Y,Doors!$A:$A,$D48,Doors!$B:$B,$B48,Doors!$C:$C,$C48)*SUMIFS(Velocity!$I:$I,Velocity!$A:$A,$A48,Velocity!$B:$B,$C48)/Assumptions!$B$4*Assumptions!$B$6</f>
        <v>11.5583333333333</v>
      </c>
      <c r="N48" s="7" t="n">
        <f aca="false">SUMIFS(Doors!Z:Z,Doors!$A:$A,$D48,Doors!$B:$B,$B48,Doors!$C:$C,$C48)*SUMIFS(Velocity!$I:$I,Velocity!$A:$A,$A48,Velocity!$B:$B,$C48)/Assumptions!$B$4*Assumptions!$B$6</f>
        <v>16.7291666666667</v>
      </c>
      <c r="O48" s="7" t="n">
        <f aca="false">SUMIFS(Doors!AA:AA,Doors!$A:$A,$D48,Doors!$B:$B,$B48,Doors!$C:$C,$C48)*SUMIFS(Velocity!$I:$I,Velocity!$A:$A,$A48,Velocity!$B:$B,$C48)/Assumptions!$B$4*Assumptions!$B$6</f>
        <v>16.7291666666667</v>
      </c>
      <c r="P48" s="7" t="n">
        <f aca="false">SUMIFS(Doors!AB:AB,Doors!$A:$A,$D48,Doors!$B:$B,$B48,Doors!$C:$C,$C48)*SUMIFS(Velocity!$I:$I,Velocity!$A:$A,$A48,Velocity!$B:$B,$C48)/Assumptions!$B$4*Assumptions!$B$6</f>
        <v>16.7291666666667</v>
      </c>
      <c r="Q48" s="7" t="n">
        <f aca="false">SUMIFS(Doors!AC:AC,Doors!$A:$A,$D48,Doors!$B:$B,$B48,Doors!$C:$C,$C48)*SUMIFS(Velocity!$I:$I,Velocity!$A:$A,$A48,Velocity!$B:$B,$C48)/Assumptions!$B$4*Assumptions!$B$6</f>
        <v>16.7291666666667</v>
      </c>
      <c r="R48" s="7" t="n">
        <f aca="false">SUMIFS(Doors!AD:AD,Doors!$A:$A,$D48,Doors!$B:$B,$B48,Doors!$C:$C,$C48)*SUMIFS(Velocity!$I:$I,Velocity!$A:$A,$A48,Velocity!$B:$B,$C48)/Assumptions!$B$4*Assumptions!$B$6</f>
        <v>21.2916666666667</v>
      </c>
      <c r="S48" s="7" t="n">
        <f aca="false">SUMIFS(Doors!AE:AE,Doors!$A:$A,$D48,Doors!$B:$B,$B48,Doors!$C:$C,$C48)*SUMIFS(Velocity!$I:$I,Velocity!$A:$A,$A48,Velocity!$B:$B,$C48)/Assumptions!$B$4*Assumptions!$B$6</f>
        <v>21.2916666666667</v>
      </c>
      <c r="T48" s="7" t="n">
        <f aca="false">SUMIFS(Doors!AF:AF,Doors!$A:$A,$D48,Doors!$B:$B,$B48,Doors!$C:$C,$C48)*SUMIFS(Velocity!$I:$I,Velocity!$A:$A,$A48,Velocity!$B:$B,$C48)/Assumptions!$B$4*Assumptions!$B$6</f>
        <v>21.2916666666667</v>
      </c>
      <c r="U48" s="7" t="n">
        <f aca="false">SUMIFS(Doors!AG:AG,Doors!$A:$A,$D48,Doors!$B:$B,$B48,Doors!$C:$C,$C48)*SUMIFS(Velocity!$I:$I,Velocity!$A:$A,$A48,Velocity!$B:$B,$C48)/Assumptions!$B$4*Assumptions!$B$6</f>
        <v>21.2916666666667</v>
      </c>
      <c r="V48" s="7" t="n">
        <f aca="false">SUMIFS(Doors!AH:AH,Doors!$A:$A,$D48,Doors!$B:$B,$B48,Doors!$C:$C,$C48)*SUMIFS(Velocity!$I:$I,Velocity!$A:$A,$A48,Velocity!$B:$B,$C48)/Assumptions!$B$4*Assumptions!$B$6</f>
        <v>21.2916666666667</v>
      </c>
      <c r="W48" s="7" t="n">
        <f aca="false">SUMIFS(Doors!AI:AI,Doors!$A:$A,$D48,Doors!$B:$B,$B48,Doors!$C:$C,$C48)*SUMIFS(Velocity!$I:$I,Velocity!$A:$A,$A48,Velocity!$B:$B,$C48)/Assumptions!$B$4*Assumptions!$B$6</f>
        <v>24.9416666666667</v>
      </c>
      <c r="X48" s="7" t="n">
        <f aca="false">SUMIFS(Doors!AJ:AJ,Doors!$A:$A,$D48,Doors!$B:$B,$B48,Doors!$C:$C,$C48)*SUMIFS(Velocity!$I:$I,Velocity!$A:$A,$A48,Velocity!$B:$B,$C48)/Assumptions!$B$4*Assumptions!$B$6</f>
        <v>24.9416666666667</v>
      </c>
      <c r="Y48" s="7" t="n">
        <f aca="false">SUMIFS(Doors!AK:AK,Doors!$A:$A,$D48,Doors!$B:$B,$B48,Doors!$C:$C,$C48)*SUMIFS(Velocity!$I:$I,Velocity!$A:$A,$A48,Velocity!$B:$B,$C48)/Assumptions!$B$4*Assumptions!$B$6</f>
        <v>24.9416666666667</v>
      </c>
      <c r="Z48" s="7" t="n">
        <f aca="false">SUMIFS(Doors!AL:AL,Doors!$A:$A,$D48,Doors!$B:$B,$B48,Doors!$C:$C,$C48)*SUMIFS(Velocity!$I:$I,Velocity!$A:$A,$A48,Velocity!$B:$B,$C48)/Assumptions!$B$4*Assumptions!$B$6</f>
        <v>24.9416666666667</v>
      </c>
      <c r="AA48" s="7" t="n">
        <f aca="false">SUMIFS(Doors!AM:AM,Doors!$A:$A,$D48,Doors!$B:$B,$B48,Doors!$C:$C,$C48)*SUMIFS(Velocity!$I:$I,Velocity!$A:$A,$A48,Velocity!$B:$B,$C48)/Assumptions!$B$4*Assumptions!$B$6</f>
        <v>27.375</v>
      </c>
      <c r="AB48" s="7" t="n">
        <f aca="false">SUMIFS(Doors!AN:AN,Doors!$A:$A,$D48,Doors!$B:$B,$B48,Doors!$C:$C,$C48)*SUMIFS(Velocity!$I:$I,Velocity!$A:$A,$A48,Velocity!$B:$B,$C48)/Assumptions!$B$4*Assumptions!$B$6</f>
        <v>27.375</v>
      </c>
      <c r="AC48" s="7" t="n">
        <f aca="false">SUMIFS(Doors!AO:AO,Doors!$A:$A,$D48,Doors!$B:$B,$B48,Doors!$C:$C,$C48)*SUMIFS(Velocity!$I:$I,Velocity!$A:$A,$A48,Velocity!$B:$B,$C48)/Assumptions!$B$4*Assumptions!$B$6</f>
        <v>27.375</v>
      </c>
      <c r="AD48" s="7" t="n">
        <f aca="false">SUMIFS(Doors!AP:AP,Doors!$A:$A,$D48,Doors!$B:$B,$B48,Doors!$C:$C,$C48)*SUMIFS(Velocity!$I:$I,Velocity!$A:$A,$A48,Velocity!$B:$B,$C48)/Assumptions!$B$4*Assumptions!$B$6</f>
        <v>27.375</v>
      </c>
      <c r="AE48" s="7" t="n">
        <f aca="false">SUMIFS(Doors!AQ:AQ,Doors!$A:$A,$D48,Doors!$B:$B,$B48,Doors!$C:$C,$C48)*SUMIFS(Velocity!$I:$I,Velocity!$A:$A,$A48,Velocity!$B:$B,$C48)/Assumptions!$B$4*Assumptions!$B$6</f>
        <v>28.8958333333333</v>
      </c>
      <c r="AF48" s="7" t="n">
        <f aca="false">SUMIFS(Doors!AR:AR,Doors!$A:$A,$D48,Doors!$B:$B,$B48,Doors!$C:$C,$C48)*SUMIFS(Velocity!$I:$I,Velocity!$A:$A,$A48,Velocity!$B:$B,$C48)/Assumptions!$B$4*Assumptions!$B$6</f>
        <v>28.8958333333333</v>
      </c>
      <c r="AG48" s="7" t="n">
        <f aca="false">SUMIFS(Doors!AS:AS,Doors!$A:$A,$D48,Doors!$B:$B,$B48,Doors!$C:$C,$C48)*SUMIFS(Velocity!$I:$I,Velocity!$A:$A,$A48,Velocity!$B:$B,$C48)/Assumptions!$B$4*Assumptions!$B$6</f>
        <v>28.8958333333333</v>
      </c>
      <c r="AH48" s="7" t="n">
        <f aca="false">SUMIFS(Doors!AT:AT,Doors!$A:$A,$D48,Doors!$B:$B,$B48,Doors!$C:$C,$C48)*SUMIFS(Velocity!$I:$I,Velocity!$A:$A,$A48,Velocity!$B:$B,$C48)/Assumptions!$B$4*Assumptions!$B$6</f>
        <v>28.8958333333333</v>
      </c>
      <c r="AI48" s="7" t="n">
        <f aca="false">SUMIFS(Doors!AU:AU,Doors!$A:$A,$D48,Doors!$B:$B,$B48,Doors!$C:$C,$C48)*SUMIFS(Velocity!$I:$I,Velocity!$A:$A,$A48,Velocity!$B:$B,$C48)/Assumptions!$B$4*Assumptions!$B$6</f>
        <v>28.8958333333333</v>
      </c>
      <c r="AJ48" s="7" t="n">
        <f aca="false">SUMIFS(Doors!AV:AV,Doors!$A:$A,$D48,Doors!$B:$B,$B48,Doors!$C:$C,$C48)*SUMIFS(Velocity!$I:$I,Velocity!$A:$A,$A48,Velocity!$B:$B,$C48)/Assumptions!$B$4*Assumptions!$B$6</f>
        <v>29.8083333333333</v>
      </c>
      <c r="AK48" s="7" t="n">
        <f aca="false">SUMIFS(Doors!AW:AW,Doors!$A:$A,$D48,Doors!$B:$B,$B48,Doors!$C:$C,$C48)*SUMIFS(Velocity!$I:$I,Velocity!$A:$A,$A48,Velocity!$B:$B,$C48)/Assumptions!$B$4*Assumptions!$B$6</f>
        <v>29.8083333333333</v>
      </c>
      <c r="AL48" s="7" t="n">
        <f aca="false">SUMIFS(Doors!AX:AX,Doors!$A:$A,$D48,Doors!$B:$B,$B48,Doors!$C:$C,$C48)*SUMIFS(Velocity!$I:$I,Velocity!$A:$A,$A48,Velocity!$B:$B,$C48)/Assumptions!$B$4*Assumptions!$B$6</f>
        <v>29.8083333333333</v>
      </c>
      <c r="AM48" s="7" t="n">
        <f aca="false">SUMIFS(Doors!AY:AY,Doors!$A:$A,$D48,Doors!$B:$B,$B48,Doors!$C:$C,$C48)*SUMIFS(Velocity!$I:$I,Velocity!$A:$A,$A48,Velocity!$B:$B,$C48)/Assumptions!$B$4*Assumptions!$B$6</f>
        <v>29.8083333333333</v>
      </c>
      <c r="AN48" s="7" t="n">
        <f aca="false">SUMIFS(Doors!AZ:AZ,Doors!$A:$A,$D48,Doors!$B:$B,$B48,Doors!$C:$C,$C48)*SUMIFS(Velocity!$I:$I,Velocity!$A:$A,$A48,Velocity!$B:$B,$C48)/Assumptions!$B$4*Assumptions!$B$6</f>
        <v>30.1125</v>
      </c>
      <c r="AO48" s="7" t="n">
        <f aca="false">SUMIFS(Doors!BA:BA,Doors!$A:$A,$D48,Doors!$B:$B,$B48,Doors!$C:$C,$C48)*SUMIFS(Velocity!$I:$I,Velocity!$A:$A,$A48,Velocity!$B:$B,$C48)/Assumptions!$B$4*Assumptions!$B$6</f>
        <v>30.1125</v>
      </c>
      <c r="AP48" s="7" t="n">
        <f aca="false">SUMIFS(Doors!BB:BB,Doors!$A:$A,$D48,Doors!$B:$B,$B48,Doors!$C:$C,$C48)*SUMIFS(Velocity!$I:$I,Velocity!$A:$A,$A48,Velocity!$B:$B,$C48)/Assumptions!$B$4*Assumptions!$B$6</f>
        <v>30.1125</v>
      </c>
      <c r="AQ48" s="7" t="n">
        <f aca="false">SUMIFS(Doors!BC:BC,Doors!$A:$A,$D48,Doors!$B:$B,$B48,Doors!$C:$C,$C48)*SUMIFS(Velocity!$I:$I,Velocity!$A:$A,$A48,Velocity!$B:$B,$C48)/Assumptions!$B$4*Assumptions!$B$6</f>
        <v>30.1125</v>
      </c>
      <c r="AR48" s="7" t="n">
        <f aca="false">SUMIFS(Doors!BD:BD,Doors!$A:$A,$D48,Doors!$B:$B,$B48,Doors!$C:$C,$C48)*SUMIFS(Velocity!$I:$I,Velocity!$A:$A,$A48,Velocity!$B:$B,$C48)/Assumptions!$B$4*Assumptions!$B$6</f>
        <v>30.4166666666667</v>
      </c>
      <c r="AS48" s="7" t="n">
        <f aca="false">SUMIFS(Doors!BE:BE,Doors!$A:$A,$D48,Doors!$B:$B,$B48,Doors!$C:$C,$C48)*SUMIFS(Velocity!$I:$I,Velocity!$A:$A,$A48,Velocity!$B:$B,$C48)/Assumptions!$B$4*Assumptions!$B$6</f>
        <v>30.4166666666667</v>
      </c>
      <c r="AT48" s="7" t="n">
        <f aca="false">SUMIFS(Doors!BF:BF,Doors!$A:$A,$D48,Doors!$B:$B,$B48,Doors!$C:$C,$C48)*SUMIFS(Velocity!$I:$I,Velocity!$A:$A,$A48,Velocity!$B:$B,$C48)/Assumptions!$B$4*Assumptions!$B$6</f>
        <v>30.4166666666667</v>
      </c>
      <c r="AU48" s="7" t="n">
        <f aca="false">SUMIFS(Doors!BG:BG,Doors!$A:$A,$D48,Doors!$B:$B,$B48,Doors!$C:$C,$C48)*SUMIFS(Velocity!$I:$I,Velocity!$A:$A,$A48,Velocity!$B:$B,$C48)/Assumptions!$B$4*Assumptions!$B$6</f>
        <v>30.4166666666667</v>
      </c>
      <c r="AV48" s="7" t="n">
        <f aca="false">SUMIFS(Doors!BH:BH,Doors!$A:$A,$D48,Doors!$B:$B,$B48,Doors!$C:$C,$C48)*SUMIFS(Velocity!$I:$I,Velocity!$A:$A,$A48,Velocity!$B:$B,$C48)/Assumptions!$B$4*Assumptions!$B$6</f>
        <v>30.4166666666667</v>
      </c>
      <c r="AW48" s="7" t="n">
        <f aca="false">SUMIFS(Doors!BI:BI,Doors!$A:$A,$D48,Doors!$B:$B,$B48,Doors!$C:$C,$C48)*SUMIFS(Velocity!$I:$I,Velocity!$A:$A,$A48,Velocity!$B:$B,$C48)/Assumptions!$B$4*Assumptions!$B$6</f>
        <v>30.4166666666667</v>
      </c>
      <c r="AX48" s="7" t="n">
        <f aca="false">SUMIFS(Doors!BJ:BJ,Doors!$A:$A,$D48,Doors!$B:$B,$B48,Doors!$C:$C,$C48)*SUMIFS(Velocity!$I:$I,Velocity!$A:$A,$A48,Velocity!$B:$B,$C48)/Assumptions!$B$4*Assumptions!$B$6</f>
        <v>30.4166666666667</v>
      </c>
      <c r="AY48" s="7" t="n">
        <f aca="false">SUMIFS(Doors!BK:BK,Doors!$A:$A,$D48,Doors!$B:$B,$B48,Doors!$C:$C,$C48)*SUMIFS(Velocity!$I:$I,Velocity!$A:$A,$A48,Velocity!$B:$B,$C48)/Assumptions!$B$4*Assumptions!$B$6</f>
        <v>30.4166666666667</v>
      </c>
      <c r="AZ48" s="7" t="n">
        <f aca="false">SUMIFS(Doors!BL:BL,Doors!$A:$A,$D48,Doors!$B:$B,$B48,Doors!$C:$C,$C48)*SUMIFS(Velocity!$I:$I,Velocity!$A:$A,$A48,Velocity!$B:$B,$C48)/Assumptions!$B$4*Assumptions!$B$6</f>
        <v>30.4166666666667</v>
      </c>
      <c r="BA48" s="7" t="n">
        <f aca="false">SUMIFS(Doors!BM:BM,Doors!$A:$A,$D48,Doors!$B:$B,$B48,Doors!$C:$C,$C48)*SUMIFS(Velocity!$I:$I,Velocity!$A:$A,$A48,Velocity!$B:$B,$C48)/Assumptions!$B$4*Assumptions!$B$6</f>
        <v>30.4166666666667</v>
      </c>
      <c r="BB48" s="7" t="n">
        <f aca="false">SUMIFS(Doors!BN:BN,Doors!$A:$A,$D48,Doors!$B:$B,$B48,Doors!$C:$C,$C48)*SUMIFS(Velocity!$I:$I,Velocity!$A:$A,$A48,Velocity!$B:$B,$C48)/Assumptions!$B$4*Assumptions!$B$6</f>
        <v>30.4166666666667</v>
      </c>
      <c r="BC48" s="7" t="n">
        <f aca="false">SUMIFS(Doors!BO:BO,Doors!$A:$A,$D48,Doors!$B:$B,$B48,Doors!$C:$C,$C48)*SUMIFS(Velocity!$I:$I,Velocity!$A:$A,$A48,Velocity!$B:$B,$C48)/Assumptions!$B$4*Assumptions!$B$6</f>
        <v>30.4166666666667</v>
      </c>
      <c r="BD48" s="7" t="n">
        <f aca="false">SUMIFS(Doors!BP:BP,Doors!$A:$A,$D48,Doors!$B:$B,$B48,Doors!$C:$C,$C48)*SUMIFS(Velocity!$I:$I,Velocity!$A:$A,$A48,Velocity!$B:$B,$C48)/Assumptions!$B$4*Assumptions!$B$6</f>
        <v>30.4166666666667</v>
      </c>
    </row>
    <row r="49" customFormat="false" ht="15" hidden="false" customHeight="false" outlineLevel="0" collapsed="false">
      <c r="A49" s="0" t="s">
        <v>108</v>
      </c>
      <c r="B49" s="0" t="s">
        <v>130</v>
      </c>
      <c r="C49" s="0" t="s">
        <v>122</v>
      </c>
      <c r="D49" s="0" t="s">
        <v>235</v>
      </c>
      <c r="E49" s="7" t="n">
        <f aca="false">SUMIFS(Doors!Q:Q,Doors!$A:$A,$D49,Doors!$B:$B,$B49,Doors!$C:$C,$C49)*SUMIFS(Velocity!$I:$I,Velocity!$A:$A,$A49,Velocity!$B:$B,$C49)/Assumptions!$B$4*Assumptions!$B$6</f>
        <v>0</v>
      </c>
      <c r="F49" s="7" t="n">
        <f aca="false">SUMIFS(Doors!R:R,Doors!$A:$A,$D49,Doors!$B:$B,$B49,Doors!$C:$C,$C49)*SUMIFS(Velocity!$I:$I,Velocity!$A:$A,$A49,Velocity!$B:$B,$C49)/Assumptions!$B$4*Assumptions!$B$6</f>
        <v>0</v>
      </c>
      <c r="G49" s="7" t="n">
        <f aca="false">SUMIFS(Doors!S:S,Doors!$A:$A,$D49,Doors!$B:$B,$B49,Doors!$C:$C,$C49)*SUMIFS(Velocity!$I:$I,Velocity!$A:$A,$A49,Velocity!$B:$B,$C49)/Assumptions!$B$4*Assumptions!$B$6</f>
        <v>0</v>
      </c>
      <c r="H49" s="7" t="n">
        <f aca="false">SUMIFS(Doors!T:T,Doors!$A:$A,$D49,Doors!$B:$B,$B49,Doors!$C:$C,$C49)*SUMIFS(Velocity!$I:$I,Velocity!$A:$A,$A49,Velocity!$B:$B,$C49)/Assumptions!$B$4*Assumptions!$B$6</f>
        <v>0</v>
      </c>
      <c r="I49" s="7" t="n">
        <f aca="false">SUMIFS(Doors!U:U,Doors!$A:$A,$D49,Doors!$B:$B,$B49,Doors!$C:$C,$C49)*SUMIFS(Velocity!$I:$I,Velocity!$A:$A,$A49,Velocity!$B:$B,$C49)/Assumptions!$B$4*Assumptions!$B$6</f>
        <v>0</v>
      </c>
      <c r="J49" s="7" t="n">
        <f aca="false">SUMIFS(Doors!V:V,Doors!$A:$A,$D49,Doors!$B:$B,$B49,Doors!$C:$C,$C49)*SUMIFS(Velocity!$I:$I,Velocity!$A:$A,$A49,Velocity!$B:$B,$C49)/Assumptions!$B$4*Assumptions!$B$6</f>
        <v>0</v>
      </c>
      <c r="K49" s="7" t="n">
        <f aca="false">SUMIFS(Doors!W:W,Doors!$A:$A,$D49,Doors!$B:$B,$B49,Doors!$C:$C,$C49)*SUMIFS(Velocity!$I:$I,Velocity!$A:$A,$A49,Velocity!$B:$B,$C49)/Assumptions!$B$4*Assumptions!$B$6</f>
        <v>0</v>
      </c>
      <c r="L49" s="7" t="n">
        <f aca="false">SUMIFS(Doors!X:X,Doors!$A:$A,$D49,Doors!$B:$B,$B49,Doors!$C:$C,$C49)*SUMIFS(Velocity!$I:$I,Velocity!$A:$A,$A49,Velocity!$B:$B,$C49)/Assumptions!$B$4*Assumptions!$B$6</f>
        <v>0</v>
      </c>
      <c r="M49" s="7" t="n">
        <f aca="false">SUMIFS(Doors!Y:Y,Doors!$A:$A,$D49,Doors!$B:$B,$B49,Doors!$C:$C,$C49)*SUMIFS(Velocity!$I:$I,Velocity!$A:$A,$A49,Velocity!$B:$B,$C49)/Assumptions!$B$4*Assumptions!$B$6</f>
        <v>0</v>
      </c>
      <c r="N49" s="7" t="n">
        <f aca="false">SUMIFS(Doors!Z:Z,Doors!$A:$A,$D49,Doors!$B:$B,$B49,Doors!$C:$C,$C49)*SUMIFS(Velocity!$I:$I,Velocity!$A:$A,$A49,Velocity!$B:$B,$C49)/Assumptions!$B$4*Assumptions!$B$6</f>
        <v>0</v>
      </c>
      <c r="O49" s="7" t="n">
        <f aca="false">SUMIFS(Doors!AA:AA,Doors!$A:$A,$D49,Doors!$B:$B,$B49,Doors!$C:$C,$C49)*SUMIFS(Velocity!$I:$I,Velocity!$A:$A,$A49,Velocity!$B:$B,$C49)/Assumptions!$B$4*Assumptions!$B$6</f>
        <v>0</v>
      </c>
      <c r="P49" s="7" t="n">
        <f aca="false">SUMIFS(Doors!AB:AB,Doors!$A:$A,$D49,Doors!$B:$B,$B49,Doors!$C:$C,$C49)*SUMIFS(Velocity!$I:$I,Velocity!$A:$A,$A49,Velocity!$B:$B,$C49)/Assumptions!$B$4*Assumptions!$B$6</f>
        <v>0</v>
      </c>
      <c r="Q49" s="7" t="n">
        <f aca="false">SUMIFS(Doors!AC:AC,Doors!$A:$A,$D49,Doors!$B:$B,$B49,Doors!$C:$C,$C49)*SUMIFS(Velocity!$I:$I,Velocity!$A:$A,$A49,Velocity!$B:$B,$C49)/Assumptions!$B$4*Assumptions!$B$6</f>
        <v>0</v>
      </c>
      <c r="R49" s="7" t="n">
        <f aca="false">SUMIFS(Doors!AD:AD,Doors!$A:$A,$D49,Doors!$B:$B,$B49,Doors!$C:$C,$C49)*SUMIFS(Velocity!$I:$I,Velocity!$A:$A,$A49,Velocity!$B:$B,$C49)/Assumptions!$B$4*Assumptions!$B$6</f>
        <v>0</v>
      </c>
      <c r="S49" s="7" t="n">
        <f aca="false">SUMIFS(Doors!AE:AE,Doors!$A:$A,$D49,Doors!$B:$B,$B49,Doors!$C:$C,$C49)*SUMIFS(Velocity!$I:$I,Velocity!$A:$A,$A49,Velocity!$B:$B,$C49)/Assumptions!$B$4*Assumptions!$B$6</f>
        <v>0</v>
      </c>
      <c r="T49" s="7" t="n">
        <f aca="false">SUMIFS(Doors!AF:AF,Doors!$A:$A,$D49,Doors!$B:$B,$B49,Doors!$C:$C,$C49)*SUMIFS(Velocity!$I:$I,Velocity!$A:$A,$A49,Velocity!$B:$B,$C49)/Assumptions!$B$4*Assumptions!$B$6</f>
        <v>0</v>
      </c>
      <c r="U49" s="7" t="n">
        <f aca="false">SUMIFS(Doors!AG:AG,Doors!$A:$A,$D49,Doors!$B:$B,$B49,Doors!$C:$C,$C49)*SUMIFS(Velocity!$I:$I,Velocity!$A:$A,$A49,Velocity!$B:$B,$C49)/Assumptions!$B$4*Assumptions!$B$6</f>
        <v>0</v>
      </c>
      <c r="V49" s="7" t="n">
        <f aca="false">SUMIFS(Doors!AH:AH,Doors!$A:$A,$D49,Doors!$B:$B,$B49,Doors!$C:$C,$C49)*SUMIFS(Velocity!$I:$I,Velocity!$A:$A,$A49,Velocity!$B:$B,$C49)/Assumptions!$B$4*Assumptions!$B$6</f>
        <v>0</v>
      </c>
      <c r="W49" s="7" t="n">
        <f aca="false">SUMIFS(Doors!AI:AI,Doors!$A:$A,$D49,Doors!$B:$B,$B49,Doors!$C:$C,$C49)*SUMIFS(Velocity!$I:$I,Velocity!$A:$A,$A49,Velocity!$B:$B,$C49)/Assumptions!$B$4*Assumptions!$B$6</f>
        <v>0</v>
      </c>
      <c r="X49" s="7" t="n">
        <f aca="false">SUMIFS(Doors!AJ:AJ,Doors!$A:$A,$D49,Doors!$B:$B,$B49,Doors!$C:$C,$C49)*SUMIFS(Velocity!$I:$I,Velocity!$A:$A,$A49,Velocity!$B:$B,$C49)/Assumptions!$B$4*Assumptions!$B$6</f>
        <v>0</v>
      </c>
      <c r="Y49" s="7" t="n">
        <f aca="false">SUMIFS(Doors!AK:AK,Doors!$A:$A,$D49,Doors!$B:$B,$B49,Doors!$C:$C,$C49)*SUMIFS(Velocity!$I:$I,Velocity!$A:$A,$A49,Velocity!$B:$B,$C49)/Assumptions!$B$4*Assumptions!$B$6</f>
        <v>0</v>
      </c>
      <c r="Z49" s="7" t="n">
        <f aca="false">SUMIFS(Doors!AL:AL,Doors!$A:$A,$D49,Doors!$B:$B,$B49,Doors!$C:$C,$C49)*SUMIFS(Velocity!$I:$I,Velocity!$A:$A,$A49,Velocity!$B:$B,$C49)/Assumptions!$B$4*Assumptions!$B$6</f>
        <v>0</v>
      </c>
      <c r="AA49" s="7" t="n">
        <f aca="false">SUMIFS(Doors!AM:AM,Doors!$A:$A,$D49,Doors!$B:$B,$B49,Doors!$C:$C,$C49)*SUMIFS(Velocity!$I:$I,Velocity!$A:$A,$A49,Velocity!$B:$B,$C49)/Assumptions!$B$4*Assumptions!$B$6</f>
        <v>0</v>
      </c>
      <c r="AB49" s="7" t="n">
        <f aca="false">SUMIFS(Doors!AN:AN,Doors!$A:$A,$D49,Doors!$B:$B,$B49,Doors!$C:$C,$C49)*SUMIFS(Velocity!$I:$I,Velocity!$A:$A,$A49,Velocity!$B:$B,$C49)/Assumptions!$B$4*Assumptions!$B$6</f>
        <v>0</v>
      </c>
      <c r="AC49" s="7" t="n">
        <f aca="false">SUMIFS(Doors!AO:AO,Doors!$A:$A,$D49,Doors!$B:$B,$B49,Doors!$C:$C,$C49)*SUMIFS(Velocity!$I:$I,Velocity!$A:$A,$A49,Velocity!$B:$B,$C49)/Assumptions!$B$4*Assumptions!$B$6</f>
        <v>0</v>
      </c>
      <c r="AD49" s="7" t="n">
        <f aca="false">SUMIFS(Doors!AP:AP,Doors!$A:$A,$D49,Doors!$B:$B,$B49,Doors!$C:$C,$C49)*SUMIFS(Velocity!$I:$I,Velocity!$A:$A,$A49,Velocity!$B:$B,$C49)/Assumptions!$B$4*Assumptions!$B$6</f>
        <v>0</v>
      </c>
      <c r="AE49" s="7" t="n">
        <f aca="false">SUMIFS(Doors!AQ:AQ,Doors!$A:$A,$D49,Doors!$B:$B,$B49,Doors!$C:$C,$C49)*SUMIFS(Velocity!$I:$I,Velocity!$A:$A,$A49,Velocity!$B:$B,$C49)/Assumptions!$B$4*Assumptions!$B$6</f>
        <v>0</v>
      </c>
      <c r="AF49" s="7" t="n">
        <f aca="false">SUMIFS(Doors!AR:AR,Doors!$A:$A,$D49,Doors!$B:$B,$B49,Doors!$C:$C,$C49)*SUMIFS(Velocity!$I:$I,Velocity!$A:$A,$A49,Velocity!$B:$B,$C49)/Assumptions!$B$4*Assumptions!$B$6</f>
        <v>0</v>
      </c>
      <c r="AG49" s="7" t="n">
        <f aca="false">SUMIFS(Doors!AS:AS,Doors!$A:$A,$D49,Doors!$B:$B,$B49,Doors!$C:$C,$C49)*SUMIFS(Velocity!$I:$I,Velocity!$A:$A,$A49,Velocity!$B:$B,$C49)/Assumptions!$B$4*Assumptions!$B$6</f>
        <v>0</v>
      </c>
      <c r="AH49" s="7" t="n">
        <f aca="false">SUMIFS(Doors!AT:AT,Doors!$A:$A,$D49,Doors!$B:$B,$B49,Doors!$C:$C,$C49)*SUMIFS(Velocity!$I:$I,Velocity!$A:$A,$A49,Velocity!$B:$B,$C49)/Assumptions!$B$4*Assumptions!$B$6</f>
        <v>0</v>
      </c>
      <c r="AI49" s="7" t="n">
        <f aca="false">SUMIFS(Doors!AU:AU,Doors!$A:$A,$D49,Doors!$B:$B,$B49,Doors!$C:$C,$C49)*SUMIFS(Velocity!$I:$I,Velocity!$A:$A,$A49,Velocity!$B:$B,$C49)/Assumptions!$B$4*Assumptions!$B$6</f>
        <v>0</v>
      </c>
      <c r="AJ49" s="7" t="n">
        <f aca="false">SUMIFS(Doors!AV:AV,Doors!$A:$A,$D49,Doors!$B:$B,$B49,Doors!$C:$C,$C49)*SUMIFS(Velocity!$I:$I,Velocity!$A:$A,$A49,Velocity!$B:$B,$C49)/Assumptions!$B$4*Assumptions!$B$6</f>
        <v>0</v>
      </c>
      <c r="AK49" s="7" t="n">
        <f aca="false">SUMIFS(Doors!AW:AW,Doors!$A:$A,$D49,Doors!$B:$B,$B49,Doors!$C:$C,$C49)*SUMIFS(Velocity!$I:$I,Velocity!$A:$A,$A49,Velocity!$B:$B,$C49)/Assumptions!$B$4*Assumptions!$B$6</f>
        <v>0</v>
      </c>
      <c r="AL49" s="7" t="n">
        <f aca="false">SUMIFS(Doors!AX:AX,Doors!$A:$A,$D49,Doors!$B:$B,$B49,Doors!$C:$C,$C49)*SUMIFS(Velocity!$I:$I,Velocity!$A:$A,$A49,Velocity!$B:$B,$C49)/Assumptions!$B$4*Assumptions!$B$6</f>
        <v>0</v>
      </c>
      <c r="AM49" s="7" t="n">
        <f aca="false">SUMIFS(Doors!AY:AY,Doors!$A:$A,$D49,Doors!$B:$B,$B49,Doors!$C:$C,$C49)*SUMIFS(Velocity!$I:$I,Velocity!$A:$A,$A49,Velocity!$B:$B,$C49)/Assumptions!$B$4*Assumptions!$B$6</f>
        <v>0</v>
      </c>
      <c r="AN49" s="7" t="n">
        <f aca="false">SUMIFS(Doors!AZ:AZ,Doors!$A:$A,$D49,Doors!$B:$B,$B49,Doors!$C:$C,$C49)*SUMIFS(Velocity!$I:$I,Velocity!$A:$A,$A49,Velocity!$B:$B,$C49)/Assumptions!$B$4*Assumptions!$B$6</f>
        <v>0</v>
      </c>
      <c r="AO49" s="7" t="n">
        <f aca="false">SUMIFS(Doors!BA:BA,Doors!$A:$A,$D49,Doors!$B:$B,$B49,Doors!$C:$C,$C49)*SUMIFS(Velocity!$I:$I,Velocity!$A:$A,$A49,Velocity!$B:$B,$C49)/Assumptions!$B$4*Assumptions!$B$6</f>
        <v>0</v>
      </c>
      <c r="AP49" s="7" t="n">
        <f aca="false">SUMIFS(Doors!BB:BB,Doors!$A:$A,$D49,Doors!$B:$B,$B49,Doors!$C:$C,$C49)*SUMIFS(Velocity!$I:$I,Velocity!$A:$A,$A49,Velocity!$B:$B,$C49)/Assumptions!$B$4*Assumptions!$B$6</f>
        <v>0</v>
      </c>
      <c r="AQ49" s="7" t="n">
        <f aca="false">SUMIFS(Doors!BC:BC,Doors!$A:$A,$D49,Doors!$B:$B,$B49,Doors!$C:$C,$C49)*SUMIFS(Velocity!$I:$I,Velocity!$A:$A,$A49,Velocity!$B:$B,$C49)/Assumptions!$B$4*Assumptions!$B$6</f>
        <v>0</v>
      </c>
      <c r="AR49" s="7" t="n">
        <f aca="false">SUMIFS(Doors!BD:BD,Doors!$A:$A,$D49,Doors!$B:$B,$B49,Doors!$C:$C,$C49)*SUMIFS(Velocity!$I:$I,Velocity!$A:$A,$A49,Velocity!$B:$B,$C49)/Assumptions!$B$4*Assumptions!$B$6</f>
        <v>0</v>
      </c>
      <c r="AS49" s="7" t="n">
        <f aca="false">SUMIFS(Doors!BE:BE,Doors!$A:$A,$D49,Doors!$B:$B,$B49,Doors!$C:$C,$C49)*SUMIFS(Velocity!$I:$I,Velocity!$A:$A,$A49,Velocity!$B:$B,$C49)/Assumptions!$B$4*Assumptions!$B$6</f>
        <v>0</v>
      </c>
      <c r="AT49" s="7" t="n">
        <f aca="false">SUMIFS(Doors!BF:BF,Doors!$A:$A,$D49,Doors!$B:$B,$B49,Doors!$C:$C,$C49)*SUMIFS(Velocity!$I:$I,Velocity!$A:$A,$A49,Velocity!$B:$B,$C49)/Assumptions!$B$4*Assumptions!$B$6</f>
        <v>0</v>
      </c>
      <c r="AU49" s="7" t="n">
        <f aca="false">SUMIFS(Doors!BG:BG,Doors!$A:$A,$D49,Doors!$B:$B,$B49,Doors!$C:$C,$C49)*SUMIFS(Velocity!$I:$I,Velocity!$A:$A,$A49,Velocity!$B:$B,$C49)/Assumptions!$B$4*Assumptions!$B$6</f>
        <v>0</v>
      </c>
      <c r="AV49" s="7" t="n">
        <f aca="false">SUMIFS(Doors!BH:BH,Doors!$A:$A,$D49,Doors!$B:$B,$B49,Doors!$C:$C,$C49)*SUMIFS(Velocity!$I:$I,Velocity!$A:$A,$A49,Velocity!$B:$B,$C49)/Assumptions!$B$4*Assumptions!$B$6</f>
        <v>0</v>
      </c>
      <c r="AW49" s="7" t="n">
        <f aca="false">SUMIFS(Doors!BI:BI,Doors!$A:$A,$D49,Doors!$B:$B,$B49,Doors!$C:$C,$C49)*SUMIFS(Velocity!$I:$I,Velocity!$A:$A,$A49,Velocity!$B:$B,$C49)/Assumptions!$B$4*Assumptions!$B$6</f>
        <v>0</v>
      </c>
      <c r="AX49" s="7" t="n">
        <f aca="false">SUMIFS(Doors!BJ:BJ,Doors!$A:$A,$D49,Doors!$B:$B,$B49,Doors!$C:$C,$C49)*SUMIFS(Velocity!$I:$I,Velocity!$A:$A,$A49,Velocity!$B:$B,$C49)/Assumptions!$B$4*Assumptions!$B$6</f>
        <v>0</v>
      </c>
      <c r="AY49" s="7" t="n">
        <f aca="false">SUMIFS(Doors!BK:BK,Doors!$A:$A,$D49,Doors!$B:$B,$B49,Doors!$C:$C,$C49)*SUMIFS(Velocity!$I:$I,Velocity!$A:$A,$A49,Velocity!$B:$B,$C49)/Assumptions!$B$4*Assumptions!$B$6</f>
        <v>0</v>
      </c>
      <c r="AZ49" s="7" t="n">
        <f aca="false">SUMIFS(Doors!BL:BL,Doors!$A:$A,$D49,Doors!$B:$B,$B49,Doors!$C:$C,$C49)*SUMIFS(Velocity!$I:$I,Velocity!$A:$A,$A49,Velocity!$B:$B,$C49)/Assumptions!$B$4*Assumptions!$B$6</f>
        <v>0</v>
      </c>
      <c r="BA49" s="7" t="n">
        <f aca="false">SUMIFS(Doors!BM:BM,Doors!$A:$A,$D49,Doors!$B:$B,$B49,Doors!$C:$C,$C49)*SUMIFS(Velocity!$I:$I,Velocity!$A:$A,$A49,Velocity!$B:$B,$C49)/Assumptions!$B$4*Assumptions!$B$6</f>
        <v>0</v>
      </c>
      <c r="BB49" s="7" t="n">
        <f aca="false">SUMIFS(Doors!BN:BN,Doors!$A:$A,$D49,Doors!$B:$B,$B49,Doors!$C:$C,$C49)*SUMIFS(Velocity!$I:$I,Velocity!$A:$A,$A49,Velocity!$B:$B,$C49)/Assumptions!$B$4*Assumptions!$B$6</f>
        <v>0</v>
      </c>
      <c r="BC49" s="7" t="n">
        <f aca="false">SUMIFS(Doors!BO:BO,Doors!$A:$A,$D49,Doors!$B:$B,$B49,Doors!$C:$C,$C49)*SUMIFS(Velocity!$I:$I,Velocity!$A:$A,$A49,Velocity!$B:$B,$C49)/Assumptions!$B$4*Assumptions!$B$6</f>
        <v>0</v>
      </c>
      <c r="BD49" s="7" t="n">
        <f aca="false">SUMIFS(Doors!BP:BP,Doors!$A:$A,$D49,Doors!$B:$B,$B49,Doors!$C:$C,$C49)*SUMIFS(Velocity!$I:$I,Velocity!$A:$A,$A49,Velocity!$B:$B,$C49)/Assumptions!$B$4*Assumptions!$B$6</f>
        <v>0</v>
      </c>
    </row>
    <row r="50" customFormat="false" ht="15" hidden="false" customHeight="false" outlineLevel="0" collapsed="false">
      <c r="A50" s="0" t="s">
        <v>108</v>
      </c>
      <c r="B50" s="0" t="s">
        <v>130</v>
      </c>
      <c r="C50" s="0" t="s">
        <v>123</v>
      </c>
      <c r="D50" s="0" t="s">
        <v>235</v>
      </c>
      <c r="E50" s="7" t="n">
        <f aca="false">SUMIFS(Doors!Q:Q,Doors!$A:$A,$D50,Doors!$B:$B,$B50,Doors!$C:$C,$C50)*SUMIFS(Velocity!$I:$I,Velocity!$A:$A,$A50,Velocity!$B:$B,$C50)/Assumptions!$B$4*Assumptions!$B$6</f>
        <v>0.541666666666667</v>
      </c>
      <c r="F50" s="7" t="n">
        <f aca="false">SUMIFS(Doors!R:R,Doors!$A:$A,$D50,Doors!$B:$B,$B50,Doors!$C:$C,$C50)*SUMIFS(Velocity!$I:$I,Velocity!$A:$A,$A50,Velocity!$B:$B,$C50)/Assumptions!$B$4*Assumptions!$B$6</f>
        <v>0.541666666666667</v>
      </c>
      <c r="G50" s="7" t="n">
        <f aca="false">SUMIFS(Doors!S:S,Doors!$A:$A,$D50,Doors!$B:$B,$B50,Doors!$C:$C,$C50)*SUMIFS(Velocity!$I:$I,Velocity!$A:$A,$A50,Velocity!$B:$B,$C50)/Assumptions!$B$4*Assumptions!$B$6</f>
        <v>0.541666666666667</v>
      </c>
      <c r="H50" s="7" t="n">
        <f aca="false">SUMIFS(Doors!T:T,Doors!$A:$A,$D50,Doors!$B:$B,$B50,Doors!$C:$C,$C50)*SUMIFS(Velocity!$I:$I,Velocity!$A:$A,$A50,Velocity!$B:$B,$C50)/Assumptions!$B$4*Assumptions!$B$6</f>
        <v>0.541666666666667</v>
      </c>
      <c r="I50" s="7" t="n">
        <f aca="false">SUMIFS(Doors!U:U,Doors!$A:$A,$D50,Doors!$B:$B,$B50,Doors!$C:$C,$C50)*SUMIFS(Velocity!$I:$I,Velocity!$A:$A,$A50,Velocity!$B:$B,$C50)/Assumptions!$B$4*Assumptions!$B$6</f>
        <v>0.541666666666667</v>
      </c>
      <c r="J50" s="7" t="n">
        <f aca="false">SUMIFS(Doors!V:V,Doors!$A:$A,$D50,Doors!$B:$B,$B50,Doors!$C:$C,$C50)*SUMIFS(Velocity!$I:$I,Velocity!$A:$A,$A50,Velocity!$B:$B,$C50)/Assumptions!$B$4*Assumptions!$B$6</f>
        <v>0.866666666666667</v>
      </c>
      <c r="K50" s="7" t="n">
        <f aca="false">SUMIFS(Doors!W:W,Doors!$A:$A,$D50,Doors!$B:$B,$B50,Doors!$C:$C,$C50)*SUMIFS(Velocity!$I:$I,Velocity!$A:$A,$A50,Velocity!$B:$B,$C50)/Assumptions!$B$4*Assumptions!$B$6</f>
        <v>0.866666666666667</v>
      </c>
      <c r="L50" s="7" t="n">
        <f aca="false">SUMIFS(Doors!X:X,Doors!$A:$A,$D50,Doors!$B:$B,$B50,Doors!$C:$C,$C50)*SUMIFS(Velocity!$I:$I,Velocity!$A:$A,$A50,Velocity!$B:$B,$C50)/Assumptions!$B$4*Assumptions!$B$6</f>
        <v>0.866666666666667</v>
      </c>
      <c r="M50" s="7" t="n">
        <f aca="false">SUMIFS(Doors!Y:Y,Doors!$A:$A,$D50,Doors!$B:$B,$B50,Doors!$C:$C,$C50)*SUMIFS(Velocity!$I:$I,Velocity!$A:$A,$A50,Velocity!$B:$B,$C50)/Assumptions!$B$4*Assumptions!$B$6</f>
        <v>0.866666666666667</v>
      </c>
      <c r="N50" s="7" t="n">
        <f aca="false">SUMIFS(Doors!Z:Z,Doors!$A:$A,$D50,Doors!$B:$B,$B50,Doors!$C:$C,$C50)*SUMIFS(Velocity!$I:$I,Velocity!$A:$A,$A50,Velocity!$B:$B,$C50)/Assumptions!$B$4*Assumptions!$B$6</f>
        <v>1.3</v>
      </c>
      <c r="O50" s="7" t="n">
        <f aca="false">SUMIFS(Doors!AA:AA,Doors!$A:$A,$D50,Doors!$B:$B,$B50,Doors!$C:$C,$C50)*SUMIFS(Velocity!$I:$I,Velocity!$A:$A,$A50,Velocity!$B:$B,$C50)/Assumptions!$B$4*Assumptions!$B$6</f>
        <v>1.3</v>
      </c>
      <c r="P50" s="7" t="n">
        <f aca="false">SUMIFS(Doors!AB:AB,Doors!$A:$A,$D50,Doors!$B:$B,$B50,Doors!$C:$C,$C50)*SUMIFS(Velocity!$I:$I,Velocity!$A:$A,$A50,Velocity!$B:$B,$C50)/Assumptions!$B$4*Assumptions!$B$6</f>
        <v>1.3</v>
      </c>
      <c r="Q50" s="7" t="n">
        <f aca="false">SUMIFS(Doors!AC:AC,Doors!$A:$A,$D50,Doors!$B:$B,$B50,Doors!$C:$C,$C50)*SUMIFS(Velocity!$I:$I,Velocity!$A:$A,$A50,Velocity!$B:$B,$C50)/Assumptions!$B$4*Assumptions!$B$6</f>
        <v>1.3</v>
      </c>
      <c r="R50" s="7" t="n">
        <f aca="false">SUMIFS(Doors!AD:AD,Doors!$A:$A,$D50,Doors!$B:$B,$B50,Doors!$C:$C,$C50)*SUMIFS(Velocity!$I:$I,Velocity!$A:$A,$A50,Velocity!$B:$B,$C50)/Assumptions!$B$4*Assumptions!$B$6</f>
        <v>1.73333333333333</v>
      </c>
      <c r="S50" s="7" t="n">
        <f aca="false">SUMIFS(Doors!AE:AE,Doors!$A:$A,$D50,Doors!$B:$B,$B50,Doors!$C:$C,$C50)*SUMIFS(Velocity!$I:$I,Velocity!$A:$A,$A50,Velocity!$B:$B,$C50)/Assumptions!$B$4*Assumptions!$B$6</f>
        <v>1.73333333333333</v>
      </c>
      <c r="T50" s="7" t="n">
        <f aca="false">SUMIFS(Doors!AF:AF,Doors!$A:$A,$D50,Doors!$B:$B,$B50,Doors!$C:$C,$C50)*SUMIFS(Velocity!$I:$I,Velocity!$A:$A,$A50,Velocity!$B:$B,$C50)/Assumptions!$B$4*Assumptions!$B$6</f>
        <v>1.73333333333333</v>
      </c>
      <c r="U50" s="7" t="n">
        <f aca="false">SUMIFS(Doors!AG:AG,Doors!$A:$A,$D50,Doors!$B:$B,$B50,Doors!$C:$C,$C50)*SUMIFS(Velocity!$I:$I,Velocity!$A:$A,$A50,Velocity!$B:$B,$C50)/Assumptions!$B$4*Assumptions!$B$6</f>
        <v>1.73333333333333</v>
      </c>
      <c r="V50" s="7" t="n">
        <f aca="false">SUMIFS(Doors!AH:AH,Doors!$A:$A,$D50,Doors!$B:$B,$B50,Doors!$C:$C,$C50)*SUMIFS(Velocity!$I:$I,Velocity!$A:$A,$A50,Velocity!$B:$B,$C50)/Assumptions!$B$4*Assumptions!$B$6</f>
        <v>1.73333333333333</v>
      </c>
      <c r="W50" s="7" t="n">
        <f aca="false">SUMIFS(Doors!AI:AI,Doors!$A:$A,$D50,Doors!$B:$B,$B50,Doors!$C:$C,$C50)*SUMIFS(Velocity!$I:$I,Velocity!$A:$A,$A50,Velocity!$B:$B,$C50)/Assumptions!$B$4*Assumptions!$B$6</f>
        <v>2.16666666666667</v>
      </c>
      <c r="X50" s="7" t="n">
        <f aca="false">SUMIFS(Doors!AJ:AJ,Doors!$A:$A,$D50,Doors!$B:$B,$B50,Doors!$C:$C,$C50)*SUMIFS(Velocity!$I:$I,Velocity!$A:$A,$A50,Velocity!$B:$B,$C50)/Assumptions!$B$4*Assumptions!$B$6</f>
        <v>2.16666666666667</v>
      </c>
      <c r="Y50" s="7" t="n">
        <f aca="false">SUMIFS(Doors!AK:AK,Doors!$A:$A,$D50,Doors!$B:$B,$B50,Doors!$C:$C,$C50)*SUMIFS(Velocity!$I:$I,Velocity!$A:$A,$A50,Velocity!$B:$B,$C50)/Assumptions!$B$4*Assumptions!$B$6</f>
        <v>2.16666666666667</v>
      </c>
      <c r="Z50" s="7" t="n">
        <f aca="false">SUMIFS(Doors!AL:AL,Doors!$A:$A,$D50,Doors!$B:$B,$B50,Doors!$C:$C,$C50)*SUMIFS(Velocity!$I:$I,Velocity!$A:$A,$A50,Velocity!$B:$B,$C50)/Assumptions!$B$4*Assumptions!$B$6</f>
        <v>2.16666666666667</v>
      </c>
      <c r="AA50" s="7" t="n">
        <f aca="false">SUMIFS(Doors!AM:AM,Doors!$A:$A,$D50,Doors!$B:$B,$B50,Doors!$C:$C,$C50)*SUMIFS(Velocity!$I:$I,Velocity!$A:$A,$A50,Velocity!$B:$B,$C50)/Assumptions!$B$4*Assumptions!$B$6</f>
        <v>2.6</v>
      </c>
      <c r="AB50" s="7" t="n">
        <f aca="false">SUMIFS(Doors!AN:AN,Doors!$A:$A,$D50,Doors!$B:$B,$B50,Doors!$C:$C,$C50)*SUMIFS(Velocity!$I:$I,Velocity!$A:$A,$A50,Velocity!$B:$B,$C50)/Assumptions!$B$4*Assumptions!$B$6</f>
        <v>2.6</v>
      </c>
      <c r="AC50" s="7" t="n">
        <f aca="false">SUMIFS(Doors!AO:AO,Doors!$A:$A,$D50,Doors!$B:$B,$B50,Doors!$C:$C,$C50)*SUMIFS(Velocity!$I:$I,Velocity!$A:$A,$A50,Velocity!$B:$B,$C50)/Assumptions!$B$4*Assumptions!$B$6</f>
        <v>2.6</v>
      </c>
      <c r="AD50" s="7" t="n">
        <f aca="false">SUMIFS(Doors!AP:AP,Doors!$A:$A,$D50,Doors!$B:$B,$B50,Doors!$C:$C,$C50)*SUMIFS(Velocity!$I:$I,Velocity!$A:$A,$A50,Velocity!$B:$B,$C50)/Assumptions!$B$4*Assumptions!$B$6</f>
        <v>2.6</v>
      </c>
      <c r="AE50" s="7" t="n">
        <f aca="false">SUMIFS(Doors!AQ:AQ,Doors!$A:$A,$D50,Doors!$B:$B,$B50,Doors!$C:$C,$C50)*SUMIFS(Velocity!$I:$I,Velocity!$A:$A,$A50,Velocity!$B:$B,$C50)/Assumptions!$B$4*Assumptions!$B$6</f>
        <v>2.81666666666667</v>
      </c>
      <c r="AF50" s="7" t="n">
        <f aca="false">SUMIFS(Doors!AR:AR,Doors!$A:$A,$D50,Doors!$B:$B,$B50,Doors!$C:$C,$C50)*SUMIFS(Velocity!$I:$I,Velocity!$A:$A,$A50,Velocity!$B:$B,$C50)/Assumptions!$B$4*Assumptions!$B$6</f>
        <v>2.81666666666667</v>
      </c>
      <c r="AG50" s="7" t="n">
        <f aca="false">SUMIFS(Doors!AS:AS,Doors!$A:$A,$D50,Doors!$B:$B,$B50,Doors!$C:$C,$C50)*SUMIFS(Velocity!$I:$I,Velocity!$A:$A,$A50,Velocity!$B:$B,$C50)/Assumptions!$B$4*Assumptions!$B$6</f>
        <v>2.81666666666667</v>
      </c>
      <c r="AH50" s="7" t="n">
        <f aca="false">SUMIFS(Doors!AT:AT,Doors!$A:$A,$D50,Doors!$B:$B,$B50,Doors!$C:$C,$C50)*SUMIFS(Velocity!$I:$I,Velocity!$A:$A,$A50,Velocity!$B:$B,$C50)/Assumptions!$B$4*Assumptions!$B$6</f>
        <v>2.81666666666667</v>
      </c>
      <c r="AI50" s="7" t="n">
        <f aca="false">SUMIFS(Doors!AU:AU,Doors!$A:$A,$D50,Doors!$B:$B,$B50,Doors!$C:$C,$C50)*SUMIFS(Velocity!$I:$I,Velocity!$A:$A,$A50,Velocity!$B:$B,$C50)/Assumptions!$B$4*Assumptions!$B$6</f>
        <v>2.81666666666667</v>
      </c>
      <c r="AJ50" s="7" t="n">
        <f aca="false">SUMIFS(Doors!AV:AV,Doors!$A:$A,$D50,Doors!$B:$B,$B50,Doors!$C:$C,$C50)*SUMIFS(Velocity!$I:$I,Velocity!$A:$A,$A50,Velocity!$B:$B,$C50)/Assumptions!$B$4*Assumptions!$B$6</f>
        <v>3.03333333333333</v>
      </c>
      <c r="AK50" s="7" t="n">
        <f aca="false">SUMIFS(Doors!AW:AW,Doors!$A:$A,$D50,Doors!$B:$B,$B50,Doors!$C:$C,$C50)*SUMIFS(Velocity!$I:$I,Velocity!$A:$A,$A50,Velocity!$B:$B,$C50)/Assumptions!$B$4*Assumptions!$B$6</f>
        <v>3.03333333333333</v>
      </c>
      <c r="AL50" s="7" t="n">
        <f aca="false">SUMIFS(Doors!AX:AX,Doors!$A:$A,$D50,Doors!$B:$B,$B50,Doors!$C:$C,$C50)*SUMIFS(Velocity!$I:$I,Velocity!$A:$A,$A50,Velocity!$B:$B,$C50)/Assumptions!$B$4*Assumptions!$B$6</f>
        <v>3.03333333333333</v>
      </c>
      <c r="AM50" s="7" t="n">
        <f aca="false">SUMIFS(Doors!AY:AY,Doors!$A:$A,$D50,Doors!$B:$B,$B50,Doors!$C:$C,$C50)*SUMIFS(Velocity!$I:$I,Velocity!$A:$A,$A50,Velocity!$B:$B,$C50)/Assumptions!$B$4*Assumptions!$B$6</f>
        <v>3.03333333333333</v>
      </c>
      <c r="AN50" s="7" t="n">
        <f aca="false">SUMIFS(Doors!AZ:AZ,Doors!$A:$A,$D50,Doors!$B:$B,$B50,Doors!$C:$C,$C50)*SUMIFS(Velocity!$I:$I,Velocity!$A:$A,$A50,Velocity!$B:$B,$C50)/Assumptions!$B$4*Assumptions!$B$6</f>
        <v>3.14166666666667</v>
      </c>
      <c r="AO50" s="7" t="n">
        <f aca="false">SUMIFS(Doors!BA:BA,Doors!$A:$A,$D50,Doors!$B:$B,$B50,Doors!$C:$C,$C50)*SUMIFS(Velocity!$I:$I,Velocity!$A:$A,$A50,Velocity!$B:$B,$C50)/Assumptions!$B$4*Assumptions!$B$6</f>
        <v>3.14166666666667</v>
      </c>
      <c r="AP50" s="7" t="n">
        <f aca="false">SUMIFS(Doors!BB:BB,Doors!$A:$A,$D50,Doors!$B:$B,$B50,Doors!$C:$C,$C50)*SUMIFS(Velocity!$I:$I,Velocity!$A:$A,$A50,Velocity!$B:$B,$C50)/Assumptions!$B$4*Assumptions!$B$6</f>
        <v>3.14166666666667</v>
      </c>
      <c r="AQ50" s="7" t="n">
        <f aca="false">SUMIFS(Doors!BC:BC,Doors!$A:$A,$D50,Doors!$B:$B,$B50,Doors!$C:$C,$C50)*SUMIFS(Velocity!$I:$I,Velocity!$A:$A,$A50,Velocity!$B:$B,$C50)/Assumptions!$B$4*Assumptions!$B$6</f>
        <v>3.14166666666667</v>
      </c>
      <c r="AR50" s="7" t="n">
        <f aca="false">SUMIFS(Doors!BD:BD,Doors!$A:$A,$D50,Doors!$B:$B,$B50,Doors!$C:$C,$C50)*SUMIFS(Velocity!$I:$I,Velocity!$A:$A,$A50,Velocity!$B:$B,$C50)/Assumptions!$B$4*Assumptions!$B$6</f>
        <v>3.25</v>
      </c>
      <c r="AS50" s="7" t="n">
        <f aca="false">SUMIFS(Doors!BE:BE,Doors!$A:$A,$D50,Doors!$B:$B,$B50,Doors!$C:$C,$C50)*SUMIFS(Velocity!$I:$I,Velocity!$A:$A,$A50,Velocity!$B:$B,$C50)/Assumptions!$B$4*Assumptions!$B$6</f>
        <v>3.25</v>
      </c>
      <c r="AT50" s="7" t="n">
        <f aca="false">SUMIFS(Doors!BF:BF,Doors!$A:$A,$D50,Doors!$B:$B,$B50,Doors!$C:$C,$C50)*SUMIFS(Velocity!$I:$I,Velocity!$A:$A,$A50,Velocity!$B:$B,$C50)/Assumptions!$B$4*Assumptions!$B$6</f>
        <v>3.25</v>
      </c>
      <c r="AU50" s="7" t="n">
        <f aca="false">SUMIFS(Doors!BG:BG,Doors!$A:$A,$D50,Doors!$B:$B,$B50,Doors!$C:$C,$C50)*SUMIFS(Velocity!$I:$I,Velocity!$A:$A,$A50,Velocity!$B:$B,$C50)/Assumptions!$B$4*Assumptions!$B$6</f>
        <v>3.25</v>
      </c>
      <c r="AV50" s="7" t="n">
        <f aca="false">SUMIFS(Doors!BH:BH,Doors!$A:$A,$D50,Doors!$B:$B,$B50,Doors!$C:$C,$C50)*SUMIFS(Velocity!$I:$I,Velocity!$A:$A,$A50,Velocity!$B:$B,$C50)/Assumptions!$B$4*Assumptions!$B$6</f>
        <v>3.25</v>
      </c>
      <c r="AW50" s="7" t="n">
        <f aca="false">SUMIFS(Doors!BI:BI,Doors!$A:$A,$D50,Doors!$B:$B,$B50,Doors!$C:$C,$C50)*SUMIFS(Velocity!$I:$I,Velocity!$A:$A,$A50,Velocity!$B:$B,$C50)/Assumptions!$B$4*Assumptions!$B$6</f>
        <v>3.25</v>
      </c>
      <c r="AX50" s="7" t="n">
        <f aca="false">SUMIFS(Doors!BJ:BJ,Doors!$A:$A,$D50,Doors!$B:$B,$B50,Doors!$C:$C,$C50)*SUMIFS(Velocity!$I:$I,Velocity!$A:$A,$A50,Velocity!$B:$B,$C50)/Assumptions!$B$4*Assumptions!$B$6</f>
        <v>3.25</v>
      </c>
      <c r="AY50" s="7" t="n">
        <f aca="false">SUMIFS(Doors!BK:BK,Doors!$A:$A,$D50,Doors!$B:$B,$B50,Doors!$C:$C,$C50)*SUMIFS(Velocity!$I:$I,Velocity!$A:$A,$A50,Velocity!$B:$B,$C50)/Assumptions!$B$4*Assumptions!$B$6</f>
        <v>3.25</v>
      </c>
      <c r="AZ50" s="7" t="n">
        <f aca="false">SUMIFS(Doors!BL:BL,Doors!$A:$A,$D50,Doors!$B:$B,$B50,Doors!$C:$C,$C50)*SUMIFS(Velocity!$I:$I,Velocity!$A:$A,$A50,Velocity!$B:$B,$C50)/Assumptions!$B$4*Assumptions!$B$6</f>
        <v>3.25</v>
      </c>
      <c r="BA50" s="7" t="n">
        <f aca="false">SUMIFS(Doors!BM:BM,Doors!$A:$A,$D50,Doors!$B:$B,$B50,Doors!$C:$C,$C50)*SUMIFS(Velocity!$I:$I,Velocity!$A:$A,$A50,Velocity!$B:$B,$C50)/Assumptions!$B$4*Assumptions!$B$6</f>
        <v>3.25</v>
      </c>
      <c r="BB50" s="7" t="n">
        <f aca="false">SUMIFS(Doors!BN:BN,Doors!$A:$A,$D50,Doors!$B:$B,$B50,Doors!$C:$C,$C50)*SUMIFS(Velocity!$I:$I,Velocity!$A:$A,$A50,Velocity!$B:$B,$C50)/Assumptions!$B$4*Assumptions!$B$6</f>
        <v>3.25</v>
      </c>
      <c r="BC50" s="7" t="n">
        <f aca="false">SUMIFS(Doors!BO:BO,Doors!$A:$A,$D50,Doors!$B:$B,$B50,Doors!$C:$C,$C50)*SUMIFS(Velocity!$I:$I,Velocity!$A:$A,$A50,Velocity!$B:$B,$C50)/Assumptions!$B$4*Assumptions!$B$6</f>
        <v>3.25</v>
      </c>
      <c r="BD50" s="7" t="n">
        <f aca="false">SUMIFS(Doors!BP:BP,Doors!$A:$A,$D50,Doors!$B:$B,$B50,Doors!$C:$C,$C50)*SUMIFS(Velocity!$I:$I,Velocity!$A:$A,$A50,Velocity!$B:$B,$C50)/Assumptions!$B$4*Assumptions!$B$6</f>
        <v>3.25</v>
      </c>
    </row>
    <row r="51" customFormat="false" ht="15" hidden="false" customHeight="false" outlineLevel="0" collapsed="false">
      <c r="A51" s="0" t="s">
        <v>108</v>
      </c>
      <c r="B51" s="0" t="s">
        <v>131</v>
      </c>
      <c r="C51" s="0" t="s">
        <v>115</v>
      </c>
      <c r="D51" s="0" t="s">
        <v>235</v>
      </c>
      <c r="E51" s="7" t="n">
        <f aca="false">SUMIFS(Doors!Q:Q,Doors!$A:$A,$D51,Doors!$B:$B,$B51,Doors!$C:$C,$C51)*SUMIFS(Velocity!$I:$I,Velocity!$A:$A,$A51,Velocity!$B:$B,$C51)/Assumptions!$B$4*Assumptions!$B$6</f>
        <v>6.58333333333333</v>
      </c>
      <c r="F51" s="7" t="n">
        <f aca="false">SUMIFS(Doors!R:R,Doors!$A:$A,$D51,Doors!$B:$B,$B51,Doors!$C:$C,$C51)*SUMIFS(Velocity!$I:$I,Velocity!$A:$A,$A51,Velocity!$B:$B,$C51)/Assumptions!$B$4*Assumptions!$B$6</f>
        <v>6.58333333333333</v>
      </c>
      <c r="G51" s="7" t="n">
        <f aca="false">SUMIFS(Doors!S:S,Doors!$A:$A,$D51,Doors!$B:$B,$B51,Doors!$C:$C,$C51)*SUMIFS(Velocity!$I:$I,Velocity!$A:$A,$A51,Velocity!$B:$B,$C51)/Assumptions!$B$4*Assumptions!$B$6</f>
        <v>6.58333333333333</v>
      </c>
      <c r="H51" s="7" t="n">
        <f aca="false">SUMIFS(Doors!T:T,Doors!$A:$A,$D51,Doors!$B:$B,$B51,Doors!$C:$C,$C51)*SUMIFS(Velocity!$I:$I,Velocity!$A:$A,$A51,Velocity!$B:$B,$C51)/Assumptions!$B$4*Assumptions!$B$6</f>
        <v>6.58333333333333</v>
      </c>
      <c r="I51" s="7" t="n">
        <f aca="false">SUMIFS(Doors!U:U,Doors!$A:$A,$D51,Doors!$B:$B,$B51,Doors!$C:$C,$C51)*SUMIFS(Velocity!$I:$I,Velocity!$A:$A,$A51,Velocity!$B:$B,$C51)/Assumptions!$B$4*Assumptions!$B$6</f>
        <v>6.58333333333333</v>
      </c>
      <c r="J51" s="7" t="n">
        <f aca="false">SUMIFS(Doors!V:V,Doors!$A:$A,$D51,Doors!$B:$B,$B51,Doors!$C:$C,$C51)*SUMIFS(Velocity!$I:$I,Velocity!$A:$A,$A51,Velocity!$B:$B,$C51)/Assumptions!$B$4*Assumptions!$B$6</f>
        <v>8.22916666666667</v>
      </c>
      <c r="K51" s="7" t="n">
        <f aca="false">SUMIFS(Doors!W:W,Doors!$A:$A,$D51,Doors!$B:$B,$B51,Doors!$C:$C,$C51)*SUMIFS(Velocity!$I:$I,Velocity!$A:$A,$A51,Velocity!$B:$B,$C51)/Assumptions!$B$4*Assumptions!$B$6</f>
        <v>8.22916666666667</v>
      </c>
      <c r="L51" s="7" t="n">
        <f aca="false">SUMIFS(Doors!X:X,Doors!$A:$A,$D51,Doors!$B:$B,$B51,Doors!$C:$C,$C51)*SUMIFS(Velocity!$I:$I,Velocity!$A:$A,$A51,Velocity!$B:$B,$C51)/Assumptions!$B$4*Assumptions!$B$6</f>
        <v>8.22916666666667</v>
      </c>
      <c r="M51" s="7" t="n">
        <f aca="false">SUMIFS(Doors!Y:Y,Doors!$A:$A,$D51,Doors!$B:$B,$B51,Doors!$C:$C,$C51)*SUMIFS(Velocity!$I:$I,Velocity!$A:$A,$A51,Velocity!$B:$B,$C51)/Assumptions!$B$4*Assumptions!$B$6</f>
        <v>8.22916666666667</v>
      </c>
      <c r="N51" s="7" t="n">
        <f aca="false">SUMIFS(Doors!Z:Z,Doors!$A:$A,$D51,Doors!$B:$B,$B51,Doors!$C:$C,$C51)*SUMIFS(Velocity!$I:$I,Velocity!$A:$A,$A51,Velocity!$B:$B,$C51)/Assumptions!$B$4*Assumptions!$B$6</f>
        <v>9.875</v>
      </c>
      <c r="O51" s="7" t="n">
        <f aca="false">SUMIFS(Doors!AA:AA,Doors!$A:$A,$D51,Doors!$B:$B,$B51,Doors!$C:$C,$C51)*SUMIFS(Velocity!$I:$I,Velocity!$A:$A,$A51,Velocity!$B:$B,$C51)/Assumptions!$B$4*Assumptions!$B$6</f>
        <v>9.875</v>
      </c>
      <c r="P51" s="7" t="n">
        <f aca="false">SUMIFS(Doors!AB:AB,Doors!$A:$A,$D51,Doors!$B:$B,$B51,Doors!$C:$C,$C51)*SUMIFS(Velocity!$I:$I,Velocity!$A:$A,$A51,Velocity!$B:$B,$C51)/Assumptions!$B$4*Assumptions!$B$6</f>
        <v>9.875</v>
      </c>
      <c r="Q51" s="7" t="n">
        <f aca="false">SUMIFS(Doors!AC:AC,Doors!$A:$A,$D51,Doors!$B:$B,$B51,Doors!$C:$C,$C51)*SUMIFS(Velocity!$I:$I,Velocity!$A:$A,$A51,Velocity!$B:$B,$C51)/Assumptions!$B$4*Assumptions!$B$6</f>
        <v>9.875</v>
      </c>
      <c r="R51" s="7" t="n">
        <f aca="false">SUMIFS(Doors!AD:AD,Doors!$A:$A,$D51,Doors!$B:$B,$B51,Doors!$C:$C,$C51)*SUMIFS(Velocity!$I:$I,Velocity!$A:$A,$A51,Velocity!$B:$B,$C51)/Assumptions!$B$4*Assumptions!$B$6</f>
        <v>11.5208333333333</v>
      </c>
      <c r="S51" s="7" t="n">
        <f aca="false">SUMIFS(Doors!AE:AE,Doors!$A:$A,$D51,Doors!$B:$B,$B51,Doors!$C:$C,$C51)*SUMIFS(Velocity!$I:$I,Velocity!$A:$A,$A51,Velocity!$B:$B,$C51)/Assumptions!$B$4*Assumptions!$B$6</f>
        <v>11.5208333333333</v>
      </c>
      <c r="T51" s="7" t="n">
        <f aca="false">SUMIFS(Doors!AF:AF,Doors!$A:$A,$D51,Doors!$B:$B,$B51,Doors!$C:$C,$C51)*SUMIFS(Velocity!$I:$I,Velocity!$A:$A,$A51,Velocity!$B:$B,$C51)/Assumptions!$B$4*Assumptions!$B$6</f>
        <v>11.5208333333333</v>
      </c>
      <c r="U51" s="7" t="n">
        <f aca="false">SUMIFS(Doors!AG:AG,Doors!$A:$A,$D51,Doors!$B:$B,$B51,Doors!$C:$C,$C51)*SUMIFS(Velocity!$I:$I,Velocity!$A:$A,$A51,Velocity!$B:$B,$C51)/Assumptions!$B$4*Assumptions!$B$6</f>
        <v>11.5208333333333</v>
      </c>
      <c r="V51" s="7" t="n">
        <f aca="false">SUMIFS(Doors!AH:AH,Doors!$A:$A,$D51,Doors!$B:$B,$B51,Doors!$C:$C,$C51)*SUMIFS(Velocity!$I:$I,Velocity!$A:$A,$A51,Velocity!$B:$B,$C51)/Assumptions!$B$4*Assumptions!$B$6</f>
        <v>11.5208333333333</v>
      </c>
      <c r="W51" s="7" t="n">
        <f aca="false">SUMIFS(Doors!AI:AI,Doors!$A:$A,$D51,Doors!$B:$B,$B51,Doors!$C:$C,$C51)*SUMIFS(Velocity!$I:$I,Velocity!$A:$A,$A51,Velocity!$B:$B,$C51)/Assumptions!$B$4*Assumptions!$B$6</f>
        <v>13.1666666666667</v>
      </c>
      <c r="X51" s="7" t="n">
        <f aca="false">SUMIFS(Doors!AJ:AJ,Doors!$A:$A,$D51,Doors!$B:$B,$B51,Doors!$C:$C,$C51)*SUMIFS(Velocity!$I:$I,Velocity!$A:$A,$A51,Velocity!$B:$B,$C51)/Assumptions!$B$4*Assumptions!$B$6</f>
        <v>13.1666666666667</v>
      </c>
      <c r="Y51" s="7" t="n">
        <f aca="false">SUMIFS(Doors!AK:AK,Doors!$A:$A,$D51,Doors!$B:$B,$B51,Doors!$C:$C,$C51)*SUMIFS(Velocity!$I:$I,Velocity!$A:$A,$A51,Velocity!$B:$B,$C51)/Assumptions!$B$4*Assumptions!$B$6</f>
        <v>13.1666666666667</v>
      </c>
      <c r="Z51" s="7" t="n">
        <f aca="false">SUMIFS(Doors!AL:AL,Doors!$A:$A,$D51,Doors!$B:$B,$B51,Doors!$C:$C,$C51)*SUMIFS(Velocity!$I:$I,Velocity!$A:$A,$A51,Velocity!$B:$B,$C51)/Assumptions!$B$4*Assumptions!$B$6</f>
        <v>13.1666666666667</v>
      </c>
      <c r="AA51" s="7" t="n">
        <f aca="false">SUMIFS(Doors!AM:AM,Doors!$A:$A,$D51,Doors!$B:$B,$B51,Doors!$C:$C,$C51)*SUMIFS(Velocity!$I:$I,Velocity!$A:$A,$A51,Velocity!$B:$B,$C51)/Assumptions!$B$4*Assumptions!$B$6</f>
        <v>14.8125</v>
      </c>
      <c r="AB51" s="7" t="n">
        <f aca="false">SUMIFS(Doors!AN:AN,Doors!$A:$A,$D51,Doors!$B:$B,$B51,Doors!$C:$C,$C51)*SUMIFS(Velocity!$I:$I,Velocity!$A:$A,$A51,Velocity!$B:$B,$C51)/Assumptions!$B$4*Assumptions!$B$6</f>
        <v>14.8125</v>
      </c>
      <c r="AC51" s="7" t="n">
        <f aca="false">SUMIFS(Doors!AO:AO,Doors!$A:$A,$D51,Doors!$B:$B,$B51,Doors!$C:$C,$C51)*SUMIFS(Velocity!$I:$I,Velocity!$A:$A,$A51,Velocity!$B:$B,$C51)/Assumptions!$B$4*Assumptions!$B$6</f>
        <v>14.8125</v>
      </c>
      <c r="AD51" s="7" t="n">
        <f aca="false">SUMIFS(Doors!AP:AP,Doors!$A:$A,$D51,Doors!$B:$B,$B51,Doors!$C:$C,$C51)*SUMIFS(Velocity!$I:$I,Velocity!$A:$A,$A51,Velocity!$B:$B,$C51)/Assumptions!$B$4*Assumptions!$B$6</f>
        <v>14.8125</v>
      </c>
      <c r="AE51" s="7" t="n">
        <f aca="false">SUMIFS(Doors!AQ:AQ,Doors!$A:$A,$D51,Doors!$B:$B,$B51,Doors!$C:$C,$C51)*SUMIFS(Velocity!$I:$I,Velocity!$A:$A,$A51,Velocity!$B:$B,$C51)/Assumptions!$B$4*Assumptions!$B$6</f>
        <v>16.4583333333333</v>
      </c>
      <c r="AF51" s="7" t="n">
        <f aca="false">SUMIFS(Doors!AR:AR,Doors!$A:$A,$D51,Doors!$B:$B,$B51,Doors!$C:$C,$C51)*SUMIFS(Velocity!$I:$I,Velocity!$A:$A,$A51,Velocity!$B:$B,$C51)/Assumptions!$B$4*Assumptions!$B$6</f>
        <v>16.4583333333333</v>
      </c>
      <c r="AG51" s="7" t="n">
        <f aca="false">SUMIFS(Doors!AS:AS,Doors!$A:$A,$D51,Doors!$B:$B,$B51,Doors!$C:$C,$C51)*SUMIFS(Velocity!$I:$I,Velocity!$A:$A,$A51,Velocity!$B:$B,$C51)/Assumptions!$B$4*Assumptions!$B$6</f>
        <v>16.4583333333333</v>
      </c>
      <c r="AH51" s="7" t="n">
        <f aca="false">SUMIFS(Doors!AT:AT,Doors!$A:$A,$D51,Doors!$B:$B,$B51,Doors!$C:$C,$C51)*SUMIFS(Velocity!$I:$I,Velocity!$A:$A,$A51,Velocity!$B:$B,$C51)/Assumptions!$B$4*Assumptions!$B$6</f>
        <v>16.4583333333333</v>
      </c>
      <c r="AI51" s="7" t="n">
        <f aca="false">SUMIFS(Doors!AU:AU,Doors!$A:$A,$D51,Doors!$B:$B,$B51,Doors!$C:$C,$C51)*SUMIFS(Velocity!$I:$I,Velocity!$A:$A,$A51,Velocity!$B:$B,$C51)/Assumptions!$B$4*Assumptions!$B$6</f>
        <v>16.4583333333333</v>
      </c>
      <c r="AJ51" s="7" t="n">
        <f aca="false">SUMIFS(Doors!AV:AV,Doors!$A:$A,$D51,Doors!$B:$B,$B51,Doors!$C:$C,$C51)*SUMIFS(Velocity!$I:$I,Velocity!$A:$A,$A51,Velocity!$B:$B,$C51)/Assumptions!$B$4*Assumptions!$B$6</f>
        <v>18.1041666666667</v>
      </c>
      <c r="AK51" s="7" t="n">
        <f aca="false">SUMIFS(Doors!AW:AW,Doors!$A:$A,$D51,Doors!$B:$B,$B51,Doors!$C:$C,$C51)*SUMIFS(Velocity!$I:$I,Velocity!$A:$A,$A51,Velocity!$B:$B,$C51)/Assumptions!$B$4*Assumptions!$B$6</f>
        <v>18.1041666666667</v>
      </c>
      <c r="AL51" s="7" t="n">
        <f aca="false">SUMIFS(Doors!AX:AX,Doors!$A:$A,$D51,Doors!$B:$B,$B51,Doors!$C:$C,$C51)*SUMIFS(Velocity!$I:$I,Velocity!$A:$A,$A51,Velocity!$B:$B,$C51)/Assumptions!$B$4*Assumptions!$B$6</f>
        <v>18.1041666666667</v>
      </c>
      <c r="AM51" s="7" t="n">
        <f aca="false">SUMIFS(Doors!AY:AY,Doors!$A:$A,$D51,Doors!$B:$B,$B51,Doors!$C:$C,$C51)*SUMIFS(Velocity!$I:$I,Velocity!$A:$A,$A51,Velocity!$B:$B,$C51)/Assumptions!$B$4*Assumptions!$B$6</f>
        <v>18.1041666666667</v>
      </c>
      <c r="AN51" s="7" t="n">
        <f aca="false">SUMIFS(Doors!AZ:AZ,Doors!$A:$A,$D51,Doors!$B:$B,$B51,Doors!$C:$C,$C51)*SUMIFS(Velocity!$I:$I,Velocity!$A:$A,$A51,Velocity!$B:$B,$C51)/Assumptions!$B$4*Assumptions!$B$6</f>
        <v>19.75</v>
      </c>
      <c r="AO51" s="7" t="n">
        <f aca="false">SUMIFS(Doors!BA:BA,Doors!$A:$A,$D51,Doors!$B:$B,$B51,Doors!$C:$C,$C51)*SUMIFS(Velocity!$I:$I,Velocity!$A:$A,$A51,Velocity!$B:$B,$C51)/Assumptions!$B$4*Assumptions!$B$6</f>
        <v>19.75</v>
      </c>
      <c r="AP51" s="7" t="n">
        <f aca="false">SUMIFS(Doors!BB:BB,Doors!$A:$A,$D51,Doors!$B:$B,$B51,Doors!$C:$C,$C51)*SUMIFS(Velocity!$I:$I,Velocity!$A:$A,$A51,Velocity!$B:$B,$C51)/Assumptions!$B$4*Assumptions!$B$6</f>
        <v>19.75</v>
      </c>
      <c r="AQ51" s="7" t="n">
        <f aca="false">SUMIFS(Doors!BC:BC,Doors!$A:$A,$D51,Doors!$B:$B,$B51,Doors!$C:$C,$C51)*SUMIFS(Velocity!$I:$I,Velocity!$A:$A,$A51,Velocity!$B:$B,$C51)/Assumptions!$B$4*Assumptions!$B$6</f>
        <v>19.75</v>
      </c>
      <c r="AR51" s="7" t="n">
        <f aca="false">SUMIFS(Doors!BD:BD,Doors!$A:$A,$D51,Doors!$B:$B,$B51,Doors!$C:$C,$C51)*SUMIFS(Velocity!$I:$I,Velocity!$A:$A,$A51,Velocity!$B:$B,$C51)/Assumptions!$B$4*Assumptions!$B$6</f>
        <v>21.3958333333333</v>
      </c>
      <c r="AS51" s="7" t="n">
        <f aca="false">SUMIFS(Doors!BE:BE,Doors!$A:$A,$D51,Doors!$B:$B,$B51,Doors!$C:$C,$C51)*SUMIFS(Velocity!$I:$I,Velocity!$A:$A,$A51,Velocity!$B:$B,$C51)/Assumptions!$B$4*Assumptions!$B$6</f>
        <v>21.3958333333333</v>
      </c>
      <c r="AT51" s="7" t="n">
        <f aca="false">SUMIFS(Doors!BF:BF,Doors!$A:$A,$D51,Doors!$B:$B,$B51,Doors!$C:$C,$C51)*SUMIFS(Velocity!$I:$I,Velocity!$A:$A,$A51,Velocity!$B:$B,$C51)/Assumptions!$B$4*Assumptions!$B$6</f>
        <v>21.3958333333333</v>
      </c>
      <c r="AU51" s="7" t="n">
        <f aca="false">SUMIFS(Doors!BG:BG,Doors!$A:$A,$D51,Doors!$B:$B,$B51,Doors!$C:$C,$C51)*SUMIFS(Velocity!$I:$I,Velocity!$A:$A,$A51,Velocity!$B:$B,$C51)/Assumptions!$B$4*Assumptions!$B$6</f>
        <v>21.3958333333333</v>
      </c>
      <c r="AV51" s="7" t="n">
        <f aca="false">SUMIFS(Doors!BH:BH,Doors!$A:$A,$D51,Doors!$B:$B,$B51,Doors!$C:$C,$C51)*SUMIFS(Velocity!$I:$I,Velocity!$A:$A,$A51,Velocity!$B:$B,$C51)/Assumptions!$B$4*Assumptions!$B$6</f>
        <v>21.3958333333333</v>
      </c>
      <c r="AW51" s="7" t="n">
        <f aca="false">SUMIFS(Doors!BI:BI,Doors!$A:$A,$D51,Doors!$B:$B,$B51,Doors!$C:$C,$C51)*SUMIFS(Velocity!$I:$I,Velocity!$A:$A,$A51,Velocity!$B:$B,$C51)/Assumptions!$B$4*Assumptions!$B$6</f>
        <v>23.0416666666667</v>
      </c>
      <c r="AX51" s="7" t="n">
        <f aca="false">SUMIFS(Doors!BJ:BJ,Doors!$A:$A,$D51,Doors!$B:$B,$B51,Doors!$C:$C,$C51)*SUMIFS(Velocity!$I:$I,Velocity!$A:$A,$A51,Velocity!$B:$B,$C51)/Assumptions!$B$4*Assumptions!$B$6</f>
        <v>23.0416666666667</v>
      </c>
      <c r="AY51" s="7" t="n">
        <f aca="false">SUMIFS(Doors!BK:BK,Doors!$A:$A,$D51,Doors!$B:$B,$B51,Doors!$C:$C,$C51)*SUMIFS(Velocity!$I:$I,Velocity!$A:$A,$A51,Velocity!$B:$B,$C51)/Assumptions!$B$4*Assumptions!$B$6</f>
        <v>23.0416666666667</v>
      </c>
      <c r="AZ51" s="7" t="n">
        <f aca="false">SUMIFS(Doors!BL:BL,Doors!$A:$A,$D51,Doors!$B:$B,$B51,Doors!$C:$C,$C51)*SUMIFS(Velocity!$I:$I,Velocity!$A:$A,$A51,Velocity!$B:$B,$C51)/Assumptions!$B$4*Assumptions!$B$6</f>
        <v>23.0416666666667</v>
      </c>
      <c r="BA51" s="7" t="n">
        <f aca="false">SUMIFS(Doors!BM:BM,Doors!$A:$A,$D51,Doors!$B:$B,$B51,Doors!$C:$C,$C51)*SUMIFS(Velocity!$I:$I,Velocity!$A:$A,$A51,Velocity!$B:$B,$C51)/Assumptions!$B$4*Assumptions!$B$6</f>
        <v>24.6875</v>
      </c>
      <c r="BB51" s="7" t="n">
        <f aca="false">SUMIFS(Doors!BN:BN,Doors!$A:$A,$D51,Doors!$B:$B,$B51,Doors!$C:$C,$C51)*SUMIFS(Velocity!$I:$I,Velocity!$A:$A,$A51,Velocity!$B:$B,$C51)/Assumptions!$B$4*Assumptions!$B$6</f>
        <v>24.6875</v>
      </c>
      <c r="BC51" s="7" t="n">
        <f aca="false">SUMIFS(Doors!BO:BO,Doors!$A:$A,$D51,Doors!$B:$B,$B51,Doors!$C:$C,$C51)*SUMIFS(Velocity!$I:$I,Velocity!$A:$A,$A51,Velocity!$B:$B,$C51)/Assumptions!$B$4*Assumptions!$B$6</f>
        <v>24.6875</v>
      </c>
      <c r="BD51" s="7" t="n">
        <f aca="false">SUMIFS(Doors!BP:BP,Doors!$A:$A,$D51,Doors!$B:$B,$B51,Doors!$C:$C,$C51)*SUMIFS(Velocity!$I:$I,Velocity!$A:$A,$A51,Velocity!$B:$B,$C51)/Assumptions!$B$4*Assumptions!$B$6</f>
        <v>24.6875</v>
      </c>
    </row>
    <row r="52" customFormat="false" ht="15" hidden="false" customHeight="false" outlineLevel="0" collapsed="false">
      <c r="A52" s="0" t="s">
        <v>108</v>
      </c>
      <c r="B52" s="0" t="s">
        <v>131</v>
      </c>
      <c r="C52" s="0" t="s">
        <v>116</v>
      </c>
      <c r="D52" s="0" t="s">
        <v>235</v>
      </c>
      <c r="E52" s="7" t="n">
        <f aca="false">SUMIFS(Doors!Q:Q,Doors!$A:$A,$D52,Doors!$B:$B,$B52,Doors!$C:$C,$C52)*SUMIFS(Velocity!$I:$I,Velocity!$A:$A,$A52,Velocity!$B:$B,$C52)/Assumptions!$B$4*Assumptions!$B$6</f>
        <v>1.52083333333333</v>
      </c>
      <c r="F52" s="7" t="n">
        <f aca="false">SUMIFS(Doors!R:R,Doors!$A:$A,$D52,Doors!$B:$B,$B52,Doors!$C:$C,$C52)*SUMIFS(Velocity!$I:$I,Velocity!$A:$A,$A52,Velocity!$B:$B,$C52)/Assumptions!$B$4*Assumptions!$B$6</f>
        <v>1.52083333333333</v>
      </c>
      <c r="G52" s="7" t="n">
        <f aca="false">SUMIFS(Doors!S:S,Doors!$A:$A,$D52,Doors!$B:$B,$B52,Doors!$C:$C,$C52)*SUMIFS(Velocity!$I:$I,Velocity!$A:$A,$A52,Velocity!$B:$B,$C52)/Assumptions!$B$4*Assumptions!$B$6</f>
        <v>1.52083333333333</v>
      </c>
      <c r="H52" s="7" t="n">
        <f aca="false">SUMIFS(Doors!T:T,Doors!$A:$A,$D52,Doors!$B:$B,$B52,Doors!$C:$C,$C52)*SUMIFS(Velocity!$I:$I,Velocity!$A:$A,$A52,Velocity!$B:$B,$C52)/Assumptions!$B$4*Assumptions!$B$6</f>
        <v>1.52083333333333</v>
      </c>
      <c r="I52" s="7" t="n">
        <f aca="false">SUMIFS(Doors!U:U,Doors!$A:$A,$D52,Doors!$B:$B,$B52,Doors!$C:$C,$C52)*SUMIFS(Velocity!$I:$I,Velocity!$A:$A,$A52,Velocity!$B:$B,$C52)/Assumptions!$B$4*Assumptions!$B$6</f>
        <v>1.52083333333333</v>
      </c>
      <c r="J52" s="7" t="n">
        <f aca="false">SUMIFS(Doors!V:V,Doors!$A:$A,$D52,Doors!$B:$B,$B52,Doors!$C:$C,$C52)*SUMIFS(Velocity!$I:$I,Velocity!$A:$A,$A52,Velocity!$B:$B,$C52)/Assumptions!$B$4*Assumptions!$B$6</f>
        <v>2.43333333333333</v>
      </c>
      <c r="K52" s="7" t="n">
        <f aca="false">SUMIFS(Doors!W:W,Doors!$A:$A,$D52,Doors!$B:$B,$B52,Doors!$C:$C,$C52)*SUMIFS(Velocity!$I:$I,Velocity!$A:$A,$A52,Velocity!$B:$B,$C52)/Assumptions!$B$4*Assumptions!$B$6</f>
        <v>2.43333333333333</v>
      </c>
      <c r="L52" s="7" t="n">
        <f aca="false">SUMIFS(Doors!X:X,Doors!$A:$A,$D52,Doors!$B:$B,$B52,Doors!$C:$C,$C52)*SUMIFS(Velocity!$I:$I,Velocity!$A:$A,$A52,Velocity!$B:$B,$C52)/Assumptions!$B$4*Assumptions!$B$6</f>
        <v>2.43333333333333</v>
      </c>
      <c r="M52" s="7" t="n">
        <f aca="false">SUMIFS(Doors!Y:Y,Doors!$A:$A,$D52,Doors!$B:$B,$B52,Doors!$C:$C,$C52)*SUMIFS(Velocity!$I:$I,Velocity!$A:$A,$A52,Velocity!$B:$B,$C52)/Assumptions!$B$4*Assumptions!$B$6</f>
        <v>2.43333333333333</v>
      </c>
      <c r="N52" s="7" t="n">
        <f aca="false">SUMIFS(Doors!Z:Z,Doors!$A:$A,$D52,Doors!$B:$B,$B52,Doors!$C:$C,$C52)*SUMIFS(Velocity!$I:$I,Velocity!$A:$A,$A52,Velocity!$B:$B,$C52)/Assumptions!$B$4*Assumptions!$B$6</f>
        <v>3.34583333333333</v>
      </c>
      <c r="O52" s="7" t="n">
        <f aca="false">SUMIFS(Doors!AA:AA,Doors!$A:$A,$D52,Doors!$B:$B,$B52,Doors!$C:$C,$C52)*SUMIFS(Velocity!$I:$I,Velocity!$A:$A,$A52,Velocity!$B:$B,$C52)/Assumptions!$B$4*Assumptions!$B$6</f>
        <v>3.34583333333333</v>
      </c>
      <c r="P52" s="7" t="n">
        <f aca="false">SUMIFS(Doors!AB:AB,Doors!$A:$A,$D52,Doors!$B:$B,$B52,Doors!$C:$C,$C52)*SUMIFS(Velocity!$I:$I,Velocity!$A:$A,$A52,Velocity!$B:$B,$C52)/Assumptions!$B$4*Assumptions!$B$6</f>
        <v>3.34583333333333</v>
      </c>
      <c r="Q52" s="7" t="n">
        <f aca="false">SUMIFS(Doors!AC:AC,Doors!$A:$A,$D52,Doors!$B:$B,$B52,Doors!$C:$C,$C52)*SUMIFS(Velocity!$I:$I,Velocity!$A:$A,$A52,Velocity!$B:$B,$C52)/Assumptions!$B$4*Assumptions!$B$6</f>
        <v>3.34583333333333</v>
      </c>
      <c r="R52" s="7" t="n">
        <f aca="false">SUMIFS(Doors!AD:AD,Doors!$A:$A,$D52,Doors!$B:$B,$B52,Doors!$C:$C,$C52)*SUMIFS(Velocity!$I:$I,Velocity!$A:$A,$A52,Velocity!$B:$B,$C52)/Assumptions!$B$4*Assumptions!$B$6</f>
        <v>4.25833333333333</v>
      </c>
      <c r="S52" s="7" t="n">
        <f aca="false">SUMIFS(Doors!AE:AE,Doors!$A:$A,$D52,Doors!$B:$B,$B52,Doors!$C:$C,$C52)*SUMIFS(Velocity!$I:$I,Velocity!$A:$A,$A52,Velocity!$B:$B,$C52)/Assumptions!$B$4*Assumptions!$B$6</f>
        <v>4.25833333333333</v>
      </c>
      <c r="T52" s="7" t="n">
        <f aca="false">SUMIFS(Doors!AF:AF,Doors!$A:$A,$D52,Doors!$B:$B,$B52,Doors!$C:$C,$C52)*SUMIFS(Velocity!$I:$I,Velocity!$A:$A,$A52,Velocity!$B:$B,$C52)/Assumptions!$B$4*Assumptions!$B$6</f>
        <v>4.25833333333333</v>
      </c>
      <c r="U52" s="7" t="n">
        <f aca="false">SUMIFS(Doors!AG:AG,Doors!$A:$A,$D52,Doors!$B:$B,$B52,Doors!$C:$C,$C52)*SUMIFS(Velocity!$I:$I,Velocity!$A:$A,$A52,Velocity!$B:$B,$C52)/Assumptions!$B$4*Assumptions!$B$6</f>
        <v>4.25833333333333</v>
      </c>
      <c r="V52" s="7" t="n">
        <f aca="false">SUMIFS(Doors!AH:AH,Doors!$A:$A,$D52,Doors!$B:$B,$B52,Doors!$C:$C,$C52)*SUMIFS(Velocity!$I:$I,Velocity!$A:$A,$A52,Velocity!$B:$B,$C52)/Assumptions!$B$4*Assumptions!$B$6</f>
        <v>4.25833333333333</v>
      </c>
      <c r="W52" s="7" t="n">
        <f aca="false">SUMIFS(Doors!AI:AI,Doors!$A:$A,$D52,Doors!$B:$B,$B52,Doors!$C:$C,$C52)*SUMIFS(Velocity!$I:$I,Velocity!$A:$A,$A52,Velocity!$B:$B,$C52)/Assumptions!$B$4*Assumptions!$B$6</f>
        <v>5.17083333333333</v>
      </c>
      <c r="X52" s="7" t="n">
        <f aca="false">SUMIFS(Doors!AJ:AJ,Doors!$A:$A,$D52,Doors!$B:$B,$B52,Doors!$C:$C,$C52)*SUMIFS(Velocity!$I:$I,Velocity!$A:$A,$A52,Velocity!$B:$B,$C52)/Assumptions!$B$4*Assumptions!$B$6</f>
        <v>5.17083333333333</v>
      </c>
      <c r="Y52" s="7" t="n">
        <f aca="false">SUMIFS(Doors!AK:AK,Doors!$A:$A,$D52,Doors!$B:$B,$B52,Doors!$C:$C,$C52)*SUMIFS(Velocity!$I:$I,Velocity!$A:$A,$A52,Velocity!$B:$B,$C52)/Assumptions!$B$4*Assumptions!$B$6</f>
        <v>5.17083333333333</v>
      </c>
      <c r="Z52" s="7" t="n">
        <f aca="false">SUMIFS(Doors!AL:AL,Doors!$A:$A,$D52,Doors!$B:$B,$B52,Doors!$C:$C,$C52)*SUMIFS(Velocity!$I:$I,Velocity!$A:$A,$A52,Velocity!$B:$B,$C52)/Assumptions!$B$4*Assumptions!$B$6</f>
        <v>5.17083333333333</v>
      </c>
      <c r="AA52" s="7" t="n">
        <f aca="false">SUMIFS(Doors!AM:AM,Doors!$A:$A,$D52,Doors!$B:$B,$B52,Doors!$C:$C,$C52)*SUMIFS(Velocity!$I:$I,Velocity!$A:$A,$A52,Velocity!$B:$B,$C52)/Assumptions!$B$4*Assumptions!$B$6</f>
        <v>6.08333333333333</v>
      </c>
      <c r="AB52" s="7" t="n">
        <f aca="false">SUMIFS(Doors!AN:AN,Doors!$A:$A,$D52,Doors!$B:$B,$B52,Doors!$C:$C,$C52)*SUMIFS(Velocity!$I:$I,Velocity!$A:$A,$A52,Velocity!$B:$B,$C52)/Assumptions!$B$4*Assumptions!$B$6</f>
        <v>6.08333333333333</v>
      </c>
      <c r="AC52" s="7" t="n">
        <f aca="false">SUMIFS(Doors!AO:AO,Doors!$A:$A,$D52,Doors!$B:$B,$B52,Doors!$C:$C,$C52)*SUMIFS(Velocity!$I:$I,Velocity!$A:$A,$A52,Velocity!$B:$B,$C52)/Assumptions!$B$4*Assumptions!$B$6</f>
        <v>6.08333333333333</v>
      </c>
      <c r="AD52" s="7" t="n">
        <f aca="false">SUMIFS(Doors!AP:AP,Doors!$A:$A,$D52,Doors!$B:$B,$B52,Doors!$C:$C,$C52)*SUMIFS(Velocity!$I:$I,Velocity!$A:$A,$A52,Velocity!$B:$B,$C52)/Assumptions!$B$4*Assumptions!$B$6</f>
        <v>6.08333333333333</v>
      </c>
      <c r="AE52" s="7" t="n">
        <f aca="false">SUMIFS(Doors!AQ:AQ,Doors!$A:$A,$D52,Doors!$B:$B,$B52,Doors!$C:$C,$C52)*SUMIFS(Velocity!$I:$I,Velocity!$A:$A,$A52,Velocity!$B:$B,$C52)/Assumptions!$B$4*Assumptions!$B$6</f>
        <v>6.99583333333333</v>
      </c>
      <c r="AF52" s="7" t="n">
        <f aca="false">SUMIFS(Doors!AR:AR,Doors!$A:$A,$D52,Doors!$B:$B,$B52,Doors!$C:$C,$C52)*SUMIFS(Velocity!$I:$I,Velocity!$A:$A,$A52,Velocity!$B:$B,$C52)/Assumptions!$B$4*Assumptions!$B$6</f>
        <v>6.99583333333333</v>
      </c>
      <c r="AG52" s="7" t="n">
        <f aca="false">SUMIFS(Doors!AS:AS,Doors!$A:$A,$D52,Doors!$B:$B,$B52,Doors!$C:$C,$C52)*SUMIFS(Velocity!$I:$I,Velocity!$A:$A,$A52,Velocity!$B:$B,$C52)/Assumptions!$B$4*Assumptions!$B$6</f>
        <v>6.99583333333333</v>
      </c>
      <c r="AH52" s="7" t="n">
        <f aca="false">SUMIFS(Doors!AT:AT,Doors!$A:$A,$D52,Doors!$B:$B,$B52,Doors!$C:$C,$C52)*SUMIFS(Velocity!$I:$I,Velocity!$A:$A,$A52,Velocity!$B:$B,$C52)/Assumptions!$B$4*Assumptions!$B$6</f>
        <v>6.99583333333333</v>
      </c>
      <c r="AI52" s="7" t="n">
        <f aca="false">SUMIFS(Doors!AU:AU,Doors!$A:$A,$D52,Doors!$B:$B,$B52,Doors!$C:$C,$C52)*SUMIFS(Velocity!$I:$I,Velocity!$A:$A,$A52,Velocity!$B:$B,$C52)/Assumptions!$B$4*Assumptions!$B$6</f>
        <v>6.99583333333333</v>
      </c>
      <c r="AJ52" s="7" t="n">
        <f aca="false">SUMIFS(Doors!AV:AV,Doors!$A:$A,$D52,Doors!$B:$B,$B52,Doors!$C:$C,$C52)*SUMIFS(Velocity!$I:$I,Velocity!$A:$A,$A52,Velocity!$B:$B,$C52)/Assumptions!$B$4*Assumptions!$B$6</f>
        <v>7.60416666666667</v>
      </c>
      <c r="AK52" s="7" t="n">
        <f aca="false">SUMIFS(Doors!AW:AW,Doors!$A:$A,$D52,Doors!$B:$B,$B52,Doors!$C:$C,$C52)*SUMIFS(Velocity!$I:$I,Velocity!$A:$A,$A52,Velocity!$B:$B,$C52)/Assumptions!$B$4*Assumptions!$B$6</f>
        <v>7.60416666666667</v>
      </c>
      <c r="AL52" s="7" t="n">
        <f aca="false">SUMIFS(Doors!AX:AX,Doors!$A:$A,$D52,Doors!$B:$B,$B52,Doors!$C:$C,$C52)*SUMIFS(Velocity!$I:$I,Velocity!$A:$A,$A52,Velocity!$B:$B,$C52)/Assumptions!$B$4*Assumptions!$B$6</f>
        <v>7.60416666666667</v>
      </c>
      <c r="AM52" s="7" t="n">
        <f aca="false">SUMIFS(Doors!AY:AY,Doors!$A:$A,$D52,Doors!$B:$B,$B52,Doors!$C:$C,$C52)*SUMIFS(Velocity!$I:$I,Velocity!$A:$A,$A52,Velocity!$B:$B,$C52)/Assumptions!$B$4*Assumptions!$B$6</f>
        <v>7.60416666666667</v>
      </c>
      <c r="AN52" s="7" t="n">
        <f aca="false">SUMIFS(Doors!AZ:AZ,Doors!$A:$A,$D52,Doors!$B:$B,$B52,Doors!$C:$C,$C52)*SUMIFS(Velocity!$I:$I,Velocity!$A:$A,$A52,Velocity!$B:$B,$C52)/Assumptions!$B$4*Assumptions!$B$6</f>
        <v>8.51666666666667</v>
      </c>
      <c r="AO52" s="7" t="n">
        <f aca="false">SUMIFS(Doors!BA:BA,Doors!$A:$A,$D52,Doors!$B:$B,$B52,Doors!$C:$C,$C52)*SUMIFS(Velocity!$I:$I,Velocity!$A:$A,$A52,Velocity!$B:$B,$C52)/Assumptions!$B$4*Assumptions!$B$6</f>
        <v>8.51666666666667</v>
      </c>
      <c r="AP52" s="7" t="n">
        <f aca="false">SUMIFS(Doors!BB:BB,Doors!$A:$A,$D52,Doors!$B:$B,$B52,Doors!$C:$C,$C52)*SUMIFS(Velocity!$I:$I,Velocity!$A:$A,$A52,Velocity!$B:$B,$C52)/Assumptions!$B$4*Assumptions!$B$6</f>
        <v>8.51666666666667</v>
      </c>
      <c r="AQ52" s="7" t="n">
        <f aca="false">SUMIFS(Doors!BC:BC,Doors!$A:$A,$D52,Doors!$B:$B,$B52,Doors!$C:$C,$C52)*SUMIFS(Velocity!$I:$I,Velocity!$A:$A,$A52,Velocity!$B:$B,$C52)/Assumptions!$B$4*Assumptions!$B$6</f>
        <v>8.51666666666667</v>
      </c>
      <c r="AR52" s="7" t="n">
        <f aca="false">SUMIFS(Doors!BD:BD,Doors!$A:$A,$D52,Doors!$B:$B,$B52,Doors!$C:$C,$C52)*SUMIFS(Velocity!$I:$I,Velocity!$A:$A,$A52,Velocity!$B:$B,$C52)/Assumptions!$B$4*Assumptions!$B$6</f>
        <v>9.125</v>
      </c>
      <c r="AS52" s="7" t="n">
        <f aca="false">SUMIFS(Doors!BE:BE,Doors!$A:$A,$D52,Doors!$B:$B,$B52,Doors!$C:$C,$C52)*SUMIFS(Velocity!$I:$I,Velocity!$A:$A,$A52,Velocity!$B:$B,$C52)/Assumptions!$B$4*Assumptions!$B$6</f>
        <v>9.125</v>
      </c>
      <c r="AT52" s="7" t="n">
        <f aca="false">SUMIFS(Doors!BF:BF,Doors!$A:$A,$D52,Doors!$B:$B,$B52,Doors!$C:$C,$C52)*SUMIFS(Velocity!$I:$I,Velocity!$A:$A,$A52,Velocity!$B:$B,$C52)/Assumptions!$B$4*Assumptions!$B$6</f>
        <v>9.125</v>
      </c>
      <c r="AU52" s="7" t="n">
        <f aca="false">SUMIFS(Doors!BG:BG,Doors!$A:$A,$D52,Doors!$B:$B,$B52,Doors!$C:$C,$C52)*SUMIFS(Velocity!$I:$I,Velocity!$A:$A,$A52,Velocity!$B:$B,$C52)/Assumptions!$B$4*Assumptions!$B$6</f>
        <v>9.125</v>
      </c>
      <c r="AV52" s="7" t="n">
        <f aca="false">SUMIFS(Doors!BH:BH,Doors!$A:$A,$D52,Doors!$B:$B,$B52,Doors!$C:$C,$C52)*SUMIFS(Velocity!$I:$I,Velocity!$A:$A,$A52,Velocity!$B:$B,$C52)/Assumptions!$B$4*Assumptions!$B$6</f>
        <v>9.125</v>
      </c>
      <c r="AW52" s="7" t="n">
        <f aca="false">SUMIFS(Doors!BI:BI,Doors!$A:$A,$D52,Doors!$B:$B,$B52,Doors!$C:$C,$C52)*SUMIFS(Velocity!$I:$I,Velocity!$A:$A,$A52,Velocity!$B:$B,$C52)/Assumptions!$B$4*Assumptions!$B$6</f>
        <v>9.73333333333333</v>
      </c>
      <c r="AX52" s="7" t="n">
        <f aca="false">SUMIFS(Doors!BJ:BJ,Doors!$A:$A,$D52,Doors!$B:$B,$B52,Doors!$C:$C,$C52)*SUMIFS(Velocity!$I:$I,Velocity!$A:$A,$A52,Velocity!$B:$B,$C52)/Assumptions!$B$4*Assumptions!$B$6</f>
        <v>9.73333333333333</v>
      </c>
      <c r="AY52" s="7" t="n">
        <f aca="false">SUMIFS(Doors!BK:BK,Doors!$A:$A,$D52,Doors!$B:$B,$B52,Doors!$C:$C,$C52)*SUMIFS(Velocity!$I:$I,Velocity!$A:$A,$A52,Velocity!$B:$B,$C52)/Assumptions!$B$4*Assumptions!$B$6</f>
        <v>9.73333333333333</v>
      </c>
      <c r="AZ52" s="7" t="n">
        <f aca="false">SUMIFS(Doors!BL:BL,Doors!$A:$A,$D52,Doors!$B:$B,$B52,Doors!$C:$C,$C52)*SUMIFS(Velocity!$I:$I,Velocity!$A:$A,$A52,Velocity!$B:$B,$C52)/Assumptions!$B$4*Assumptions!$B$6</f>
        <v>9.73333333333333</v>
      </c>
      <c r="BA52" s="7" t="n">
        <f aca="false">SUMIFS(Doors!BM:BM,Doors!$A:$A,$D52,Doors!$B:$B,$B52,Doors!$C:$C,$C52)*SUMIFS(Velocity!$I:$I,Velocity!$A:$A,$A52,Velocity!$B:$B,$C52)/Assumptions!$B$4*Assumptions!$B$6</f>
        <v>9.73333333333333</v>
      </c>
      <c r="BB52" s="7" t="n">
        <f aca="false">SUMIFS(Doors!BN:BN,Doors!$A:$A,$D52,Doors!$B:$B,$B52,Doors!$C:$C,$C52)*SUMIFS(Velocity!$I:$I,Velocity!$A:$A,$A52,Velocity!$B:$B,$C52)/Assumptions!$B$4*Assumptions!$B$6</f>
        <v>9.73333333333333</v>
      </c>
      <c r="BC52" s="7" t="n">
        <f aca="false">SUMIFS(Doors!BO:BO,Doors!$A:$A,$D52,Doors!$B:$B,$B52,Doors!$C:$C,$C52)*SUMIFS(Velocity!$I:$I,Velocity!$A:$A,$A52,Velocity!$B:$B,$C52)/Assumptions!$B$4*Assumptions!$B$6</f>
        <v>9.73333333333333</v>
      </c>
      <c r="BD52" s="7" t="n">
        <f aca="false">SUMIFS(Doors!BP:BP,Doors!$A:$A,$D52,Doors!$B:$B,$B52,Doors!$C:$C,$C52)*SUMIFS(Velocity!$I:$I,Velocity!$A:$A,$A52,Velocity!$B:$B,$C52)/Assumptions!$B$4*Assumptions!$B$6</f>
        <v>9.73333333333333</v>
      </c>
    </row>
    <row r="53" customFormat="false" ht="15" hidden="false" customHeight="false" outlineLevel="0" collapsed="false">
      <c r="A53" s="0" t="s">
        <v>108</v>
      </c>
      <c r="B53" s="0" t="s">
        <v>131</v>
      </c>
      <c r="C53" s="0" t="s">
        <v>117</v>
      </c>
      <c r="D53" s="0" t="s">
        <v>235</v>
      </c>
      <c r="E53" s="7" t="n">
        <f aca="false">SUMIFS(Doors!Q:Q,Doors!$A:$A,$D53,Doors!$B:$B,$B53,Doors!$C:$C,$C53)*SUMIFS(Velocity!$I:$I,Velocity!$A:$A,$A53,Velocity!$B:$B,$C53)/Assumptions!$B$4*Assumptions!$B$6</f>
        <v>0</v>
      </c>
      <c r="F53" s="7" t="n">
        <f aca="false">SUMIFS(Doors!R:R,Doors!$A:$A,$D53,Doors!$B:$B,$B53,Doors!$C:$C,$C53)*SUMIFS(Velocity!$I:$I,Velocity!$A:$A,$A53,Velocity!$B:$B,$C53)/Assumptions!$B$4*Assumptions!$B$6</f>
        <v>0</v>
      </c>
      <c r="G53" s="7" t="n">
        <f aca="false">SUMIFS(Doors!S:S,Doors!$A:$A,$D53,Doors!$B:$B,$B53,Doors!$C:$C,$C53)*SUMIFS(Velocity!$I:$I,Velocity!$A:$A,$A53,Velocity!$B:$B,$C53)/Assumptions!$B$4*Assumptions!$B$6</f>
        <v>0</v>
      </c>
      <c r="H53" s="7" t="n">
        <f aca="false">SUMIFS(Doors!T:T,Doors!$A:$A,$D53,Doors!$B:$B,$B53,Doors!$C:$C,$C53)*SUMIFS(Velocity!$I:$I,Velocity!$A:$A,$A53,Velocity!$B:$B,$C53)/Assumptions!$B$4*Assumptions!$B$6</f>
        <v>0</v>
      </c>
      <c r="I53" s="7" t="n">
        <f aca="false">SUMIFS(Doors!U:U,Doors!$A:$A,$D53,Doors!$B:$B,$B53,Doors!$C:$C,$C53)*SUMIFS(Velocity!$I:$I,Velocity!$A:$A,$A53,Velocity!$B:$B,$C53)/Assumptions!$B$4*Assumptions!$B$6</f>
        <v>0</v>
      </c>
      <c r="J53" s="7" t="n">
        <f aca="false">SUMIFS(Doors!V:V,Doors!$A:$A,$D53,Doors!$B:$B,$B53,Doors!$C:$C,$C53)*SUMIFS(Velocity!$I:$I,Velocity!$A:$A,$A53,Velocity!$B:$B,$C53)/Assumptions!$B$4*Assumptions!$B$6</f>
        <v>0</v>
      </c>
      <c r="K53" s="7" t="n">
        <f aca="false">SUMIFS(Doors!W:W,Doors!$A:$A,$D53,Doors!$B:$B,$B53,Doors!$C:$C,$C53)*SUMIFS(Velocity!$I:$I,Velocity!$A:$A,$A53,Velocity!$B:$B,$C53)/Assumptions!$B$4*Assumptions!$B$6</f>
        <v>0</v>
      </c>
      <c r="L53" s="7" t="n">
        <f aca="false">SUMIFS(Doors!X:X,Doors!$A:$A,$D53,Doors!$B:$B,$B53,Doors!$C:$C,$C53)*SUMIFS(Velocity!$I:$I,Velocity!$A:$A,$A53,Velocity!$B:$B,$C53)/Assumptions!$B$4*Assumptions!$B$6</f>
        <v>0</v>
      </c>
      <c r="M53" s="7" t="n">
        <f aca="false">SUMIFS(Doors!Y:Y,Doors!$A:$A,$D53,Doors!$B:$B,$B53,Doors!$C:$C,$C53)*SUMIFS(Velocity!$I:$I,Velocity!$A:$A,$A53,Velocity!$B:$B,$C53)/Assumptions!$B$4*Assumptions!$B$6</f>
        <v>0</v>
      </c>
      <c r="N53" s="7" t="n">
        <f aca="false">SUMIFS(Doors!Z:Z,Doors!$A:$A,$D53,Doors!$B:$B,$B53,Doors!$C:$C,$C53)*SUMIFS(Velocity!$I:$I,Velocity!$A:$A,$A53,Velocity!$B:$B,$C53)/Assumptions!$B$4*Assumptions!$B$6</f>
        <v>0</v>
      </c>
      <c r="O53" s="7" t="n">
        <f aca="false">SUMIFS(Doors!AA:AA,Doors!$A:$A,$D53,Doors!$B:$B,$B53,Doors!$C:$C,$C53)*SUMIFS(Velocity!$I:$I,Velocity!$A:$A,$A53,Velocity!$B:$B,$C53)/Assumptions!$B$4*Assumptions!$B$6</f>
        <v>0</v>
      </c>
      <c r="P53" s="7" t="n">
        <f aca="false">SUMIFS(Doors!AB:AB,Doors!$A:$A,$D53,Doors!$B:$B,$B53,Doors!$C:$C,$C53)*SUMIFS(Velocity!$I:$I,Velocity!$A:$A,$A53,Velocity!$B:$B,$C53)/Assumptions!$B$4*Assumptions!$B$6</f>
        <v>0</v>
      </c>
      <c r="Q53" s="7" t="n">
        <f aca="false">SUMIFS(Doors!AC:AC,Doors!$A:$A,$D53,Doors!$B:$B,$B53,Doors!$C:$C,$C53)*SUMIFS(Velocity!$I:$I,Velocity!$A:$A,$A53,Velocity!$B:$B,$C53)/Assumptions!$B$4*Assumptions!$B$6</f>
        <v>0</v>
      </c>
      <c r="R53" s="7" t="n">
        <f aca="false">SUMIFS(Doors!AD:AD,Doors!$A:$A,$D53,Doors!$B:$B,$B53,Doors!$C:$C,$C53)*SUMIFS(Velocity!$I:$I,Velocity!$A:$A,$A53,Velocity!$B:$B,$C53)/Assumptions!$B$4*Assumptions!$B$6</f>
        <v>3.14583333333333</v>
      </c>
      <c r="S53" s="7" t="n">
        <f aca="false">SUMIFS(Doors!AE:AE,Doors!$A:$A,$D53,Doors!$B:$B,$B53,Doors!$C:$C,$C53)*SUMIFS(Velocity!$I:$I,Velocity!$A:$A,$A53,Velocity!$B:$B,$C53)/Assumptions!$B$4*Assumptions!$B$6</f>
        <v>3.14583333333333</v>
      </c>
      <c r="T53" s="7" t="n">
        <f aca="false">SUMIFS(Doors!AF:AF,Doors!$A:$A,$D53,Doors!$B:$B,$B53,Doors!$C:$C,$C53)*SUMIFS(Velocity!$I:$I,Velocity!$A:$A,$A53,Velocity!$B:$B,$C53)/Assumptions!$B$4*Assumptions!$B$6</f>
        <v>3.14583333333333</v>
      </c>
      <c r="U53" s="7" t="n">
        <f aca="false">SUMIFS(Doors!AG:AG,Doors!$A:$A,$D53,Doors!$B:$B,$B53,Doors!$C:$C,$C53)*SUMIFS(Velocity!$I:$I,Velocity!$A:$A,$A53,Velocity!$B:$B,$C53)/Assumptions!$B$4*Assumptions!$B$6</f>
        <v>3.14583333333333</v>
      </c>
      <c r="V53" s="7" t="n">
        <f aca="false">SUMIFS(Doors!AH:AH,Doors!$A:$A,$D53,Doors!$B:$B,$B53,Doors!$C:$C,$C53)*SUMIFS(Velocity!$I:$I,Velocity!$A:$A,$A53,Velocity!$B:$B,$C53)/Assumptions!$B$4*Assumptions!$B$6</f>
        <v>3.14583333333333</v>
      </c>
      <c r="W53" s="7" t="n">
        <f aca="false">SUMIFS(Doors!AI:AI,Doors!$A:$A,$D53,Doors!$B:$B,$B53,Doors!$C:$C,$C53)*SUMIFS(Velocity!$I:$I,Velocity!$A:$A,$A53,Velocity!$B:$B,$C53)/Assumptions!$B$4*Assumptions!$B$6</f>
        <v>5.03333333333333</v>
      </c>
      <c r="X53" s="7" t="n">
        <f aca="false">SUMIFS(Doors!AJ:AJ,Doors!$A:$A,$D53,Doors!$B:$B,$B53,Doors!$C:$C,$C53)*SUMIFS(Velocity!$I:$I,Velocity!$A:$A,$A53,Velocity!$B:$B,$C53)/Assumptions!$B$4*Assumptions!$B$6</f>
        <v>5.03333333333333</v>
      </c>
      <c r="Y53" s="7" t="n">
        <f aca="false">SUMIFS(Doors!AK:AK,Doors!$A:$A,$D53,Doors!$B:$B,$B53,Doors!$C:$C,$C53)*SUMIFS(Velocity!$I:$I,Velocity!$A:$A,$A53,Velocity!$B:$B,$C53)/Assumptions!$B$4*Assumptions!$B$6</f>
        <v>5.03333333333333</v>
      </c>
      <c r="Z53" s="7" t="n">
        <f aca="false">SUMIFS(Doors!AL:AL,Doors!$A:$A,$D53,Doors!$B:$B,$B53,Doors!$C:$C,$C53)*SUMIFS(Velocity!$I:$I,Velocity!$A:$A,$A53,Velocity!$B:$B,$C53)/Assumptions!$B$4*Assumptions!$B$6</f>
        <v>5.03333333333333</v>
      </c>
      <c r="AA53" s="7" t="n">
        <f aca="false">SUMIFS(Doors!AM:AM,Doors!$A:$A,$D53,Doors!$B:$B,$B53,Doors!$C:$C,$C53)*SUMIFS(Velocity!$I:$I,Velocity!$A:$A,$A53,Velocity!$B:$B,$C53)/Assumptions!$B$4*Assumptions!$B$6</f>
        <v>7.55</v>
      </c>
      <c r="AB53" s="7" t="n">
        <f aca="false">SUMIFS(Doors!AN:AN,Doors!$A:$A,$D53,Doors!$B:$B,$B53,Doors!$C:$C,$C53)*SUMIFS(Velocity!$I:$I,Velocity!$A:$A,$A53,Velocity!$B:$B,$C53)/Assumptions!$B$4*Assumptions!$B$6</f>
        <v>7.55</v>
      </c>
      <c r="AC53" s="7" t="n">
        <f aca="false">SUMIFS(Doors!AO:AO,Doors!$A:$A,$D53,Doors!$B:$B,$B53,Doors!$C:$C,$C53)*SUMIFS(Velocity!$I:$I,Velocity!$A:$A,$A53,Velocity!$B:$B,$C53)/Assumptions!$B$4*Assumptions!$B$6</f>
        <v>7.55</v>
      </c>
      <c r="AD53" s="7" t="n">
        <f aca="false">SUMIFS(Doors!AP:AP,Doors!$A:$A,$D53,Doors!$B:$B,$B53,Doors!$C:$C,$C53)*SUMIFS(Velocity!$I:$I,Velocity!$A:$A,$A53,Velocity!$B:$B,$C53)/Assumptions!$B$4*Assumptions!$B$6</f>
        <v>7.55</v>
      </c>
      <c r="AE53" s="7" t="n">
        <f aca="false">SUMIFS(Doors!AQ:AQ,Doors!$A:$A,$D53,Doors!$B:$B,$B53,Doors!$C:$C,$C53)*SUMIFS(Velocity!$I:$I,Velocity!$A:$A,$A53,Velocity!$B:$B,$C53)/Assumptions!$B$4*Assumptions!$B$6</f>
        <v>9.4375</v>
      </c>
      <c r="AF53" s="7" t="n">
        <f aca="false">SUMIFS(Doors!AR:AR,Doors!$A:$A,$D53,Doors!$B:$B,$B53,Doors!$C:$C,$C53)*SUMIFS(Velocity!$I:$I,Velocity!$A:$A,$A53,Velocity!$B:$B,$C53)/Assumptions!$B$4*Assumptions!$B$6</f>
        <v>9.4375</v>
      </c>
      <c r="AG53" s="7" t="n">
        <f aca="false">SUMIFS(Doors!AS:AS,Doors!$A:$A,$D53,Doors!$B:$B,$B53,Doors!$C:$C,$C53)*SUMIFS(Velocity!$I:$I,Velocity!$A:$A,$A53,Velocity!$B:$B,$C53)/Assumptions!$B$4*Assumptions!$B$6</f>
        <v>9.4375</v>
      </c>
      <c r="AH53" s="7" t="n">
        <f aca="false">SUMIFS(Doors!AT:AT,Doors!$A:$A,$D53,Doors!$B:$B,$B53,Doors!$C:$C,$C53)*SUMIFS(Velocity!$I:$I,Velocity!$A:$A,$A53,Velocity!$B:$B,$C53)/Assumptions!$B$4*Assumptions!$B$6</f>
        <v>9.4375</v>
      </c>
      <c r="AI53" s="7" t="n">
        <f aca="false">SUMIFS(Doors!AU:AU,Doors!$A:$A,$D53,Doors!$B:$B,$B53,Doors!$C:$C,$C53)*SUMIFS(Velocity!$I:$I,Velocity!$A:$A,$A53,Velocity!$B:$B,$C53)/Assumptions!$B$4*Assumptions!$B$6</f>
        <v>9.4375</v>
      </c>
      <c r="AJ53" s="7" t="n">
        <f aca="false">SUMIFS(Doors!AV:AV,Doors!$A:$A,$D53,Doors!$B:$B,$B53,Doors!$C:$C,$C53)*SUMIFS(Velocity!$I:$I,Velocity!$A:$A,$A53,Velocity!$B:$B,$C53)/Assumptions!$B$4*Assumptions!$B$6</f>
        <v>11.325</v>
      </c>
      <c r="AK53" s="7" t="n">
        <f aca="false">SUMIFS(Doors!AW:AW,Doors!$A:$A,$D53,Doors!$B:$B,$B53,Doors!$C:$C,$C53)*SUMIFS(Velocity!$I:$I,Velocity!$A:$A,$A53,Velocity!$B:$B,$C53)/Assumptions!$B$4*Assumptions!$B$6</f>
        <v>11.325</v>
      </c>
      <c r="AL53" s="7" t="n">
        <f aca="false">SUMIFS(Doors!AX:AX,Doors!$A:$A,$D53,Doors!$B:$B,$B53,Doors!$C:$C,$C53)*SUMIFS(Velocity!$I:$I,Velocity!$A:$A,$A53,Velocity!$B:$B,$C53)/Assumptions!$B$4*Assumptions!$B$6</f>
        <v>11.325</v>
      </c>
      <c r="AM53" s="7" t="n">
        <f aca="false">SUMIFS(Doors!AY:AY,Doors!$A:$A,$D53,Doors!$B:$B,$B53,Doors!$C:$C,$C53)*SUMIFS(Velocity!$I:$I,Velocity!$A:$A,$A53,Velocity!$B:$B,$C53)/Assumptions!$B$4*Assumptions!$B$6</f>
        <v>11.325</v>
      </c>
      <c r="AN53" s="7" t="n">
        <f aca="false">SUMIFS(Doors!AZ:AZ,Doors!$A:$A,$D53,Doors!$B:$B,$B53,Doors!$C:$C,$C53)*SUMIFS(Velocity!$I:$I,Velocity!$A:$A,$A53,Velocity!$B:$B,$C53)/Assumptions!$B$4*Assumptions!$B$6</f>
        <v>12.5833333333333</v>
      </c>
      <c r="AO53" s="7" t="n">
        <f aca="false">SUMIFS(Doors!BA:BA,Doors!$A:$A,$D53,Doors!$B:$B,$B53,Doors!$C:$C,$C53)*SUMIFS(Velocity!$I:$I,Velocity!$A:$A,$A53,Velocity!$B:$B,$C53)/Assumptions!$B$4*Assumptions!$B$6</f>
        <v>12.5833333333333</v>
      </c>
      <c r="AP53" s="7" t="n">
        <f aca="false">SUMIFS(Doors!BB:BB,Doors!$A:$A,$D53,Doors!$B:$B,$B53,Doors!$C:$C,$C53)*SUMIFS(Velocity!$I:$I,Velocity!$A:$A,$A53,Velocity!$B:$B,$C53)/Assumptions!$B$4*Assumptions!$B$6</f>
        <v>12.5833333333333</v>
      </c>
      <c r="AQ53" s="7" t="n">
        <f aca="false">SUMIFS(Doors!BC:BC,Doors!$A:$A,$D53,Doors!$B:$B,$B53,Doors!$C:$C,$C53)*SUMIFS(Velocity!$I:$I,Velocity!$A:$A,$A53,Velocity!$B:$B,$C53)/Assumptions!$B$4*Assumptions!$B$6</f>
        <v>12.5833333333333</v>
      </c>
      <c r="AR53" s="7" t="n">
        <f aca="false">SUMIFS(Doors!BD:BD,Doors!$A:$A,$D53,Doors!$B:$B,$B53,Doors!$C:$C,$C53)*SUMIFS(Velocity!$I:$I,Velocity!$A:$A,$A53,Velocity!$B:$B,$C53)/Assumptions!$B$4*Assumptions!$B$6</f>
        <v>13.8416666666667</v>
      </c>
      <c r="AS53" s="7" t="n">
        <f aca="false">SUMIFS(Doors!BE:BE,Doors!$A:$A,$D53,Doors!$B:$B,$B53,Doors!$C:$C,$C53)*SUMIFS(Velocity!$I:$I,Velocity!$A:$A,$A53,Velocity!$B:$B,$C53)/Assumptions!$B$4*Assumptions!$B$6</f>
        <v>13.8416666666667</v>
      </c>
      <c r="AT53" s="7" t="n">
        <f aca="false">SUMIFS(Doors!BF:BF,Doors!$A:$A,$D53,Doors!$B:$B,$B53,Doors!$C:$C,$C53)*SUMIFS(Velocity!$I:$I,Velocity!$A:$A,$A53,Velocity!$B:$B,$C53)/Assumptions!$B$4*Assumptions!$B$6</f>
        <v>13.8416666666667</v>
      </c>
      <c r="AU53" s="7" t="n">
        <f aca="false">SUMIFS(Doors!BG:BG,Doors!$A:$A,$D53,Doors!$B:$B,$B53,Doors!$C:$C,$C53)*SUMIFS(Velocity!$I:$I,Velocity!$A:$A,$A53,Velocity!$B:$B,$C53)/Assumptions!$B$4*Assumptions!$B$6</f>
        <v>13.8416666666667</v>
      </c>
      <c r="AV53" s="7" t="n">
        <f aca="false">SUMIFS(Doors!BH:BH,Doors!$A:$A,$D53,Doors!$B:$B,$B53,Doors!$C:$C,$C53)*SUMIFS(Velocity!$I:$I,Velocity!$A:$A,$A53,Velocity!$B:$B,$C53)/Assumptions!$B$4*Assumptions!$B$6</f>
        <v>13.8416666666667</v>
      </c>
      <c r="AW53" s="7" t="n">
        <f aca="false">SUMIFS(Doors!BI:BI,Doors!$A:$A,$D53,Doors!$B:$B,$B53,Doors!$C:$C,$C53)*SUMIFS(Velocity!$I:$I,Velocity!$A:$A,$A53,Velocity!$B:$B,$C53)/Assumptions!$B$4*Assumptions!$B$6</f>
        <v>14.4708333333333</v>
      </c>
      <c r="AX53" s="7" t="n">
        <f aca="false">SUMIFS(Doors!BJ:BJ,Doors!$A:$A,$D53,Doors!$B:$B,$B53,Doors!$C:$C,$C53)*SUMIFS(Velocity!$I:$I,Velocity!$A:$A,$A53,Velocity!$B:$B,$C53)/Assumptions!$B$4*Assumptions!$B$6</f>
        <v>14.4708333333333</v>
      </c>
      <c r="AY53" s="7" t="n">
        <f aca="false">SUMIFS(Doors!BK:BK,Doors!$A:$A,$D53,Doors!$B:$B,$B53,Doors!$C:$C,$C53)*SUMIFS(Velocity!$I:$I,Velocity!$A:$A,$A53,Velocity!$B:$B,$C53)/Assumptions!$B$4*Assumptions!$B$6</f>
        <v>14.4708333333333</v>
      </c>
      <c r="AZ53" s="7" t="n">
        <f aca="false">SUMIFS(Doors!BL:BL,Doors!$A:$A,$D53,Doors!$B:$B,$B53,Doors!$C:$C,$C53)*SUMIFS(Velocity!$I:$I,Velocity!$A:$A,$A53,Velocity!$B:$B,$C53)/Assumptions!$B$4*Assumptions!$B$6</f>
        <v>14.4708333333333</v>
      </c>
      <c r="BA53" s="7" t="n">
        <f aca="false">SUMIFS(Doors!BM:BM,Doors!$A:$A,$D53,Doors!$B:$B,$B53,Doors!$C:$C,$C53)*SUMIFS(Velocity!$I:$I,Velocity!$A:$A,$A53,Velocity!$B:$B,$C53)/Assumptions!$B$4*Assumptions!$B$6</f>
        <v>15.7291666666667</v>
      </c>
      <c r="BB53" s="7" t="n">
        <f aca="false">SUMIFS(Doors!BN:BN,Doors!$A:$A,$D53,Doors!$B:$B,$B53,Doors!$C:$C,$C53)*SUMIFS(Velocity!$I:$I,Velocity!$A:$A,$A53,Velocity!$B:$B,$C53)/Assumptions!$B$4*Assumptions!$B$6</f>
        <v>15.7291666666667</v>
      </c>
      <c r="BC53" s="7" t="n">
        <f aca="false">SUMIFS(Doors!BO:BO,Doors!$A:$A,$D53,Doors!$B:$B,$B53,Doors!$C:$C,$C53)*SUMIFS(Velocity!$I:$I,Velocity!$A:$A,$A53,Velocity!$B:$B,$C53)/Assumptions!$B$4*Assumptions!$B$6</f>
        <v>15.7291666666667</v>
      </c>
      <c r="BD53" s="7" t="n">
        <f aca="false">SUMIFS(Doors!BP:BP,Doors!$A:$A,$D53,Doors!$B:$B,$B53,Doors!$C:$C,$C53)*SUMIFS(Velocity!$I:$I,Velocity!$A:$A,$A53,Velocity!$B:$B,$C53)/Assumptions!$B$4*Assumptions!$B$6</f>
        <v>15.7291666666667</v>
      </c>
    </row>
    <row r="54" customFormat="false" ht="15" hidden="false" customHeight="false" outlineLevel="0" collapsed="false">
      <c r="A54" s="0" t="s">
        <v>108</v>
      </c>
      <c r="B54" s="0" t="s">
        <v>131</v>
      </c>
      <c r="C54" s="0" t="s">
        <v>118</v>
      </c>
      <c r="D54" s="0" t="s">
        <v>235</v>
      </c>
      <c r="E54" s="7" t="n">
        <f aca="false">SUMIFS(Doors!Q:Q,Doors!$A:$A,$D54,Doors!$B:$B,$B54,Doors!$C:$C,$C54)*SUMIFS(Velocity!$I:$I,Velocity!$A:$A,$A54,Velocity!$B:$B,$C54)/Assumptions!$B$4*Assumptions!$B$6</f>
        <v>0</v>
      </c>
      <c r="F54" s="7" t="n">
        <f aca="false">SUMIFS(Doors!R:R,Doors!$A:$A,$D54,Doors!$B:$B,$B54,Doors!$C:$C,$C54)*SUMIFS(Velocity!$I:$I,Velocity!$A:$A,$A54,Velocity!$B:$B,$C54)/Assumptions!$B$4*Assumptions!$B$6</f>
        <v>0</v>
      </c>
      <c r="G54" s="7" t="n">
        <f aca="false">SUMIFS(Doors!S:S,Doors!$A:$A,$D54,Doors!$B:$B,$B54,Doors!$C:$C,$C54)*SUMIFS(Velocity!$I:$I,Velocity!$A:$A,$A54,Velocity!$B:$B,$C54)/Assumptions!$B$4*Assumptions!$B$6</f>
        <v>0</v>
      </c>
      <c r="H54" s="7" t="n">
        <f aca="false">SUMIFS(Doors!T:T,Doors!$A:$A,$D54,Doors!$B:$B,$B54,Doors!$C:$C,$C54)*SUMIFS(Velocity!$I:$I,Velocity!$A:$A,$A54,Velocity!$B:$B,$C54)/Assumptions!$B$4*Assumptions!$B$6</f>
        <v>0</v>
      </c>
      <c r="I54" s="7" t="n">
        <f aca="false">SUMIFS(Doors!U:U,Doors!$A:$A,$D54,Doors!$B:$B,$B54,Doors!$C:$C,$C54)*SUMIFS(Velocity!$I:$I,Velocity!$A:$A,$A54,Velocity!$B:$B,$C54)/Assumptions!$B$4*Assumptions!$B$6</f>
        <v>0</v>
      </c>
      <c r="J54" s="7" t="n">
        <f aca="false">SUMIFS(Doors!V:V,Doors!$A:$A,$D54,Doors!$B:$B,$B54,Doors!$C:$C,$C54)*SUMIFS(Velocity!$I:$I,Velocity!$A:$A,$A54,Velocity!$B:$B,$C54)/Assumptions!$B$4*Assumptions!$B$6</f>
        <v>0</v>
      </c>
      <c r="K54" s="7" t="n">
        <f aca="false">SUMIFS(Doors!W:W,Doors!$A:$A,$D54,Doors!$B:$B,$B54,Doors!$C:$C,$C54)*SUMIFS(Velocity!$I:$I,Velocity!$A:$A,$A54,Velocity!$B:$B,$C54)/Assumptions!$B$4*Assumptions!$B$6</f>
        <v>0</v>
      </c>
      <c r="L54" s="7" t="n">
        <f aca="false">SUMIFS(Doors!X:X,Doors!$A:$A,$D54,Doors!$B:$B,$B54,Doors!$C:$C,$C54)*SUMIFS(Velocity!$I:$I,Velocity!$A:$A,$A54,Velocity!$B:$B,$C54)/Assumptions!$B$4*Assumptions!$B$6</f>
        <v>0</v>
      </c>
      <c r="M54" s="7" t="n">
        <f aca="false">SUMIFS(Doors!Y:Y,Doors!$A:$A,$D54,Doors!$B:$B,$B54,Doors!$C:$C,$C54)*SUMIFS(Velocity!$I:$I,Velocity!$A:$A,$A54,Velocity!$B:$B,$C54)/Assumptions!$B$4*Assumptions!$B$6</f>
        <v>0</v>
      </c>
      <c r="N54" s="7" t="n">
        <f aca="false">SUMIFS(Doors!Z:Z,Doors!$A:$A,$D54,Doors!$B:$B,$B54,Doors!$C:$C,$C54)*SUMIFS(Velocity!$I:$I,Velocity!$A:$A,$A54,Velocity!$B:$B,$C54)/Assumptions!$B$4*Assumptions!$B$6</f>
        <v>0</v>
      </c>
      <c r="O54" s="7" t="n">
        <f aca="false">SUMIFS(Doors!AA:AA,Doors!$A:$A,$D54,Doors!$B:$B,$B54,Doors!$C:$C,$C54)*SUMIFS(Velocity!$I:$I,Velocity!$A:$A,$A54,Velocity!$B:$B,$C54)/Assumptions!$B$4*Assumptions!$B$6</f>
        <v>0</v>
      </c>
      <c r="P54" s="7" t="n">
        <f aca="false">SUMIFS(Doors!AB:AB,Doors!$A:$A,$D54,Doors!$B:$B,$B54,Doors!$C:$C,$C54)*SUMIFS(Velocity!$I:$I,Velocity!$A:$A,$A54,Velocity!$B:$B,$C54)/Assumptions!$B$4*Assumptions!$B$6</f>
        <v>0</v>
      </c>
      <c r="Q54" s="7" t="n">
        <f aca="false">SUMIFS(Doors!AC:AC,Doors!$A:$A,$D54,Doors!$B:$B,$B54,Doors!$C:$C,$C54)*SUMIFS(Velocity!$I:$I,Velocity!$A:$A,$A54,Velocity!$B:$B,$C54)/Assumptions!$B$4*Assumptions!$B$6</f>
        <v>0</v>
      </c>
      <c r="R54" s="7" t="n">
        <f aca="false">SUMIFS(Doors!AD:AD,Doors!$A:$A,$D54,Doors!$B:$B,$B54,Doors!$C:$C,$C54)*SUMIFS(Velocity!$I:$I,Velocity!$A:$A,$A54,Velocity!$B:$B,$C54)/Assumptions!$B$4*Assumptions!$B$6</f>
        <v>0</v>
      </c>
      <c r="S54" s="7" t="n">
        <f aca="false">SUMIFS(Doors!AE:AE,Doors!$A:$A,$D54,Doors!$B:$B,$B54,Doors!$C:$C,$C54)*SUMIFS(Velocity!$I:$I,Velocity!$A:$A,$A54,Velocity!$B:$B,$C54)/Assumptions!$B$4*Assumptions!$B$6</f>
        <v>0</v>
      </c>
      <c r="T54" s="7" t="n">
        <f aca="false">SUMIFS(Doors!AF:AF,Doors!$A:$A,$D54,Doors!$B:$B,$B54,Doors!$C:$C,$C54)*SUMIFS(Velocity!$I:$I,Velocity!$A:$A,$A54,Velocity!$B:$B,$C54)/Assumptions!$B$4*Assumptions!$B$6</f>
        <v>0</v>
      </c>
      <c r="U54" s="7" t="n">
        <f aca="false">SUMIFS(Doors!AG:AG,Doors!$A:$A,$D54,Doors!$B:$B,$B54,Doors!$C:$C,$C54)*SUMIFS(Velocity!$I:$I,Velocity!$A:$A,$A54,Velocity!$B:$B,$C54)/Assumptions!$B$4*Assumptions!$B$6</f>
        <v>0</v>
      </c>
      <c r="V54" s="7" t="n">
        <f aca="false">SUMIFS(Doors!AH:AH,Doors!$A:$A,$D54,Doors!$B:$B,$B54,Doors!$C:$C,$C54)*SUMIFS(Velocity!$I:$I,Velocity!$A:$A,$A54,Velocity!$B:$B,$C54)/Assumptions!$B$4*Assumptions!$B$6</f>
        <v>0</v>
      </c>
      <c r="W54" s="7" t="n">
        <f aca="false">SUMIFS(Doors!AI:AI,Doors!$A:$A,$D54,Doors!$B:$B,$B54,Doors!$C:$C,$C54)*SUMIFS(Velocity!$I:$I,Velocity!$A:$A,$A54,Velocity!$B:$B,$C54)/Assumptions!$B$4*Assumptions!$B$6</f>
        <v>0</v>
      </c>
      <c r="X54" s="7" t="n">
        <f aca="false">SUMIFS(Doors!AJ:AJ,Doors!$A:$A,$D54,Doors!$B:$B,$B54,Doors!$C:$C,$C54)*SUMIFS(Velocity!$I:$I,Velocity!$A:$A,$A54,Velocity!$B:$B,$C54)/Assumptions!$B$4*Assumptions!$B$6</f>
        <v>0</v>
      </c>
      <c r="Y54" s="7" t="n">
        <f aca="false">SUMIFS(Doors!AK:AK,Doors!$A:$A,$D54,Doors!$B:$B,$B54,Doors!$C:$C,$C54)*SUMIFS(Velocity!$I:$I,Velocity!$A:$A,$A54,Velocity!$B:$B,$C54)/Assumptions!$B$4*Assumptions!$B$6</f>
        <v>0</v>
      </c>
      <c r="Z54" s="7" t="n">
        <f aca="false">SUMIFS(Doors!AL:AL,Doors!$A:$A,$D54,Doors!$B:$B,$B54,Doors!$C:$C,$C54)*SUMIFS(Velocity!$I:$I,Velocity!$A:$A,$A54,Velocity!$B:$B,$C54)/Assumptions!$B$4*Assumptions!$B$6</f>
        <v>0</v>
      </c>
      <c r="AA54" s="7" t="n">
        <f aca="false">SUMIFS(Doors!AM:AM,Doors!$A:$A,$D54,Doors!$B:$B,$B54,Doors!$C:$C,$C54)*SUMIFS(Velocity!$I:$I,Velocity!$A:$A,$A54,Velocity!$B:$B,$C54)/Assumptions!$B$4*Assumptions!$B$6</f>
        <v>0</v>
      </c>
      <c r="AB54" s="7" t="n">
        <f aca="false">SUMIFS(Doors!AN:AN,Doors!$A:$A,$D54,Doors!$B:$B,$B54,Doors!$C:$C,$C54)*SUMIFS(Velocity!$I:$I,Velocity!$A:$A,$A54,Velocity!$B:$B,$C54)/Assumptions!$B$4*Assumptions!$B$6</f>
        <v>0</v>
      </c>
      <c r="AC54" s="7" t="n">
        <f aca="false">SUMIFS(Doors!AO:AO,Doors!$A:$A,$D54,Doors!$B:$B,$B54,Doors!$C:$C,$C54)*SUMIFS(Velocity!$I:$I,Velocity!$A:$A,$A54,Velocity!$B:$B,$C54)/Assumptions!$B$4*Assumptions!$B$6</f>
        <v>0</v>
      </c>
      <c r="AD54" s="7" t="n">
        <f aca="false">SUMIFS(Doors!AP:AP,Doors!$A:$A,$D54,Doors!$B:$B,$B54,Doors!$C:$C,$C54)*SUMIFS(Velocity!$I:$I,Velocity!$A:$A,$A54,Velocity!$B:$B,$C54)/Assumptions!$B$4*Assumptions!$B$6</f>
        <v>0</v>
      </c>
      <c r="AE54" s="7" t="n">
        <f aca="false">SUMIFS(Doors!AQ:AQ,Doors!$A:$A,$D54,Doors!$B:$B,$B54,Doors!$C:$C,$C54)*SUMIFS(Velocity!$I:$I,Velocity!$A:$A,$A54,Velocity!$B:$B,$C54)/Assumptions!$B$4*Assumptions!$B$6</f>
        <v>0</v>
      </c>
      <c r="AF54" s="7" t="n">
        <f aca="false">SUMIFS(Doors!AR:AR,Doors!$A:$A,$D54,Doors!$B:$B,$B54,Doors!$C:$C,$C54)*SUMIFS(Velocity!$I:$I,Velocity!$A:$A,$A54,Velocity!$B:$B,$C54)/Assumptions!$B$4*Assumptions!$B$6</f>
        <v>0</v>
      </c>
      <c r="AG54" s="7" t="n">
        <f aca="false">SUMIFS(Doors!AS:AS,Doors!$A:$A,$D54,Doors!$B:$B,$B54,Doors!$C:$C,$C54)*SUMIFS(Velocity!$I:$I,Velocity!$A:$A,$A54,Velocity!$B:$B,$C54)/Assumptions!$B$4*Assumptions!$B$6</f>
        <v>0</v>
      </c>
      <c r="AH54" s="7" t="n">
        <f aca="false">SUMIFS(Doors!AT:AT,Doors!$A:$A,$D54,Doors!$B:$B,$B54,Doors!$C:$C,$C54)*SUMIFS(Velocity!$I:$I,Velocity!$A:$A,$A54,Velocity!$B:$B,$C54)/Assumptions!$B$4*Assumptions!$B$6</f>
        <v>0</v>
      </c>
      <c r="AI54" s="7" t="n">
        <f aca="false">SUMIFS(Doors!AU:AU,Doors!$A:$A,$D54,Doors!$B:$B,$B54,Doors!$C:$C,$C54)*SUMIFS(Velocity!$I:$I,Velocity!$A:$A,$A54,Velocity!$B:$B,$C54)/Assumptions!$B$4*Assumptions!$B$6</f>
        <v>0</v>
      </c>
      <c r="AJ54" s="7" t="n">
        <f aca="false">SUMIFS(Doors!AV:AV,Doors!$A:$A,$D54,Doors!$B:$B,$B54,Doors!$C:$C,$C54)*SUMIFS(Velocity!$I:$I,Velocity!$A:$A,$A54,Velocity!$B:$B,$C54)/Assumptions!$B$4*Assumptions!$B$6</f>
        <v>0</v>
      </c>
      <c r="AK54" s="7" t="n">
        <f aca="false">SUMIFS(Doors!AW:AW,Doors!$A:$A,$D54,Doors!$B:$B,$B54,Doors!$C:$C,$C54)*SUMIFS(Velocity!$I:$I,Velocity!$A:$A,$A54,Velocity!$B:$B,$C54)/Assumptions!$B$4*Assumptions!$B$6</f>
        <v>0</v>
      </c>
      <c r="AL54" s="7" t="n">
        <f aca="false">SUMIFS(Doors!AX:AX,Doors!$A:$A,$D54,Doors!$B:$B,$B54,Doors!$C:$C,$C54)*SUMIFS(Velocity!$I:$I,Velocity!$A:$A,$A54,Velocity!$B:$B,$C54)/Assumptions!$B$4*Assumptions!$B$6</f>
        <v>0</v>
      </c>
      <c r="AM54" s="7" t="n">
        <f aca="false">SUMIFS(Doors!AY:AY,Doors!$A:$A,$D54,Doors!$B:$B,$B54,Doors!$C:$C,$C54)*SUMIFS(Velocity!$I:$I,Velocity!$A:$A,$A54,Velocity!$B:$B,$C54)/Assumptions!$B$4*Assumptions!$B$6</f>
        <v>0</v>
      </c>
      <c r="AN54" s="7" t="n">
        <f aca="false">SUMIFS(Doors!AZ:AZ,Doors!$A:$A,$D54,Doors!$B:$B,$B54,Doors!$C:$C,$C54)*SUMIFS(Velocity!$I:$I,Velocity!$A:$A,$A54,Velocity!$B:$B,$C54)/Assumptions!$B$4*Assumptions!$B$6</f>
        <v>0</v>
      </c>
      <c r="AO54" s="7" t="n">
        <f aca="false">SUMIFS(Doors!BA:BA,Doors!$A:$A,$D54,Doors!$B:$B,$B54,Doors!$C:$C,$C54)*SUMIFS(Velocity!$I:$I,Velocity!$A:$A,$A54,Velocity!$B:$B,$C54)/Assumptions!$B$4*Assumptions!$B$6</f>
        <v>0</v>
      </c>
      <c r="AP54" s="7" t="n">
        <f aca="false">SUMIFS(Doors!BB:BB,Doors!$A:$A,$D54,Doors!$B:$B,$B54,Doors!$C:$C,$C54)*SUMIFS(Velocity!$I:$I,Velocity!$A:$A,$A54,Velocity!$B:$B,$C54)/Assumptions!$B$4*Assumptions!$B$6</f>
        <v>0</v>
      </c>
      <c r="AQ54" s="7" t="n">
        <f aca="false">SUMIFS(Doors!BC:BC,Doors!$A:$A,$D54,Doors!$B:$B,$B54,Doors!$C:$C,$C54)*SUMIFS(Velocity!$I:$I,Velocity!$A:$A,$A54,Velocity!$B:$B,$C54)/Assumptions!$B$4*Assumptions!$B$6</f>
        <v>0</v>
      </c>
      <c r="AR54" s="7" t="n">
        <f aca="false">SUMIFS(Doors!BD:BD,Doors!$A:$A,$D54,Doors!$B:$B,$B54,Doors!$C:$C,$C54)*SUMIFS(Velocity!$I:$I,Velocity!$A:$A,$A54,Velocity!$B:$B,$C54)/Assumptions!$B$4*Assumptions!$B$6</f>
        <v>153.333333333333</v>
      </c>
      <c r="AS54" s="7" t="n">
        <f aca="false">SUMIFS(Doors!BE:BE,Doors!$A:$A,$D54,Doors!$B:$B,$B54,Doors!$C:$C,$C54)*SUMIFS(Velocity!$I:$I,Velocity!$A:$A,$A54,Velocity!$B:$B,$C54)/Assumptions!$B$4*Assumptions!$B$6</f>
        <v>153.333333333333</v>
      </c>
      <c r="AT54" s="7" t="n">
        <f aca="false">SUMIFS(Doors!BF:BF,Doors!$A:$A,$D54,Doors!$B:$B,$B54,Doors!$C:$C,$C54)*SUMIFS(Velocity!$I:$I,Velocity!$A:$A,$A54,Velocity!$B:$B,$C54)/Assumptions!$B$4*Assumptions!$B$6</f>
        <v>153.333333333333</v>
      </c>
      <c r="AU54" s="7" t="n">
        <f aca="false">SUMIFS(Doors!BG:BG,Doors!$A:$A,$D54,Doors!$B:$B,$B54,Doors!$C:$C,$C54)*SUMIFS(Velocity!$I:$I,Velocity!$A:$A,$A54,Velocity!$B:$B,$C54)/Assumptions!$B$4*Assumptions!$B$6</f>
        <v>153.333333333333</v>
      </c>
      <c r="AV54" s="7" t="n">
        <f aca="false">SUMIFS(Doors!BH:BH,Doors!$A:$A,$D54,Doors!$B:$B,$B54,Doors!$C:$C,$C54)*SUMIFS(Velocity!$I:$I,Velocity!$A:$A,$A54,Velocity!$B:$B,$C54)/Assumptions!$B$4*Assumptions!$B$6</f>
        <v>153.333333333333</v>
      </c>
      <c r="AW54" s="7" t="n">
        <f aca="false">SUMIFS(Doors!BI:BI,Doors!$A:$A,$D54,Doors!$B:$B,$B54,Doors!$C:$C,$C54)*SUMIFS(Velocity!$I:$I,Velocity!$A:$A,$A54,Velocity!$B:$B,$C54)/Assumptions!$B$4*Assumptions!$B$6</f>
        <v>168.666666666667</v>
      </c>
      <c r="AX54" s="7" t="n">
        <f aca="false">SUMIFS(Doors!BJ:BJ,Doors!$A:$A,$D54,Doors!$B:$B,$B54,Doors!$C:$C,$C54)*SUMIFS(Velocity!$I:$I,Velocity!$A:$A,$A54,Velocity!$B:$B,$C54)/Assumptions!$B$4*Assumptions!$B$6</f>
        <v>168.666666666667</v>
      </c>
      <c r="AY54" s="7" t="n">
        <f aca="false">SUMIFS(Doors!BK:BK,Doors!$A:$A,$D54,Doors!$B:$B,$B54,Doors!$C:$C,$C54)*SUMIFS(Velocity!$I:$I,Velocity!$A:$A,$A54,Velocity!$B:$B,$C54)/Assumptions!$B$4*Assumptions!$B$6</f>
        <v>168.666666666667</v>
      </c>
      <c r="AZ54" s="7" t="n">
        <f aca="false">SUMIFS(Doors!BL:BL,Doors!$A:$A,$D54,Doors!$B:$B,$B54,Doors!$C:$C,$C54)*SUMIFS(Velocity!$I:$I,Velocity!$A:$A,$A54,Velocity!$B:$B,$C54)/Assumptions!$B$4*Assumptions!$B$6</f>
        <v>168.666666666667</v>
      </c>
      <c r="BA54" s="7" t="n">
        <f aca="false">SUMIFS(Doors!BM:BM,Doors!$A:$A,$D54,Doors!$B:$B,$B54,Doors!$C:$C,$C54)*SUMIFS(Velocity!$I:$I,Velocity!$A:$A,$A54,Velocity!$B:$B,$C54)/Assumptions!$B$4*Assumptions!$B$6</f>
        <v>168.666666666667</v>
      </c>
      <c r="BB54" s="7" t="n">
        <f aca="false">SUMIFS(Doors!BN:BN,Doors!$A:$A,$D54,Doors!$B:$B,$B54,Doors!$C:$C,$C54)*SUMIFS(Velocity!$I:$I,Velocity!$A:$A,$A54,Velocity!$B:$B,$C54)/Assumptions!$B$4*Assumptions!$B$6</f>
        <v>168.666666666667</v>
      </c>
      <c r="BC54" s="7" t="n">
        <f aca="false">SUMIFS(Doors!BO:BO,Doors!$A:$A,$D54,Doors!$B:$B,$B54,Doors!$C:$C,$C54)*SUMIFS(Velocity!$I:$I,Velocity!$A:$A,$A54,Velocity!$B:$B,$C54)/Assumptions!$B$4*Assumptions!$B$6</f>
        <v>168.666666666667</v>
      </c>
      <c r="BD54" s="7" t="n">
        <f aca="false">SUMIFS(Doors!BP:BP,Doors!$A:$A,$D54,Doors!$B:$B,$B54,Doors!$C:$C,$C54)*SUMIFS(Velocity!$I:$I,Velocity!$A:$A,$A54,Velocity!$B:$B,$C54)/Assumptions!$B$4*Assumptions!$B$6</f>
        <v>168.666666666667</v>
      </c>
    </row>
    <row r="55" customFormat="false" ht="15" hidden="false" customHeight="false" outlineLevel="0" collapsed="false">
      <c r="A55" s="0" t="s">
        <v>108</v>
      </c>
      <c r="B55" s="0" t="s">
        <v>131</v>
      </c>
      <c r="C55" s="0" t="s">
        <v>119</v>
      </c>
      <c r="D55" s="0" t="s">
        <v>235</v>
      </c>
      <c r="E55" s="7" t="n">
        <f aca="false">SUMIFS(Doors!Q:Q,Doors!$A:$A,$D55,Doors!$B:$B,$B55,Doors!$C:$C,$C55)*SUMIFS(Velocity!$I:$I,Velocity!$A:$A,$A55,Velocity!$B:$B,$C55)/Assumptions!$B$4*Assumptions!$B$6</f>
        <v>5</v>
      </c>
      <c r="F55" s="7" t="n">
        <f aca="false">SUMIFS(Doors!R:R,Doors!$A:$A,$D55,Doors!$B:$B,$B55,Doors!$C:$C,$C55)*SUMIFS(Velocity!$I:$I,Velocity!$A:$A,$A55,Velocity!$B:$B,$C55)/Assumptions!$B$4*Assumptions!$B$6</f>
        <v>5</v>
      </c>
      <c r="G55" s="7" t="n">
        <f aca="false">SUMIFS(Doors!S:S,Doors!$A:$A,$D55,Doors!$B:$B,$B55,Doors!$C:$C,$C55)*SUMIFS(Velocity!$I:$I,Velocity!$A:$A,$A55,Velocity!$B:$B,$C55)/Assumptions!$B$4*Assumptions!$B$6</f>
        <v>5</v>
      </c>
      <c r="H55" s="7" t="n">
        <f aca="false">SUMIFS(Doors!T:T,Doors!$A:$A,$D55,Doors!$B:$B,$B55,Doors!$C:$C,$C55)*SUMIFS(Velocity!$I:$I,Velocity!$A:$A,$A55,Velocity!$B:$B,$C55)/Assumptions!$B$4*Assumptions!$B$6</f>
        <v>5</v>
      </c>
      <c r="I55" s="7" t="n">
        <f aca="false">SUMIFS(Doors!U:U,Doors!$A:$A,$D55,Doors!$B:$B,$B55,Doors!$C:$C,$C55)*SUMIFS(Velocity!$I:$I,Velocity!$A:$A,$A55,Velocity!$B:$B,$C55)/Assumptions!$B$4*Assumptions!$B$6</f>
        <v>5</v>
      </c>
      <c r="J55" s="7" t="n">
        <f aca="false">SUMIFS(Doors!V:V,Doors!$A:$A,$D55,Doors!$B:$B,$B55,Doors!$C:$C,$C55)*SUMIFS(Velocity!$I:$I,Velocity!$A:$A,$A55,Velocity!$B:$B,$C55)/Assumptions!$B$4*Assumptions!$B$6</f>
        <v>7.5</v>
      </c>
      <c r="K55" s="7" t="n">
        <f aca="false">SUMIFS(Doors!W:W,Doors!$A:$A,$D55,Doors!$B:$B,$B55,Doors!$C:$C,$C55)*SUMIFS(Velocity!$I:$I,Velocity!$A:$A,$A55,Velocity!$B:$B,$C55)/Assumptions!$B$4*Assumptions!$B$6</f>
        <v>7.5</v>
      </c>
      <c r="L55" s="7" t="n">
        <f aca="false">SUMIFS(Doors!X:X,Doors!$A:$A,$D55,Doors!$B:$B,$B55,Doors!$C:$C,$C55)*SUMIFS(Velocity!$I:$I,Velocity!$A:$A,$A55,Velocity!$B:$B,$C55)/Assumptions!$B$4*Assumptions!$B$6</f>
        <v>7.5</v>
      </c>
      <c r="M55" s="7" t="n">
        <f aca="false">SUMIFS(Doors!Y:Y,Doors!$A:$A,$D55,Doors!$B:$B,$B55,Doors!$C:$C,$C55)*SUMIFS(Velocity!$I:$I,Velocity!$A:$A,$A55,Velocity!$B:$B,$C55)/Assumptions!$B$4*Assumptions!$B$6</f>
        <v>7.5</v>
      </c>
      <c r="N55" s="7" t="n">
        <f aca="false">SUMIFS(Doors!Z:Z,Doors!$A:$A,$D55,Doors!$B:$B,$B55,Doors!$C:$C,$C55)*SUMIFS(Velocity!$I:$I,Velocity!$A:$A,$A55,Velocity!$B:$B,$C55)/Assumptions!$B$4*Assumptions!$B$6</f>
        <v>10</v>
      </c>
      <c r="O55" s="7" t="n">
        <f aca="false">SUMIFS(Doors!AA:AA,Doors!$A:$A,$D55,Doors!$B:$B,$B55,Doors!$C:$C,$C55)*SUMIFS(Velocity!$I:$I,Velocity!$A:$A,$A55,Velocity!$B:$B,$C55)/Assumptions!$B$4*Assumptions!$B$6</f>
        <v>10</v>
      </c>
      <c r="P55" s="7" t="n">
        <f aca="false">SUMIFS(Doors!AB:AB,Doors!$A:$A,$D55,Doors!$B:$B,$B55,Doors!$C:$C,$C55)*SUMIFS(Velocity!$I:$I,Velocity!$A:$A,$A55,Velocity!$B:$B,$C55)/Assumptions!$B$4*Assumptions!$B$6</f>
        <v>10</v>
      </c>
      <c r="Q55" s="7" t="n">
        <f aca="false">SUMIFS(Doors!AC:AC,Doors!$A:$A,$D55,Doors!$B:$B,$B55,Doors!$C:$C,$C55)*SUMIFS(Velocity!$I:$I,Velocity!$A:$A,$A55,Velocity!$B:$B,$C55)/Assumptions!$B$4*Assumptions!$B$6</f>
        <v>10</v>
      </c>
      <c r="R55" s="7" t="n">
        <f aca="false">SUMIFS(Doors!AD:AD,Doors!$A:$A,$D55,Doors!$B:$B,$B55,Doors!$C:$C,$C55)*SUMIFS(Velocity!$I:$I,Velocity!$A:$A,$A55,Velocity!$B:$B,$C55)/Assumptions!$B$4*Assumptions!$B$6</f>
        <v>12.5</v>
      </c>
      <c r="S55" s="7" t="n">
        <f aca="false">SUMIFS(Doors!AE:AE,Doors!$A:$A,$D55,Doors!$B:$B,$B55,Doors!$C:$C,$C55)*SUMIFS(Velocity!$I:$I,Velocity!$A:$A,$A55,Velocity!$B:$B,$C55)/Assumptions!$B$4*Assumptions!$B$6</f>
        <v>12.5</v>
      </c>
      <c r="T55" s="7" t="n">
        <f aca="false">SUMIFS(Doors!AF:AF,Doors!$A:$A,$D55,Doors!$B:$B,$B55,Doors!$C:$C,$C55)*SUMIFS(Velocity!$I:$I,Velocity!$A:$A,$A55,Velocity!$B:$B,$C55)/Assumptions!$B$4*Assumptions!$B$6</f>
        <v>12.5</v>
      </c>
      <c r="U55" s="7" t="n">
        <f aca="false">SUMIFS(Doors!AG:AG,Doors!$A:$A,$D55,Doors!$B:$B,$B55,Doors!$C:$C,$C55)*SUMIFS(Velocity!$I:$I,Velocity!$A:$A,$A55,Velocity!$B:$B,$C55)/Assumptions!$B$4*Assumptions!$B$6</f>
        <v>12.5</v>
      </c>
      <c r="V55" s="7" t="n">
        <f aca="false">SUMIFS(Doors!AH:AH,Doors!$A:$A,$D55,Doors!$B:$B,$B55,Doors!$C:$C,$C55)*SUMIFS(Velocity!$I:$I,Velocity!$A:$A,$A55,Velocity!$B:$B,$C55)/Assumptions!$B$4*Assumptions!$B$6</f>
        <v>12.5</v>
      </c>
      <c r="W55" s="7" t="n">
        <f aca="false">SUMIFS(Doors!AI:AI,Doors!$A:$A,$D55,Doors!$B:$B,$B55,Doors!$C:$C,$C55)*SUMIFS(Velocity!$I:$I,Velocity!$A:$A,$A55,Velocity!$B:$B,$C55)/Assumptions!$B$4*Assumptions!$B$6</f>
        <v>14.1666666666667</v>
      </c>
      <c r="X55" s="7" t="n">
        <f aca="false">SUMIFS(Doors!AJ:AJ,Doors!$A:$A,$D55,Doors!$B:$B,$B55,Doors!$C:$C,$C55)*SUMIFS(Velocity!$I:$I,Velocity!$A:$A,$A55,Velocity!$B:$B,$C55)/Assumptions!$B$4*Assumptions!$B$6</f>
        <v>14.1666666666667</v>
      </c>
      <c r="Y55" s="7" t="n">
        <f aca="false">SUMIFS(Doors!AK:AK,Doors!$A:$A,$D55,Doors!$B:$B,$B55,Doors!$C:$C,$C55)*SUMIFS(Velocity!$I:$I,Velocity!$A:$A,$A55,Velocity!$B:$B,$C55)/Assumptions!$B$4*Assumptions!$B$6</f>
        <v>14.1666666666667</v>
      </c>
      <c r="Z55" s="7" t="n">
        <f aca="false">SUMIFS(Doors!AL:AL,Doors!$A:$A,$D55,Doors!$B:$B,$B55,Doors!$C:$C,$C55)*SUMIFS(Velocity!$I:$I,Velocity!$A:$A,$A55,Velocity!$B:$B,$C55)/Assumptions!$B$4*Assumptions!$B$6</f>
        <v>14.1666666666667</v>
      </c>
      <c r="AA55" s="7" t="n">
        <f aca="false">SUMIFS(Doors!AM:AM,Doors!$A:$A,$D55,Doors!$B:$B,$B55,Doors!$C:$C,$C55)*SUMIFS(Velocity!$I:$I,Velocity!$A:$A,$A55,Velocity!$B:$B,$C55)/Assumptions!$B$4*Assumptions!$B$6</f>
        <v>15.8333333333333</v>
      </c>
      <c r="AB55" s="7" t="n">
        <f aca="false">SUMIFS(Doors!AN:AN,Doors!$A:$A,$D55,Doors!$B:$B,$B55,Doors!$C:$C,$C55)*SUMIFS(Velocity!$I:$I,Velocity!$A:$A,$A55,Velocity!$B:$B,$C55)/Assumptions!$B$4*Assumptions!$B$6</f>
        <v>15.8333333333333</v>
      </c>
      <c r="AC55" s="7" t="n">
        <f aca="false">SUMIFS(Doors!AO:AO,Doors!$A:$A,$D55,Doors!$B:$B,$B55,Doors!$C:$C,$C55)*SUMIFS(Velocity!$I:$I,Velocity!$A:$A,$A55,Velocity!$B:$B,$C55)/Assumptions!$B$4*Assumptions!$B$6</f>
        <v>15.8333333333333</v>
      </c>
      <c r="AD55" s="7" t="n">
        <f aca="false">SUMIFS(Doors!AP:AP,Doors!$A:$A,$D55,Doors!$B:$B,$B55,Doors!$C:$C,$C55)*SUMIFS(Velocity!$I:$I,Velocity!$A:$A,$A55,Velocity!$B:$B,$C55)/Assumptions!$B$4*Assumptions!$B$6</f>
        <v>15.8333333333333</v>
      </c>
      <c r="AE55" s="7" t="n">
        <f aca="false">SUMIFS(Doors!AQ:AQ,Doors!$A:$A,$D55,Doors!$B:$B,$B55,Doors!$C:$C,$C55)*SUMIFS(Velocity!$I:$I,Velocity!$A:$A,$A55,Velocity!$B:$B,$C55)/Assumptions!$B$4*Assumptions!$B$6</f>
        <v>17.5</v>
      </c>
      <c r="AF55" s="7" t="n">
        <f aca="false">SUMIFS(Doors!AR:AR,Doors!$A:$A,$D55,Doors!$B:$B,$B55,Doors!$C:$C,$C55)*SUMIFS(Velocity!$I:$I,Velocity!$A:$A,$A55,Velocity!$B:$B,$C55)/Assumptions!$B$4*Assumptions!$B$6</f>
        <v>17.5</v>
      </c>
      <c r="AG55" s="7" t="n">
        <f aca="false">SUMIFS(Doors!AS:AS,Doors!$A:$A,$D55,Doors!$B:$B,$B55,Doors!$C:$C,$C55)*SUMIFS(Velocity!$I:$I,Velocity!$A:$A,$A55,Velocity!$B:$B,$C55)/Assumptions!$B$4*Assumptions!$B$6</f>
        <v>17.5</v>
      </c>
      <c r="AH55" s="7" t="n">
        <f aca="false">SUMIFS(Doors!AT:AT,Doors!$A:$A,$D55,Doors!$B:$B,$B55,Doors!$C:$C,$C55)*SUMIFS(Velocity!$I:$I,Velocity!$A:$A,$A55,Velocity!$B:$B,$C55)/Assumptions!$B$4*Assumptions!$B$6</f>
        <v>17.5</v>
      </c>
      <c r="AI55" s="7" t="n">
        <f aca="false">SUMIFS(Doors!AU:AU,Doors!$A:$A,$D55,Doors!$B:$B,$B55,Doors!$C:$C,$C55)*SUMIFS(Velocity!$I:$I,Velocity!$A:$A,$A55,Velocity!$B:$B,$C55)/Assumptions!$B$4*Assumptions!$B$6</f>
        <v>17.5</v>
      </c>
      <c r="AJ55" s="7" t="n">
        <f aca="false">SUMIFS(Doors!AV:AV,Doors!$A:$A,$D55,Doors!$B:$B,$B55,Doors!$C:$C,$C55)*SUMIFS(Velocity!$I:$I,Velocity!$A:$A,$A55,Velocity!$B:$B,$C55)/Assumptions!$B$4*Assumptions!$B$6</f>
        <v>18.3333333333333</v>
      </c>
      <c r="AK55" s="7" t="n">
        <f aca="false">SUMIFS(Doors!AW:AW,Doors!$A:$A,$D55,Doors!$B:$B,$B55,Doors!$C:$C,$C55)*SUMIFS(Velocity!$I:$I,Velocity!$A:$A,$A55,Velocity!$B:$B,$C55)/Assumptions!$B$4*Assumptions!$B$6</f>
        <v>18.3333333333333</v>
      </c>
      <c r="AL55" s="7" t="n">
        <f aca="false">SUMIFS(Doors!AX:AX,Doors!$A:$A,$D55,Doors!$B:$B,$B55,Doors!$C:$C,$C55)*SUMIFS(Velocity!$I:$I,Velocity!$A:$A,$A55,Velocity!$B:$B,$C55)/Assumptions!$B$4*Assumptions!$B$6</f>
        <v>18.3333333333333</v>
      </c>
      <c r="AM55" s="7" t="n">
        <f aca="false">SUMIFS(Doors!AY:AY,Doors!$A:$A,$D55,Doors!$B:$B,$B55,Doors!$C:$C,$C55)*SUMIFS(Velocity!$I:$I,Velocity!$A:$A,$A55,Velocity!$B:$B,$C55)/Assumptions!$B$4*Assumptions!$B$6</f>
        <v>18.3333333333333</v>
      </c>
      <c r="AN55" s="7" t="n">
        <f aca="false">SUMIFS(Doors!AZ:AZ,Doors!$A:$A,$D55,Doors!$B:$B,$B55,Doors!$C:$C,$C55)*SUMIFS(Velocity!$I:$I,Velocity!$A:$A,$A55,Velocity!$B:$B,$C55)/Assumptions!$B$4*Assumptions!$B$6</f>
        <v>19.1666666666667</v>
      </c>
      <c r="AO55" s="7" t="n">
        <f aca="false">SUMIFS(Doors!BA:BA,Doors!$A:$A,$D55,Doors!$B:$B,$B55,Doors!$C:$C,$C55)*SUMIFS(Velocity!$I:$I,Velocity!$A:$A,$A55,Velocity!$B:$B,$C55)/Assumptions!$B$4*Assumptions!$B$6</f>
        <v>19.1666666666667</v>
      </c>
      <c r="AP55" s="7" t="n">
        <f aca="false">SUMIFS(Doors!BB:BB,Doors!$A:$A,$D55,Doors!$B:$B,$B55,Doors!$C:$C,$C55)*SUMIFS(Velocity!$I:$I,Velocity!$A:$A,$A55,Velocity!$B:$B,$C55)/Assumptions!$B$4*Assumptions!$B$6</f>
        <v>19.1666666666667</v>
      </c>
      <c r="AQ55" s="7" t="n">
        <f aca="false">SUMIFS(Doors!BC:BC,Doors!$A:$A,$D55,Doors!$B:$B,$B55,Doors!$C:$C,$C55)*SUMIFS(Velocity!$I:$I,Velocity!$A:$A,$A55,Velocity!$B:$B,$C55)/Assumptions!$B$4*Assumptions!$B$6</f>
        <v>19.1666666666667</v>
      </c>
      <c r="AR55" s="7" t="n">
        <f aca="false">SUMIFS(Doors!BD:BD,Doors!$A:$A,$D55,Doors!$B:$B,$B55,Doors!$C:$C,$C55)*SUMIFS(Velocity!$I:$I,Velocity!$A:$A,$A55,Velocity!$B:$B,$C55)/Assumptions!$B$4*Assumptions!$B$6</f>
        <v>19.6666666666667</v>
      </c>
      <c r="AS55" s="7" t="n">
        <f aca="false">SUMIFS(Doors!BE:BE,Doors!$A:$A,$D55,Doors!$B:$B,$B55,Doors!$C:$C,$C55)*SUMIFS(Velocity!$I:$I,Velocity!$A:$A,$A55,Velocity!$B:$B,$C55)/Assumptions!$B$4*Assumptions!$B$6</f>
        <v>19.6666666666667</v>
      </c>
      <c r="AT55" s="7" t="n">
        <f aca="false">SUMIFS(Doors!BF:BF,Doors!$A:$A,$D55,Doors!$B:$B,$B55,Doors!$C:$C,$C55)*SUMIFS(Velocity!$I:$I,Velocity!$A:$A,$A55,Velocity!$B:$B,$C55)/Assumptions!$B$4*Assumptions!$B$6</f>
        <v>19.6666666666667</v>
      </c>
      <c r="AU55" s="7" t="n">
        <f aca="false">SUMIFS(Doors!BG:BG,Doors!$A:$A,$D55,Doors!$B:$B,$B55,Doors!$C:$C,$C55)*SUMIFS(Velocity!$I:$I,Velocity!$A:$A,$A55,Velocity!$B:$B,$C55)/Assumptions!$B$4*Assumptions!$B$6</f>
        <v>19.6666666666667</v>
      </c>
      <c r="AV55" s="7" t="n">
        <f aca="false">SUMIFS(Doors!BH:BH,Doors!$A:$A,$D55,Doors!$B:$B,$B55,Doors!$C:$C,$C55)*SUMIFS(Velocity!$I:$I,Velocity!$A:$A,$A55,Velocity!$B:$B,$C55)/Assumptions!$B$4*Assumptions!$B$6</f>
        <v>19.6666666666667</v>
      </c>
      <c r="AW55" s="7" t="n">
        <f aca="false">SUMIFS(Doors!BI:BI,Doors!$A:$A,$D55,Doors!$B:$B,$B55,Doors!$C:$C,$C55)*SUMIFS(Velocity!$I:$I,Velocity!$A:$A,$A55,Velocity!$B:$B,$C55)/Assumptions!$B$4*Assumptions!$B$6</f>
        <v>20</v>
      </c>
      <c r="AX55" s="7" t="n">
        <f aca="false">SUMIFS(Doors!BJ:BJ,Doors!$A:$A,$D55,Doors!$B:$B,$B55,Doors!$C:$C,$C55)*SUMIFS(Velocity!$I:$I,Velocity!$A:$A,$A55,Velocity!$B:$B,$C55)/Assumptions!$B$4*Assumptions!$B$6</f>
        <v>20</v>
      </c>
      <c r="AY55" s="7" t="n">
        <f aca="false">SUMIFS(Doors!BK:BK,Doors!$A:$A,$D55,Doors!$B:$B,$B55,Doors!$C:$C,$C55)*SUMIFS(Velocity!$I:$I,Velocity!$A:$A,$A55,Velocity!$B:$B,$C55)/Assumptions!$B$4*Assumptions!$B$6</f>
        <v>20</v>
      </c>
      <c r="AZ55" s="7" t="n">
        <f aca="false">SUMIFS(Doors!BL:BL,Doors!$A:$A,$D55,Doors!$B:$B,$B55,Doors!$C:$C,$C55)*SUMIFS(Velocity!$I:$I,Velocity!$A:$A,$A55,Velocity!$B:$B,$C55)/Assumptions!$B$4*Assumptions!$B$6</f>
        <v>20</v>
      </c>
      <c r="BA55" s="7" t="n">
        <f aca="false">SUMIFS(Doors!BM:BM,Doors!$A:$A,$D55,Doors!$B:$B,$B55,Doors!$C:$C,$C55)*SUMIFS(Velocity!$I:$I,Velocity!$A:$A,$A55,Velocity!$B:$B,$C55)/Assumptions!$B$4*Assumptions!$B$6</f>
        <v>20.3333333333333</v>
      </c>
      <c r="BB55" s="7" t="n">
        <f aca="false">SUMIFS(Doors!BN:BN,Doors!$A:$A,$D55,Doors!$B:$B,$B55,Doors!$C:$C,$C55)*SUMIFS(Velocity!$I:$I,Velocity!$A:$A,$A55,Velocity!$B:$B,$C55)/Assumptions!$B$4*Assumptions!$B$6</f>
        <v>20.3333333333333</v>
      </c>
      <c r="BC55" s="7" t="n">
        <f aca="false">SUMIFS(Doors!BO:BO,Doors!$A:$A,$D55,Doors!$B:$B,$B55,Doors!$C:$C,$C55)*SUMIFS(Velocity!$I:$I,Velocity!$A:$A,$A55,Velocity!$B:$B,$C55)/Assumptions!$B$4*Assumptions!$B$6</f>
        <v>20.3333333333333</v>
      </c>
      <c r="BD55" s="7" t="n">
        <f aca="false">SUMIFS(Doors!BP:BP,Doors!$A:$A,$D55,Doors!$B:$B,$B55,Doors!$C:$C,$C55)*SUMIFS(Velocity!$I:$I,Velocity!$A:$A,$A55,Velocity!$B:$B,$C55)/Assumptions!$B$4*Assumptions!$B$6</f>
        <v>20.3333333333333</v>
      </c>
    </row>
    <row r="56" customFormat="false" ht="15" hidden="false" customHeight="false" outlineLevel="0" collapsed="false">
      <c r="A56" s="0" t="s">
        <v>108</v>
      </c>
      <c r="B56" s="0" t="s">
        <v>131</v>
      </c>
      <c r="C56" s="0" t="s">
        <v>120</v>
      </c>
      <c r="D56" s="0" t="s">
        <v>235</v>
      </c>
      <c r="E56" s="7" t="n">
        <f aca="false">SUMIFS(Doors!Q:Q,Doors!$A:$A,$D56,Doors!$B:$B,$B56,Doors!$C:$C,$C56)*SUMIFS(Velocity!$I:$I,Velocity!$A:$A,$A56,Velocity!$B:$B,$C56)/Assumptions!$B$4*Assumptions!$B$6</f>
        <v>5.9375</v>
      </c>
      <c r="F56" s="7" t="n">
        <f aca="false">SUMIFS(Doors!R:R,Doors!$A:$A,$D56,Doors!$B:$B,$B56,Doors!$C:$C,$C56)*SUMIFS(Velocity!$I:$I,Velocity!$A:$A,$A56,Velocity!$B:$B,$C56)/Assumptions!$B$4*Assumptions!$B$6</f>
        <v>5.9375</v>
      </c>
      <c r="G56" s="7" t="n">
        <f aca="false">SUMIFS(Doors!S:S,Doors!$A:$A,$D56,Doors!$B:$B,$B56,Doors!$C:$C,$C56)*SUMIFS(Velocity!$I:$I,Velocity!$A:$A,$A56,Velocity!$B:$B,$C56)/Assumptions!$B$4*Assumptions!$B$6</f>
        <v>5.9375</v>
      </c>
      <c r="H56" s="7" t="n">
        <f aca="false">SUMIFS(Doors!T:T,Doors!$A:$A,$D56,Doors!$B:$B,$B56,Doors!$C:$C,$C56)*SUMIFS(Velocity!$I:$I,Velocity!$A:$A,$A56,Velocity!$B:$B,$C56)/Assumptions!$B$4*Assumptions!$B$6</f>
        <v>5.9375</v>
      </c>
      <c r="I56" s="7" t="n">
        <f aca="false">SUMIFS(Doors!U:U,Doors!$A:$A,$D56,Doors!$B:$B,$B56,Doors!$C:$C,$C56)*SUMIFS(Velocity!$I:$I,Velocity!$A:$A,$A56,Velocity!$B:$B,$C56)/Assumptions!$B$4*Assumptions!$B$6</f>
        <v>5.9375</v>
      </c>
      <c r="J56" s="7" t="n">
        <f aca="false">SUMIFS(Doors!V:V,Doors!$A:$A,$D56,Doors!$B:$B,$B56,Doors!$C:$C,$C56)*SUMIFS(Velocity!$I:$I,Velocity!$A:$A,$A56,Velocity!$B:$B,$C56)/Assumptions!$B$4*Assumptions!$B$6</f>
        <v>9.89583333333333</v>
      </c>
      <c r="K56" s="7" t="n">
        <f aca="false">SUMIFS(Doors!W:W,Doors!$A:$A,$D56,Doors!$B:$B,$B56,Doors!$C:$C,$C56)*SUMIFS(Velocity!$I:$I,Velocity!$A:$A,$A56,Velocity!$B:$B,$C56)/Assumptions!$B$4*Assumptions!$B$6</f>
        <v>9.89583333333333</v>
      </c>
      <c r="L56" s="7" t="n">
        <f aca="false">SUMIFS(Doors!X:X,Doors!$A:$A,$D56,Doors!$B:$B,$B56,Doors!$C:$C,$C56)*SUMIFS(Velocity!$I:$I,Velocity!$A:$A,$A56,Velocity!$B:$B,$C56)/Assumptions!$B$4*Assumptions!$B$6</f>
        <v>9.89583333333333</v>
      </c>
      <c r="M56" s="7" t="n">
        <f aca="false">SUMIFS(Doors!Y:Y,Doors!$A:$A,$D56,Doors!$B:$B,$B56,Doors!$C:$C,$C56)*SUMIFS(Velocity!$I:$I,Velocity!$A:$A,$A56,Velocity!$B:$B,$C56)/Assumptions!$B$4*Assumptions!$B$6</f>
        <v>9.89583333333333</v>
      </c>
      <c r="N56" s="7" t="n">
        <f aca="false">SUMIFS(Doors!Z:Z,Doors!$A:$A,$D56,Doors!$B:$B,$B56,Doors!$C:$C,$C56)*SUMIFS(Velocity!$I:$I,Velocity!$A:$A,$A56,Velocity!$B:$B,$C56)/Assumptions!$B$4*Assumptions!$B$6</f>
        <v>13.8541666666667</v>
      </c>
      <c r="O56" s="7" t="n">
        <f aca="false">SUMIFS(Doors!AA:AA,Doors!$A:$A,$D56,Doors!$B:$B,$B56,Doors!$C:$C,$C56)*SUMIFS(Velocity!$I:$I,Velocity!$A:$A,$A56,Velocity!$B:$B,$C56)/Assumptions!$B$4*Assumptions!$B$6</f>
        <v>13.8541666666667</v>
      </c>
      <c r="P56" s="7" t="n">
        <f aca="false">SUMIFS(Doors!AB:AB,Doors!$A:$A,$D56,Doors!$B:$B,$B56,Doors!$C:$C,$C56)*SUMIFS(Velocity!$I:$I,Velocity!$A:$A,$A56,Velocity!$B:$B,$C56)/Assumptions!$B$4*Assumptions!$B$6</f>
        <v>13.8541666666667</v>
      </c>
      <c r="Q56" s="7" t="n">
        <f aca="false">SUMIFS(Doors!AC:AC,Doors!$A:$A,$D56,Doors!$B:$B,$B56,Doors!$C:$C,$C56)*SUMIFS(Velocity!$I:$I,Velocity!$A:$A,$A56,Velocity!$B:$B,$C56)/Assumptions!$B$4*Assumptions!$B$6</f>
        <v>13.8541666666667</v>
      </c>
      <c r="R56" s="7" t="n">
        <f aca="false">SUMIFS(Doors!AD:AD,Doors!$A:$A,$D56,Doors!$B:$B,$B56,Doors!$C:$C,$C56)*SUMIFS(Velocity!$I:$I,Velocity!$A:$A,$A56,Velocity!$B:$B,$C56)/Assumptions!$B$4*Assumptions!$B$6</f>
        <v>17.8125</v>
      </c>
      <c r="S56" s="7" t="n">
        <f aca="false">SUMIFS(Doors!AE:AE,Doors!$A:$A,$D56,Doors!$B:$B,$B56,Doors!$C:$C,$C56)*SUMIFS(Velocity!$I:$I,Velocity!$A:$A,$A56,Velocity!$B:$B,$C56)/Assumptions!$B$4*Assumptions!$B$6</f>
        <v>17.8125</v>
      </c>
      <c r="T56" s="7" t="n">
        <f aca="false">SUMIFS(Doors!AF:AF,Doors!$A:$A,$D56,Doors!$B:$B,$B56,Doors!$C:$C,$C56)*SUMIFS(Velocity!$I:$I,Velocity!$A:$A,$A56,Velocity!$B:$B,$C56)/Assumptions!$B$4*Assumptions!$B$6</f>
        <v>17.8125</v>
      </c>
      <c r="U56" s="7" t="n">
        <f aca="false">SUMIFS(Doors!AG:AG,Doors!$A:$A,$D56,Doors!$B:$B,$B56,Doors!$C:$C,$C56)*SUMIFS(Velocity!$I:$I,Velocity!$A:$A,$A56,Velocity!$B:$B,$C56)/Assumptions!$B$4*Assumptions!$B$6</f>
        <v>17.8125</v>
      </c>
      <c r="V56" s="7" t="n">
        <f aca="false">SUMIFS(Doors!AH:AH,Doors!$A:$A,$D56,Doors!$B:$B,$B56,Doors!$C:$C,$C56)*SUMIFS(Velocity!$I:$I,Velocity!$A:$A,$A56,Velocity!$B:$B,$C56)/Assumptions!$B$4*Assumptions!$B$6</f>
        <v>17.8125</v>
      </c>
      <c r="W56" s="7" t="n">
        <f aca="false">SUMIFS(Doors!AI:AI,Doors!$A:$A,$D56,Doors!$B:$B,$B56,Doors!$C:$C,$C56)*SUMIFS(Velocity!$I:$I,Velocity!$A:$A,$A56,Velocity!$B:$B,$C56)/Assumptions!$B$4*Assumptions!$B$6</f>
        <v>20.78125</v>
      </c>
      <c r="X56" s="7" t="n">
        <f aca="false">SUMIFS(Doors!AJ:AJ,Doors!$A:$A,$D56,Doors!$B:$B,$B56,Doors!$C:$C,$C56)*SUMIFS(Velocity!$I:$I,Velocity!$A:$A,$A56,Velocity!$B:$B,$C56)/Assumptions!$B$4*Assumptions!$B$6</f>
        <v>20.78125</v>
      </c>
      <c r="Y56" s="7" t="n">
        <f aca="false">SUMIFS(Doors!AK:AK,Doors!$A:$A,$D56,Doors!$B:$B,$B56,Doors!$C:$C,$C56)*SUMIFS(Velocity!$I:$I,Velocity!$A:$A,$A56,Velocity!$B:$B,$C56)/Assumptions!$B$4*Assumptions!$B$6</f>
        <v>20.78125</v>
      </c>
      <c r="Z56" s="7" t="n">
        <f aca="false">SUMIFS(Doors!AL:AL,Doors!$A:$A,$D56,Doors!$B:$B,$B56,Doors!$C:$C,$C56)*SUMIFS(Velocity!$I:$I,Velocity!$A:$A,$A56,Velocity!$B:$B,$C56)/Assumptions!$B$4*Assumptions!$B$6</f>
        <v>20.78125</v>
      </c>
      <c r="AA56" s="7" t="n">
        <f aca="false">SUMIFS(Doors!AM:AM,Doors!$A:$A,$D56,Doors!$B:$B,$B56,Doors!$C:$C,$C56)*SUMIFS(Velocity!$I:$I,Velocity!$A:$A,$A56,Velocity!$B:$B,$C56)/Assumptions!$B$4*Assumptions!$B$6</f>
        <v>22.7604166666667</v>
      </c>
      <c r="AB56" s="7" t="n">
        <f aca="false">SUMIFS(Doors!AN:AN,Doors!$A:$A,$D56,Doors!$B:$B,$B56,Doors!$C:$C,$C56)*SUMIFS(Velocity!$I:$I,Velocity!$A:$A,$A56,Velocity!$B:$B,$C56)/Assumptions!$B$4*Assumptions!$B$6</f>
        <v>22.7604166666667</v>
      </c>
      <c r="AC56" s="7" t="n">
        <f aca="false">SUMIFS(Doors!AO:AO,Doors!$A:$A,$D56,Doors!$B:$B,$B56,Doors!$C:$C,$C56)*SUMIFS(Velocity!$I:$I,Velocity!$A:$A,$A56,Velocity!$B:$B,$C56)/Assumptions!$B$4*Assumptions!$B$6</f>
        <v>22.7604166666667</v>
      </c>
      <c r="AD56" s="7" t="n">
        <f aca="false">SUMIFS(Doors!AP:AP,Doors!$A:$A,$D56,Doors!$B:$B,$B56,Doors!$C:$C,$C56)*SUMIFS(Velocity!$I:$I,Velocity!$A:$A,$A56,Velocity!$B:$B,$C56)/Assumptions!$B$4*Assumptions!$B$6</f>
        <v>22.7604166666667</v>
      </c>
      <c r="AE56" s="7" t="n">
        <f aca="false">SUMIFS(Doors!AQ:AQ,Doors!$A:$A,$D56,Doors!$B:$B,$B56,Doors!$C:$C,$C56)*SUMIFS(Velocity!$I:$I,Velocity!$A:$A,$A56,Velocity!$B:$B,$C56)/Assumptions!$B$4*Assumptions!$B$6</f>
        <v>24.1458333333333</v>
      </c>
      <c r="AF56" s="7" t="n">
        <f aca="false">SUMIFS(Doors!AR:AR,Doors!$A:$A,$D56,Doors!$B:$B,$B56,Doors!$C:$C,$C56)*SUMIFS(Velocity!$I:$I,Velocity!$A:$A,$A56,Velocity!$B:$B,$C56)/Assumptions!$B$4*Assumptions!$B$6</f>
        <v>24.1458333333333</v>
      </c>
      <c r="AG56" s="7" t="n">
        <f aca="false">SUMIFS(Doors!AS:AS,Doors!$A:$A,$D56,Doors!$B:$B,$B56,Doors!$C:$C,$C56)*SUMIFS(Velocity!$I:$I,Velocity!$A:$A,$A56,Velocity!$B:$B,$C56)/Assumptions!$B$4*Assumptions!$B$6</f>
        <v>24.1458333333333</v>
      </c>
      <c r="AH56" s="7" t="n">
        <f aca="false">SUMIFS(Doors!AT:AT,Doors!$A:$A,$D56,Doors!$B:$B,$B56,Doors!$C:$C,$C56)*SUMIFS(Velocity!$I:$I,Velocity!$A:$A,$A56,Velocity!$B:$B,$C56)/Assumptions!$B$4*Assumptions!$B$6</f>
        <v>24.1458333333333</v>
      </c>
      <c r="AI56" s="7" t="n">
        <f aca="false">SUMIFS(Doors!AU:AU,Doors!$A:$A,$D56,Doors!$B:$B,$B56,Doors!$C:$C,$C56)*SUMIFS(Velocity!$I:$I,Velocity!$A:$A,$A56,Velocity!$B:$B,$C56)/Assumptions!$B$4*Assumptions!$B$6</f>
        <v>24.1458333333333</v>
      </c>
      <c r="AJ56" s="7" t="n">
        <f aca="false">SUMIFS(Doors!AV:AV,Doors!$A:$A,$D56,Doors!$B:$B,$B56,Doors!$C:$C,$C56)*SUMIFS(Velocity!$I:$I,Velocity!$A:$A,$A56,Velocity!$B:$B,$C56)/Assumptions!$B$4*Assumptions!$B$6</f>
        <v>24.9375</v>
      </c>
      <c r="AK56" s="7" t="n">
        <f aca="false">SUMIFS(Doors!AW:AW,Doors!$A:$A,$D56,Doors!$B:$B,$B56,Doors!$C:$C,$C56)*SUMIFS(Velocity!$I:$I,Velocity!$A:$A,$A56,Velocity!$B:$B,$C56)/Assumptions!$B$4*Assumptions!$B$6</f>
        <v>24.9375</v>
      </c>
      <c r="AL56" s="7" t="n">
        <f aca="false">SUMIFS(Doors!AX:AX,Doors!$A:$A,$D56,Doors!$B:$B,$B56,Doors!$C:$C,$C56)*SUMIFS(Velocity!$I:$I,Velocity!$A:$A,$A56,Velocity!$B:$B,$C56)/Assumptions!$B$4*Assumptions!$B$6</f>
        <v>24.9375</v>
      </c>
      <c r="AM56" s="7" t="n">
        <f aca="false">SUMIFS(Doors!AY:AY,Doors!$A:$A,$D56,Doors!$B:$B,$B56,Doors!$C:$C,$C56)*SUMIFS(Velocity!$I:$I,Velocity!$A:$A,$A56,Velocity!$B:$B,$C56)/Assumptions!$B$4*Assumptions!$B$6</f>
        <v>24.9375</v>
      </c>
      <c r="AN56" s="7" t="n">
        <f aca="false">SUMIFS(Doors!AZ:AZ,Doors!$A:$A,$D56,Doors!$B:$B,$B56,Doors!$C:$C,$C56)*SUMIFS(Velocity!$I:$I,Velocity!$A:$A,$A56,Velocity!$B:$B,$C56)/Assumptions!$B$4*Assumptions!$B$6</f>
        <v>25.3333333333333</v>
      </c>
      <c r="AO56" s="7" t="n">
        <f aca="false">SUMIFS(Doors!BA:BA,Doors!$A:$A,$D56,Doors!$B:$B,$B56,Doors!$C:$C,$C56)*SUMIFS(Velocity!$I:$I,Velocity!$A:$A,$A56,Velocity!$B:$B,$C56)/Assumptions!$B$4*Assumptions!$B$6</f>
        <v>25.3333333333333</v>
      </c>
      <c r="AP56" s="7" t="n">
        <f aca="false">SUMIFS(Doors!BB:BB,Doors!$A:$A,$D56,Doors!$B:$B,$B56,Doors!$C:$C,$C56)*SUMIFS(Velocity!$I:$I,Velocity!$A:$A,$A56,Velocity!$B:$B,$C56)/Assumptions!$B$4*Assumptions!$B$6</f>
        <v>25.3333333333333</v>
      </c>
      <c r="AQ56" s="7" t="n">
        <f aca="false">SUMIFS(Doors!BC:BC,Doors!$A:$A,$D56,Doors!$B:$B,$B56,Doors!$C:$C,$C56)*SUMIFS(Velocity!$I:$I,Velocity!$A:$A,$A56,Velocity!$B:$B,$C56)/Assumptions!$B$4*Assumptions!$B$6</f>
        <v>25.3333333333333</v>
      </c>
      <c r="AR56" s="7" t="n">
        <f aca="false">SUMIFS(Doors!BD:BD,Doors!$A:$A,$D56,Doors!$B:$B,$B56,Doors!$C:$C,$C56)*SUMIFS(Velocity!$I:$I,Velocity!$A:$A,$A56,Velocity!$B:$B,$C56)/Assumptions!$B$4*Assumptions!$B$6</f>
        <v>25.7291666666667</v>
      </c>
      <c r="AS56" s="7" t="n">
        <f aca="false">SUMIFS(Doors!BE:BE,Doors!$A:$A,$D56,Doors!$B:$B,$B56,Doors!$C:$C,$C56)*SUMIFS(Velocity!$I:$I,Velocity!$A:$A,$A56,Velocity!$B:$B,$C56)/Assumptions!$B$4*Assumptions!$B$6</f>
        <v>25.7291666666667</v>
      </c>
      <c r="AT56" s="7" t="n">
        <f aca="false">SUMIFS(Doors!BF:BF,Doors!$A:$A,$D56,Doors!$B:$B,$B56,Doors!$C:$C,$C56)*SUMIFS(Velocity!$I:$I,Velocity!$A:$A,$A56,Velocity!$B:$B,$C56)/Assumptions!$B$4*Assumptions!$B$6</f>
        <v>25.7291666666667</v>
      </c>
      <c r="AU56" s="7" t="n">
        <f aca="false">SUMIFS(Doors!BG:BG,Doors!$A:$A,$D56,Doors!$B:$B,$B56,Doors!$C:$C,$C56)*SUMIFS(Velocity!$I:$I,Velocity!$A:$A,$A56,Velocity!$B:$B,$C56)/Assumptions!$B$4*Assumptions!$B$6</f>
        <v>25.7291666666667</v>
      </c>
      <c r="AV56" s="7" t="n">
        <f aca="false">SUMIFS(Doors!BH:BH,Doors!$A:$A,$D56,Doors!$B:$B,$B56,Doors!$C:$C,$C56)*SUMIFS(Velocity!$I:$I,Velocity!$A:$A,$A56,Velocity!$B:$B,$C56)/Assumptions!$B$4*Assumptions!$B$6</f>
        <v>25.7291666666667</v>
      </c>
      <c r="AW56" s="7" t="n">
        <f aca="false">SUMIFS(Doors!BI:BI,Doors!$A:$A,$D56,Doors!$B:$B,$B56,Doors!$C:$C,$C56)*SUMIFS(Velocity!$I:$I,Velocity!$A:$A,$A56,Velocity!$B:$B,$C56)/Assumptions!$B$4*Assumptions!$B$6</f>
        <v>25.7291666666667</v>
      </c>
      <c r="AX56" s="7" t="n">
        <f aca="false">SUMIFS(Doors!BJ:BJ,Doors!$A:$A,$D56,Doors!$B:$B,$B56,Doors!$C:$C,$C56)*SUMIFS(Velocity!$I:$I,Velocity!$A:$A,$A56,Velocity!$B:$B,$C56)/Assumptions!$B$4*Assumptions!$B$6</f>
        <v>25.7291666666667</v>
      </c>
      <c r="AY56" s="7" t="n">
        <f aca="false">SUMIFS(Doors!BK:BK,Doors!$A:$A,$D56,Doors!$B:$B,$B56,Doors!$C:$C,$C56)*SUMIFS(Velocity!$I:$I,Velocity!$A:$A,$A56,Velocity!$B:$B,$C56)/Assumptions!$B$4*Assumptions!$B$6</f>
        <v>25.7291666666667</v>
      </c>
      <c r="AZ56" s="7" t="n">
        <f aca="false">SUMIFS(Doors!BL:BL,Doors!$A:$A,$D56,Doors!$B:$B,$B56,Doors!$C:$C,$C56)*SUMIFS(Velocity!$I:$I,Velocity!$A:$A,$A56,Velocity!$B:$B,$C56)/Assumptions!$B$4*Assumptions!$B$6</f>
        <v>25.7291666666667</v>
      </c>
      <c r="BA56" s="7" t="n">
        <f aca="false">SUMIFS(Doors!BM:BM,Doors!$A:$A,$D56,Doors!$B:$B,$B56,Doors!$C:$C,$C56)*SUMIFS(Velocity!$I:$I,Velocity!$A:$A,$A56,Velocity!$B:$B,$C56)/Assumptions!$B$4*Assumptions!$B$6</f>
        <v>25.7291666666667</v>
      </c>
      <c r="BB56" s="7" t="n">
        <f aca="false">SUMIFS(Doors!BN:BN,Doors!$A:$A,$D56,Doors!$B:$B,$B56,Doors!$C:$C,$C56)*SUMIFS(Velocity!$I:$I,Velocity!$A:$A,$A56,Velocity!$B:$B,$C56)/Assumptions!$B$4*Assumptions!$B$6</f>
        <v>25.7291666666667</v>
      </c>
      <c r="BC56" s="7" t="n">
        <f aca="false">SUMIFS(Doors!BO:BO,Doors!$A:$A,$D56,Doors!$B:$B,$B56,Doors!$C:$C,$C56)*SUMIFS(Velocity!$I:$I,Velocity!$A:$A,$A56,Velocity!$B:$B,$C56)/Assumptions!$B$4*Assumptions!$B$6</f>
        <v>25.7291666666667</v>
      </c>
      <c r="BD56" s="7" t="n">
        <f aca="false">SUMIFS(Doors!BP:BP,Doors!$A:$A,$D56,Doors!$B:$B,$B56,Doors!$C:$C,$C56)*SUMIFS(Velocity!$I:$I,Velocity!$A:$A,$A56,Velocity!$B:$B,$C56)/Assumptions!$B$4*Assumptions!$B$6</f>
        <v>25.7291666666667</v>
      </c>
    </row>
    <row r="57" customFormat="false" ht="15" hidden="false" customHeight="false" outlineLevel="0" collapsed="false">
      <c r="A57" s="0" t="s">
        <v>108</v>
      </c>
      <c r="B57" s="0" t="s">
        <v>131</v>
      </c>
      <c r="C57" s="0" t="s">
        <v>121</v>
      </c>
      <c r="D57" s="0" t="s">
        <v>235</v>
      </c>
      <c r="E57" s="7" t="n">
        <f aca="false">SUMIFS(Doors!Q:Q,Doors!$A:$A,$D57,Doors!$B:$B,$B57,Doors!$C:$C,$C57)*SUMIFS(Velocity!$I:$I,Velocity!$A:$A,$A57,Velocity!$B:$B,$C57)/Assumptions!$B$4*Assumptions!$B$6</f>
        <v>4.5625</v>
      </c>
      <c r="F57" s="7" t="n">
        <f aca="false">SUMIFS(Doors!R:R,Doors!$A:$A,$D57,Doors!$B:$B,$B57,Doors!$C:$C,$C57)*SUMIFS(Velocity!$I:$I,Velocity!$A:$A,$A57,Velocity!$B:$B,$C57)/Assumptions!$B$4*Assumptions!$B$6</f>
        <v>4.5625</v>
      </c>
      <c r="G57" s="7" t="n">
        <f aca="false">SUMIFS(Doors!S:S,Doors!$A:$A,$D57,Doors!$B:$B,$B57,Doors!$C:$C,$C57)*SUMIFS(Velocity!$I:$I,Velocity!$A:$A,$A57,Velocity!$B:$B,$C57)/Assumptions!$B$4*Assumptions!$B$6</f>
        <v>4.5625</v>
      </c>
      <c r="H57" s="7" t="n">
        <f aca="false">SUMIFS(Doors!T:T,Doors!$A:$A,$D57,Doors!$B:$B,$B57,Doors!$C:$C,$C57)*SUMIFS(Velocity!$I:$I,Velocity!$A:$A,$A57,Velocity!$B:$B,$C57)/Assumptions!$B$4*Assumptions!$B$6</f>
        <v>4.5625</v>
      </c>
      <c r="I57" s="7" t="n">
        <f aca="false">SUMIFS(Doors!U:U,Doors!$A:$A,$D57,Doors!$B:$B,$B57,Doors!$C:$C,$C57)*SUMIFS(Velocity!$I:$I,Velocity!$A:$A,$A57,Velocity!$B:$B,$C57)/Assumptions!$B$4*Assumptions!$B$6</f>
        <v>4.5625</v>
      </c>
      <c r="J57" s="7" t="n">
        <f aca="false">SUMIFS(Doors!V:V,Doors!$A:$A,$D57,Doors!$B:$B,$B57,Doors!$C:$C,$C57)*SUMIFS(Velocity!$I:$I,Velocity!$A:$A,$A57,Velocity!$B:$B,$C57)/Assumptions!$B$4*Assumptions!$B$6</f>
        <v>6.69166666666667</v>
      </c>
      <c r="K57" s="7" t="n">
        <f aca="false">SUMIFS(Doors!W:W,Doors!$A:$A,$D57,Doors!$B:$B,$B57,Doors!$C:$C,$C57)*SUMIFS(Velocity!$I:$I,Velocity!$A:$A,$A57,Velocity!$B:$B,$C57)/Assumptions!$B$4*Assumptions!$B$6</f>
        <v>6.69166666666667</v>
      </c>
      <c r="L57" s="7" t="n">
        <f aca="false">SUMIFS(Doors!X:X,Doors!$A:$A,$D57,Doors!$B:$B,$B57,Doors!$C:$C,$C57)*SUMIFS(Velocity!$I:$I,Velocity!$A:$A,$A57,Velocity!$B:$B,$C57)/Assumptions!$B$4*Assumptions!$B$6</f>
        <v>6.69166666666667</v>
      </c>
      <c r="M57" s="7" t="n">
        <f aca="false">SUMIFS(Doors!Y:Y,Doors!$A:$A,$D57,Doors!$B:$B,$B57,Doors!$C:$C,$C57)*SUMIFS(Velocity!$I:$I,Velocity!$A:$A,$A57,Velocity!$B:$B,$C57)/Assumptions!$B$4*Assumptions!$B$6</f>
        <v>6.69166666666667</v>
      </c>
      <c r="N57" s="7" t="n">
        <f aca="false">SUMIFS(Doors!Z:Z,Doors!$A:$A,$D57,Doors!$B:$B,$B57,Doors!$C:$C,$C57)*SUMIFS(Velocity!$I:$I,Velocity!$A:$A,$A57,Velocity!$B:$B,$C57)/Assumptions!$B$4*Assumptions!$B$6</f>
        <v>9.73333333333333</v>
      </c>
      <c r="O57" s="7" t="n">
        <f aca="false">SUMIFS(Doors!AA:AA,Doors!$A:$A,$D57,Doors!$B:$B,$B57,Doors!$C:$C,$C57)*SUMIFS(Velocity!$I:$I,Velocity!$A:$A,$A57,Velocity!$B:$B,$C57)/Assumptions!$B$4*Assumptions!$B$6</f>
        <v>9.73333333333333</v>
      </c>
      <c r="P57" s="7" t="n">
        <f aca="false">SUMIFS(Doors!AB:AB,Doors!$A:$A,$D57,Doors!$B:$B,$B57,Doors!$C:$C,$C57)*SUMIFS(Velocity!$I:$I,Velocity!$A:$A,$A57,Velocity!$B:$B,$C57)/Assumptions!$B$4*Assumptions!$B$6</f>
        <v>9.73333333333333</v>
      </c>
      <c r="Q57" s="7" t="n">
        <f aca="false">SUMIFS(Doors!AC:AC,Doors!$A:$A,$D57,Doors!$B:$B,$B57,Doors!$C:$C,$C57)*SUMIFS(Velocity!$I:$I,Velocity!$A:$A,$A57,Velocity!$B:$B,$C57)/Assumptions!$B$4*Assumptions!$B$6</f>
        <v>9.73333333333333</v>
      </c>
      <c r="R57" s="7" t="n">
        <f aca="false">SUMIFS(Doors!AD:AD,Doors!$A:$A,$D57,Doors!$B:$B,$B57,Doors!$C:$C,$C57)*SUMIFS(Velocity!$I:$I,Velocity!$A:$A,$A57,Velocity!$B:$B,$C57)/Assumptions!$B$4*Assumptions!$B$6</f>
        <v>12.775</v>
      </c>
      <c r="S57" s="7" t="n">
        <f aca="false">SUMIFS(Doors!AE:AE,Doors!$A:$A,$D57,Doors!$B:$B,$B57,Doors!$C:$C,$C57)*SUMIFS(Velocity!$I:$I,Velocity!$A:$A,$A57,Velocity!$B:$B,$C57)/Assumptions!$B$4*Assumptions!$B$6</f>
        <v>12.775</v>
      </c>
      <c r="T57" s="7" t="n">
        <f aca="false">SUMIFS(Doors!AF:AF,Doors!$A:$A,$D57,Doors!$B:$B,$B57,Doors!$C:$C,$C57)*SUMIFS(Velocity!$I:$I,Velocity!$A:$A,$A57,Velocity!$B:$B,$C57)/Assumptions!$B$4*Assumptions!$B$6</f>
        <v>12.775</v>
      </c>
      <c r="U57" s="7" t="n">
        <f aca="false">SUMIFS(Doors!AG:AG,Doors!$A:$A,$D57,Doors!$B:$B,$B57,Doors!$C:$C,$C57)*SUMIFS(Velocity!$I:$I,Velocity!$A:$A,$A57,Velocity!$B:$B,$C57)/Assumptions!$B$4*Assumptions!$B$6</f>
        <v>12.775</v>
      </c>
      <c r="V57" s="7" t="n">
        <f aca="false">SUMIFS(Doors!AH:AH,Doors!$A:$A,$D57,Doors!$B:$B,$B57,Doors!$C:$C,$C57)*SUMIFS(Velocity!$I:$I,Velocity!$A:$A,$A57,Velocity!$B:$B,$C57)/Assumptions!$B$4*Assumptions!$B$6</f>
        <v>12.775</v>
      </c>
      <c r="W57" s="7" t="n">
        <f aca="false">SUMIFS(Doors!AI:AI,Doors!$A:$A,$D57,Doors!$B:$B,$B57,Doors!$C:$C,$C57)*SUMIFS(Velocity!$I:$I,Velocity!$A:$A,$A57,Velocity!$B:$B,$C57)/Assumptions!$B$4*Assumptions!$B$6</f>
        <v>15.2083333333333</v>
      </c>
      <c r="X57" s="7" t="n">
        <f aca="false">SUMIFS(Doors!AJ:AJ,Doors!$A:$A,$D57,Doors!$B:$B,$B57,Doors!$C:$C,$C57)*SUMIFS(Velocity!$I:$I,Velocity!$A:$A,$A57,Velocity!$B:$B,$C57)/Assumptions!$B$4*Assumptions!$B$6</f>
        <v>15.2083333333333</v>
      </c>
      <c r="Y57" s="7" t="n">
        <f aca="false">SUMIFS(Doors!AK:AK,Doors!$A:$A,$D57,Doors!$B:$B,$B57,Doors!$C:$C,$C57)*SUMIFS(Velocity!$I:$I,Velocity!$A:$A,$A57,Velocity!$B:$B,$C57)/Assumptions!$B$4*Assumptions!$B$6</f>
        <v>15.2083333333333</v>
      </c>
      <c r="Z57" s="7" t="n">
        <f aca="false">SUMIFS(Doors!AL:AL,Doors!$A:$A,$D57,Doors!$B:$B,$B57,Doors!$C:$C,$C57)*SUMIFS(Velocity!$I:$I,Velocity!$A:$A,$A57,Velocity!$B:$B,$C57)/Assumptions!$B$4*Assumptions!$B$6</f>
        <v>15.2083333333333</v>
      </c>
      <c r="AA57" s="7" t="n">
        <f aca="false">SUMIFS(Doors!AM:AM,Doors!$A:$A,$D57,Doors!$B:$B,$B57,Doors!$C:$C,$C57)*SUMIFS(Velocity!$I:$I,Velocity!$A:$A,$A57,Velocity!$B:$B,$C57)/Assumptions!$B$4*Assumptions!$B$6</f>
        <v>16.7291666666667</v>
      </c>
      <c r="AB57" s="7" t="n">
        <f aca="false">SUMIFS(Doors!AN:AN,Doors!$A:$A,$D57,Doors!$B:$B,$B57,Doors!$C:$C,$C57)*SUMIFS(Velocity!$I:$I,Velocity!$A:$A,$A57,Velocity!$B:$B,$C57)/Assumptions!$B$4*Assumptions!$B$6</f>
        <v>16.7291666666667</v>
      </c>
      <c r="AC57" s="7" t="n">
        <f aca="false">SUMIFS(Doors!AO:AO,Doors!$A:$A,$D57,Doors!$B:$B,$B57,Doors!$C:$C,$C57)*SUMIFS(Velocity!$I:$I,Velocity!$A:$A,$A57,Velocity!$B:$B,$C57)/Assumptions!$B$4*Assumptions!$B$6</f>
        <v>16.7291666666667</v>
      </c>
      <c r="AD57" s="7" t="n">
        <f aca="false">SUMIFS(Doors!AP:AP,Doors!$A:$A,$D57,Doors!$B:$B,$B57,Doors!$C:$C,$C57)*SUMIFS(Velocity!$I:$I,Velocity!$A:$A,$A57,Velocity!$B:$B,$C57)/Assumptions!$B$4*Assumptions!$B$6</f>
        <v>16.7291666666667</v>
      </c>
      <c r="AE57" s="7" t="n">
        <f aca="false">SUMIFS(Doors!AQ:AQ,Doors!$A:$A,$D57,Doors!$B:$B,$B57,Doors!$C:$C,$C57)*SUMIFS(Velocity!$I:$I,Velocity!$A:$A,$A57,Velocity!$B:$B,$C57)/Assumptions!$B$4*Assumptions!$B$6</f>
        <v>17.6416666666667</v>
      </c>
      <c r="AF57" s="7" t="n">
        <f aca="false">SUMIFS(Doors!AR:AR,Doors!$A:$A,$D57,Doors!$B:$B,$B57,Doors!$C:$C,$C57)*SUMIFS(Velocity!$I:$I,Velocity!$A:$A,$A57,Velocity!$B:$B,$C57)/Assumptions!$B$4*Assumptions!$B$6</f>
        <v>17.6416666666667</v>
      </c>
      <c r="AG57" s="7" t="n">
        <f aca="false">SUMIFS(Doors!AS:AS,Doors!$A:$A,$D57,Doors!$B:$B,$B57,Doors!$C:$C,$C57)*SUMIFS(Velocity!$I:$I,Velocity!$A:$A,$A57,Velocity!$B:$B,$C57)/Assumptions!$B$4*Assumptions!$B$6</f>
        <v>17.6416666666667</v>
      </c>
      <c r="AH57" s="7" t="n">
        <f aca="false">SUMIFS(Doors!AT:AT,Doors!$A:$A,$D57,Doors!$B:$B,$B57,Doors!$C:$C,$C57)*SUMIFS(Velocity!$I:$I,Velocity!$A:$A,$A57,Velocity!$B:$B,$C57)/Assumptions!$B$4*Assumptions!$B$6</f>
        <v>17.6416666666667</v>
      </c>
      <c r="AI57" s="7" t="n">
        <f aca="false">SUMIFS(Doors!AU:AU,Doors!$A:$A,$D57,Doors!$B:$B,$B57,Doors!$C:$C,$C57)*SUMIFS(Velocity!$I:$I,Velocity!$A:$A,$A57,Velocity!$B:$B,$C57)/Assumptions!$B$4*Assumptions!$B$6</f>
        <v>17.6416666666667</v>
      </c>
      <c r="AJ57" s="7" t="n">
        <f aca="false">SUMIFS(Doors!AV:AV,Doors!$A:$A,$D57,Doors!$B:$B,$B57,Doors!$C:$C,$C57)*SUMIFS(Velocity!$I:$I,Velocity!$A:$A,$A57,Velocity!$B:$B,$C57)/Assumptions!$B$4*Assumptions!$B$6</f>
        <v>17.9458333333333</v>
      </c>
      <c r="AK57" s="7" t="n">
        <f aca="false">SUMIFS(Doors!AW:AW,Doors!$A:$A,$D57,Doors!$B:$B,$B57,Doors!$C:$C,$C57)*SUMIFS(Velocity!$I:$I,Velocity!$A:$A,$A57,Velocity!$B:$B,$C57)/Assumptions!$B$4*Assumptions!$B$6</f>
        <v>17.9458333333333</v>
      </c>
      <c r="AL57" s="7" t="n">
        <f aca="false">SUMIFS(Doors!AX:AX,Doors!$A:$A,$D57,Doors!$B:$B,$B57,Doors!$C:$C,$C57)*SUMIFS(Velocity!$I:$I,Velocity!$A:$A,$A57,Velocity!$B:$B,$C57)/Assumptions!$B$4*Assumptions!$B$6</f>
        <v>17.9458333333333</v>
      </c>
      <c r="AM57" s="7" t="n">
        <f aca="false">SUMIFS(Doors!AY:AY,Doors!$A:$A,$D57,Doors!$B:$B,$B57,Doors!$C:$C,$C57)*SUMIFS(Velocity!$I:$I,Velocity!$A:$A,$A57,Velocity!$B:$B,$C57)/Assumptions!$B$4*Assumptions!$B$6</f>
        <v>17.9458333333333</v>
      </c>
      <c r="AN57" s="7" t="n">
        <f aca="false">SUMIFS(Doors!AZ:AZ,Doors!$A:$A,$D57,Doors!$B:$B,$B57,Doors!$C:$C,$C57)*SUMIFS(Velocity!$I:$I,Velocity!$A:$A,$A57,Velocity!$B:$B,$C57)/Assumptions!$B$4*Assumptions!$B$6</f>
        <v>18.25</v>
      </c>
      <c r="AO57" s="7" t="n">
        <f aca="false">SUMIFS(Doors!BA:BA,Doors!$A:$A,$D57,Doors!$B:$B,$B57,Doors!$C:$C,$C57)*SUMIFS(Velocity!$I:$I,Velocity!$A:$A,$A57,Velocity!$B:$B,$C57)/Assumptions!$B$4*Assumptions!$B$6</f>
        <v>18.25</v>
      </c>
      <c r="AP57" s="7" t="n">
        <f aca="false">SUMIFS(Doors!BB:BB,Doors!$A:$A,$D57,Doors!$B:$B,$B57,Doors!$C:$C,$C57)*SUMIFS(Velocity!$I:$I,Velocity!$A:$A,$A57,Velocity!$B:$B,$C57)/Assumptions!$B$4*Assumptions!$B$6</f>
        <v>18.25</v>
      </c>
      <c r="AQ57" s="7" t="n">
        <f aca="false">SUMIFS(Doors!BC:BC,Doors!$A:$A,$D57,Doors!$B:$B,$B57,Doors!$C:$C,$C57)*SUMIFS(Velocity!$I:$I,Velocity!$A:$A,$A57,Velocity!$B:$B,$C57)/Assumptions!$B$4*Assumptions!$B$6</f>
        <v>18.25</v>
      </c>
      <c r="AR57" s="7" t="n">
        <f aca="false">SUMIFS(Doors!BD:BD,Doors!$A:$A,$D57,Doors!$B:$B,$B57,Doors!$C:$C,$C57)*SUMIFS(Velocity!$I:$I,Velocity!$A:$A,$A57,Velocity!$B:$B,$C57)/Assumptions!$B$4*Assumptions!$B$6</f>
        <v>18.25</v>
      </c>
      <c r="AS57" s="7" t="n">
        <f aca="false">SUMIFS(Doors!BE:BE,Doors!$A:$A,$D57,Doors!$B:$B,$B57,Doors!$C:$C,$C57)*SUMIFS(Velocity!$I:$I,Velocity!$A:$A,$A57,Velocity!$B:$B,$C57)/Assumptions!$B$4*Assumptions!$B$6</f>
        <v>18.25</v>
      </c>
      <c r="AT57" s="7" t="n">
        <f aca="false">SUMIFS(Doors!BF:BF,Doors!$A:$A,$D57,Doors!$B:$B,$B57,Doors!$C:$C,$C57)*SUMIFS(Velocity!$I:$I,Velocity!$A:$A,$A57,Velocity!$B:$B,$C57)/Assumptions!$B$4*Assumptions!$B$6</f>
        <v>18.25</v>
      </c>
      <c r="AU57" s="7" t="n">
        <f aca="false">SUMIFS(Doors!BG:BG,Doors!$A:$A,$D57,Doors!$B:$B,$B57,Doors!$C:$C,$C57)*SUMIFS(Velocity!$I:$I,Velocity!$A:$A,$A57,Velocity!$B:$B,$C57)/Assumptions!$B$4*Assumptions!$B$6</f>
        <v>18.25</v>
      </c>
      <c r="AV57" s="7" t="n">
        <f aca="false">SUMIFS(Doors!BH:BH,Doors!$A:$A,$D57,Doors!$B:$B,$B57,Doors!$C:$C,$C57)*SUMIFS(Velocity!$I:$I,Velocity!$A:$A,$A57,Velocity!$B:$B,$C57)/Assumptions!$B$4*Assumptions!$B$6</f>
        <v>18.25</v>
      </c>
      <c r="AW57" s="7" t="n">
        <f aca="false">SUMIFS(Doors!BI:BI,Doors!$A:$A,$D57,Doors!$B:$B,$B57,Doors!$C:$C,$C57)*SUMIFS(Velocity!$I:$I,Velocity!$A:$A,$A57,Velocity!$B:$B,$C57)/Assumptions!$B$4*Assumptions!$B$6</f>
        <v>18.25</v>
      </c>
      <c r="AX57" s="7" t="n">
        <f aca="false">SUMIFS(Doors!BJ:BJ,Doors!$A:$A,$D57,Doors!$B:$B,$B57,Doors!$C:$C,$C57)*SUMIFS(Velocity!$I:$I,Velocity!$A:$A,$A57,Velocity!$B:$B,$C57)/Assumptions!$B$4*Assumptions!$B$6</f>
        <v>18.25</v>
      </c>
      <c r="AY57" s="7" t="n">
        <f aca="false">SUMIFS(Doors!BK:BK,Doors!$A:$A,$D57,Doors!$B:$B,$B57,Doors!$C:$C,$C57)*SUMIFS(Velocity!$I:$I,Velocity!$A:$A,$A57,Velocity!$B:$B,$C57)/Assumptions!$B$4*Assumptions!$B$6</f>
        <v>18.25</v>
      </c>
      <c r="AZ57" s="7" t="n">
        <f aca="false">SUMIFS(Doors!BL:BL,Doors!$A:$A,$D57,Doors!$B:$B,$B57,Doors!$C:$C,$C57)*SUMIFS(Velocity!$I:$I,Velocity!$A:$A,$A57,Velocity!$B:$B,$C57)/Assumptions!$B$4*Assumptions!$B$6</f>
        <v>18.25</v>
      </c>
      <c r="BA57" s="7" t="n">
        <f aca="false">SUMIFS(Doors!BM:BM,Doors!$A:$A,$D57,Doors!$B:$B,$B57,Doors!$C:$C,$C57)*SUMIFS(Velocity!$I:$I,Velocity!$A:$A,$A57,Velocity!$B:$B,$C57)/Assumptions!$B$4*Assumptions!$B$6</f>
        <v>18.25</v>
      </c>
      <c r="BB57" s="7" t="n">
        <f aca="false">SUMIFS(Doors!BN:BN,Doors!$A:$A,$D57,Doors!$B:$B,$B57,Doors!$C:$C,$C57)*SUMIFS(Velocity!$I:$I,Velocity!$A:$A,$A57,Velocity!$B:$B,$C57)/Assumptions!$B$4*Assumptions!$B$6</f>
        <v>18.25</v>
      </c>
      <c r="BC57" s="7" t="n">
        <f aca="false">SUMIFS(Doors!BO:BO,Doors!$A:$A,$D57,Doors!$B:$B,$B57,Doors!$C:$C,$C57)*SUMIFS(Velocity!$I:$I,Velocity!$A:$A,$A57,Velocity!$B:$B,$C57)/Assumptions!$B$4*Assumptions!$B$6</f>
        <v>18.25</v>
      </c>
      <c r="BD57" s="7" t="n">
        <f aca="false">SUMIFS(Doors!BP:BP,Doors!$A:$A,$D57,Doors!$B:$B,$B57,Doors!$C:$C,$C57)*SUMIFS(Velocity!$I:$I,Velocity!$A:$A,$A57,Velocity!$B:$B,$C57)/Assumptions!$B$4*Assumptions!$B$6</f>
        <v>18.25</v>
      </c>
    </row>
    <row r="58" customFormat="false" ht="15" hidden="false" customHeight="false" outlineLevel="0" collapsed="false">
      <c r="A58" s="0" t="s">
        <v>108</v>
      </c>
      <c r="B58" s="0" t="s">
        <v>131</v>
      </c>
      <c r="C58" s="0" t="s">
        <v>122</v>
      </c>
      <c r="D58" s="0" t="s">
        <v>235</v>
      </c>
      <c r="E58" s="7" t="n">
        <f aca="false">SUMIFS(Doors!Q:Q,Doors!$A:$A,$D58,Doors!$B:$B,$B58,Doors!$C:$C,$C58)*SUMIFS(Velocity!$I:$I,Velocity!$A:$A,$A58,Velocity!$B:$B,$C58)/Assumptions!$B$4*Assumptions!$B$6</f>
        <v>0</v>
      </c>
      <c r="F58" s="7" t="n">
        <f aca="false">SUMIFS(Doors!R:R,Doors!$A:$A,$D58,Doors!$B:$B,$B58,Doors!$C:$C,$C58)*SUMIFS(Velocity!$I:$I,Velocity!$A:$A,$A58,Velocity!$B:$B,$C58)/Assumptions!$B$4*Assumptions!$B$6</f>
        <v>0</v>
      </c>
      <c r="G58" s="7" t="n">
        <f aca="false">SUMIFS(Doors!S:S,Doors!$A:$A,$D58,Doors!$B:$B,$B58,Doors!$C:$C,$C58)*SUMIFS(Velocity!$I:$I,Velocity!$A:$A,$A58,Velocity!$B:$B,$C58)/Assumptions!$B$4*Assumptions!$B$6</f>
        <v>0</v>
      </c>
      <c r="H58" s="7" t="n">
        <f aca="false">SUMIFS(Doors!T:T,Doors!$A:$A,$D58,Doors!$B:$B,$B58,Doors!$C:$C,$C58)*SUMIFS(Velocity!$I:$I,Velocity!$A:$A,$A58,Velocity!$B:$B,$C58)/Assumptions!$B$4*Assumptions!$B$6</f>
        <v>0</v>
      </c>
      <c r="I58" s="7" t="n">
        <f aca="false">SUMIFS(Doors!U:U,Doors!$A:$A,$D58,Doors!$B:$B,$B58,Doors!$C:$C,$C58)*SUMIFS(Velocity!$I:$I,Velocity!$A:$A,$A58,Velocity!$B:$B,$C58)/Assumptions!$B$4*Assumptions!$B$6</f>
        <v>0</v>
      </c>
      <c r="J58" s="7" t="n">
        <f aca="false">SUMIFS(Doors!V:V,Doors!$A:$A,$D58,Doors!$B:$B,$B58,Doors!$C:$C,$C58)*SUMIFS(Velocity!$I:$I,Velocity!$A:$A,$A58,Velocity!$B:$B,$C58)/Assumptions!$B$4*Assumptions!$B$6</f>
        <v>0</v>
      </c>
      <c r="K58" s="7" t="n">
        <f aca="false">SUMIFS(Doors!W:W,Doors!$A:$A,$D58,Doors!$B:$B,$B58,Doors!$C:$C,$C58)*SUMIFS(Velocity!$I:$I,Velocity!$A:$A,$A58,Velocity!$B:$B,$C58)/Assumptions!$B$4*Assumptions!$B$6</f>
        <v>0</v>
      </c>
      <c r="L58" s="7" t="n">
        <f aca="false">SUMIFS(Doors!X:X,Doors!$A:$A,$D58,Doors!$B:$B,$B58,Doors!$C:$C,$C58)*SUMIFS(Velocity!$I:$I,Velocity!$A:$A,$A58,Velocity!$B:$B,$C58)/Assumptions!$B$4*Assumptions!$B$6</f>
        <v>0</v>
      </c>
      <c r="M58" s="7" t="n">
        <f aca="false">SUMIFS(Doors!Y:Y,Doors!$A:$A,$D58,Doors!$B:$B,$B58,Doors!$C:$C,$C58)*SUMIFS(Velocity!$I:$I,Velocity!$A:$A,$A58,Velocity!$B:$B,$C58)/Assumptions!$B$4*Assumptions!$B$6</f>
        <v>0</v>
      </c>
      <c r="N58" s="7" t="n">
        <f aca="false">SUMIFS(Doors!Z:Z,Doors!$A:$A,$D58,Doors!$B:$B,$B58,Doors!$C:$C,$C58)*SUMIFS(Velocity!$I:$I,Velocity!$A:$A,$A58,Velocity!$B:$B,$C58)/Assumptions!$B$4*Assumptions!$B$6</f>
        <v>0</v>
      </c>
      <c r="O58" s="7" t="n">
        <f aca="false">SUMIFS(Doors!AA:AA,Doors!$A:$A,$D58,Doors!$B:$B,$B58,Doors!$C:$C,$C58)*SUMIFS(Velocity!$I:$I,Velocity!$A:$A,$A58,Velocity!$B:$B,$C58)/Assumptions!$B$4*Assumptions!$B$6</f>
        <v>0</v>
      </c>
      <c r="P58" s="7" t="n">
        <f aca="false">SUMIFS(Doors!AB:AB,Doors!$A:$A,$D58,Doors!$B:$B,$B58,Doors!$C:$C,$C58)*SUMIFS(Velocity!$I:$I,Velocity!$A:$A,$A58,Velocity!$B:$B,$C58)/Assumptions!$B$4*Assumptions!$B$6</f>
        <v>0</v>
      </c>
      <c r="Q58" s="7" t="n">
        <f aca="false">SUMIFS(Doors!AC:AC,Doors!$A:$A,$D58,Doors!$B:$B,$B58,Doors!$C:$C,$C58)*SUMIFS(Velocity!$I:$I,Velocity!$A:$A,$A58,Velocity!$B:$B,$C58)/Assumptions!$B$4*Assumptions!$B$6</f>
        <v>0</v>
      </c>
      <c r="R58" s="7" t="n">
        <f aca="false">SUMIFS(Doors!AD:AD,Doors!$A:$A,$D58,Doors!$B:$B,$B58,Doors!$C:$C,$C58)*SUMIFS(Velocity!$I:$I,Velocity!$A:$A,$A58,Velocity!$B:$B,$C58)/Assumptions!$B$4*Assumptions!$B$6</f>
        <v>0</v>
      </c>
      <c r="S58" s="7" t="n">
        <f aca="false">SUMIFS(Doors!AE:AE,Doors!$A:$A,$D58,Doors!$B:$B,$B58,Doors!$C:$C,$C58)*SUMIFS(Velocity!$I:$I,Velocity!$A:$A,$A58,Velocity!$B:$B,$C58)/Assumptions!$B$4*Assumptions!$B$6</f>
        <v>0</v>
      </c>
      <c r="T58" s="7" t="n">
        <f aca="false">SUMIFS(Doors!AF:AF,Doors!$A:$A,$D58,Doors!$B:$B,$B58,Doors!$C:$C,$C58)*SUMIFS(Velocity!$I:$I,Velocity!$A:$A,$A58,Velocity!$B:$B,$C58)/Assumptions!$B$4*Assumptions!$B$6</f>
        <v>0</v>
      </c>
      <c r="U58" s="7" t="n">
        <f aca="false">SUMIFS(Doors!AG:AG,Doors!$A:$A,$D58,Doors!$B:$B,$B58,Doors!$C:$C,$C58)*SUMIFS(Velocity!$I:$I,Velocity!$A:$A,$A58,Velocity!$B:$B,$C58)/Assumptions!$B$4*Assumptions!$B$6</f>
        <v>0</v>
      </c>
      <c r="V58" s="7" t="n">
        <f aca="false">SUMIFS(Doors!AH:AH,Doors!$A:$A,$D58,Doors!$B:$B,$B58,Doors!$C:$C,$C58)*SUMIFS(Velocity!$I:$I,Velocity!$A:$A,$A58,Velocity!$B:$B,$C58)/Assumptions!$B$4*Assumptions!$B$6</f>
        <v>0</v>
      </c>
      <c r="W58" s="7" t="n">
        <f aca="false">SUMIFS(Doors!AI:AI,Doors!$A:$A,$D58,Doors!$B:$B,$B58,Doors!$C:$C,$C58)*SUMIFS(Velocity!$I:$I,Velocity!$A:$A,$A58,Velocity!$B:$B,$C58)/Assumptions!$B$4*Assumptions!$B$6</f>
        <v>0</v>
      </c>
      <c r="X58" s="7" t="n">
        <f aca="false">SUMIFS(Doors!AJ:AJ,Doors!$A:$A,$D58,Doors!$B:$B,$B58,Doors!$C:$C,$C58)*SUMIFS(Velocity!$I:$I,Velocity!$A:$A,$A58,Velocity!$B:$B,$C58)/Assumptions!$B$4*Assumptions!$B$6</f>
        <v>0</v>
      </c>
      <c r="Y58" s="7" t="n">
        <f aca="false">SUMIFS(Doors!AK:AK,Doors!$A:$A,$D58,Doors!$B:$B,$B58,Doors!$C:$C,$C58)*SUMIFS(Velocity!$I:$I,Velocity!$A:$A,$A58,Velocity!$B:$B,$C58)/Assumptions!$B$4*Assumptions!$B$6</f>
        <v>0</v>
      </c>
      <c r="Z58" s="7" t="n">
        <f aca="false">SUMIFS(Doors!AL:AL,Doors!$A:$A,$D58,Doors!$B:$B,$B58,Doors!$C:$C,$C58)*SUMIFS(Velocity!$I:$I,Velocity!$A:$A,$A58,Velocity!$B:$B,$C58)/Assumptions!$B$4*Assumptions!$B$6</f>
        <v>0</v>
      </c>
      <c r="AA58" s="7" t="n">
        <f aca="false">SUMIFS(Doors!AM:AM,Doors!$A:$A,$D58,Doors!$B:$B,$B58,Doors!$C:$C,$C58)*SUMIFS(Velocity!$I:$I,Velocity!$A:$A,$A58,Velocity!$B:$B,$C58)/Assumptions!$B$4*Assumptions!$B$6</f>
        <v>0</v>
      </c>
      <c r="AB58" s="7" t="n">
        <f aca="false">SUMIFS(Doors!AN:AN,Doors!$A:$A,$D58,Doors!$B:$B,$B58,Doors!$C:$C,$C58)*SUMIFS(Velocity!$I:$I,Velocity!$A:$A,$A58,Velocity!$B:$B,$C58)/Assumptions!$B$4*Assumptions!$B$6</f>
        <v>0</v>
      </c>
      <c r="AC58" s="7" t="n">
        <f aca="false">SUMIFS(Doors!AO:AO,Doors!$A:$A,$D58,Doors!$B:$B,$B58,Doors!$C:$C,$C58)*SUMIFS(Velocity!$I:$I,Velocity!$A:$A,$A58,Velocity!$B:$B,$C58)/Assumptions!$B$4*Assumptions!$B$6</f>
        <v>0</v>
      </c>
      <c r="AD58" s="7" t="n">
        <f aca="false">SUMIFS(Doors!AP:AP,Doors!$A:$A,$D58,Doors!$B:$B,$B58,Doors!$C:$C,$C58)*SUMIFS(Velocity!$I:$I,Velocity!$A:$A,$A58,Velocity!$B:$B,$C58)/Assumptions!$B$4*Assumptions!$B$6</f>
        <v>0</v>
      </c>
      <c r="AE58" s="7" t="n">
        <f aca="false">SUMIFS(Doors!AQ:AQ,Doors!$A:$A,$D58,Doors!$B:$B,$B58,Doors!$C:$C,$C58)*SUMIFS(Velocity!$I:$I,Velocity!$A:$A,$A58,Velocity!$B:$B,$C58)/Assumptions!$B$4*Assumptions!$B$6</f>
        <v>0</v>
      </c>
      <c r="AF58" s="7" t="n">
        <f aca="false">SUMIFS(Doors!AR:AR,Doors!$A:$A,$D58,Doors!$B:$B,$B58,Doors!$C:$C,$C58)*SUMIFS(Velocity!$I:$I,Velocity!$A:$A,$A58,Velocity!$B:$B,$C58)/Assumptions!$B$4*Assumptions!$B$6</f>
        <v>0</v>
      </c>
      <c r="AG58" s="7" t="n">
        <f aca="false">SUMIFS(Doors!AS:AS,Doors!$A:$A,$D58,Doors!$B:$B,$B58,Doors!$C:$C,$C58)*SUMIFS(Velocity!$I:$I,Velocity!$A:$A,$A58,Velocity!$B:$B,$C58)/Assumptions!$B$4*Assumptions!$B$6</f>
        <v>0</v>
      </c>
      <c r="AH58" s="7" t="n">
        <f aca="false">SUMIFS(Doors!AT:AT,Doors!$A:$A,$D58,Doors!$B:$B,$B58,Doors!$C:$C,$C58)*SUMIFS(Velocity!$I:$I,Velocity!$A:$A,$A58,Velocity!$B:$B,$C58)/Assumptions!$B$4*Assumptions!$B$6</f>
        <v>0</v>
      </c>
      <c r="AI58" s="7" t="n">
        <f aca="false">SUMIFS(Doors!AU:AU,Doors!$A:$A,$D58,Doors!$B:$B,$B58,Doors!$C:$C,$C58)*SUMIFS(Velocity!$I:$I,Velocity!$A:$A,$A58,Velocity!$B:$B,$C58)/Assumptions!$B$4*Assumptions!$B$6</f>
        <v>0</v>
      </c>
      <c r="AJ58" s="7" t="n">
        <f aca="false">SUMIFS(Doors!AV:AV,Doors!$A:$A,$D58,Doors!$B:$B,$B58,Doors!$C:$C,$C58)*SUMIFS(Velocity!$I:$I,Velocity!$A:$A,$A58,Velocity!$B:$B,$C58)/Assumptions!$B$4*Assumptions!$B$6</f>
        <v>0</v>
      </c>
      <c r="AK58" s="7" t="n">
        <f aca="false">SUMIFS(Doors!AW:AW,Doors!$A:$A,$D58,Doors!$B:$B,$B58,Doors!$C:$C,$C58)*SUMIFS(Velocity!$I:$I,Velocity!$A:$A,$A58,Velocity!$B:$B,$C58)/Assumptions!$B$4*Assumptions!$B$6</f>
        <v>0</v>
      </c>
      <c r="AL58" s="7" t="n">
        <f aca="false">SUMIFS(Doors!AX:AX,Doors!$A:$A,$D58,Doors!$B:$B,$B58,Doors!$C:$C,$C58)*SUMIFS(Velocity!$I:$I,Velocity!$A:$A,$A58,Velocity!$B:$B,$C58)/Assumptions!$B$4*Assumptions!$B$6</f>
        <v>0</v>
      </c>
      <c r="AM58" s="7" t="n">
        <f aca="false">SUMIFS(Doors!AY:AY,Doors!$A:$A,$D58,Doors!$B:$B,$B58,Doors!$C:$C,$C58)*SUMIFS(Velocity!$I:$I,Velocity!$A:$A,$A58,Velocity!$B:$B,$C58)/Assumptions!$B$4*Assumptions!$B$6</f>
        <v>0</v>
      </c>
      <c r="AN58" s="7" t="n">
        <f aca="false">SUMIFS(Doors!AZ:AZ,Doors!$A:$A,$D58,Doors!$B:$B,$B58,Doors!$C:$C,$C58)*SUMIFS(Velocity!$I:$I,Velocity!$A:$A,$A58,Velocity!$B:$B,$C58)/Assumptions!$B$4*Assumptions!$B$6</f>
        <v>0</v>
      </c>
      <c r="AO58" s="7" t="n">
        <f aca="false">SUMIFS(Doors!BA:BA,Doors!$A:$A,$D58,Doors!$B:$B,$B58,Doors!$C:$C,$C58)*SUMIFS(Velocity!$I:$I,Velocity!$A:$A,$A58,Velocity!$B:$B,$C58)/Assumptions!$B$4*Assumptions!$B$6</f>
        <v>0</v>
      </c>
      <c r="AP58" s="7" t="n">
        <f aca="false">SUMIFS(Doors!BB:BB,Doors!$A:$A,$D58,Doors!$B:$B,$B58,Doors!$C:$C,$C58)*SUMIFS(Velocity!$I:$I,Velocity!$A:$A,$A58,Velocity!$B:$B,$C58)/Assumptions!$B$4*Assumptions!$B$6</f>
        <v>0</v>
      </c>
      <c r="AQ58" s="7" t="n">
        <f aca="false">SUMIFS(Doors!BC:BC,Doors!$A:$A,$D58,Doors!$B:$B,$B58,Doors!$C:$C,$C58)*SUMIFS(Velocity!$I:$I,Velocity!$A:$A,$A58,Velocity!$B:$B,$C58)/Assumptions!$B$4*Assumptions!$B$6</f>
        <v>0</v>
      </c>
      <c r="AR58" s="7" t="n">
        <f aca="false">SUMIFS(Doors!BD:BD,Doors!$A:$A,$D58,Doors!$B:$B,$B58,Doors!$C:$C,$C58)*SUMIFS(Velocity!$I:$I,Velocity!$A:$A,$A58,Velocity!$B:$B,$C58)/Assumptions!$B$4*Assumptions!$B$6</f>
        <v>0</v>
      </c>
      <c r="AS58" s="7" t="n">
        <f aca="false">SUMIFS(Doors!BE:BE,Doors!$A:$A,$D58,Doors!$B:$B,$B58,Doors!$C:$C,$C58)*SUMIFS(Velocity!$I:$I,Velocity!$A:$A,$A58,Velocity!$B:$B,$C58)/Assumptions!$B$4*Assumptions!$B$6</f>
        <v>0</v>
      </c>
      <c r="AT58" s="7" t="n">
        <f aca="false">SUMIFS(Doors!BF:BF,Doors!$A:$A,$D58,Doors!$B:$B,$B58,Doors!$C:$C,$C58)*SUMIFS(Velocity!$I:$I,Velocity!$A:$A,$A58,Velocity!$B:$B,$C58)/Assumptions!$B$4*Assumptions!$B$6</f>
        <v>0</v>
      </c>
      <c r="AU58" s="7" t="n">
        <f aca="false">SUMIFS(Doors!BG:BG,Doors!$A:$A,$D58,Doors!$B:$B,$B58,Doors!$C:$C,$C58)*SUMIFS(Velocity!$I:$I,Velocity!$A:$A,$A58,Velocity!$B:$B,$C58)/Assumptions!$B$4*Assumptions!$B$6</f>
        <v>0</v>
      </c>
      <c r="AV58" s="7" t="n">
        <f aca="false">SUMIFS(Doors!BH:BH,Doors!$A:$A,$D58,Doors!$B:$B,$B58,Doors!$C:$C,$C58)*SUMIFS(Velocity!$I:$I,Velocity!$A:$A,$A58,Velocity!$B:$B,$C58)/Assumptions!$B$4*Assumptions!$B$6</f>
        <v>0</v>
      </c>
      <c r="AW58" s="7" t="n">
        <f aca="false">SUMIFS(Doors!BI:BI,Doors!$A:$A,$D58,Doors!$B:$B,$B58,Doors!$C:$C,$C58)*SUMIFS(Velocity!$I:$I,Velocity!$A:$A,$A58,Velocity!$B:$B,$C58)/Assumptions!$B$4*Assumptions!$B$6</f>
        <v>0</v>
      </c>
      <c r="AX58" s="7" t="n">
        <f aca="false">SUMIFS(Doors!BJ:BJ,Doors!$A:$A,$D58,Doors!$B:$B,$B58,Doors!$C:$C,$C58)*SUMIFS(Velocity!$I:$I,Velocity!$A:$A,$A58,Velocity!$B:$B,$C58)/Assumptions!$B$4*Assumptions!$B$6</f>
        <v>0</v>
      </c>
      <c r="AY58" s="7" t="n">
        <f aca="false">SUMIFS(Doors!BK:BK,Doors!$A:$A,$D58,Doors!$B:$B,$B58,Doors!$C:$C,$C58)*SUMIFS(Velocity!$I:$I,Velocity!$A:$A,$A58,Velocity!$B:$B,$C58)/Assumptions!$B$4*Assumptions!$B$6</f>
        <v>0</v>
      </c>
      <c r="AZ58" s="7" t="n">
        <f aca="false">SUMIFS(Doors!BL:BL,Doors!$A:$A,$D58,Doors!$B:$B,$B58,Doors!$C:$C,$C58)*SUMIFS(Velocity!$I:$I,Velocity!$A:$A,$A58,Velocity!$B:$B,$C58)/Assumptions!$B$4*Assumptions!$B$6</f>
        <v>0</v>
      </c>
      <c r="BA58" s="7" t="n">
        <f aca="false">SUMIFS(Doors!BM:BM,Doors!$A:$A,$D58,Doors!$B:$B,$B58,Doors!$C:$C,$C58)*SUMIFS(Velocity!$I:$I,Velocity!$A:$A,$A58,Velocity!$B:$B,$C58)/Assumptions!$B$4*Assumptions!$B$6</f>
        <v>0</v>
      </c>
      <c r="BB58" s="7" t="n">
        <f aca="false">SUMIFS(Doors!BN:BN,Doors!$A:$A,$D58,Doors!$B:$B,$B58,Doors!$C:$C,$C58)*SUMIFS(Velocity!$I:$I,Velocity!$A:$A,$A58,Velocity!$B:$B,$C58)/Assumptions!$B$4*Assumptions!$B$6</f>
        <v>0</v>
      </c>
      <c r="BC58" s="7" t="n">
        <f aca="false">SUMIFS(Doors!BO:BO,Doors!$A:$A,$D58,Doors!$B:$B,$B58,Doors!$C:$C,$C58)*SUMIFS(Velocity!$I:$I,Velocity!$A:$A,$A58,Velocity!$B:$B,$C58)/Assumptions!$B$4*Assumptions!$B$6</f>
        <v>0</v>
      </c>
      <c r="BD58" s="7" t="n">
        <f aca="false">SUMIFS(Doors!BP:BP,Doors!$A:$A,$D58,Doors!$B:$B,$B58,Doors!$C:$C,$C58)*SUMIFS(Velocity!$I:$I,Velocity!$A:$A,$A58,Velocity!$B:$B,$C58)/Assumptions!$B$4*Assumptions!$B$6</f>
        <v>0</v>
      </c>
    </row>
    <row r="59" customFormat="false" ht="15" hidden="false" customHeight="false" outlineLevel="0" collapsed="false">
      <c r="A59" s="0" t="s">
        <v>108</v>
      </c>
      <c r="B59" s="0" t="s">
        <v>131</v>
      </c>
      <c r="C59" s="0" t="s">
        <v>123</v>
      </c>
      <c r="D59" s="0" t="s">
        <v>235</v>
      </c>
      <c r="E59" s="7" t="n">
        <f aca="false">SUMIFS(Doors!Q:Q,Doors!$A:$A,$D59,Doors!$B:$B,$B59,Doors!$C:$C,$C59)*SUMIFS(Velocity!$I:$I,Velocity!$A:$A,$A59,Velocity!$B:$B,$C59)/Assumptions!$B$4*Assumptions!$B$6</f>
        <v>0</v>
      </c>
      <c r="F59" s="7" t="n">
        <f aca="false">SUMIFS(Doors!R:R,Doors!$A:$A,$D59,Doors!$B:$B,$B59,Doors!$C:$C,$C59)*SUMIFS(Velocity!$I:$I,Velocity!$A:$A,$A59,Velocity!$B:$B,$C59)/Assumptions!$B$4*Assumptions!$B$6</f>
        <v>0</v>
      </c>
      <c r="G59" s="7" t="n">
        <f aca="false">SUMIFS(Doors!S:S,Doors!$A:$A,$D59,Doors!$B:$B,$B59,Doors!$C:$C,$C59)*SUMIFS(Velocity!$I:$I,Velocity!$A:$A,$A59,Velocity!$B:$B,$C59)/Assumptions!$B$4*Assumptions!$B$6</f>
        <v>0</v>
      </c>
      <c r="H59" s="7" t="n">
        <f aca="false">SUMIFS(Doors!T:T,Doors!$A:$A,$D59,Doors!$B:$B,$B59,Doors!$C:$C,$C59)*SUMIFS(Velocity!$I:$I,Velocity!$A:$A,$A59,Velocity!$B:$B,$C59)/Assumptions!$B$4*Assumptions!$B$6</f>
        <v>0</v>
      </c>
      <c r="I59" s="7" t="n">
        <f aca="false">SUMIFS(Doors!U:U,Doors!$A:$A,$D59,Doors!$B:$B,$B59,Doors!$C:$C,$C59)*SUMIFS(Velocity!$I:$I,Velocity!$A:$A,$A59,Velocity!$B:$B,$C59)/Assumptions!$B$4*Assumptions!$B$6</f>
        <v>0</v>
      </c>
      <c r="J59" s="7" t="n">
        <f aca="false">SUMIFS(Doors!V:V,Doors!$A:$A,$D59,Doors!$B:$B,$B59,Doors!$C:$C,$C59)*SUMIFS(Velocity!$I:$I,Velocity!$A:$A,$A59,Velocity!$B:$B,$C59)/Assumptions!$B$4*Assumptions!$B$6</f>
        <v>0</v>
      </c>
      <c r="K59" s="7" t="n">
        <f aca="false">SUMIFS(Doors!W:W,Doors!$A:$A,$D59,Doors!$B:$B,$B59,Doors!$C:$C,$C59)*SUMIFS(Velocity!$I:$I,Velocity!$A:$A,$A59,Velocity!$B:$B,$C59)/Assumptions!$B$4*Assumptions!$B$6</f>
        <v>0</v>
      </c>
      <c r="L59" s="7" t="n">
        <f aca="false">SUMIFS(Doors!X:X,Doors!$A:$A,$D59,Doors!$B:$B,$B59,Doors!$C:$C,$C59)*SUMIFS(Velocity!$I:$I,Velocity!$A:$A,$A59,Velocity!$B:$B,$C59)/Assumptions!$B$4*Assumptions!$B$6</f>
        <v>0</v>
      </c>
      <c r="M59" s="7" t="n">
        <f aca="false">SUMIFS(Doors!Y:Y,Doors!$A:$A,$D59,Doors!$B:$B,$B59,Doors!$C:$C,$C59)*SUMIFS(Velocity!$I:$I,Velocity!$A:$A,$A59,Velocity!$B:$B,$C59)/Assumptions!$B$4*Assumptions!$B$6</f>
        <v>0</v>
      </c>
      <c r="N59" s="7" t="n">
        <f aca="false">SUMIFS(Doors!Z:Z,Doors!$A:$A,$D59,Doors!$B:$B,$B59,Doors!$C:$C,$C59)*SUMIFS(Velocity!$I:$I,Velocity!$A:$A,$A59,Velocity!$B:$B,$C59)/Assumptions!$B$4*Assumptions!$B$6</f>
        <v>0</v>
      </c>
      <c r="O59" s="7" t="n">
        <f aca="false">SUMIFS(Doors!AA:AA,Doors!$A:$A,$D59,Doors!$B:$B,$B59,Doors!$C:$C,$C59)*SUMIFS(Velocity!$I:$I,Velocity!$A:$A,$A59,Velocity!$B:$B,$C59)/Assumptions!$B$4*Assumptions!$B$6</f>
        <v>0</v>
      </c>
      <c r="P59" s="7" t="n">
        <f aca="false">SUMIFS(Doors!AB:AB,Doors!$A:$A,$D59,Doors!$B:$B,$B59,Doors!$C:$C,$C59)*SUMIFS(Velocity!$I:$I,Velocity!$A:$A,$A59,Velocity!$B:$B,$C59)/Assumptions!$B$4*Assumptions!$B$6</f>
        <v>0</v>
      </c>
      <c r="Q59" s="7" t="n">
        <f aca="false">SUMIFS(Doors!AC:AC,Doors!$A:$A,$D59,Doors!$B:$B,$B59,Doors!$C:$C,$C59)*SUMIFS(Velocity!$I:$I,Velocity!$A:$A,$A59,Velocity!$B:$B,$C59)/Assumptions!$B$4*Assumptions!$B$6</f>
        <v>0</v>
      </c>
      <c r="R59" s="7" t="n">
        <f aca="false">SUMIFS(Doors!AD:AD,Doors!$A:$A,$D59,Doors!$B:$B,$B59,Doors!$C:$C,$C59)*SUMIFS(Velocity!$I:$I,Velocity!$A:$A,$A59,Velocity!$B:$B,$C59)/Assumptions!$B$4*Assumptions!$B$6</f>
        <v>0</v>
      </c>
      <c r="S59" s="7" t="n">
        <f aca="false">SUMIFS(Doors!AE:AE,Doors!$A:$A,$D59,Doors!$B:$B,$B59,Doors!$C:$C,$C59)*SUMIFS(Velocity!$I:$I,Velocity!$A:$A,$A59,Velocity!$B:$B,$C59)/Assumptions!$B$4*Assumptions!$B$6</f>
        <v>0</v>
      </c>
      <c r="T59" s="7" t="n">
        <f aca="false">SUMIFS(Doors!AF:AF,Doors!$A:$A,$D59,Doors!$B:$B,$B59,Doors!$C:$C,$C59)*SUMIFS(Velocity!$I:$I,Velocity!$A:$A,$A59,Velocity!$B:$B,$C59)/Assumptions!$B$4*Assumptions!$B$6</f>
        <v>0</v>
      </c>
      <c r="U59" s="7" t="n">
        <f aca="false">SUMIFS(Doors!AG:AG,Doors!$A:$A,$D59,Doors!$B:$B,$B59,Doors!$C:$C,$C59)*SUMIFS(Velocity!$I:$I,Velocity!$A:$A,$A59,Velocity!$B:$B,$C59)/Assumptions!$B$4*Assumptions!$B$6</f>
        <v>0</v>
      </c>
      <c r="V59" s="7" t="n">
        <f aca="false">SUMIFS(Doors!AH:AH,Doors!$A:$A,$D59,Doors!$B:$B,$B59,Doors!$C:$C,$C59)*SUMIFS(Velocity!$I:$I,Velocity!$A:$A,$A59,Velocity!$B:$B,$C59)/Assumptions!$B$4*Assumptions!$B$6</f>
        <v>0</v>
      </c>
      <c r="W59" s="7" t="n">
        <f aca="false">SUMIFS(Doors!AI:AI,Doors!$A:$A,$D59,Doors!$B:$B,$B59,Doors!$C:$C,$C59)*SUMIFS(Velocity!$I:$I,Velocity!$A:$A,$A59,Velocity!$B:$B,$C59)/Assumptions!$B$4*Assumptions!$B$6</f>
        <v>0</v>
      </c>
      <c r="X59" s="7" t="n">
        <f aca="false">SUMIFS(Doors!AJ:AJ,Doors!$A:$A,$D59,Doors!$B:$B,$B59,Doors!$C:$C,$C59)*SUMIFS(Velocity!$I:$I,Velocity!$A:$A,$A59,Velocity!$B:$B,$C59)/Assumptions!$B$4*Assumptions!$B$6</f>
        <v>0</v>
      </c>
      <c r="Y59" s="7" t="n">
        <f aca="false">SUMIFS(Doors!AK:AK,Doors!$A:$A,$D59,Doors!$B:$B,$B59,Doors!$C:$C,$C59)*SUMIFS(Velocity!$I:$I,Velocity!$A:$A,$A59,Velocity!$B:$B,$C59)/Assumptions!$B$4*Assumptions!$B$6</f>
        <v>0</v>
      </c>
      <c r="Z59" s="7" t="n">
        <f aca="false">SUMIFS(Doors!AL:AL,Doors!$A:$A,$D59,Doors!$B:$B,$B59,Doors!$C:$C,$C59)*SUMIFS(Velocity!$I:$I,Velocity!$A:$A,$A59,Velocity!$B:$B,$C59)/Assumptions!$B$4*Assumptions!$B$6</f>
        <v>0</v>
      </c>
      <c r="AA59" s="7" t="n">
        <f aca="false">SUMIFS(Doors!AM:AM,Doors!$A:$A,$D59,Doors!$B:$B,$B59,Doors!$C:$C,$C59)*SUMIFS(Velocity!$I:$I,Velocity!$A:$A,$A59,Velocity!$B:$B,$C59)/Assumptions!$B$4*Assumptions!$B$6</f>
        <v>0</v>
      </c>
      <c r="AB59" s="7" t="n">
        <f aca="false">SUMIFS(Doors!AN:AN,Doors!$A:$A,$D59,Doors!$B:$B,$B59,Doors!$C:$C,$C59)*SUMIFS(Velocity!$I:$I,Velocity!$A:$A,$A59,Velocity!$B:$B,$C59)/Assumptions!$B$4*Assumptions!$B$6</f>
        <v>0</v>
      </c>
      <c r="AC59" s="7" t="n">
        <f aca="false">SUMIFS(Doors!AO:AO,Doors!$A:$A,$D59,Doors!$B:$B,$B59,Doors!$C:$C,$C59)*SUMIFS(Velocity!$I:$I,Velocity!$A:$A,$A59,Velocity!$B:$B,$C59)/Assumptions!$B$4*Assumptions!$B$6</f>
        <v>0</v>
      </c>
      <c r="AD59" s="7" t="n">
        <f aca="false">SUMIFS(Doors!AP:AP,Doors!$A:$A,$D59,Doors!$B:$B,$B59,Doors!$C:$C,$C59)*SUMIFS(Velocity!$I:$I,Velocity!$A:$A,$A59,Velocity!$B:$B,$C59)/Assumptions!$B$4*Assumptions!$B$6</f>
        <v>0</v>
      </c>
      <c r="AE59" s="7" t="n">
        <f aca="false">SUMIFS(Doors!AQ:AQ,Doors!$A:$A,$D59,Doors!$B:$B,$B59,Doors!$C:$C,$C59)*SUMIFS(Velocity!$I:$I,Velocity!$A:$A,$A59,Velocity!$B:$B,$C59)/Assumptions!$B$4*Assumptions!$B$6</f>
        <v>0</v>
      </c>
      <c r="AF59" s="7" t="n">
        <f aca="false">SUMIFS(Doors!AR:AR,Doors!$A:$A,$D59,Doors!$B:$B,$B59,Doors!$C:$C,$C59)*SUMIFS(Velocity!$I:$I,Velocity!$A:$A,$A59,Velocity!$B:$B,$C59)/Assumptions!$B$4*Assumptions!$B$6</f>
        <v>0</v>
      </c>
      <c r="AG59" s="7" t="n">
        <f aca="false">SUMIFS(Doors!AS:AS,Doors!$A:$A,$D59,Doors!$B:$B,$B59,Doors!$C:$C,$C59)*SUMIFS(Velocity!$I:$I,Velocity!$A:$A,$A59,Velocity!$B:$B,$C59)/Assumptions!$B$4*Assumptions!$B$6</f>
        <v>0</v>
      </c>
      <c r="AH59" s="7" t="n">
        <f aca="false">SUMIFS(Doors!AT:AT,Doors!$A:$A,$D59,Doors!$B:$B,$B59,Doors!$C:$C,$C59)*SUMIFS(Velocity!$I:$I,Velocity!$A:$A,$A59,Velocity!$B:$B,$C59)/Assumptions!$B$4*Assumptions!$B$6</f>
        <v>0</v>
      </c>
      <c r="AI59" s="7" t="n">
        <f aca="false">SUMIFS(Doors!AU:AU,Doors!$A:$A,$D59,Doors!$B:$B,$B59,Doors!$C:$C,$C59)*SUMIFS(Velocity!$I:$I,Velocity!$A:$A,$A59,Velocity!$B:$B,$C59)/Assumptions!$B$4*Assumptions!$B$6</f>
        <v>0</v>
      </c>
      <c r="AJ59" s="7" t="n">
        <f aca="false">SUMIFS(Doors!AV:AV,Doors!$A:$A,$D59,Doors!$B:$B,$B59,Doors!$C:$C,$C59)*SUMIFS(Velocity!$I:$I,Velocity!$A:$A,$A59,Velocity!$B:$B,$C59)/Assumptions!$B$4*Assumptions!$B$6</f>
        <v>0</v>
      </c>
      <c r="AK59" s="7" t="n">
        <f aca="false">SUMIFS(Doors!AW:AW,Doors!$A:$A,$D59,Doors!$B:$B,$B59,Doors!$C:$C,$C59)*SUMIFS(Velocity!$I:$I,Velocity!$A:$A,$A59,Velocity!$B:$B,$C59)/Assumptions!$B$4*Assumptions!$B$6</f>
        <v>0</v>
      </c>
      <c r="AL59" s="7" t="n">
        <f aca="false">SUMIFS(Doors!AX:AX,Doors!$A:$A,$D59,Doors!$B:$B,$B59,Doors!$C:$C,$C59)*SUMIFS(Velocity!$I:$I,Velocity!$A:$A,$A59,Velocity!$B:$B,$C59)/Assumptions!$B$4*Assumptions!$B$6</f>
        <v>0</v>
      </c>
      <c r="AM59" s="7" t="n">
        <f aca="false">SUMIFS(Doors!AY:AY,Doors!$A:$A,$D59,Doors!$B:$B,$B59,Doors!$C:$C,$C59)*SUMIFS(Velocity!$I:$I,Velocity!$A:$A,$A59,Velocity!$B:$B,$C59)/Assumptions!$B$4*Assumptions!$B$6</f>
        <v>0</v>
      </c>
      <c r="AN59" s="7" t="n">
        <f aca="false">SUMIFS(Doors!AZ:AZ,Doors!$A:$A,$D59,Doors!$B:$B,$B59,Doors!$C:$C,$C59)*SUMIFS(Velocity!$I:$I,Velocity!$A:$A,$A59,Velocity!$B:$B,$C59)/Assumptions!$B$4*Assumptions!$B$6</f>
        <v>0</v>
      </c>
      <c r="AO59" s="7" t="n">
        <f aca="false">SUMIFS(Doors!BA:BA,Doors!$A:$A,$D59,Doors!$B:$B,$B59,Doors!$C:$C,$C59)*SUMIFS(Velocity!$I:$I,Velocity!$A:$A,$A59,Velocity!$B:$B,$C59)/Assumptions!$B$4*Assumptions!$B$6</f>
        <v>0</v>
      </c>
      <c r="AP59" s="7" t="n">
        <f aca="false">SUMIFS(Doors!BB:BB,Doors!$A:$A,$D59,Doors!$B:$B,$B59,Doors!$C:$C,$C59)*SUMIFS(Velocity!$I:$I,Velocity!$A:$A,$A59,Velocity!$B:$B,$C59)/Assumptions!$B$4*Assumptions!$B$6</f>
        <v>0</v>
      </c>
      <c r="AQ59" s="7" t="n">
        <f aca="false">SUMIFS(Doors!BC:BC,Doors!$A:$A,$D59,Doors!$B:$B,$B59,Doors!$C:$C,$C59)*SUMIFS(Velocity!$I:$I,Velocity!$A:$A,$A59,Velocity!$B:$B,$C59)/Assumptions!$B$4*Assumptions!$B$6</f>
        <v>0</v>
      </c>
      <c r="AR59" s="7" t="n">
        <f aca="false">SUMIFS(Doors!BD:BD,Doors!$A:$A,$D59,Doors!$B:$B,$B59,Doors!$C:$C,$C59)*SUMIFS(Velocity!$I:$I,Velocity!$A:$A,$A59,Velocity!$B:$B,$C59)/Assumptions!$B$4*Assumptions!$B$6</f>
        <v>0</v>
      </c>
      <c r="AS59" s="7" t="n">
        <f aca="false">SUMIFS(Doors!BE:BE,Doors!$A:$A,$D59,Doors!$B:$B,$B59,Doors!$C:$C,$C59)*SUMIFS(Velocity!$I:$I,Velocity!$A:$A,$A59,Velocity!$B:$B,$C59)/Assumptions!$B$4*Assumptions!$B$6</f>
        <v>0</v>
      </c>
      <c r="AT59" s="7" t="n">
        <f aca="false">SUMIFS(Doors!BF:BF,Doors!$A:$A,$D59,Doors!$B:$B,$B59,Doors!$C:$C,$C59)*SUMIFS(Velocity!$I:$I,Velocity!$A:$A,$A59,Velocity!$B:$B,$C59)/Assumptions!$B$4*Assumptions!$B$6</f>
        <v>0</v>
      </c>
      <c r="AU59" s="7" t="n">
        <f aca="false">SUMIFS(Doors!BG:BG,Doors!$A:$A,$D59,Doors!$B:$B,$B59,Doors!$C:$C,$C59)*SUMIFS(Velocity!$I:$I,Velocity!$A:$A,$A59,Velocity!$B:$B,$C59)/Assumptions!$B$4*Assumptions!$B$6</f>
        <v>0</v>
      </c>
      <c r="AV59" s="7" t="n">
        <f aca="false">SUMIFS(Doors!BH:BH,Doors!$A:$A,$D59,Doors!$B:$B,$B59,Doors!$C:$C,$C59)*SUMIFS(Velocity!$I:$I,Velocity!$A:$A,$A59,Velocity!$B:$B,$C59)/Assumptions!$B$4*Assumptions!$B$6</f>
        <v>0</v>
      </c>
      <c r="AW59" s="7" t="n">
        <f aca="false">SUMIFS(Doors!BI:BI,Doors!$A:$A,$D59,Doors!$B:$B,$B59,Doors!$C:$C,$C59)*SUMIFS(Velocity!$I:$I,Velocity!$A:$A,$A59,Velocity!$B:$B,$C59)/Assumptions!$B$4*Assumptions!$B$6</f>
        <v>0</v>
      </c>
      <c r="AX59" s="7" t="n">
        <f aca="false">SUMIFS(Doors!BJ:BJ,Doors!$A:$A,$D59,Doors!$B:$B,$B59,Doors!$C:$C,$C59)*SUMIFS(Velocity!$I:$I,Velocity!$A:$A,$A59,Velocity!$B:$B,$C59)/Assumptions!$B$4*Assumptions!$B$6</f>
        <v>0</v>
      </c>
      <c r="AY59" s="7" t="n">
        <f aca="false">SUMIFS(Doors!BK:BK,Doors!$A:$A,$D59,Doors!$B:$B,$B59,Doors!$C:$C,$C59)*SUMIFS(Velocity!$I:$I,Velocity!$A:$A,$A59,Velocity!$B:$B,$C59)/Assumptions!$B$4*Assumptions!$B$6</f>
        <v>0</v>
      </c>
      <c r="AZ59" s="7" t="n">
        <f aca="false">SUMIFS(Doors!BL:BL,Doors!$A:$A,$D59,Doors!$B:$B,$B59,Doors!$C:$C,$C59)*SUMIFS(Velocity!$I:$I,Velocity!$A:$A,$A59,Velocity!$B:$B,$C59)/Assumptions!$B$4*Assumptions!$B$6</f>
        <v>0</v>
      </c>
      <c r="BA59" s="7" t="n">
        <f aca="false">SUMIFS(Doors!BM:BM,Doors!$A:$A,$D59,Doors!$B:$B,$B59,Doors!$C:$C,$C59)*SUMIFS(Velocity!$I:$I,Velocity!$A:$A,$A59,Velocity!$B:$B,$C59)/Assumptions!$B$4*Assumptions!$B$6</f>
        <v>0</v>
      </c>
      <c r="BB59" s="7" t="n">
        <f aca="false">SUMIFS(Doors!BN:BN,Doors!$A:$A,$D59,Doors!$B:$B,$B59,Doors!$C:$C,$C59)*SUMIFS(Velocity!$I:$I,Velocity!$A:$A,$A59,Velocity!$B:$B,$C59)/Assumptions!$B$4*Assumptions!$B$6</f>
        <v>0</v>
      </c>
      <c r="BC59" s="7" t="n">
        <f aca="false">SUMIFS(Doors!BO:BO,Doors!$A:$A,$D59,Doors!$B:$B,$B59,Doors!$C:$C,$C59)*SUMIFS(Velocity!$I:$I,Velocity!$A:$A,$A59,Velocity!$B:$B,$C59)/Assumptions!$B$4*Assumptions!$B$6</f>
        <v>0</v>
      </c>
      <c r="BD59" s="7" t="n">
        <f aca="false">SUMIFS(Doors!BP:BP,Doors!$A:$A,$D59,Doors!$B:$B,$B59,Doors!$C:$C,$C59)*SUMIFS(Velocity!$I:$I,Velocity!$A:$A,$A59,Velocity!$B:$B,$C59)/Assumptions!$B$4*Assumptions!$B$6</f>
        <v>0</v>
      </c>
    </row>
    <row r="60" customFormat="false" ht="15" hidden="false" customHeight="false" outlineLevel="0" collapsed="false">
      <c r="A60" s="0" t="s">
        <v>108</v>
      </c>
      <c r="B60" s="0" t="s">
        <v>132</v>
      </c>
      <c r="C60" s="0" t="s">
        <v>115</v>
      </c>
      <c r="D60" s="0" t="s">
        <v>235</v>
      </c>
      <c r="E60" s="7" t="n">
        <f aca="false">SUMIFS(Doors!Q:Q,Doors!$A:$A,$D60,Doors!$B:$B,$B60,Doors!$C:$C,$C60)*SUMIFS(Velocity!$I:$I,Velocity!$A:$A,$A60,Velocity!$B:$B,$C60)/Assumptions!$B$4*Assumptions!$B$6</f>
        <v>0</v>
      </c>
      <c r="F60" s="7" t="n">
        <f aca="false">SUMIFS(Doors!R:R,Doors!$A:$A,$D60,Doors!$B:$B,$B60,Doors!$C:$C,$C60)*SUMIFS(Velocity!$I:$I,Velocity!$A:$A,$A60,Velocity!$B:$B,$C60)/Assumptions!$B$4*Assumptions!$B$6</f>
        <v>0</v>
      </c>
      <c r="G60" s="7" t="n">
        <f aca="false">SUMIFS(Doors!S:S,Doors!$A:$A,$D60,Doors!$B:$B,$B60,Doors!$C:$C,$C60)*SUMIFS(Velocity!$I:$I,Velocity!$A:$A,$A60,Velocity!$B:$B,$C60)/Assumptions!$B$4*Assumptions!$B$6</f>
        <v>0</v>
      </c>
      <c r="H60" s="7" t="n">
        <f aca="false">SUMIFS(Doors!T:T,Doors!$A:$A,$D60,Doors!$B:$B,$B60,Doors!$C:$C,$C60)*SUMIFS(Velocity!$I:$I,Velocity!$A:$A,$A60,Velocity!$B:$B,$C60)/Assumptions!$B$4*Assumptions!$B$6</f>
        <v>0</v>
      </c>
      <c r="I60" s="7" t="n">
        <f aca="false">SUMIFS(Doors!U:U,Doors!$A:$A,$D60,Doors!$B:$B,$B60,Doors!$C:$C,$C60)*SUMIFS(Velocity!$I:$I,Velocity!$A:$A,$A60,Velocity!$B:$B,$C60)/Assumptions!$B$4*Assumptions!$B$6</f>
        <v>0</v>
      </c>
      <c r="J60" s="7" t="n">
        <f aca="false">SUMIFS(Doors!V:V,Doors!$A:$A,$D60,Doors!$B:$B,$B60,Doors!$C:$C,$C60)*SUMIFS(Velocity!$I:$I,Velocity!$A:$A,$A60,Velocity!$B:$B,$C60)/Assumptions!$B$4*Assumptions!$B$6</f>
        <v>0</v>
      </c>
      <c r="K60" s="7" t="n">
        <f aca="false">SUMIFS(Doors!W:W,Doors!$A:$A,$D60,Doors!$B:$B,$B60,Doors!$C:$C,$C60)*SUMIFS(Velocity!$I:$I,Velocity!$A:$A,$A60,Velocity!$B:$B,$C60)/Assumptions!$B$4*Assumptions!$B$6</f>
        <v>0</v>
      </c>
      <c r="L60" s="7" t="n">
        <f aca="false">SUMIFS(Doors!X:X,Doors!$A:$A,$D60,Doors!$B:$B,$B60,Doors!$C:$C,$C60)*SUMIFS(Velocity!$I:$I,Velocity!$A:$A,$A60,Velocity!$B:$B,$C60)/Assumptions!$B$4*Assumptions!$B$6</f>
        <v>0</v>
      </c>
      <c r="M60" s="7" t="n">
        <f aca="false">SUMIFS(Doors!Y:Y,Doors!$A:$A,$D60,Doors!$B:$B,$B60,Doors!$C:$C,$C60)*SUMIFS(Velocity!$I:$I,Velocity!$A:$A,$A60,Velocity!$B:$B,$C60)/Assumptions!$B$4*Assumptions!$B$6</f>
        <v>0</v>
      </c>
      <c r="N60" s="7" t="n">
        <f aca="false">SUMIFS(Doors!Z:Z,Doors!$A:$A,$D60,Doors!$B:$B,$B60,Doors!$C:$C,$C60)*SUMIFS(Velocity!$I:$I,Velocity!$A:$A,$A60,Velocity!$B:$B,$C60)/Assumptions!$B$4*Assumptions!$B$6</f>
        <v>0.329166666666667</v>
      </c>
      <c r="O60" s="7" t="n">
        <f aca="false">SUMIFS(Doors!AA:AA,Doors!$A:$A,$D60,Doors!$B:$B,$B60,Doors!$C:$C,$C60)*SUMIFS(Velocity!$I:$I,Velocity!$A:$A,$A60,Velocity!$B:$B,$C60)/Assumptions!$B$4*Assumptions!$B$6</f>
        <v>0.329166666666667</v>
      </c>
      <c r="P60" s="7" t="n">
        <f aca="false">SUMIFS(Doors!AB:AB,Doors!$A:$A,$D60,Doors!$B:$B,$B60,Doors!$C:$C,$C60)*SUMIFS(Velocity!$I:$I,Velocity!$A:$A,$A60,Velocity!$B:$B,$C60)/Assumptions!$B$4*Assumptions!$B$6</f>
        <v>0.329166666666667</v>
      </c>
      <c r="Q60" s="7" t="n">
        <f aca="false">SUMIFS(Doors!AC:AC,Doors!$A:$A,$D60,Doors!$B:$B,$B60,Doors!$C:$C,$C60)*SUMIFS(Velocity!$I:$I,Velocity!$A:$A,$A60,Velocity!$B:$B,$C60)/Assumptions!$B$4*Assumptions!$B$6</f>
        <v>0.329166666666667</v>
      </c>
      <c r="R60" s="7" t="n">
        <f aca="false">SUMIFS(Doors!AD:AD,Doors!$A:$A,$D60,Doors!$B:$B,$B60,Doors!$C:$C,$C60)*SUMIFS(Velocity!$I:$I,Velocity!$A:$A,$A60,Velocity!$B:$B,$C60)/Assumptions!$B$4*Assumptions!$B$6</f>
        <v>0.9875</v>
      </c>
      <c r="S60" s="7" t="n">
        <f aca="false">SUMIFS(Doors!AE:AE,Doors!$A:$A,$D60,Doors!$B:$B,$B60,Doors!$C:$C,$C60)*SUMIFS(Velocity!$I:$I,Velocity!$A:$A,$A60,Velocity!$B:$B,$C60)/Assumptions!$B$4*Assumptions!$B$6</f>
        <v>0.9875</v>
      </c>
      <c r="T60" s="7" t="n">
        <f aca="false">SUMIFS(Doors!AF:AF,Doors!$A:$A,$D60,Doors!$B:$B,$B60,Doors!$C:$C,$C60)*SUMIFS(Velocity!$I:$I,Velocity!$A:$A,$A60,Velocity!$B:$B,$C60)/Assumptions!$B$4*Assumptions!$B$6</f>
        <v>0.9875</v>
      </c>
      <c r="U60" s="7" t="n">
        <f aca="false">SUMIFS(Doors!AG:AG,Doors!$A:$A,$D60,Doors!$B:$B,$B60,Doors!$C:$C,$C60)*SUMIFS(Velocity!$I:$I,Velocity!$A:$A,$A60,Velocity!$B:$B,$C60)/Assumptions!$B$4*Assumptions!$B$6</f>
        <v>0.9875</v>
      </c>
      <c r="V60" s="7" t="n">
        <f aca="false">SUMIFS(Doors!AH:AH,Doors!$A:$A,$D60,Doors!$B:$B,$B60,Doors!$C:$C,$C60)*SUMIFS(Velocity!$I:$I,Velocity!$A:$A,$A60,Velocity!$B:$B,$C60)/Assumptions!$B$4*Assumptions!$B$6</f>
        <v>0.9875</v>
      </c>
      <c r="W60" s="7" t="n">
        <f aca="false">SUMIFS(Doors!AI:AI,Doors!$A:$A,$D60,Doors!$B:$B,$B60,Doors!$C:$C,$C60)*SUMIFS(Velocity!$I:$I,Velocity!$A:$A,$A60,Velocity!$B:$B,$C60)/Assumptions!$B$4*Assumptions!$B$6</f>
        <v>1.64583333333333</v>
      </c>
      <c r="X60" s="7" t="n">
        <f aca="false">SUMIFS(Doors!AJ:AJ,Doors!$A:$A,$D60,Doors!$B:$B,$B60,Doors!$C:$C,$C60)*SUMIFS(Velocity!$I:$I,Velocity!$A:$A,$A60,Velocity!$B:$B,$C60)/Assumptions!$B$4*Assumptions!$B$6</f>
        <v>1.64583333333333</v>
      </c>
      <c r="Y60" s="7" t="n">
        <f aca="false">SUMIFS(Doors!AK:AK,Doors!$A:$A,$D60,Doors!$B:$B,$B60,Doors!$C:$C,$C60)*SUMIFS(Velocity!$I:$I,Velocity!$A:$A,$A60,Velocity!$B:$B,$C60)/Assumptions!$B$4*Assumptions!$B$6</f>
        <v>1.64583333333333</v>
      </c>
      <c r="Z60" s="7" t="n">
        <f aca="false">SUMIFS(Doors!AL:AL,Doors!$A:$A,$D60,Doors!$B:$B,$B60,Doors!$C:$C,$C60)*SUMIFS(Velocity!$I:$I,Velocity!$A:$A,$A60,Velocity!$B:$B,$C60)/Assumptions!$B$4*Assumptions!$B$6</f>
        <v>1.64583333333333</v>
      </c>
      <c r="AA60" s="7" t="n">
        <f aca="false">SUMIFS(Doors!AM:AM,Doors!$A:$A,$D60,Doors!$B:$B,$B60,Doors!$C:$C,$C60)*SUMIFS(Velocity!$I:$I,Velocity!$A:$A,$A60,Velocity!$B:$B,$C60)/Assumptions!$B$4*Assumptions!$B$6</f>
        <v>2.30416666666667</v>
      </c>
      <c r="AB60" s="7" t="n">
        <f aca="false">SUMIFS(Doors!AN:AN,Doors!$A:$A,$D60,Doors!$B:$B,$B60,Doors!$C:$C,$C60)*SUMIFS(Velocity!$I:$I,Velocity!$A:$A,$A60,Velocity!$B:$B,$C60)/Assumptions!$B$4*Assumptions!$B$6</f>
        <v>2.30416666666667</v>
      </c>
      <c r="AC60" s="7" t="n">
        <f aca="false">SUMIFS(Doors!AO:AO,Doors!$A:$A,$D60,Doors!$B:$B,$B60,Doors!$C:$C,$C60)*SUMIFS(Velocity!$I:$I,Velocity!$A:$A,$A60,Velocity!$B:$B,$C60)/Assumptions!$B$4*Assumptions!$B$6</f>
        <v>2.30416666666667</v>
      </c>
      <c r="AD60" s="7" t="n">
        <f aca="false">SUMIFS(Doors!AP:AP,Doors!$A:$A,$D60,Doors!$B:$B,$B60,Doors!$C:$C,$C60)*SUMIFS(Velocity!$I:$I,Velocity!$A:$A,$A60,Velocity!$B:$B,$C60)/Assumptions!$B$4*Assumptions!$B$6</f>
        <v>2.30416666666667</v>
      </c>
      <c r="AE60" s="7" t="n">
        <f aca="false">SUMIFS(Doors!AQ:AQ,Doors!$A:$A,$D60,Doors!$B:$B,$B60,Doors!$C:$C,$C60)*SUMIFS(Velocity!$I:$I,Velocity!$A:$A,$A60,Velocity!$B:$B,$C60)/Assumptions!$B$4*Assumptions!$B$6</f>
        <v>2.9625</v>
      </c>
      <c r="AF60" s="7" t="n">
        <f aca="false">SUMIFS(Doors!AR:AR,Doors!$A:$A,$D60,Doors!$B:$B,$B60,Doors!$C:$C,$C60)*SUMIFS(Velocity!$I:$I,Velocity!$A:$A,$A60,Velocity!$B:$B,$C60)/Assumptions!$B$4*Assumptions!$B$6</f>
        <v>2.9625</v>
      </c>
      <c r="AG60" s="7" t="n">
        <f aca="false">SUMIFS(Doors!AS:AS,Doors!$A:$A,$D60,Doors!$B:$B,$B60,Doors!$C:$C,$C60)*SUMIFS(Velocity!$I:$I,Velocity!$A:$A,$A60,Velocity!$B:$B,$C60)/Assumptions!$B$4*Assumptions!$B$6</f>
        <v>2.9625</v>
      </c>
      <c r="AH60" s="7" t="n">
        <f aca="false">SUMIFS(Doors!AT:AT,Doors!$A:$A,$D60,Doors!$B:$B,$B60,Doors!$C:$C,$C60)*SUMIFS(Velocity!$I:$I,Velocity!$A:$A,$A60,Velocity!$B:$B,$C60)/Assumptions!$B$4*Assumptions!$B$6</f>
        <v>2.9625</v>
      </c>
      <c r="AI60" s="7" t="n">
        <f aca="false">SUMIFS(Doors!AU:AU,Doors!$A:$A,$D60,Doors!$B:$B,$B60,Doors!$C:$C,$C60)*SUMIFS(Velocity!$I:$I,Velocity!$A:$A,$A60,Velocity!$B:$B,$C60)/Assumptions!$B$4*Assumptions!$B$6</f>
        <v>2.9625</v>
      </c>
      <c r="AJ60" s="7" t="n">
        <f aca="false">SUMIFS(Doors!AV:AV,Doors!$A:$A,$D60,Doors!$B:$B,$B60,Doors!$C:$C,$C60)*SUMIFS(Velocity!$I:$I,Velocity!$A:$A,$A60,Velocity!$B:$B,$C60)/Assumptions!$B$4*Assumptions!$B$6</f>
        <v>3.62083333333333</v>
      </c>
      <c r="AK60" s="7" t="n">
        <f aca="false">SUMIFS(Doors!AW:AW,Doors!$A:$A,$D60,Doors!$B:$B,$B60,Doors!$C:$C,$C60)*SUMIFS(Velocity!$I:$I,Velocity!$A:$A,$A60,Velocity!$B:$B,$C60)/Assumptions!$B$4*Assumptions!$B$6</f>
        <v>3.62083333333333</v>
      </c>
      <c r="AL60" s="7" t="n">
        <f aca="false">SUMIFS(Doors!AX:AX,Doors!$A:$A,$D60,Doors!$B:$B,$B60,Doors!$C:$C,$C60)*SUMIFS(Velocity!$I:$I,Velocity!$A:$A,$A60,Velocity!$B:$B,$C60)/Assumptions!$B$4*Assumptions!$B$6</f>
        <v>3.62083333333333</v>
      </c>
      <c r="AM60" s="7" t="n">
        <f aca="false">SUMIFS(Doors!AY:AY,Doors!$A:$A,$D60,Doors!$B:$B,$B60,Doors!$C:$C,$C60)*SUMIFS(Velocity!$I:$I,Velocity!$A:$A,$A60,Velocity!$B:$B,$C60)/Assumptions!$B$4*Assumptions!$B$6</f>
        <v>3.62083333333333</v>
      </c>
      <c r="AN60" s="7" t="n">
        <f aca="false">SUMIFS(Doors!AZ:AZ,Doors!$A:$A,$D60,Doors!$B:$B,$B60,Doors!$C:$C,$C60)*SUMIFS(Velocity!$I:$I,Velocity!$A:$A,$A60,Velocity!$B:$B,$C60)/Assumptions!$B$4*Assumptions!$B$6</f>
        <v>4.27916666666667</v>
      </c>
      <c r="AO60" s="7" t="n">
        <f aca="false">SUMIFS(Doors!BA:BA,Doors!$A:$A,$D60,Doors!$B:$B,$B60,Doors!$C:$C,$C60)*SUMIFS(Velocity!$I:$I,Velocity!$A:$A,$A60,Velocity!$B:$B,$C60)/Assumptions!$B$4*Assumptions!$B$6</f>
        <v>4.27916666666667</v>
      </c>
      <c r="AP60" s="7" t="n">
        <f aca="false">SUMIFS(Doors!BB:BB,Doors!$A:$A,$D60,Doors!$B:$B,$B60,Doors!$C:$C,$C60)*SUMIFS(Velocity!$I:$I,Velocity!$A:$A,$A60,Velocity!$B:$B,$C60)/Assumptions!$B$4*Assumptions!$B$6</f>
        <v>4.27916666666667</v>
      </c>
      <c r="AQ60" s="7" t="n">
        <f aca="false">SUMIFS(Doors!BC:BC,Doors!$A:$A,$D60,Doors!$B:$B,$B60,Doors!$C:$C,$C60)*SUMIFS(Velocity!$I:$I,Velocity!$A:$A,$A60,Velocity!$B:$B,$C60)/Assumptions!$B$4*Assumptions!$B$6</f>
        <v>4.27916666666667</v>
      </c>
      <c r="AR60" s="7" t="n">
        <f aca="false">SUMIFS(Doors!BD:BD,Doors!$A:$A,$D60,Doors!$B:$B,$B60,Doors!$C:$C,$C60)*SUMIFS(Velocity!$I:$I,Velocity!$A:$A,$A60,Velocity!$B:$B,$C60)/Assumptions!$B$4*Assumptions!$B$6</f>
        <v>4.60833333333333</v>
      </c>
      <c r="AS60" s="7" t="n">
        <f aca="false">SUMIFS(Doors!BE:BE,Doors!$A:$A,$D60,Doors!$B:$B,$B60,Doors!$C:$C,$C60)*SUMIFS(Velocity!$I:$I,Velocity!$A:$A,$A60,Velocity!$B:$B,$C60)/Assumptions!$B$4*Assumptions!$B$6</f>
        <v>4.60833333333333</v>
      </c>
      <c r="AT60" s="7" t="n">
        <f aca="false">SUMIFS(Doors!BF:BF,Doors!$A:$A,$D60,Doors!$B:$B,$B60,Doors!$C:$C,$C60)*SUMIFS(Velocity!$I:$I,Velocity!$A:$A,$A60,Velocity!$B:$B,$C60)/Assumptions!$B$4*Assumptions!$B$6</f>
        <v>4.60833333333333</v>
      </c>
      <c r="AU60" s="7" t="n">
        <f aca="false">SUMIFS(Doors!BG:BG,Doors!$A:$A,$D60,Doors!$B:$B,$B60,Doors!$C:$C,$C60)*SUMIFS(Velocity!$I:$I,Velocity!$A:$A,$A60,Velocity!$B:$B,$C60)/Assumptions!$B$4*Assumptions!$B$6</f>
        <v>4.60833333333333</v>
      </c>
      <c r="AV60" s="7" t="n">
        <f aca="false">SUMIFS(Doors!BH:BH,Doors!$A:$A,$D60,Doors!$B:$B,$B60,Doors!$C:$C,$C60)*SUMIFS(Velocity!$I:$I,Velocity!$A:$A,$A60,Velocity!$B:$B,$C60)/Assumptions!$B$4*Assumptions!$B$6</f>
        <v>4.60833333333333</v>
      </c>
      <c r="AW60" s="7" t="n">
        <f aca="false">SUMIFS(Doors!BI:BI,Doors!$A:$A,$D60,Doors!$B:$B,$B60,Doors!$C:$C,$C60)*SUMIFS(Velocity!$I:$I,Velocity!$A:$A,$A60,Velocity!$B:$B,$C60)/Assumptions!$B$4*Assumptions!$B$6</f>
        <v>4.9375</v>
      </c>
      <c r="AX60" s="7" t="n">
        <f aca="false">SUMIFS(Doors!BJ:BJ,Doors!$A:$A,$D60,Doors!$B:$B,$B60,Doors!$C:$C,$C60)*SUMIFS(Velocity!$I:$I,Velocity!$A:$A,$A60,Velocity!$B:$B,$C60)/Assumptions!$B$4*Assumptions!$B$6</f>
        <v>4.9375</v>
      </c>
      <c r="AY60" s="7" t="n">
        <f aca="false">SUMIFS(Doors!BK:BK,Doors!$A:$A,$D60,Doors!$B:$B,$B60,Doors!$C:$C,$C60)*SUMIFS(Velocity!$I:$I,Velocity!$A:$A,$A60,Velocity!$B:$B,$C60)/Assumptions!$B$4*Assumptions!$B$6</f>
        <v>4.9375</v>
      </c>
      <c r="AZ60" s="7" t="n">
        <f aca="false">SUMIFS(Doors!BL:BL,Doors!$A:$A,$D60,Doors!$B:$B,$B60,Doors!$C:$C,$C60)*SUMIFS(Velocity!$I:$I,Velocity!$A:$A,$A60,Velocity!$B:$B,$C60)/Assumptions!$B$4*Assumptions!$B$6</f>
        <v>4.9375</v>
      </c>
      <c r="BA60" s="7" t="n">
        <f aca="false">SUMIFS(Doors!BM:BM,Doors!$A:$A,$D60,Doors!$B:$B,$B60,Doors!$C:$C,$C60)*SUMIFS(Velocity!$I:$I,Velocity!$A:$A,$A60,Velocity!$B:$B,$C60)/Assumptions!$B$4*Assumptions!$B$6</f>
        <v>5.26666666666667</v>
      </c>
      <c r="BB60" s="7" t="n">
        <f aca="false">SUMIFS(Doors!BN:BN,Doors!$A:$A,$D60,Doors!$B:$B,$B60,Doors!$C:$C,$C60)*SUMIFS(Velocity!$I:$I,Velocity!$A:$A,$A60,Velocity!$B:$B,$C60)/Assumptions!$B$4*Assumptions!$B$6</f>
        <v>5.26666666666667</v>
      </c>
      <c r="BC60" s="7" t="n">
        <f aca="false">SUMIFS(Doors!BO:BO,Doors!$A:$A,$D60,Doors!$B:$B,$B60,Doors!$C:$C,$C60)*SUMIFS(Velocity!$I:$I,Velocity!$A:$A,$A60,Velocity!$B:$B,$C60)/Assumptions!$B$4*Assumptions!$B$6</f>
        <v>5.26666666666667</v>
      </c>
      <c r="BD60" s="7" t="n">
        <f aca="false">SUMIFS(Doors!BP:BP,Doors!$A:$A,$D60,Doors!$B:$B,$B60,Doors!$C:$C,$C60)*SUMIFS(Velocity!$I:$I,Velocity!$A:$A,$A60,Velocity!$B:$B,$C60)/Assumptions!$B$4*Assumptions!$B$6</f>
        <v>5.26666666666667</v>
      </c>
    </row>
    <row r="61" customFormat="false" ht="15" hidden="false" customHeight="false" outlineLevel="0" collapsed="false">
      <c r="A61" s="0" t="s">
        <v>108</v>
      </c>
      <c r="B61" s="0" t="s">
        <v>132</v>
      </c>
      <c r="C61" s="0" t="s">
        <v>116</v>
      </c>
      <c r="D61" s="0" t="s">
        <v>235</v>
      </c>
      <c r="E61" s="7" t="n">
        <f aca="false">SUMIFS(Doors!Q:Q,Doors!$A:$A,$D61,Doors!$B:$B,$B61,Doors!$C:$C,$C61)*SUMIFS(Velocity!$I:$I,Velocity!$A:$A,$A61,Velocity!$B:$B,$C61)/Assumptions!$B$4*Assumptions!$B$6</f>
        <v>0</v>
      </c>
      <c r="F61" s="7" t="n">
        <f aca="false">SUMIFS(Doors!R:R,Doors!$A:$A,$D61,Doors!$B:$B,$B61,Doors!$C:$C,$C61)*SUMIFS(Velocity!$I:$I,Velocity!$A:$A,$A61,Velocity!$B:$B,$C61)/Assumptions!$B$4*Assumptions!$B$6</f>
        <v>0</v>
      </c>
      <c r="G61" s="7" t="n">
        <f aca="false">SUMIFS(Doors!S:S,Doors!$A:$A,$D61,Doors!$B:$B,$B61,Doors!$C:$C,$C61)*SUMIFS(Velocity!$I:$I,Velocity!$A:$A,$A61,Velocity!$B:$B,$C61)/Assumptions!$B$4*Assumptions!$B$6</f>
        <v>0</v>
      </c>
      <c r="H61" s="7" t="n">
        <f aca="false">SUMIFS(Doors!T:T,Doors!$A:$A,$D61,Doors!$B:$B,$B61,Doors!$C:$C,$C61)*SUMIFS(Velocity!$I:$I,Velocity!$A:$A,$A61,Velocity!$B:$B,$C61)/Assumptions!$B$4*Assumptions!$B$6</f>
        <v>0</v>
      </c>
      <c r="I61" s="7" t="n">
        <f aca="false">SUMIFS(Doors!U:U,Doors!$A:$A,$D61,Doors!$B:$B,$B61,Doors!$C:$C,$C61)*SUMIFS(Velocity!$I:$I,Velocity!$A:$A,$A61,Velocity!$B:$B,$C61)/Assumptions!$B$4*Assumptions!$B$6</f>
        <v>0</v>
      </c>
      <c r="J61" s="7" t="n">
        <f aca="false">SUMIFS(Doors!V:V,Doors!$A:$A,$D61,Doors!$B:$B,$B61,Doors!$C:$C,$C61)*SUMIFS(Velocity!$I:$I,Velocity!$A:$A,$A61,Velocity!$B:$B,$C61)/Assumptions!$B$4*Assumptions!$B$6</f>
        <v>0</v>
      </c>
      <c r="K61" s="7" t="n">
        <f aca="false">SUMIFS(Doors!W:W,Doors!$A:$A,$D61,Doors!$B:$B,$B61,Doors!$C:$C,$C61)*SUMIFS(Velocity!$I:$I,Velocity!$A:$A,$A61,Velocity!$B:$B,$C61)/Assumptions!$B$4*Assumptions!$B$6</f>
        <v>0</v>
      </c>
      <c r="L61" s="7" t="n">
        <f aca="false">SUMIFS(Doors!X:X,Doors!$A:$A,$D61,Doors!$B:$B,$B61,Doors!$C:$C,$C61)*SUMIFS(Velocity!$I:$I,Velocity!$A:$A,$A61,Velocity!$B:$B,$C61)/Assumptions!$B$4*Assumptions!$B$6</f>
        <v>0</v>
      </c>
      <c r="M61" s="7" t="n">
        <f aca="false">SUMIFS(Doors!Y:Y,Doors!$A:$A,$D61,Doors!$B:$B,$B61,Doors!$C:$C,$C61)*SUMIFS(Velocity!$I:$I,Velocity!$A:$A,$A61,Velocity!$B:$B,$C61)/Assumptions!$B$4*Assumptions!$B$6</f>
        <v>0</v>
      </c>
      <c r="N61" s="7" t="n">
        <f aca="false">SUMIFS(Doors!Z:Z,Doors!$A:$A,$D61,Doors!$B:$B,$B61,Doors!$C:$C,$C61)*SUMIFS(Velocity!$I:$I,Velocity!$A:$A,$A61,Velocity!$B:$B,$C61)/Assumptions!$B$4*Assumptions!$B$6</f>
        <v>0</v>
      </c>
      <c r="O61" s="7" t="n">
        <f aca="false">SUMIFS(Doors!AA:AA,Doors!$A:$A,$D61,Doors!$B:$B,$B61,Doors!$C:$C,$C61)*SUMIFS(Velocity!$I:$I,Velocity!$A:$A,$A61,Velocity!$B:$B,$C61)/Assumptions!$B$4*Assumptions!$B$6</f>
        <v>0</v>
      </c>
      <c r="P61" s="7" t="n">
        <f aca="false">SUMIFS(Doors!AB:AB,Doors!$A:$A,$D61,Doors!$B:$B,$B61,Doors!$C:$C,$C61)*SUMIFS(Velocity!$I:$I,Velocity!$A:$A,$A61,Velocity!$B:$B,$C61)/Assumptions!$B$4*Assumptions!$B$6</f>
        <v>0</v>
      </c>
      <c r="Q61" s="7" t="n">
        <f aca="false">SUMIFS(Doors!AC:AC,Doors!$A:$A,$D61,Doors!$B:$B,$B61,Doors!$C:$C,$C61)*SUMIFS(Velocity!$I:$I,Velocity!$A:$A,$A61,Velocity!$B:$B,$C61)/Assumptions!$B$4*Assumptions!$B$6</f>
        <v>0</v>
      </c>
      <c r="R61" s="7" t="n">
        <f aca="false">SUMIFS(Doors!AD:AD,Doors!$A:$A,$D61,Doors!$B:$B,$B61,Doors!$C:$C,$C61)*SUMIFS(Velocity!$I:$I,Velocity!$A:$A,$A61,Velocity!$B:$B,$C61)/Assumptions!$B$4*Assumptions!$B$6</f>
        <v>0.304166666666667</v>
      </c>
      <c r="S61" s="7" t="n">
        <f aca="false">SUMIFS(Doors!AE:AE,Doors!$A:$A,$D61,Doors!$B:$B,$B61,Doors!$C:$C,$C61)*SUMIFS(Velocity!$I:$I,Velocity!$A:$A,$A61,Velocity!$B:$B,$C61)/Assumptions!$B$4*Assumptions!$B$6</f>
        <v>0.304166666666667</v>
      </c>
      <c r="T61" s="7" t="n">
        <f aca="false">SUMIFS(Doors!AF:AF,Doors!$A:$A,$D61,Doors!$B:$B,$B61,Doors!$C:$C,$C61)*SUMIFS(Velocity!$I:$I,Velocity!$A:$A,$A61,Velocity!$B:$B,$C61)/Assumptions!$B$4*Assumptions!$B$6</f>
        <v>0.304166666666667</v>
      </c>
      <c r="U61" s="7" t="n">
        <f aca="false">SUMIFS(Doors!AG:AG,Doors!$A:$A,$D61,Doors!$B:$B,$B61,Doors!$C:$C,$C61)*SUMIFS(Velocity!$I:$I,Velocity!$A:$A,$A61,Velocity!$B:$B,$C61)/Assumptions!$B$4*Assumptions!$B$6</f>
        <v>0.304166666666667</v>
      </c>
      <c r="V61" s="7" t="n">
        <f aca="false">SUMIFS(Doors!AH:AH,Doors!$A:$A,$D61,Doors!$B:$B,$B61,Doors!$C:$C,$C61)*SUMIFS(Velocity!$I:$I,Velocity!$A:$A,$A61,Velocity!$B:$B,$C61)/Assumptions!$B$4*Assumptions!$B$6</f>
        <v>0.304166666666667</v>
      </c>
      <c r="W61" s="7" t="n">
        <f aca="false">SUMIFS(Doors!AI:AI,Doors!$A:$A,$D61,Doors!$B:$B,$B61,Doors!$C:$C,$C61)*SUMIFS(Velocity!$I:$I,Velocity!$A:$A,$A61,Velocity!$B:$B,$C61)/Assumptions!$B$4*Assumptions!$B$6</f>
        <v>0.608333333333333</v>
      </c>
      <c r="X61" s="7" t="n">
        <f aca="false">SUMIFS(Doors!AJ:AJ,Doors!$A:$A,$D61,Doors!$B:$B,$B61,Doors!$C:$C,$C61)*SUMIFS(Velocity!$I:$I,Velocity!$A:$A,$A61,Velocity!$B:$B,$C61)/Assumptions!$B$4*Assumptions!$B$6</f>
        <v>0.608333333333333</v>
      </c>
      <c r="Y61" s="7" t="n">
        <f aca="false">SUMIFS(Doors!AK:AK,Doors!$A:$A,$D61,Doors!$B:$B,$B61,Doors!$C:$C,$C61)*SUMIFS(Velocity!$I:$I,Velocity!$A:$A,$A61,Velocity!$B:$B,$C61)/Assumptions!$B$4*Assumptions!$B$6</f>
        <v>0.608333333333333</v>
      </c>
      <c r="Z61" s="7" t="n">
        <f aca="false">SUMIFS(Doors!AL:AL,Doors!$A:$A,$D61,Doors!$B:$B,$B61,Doors!$C:$C,$C61)*SUMIFS(Velocity!$I:$I,Velocity!$A:$A,$A61,Velocity!$B:$B,$C61)/Assumptions!$B$4*Assumptions!$B$6</f>
        <v>0.608333333333333</v>
      </c>
      <c r="AA61" s="7" t="n">
        <f aca="false">SUMIFS(Doors!AM:AM,Doors!$A:$A,$D61,Doors!$B:$B,$B61,Doors!$C:$C,$C61)*SUMIFS(Velocity!$I:$I,Velocity!$A:$A,$A61,Velocity!$B:$B,$C61)/Assumptions!$B$4*Assumptions!$B$6</f>
        <v>1.21666666666667</v>
      </c>
      <c r="AB61" s="7" t="n">
        <f aca="false">SUMIFS(Doors!AN:AN,Doors!$A:$A,$D61,Doors!$B:$B,$B61,Doors!$C:$C,$C61)*SUMIFS(Velocity!$I:$I,Velocity!$A:$A,$A61,Velocity!$B:$B,$C61)/Assumptions!$B$4*Assumptions!$B$6</f>
        <v>1.21666666666667</v>
      </c>
      <c r="AC61" s="7" t="n">
        <f aca="false">SUMIFS(Doors!AO:AO,Doors!$A:$A,$D61,Doors!$B:$B,$B61,Doors!$C:$C,$C61)*SUMIFS(Velocity!$I:$I,Velocity!$A:$A,$A61,Velocity!$B:$B,$C61)/Assumptions!$B$4*Assumptions!$B$6</f>
        <v>1.21666666666667</v>
      </c>
      <c r="AD61" s="7" t="n">
        <f aca="false">SUMIFS(Doors!AP:AP,Doors!$A:$A,$D61,Doors!$B:$B,$B61,Doors!$C:$C,$C61)*SUMIFS(Velocity!$I:$I,Velocity!$A:$A,$A61,Velocity!$B:$B,$C61)/Assumptions!$B$4*Assumptions!$B$6</f>
        <v>1.21666666666667</v>
      </c>
      <c r="AE61" s="7" t="n">
        <f aca="false">SUMIFS(Doors!AQ:AQ,Doors!$A:$A,$D61,Doors!$B:$B,$B61,Doors!$C:$C,$C61)*SUMIFS(Velocity!$I:$I,Velocity!$A:$A,$A61,Velocity!$B:$B,$C61)/Assumptions!$B$4*Assumptions!$B$6</f>
        <v>1.52083333333333</v>
      </c>
      <c r="AF61" s="7" t="n">
        <f aca="false">SUMIFS(Doors!AR:AR,Doors!$A:$A,$D61,Doors!$B:$B,$B61,Doors!$C:$C,$C61)*SUMIFS(Velocity!$I:$I,Velocity!$A:$A,$A61,Velocity!$B:$B,$C61)/Assumptions!$B$4*Assumptions!$B$6</f>
        <v>1.52083333333333</v>
      </c>
      <c r="AG61" s="7" t="n">
        <f aca="false">SUMIFS(Doors!AS:AS,Doors!$A:$A,$D61,Doors!$B:$B,$B61,Doors!$C:$C,$C61)*SUMIFS(Velocity!$I:$I,Velocity!$A:$A,$A61,Velocity!$B:$B,$C61)/Assumptions!$B$4*Assumptions!$B$6</f>
        <v>1.52083333333333</v>
      </c>
      <c r="AH61" s="7" t="n">
        <f aca="false">SUMIFS(Doors!AT:AT,Doors!$A:$A,$D61,Doors!$B:$B,$B61,Doors!$C:$C,$C61)*SUMIFS(Velocity!$I:$I,Velocity!$A:$A,$A61,Velocity!$B:$B,$C61)/Assumptions!$B$4*Assumptions!$B$6</f>
        <v>1.52083333333333</v>
      </c>
      <c r="AI61" s="7" t="n">
        <f aca="false">SUMIFS(Doors!AU:AU,Doors!$A:$A,$D61,Doors!$B:$B,$B61,Doors!$C:$C,$C61)*SUMIFS(Velocity!$I:$I,Velocity!$A:$A,$A61,Velocity!$B:$B,$C61)/Assumptions!$B$4*Assumptions!$B$6</f>
        <v>1.52083333333333</v>
      </c>
      <c r="AJ61" s="7" t="n">
        <f aca="false">SUMIFS(Doors!AV:AV,Doors!$A:$A,$D61,Doors!$B:$B,$B61,Doors!$C:$C,$C61)*SUMIFS(Velocity!$I:$I,Velocity!$A:$A,$A61,Velocity!$B:$B,$C61)/Assumptions!$B$4*Assumptions!$B$6</f>
        <v>1.825</v>
      </c>
      <c r="AK61" s="7" t="n">
        <f aca="false">SUMIFS(Doors!AW:AW,Doors!$A:$A,$D61,Doors!$B:$B,$B61,Doors!$C:$C,$C61)*SUMIFS(Velocity!$I:$I,Velocity!$A:$A,$A61,Velocity!$B:$B,$C61)/Assumptions!$B$4*Assumptions!$B$6</f>
        <v>1.825</v>
      </c>
      <c r="AL61" s="7" t="n">
        <f aca="false">SUMIFS(Doors!AX:AX,Doors!$A:$A,$D61,Doors!$B:$B,$B61,Doors!$C:$C,$C61)*SUMIFS(Velocity!$I:$I,Velocity!$A:$A,$A61,Velocity!$B:$B,$C61)/Assumptions!$B$4*Assumptions!$B$6</f>
        <v>1.825</v>
      </c>
      <c r="AM61" s="7" t="n">
        <f aca="false">SUMIFS(Doors!AY:AY,Doors!$A:$A,$D61,Doors!$B:$B,$B61,Doors!$C:$C,$C61)*SUMIFS(Velocity!$I:$I,Velocity!$A:$A,$A61,Velocity!$B:$B,$C61)/Assumptions!$B$4*Assumptions!$B$6</f>
        <v>1.825</v>
      </c>
      <c r="AN61" s="7" t="n">
        <f aca="false">SUMIFS(Doors!AZ:AZ,Doors!$A:$A,$D61,Doors!$B:$B,$B61,Doors!$C:$C,$C61)*SUMIFS(Velocity!$I:$I,Velocity!$A:$A,$A61,Velocity!$B:$B,$C61)/Assumptions!$B$4*Assumptions!$B$6</f>
        <v>2.12916666666667</v>
      </c>
      <c r="AO61" s="7" t="n">
        <f aca="false">SUMIFS(Doors!BA:BA,Doors!$A:$A,$D61,Doors!$B:$B,$B61,Doors!$C:$C,$C61)*SUMIFS(Velocity!$I:$I,Velocity!$A:$A,$A61,Velocity!$B:$B,$C61)/Assumptions!$B$4*Assumptions!$B$6</f>
        <v>2.12916666666667</v>
      </c>
      <c r="AP61" s="7" t="n">
        <f aca="false">SUMIFS(Doors!BB:BB,Doors!$A:$A,$D61,Doors!$B:$B,$B61,Doors!$C:$C,$C61)*SUMIFS(Velocity!$I:$I,Velocity!$A:$A,$A61,Velocity!$B:$B,$C61)/Assumptions!$B$4*Assumptions!$B$6</f>
        <v>2.12916666666667</v>
      </c>
      <c r="AQ61" s="7" t="n">
        <f aca="false">SUMIFS(Doors!BC:BC,Doors!$A:$A,$D61,Doors!$B:$B,$B61,Doors!$C:$C,$C61)*SUMIFS(Velocity!$I:$I,Velocity!$A:$A,$A61,Velocity!$B:$B,$C61)/Assumptions!$B$4*Assumptions!$B$6</f>
        <v>2.12916666666667</v>
      </c>
      <c r="AR61" s="7" t="n">
        <f aca="false">SUMIFS(Doors!BD:BD,Doors!$A:$A,$D61,Doors!$B:$B,$B61,Doors!$C:$C,$C61)*SUMIFS(Velocity!$I:$I,Velocity!$A:$A,$A61,Velocity!$B:$B,$C61)/Assumptions!$B$4*Assumptions!$B$6</f>
        <v>2.43333333333333</v>
      </c>
      <c r="AS61" s="7" t="n">
        <f aca="false">SUMIFS(Doors!BE:BE,Doors!$A:$A,$D61,Doors!$B:$B,$B61,Doors!$C:$C,$C61)*SUMIFS(Velocity!$I:$I,Velocity!$A:$A,$A61,Velocity!$B:$B,$C61)/Assumptions!$B$4*Assumptions!$B$6</f>
        <v>2.43333333333333</v>
      </c>
      <c r="AT61" s="7" t="n">
        <f aca="false">SUMIFS(Doors!BF:BF,Doors!$A:$A,$D61,Doors!$B:$B,$B61,Doors!$C:$C,$C61)*SUMIFS(Velocity!$I:$I,Velocity!$A:$A,$A61,Velocity!$B:$B,$C61)/Assumptions!$B$4*Assumptions!$B$6</f>
        <v>2.43333333333333</v>
      </c>
      <c r="AU61" s="7" t="n">
        <f aca="false">SUMIFS(Doors!BG:BG,Doors!$A:$A,$D61,Doors!$B:$B,$B61,Doors!$C:$C,$C61)*SUMIFS(Velocity!$I:$I,Velocity!$A:$A,$A61,Velocity!$B:$B,$C61)/Assumptions!$B$4*Assumptions!$B$6</f>
        <v>2.43333333333333</v>
      </c>
      <c r="AV61" s="7" t="n">
        <f aca="false">SUMIFS(Doors!BH:BH,Doors!$A:$A,$D61,Doors!$B:$B,$B61,Doors!$C:$C,$C61)*SUMIFS(Velocity!$I:$I,Velocity!$A:$A,$A61,Velocity!$B:$B,$C61)/Assumptions!$B$4*Assumptions!$B$6</f>
        <v>2.43333333333333</v>
      </c>
      <c r="AW61" s="7" t="n">
        <f aca="false">SUMIFS(Doors!BI:BI,Doors!$A:$A,$D61,Doors!$B:$B,$B61,Doors!$C:$C,$C61)*SUMIFS(Velocity!$I:$I,Velocity!$A:$A,$A61,Velocity!$B:$B,$C61)/Assumptions!$B$4*Assumptions!$B$6</f>
        <v>2.7375</v>
      </c>
      <c r="AX61" s="7" t="n">
        <f aca="false">SUMIFS(Doors!BJ:BJ,Doors!$A:$A,$D61,Doors!$B:$B,$B61,Doors!$C:$C,$C61)*SUMIFS(Velocity!$I:$I,Velocity!$A:$A,$A61,Velocity!$B:$B,$C61)/Assumptions!$B$4*Assumptions!$B$6</f>
        <v>2.7375</v>
      </c>
      <c r="AY61" s="7" t="n">
        <f aca="false">SUMIFS(Doors!BK:BK,Doors!$A:$A,$D61,Doors!$B:$B,$B61,Doors!$C:$C,$C61)*SUMIFS(Velocity!$I:$I,Velocity!$A:$A,$A61,Velocity!$B:$B,$C61)/Assumptions!$B$4*Assumptions!$B$6</f>
        <v>2.7375</v>
      </c>
      <c r="AZ61" s="7" t="n">
        <f aca="false">SUMIFS(Doors!BL:BL,Doors!$A:$A,$D61,Doors!$B:$B,$B61,Doors!$C:$C,$C61)*SUMIFS(Velocity!$I:$I,Velocity!$A:$A,$A61,Velocity!$B:$B,$C61)/Assumptions!$B$4*Assumptions!$B$6</f>
        <v>2.7375</v>
      </c>
      <c r="BA61" s="7" t="n">
        <f aca="false">SUMIFS(Doors!BM:BM,Doors!$A:$A,$D61,Doors!$B:$B,$B61,Doors!$C:$C,$C61)*SUMIFS(Velocity!$I:$I,Velocity!$A:$A,$A61,Velocity!$B:$B,$C61)/Assumptions!$B$4*Assumptions!$B$6</f>
        <v>3.04166666666667</v>
      </c>
      <c r="BB61" s="7" t="n">
        <f aca="false">SUMIFS(Doors!BN:BN,Doors!$A:$A,$D61,Doors!$B:$B,$B61,Doors!$C:$C,$C61)*SUMIFS(Velocity!$I:$I,Velocity!$A:$A,$A61,Velocity!$B:$B,$C61)/Assumptions!$B$4*Assumptions!$B$6</f>
        <v>3.04166666666667</v>
      </c>
      <c r="BC61" s="7" t="n">
        <f aca="false">SUMIFS(Doors!BO:BO,Doors!$A:$A,$D61,Doors!$B:$B,$B61,Doors!$C:$C,$C61)*SUMIFS(Velocity!$I:$I,Velocity!$A:$A,$A61,Velocity!$B:$B,$C61)/Assumptions!$B$4*Assumptions!$B$6</f>
        <v>3.04166666666667</v>
      </c>
      <c r="BD61" s="7" t="n">
        <f aca="false">SUMIFS(Doors!BP:BP,Doors!$A:$A,$D61,Doors!$B:$B,$B61,Doors!$C:$C,$C61)*SUMIFS(Velocity!$I:$I,Velocity!$A:$A,$A61,Velocity!$B:$B,$C61)/Assumptions!$B$4*Assumptions!$B$6</f>
        <v>3.04166666666667</v>
      </c>
    </row>
    <row r="62" customFormat="false" ht="15" hidden="false" customHeight="false" outlineLevel="0" collapsed="false">
      <c r="A62" s="0" t="s">
        <v>108</v>
      </c>
      <c r="B62" s="0" t="s">
        <v>132</v>
      </c>
      <c r="C62" s="0" t="s">
        <v>117</v>
      </c>
      <c r="D62" s="0" t="s">
        <v>235</v>
      </c>
      <c r="E62" s="7" t="n">
        <f aca="false">SUMIFS(Doors!Q:Q,Doors!$A:$A,$D62,Doors!$B:$B,$B62,Doors!$C:$C,$C62)*SUMIFS(Velocity!$I:$I,Velocity!$A:$A,$A62,Velocity!$B:$B,$C62)/Assumptions!$B$4*Assumptions!$B$6</f>
        <v>0</v>
      </c>
      <c r="F62" s="7" t="n">
        <f aca="false">SUMIFS(Doors!R:R,Doors!$A:$A,$D62,Doors!$B:$B,$B62,Doors!$C:$C,$C62)*SUMIFS(Velocity!$I:$I,Velocity!$A:$A,$A62,Velocity!$B:$B,$C62)/Assumptions!$B$4*Assumptions!$B$6</f>
        <v>0</v>
      </c>
      <c r="G62" s="7" t="n">
        <f aca="false">SUMIFS(Doors!S:S,Doors!$A:$A,$D62,Doors!$B:$B,$B62,Doors!$C:$C,$C62)*SUMIFS(Velocity!$I:$I,Velocity!$A:$A,$A62,Velocity!$B:$B,$C62)/Assumptions!$B$4*Assumptions!$B$6</f>
        <v>0</v>
      </c>
      <c r="H62" s="7" t="n">
        <f aca="false">SUMIFS(Doors!T:T,Doors!$A:$A,$D62,Doors!$B:$B,$B62,Doors!$C:$C,$C62)*SUMIFS(Velocity!$I:$I,Velocity!$A:$A,$A62,Velocity!$B:$B,$C62)/Assumptions!$B$4*Assumptions!$B$6</f>
        <v>0</v>
      </c>
      <c r="I62" s="7" t="n">
        <f aca="false">SUMIFS(Doors!U:U,Doors!$A:$A,$D62,Doors!$B:$B,$B62,Doors!$C:$C,$C62)*SUMIFS(Velocity!$I:$I,Velocity!$A:$A,$A62,Velocity!$B:$B,$C62)/Assumptions!$B$4*Assumptions!$B$6</f>
        <v>0</v>
      </c>
      <c r="J62" s="7" t="n">
        <f aca="false">SUMIFS(Doors!V:V,Doors!$A:$A,$D62,Doors!$B:$B,$B62,Doors!$C:$C,$C62)*SUMIFS(Velocity!$I:$I,Velocity!$A:$A,$A62,Velocity!$B:$B,$C62)/Assumptions!$B$4*Assumptions!$B$6</f>
        <v>0</v>
      </c>
      <c r="K62" s="7" t="n">
        <f aca="false">SUMIFS(Doors!W:W,Doors!$A:$A,$D62,Doors!$B:$B,$B62,Doors!$C:$C,$C62)*SUMIFS(Velocity!$I:$I,Velocity!$A:$A,$A62,Velocity!$B:$B,$C62)/Assumptions!$B$4*Assumptions!$B$6</f>
        <v>0</v>
      </c>
      <c r="L62" s="7" t="n">
        <f aca="false">SUMIFS(Doors!X:X,Doors!$A:$A,$D62,Doors!$B:$B,$B62,Doors!$C:$C,$C62)*SUMIFS(Velocity!$I:$I,Velocity!$A:$A,$A62,Velocity!$B:$B,$C62)/Assumptions!$B$4*Assumptions!$B$6</f>
        <v>0</v>
      </c>
      <c r="M62" s="7" t="n">
        <f aca="false">SUMIFS(Doors!Y:Y,Doors!$A:$A,$D62,Doors!$B:$B,$B62,Doors!$C:$C,$C62)*SUMIFS(Velocity!$I:$I,Velocity!$A:$A,$A62,Velocity!$B:$B,$C62)/Assumptions!$B$4*Assumptions!$B$6</f>
        <v>0</v>
      </c>
      <c r="N62" s="7" t="n">
        <f aca="false">SUMIFS(Doors!Z:Z,Doors!$A:$A,$D62,Doors!$B:$B,$B62,Doors!$C:$C,$C62)*SUMIFS(Velocity!$I:$I,Velocity!$A:$A,$A62,Velocity!$B:$B,$C62)/Assumptions!$B$4*Assumptions!$B$6</f>
        <v>0</v>
      </c>
      <c r="O62" s="7" t="n">
        <f aca="false">SUMIFS(Doors!AA:AA,Doors!$A:$A,$D62,Doors!$B:$B,$B62,Doors!$C:$C,$C62)*SUMIFS(Velocity!$I:$I,Velocity!$A:$A,$A62,Velocity!$B:$B,$C62)/Assumptions!$B$4*Assumptions!$B$6</f>
        <v>0</v>
      </c>
      <c r="P62" s="7" t="n">
        <f aca="false">SUMIFS(Doors!AB:AB,Doors!$A:$A,$D62,Doors!$B:$B,$B62,Doors!$C:$C,$C62)*SUMIFS(Velocity!$I:$I,Velocity!$A:$A,$A62,Velocity!$B:$B,$C62)/Assumptions!$B$4*Assumptions!$B$6</f>
        <v>0</v>
      </c>
      <c r="Q62" s="7" t="n">
        <f aca="false">SUMIFS(Doors!AC:AC,Doors!$A:$A,$D62,Doors!$B:$B,$B62,Doors!$C:$C,$C62)*SUMIFS(Velocity!$I:$I,Velocity!$A:$A,$A62,Velocity!$B:$B,$C62)/Assumptions!$B$4*Assumptions!$B$6</f>
        <v>0</v>
      </c>
      <c r="R62" s="7" t="n">
        <f aca="false">SUMIFS(Doors!AD:AD,Doors!$A:$A,$D62,Doors!$B:$B,$B62,Doors!$C:$C,$C62)*SUMIFS(Velocity!$I:$I,Velocity!$A:$A,$A62,Velocity!$B:$B,$C62)/Assumptions!$B$4*Assumptions!$B$6</f>
        <v>0</v>
      </c>
      <c r="S62" s="7" t="n">
        <f aca="false">SUMIFS(Doors!AE:AE,Doors!$A:$A,$D62,Doors!$B:$B,$B62,Doors!$C:$C,$C62)*SUMIFS(Velocity!$I:$I,Velocity!$A:$A,$A62,Velocity!$B:$B,$C62)/Assumptions!$B$4*Assumptions!$B$6</f>
        <v>0</v>
      </c>
      <c r="T62" s="7" t="n">
        <f aca="false">SUMIFS(Doors!AF:AF,Doors!$A:$A,$D62,Doors!$B:$B,$B62,Doors!$C:$C,$C62)*SUMIFS(Velocity!$I:$I,Velocity!$A:$A,$A62,Velocity!$B:$B,$C62)/Assumptions!$B$4*Assumptions!$B$6</f>
        <v>0</v>
      </c>
      <c r="U62" s="7" t="n">
        <f aca="false">SUMIFS(Doors!AG:AG,Doors!$A:$A,$D62,Doors!$B:$B,$B62,Doors!$C:$C,$C62)*SUMIFS(Velocity!$I:$I,Velocity!$A:$A,$A62,Velocity!$B:$B,$C62)/Assumptions!$B$4*Assumptions!$B$6</f>
        <v>0</v>
      </c>
      <c r="V62" s="7" t="n">
        <f aca="false">SUMIFS(Doors!AH:AH,Doors!$A:$A,$D62,Doors!$B:$B,$B62,Doors!$C:$C,$C62)*SUMIFS(Velocity!$I:$I,Velocity!$A:$A,$A62,Velocity!$B:$B,$C62)/Assumptions!$B$4*Assumptions!$B$6</f>
        <v>0</v>
      </c>
      <c r="W62" s="7" t="n">
        <f aca="false">SUMIFS(Doors!AI:AI,Doors!$A:$A,$D62,Doors!$B:$B,$B62,Doors!$C:$C,$C62)*SUMIFS(Velocity!$I:$I,Velocity!$A:$A,$A62,Velocity!$B:$B,$C62)/Assumptions!$B$4*Assumptions!$B$6</f>
        <v>0</v>
      </c>
      <c r="X62" s="7" t="n">
        <f aca="false">SUMIFS(Doors!AJ:AJ,Doors!$A:$A,$D62,Doors!$B:$B,$B62,Doors!$C:$C,$C62)*SUMIFS(Velocity!$I:$I,Velocity!$A:$A,$A62,Velocity!$B:$B,$C62)/Assumptions!$B$4*Assumptions!$B$6</f>
        <v>0</v>
      </c>
      <c r="Y62" s="7" t="n">
        <f aca="false">SUMIFS(Doors!AK:AK,Doors!$A:$A,$D62,Doors!$B:$B,$B62,Doors!$C:$C,$C62)*SUMIFS(Velocity!$I:$I,Velocity!$A:$A,$A62,Velocity!$B:$B,$C62)/Assumptions!$B$4*Assumptions!$B$6</f>
        <v>0</v>
      </c>
      <c r="Z62" s="7" t="n">
        <f aca="false">SUMIFS(Doors!AL:AL,Doors!$A:$A,$D62,Doors!$B:$B,$B62,Doors!$C:$C,$C62)*SUMIFS(Velocity!$I:$I,Velocity!$A:$A,$A62,Velocity!$B:$B,$C62)/Assumptions!$B$4*Assumptions!$B$6</f>
        <v>0</v>
      </c>
      <c r="AA62" s="7" t="n">
        <f aca="false">SUMIFS(Doors!AM:AM,Doors!$A:$A,$D62,Doors!$B:$B,$B62,Doors!$C:$C,$C62)*SUMIFS(Velocity!$I:$I,Velocity!$A:$A,$A62,Velocity!$B:$B,$C62)/Assumptions!$B$4*Assumptions!$B$6</f>
        <v>1.25833333333333</v>
      </c>
      <c r="AB62" s="7" t="n">
        <f aca="false">SUMIFS(Doors!AN:AN,Doors!$A:$A,$D62,Doors!$B:$B,$B62,Doors!$C:$C,$C62)*SUMIFS(Velocity!$I:$I,Velocity!$A:$A,$A62,Velocity!$B:$B,$C62)/Assumptions!$B$4*Assumptions!$B$6</f>
        <v>1.25833333333333</v>
      </c>
      <c r="AC62" s="7" t="n">
        <f aca="false">SUMIFS(Doors!AO:AO,Doors!$A:$A,$D62,Doors!$B:$B,$B62,Doors!$C:$C,$C62)*SUMIFS(Velocity!$I:$I,Velocity!$A:$A,$A62,Velocity!$B:$B,$C62)/Assumptions!$B$4*Assumptions!$B$6</f>
        <v>1.25833333333333</v>
      </c>
      <c r="AD62" s="7" t="n">
        <f aca="false">SUMIFS(Doors!AP:AP,Doors!$A:$A,$D62,Doors!$B:$B,$B62,Doors!$C:$C,$C62)*SUMIFS(Velocity!$I:$I,Velocity!$A:$A,$A62,Velocity!$B:$B,$C62)/Assumptions!$B$4*Assumptions!$B$6</f>
        <v>1.25833333333333</v>
      </c>
      <c r="AE62" s="7" t="n">
        <f aca="false">SUMIFS(Doors!AQ:AQ,Doors!$A:$A,$D62,Doors!$B:$B,$B62,Doors!$C:$C,$C62)*SUMIFS(Velocity!$I:$I,Velocity!$A:$A,$A62,Velocity!$B:$B,$C62)/Assumptions!$B$4*Assumptions!$B$6</f>
        <v>1.8875</v>
      </c>
      <c r="AF62" s="7" t="n">
        <f aca="false">SUMIFS(Doors!AR:AR,Doors!$A:$A,$D62,Doors!$B:$B,$B62,Doors!$C:$C,$C62)*SUMIFS(Velocity!$I:$I,Velocity!$A:$A,$A62,Velocity!$B:$B,$C62)/Assumptions!$B$4*Assumptions!$B$6</f>
        <v>1.8875</v>
      </c>
      <c r="AG62" s="7" t="n">
        <f aca="false">SUMIFS(Doors!AS:AS,Doors!$A:$A,$D62,Doors!$B:$B,$B62,Doors!$C:$C,$C62)*SUMIFS(Velocity!$I:$I,Velocity!$A:$A,$A62,Velocity!$B:$B,$C62)/Assumptions!$B$4*Assumptions!$B$6</f>
        <v>1.8875</v>
      </c>
      <c r="AH62" s="7" t="n">
        <f aca="false">SUMIFS(Doors!AT:AT,Doors!$A:$A,$D62,Doors!$B:$B,$B62,Doors!$C:$C,$C62)*SUMIFS(Velocity!$I:$I,Velocity!$A:$A,$A62,Velocity!$B:$B,$C62)/Assumptions!$B$4*Assumptions!$B$6</f>
        <v>1.8875</v>
      </c>
      <c r="AI62" s="7" t="n">
        <f aca="false">SUMIFS(Doors!AU:AU,Doors!$A:$A,$D62,Doors!$B:$B,$B62,Doors!$C:$C,$C62)*SUMIFS(Velocity!$I:$I,Velocity!$A:$A,$A62,Velocity!$B:$B,$C62)/Assumptions!$B$4*Assumptions!$B$6</f>
        <v>1.8875</v>
      </c>
      <c r="AJ62" s="7" t="n">
        <f aca="false">SUMIFS(Doors!AV:AV,Doors!$A:$A,$D62,Doors!$B:$B,$B62,Doors!$C:$C,$C62)*SUMIFS(Velocity!$I:$I,Velocity!$A:$A,$A62,Velocity!$B:$B,$C62)/Assumptions!$B$4*Assumptions!$B$6</f>
        <v>3.14583333333333</v>
      </c>
      <c r="AK62" s="7" t="n">
        <f aca="false">SUMIFS(Doors!AW:AW,Doors!$A:$A,$D62,Doors!$B:$B,$B62,Doors!$C:$C,$C62)*SUMIFS(Velocity!$I:$I,Velocity!$A:$A,$A62,Velocity!$B:$B,$C62)/Assumptions!$B$4*Assumptions!$B$6</f>
        <v>3.14583333333333</v>
      </c>
      <c r="AL62" s="7" t="n">
        <f aca="false">SUMIFS(Doors!AX:AX,Doors!$A:$A,$D62,Doors!$B:$B,$B62,Doors!$C:$C,$C62)*SUMIFS(Velocity!$I:$I,Velocity!$A:$A,$A62,Velocity!$B:$B,$C62)/Assumptions!$B$4*Assumptions!$B$6</f>
        <v>3.14583333333333</v>
      </c>
      <c r="AM62" s="7" t="n">
        <f aca="false">SUMIFS(Doors!AY:AY,Doors!$A:$A,$D62,Doors!$B:$B,$B62,Doors!$C:$C,$C62)*SUMIFS(Velocity!$I:$I,Velocity!$A:$A,$A62,Velocity!$B:$B,$C62)/Assumptions!$B$4*Assumptions!$B$6</f>
        <v>3.14583333333333</v>
      </c>
      <c r="AN62" s="7" t="n">
        <f aca="false">SUMIFS(Doors!AZ:AZ,Doors!$A:$A,$D62,Doors!$B:$B,$B62,Doors!$C:$C,$C62)*SUMIFS(Velocity!$I:$I,Velocity!$A:$A,$A62,Velocity!$B:$B,$C62)/Assumptions!$B$4*Assumptions!$B$6</f>
        <v>4.40416666666667</v>
      </c>
      <c r="AO62" s="7" t="n">
        <f aca="false">SUMIFS(Doors!BA:BA,Doors!$A:$A,$D62,Doors!$B:$B,$B62,Doors!$C:$C,$C62)*SUMIFS(Velocity!$I:$I,Velocity!$A:$A,$A62,Velocity!$B:$B,$C62)/Assumptions!$B$4*Assumptions!$B$6</f>
        <v>4.40416666666667</v>
      </c>
      <c r="AP62" s="7" t="n">
        <f aca="false">SUMIFS(Doors!BB:BB,Doors!$A:$A,$D62,Doors!$B:$B,$B62,Doors!$C:$C,$C62)*SUMIFS(Velocity!$I:$I,Velocity!$A:$A,$A62,Velocity!$B:$B,$C62)/Assumptions!$B$4*Assumptions!$B$6</f>
        <v>4.40416666666667</v>
      </c>
      <c r="AQ62" s="7" t="n">
        <f aca="false">SUMIFS(Doors!BC:BC,Doors!$A:$A,$D62,Doors!$B:$B,$B62,Doors!$C:$C,$C62)*SUMIFS(Velocity!$I:$I,Velocity!$A:$A,$A62,Velocity!$B:$B,$C62)/Assumptions!$B$4*Assumptions!$B$6</f>
        <v>4.40416666666667</v>
      </c>
      <c r="AR62" s="7" t="n">
        <f aca="false">SUMIFS(Doors!BD:BD,Doors!$A:$A,$D62,Doors!$B:$B,$B62,Doors!$C:$C,$C62)*SUMIFS(Velocity!$I:$I,Velocity!$A:$A,$A62,Velocity!$B:$B,$C62)/Assumptions!$B$4*Assumptions!$B$6</f>
        <v>5.03333333333333</v>
      </c>
      <c r="AS62" s="7" t="n">
        <f aca="false">SUMIFS(Doors!BE:BE,Doors!$A:$A,$D62,Doors!$B:$B,$B62,Doors!$C:$C,$C62)*SUMIFS(Velocity!$I:$I,Velocity!$A:$A,$A62,Velocity!$B:$B,$C62)/Assumptions!$B$4*Assumptions!$B$6</f>
        <v>5.03333333333333</v>
      </c>
      <c r="AT62" s="7" t="n">
        <f aca="false">SUMIFS(Doors!BF:BF,Doors!$A:$A,$D62,Doors!$B:$B,$B62,Doors!$C:$C,$C62)*SUMIFS(Velocity!$I:$I,Velocity!$A:$A,$A62,Velocity!$B:$B,$C62)/Assumptions!$B$4*Assumptions!$B$6</f>
        <v>5.03333333333333</v>
      </c>
      <c r="AU62" s="7" t="n">
        <f aca="false">SUMIFS(Doors!BG:BG,Doors!$A:$A,$D62,Doors!$B:$B,$B62,Doors!$C:$C,$C62)*SUMIFS(Velocity!$I:$I,Velocity!$A:$A,$A62,Velocity!$B:$B,$C62)/Assumptions!$B$4*Assumptions!$B$6</f>
        <v>5.03333333333333</v>
      </c>
      <c r="AV62" s="7" t="n">
        <f aca="false">SUMIFS(Doors!BH:BH,Doors!$A:$A,$D62,Doors!$B:$B,$B62,Doors!$C:$C,$C62)*SUMIFS(Velocity!$I:$I,Velocity!$A:$A,$A62,Velocity!$B:$B,$C62)/Assumptions!$B$4*Assumptions!$B$6</f>
        <v>5.03333333333333</v>
      </c>
      <c r="AW62" s="7" t="n">
        <f aca="false">SUMIFS(Doors!BI:BI,Doors!$A:$A,$D62,Doors!$B:$B,$B62,Doors!$C:$C,$C62)*SUMIFS(Velocity!$I:$I,Velocity!$A:$A,$A62,Velocity!$B:$B,$C62)/Assumptions!$B$4*Assumptions!$B$6</f>
        <v>5.6625</v>
      </c>
      <c r="AX62" s="7" t="n">
        <f aca="false">SUMIFS(Doors!BJ:BJ,Doors!$A:$A,$D62,Doors!$B:$B,$B62,Doors!$C:$C,$C62)*SUMIFS(Velocity!$I:$I,Velocity!$A:$A,$A62,Velocity!$B:$B,$C62)/Assumptions!$B$4*Assumptions!$B$6</f>
        <v>5.6625</v>
      </c>
      <c r="AY62" s="7" t="n">
        <f aca="false">SUMIFS(Doors!BK:BK,Doors!$A:$A,$D62,Doors!$B:$B,$B62,Doors!$C:$C,$C62)*SUMIFS(Velocity!$I:$I,Velocity!$A:$A,$A62,Velocity!$B:$B,$C62)/Assumptions!$B$4*Assumptions!$B$6</f>
        <v>5.6625</v>
      </c>
      <c r="AZ62" s="7" t="n">
        <f aca="false">SUMIFS(Doors!BL:BL,Doors!$A:$A,$D62,Doors!$B:$B,$B62,Doors!$C:$C,$C62)*SUMIFS(Velocity!$I:$I,Velocity!$A:$A,$A62,Velocity!$B:$B,$C62)/Assumptions!$B$4*Assumptions!$B$6</f>
        <v>5.6625</v>
      </c>
      <c r="BA62" s="7" t="n">
        <f aca="false">SUMIFS(Doors!BM:BM,Doors!$A:$A,$D62,Doors!$B:$B,$B62,Doors!$C:$C,$C62)*SUMIFS(Velocity!$I:$I,Velocity!$A:$A,$A62,Velocity!$B:$B,$C62)/Assumptions!$B$4*Assumptions!$B$6</f>
        <v>6.29166666666667</v>
      </c>
      <c r="BB62" s="7" t="n">
        <f aca="false">SUMIFS(Doors!BN:BN,Doors!$A:$A,$D62,Doors!$B:$B,$B62,Doors!$C:$C,$C62)*SUMIFS(Velocity!$I:$I,Velocity!$A:$A,$A62,Velocity!$B:$B,$C62)/Assumptions!$B$4*Assumptions!$B$6</f>
        <v>6.29166666666667</v>
      </c>
      <c r="BC62" s="7" t="n">
        <f aca="false">SUMIFS(Doors!BO:BO,Doors!$A:$A,$D62,Doors!$B:$B,$B62,Doors!$C:$C,$C62)*SUMIFS(Velocity!$I:$I,Velocity!$A:$A,$A62,Velocity!$B:$B,$C62)/Assumptions!$B$4*Assumptions!$B$6</f>
        <v>6.29166666666667</v>
      </c>
      <c r="BD62" s="7" t="n">
        <f aca="false">SUMIFS(Doors!BP:BP,Doors!$A:$A,$D62,Doors!$B:$B,$B62,Doors!$C:$C,$C62)*SUMIFS(Velocity!$I:$I,Velocity!$A:$A,$A62,Velocity!$B:$B,$C62)/Assumptions!$B$4*Assumptions!$B$6</f>
        <v>6.29166666666667</v>
      </c>
    </row>
    <row r="63" customFormat="false" ht="15" hidden="false" customHeight="false" outlineLevel="0" collapsed="false">
      <c r="A63" s="0" t="s">
        <v>108</v>
      </c>
      <c r="B63" s="0" t="s">
        <v>132</v>
      </c>
      <c r="C63" s="0" t="s">
        <v>118</v>
      </c>
      <c r="D63" s="0" t="s">
        <v>235</v>
      </c>
      <c r="E63" s="7" t="n">
        <f aca="false">SUMIFS(Doors!Q:Q,Doors!$A:$A,$D63,Doors!$B:$B,$B63,Doors!$C:$C,$C63)*SUMIFS(Velocity!$I:$I,Velocity!$A:$A,$A63,Velocity!$B:$B,$C63)/Assumptions!$B$4*Assumptions!$B$6</f>
        <v>0</v>
      </c>
      <c r="F63" s="7" t="n">
        <f aca="false">SUMIFS(Doors!R:R,Doors!$A:$A,$D63,Doors!$B:$B,$B63,Doors!$C:$C,$C63)*SUMIFS(Velocity!$I:$I,Velocity!$A:$A,$A63,Velocity!$B:$B,$C63)/Assumptions!$B$4*Assumptions!$B$6</f>
        <v>0</v>
      </c>
      <c r="G63" s="7" t="n">
        <f aca="false">SUMIFS(Doors!S:S,Doors!$A:$A,$D63,Doors!$B:$B,$B63,Doors!$C:$C,$C63)*SUMIFS(Velocity!$I:$I,Velocity!$A:$A,$A63,Velocity!$B:$B,$C63)/Assumptions!$B$4*Assumptions!$B$6</f>
        <v>0</v>
      </c>
      <c r="H63" s="7" t="n">
        <f aca="false">SUMIFS(Doors!T:T,Doors!$A:$A,$D63,Doors!$B:$B,$B63,Doors!$C:$C,$C63)*SUMIFS(Velocity!$I:$I,Velocity!$A:$A,$A63,Velocity!$B:$B,$C63)/Assumptions!$B$4*Assumptions!$B$6</f>
        <v>0</v>
      </c>
      <c r="I63" s="7" t="n">
        <f aca="false">SUMIFS(Doors!U:U,Doors!$A:$A,$D63,Doors!$B:$B,$B63,Doors!$C:$C,$C63)*SUMIFS(Velocity!$I:$I,Velocity!$A:$A,$A63,Velocity!$B:$B,$C63)/Assumptions!$B$4*Assumptions!$B$6</f>
        <v>0</v>
      </c>
      <c r="J63" s="7" t="n">
        <f aca="false">SUMIFS(Doors!V:V,Doors!$A:$A,$D63,Doors!$B:$B,$B63,Doors!$C:$C,$C63)*SUMIFS(Velocity!$I:$I,Velocity!$A:$A,$A63,Velocity!$B:$B,$C63)/Assumptions!$B$4*Assumptions!$B$6</f>
        <v>0</v>
      </c>
      <c r="K63" s="7" t="n">
        <f aca="false">SUMIFS(Doors!W:W,Doors!$A:$A,$D63,Doors!$B:$B,$B63,Doors!$C:$C,$C63)*SUMIFS(Velocity!$I:$I,Velocity!$A:$A,$A63,Velocity!$B:$B,$C63)/Assumptions!$B$4*Assumptions!$B$6</f>
        <v>0</v>
      </c>
      <c r="L63" s="7" t="n">
        <f aca="false">SUMIFS(Doors!X:X,Doors!$A:$A,$D63,Doors!$B:$B,$B63,Doors!$C:$C,$C63)*SUMIFS(Velocity!$I:$I,Velocity!$A:$A,$A63,Velocity!$B:$B,$C63)/Assumptions!$B$4*Assumptions!$B$6</f>
        <v>0</v>
      </c>
      <c r="M63" s="7" t="n">
        <f aca="false">SUMIFS(Doors!Y:Y,Doors!$A:$A,$D63,Doors!$B:$B,$B63,Doors!$C:$C,$C63)*SUMIFS(Velocity!$I:$I,Velocity!$A:$A,$A63,Velocity!$B:$B,$C63)/Assumptions!$B$4*Assumptions!$B$6</f>
        <v>0</v>
      </c>
      <c r="N63" s="7" t="n">
        <f aca="false">SUMIFS(Doors!Z:Z,Doors!$A:$A,$D63,Doors!$B:$B,$B63,Doors!$C:$C,$C63)*SUMIFS(Velocity!$I:$I,Velocity!$A:$A,$A63,Velocity!$B:$B,$C63)/Assumptions!$B$4*Assumptions!$B$6</f>
        <v>0</v>
      </c>
      <c r="O63" s="7" t="n">
        <f aca="false">SUMIFS(Doors!AA:AA,Doors!$A:$A,$D63,Doors!$B:$B,$B63,Doors!$C:$C,$C63)*SUMIFS(Velocity!$I:$I,Velocity!$A:$A,$A63,Velocity!$B:$B,$C63)/Assumptions!$B$4*Assumptions!$B$6</f>
        <v>0</v>
      </c>
      <c r="P63" s="7" t="n">
        <f aca="false">SUMIFS(Doors!AB:AB,Doors!$A:$A,$D63,Doors!$B:$B,$B63,Doors!$C:$C,$C63)*SUMIFS(Velocity!$I:$I,Velocity!$A:$A,$A63,Velocity!$B:$B,$C63)/Assumptions!$B$4*Assumptions!$B$6</f>
        <v>0</v>
      </c>
      <c r="Q63" s="7" t="n">
        <f aca="false">SUMIFS(Doors!AC:AC,Doors!$A:$A,$D63,Doors!$B:$B,$B63,Doors!$C:$C,$C63)*SUMIFS(Velocity!$I:$I,Velocity!$A:$A,$A63,Velocity!$B:$B,$C63)/Assumptions!$B$4*Assumptions!$B$6</f>
        <v>0</v>
      </c>
      <c r="R63" s="7" t="n">
        <f aca="false">SUMIFS(Doors!AD:AD,Doors!$A:$A,$D63,Doors!$B:$B,$B63,Doors!$C:$C,$C63)*SUMIFS(Velocity!$I:$I,Velocity!$A:$A,$A63,Velocity!$B:$B,$C63)/Assumptions!$B$4*Assumptions!$B$6</f>
        <v>0</v>
      </c>
      <c r="S63" s="7" t="n">
        <f aca="false">SUMIFS(Doors!AE:AE,Doors!$A:$A,$D63,Doors!$B:$B,$B63,Doors!$C:$C,$C63)*SUMIFS(Velocity!$I:$I,Velocity!$A:$A,$A63,Velocity!$B:$B,$C63)/Assumptions!$B$4*Assumptions!$B$6</f>
        <v>0</v>
      </c>
      <c r="T63" s="7" t="n">
        <f aca="false">SUMIFS(Doors!AF:AF,Doors!$A:$A,$D63,Doors!$B:$B,$B63,Doors!$C:$C,$C63)*SUMIFS(Velocity!$I:$I,Velocity!$A:$A,$A63,Velocity!$B:$B,$C63)/Assumptions!$B$4*Assumptions!$B$6</f>
        <v>0</v>
      </c>
      <c r="U63" s="7" t="n">
        <f aca="false">SUMIFS(Doors!AG:AG,Doors!$A:$A,$D63,Doors!$B:$B,$B63,Doors!$C:$C,$C63)*SUMIFS(Velocity!$I:$I,Velocity!$A:$A,$A63,Velocity!$B:$B,$C63)/Assumptions!$B$4*Assumptions!$B$6</f>
        <v>0</v>
      </c>
      <c r="V63" s="7" t="n">
        <f aca="false">SUMIFS(Doors!AH:AH,Doors!$A:$A,$D63,Doors!$B:$B,$B63,Doors!$C:$C,$C63)*SUMIFS(Velocity!$I:$I,Velocity!$A:$A,$A63,Velocity!$B:$B,$C63)/Assumptions!$B$4*Assumptions!$B$6</f>
        <v>0</v>
      </c>
      <c r="W63" s="7" t="n">
        <f aca="false">SUMIFS(Doors!AI:AI,Doors!$A:$A,$D63,Doors!$B:$B,$B63,Doors!$C:$C,$C63)*SUMIFS(Velocity!$I:$I,Velocity!$A:$A,$A63,Velocity!$B:$B,$C63)/Assumptions!$B$4*Assumptions!$B$6</f>
        <v>0</v>
      </c>
      <c r="X63" s="7" t="n">
        <f aca="false">SUMIFS(Doors!AJ:AJ,Doors!$A:$A,$D63,Doors!$B:$B,$B63,Doors!$C:$C,$C63)*SUMIFS(Velocity!$I:$I,Velocity!$A:$A,$A63,Velocity!$B:$B,$C63)/Assumptions!$B$4*Assumptions!$B$6</f>
        <v>0</v>
      </c>
      <c r="Y63" s="7" t="n">
        <f aca="false">SUMIFS(Doors!AK:AK,Doors!$A:$A,$D63,Doors!$B:$B,$B63,Doors!$C:$C,$C63)*SUMIFS(Velocity!$I:$I,Velocity!$A:$A,$A63,Velocity!$B:$B,$C63)/Assumptions!$B$4*Assumptions!$B$6</f>
        <v>0</v>
      </c>
      <c r="Z63" s="7" t="n">
        <f aca="false">SUMIFS(Doors!AL:AL,Doors!$A:$A,$D63,Doors!$B:$B,$B63,Doors!$C:$C,$C63)*SUMIFS(Velocity!$I:$I,Velocity!$A:$A,$A63,Velocity!$B:$B,$C63)/Assumptions!$B$4*Assumptions!$B$6</f>
        <v>0</v>
      </c>
      <c r="AA63" s="7" t="n">
        <f aca="false">SUMIFS(Doors!AM:AM,Doors!$A:$A,$D63,Doors!$B:$B,$B63,Doors!$C:$C,$C63)*SUMIFS(Velocity!$I:$I,Velocity!$A:$A,$A63,Velocity!$B:$B,$C63)/Assumptions!$B$4*Assumptions!$B$6</f>
        <v>0</v>
      </c>
      <c r="AB63" s="7" t="n">
        <f aca="false">SUMIFS(Doors!AN:AN,Doors!$A:$A,$D63,Doors!$B:$B,$B63,Doors!$C:$C,$C63)*SUMIFS(Velocity!$I:$I,Velocity!$A:$A,$A63,Velocity!$B:$B,$C63)/Assumptions!$B$4*Assumptions!$B$6</f>
        <v>0</v>
      </c>
      <c r="AC63" s="7" t="n">
        <f aca="false">SUMIFS(Doors!AO:AO,Doors!$A:$A,$D63,Doors!$B:$B,$B63,Doors!$C:$C,$C63)*SUMIFS(Velocity!$I:$I,Velocity!$A:$A,$A63,Velocity!$B:$B,$C63)/Assumptions!$B$4*Assumptions!$B$6</f>
        <v>0</v>
      </c>
      <c r="AD63" s="7" t="n">
        <f aca="false">SUMIFS(Doors!AP:AP,Doors!$A:$A,$D63,Doors!$B:$B,$B63,Doors!$C:$C,$C63)*SUMIFS(Velocity!$I:$I,Velocity!$A:$A,$A63,Velocity!$B:$B,$C63)/Assumptions!$B$4*Assumptions!$B$6</f>
        <v>0</v>
      </c>
      <c r="AE63" s="7" t="n">
        <f aca="false">SUMIFS(Doors!AQ:AQ,Doors!$A:$A,$D63,Doors!$B:$B,$B63,Doors!$C:$C,$C63)*SUMIFS(Velocity!$I:$I,Velocity!$A:$A,$A63,Velocity!$B:$B,$C63)/Assumptions!$B$4*Assumptions!$B$6</f>
        <v>0</v>
      </c>
      <c r="AF63" s="7" t="n">
        <f aca="false">SUMIFS(Doors!AR:AR,Doors!$A:$A,$D63,Doors!$B:$B,$B63,Doors!$C:$C,$C63)*SUMIFS(Velocity!$I:$I,Velocity!$A:$A,$A63,Velocity!$B:$B,$C63)/Assumptions!$B$4*Assumptions!$B$6</f>
        <v>0</v>
      </c>
      <c r="AG63" s="7" t="n">
        <f aca="false">SUMIFS(Doors!AS:AS,Doors!$A:$A,$D63,Doors!$B:$B,$B63,Doors!$C:$C,$C63)*SUMIFS(Velocity!$I:$I,Velocity!$A:$A,$A63,Velocity!$B:$B,$C63)/Assumptions!$B$4*Assumptions!$B$6</f>
        <v>0</v>
      </c>
      <c r="AH63" s="7" t="n">
        <f aca="false">SUMIFS(Doors!AT:AT,Doors!$A:$A,$D63,Doors!$B:$B,$B63,Doors!$C:$C,$C63)*SUMIFS(Velocity!$I:$I,Velocity!$A:$A,$A63,Velocity!$B:$B,$C63)/Assumptions!$B$4*Assumptions!$B$6</f>
        <v>0</v>
      </c>
      <c r="AI63" s="7" t="n">
        <f aca="false">SUMIFS(Doors!AU:AU,Doors!$A:$A,$D63,Doors!$B:$B,$B63,Doors!$C:$C,$C63)*SUMIFS(Velocity!$I:$I,Velocity!$A:$A,$A63,Velocity!$B:$B,$C63)/Assumptions!$B$4*Assumptions!$B$6</f>
        <v>0</v>
      </c>
      <c r="AJ63" s="7" t="n">
        <f aca="false">SUMIFS(Doors!AV:AV,Doors!$A:$A,$D63,Doors!$B:$B,$B63,Doors!$C:$C,$C63)*SUMIFS(Velocity!$I:$I,Velocity!$A:$A,$A63,Velocity!$B:$B,$C63)/Assumptions!$B$4*Assumptions!$B$6</f>
        <v>0</v>
      </c>
      <c r="AK63" s="7" t="n">
        <f aca="false">SUMIFS(Doors!AW:AW,Doors!$A:$A,$D63,Doors!$B:$B,$B63,Doors!$C:$C,$C63)*SUMIFS(Velocity!$I:$I,Velocity!$A:$A,$A63,Velocity!$B:$B,$C63)/Assumptions!$B$4*Assumptions!$B$6</f>
        <v>0</v>
      </c>
      <c r="AL63" s="7" t="n">
        <f aca="false">SUMIFS(Doors!AX:AX,Doors!$A:$A,$D63,Doors!$B:$B,$B63,Doors!$C:$C,$C63)*SUMIFS(Velocity!$I:$I,Velocity!$A:$A,$A63,Velocity!$B:$B,$C63)/Assumptions!$B$4*Assumptions!$B$6</f>
        <v>0</v>
      </c>
      <c r="AM63" s="7" t="n">
        <f aca="false">SUMIFS(Doors!AY:AY,Doors!$A:$A,$D63,Doors!$B:$B,$B63,Doors!$C:$C,$C63)*SUMIFS(Velocity!$I:$I,Velocity!$A:$A,$A63,Velocity!$B:$B,$C63)/Assumptions!$B$4*Assumptions!$B$6</f>
        <v>0</v>
      </c>
      <c r="AN63" s="7" t="n">
        <f aca="false">SUMIFS(Doors!AZ:AZ,Doors!$A:$A,$D63,Doors!$B:$B,$B63,Doors!$C:$C,$C63)*SUMIFS(Velocity!$I:$I,Velocity!$A:$A,$A63,Velocity!$B:$B,$C63)/Assumptions!$B$4*Assumptions!$B$6</f>
        <v>0</v>
      </c>
      <c r="AO63" s="7" t="n">
        <f aca="false">SUMIFS(Doors!BA:BA,Doors!$A:$A,$D63,Doors!$B:$B,$B63,Doors!$C:$C,$C63)*SUMIFS(Velocity!$I:$I,Velocity!$A:$A,$A63,Velocity!$B:$B,$C63)/Assumptions!$B$4*Assumptions!$B$6</f>
        <v>0</v>
      </c>
      <c r="AP63" s="7" t="n">
        <f aca="false">SUMIFS(Doors!BB:BB,Doors!$A:$A,$D63,Doors!$B:$B,$B63,Doors!$C:$C,$C63)*SUMIFS(Velocity!$I:$I,Velocity!$A:$A,$A63,Velocity!$B:$B,$C63)/Assumptions!$B$4*Assumptions!$B$6</f>
        <v>0</v>
      </c>
      <c r="AQ63" s="7" t="n">
        <f aca="false">SUMIFS(Doors!BC:BC,Doors!$A:$A,$D63,Doors!$B:$B,$B63,Doors!$C:$C,$C63)*SUMIFS(Velocity!$I:$I,Velocity!$A:$A,$A63,Velocity!$B:$B,$C63)/Assumptions!$B$4*Assumptions!$B$6</f>
        <v>0</v>
      </c>
      <c r="AR63" s="7" t="n">
        <f aca="false">SUMIFS(Doors!BD:BD,Doors!$A:$A,$D63,Doors!$B:$B,$B63,Doors!$C:$C,$C63)*SUMIFS(Velocity!$I:$I,Velocity!$A:$A,$A63,Velocity!$B:$B,$C63)/Assumptions!$B$4*Assumptions!$B$6</f>
        <v>23</v>
      </c>
      <c r="AS63" s="7" t="n">
        <f aca="false">SUMIFS(Doors!BE:BE,Doors!$A:$A,$D63,Doors!$B:$B,$B63,Doors!$C:$C,$C63)*SUMIFS(Velocity!$I:$I,Velocity!$A:$A,$A63,Velocity!$B:$B,$C63)/Assumptions!$B$4*Assumptions!$B$6</f>
        <v>23</v>
      </c>
      <c r="AT63" s="7" t="n">
        <f aca="false">SUMIFS(Doors!BF:BF,Doors!$A:$A,$D63,Doors!$B:$B,$B63,Doors!$C:$C,$C63)*SUMIFS(Velocity!$I:$I,Velocity!$A:$A,$A63,Velocity!$B:$B,$C63)/Assumptions!$B$4*Assumptions!$B$6</f>
        <v>23</v>
      </c>
      <c r="AU63" s="7" t="n">
        <f aca="false">SUMIFS(Doors!BG:BG,Doors!$A:$A,$D63,Doors!$B:$B,$B63,Doors!$C:$C,$C63)*SUMIFS(Velocity!$I:$I,Velocity!$A:$A,$A63,Velocity!$B:$B,$C63)/Assumptions!$B$4*Assumptions!$B$6</f>
        <v>23</v>
      </c>
      <c r="AV63" s="7" t="n">
        <f aca="false">SUMIFS(Doors!BH:BH,Doors!$A:$A,$D63,Doors!$B:$B,$B63,Doors!$C:$C,$C63)*SUMIFS(Velocity!$I:$I,Velocity!$A:$A,$A63,Velocity!$B:$B,$C63)/Assumptions!$B$4*Assumptions!$B$6</f>
        <v>23</v>
      </c>
      <c r="AW63" s="7" t="n">
        <f aca="false">SUMIFS(Doors!BI:BI,Doors!$A:$A,$D63,Doors!$B:$B,$B63,Doors!$C:$C,$C63)*SUMIFS(Velocity!$I:$I,Velocity!$A:$A,$A63,Velocity!$B:$B,$C63)/Assumptions!$B$4*Assumptions!$B$6</f>
        <v>30.6666666666667</v>
      </c>
      <c r="AX63" s="7" t="n">
        <f aca="false">SUMIFS(Doors!BJ:BJ,Doors!$A:$A,$D63,Doors!$B:$B,$B63,Doors!$C:$C,$C63)*SUMIFS(Velocity!$I:$I,Velocity!$A:$A,$A63,Velocity!$B:$B,$C63)/Assumptions!$B$4*Assumptions!$B$6</f>
        <v>30.6666666666667</v>
      </c>
      <c r="AY63" s="7" t="n">
        <f aca="false">SUMIFS(Doors!BK:BK,Doors!$A:$A,$D63,Doors!$B:$B,$B63,Doors!$C:$C,$C63)*SUMIFS(Velocity!$I:$I,Velocity!$A:$A,$A63,Velocity!$B:$B,$C63)/Assumptions!$B$4*Assumptions!$B$6</f>
        <v>30.6666666666667</v>
      </c>
      <c r="AZ63" s="7" t="n">
        <f aca="false">SUMIFS(Doors!BL:BL,Doors!$A:$A,$D63,Doors!$B:$B,$B63,Doors!$C:$C,$C63)*SUMIFS(Velocity!$I:$I,Velocity!$A:$A,$A63,Velocity!$B:$B,$C63)/Assumptions!$B$4*Assumptions!$B$6</f>
        <v>30.6666666666667</v>
      </c>
      <c r="BA63" s="7" t="n">
        <f aca="false">SUMIFS(Doors!BM:BM,Doors!$A:$A,$D63,Doors!$B:$B,$B63,Doors!$C:$C,$C63)*SUMIFS(Velocity!$I:$I,Velocity!$A:$A,$A63,Velocity!$B:$B,$C63)/Assumptions!$B$4*Assumptions!$B$6</f>
        <v>38.3333333333333</v>
      </c>
      <c r="BB63" s="7" t="n">
        <f aca="false">SUMIFS(Doors!BN:BN,Doors!$A:$A,$D63,Doors!$B:$B,$B63,Doors!$C:$C,$C63)*SUMIFS(Velocity!$I:$I,Velocity!$A:$A,$A63,Velocity!$B:$B,$C63)/Assumptions!$B$4*Assumptions!$B$6</f>
        <v>38.3333333333333</v>
      </c>
      <c r="BC63" s="7" t="n">
        <f aca="false">SUMIFS(Doors!BO:BO,Doors!$A:$A,$D63,Doors!$B:$B,$B63,Doors!$C:$C,$C63)*SUMIFS(Velocity!$I:$I,Velocity!$A:$A,$A63,Velocity!$B:$B,$C63)/Assumptions!$B$4*Assumptions!$B$6</f>
        <v>38.3333333333333</v>
      </c>
      <c r="BD63" s="7" t="n">
        <f aca="false">SUMIFS(Doors!BP:BP,Doors!$A:$A,$D63,Doors!$B:$B,$B63,Doors!$C:$C,$C63)*SUMIFS(Velocity!$I:$I,Velocity!$A:$A,$A63,Velocity!$B:$B,$C63)/Assumptions!$B$4*Assumptions!$B$6</f>
        <v>38.3333333333333</v>
      </c>
    </row>
    <row r="64" customFormat="false" ht="15" hidden="false" customHeight="false" outlineLevel="0" collapsed="false">
      <c r="A64" s="0" t="s">
        <v>108</v>
      </c>
      <c r="B64" s="0" t="s">
        <v>132</v>
      </c>
      <c r="C64" s="0" t="s">
        <v>119</v>
      </c>
      <c r="D64" s="0" t="s">
        <v>235</v>
      </c>
      <c r="E64" s="7" t="n">
        <f aca="false">SUMIFS(Doors!Q:Q,Doors!$A:$A,$D64,Doors!$B:$B,$B64,Doors!$C:$C,$C64)*SUMIFS(Velocity!$I:$I,Velocity!$A:$A,$A64,Velocity!$B:$B,$C64)/Assumptions!$B$4*Assumptions!$B$6</f>
        <v>0.5</v>
      </c>
      <c r="F64" s="7" t="n">
        <f aca="false">SUMIFS(Doors!R:R,Doors!$A:$A,$D64,Doors!$B:$B,$B64,Doors!$C:$C,$C64)*SUMIFS(Velocity!$I:$I,Velocity!$A:$A,$A64,Velocity!$B:$B,$C64)/Assumptions!$B$4*Assumptions!$B$6</f>
        <v>0.5</v>
      </c>
      <c r="G64" s="7" t="n">
        <f aca="false">SUMIFS(Doors!S:S,Doors!$A:$A,$D64,Doors!$B:$B,$B64,Doors!$C:$C,$C64)*SUMIFS(Velocity!$I:$I,Velocity!$A:$A,$A64,Velocity!$B:$B,$C64)/Assumptions!$B$4*Assumptions!$B$6</f>
        <v>0.5</v>
      </c>
      <c r="H64" s="7" t="n">
        <f aca="false">SUMIFS(Doors!T:T,Doors!$A:$A,$D64,Doors!$B:$B,$B64,Doors!$C:$C,$C64)*SUMIFS(Velocity!$I:$I,Velocity!$A:$A,$A64,Velocity!$B:$B,$C64)/Assumptions!$B$4*Assumptions!$B$6</f>
        <v>0.5</v>
      </c>
      <c r="I64" s="7" t="n">
        <f aca="false">SUMIFS(Doors!U:U,Doors!$A:$A,$D64,Doors!$B:$B,$B64,Doors!$C:$C,$C64)*SUMIFS(Velocity!$I:$I,Velocity!$A:$A,$A64,Velocity!$B:$B,$C64)/Assumptions!$B$4*Assumptions!$B$6</f>
        <v>0.5</v>
      </c>
      <c r="J64" s="7" t="n">
        <f aca="false">SUMIFS(Doors!V:V,Doors!$A:$A,$D64,Doors!$B:$B,$B64,Doors!$C:$C,$C64)*SUMIFS(Velocity!$I:$I,Velocity!$A:$A,$A64,Velocity!$B:$B,$C64)/Assumptions!$B$4*Assumptions!$B$6</f>
        <v>0.833333333333333</v>
      </c>
      <c r="K64" s="7" t="n">
        <f aca="false">SUMIFS(Doors!W:W,Doors!$A:$A,$D64,Doors!$B:$B,$B64,Doors!$C:$C,$C64)*SUMIFS(Velocity!$I:$I,Velocity!$A:$A,$A64,Velocity!$B:$B,$C64)/Assumptions!$B$4*Assumptions!$B$6</f>
        <v>0.833333333333333</v>
      </c>
      <c r="L64" s="7" t="n">
        <f aca="false">SUMIFS(Doors!X:X,Doors!$A:$A,$D64,Doors!$B:$B,$B64,Doors!$C:$C,$C64)*SUMIFS(Velocity!$I:$I,Velocity!$A:$A,$A64,Velocity!$B:$B,$C64)/Assumptions!$B$4*Assumptions!$B$6</f>
        <v>0.833333333333333</v>
      </c>
      <c r="M64" s="7" t="n">
        <f aca="false">SUMIFS(Doors!Y:Y,Doors!$A:$A,$D64,Doors!$B:$B,$B64,Doors!$C:$C,$C64)*SUMIFS(Velocity!$I:$I,Velocity!$A:$A,$A64,Velocity!$B:$B,$C64)/Assumptions!$B$4*Assumptions!$B$6</f>
        <v>0.833333333333333</v>
      </c>
      <c r="N64" s="7" t="n">
        <f aca="false">SUMIFS(Doors!Z:Z,Doors!$A:$A,$D64,Doors!$B:$B,$B64,Doors!$C:$C,$C64)*SUMIFS(Velocity!$I:$I,Velocity!$A:$A,$A64,Velocity!$B:$B,$C64)/Assumptions!$B$4*Assumptions!$B$6</f>
        <v>1.16666666666667</v>
      </c>
      <c r="O64" s="7" t="n">
        <f aca="false">SUMIFS(Doors!AA:AA,Doors!$A:$A,$D64,Doors!$B:$B,$B64,Doors!$C:$C,$C64)*SUMIFS(Velocity!$I:$I,Velocity!$A:$A,$A64,Velocity!$B:$B,$C64)/Assumptions!$B$4*Assumptions!$B$6</f>
        <v>1.16666666666667</v>
      </c>
      <c r="P64" s="7" t="n">
        <f aca="false">SUMIFS(Doors!AB:AB,Doors!$A:$A,$D64,Doors!$B:$B,$B64,Doors!$C:$C,$C64)*SUMIFS(Velocity!$I:$I,Velocity!$A:$A,$A64,Velocity!$B:$B,$C64)/Assumptions!$B$4*Assumptions!$B$6</f>
        <v>1.16666666666667</v>
      </c>
      <c r="Q64" s="7" t="n">
        <f aca="false">SUMIFS(Doors!AC:AC,Doors!$A:$A,$D64,Doors!$B:$B,$B64,Doors!$C:$C,$C64)*SUMIFS(Velocity!$I:$I,Velocity!$A:$A,$A64,Velocity!$B:$B,$C64)/Assumptions!$B$4*Assumptions!$B$6</f>
        <v>1.16666666666667</v>
      </c>
      <c r="R64" s="7" t="n">
        <f aca="false">SUMIFS(Doors!AD:AD,Doors!$A:$A,$D64,Doors!$B:$B,$B64,Doors!$C:$C,$C64)*SUMIFS(Velocity!$I:$I,Velocity!$A:$A,$A64,Velocity!$B:$B,$C64)/Assumptions!$B$4*Assumptions!$B$6</f>
        <v>1.5</v>
      </c>
      <c r="S64" s="7" t="n">
        <f aca="false">SUMIFS(Doors!AE:AE,Doors!$A:$A,$D64,Doors!$B:$B,$B64,Doors!$C:$C,$C64)*SUMIFS(Velocity!$I:$I,Velocity!$A:$A,$A64,Velocity!$B:$B,$C64)/Assumptions!$B$4*Assumptions!$B$6</f>
        <v>1.5</v>
      </c>
      <c r="T64" s="7" t="n">
        <f aca="false">SUMIFS(Doors!AF:AF,Doors!$A:$A,$D64,Doors!$B:$B,$B64,Doors!$C:$C,$C64)*SUMIFS(Velocity!$I:$I,Velocity!$A:$A,$A64,Velocity!$B:$B,$C64)/Assumptions!$B$4*Assumptions!$B$6</f>
        <v>1.5</v>
      </c>
      <c r="U64" s="7" t="n">
        <f aca="false">SUMIFS(Doors!AG:AG,Doors!$A:$A,$D64,Doors!$B:$B,$B64,Doors!$C:$C,$C64)*SUMIFS(Velocity!$I:$I,Velocity!$A:$A,$A64,Velocity!$B:$B,$C64)/Assumptions!$B$4*Assumptions!$B$6</f>
        <v>1.5</v>
      </c>
      <c r="V64" s="7" t="n">
        <f aca="false">SUMIFS(Doors!AH:AH,Doors!$A:$A,$D64,Doors!$B:$B,$B64,Doors!$C:$C,$C64)*SUMIFS(Velocity!$I:$I,Velocity!$A:$A,$A64,Velocity!$B:$B,$C64)/Assumptions!$B$4*Assumptions!$B$6</f>
        <v>1.5</v>
      </c>
      <c r="W64" s="7" t="n">
        <f aca="false">SUMIFS(Doors!AI:AI,Doors!$A:$A,$D64,Doors!$B:$B,$B64,Doors!$C:$C,$C64)*SUMIFS(Velocity!$I:$I,Velocity!$A:$A,$A64,Velocity!$B:$B,$C64)/Assumptions!$B$4*Assumptions!$B$6</f>
        <v>1.66666666666667</v>
      </c>
      <c r="X64" s="7" t="n">
        <f aca="false">SUMIFS(Doors!AJ:AJ,Doors!$A:$A,$D64,Doors!$B:$B,$B64,Doors!$C:$C,$C64)*SUMIFS(Velocity!$I:$I,Velocity!$A:$A,$A64,Velocity!$B:$B,$C64)/Assumptions!$B$4*Assumptions!$B$6</f>
        <v>1.66666666666667</v>
      </c>
      <c r="Y64" s="7" t="n">
        <f aca="false">SUMIFS(Doors!AK:AK,Doors!$A:$A,$D64,Doors!$B:$B,$B64,Doors!$C:$C,$C64)*SUMIFS(Velocity!$I:$I,Velocity!$A:$A,$A64,Velocity!$B:$B,$C64)/Assumptions!$B$4*Assumptions!$B$6</f>
        <v>1.66666666666667</v>
      </c>
      <c r="Z64" s="7" t="n">
        <f aca="false">SUMIFS(Doors!AL:AL,Doors!$A:$A,$D64,Doors!$B:$B,$B64,Doors!$C:$C,$C64)*SUMIFS(Velocity!$I:$I,Velocity!$A:$A,$A64,Velocity!$B:$B,$C64)/Assumptions!$B$4*Assumptions!$B$6</f>
        <v>1.66666666666667</v>
      </c>
      <c r="AA64" s="7" t="n">
        <f aca="false">SUMIFS(Doors!AM:AM,Doors!$A:$A,$D64,Doors!$B:$B,$B64,Doors!$C:$C,$C64)*SUMIFS(Velocity!$I:$I,Velocity!$A:$A,$A64,Velocity!$B:$B,$C64)/Assumptions!$B$4*Assumptions!$B$6</f>
        <v>1.83333333333333</v>
      </c>
      <c r="AB64" s="7" t="n">
        <f aca="false">SUMIFS(Doors!AN:AN,Doors!$A:$A,$D64,Doors!$B:$B,$B64,Doors!$C:$C,$C64)*SUMIFS(Velocity!$I:$I,Velocity!$A:$A,$A64,Velocity!$B:$B,$C64)/Assumptions!$B$4*Assumptions!$B$6</f>
        <v>1.83333333333333</v>
      </c>
      <c r="AC64" s="7" t="n">
        <f aca="false">SUMIFS(Doors!AO:AO,Doors!$A:$A,$D64,Doors!$B:$B,$B64,Doors!$C:$C,$C64)*SUMIFS(Velocity!$I:$I,Velocity!$A:$A,$A64,Velocity!$B:$B,$C64)/Assumptions!$B$4*Assumptions!$B$6</f>
        <v>1.83333333333333</v>
      </c>
      <c r="AD64" s="7" t="n">
        <f aca="false">SUMIFS(Doors!AP:AP,Doors!$A:$A,$D64,Doors!$B:$B,$B64,Doors!$C:$C,$C64)*SUMIFS(Velocity!$I:$I,Velocity!$A:$A,$A64,Velocity!$B:$B,$C64)/Assumptions!$B$4*Assumptions!$B$6</f>
        <v>1.83333333333333</v>
      </c>
      <c r="AE64" s="7" t="n">
        <f aca="false">SUMIFS(Doors!AQ:AQ,Doors!$A:$A,$D64,Doors!$B:$B,$B64,Doors!$C:$C,$C64)*SUMIFS(Velocity!$I:$I,Velocity!$A:$A,$A64,Velocity!$B:$B,$C64)/Assumptions!$B$4*Assumptions!$B$6</f>
        <v>2</v>
      </c>
      <c r="AF64" s="7" t="n">
        <f aca="false">SUMIFS(Doors!AR:AR,Doors!$A:$A,$D64,Doors!$B:$B,$B64,Doors!$C:$C,$C64)*SUMIFS(Velocity!$I:$I,Velocity!$A:$A,$A64,Velocity!$B:$B,$C64)/Assumptions!$B$4*Assumptions!$B$6</f>
        <v>2</v>
      </c>
      <c r="AG64" s="7" t="n">
        <f aca="false">SUMIFS(Doors!AS:AS,Doors!$A:$A,$D64,Doors!$B:$B,$B64,Doors!$C:$C,$C64)*SUMIFS(Velocity!$I:$I,Velocity!$A:$A,$A64,Velocity!$B:$B,$C64)/Assumptions!$B$4*Assumptions!$B$6</f>
        <v>2</v>
      </c>
      <c r="AH64" s="7" t="n">
        <f aca="false">SUMIFS(Doors!AT:AT,Doors!$A:$A,$D64,Doors!$B:$B,$B64,Doors!$C:$C,$C64)*SUMIFS(Velocity!$I:$I,Velocity!$A:$A,$A64,Velocity!$B:$B,$C64)/Assumptions!$B$4*Assumptions!$B$6</f>
        <v>2</v>
      </c>
      <c r="AI64" s="7" t="n">
        <f aca="false">SUMIFS(Doors!AU:AU,Doors!$A:$A,$D64,Doors!$B:$B,$B64,Doors!$C:$C,$C64)*SUMIFS(Velocity!$I:$I,Velocity!$A:$A,$A64,Velocity!$B:$B,$C64)/Assumptions!$B$4*Assumptions!$B$6</f>
        <v>2</v>
      </c>
      <c r="AJ64" s="7" t="n">
        <f aca="false">SUMIFS(Doors!AV:AV,Doors!$A:$A,$D64,Doors!$B:$B,$B64,Doors!$C:$C,$C64)*SUMIFS(Velocity!$I:$I,Velocity!$A:$A,$A64,Velocity!$B:$B,$C64)/Assumptions!$B$4*Assumptions!$B$6</f>
        <v>2.16666666666667</v>
      </c>
      <c r="AK64" s="7" t="n">
        <f aca="false">SUMIFS(Doors!AW:AW,Doors!$A:$A,$D64,Doors!$B:$B,$B64,Doors!$C:$C,$C64)*SUMIFS(Velocity!$I:$I,Velocity!$A:$A,$A64,Velocity!$B:$B,$C64)/Assumptions!$B$4*Assumptions!$B$6</f>
        <v>2.16666666666667</v>
      </c>
      <c r="AL64" s="7" t="n">
        <f aca="false">SUMIFS(Doors!AX:AX,Doors!$A:$A,$D64,Doors!$B:$B,$B64,Doors!$C:$C,$C64)*SUMIFS(Velocity!$I:$I,Velocity!$A:$A,$A64,Velocity!$B:$B,$C64)/Assumptions!$B$4*Assumptions!$B$6</f>
        <v>2.16666666666667</v>
      </c>
      <c r="AM64" s="7" t="n">
        <f aca="false">SUMIFS(Doors!AY:AY,Doors!$A:$A,$D64,Doors!$B:$B,$B64,Doors!$C:$C,$C64)*SUMIFS(Velocity!$I:$I,Velocity!$A:$A,$A64,Velocity!$B:$B,$C64)/Assumptions!$B$4*Assumptions!$B$6</f>
        <v>2.16666666666667</v>
      </c>
      <c r="AN64" s="7" t="n">
        <f aca="false">SUMIFS(Doors!AZ:AZ,Doors!$A:$A,$D64,Doors!$B:$B,$B64,Doors!$C:$C,$C64)*SUMIFS(Velocity!$I:$I,Velocity!$A:$A,$A64,Velocity!$B:$B,$C64)/Assumptions!$B$4*Assumptions!$B$6</f>
        <v>2.33333333333333</v>
      </c>
      <c r="AO64" s="7" t="n">
        <f aca="false">SUMIFS(Doors!BA:BA,Doors!$A:$A,$D64,Doors!$B:$B,$B64,Doors!$C:$C,$C64)*SUMIFS(Velocity!$I:$I,Velocity!$A:$A,$A64,Velocity!$B:$B,$C64)/Assumptions!$B$4*Assumptions!$B$6</f>
        <v>2.33333333333333</v>
      </c>
      <c r="AP64" s="7" t="n">
        <f aca="false">SUMIFS(Doors!BB:BB,Doors!$A:$A,$D64,Doors!$B:$B,$B64,Doors!$C:$C,$C64)*SUMIFS(Velocity!$I:$I,Velocity!$A:$A,$A64,Velocity!$B:$B,$C64)/Assumptions!$B$4*Assumptions!$B$6</f>
        <v>2.33333333333333</v>
      </c>
      <c r="AQ64" s="7" t="n">
        <f aca="false">SUMIFS(Doors!BC:BC,Doors!$A:$A,$D64,Doors!$B:$B,$B64,Doors!$C:$C,$C64)*SUMIFS(Velocity!$I:$I,Velocity!$A:$A,$A64,Velocity!$B:$B,$C64)/Assumptions!$B$4*Assumptions!$B$6</f>
        <v>2.33333333333333</v>
      </c>
      <c r="AR64" s="7" t="n">
        <f aca="false">SUMIFS(Doors!BD:BD,Doors!$A:$A,$D64,Doors!$B:$B,$B64,Doors!$C:$C,$C64)*SUMIFS(Velocity!$I:$I,Velocity!$A:$A,$A64,Velocity!$B:$B,$C64)/Assumptions!$B$4*Assumptions!$B$6</f>
        <v>2.33333333333333</v>
      </c>
      <c r="AS64" s="7" t="n">
        <f aca="false">SUMIFS(Doors!BE:BE,Doors!$A:$A,$D64,Doors!$B:$B,$B64,Doors!$C:$C,$C64)*SUMIFS(Velocity!$I:$I,Velocity!$A:$A,$A64,Velocity!$B:$B,$C64)/Assumptions!$B$4*Assumptions!$B$6</f>
        <v>2.33333333333333</v>
      </c>
      <c r="AT64" s="7" t="n">
        <f aca="false">SUMIFS(Doors!BF:BF,Doors!$A:$A,$D64,Doors!$B:$B,$B64,Doors!$C:$C,$C64)*SUMIFS(Velocity!$I:$I,Velocity!$A:$A,$A64,Velocity!$B:$B,$C64)/Assumptions!$B$4*Assumptions!$B$6</f>
        <v>2.33333333333333</v>
      </c>
      <c r="AU64" s="7" t="n">
        <f aca="false">SUMIFS(Doors!BG:BG,Doors!$A:$A,$D64,Doors!$B:$B,$B64,Doors!$C:$C,$C64)*SUMIFS(Velocity!$I:$I,Velocity!$A:$A,$A64,Velocity!$B:$B,$C64)/Assumptions!$B$4*Assumptions!$B$6</f>
        <v>2.33333333333333</v>
      </c>
      <c r="AV64" s="7" t="n">
        <f aca="false">SUMIFS(Doors!BH:BH,Doors!$A:$A,$D64,Doors!$B:$B,$B64,Doors!$C:$C,$C64)*SUMIFS(Velocity!$I:$I,Velocity!$A:$A,$A64,Velocity!$B:$B,$C64)/Assumptions!$B$4*Assumptions!$B$6</f>
        <v>2.33333333333333</v>
      </c>
      <c r="AW64" s="7" t="n">
        <f aca="false">SUMIFS(Doors!BI:BI,Doors!$A:$A,$D64,Doors!$B:$B,$B64,Doors!$C:$C,$C64)*SUMIFS(Velocity!$I:$I,Velocity!$A:$A,$A64,Velocity!$B:$B,$C64)/Assumptions!$B$4*Assumptions!$B$6</f>
        <v>2.5</v>
      </c>
      <c r="AX64" s="7" t="n">
        <f aca="false">SUMIFS(Doors!BJ:BJ,Doors!$A:$A,$D64,Doors!$B:$B,$B64,Doors!$C:$C,$C64)*SUMIFS(Velocity!$I:$I,Velocity!$A:$A,$A64,Velocity!$B:$B,$C64)/Assumptions!$B$4*Assumptions!$B$6</f>
        <v>2.5</v>
      </c>
      <c r="AY64" s="7" t="n">
        <f aca="false">SUMIFS(Doors!BK:BK,Doors!$A:$A,$D64,Doors!$B:$B,$B64,Doors!$C:$C,$C64)*SUMIFS(Velocity!$I:$I,Velocity!$A:$A,$A64,Velocity!$B:$B,$C64)/Assumptions!$B$4*Assumptions!$B$6</f>
        <v>2.5</v>
      </c>
      <c r="AZ64" s="7" t="n">
        <f aca="false">SUMIFS(Doors!BL:BL,Doors!$A:$A,$D64,Doors!$B:$B,$B64,Doors!$C:$C,$C64)*SUMIFS(Velocity!$I:$I,Velocity!$A:$A,$A64,Velocity!$B:$B,$C64)/Assumptions!$B$4*Assumptions!$B$6</f>
        <v>2.5</v>
      </c>
      <c r="BA64" s="7" t="n">
        <f aca="false">SUMIFS(Doors!BM:BM,Doors!$A:$A,$D64,Doors!$B:$B,$B64,Doors!$C:$C,$C64)*SUMIFS(Velocity!$I:$I,Velocity!$A:$A,$A64,Velocity!$B:$B,$C64)/Assumptions!$B$4*Assumptions!$B$6</f>
        <v>2.5</v>
      </c>
      <c r="BB64" s="7" t="n">
        <f aca="false">SUMIFS(Doors!BN:BN,Doors!$A:$A,$D64,Doors!$B:$B,$B64,Doors!$C:$C,$C64)*SUMIFS(Velocity!$I:$I,Velocity!$A:$A,$A64,Velocity!$B:$B,$C64)/Assumptions!$B$4*Assumptions!$B$6</f>
        <v>2.5</v>
      </c>
      <c r="BC64" s="7" t="n">
        <f aca="false">SUMIFS(Doors!BO:BO,Doors!$A:$A,$D64,Doors!$B:$B,$B64,Doors!$C:$C,$C64)*SUMIFS(Velocity!$I:$I,Velocity!$A:$A,$A64,Velocity!$B:$B,$C64)/Assumptions!$B$4*Assumptions!$B$6</f>
        <v>2.5</v>
      </c>
      <c r="BD64" s="7" t="n">
        <f aca="false">SUMIFS(Doors!BP:BP,Doors!$A:$A,$D64,Doors!$B:$B,$B64,Doors!$C:$C,$C64)*SUMIFS(Velocity!$I:$I,Velocity!$A:$A,$A64,Velocity!$B:$B,$C64)/Assumptions!$B$4*Assumptions!$B$6</f>
        <v>2.5</v>
      </c>
    </row>
    <row r="65" customFormat="false" ht="15" hidden="false" customHeight="false" outlineLevel="0" collapsed="false">
      <c r="A65" s="0" t="s">
        <v>108</v>
      </c>
      <c r="B65" s="0" t="s">
        <v>132</v>
      </c>
      <c r="C65" s="0" t="s">
        <v>120</v>
      </c>
      <c r="D65" s="0" t="s">
        <v>235</v>
      </c>
      <c r="E65" s="7" t="n">
        <f aca="false">SUMIFS(Doors!Q:Q,Doors!$A:$A,$D65,Doors!$B:$B,$B65,Doors!$C:$C,$C65)*SUMIFS(Velocity!$I:$I,Velocity!$A:$A,$A65,Velocity!$B:$B,$C65)/Assumptions!$B$4*Assumptions!$B$6</f>
        <v>0.59375</v>
      </c>
      <c r="F65" s="7" t="n">
        <f aca="false">SUMIFS(Doors!R:R,Doors!$A:$A,$D65,Doors!$B:$B,$B65,Doors!$C:$C,$C65)*SUMIFS(Velocity!$I:$I,Velocity!$A:$A,$A65,Velocity!$B:$B,$C65)/Assumptions!$B$4*Assumptions!$B$6</f>
        <v>0.59375</v>
      </c>
      <c r="G65" s="7" t="n">
        <f aca="false">SUMIFS(Doors!S:S,Doors!$A:$A,$D65,Doors!$B:$B,$B65,Doors!$C:$C,$C65)*SUMIFS(Velocity!$I:$I,Velocity!$A:$A,$A65,Velocity!$B:$B,$C65)/Assumptions!$B$4*Assumptions!$B$6</f>
        <v>0.59375</v>
      </c>
      <c r="H65" s="7" t="n">
        <f aca="false">SUMIFS(Doors!T:T,Doors!$A:$A,$D65,Doors!$B:$B,$B65,Doors!$C:$C,$C65)*SUMIFS(Velocity!$I:$I,Velocity!$A:$A,$A65,Velocity!$B:$B,$C65)/Assumptions!$B$4*Assumptions!$B$6</f>
        <v>0.59375</v>
      </c>
      <c r="I65" s="7" t="n">
        <f aca="false">SUMIFS(Doors!U:U,Doors!$A:$A,$D65,Doors!$B:$B,$B65,Doors!$C:$C,$C65)*SUMIFS(Velocity!$I:$I,Velocity!$A:$A,$A65,Velocity!$B:$B,$C65)/Assumptions!$B$4*Assumptions!$B$6</f>
        <v>0.59375</v>
      </c>
      <c r="J65" s="7" t="n">
        <f aca="false">SUMIFS(Doors!V:V,Doors!$A:$A,$D65,Doors!$B:$B,$B65,Doors!$C:$C,$C65)*SUMIFS(Velocity!$I:$I,Velocity!$A:$A,$A65,Velocity!$B:$B,$C65)/Assumptions!$B$4*Assumptions!$B$6</f>
        <v>0.989583333333333</v>
      </c>
      <c r="K65" s="7" t="n">
        <f aca="false">SUMIFS(Doors!W:W,Doors!$A:$A,$D65,Doors!$B:$B,$B65,Doors!$C:$C,$C65)*SUMIFS(Velocity!$I:$I,Velocity!$A:$A,$A65,Velocity!$B:$B,$C65)/Assumptions!$B$4*Assumptions!$B$6</f>
        <v>0.989583333333333</v>
      </c>
      <c r="L65" s="7" t="n">
        <f aca="false">SUMIFS(Doors!X:X,Doors!$A:$A,$D65,Doors!$B:$B,$B65,Doors!$C:$C,$C65)*SUMIFS(Velocity!$I:$I,Velocity!$A:$A,$A65,Velocity!$B:$B,$C65)/Assumptions!$B$4*Assumptions!$B$6</f>
        <v>0.989583333333333</v>
      </c>
      <c r="M65" s="7" t="n">
        <f aca="false">SUMIFS(Doors!Y:Y,Doors!$A:$A,$D65,Doors!$B:$B,$B65,Doors!$C:$C,$C65)*SUMIFS(Velocity!$I:$I,Velocity!$A:$A,$A65,Velocity!$B:$B,$C65)/Assumptions!$B$4*Assumptions!$B$6</f>
        <v>0.989583333333333</v>
      </c>
      <c r="N65" s="7" t="n">
        <f aca="false">SUMIFS(Doors!Z:Z,Doors!$A:$A,$D65,Doors!$B:$B,$B65,Doors!$C:$C,$C65)*SUMIFS(Velocity!$I:$I,Velocity!$A:$A,$A65,Velocity!$B:$B,$C65)/Assumptions!$B$4*Assumptions!$B$6</f>
        <v>1.38541666666667</v>
      </c>
      <c r="O65" s="7" t="n">
        <f aca="false">SUMIFS(Doors!AA:AA,Doors!$A:$A,$D65,Doors!$B:$B,$B65,Doors!$C:$C,$C65)*SUMIFS(Velocity!$I:$I,Velocity!$A:$A,$A65,Velocity!$B:$B,$C65)/Assumptions!$B$4*Assumptions!$B$6</f>
        <v>1.38541666666667</v>
      </c>
      <c r="P65" s="7" t="n">
        <f aca="false">SUMIFS(Doors!AB:AB,Doors!$A:$A,$D65,Doors!$B:$B,$B65,Doors!$C:$C,$C65)*SUMIFS(Velocity!$I:$I,Velocity!$A:$A,$A65,Velocity!$B:$B,$C65)/Assumptions!$B$4*Assumptions!$B$6</f>
        <v>1.38541666666667</v>
      </c>
      <c r="Q65" s="7" t="n">
        <f aca="false">SUMIFS(Doors!AC:AC,Doors!$A:$A,$D65,Doors!$B:$B,$B65,Doors!$C:$C,$C65)*SUMIFS(Velocity!$I:$I,Velocity!$A:$A,$A65,Velocity!$B:$B,$C65)/Assumptions!$B$4*Assumptions!$B$6</f>
        <v>1.38541666666667</v>
      </c>
      <c r="R65" s="7" t="n">
        <f aca="false">SUMIFS(Doors!AD:AD,Doors!$A:$A,$D65,Doors!$B:$B,$B65,Doors!$C:$C,$C65)*SUMIFS(Velocity!$I:$I,Velocity!$A:$A,$A65,Velocity!$B:$B,$C65)/Assumptions!$B$4*Assumptions!$B$6</f>
        <v>1.78125</v>
      </c>
      <c r="S65" s="7" t="n">
        <f aca="false">SUMIFS(Doors!AE:AE,Doors!$A:$A,$D65,Doors!$B:$B,$B65,Doors!$C:$C,$C65)*SUMIFS(Velocity!$I:$I,Velocity!$A:$A,$A65,Velocity!$B:$B,$C65)/Assumptions!$B$4*Assumptions!$B$6</f>
        <v>1.78125</v>
      </c>
      <c r="T65" s="7" t="n">
        <f aca="false">SUMIFS(Doors!AF:AF,Doors!$A:$A,$D65,Doors!$B:$B,$B65,Doors!$C:$C,$C65)*SUMIFS(Velocity!$I:$I,Velocity!$A:$A,$A65,Velocity!$B:$B,$C65)/Assumptions!$B$4*Assumptions!$B$6</f>
        <v>1.78125</v>
      </c>
      <c r="U65" s="7" t="n">
        <f aca="false">SUMIFS(Doors!AG:AG,Doors!$A:$A,$D65,Doors!$B:$B,$B65,Doors!$C:$C,$C65)*SUMIFS(Velocity!$I:$I,Velocity!$A:$A,$A65,Velocity!$B:$B,$C65)/Assumptions!$B$4*Assumptions!$B$6</f>
        <v>1.78125</v>
      </c>
      <c r="V65" s="7" t="n">
        <f aca="false">SUMIFS(Doors!AH:AH,Doors!$A:$A,$D65,Doors!$B:$B,$B65,Doors!$C:$C,$C65)*SUMIFS(Velocity!$I:$I,Velocity!$A:$A,$A65,Velocity!$B:$B,$C65)/Assumptions!$B$4*Assumptions!$B$6</f>
        <v>1.78125</v>
      </c>
      <c r="W65" s="7" t="n">
        <f aca="false">SUMIFS(Doors!AI:AI,Doors!$A:$A,$D65,Doors!$B:$B,$B65,Doors!$C:$C,$C65)*SUMIFS(Velocity!$I:$I,Velocity!$A:$A,$A65,Velocity!$B:$B,$C65)/Assumptions!$B$4*Assumptions!$B$6</f>
        <v>2.17708333333333</v>
      </c>
      <c r="X65" s="7" t="n">
        <f aca="false">SUMIFS(Doors!AJ:AJ,Doors!$A:$A,$D65,Doors!$B:$B,$B65,Doors!$C:$C,$C65)*SUMIFS(Velocity!$I:$I,Velocity!$A:$A,$A65,Velocity!$B:$B,$C65)/Assumptions!$B$4*Assumptions!$B$6</f>
        <v>2.17708333333333</v>
      </c>
      <c r="Y65" s="7" t="n">
        <f aca="false">SUMIFS(Doors!AK:AK,Doors!$A:$A,$D65,Doors!$B:$B,$B65,Doors!$C:$C,$C65)*SUMIFS(Velocity!$I:$I,Velocity!$A:$A,$A65,Velocity!$B:$B,$C65)/Assumptions!$B$4*Assumptions!$B$6</f>
        <v>2.17708333333333</v>
      </c>
      <c r="Z65" s="7" t="n">
        <f aca="false">SUMIFS(Doors!AL:AL,Doors!$A:$A,$D65,Doors!$B:$B,$B65,Doors!$C:$C,$C65)*SUMIFS(Velocity!$I:$I,Velocity!$A:$A,$A65,Velocity!$B:$B,$C65)/Assumptions!$B$4*Assumptions!$B$6</f>
        <v>2.17708333333333</v>
      </c>
      <c r="AA65" s="7" t="n">
        <f aca="false">SUMIFS(Doors!AM:AM,Doors!$A:$A,$D65,Doors!$B:$B,$B65,Doors!$C:$C,$C65)*SUMIFS(Velocity!$I:$I,Velocity!$A:$A,$A65,Velocity!$B:$B,$C65)/Assumptions!$B$4*Assumptions!$B$6</f>
        <v>2.375</v>
      </c>
      <c r="AB65" s="7" t="n">
        <f aca="false">SUMIFS(Doors!AN:AN,Doors!$A:$A,$D65,Doors!$B:$B,$B65,Doors!$C:$C,$C65)*SUMIFS(Velocity!$I:$I,Velocity!$A:$A,$A65,Velocity!$B:$B,$C65)/Assumptions!$B$4*Assumptions!$B$6</f>
        <v>2.375</v>
      </c>
      <c r="AC65" s="7" t="n">
        <f aca="false">SUMIFS(Doors!AO:AO,Doors!$A:$A,$D65,Doors!$B:$B,$B65,Doors!$C:$C,$C65)*SUMIFS(Velocity!$I:$I,Velocity!$A:$A,$A65,Velocity!$B:$B,$C65)/Assumptions!$B$4*Assumptions!$B$6</f>
        <v>2.375</v>
      </c>
      <c r="AD65" s="7" t="n">
        <f aca="false">SUMIFS(Doors!AP:AP,Doors!$A:$A,$D65,Doors!$B:$B,$B65,Doors!$C:$C,$C65)*SUMIFS(Velocity!$I:$I,Velocity!$A:$A,$A65,Velocity!$B:$B,$C65)/Assumptions!$B$4*Assumptions!$B$6</f>
        <v>2.375</v>
      </c>
      <c r="AE65" s="7" t="n">
        <f aca="false">SUMIFS(Doors!AQ:AQ,Doors!$A:$A,$D65,Doors!$B:$B,$B65,Doors!$C:$C,$C65)*SUMIFS(Velocity!$I:$I,Velocity!$A:$A,$A65,Velocity!$B:$B,$C65)/Assumptions!$B$4*Assumptions!$B$6</f>
        <v>2.57291666666667</v>
      </c>
      <c r="AF65" s="7" t="n">
        <f aca="false">SUMIFS(Doors!AR:AR,Doors!$A:$A,$D65,Doors!$B:$B,$B65,Doors!$C:$C,$C65)*SUMIFS(Velocity!$I:$I,Velocity!$A:$A,$A65,Velocity!$B:$B,$C65)/Assumptions!$B$4*Assumptions!$B$6</f>
        <v>2.57291666666667</v>
      </c>
      <c r="AG65" s="7" t="n">
        <f aca="false">SUMIFS(Doors!AS:AS,Doors!$A:$A,$D65,Doors!$B:$B,$B65,Doors!$C:$C,$C65)*SUMIFS(Velocity!$I:$I,Velocity!$A:$A,$A65,Velocity!$B:$B,$C65)/Assumptions!$B$4*Assumptions!$B$6</f>
        <v>2.57291666666667</v>
      </c>
      <c r="AH65" s="7" t="n">
        <f aca="false">SUMIFS(Doors!AT:AT,Doors!$A:$A,$D65,Doors!$B:$B,$B65,Doors!$C:$C,$C65)*SUMIFS(Velocity!$I:$I,Velocity!$A:$A,$A65,Velocity!$B:$B,$C65)/Assumptions!$B$4*Assumptions!$B$6</f>
        <v>2.57291666666667</v>
      </c>
      <c r="AI65" s="7" t="n">
        <f aca="false">SUMIFS(Doors!AU:AU,Doors!$A:$A,$D65,Doors!$B:$B,$B65,Doors!$C:$C,$C65)*SUMIFS(Velocity!$I:$I,Velocity!$A:$A,$A65,Velocity!$B:$B,$C65)/Assumptions!$B$4*Assumptions!$B$6</f>
        <v>2.57291666666667</v>
      </c>
      <c r="AJ65" s="7" t="n">
        <f aca="false">SUMIFS(Doors!AV:AV,Doors!$A:$A,$D65,Doors!$B:$B,$B65,Doors!$C:$C,$C65)*SUMIFS(Velocity!$I:$I,Velocity!$A:$A,$A65,Velocity!$B:$B,$C65)/Assumptions!$B$4*Assumptions!$B$6</f>
        <v>2.77083333333333</v>
      </c>
      <c r="AK65" s="7" t="n">
        <f aca="false">SUMIFS(Doors!AW:AW,Doors!$A:$A,$D65,Doors!$B:$B,$B65,Doors!$C:$C,$C65)*SUMIFS(Velocity!$I:$I,Velocity!$A:$A,$A65,Velocity!$B:$B,$C65)/Assumptions!$B$4*Assumptions!$B$6</f>
        <v>2.77083333333333</v>
      </c>
      <c r="AL65" s="7" t="n">
        <f aca="false">SUMIFS(Doors!AX:AX,Doors!$A:$A,$D65,Doors!$B:$B,$B65,Doors!$C:$C,$C65)*SUMIFS(Velocity!$I:$I,Velocity!$A:$A,$A65,Velocity!$B:$B,$C65)/Assumptions!$B$4*Assumptions!$B$6</f>
        <v>2.77083333333333</v>
      </c>
      <c r="AM65" s="7" t="n">
        <f aca="false">SUMIFS(Doors!AY:AY,Doors!$A:$A,$D65,Doors!$B:$B,$B65,Doors!$C:$C,$C65)*SUMIFS(Velocity!$I:$I,Velocity!$A:$A,$A65,Velocity!$B:$B,$C65)/Assumptions!$B$4*Assumptions!$B$6</f>
        <v>2.77083333333333</v>
      </c>
      <c r="AN65" s="7" t="n">
        <f aca="false">SUMIFS(Doors!AZ:AZ,Doors!$A:$A,$D65,Doors!$B:$B,$B65,Doors!$C:$C,$C65)*SUMIFS(Velocity!$I:$I,Velocity!$A:$A,$A65,Velocity!$B:$B,$C65)/Assumptions!$B$4*Assumptions!$B$6</f>
        <v>2.77083333333333</v>
      </c>
      <c r="AO65" s="7" t="n">
        <f aca="false">SUMIFS(Doors!BA:BA,Doors!$A:$A,$D65,Doors!$B:$B,$B65,Doors!$C:$C,$C65)*SUMIFS(Velocity!$I:$I,Velocity!$A:$A,$A65,Velocity!$B:$B,$C65)/Assumptions!$B$4*Assumptions!$B$6</f>
        <v>2.77083333333333</v>
      </c>
      <c r="AP65" s="7" t="n">
        <f aca="false">SUMIFS(Doors!BB:BB,Doors!$A:$A,$D65,Doors!$B:$B,$B65,Doors!$C:$C,$C65)*SUMIFS(Velocity!$I:$I,Velocity!$A:$A,$A65,Velocity!$B:$B,$C65)/Assumptions!$B$4*Assumptions!$B$6</f>
        <v>2.77083333333333</v>
      </c>
      <c r="AQ65" s="7" t="n">
        <f aca="false">SUMIFS(Doors!BC:BC,Doors!$A:$A,$D65,Doors!$B:$B,$B65,Doors!$C:$C,$C65)*SUMIFS(Velocity!$I:$I,Velocity!$A:$A,$A65,Velocity!$B:$B,$C65)/Assumptions!$B$4*Assumptions!$B$6</f>
        <v>2.77083333333333</v>
      </c>
      <c r="AR65" s="7" t="n">
        <f aca="false">SUMIFS(Doors!BD:BD,Doors!$A:$A,$D65,Doors!$B:$B,$B65,Doors!$C:$C,$C65)*SUMIFS(Velocity!$I:$I,Velocity!$A:$A,$A65,Velocity!$B:$B,$C65)/Assumptions!$B$4*Assumptions!$B$6</f>
        <v>2.96875</v>
      </c>
      <c r="AS65" s="7" t="n">
        <f aca="false">SUMIFS(Doors!BE:BE,Doors!$A:$A,$D65,Doors!$B:$B,$B65,Doors!$C:$C,$C65)*SUMIFS(Velocity!$I:$I,Velocity!$A:$A,$A65,Velocity!$B:$B,$C65)/Assumptions!$B$4*Assumptions!$B$6</f>
        <v>2.96875</v>
      </c>
      <c r="AT65" s="7" t="n">
        <f aca="false">SUMIFS(Doors!BF:BF,Doors!$A:$A,$D65,Doors!$B:$B,$B65,Doors!$C:$C,$C65)*SUMIFS(Velocity!$I:$I,Velocity!$A:$A,$A65,Velocity!$B:$B,$C65)/Assumptions!$B$4*Assumptions!$B$6</f>
        <v>2.96875</v>
      </c>
      <c r="AU65" s="7" t="n">
        <f aca="false">SUMIFS(Doors!BG:BG,Doors!$A:$A,$D65,Doors!$B:$B,$B65,Doors!$C:$C,$C65)*SUMIFS(Velocity!$I:$I,Velocity!$A:$A,$A65,Velocity!$B:$B,$C65)/Assumptions!$B$4*Assumptions!$B$6</f>
        <v>2.96875</v>
      </c>
      <c r="AV65" s="7" t="n">
        <f aca="false">SUMIFS(Doors!BH:BH,Doors!$A:$A,$D65,Doors!$B:$B,$B65,Doors!$C:$C,$C65)*SUMIFS(Velocity!$I:$I,Velocity!$A:$A,$A65,Velocity!$B:$B,$C65)/Assumptions!$B$4*Assumptions!$B$6</f>
        <v>2.96875</v>
      </c>
      <c r="AW65" s="7" t="n">
        <f aca="false">SUMIFS(Doors!BI:BI,Doors!$A:$A,$D65,Doors!$B:$B,$B65,Doors!$C:$C,$C65)*SUMIFS(Velocity!$I:$I,Velocity!$A:$A,$A65,Velocity!$B:$B,$C65)/Assumptions!$B$4*Assumptions!$B$6</f>
        <v>2.96875</v>
      </c>
      <c r="AX65" s="7" t="n">
        <f aca="false">SUMIFS(Doors!BJ:BJ,Doors!$A:$A,$D65,Doors!$B:$B,$B65,Doors!$C:$C,$C65)*SUMIFS(Velocity!$I:$I,Velocity!$A:$A,$A65,Velocity!$B:$B,$C65)/Assumptions!$B$4*Assumptions!$B$6</f>
        <v>2.96875</v>
      </c>
      <c r="AY65" s="7" t="n">
        <f aca="false">SUMIFS(Doors!BK:BK,Doors!$A:$A,$D65,Doors!$B:$B,$B65,Doors!$C:$C,$C65)*SUMIFS(Velocity!$I:$I,Velocity!$A:$A,$A65,Velocity!$B:$B,$C65)/Assumptions!$B$4*Assumptions!$B$6</f>
        <v>2.96875</v>
      </c>
      <c r="AZ65" s="7" t="n">
        <f aca="false">SUMIFS(Doors!BL:BL,Doors!$A:$A,$D65,Doors!$B:$B,$B65,Doors!$C:$C,$C65)*SUMIFS(Velocity!$I:$I,Velocity!$A:$A,$A65,Velocity!$B:$B,$C65)/Assumptions!$B$4*Assumptions!$B$6</f>
        <v>2.96875</v>
      </c>
      <c r="BA65" s="7" t="n">
        <f aca="false">SUMIFS(Doors!BM:BM,Doors!$A:$A,$D65,Doors!$B:$B,$B65,Doors!$C:$C,$C65)*SUMIFS(Velocity!$I:$I,Velocity!$A:$A,$A65,Velocity!$B:$B,$C65)/Assumptions!$B$4*Assumptions!$B$6</f>
        <v>2.96875</v>
      </c>
      <c r="BB65" s="7" t="n">
        <f aca="false">SUMIFS(Doors!BN:BN,Doors!$A:$A,$D65,Doors!$B:$B,$B65,Doors!$C:$C,$C65)*SUMIFS(Velocity!$I:$I,Velocity!$A:$A,$A65,Velocity!$B:$B,$C65)/Assumptions!$B$4*Assumptions!$B$6</f>
        <v>2.96875</v>
      </c>
      <c r="BC65" s="7" t="n">
        <f aca="false">SUMIFS(Doors!BO:BO,Doors!$A:$A,$D65,Doors!$B:$B,$B65,Doors!$C:$C,$C65)*SUMIFS(Velocity!$I:$I,Velocity!$A:$A,$A65,Velocity!$B:$B,$C65)/Assumptions!$B$4*Assumptions!$B$6</f>
        <v>2.96875</v>
      </c>
      <c r="BD65" s="7" t="n">
        <f aca="false">SUMIFS(Doors!BP:BP,Doors!$A:$A,$D65,Doors!$B:$B,$B65,Doors!$C:$C,$C65)*SUMIFS(Velocity!$I:$I,Velocity!$A:$A,$A65,Velocity!$B:$B,$C65)/Assumptions!$B$4*Assumptions!$B$6</f>
        <v>2.96875</v>
      </c>
    </row>
    <row r="66" customFormat="false" ht="15" hidden="false" customHeight="false" outlineLevel="0" collapsed="false">
      <c r="A66" s="0" t="s">
        <v>108</v>
      </c>
      <c r="B66" s="0" t="s">
        <v>132</v>
      </c>
      <c r="C66" s="0" t="s">
        <v>121</v>
      </c>
      <c r="D66" s="0" t="s">
        <v>235</v>
      </c>
      <c r="E66" s="7" t="n">
        <f aca="false">SUMIFS(Doors!Q:Q,Doors!$A:$A,$D66,Doors!$B:$B,$B66,Doors!$C:$C,$C66)*SUMIFS(Velocity!$I:$I,Velocity!$A:$A,$A66,Velocity!$B:$B,$C66)/Assumptions!$B$4*Assumptions!$B$6</f>
        <v>0.608333333333333</v>
      </c>
      <c r="F66" s="7" t="n">
        <f aca="false">SUMIFS(Doors!R:R,Doors!$A:$A,$D66,Doors!$B:$B,$B66,Doors!$C:$C,$C66)*SUMIFS(Velocity!$I:$I,Velocity!$A:$A,$A66,Velocity!$B:$B,$C66)/Assumptions!$B$4*Assumptions!$B$6</f>
        <v>0.608333333333333</v>
      </c>
      <c r="G66" s="7" t="n">
        <f aca="false">SUMIFS(Doors!S:S,Doors!$A:$A,$D66,Doors!$B:$B,$B66,Doors!$C:$C,$C66)*SUMIFS(Velocity!$I:$I,Velocity!$A:$A,$A66,Velocity!$B:$B,$C66)/Assumptions!$B$4*Assumptions!$B$6</f>
        <v>0.608333333333333</v>
      </c>
      <c r="H66" s="7" t="n">
        <f aca="false">SUMIFS(Doors!T:T,Doors!$A:$A,$D66,Doors!$B:$B,$B66,Doors!$C:$C,$C66)*SUMIFS(Velocity!$I:$I,Velocity!$A:$A,$A66,Velocity!$B:$B,$C66)/Assumptions!$B$4*Assumptions!$B$6</f>
        <v>0.608333333333333</v>
      </c>
      <c r="I66" s="7" t="n">
        <f aca="false">SUMIFS(Doors!U:U,Doors!$A:$A,$D66,Doors!$B:$B,$B66,Doors!$C:$C,$C66)*SUMIFS(Velocity!$I:$I,Velocity!$A:$A,$A66,Velocity!$B:$B,$C66)/Assumptions!$B$4*Assumptions!$B$6</f>
        <v>0.608333333333333</v>
      </c>
      <c r="J66" s="7" t="n">
        <f aca="false">SUMIFS(Doors!V:V,Doors!$A:$A,$D66,Doors!$B:$B,$B66,Doors!$C:$C,$C66)*SUMIFS(Velocity!$I:$I,Velocity!$A:$A,$A66,Velocity!$B:$B,$C66)/Assumptions!$B$4*Assumptions!$B$6</f>
        <v>0.9125</v>
      </c>
      <c r="K66" s="7" t="n">
        <f aca="false">SUMIFS(Doors!W:W,Doors!$A:$A,$D66,Doors!$B:$B,$B66,Doors!$C:$C,$C66)*SUMIFS(Velocity!$I:$I,Velocity!$A:$A,$A66,Velocity!$B:$B,$C66)/Assumptions!$B$4*Assumptions!$B$6</f>
        <v>0.9125</v>
      </c>
      <c r="L66" s="7" t="n">
        <f aca="false">SUMIFS(Doors!X:X,Doors!$A:$A,$D66,Doors!$B:$B,$B66,Doors!$C:$C,$C66)*SUMIFS(Velocity!$I:$I,Velocity!$A:$A,$A66,Velocity!$B:$B,$C66)/Assumptions!$B$4*Assumptions!$B$6</f>
        <v>0.9125</v>
      </c>
      <c r="M66" s="7" t="n">
        <f aca="false">SUMIFS(Doors!Y:Y,Doors!$A:$A,$D66,Doors!$B:$B,$B66,Doors!$C:$C,$C66)*SUMIFS(Velocity!$I:$I,Velocity!$A:$A,$A66,Velocity!$B:$B,$C66)/Assumptions!$B$4*Assumptions!$B$6</f>
        <v>0.9125</v>
      </c>
      <c r="N66" s="7" t="n">
        <f aca="false">SUMIFS(Doors!Z:Z,Doors!$A:$A,$D66,Doors!$B:$B,$B66,Doors!$C:$C,$C66)*SUMIFS(Velocity!$I:$I,Velocity!$A:$A,$A66,Velocity!$B:$B,$C66)/Assumptions!$B$4*Assumptions!$B$6</f>
        <v>1.21666666666667</v>
      </c>
      <c r="O66" s="7" t="n">
        <f aca="false">SUMIFS(Doors!AA:AA,Doors!$A:$A,$D66,Doors!$B:$B,$B66,Doors!$C:$C,$C66)*SUMIFS(Velocity!$I:$I,Velocity!$A:$A,$A66,Velocity!$B:$B,$C66)/Assumptions!$B$4*Assumptions!$B$6</f>
        <v>1.21666666666667</v>
      </c>
      <c r="P66" s="7" t="n">
        <f aca="false">SUMIFS(Doors!AB:AB,Doors!$A:$A,$D66,Doors!$B:$B,$B66,Doors!$C:$C,$C66)*SUMIFS(Velocity!$I:$I,Velocity!$A:$A,$A66,Velocity!$B:$B,$C66)/Assumptions!$B$4*Assumptions!$B$6</f>
        <v>1.21666666666667</v>
      </c>
      <c r="Q66" s="7" t="n">
        <f aca="false">SUMIFS(Doors!AC:AC,Doors!$A:$A,$D66,Doors!$B:$B,$B66,Doors!$C:$C,$C66)*SUMIFS(Velocity!$I:$I,Velocity!$A:$A,$A66,Velocity!$B:$B,$C66)/Assumptions!$B$4*Assumptions!$B$6</f>
        <v>1.21666666666667</v>
      </c>
      <c r="R66" s="7" t="n">
        <f aca="false">SUMIFS(Doors!AD:AD,Doors!$A:$A,$D66,Doors!$B:$B,$B66,Doors!$C:$C,$C66)*SUMIFS(Velocity!$I:$I,Velocity!$A:$A,$A66,Velocity!$B:$B,$C66)/Assumptions!$B$4*Assumptions!$B$6</f>
        <v>1.52083333333333</v>
      </c>
      <c r="S66" s="7" t="n">
        <f aca="false">SUMIFS(Doors!AE:AE,Doors!$A:$A,$D66,Doors!$B:$B,$B66,Doors!$C:$C,$C66)*SUMIFS(Velocity!$I:$I,Velocity!$A:$A,$A66,Velocity!$B:$B,$C66)/Assumptions!$B$4*Assumptions!$B$6</f>
        <v>1.52083333333333</v>
      </c>
      <c r="T66" s="7" t="n">
        <f aca="false">SUMIFS(Doors!AF:AF,Doors!$A:$A,$D66,Doors!$B:$B,$B66,Doors!$C:$C,$C66)*SUMIFS(Velocity!$I:$I,Velocity!$A:$A,$A66,Velocity!$B:$B,$C66)/Assumptions!$B$4*Assumptions!$B$6</f>
        <v>1.52083333333333</v>
      </c>
      <c r="U66" s="7" t="n">
        <f aca="false">SUMIFS(Doors!AG:AG,Doors!$A:$A,$D66,Doors!$B:$B,$B66,Doors!$C:$C,$C66)*SUMIFS(Velocity!$I:$I,Velocity!$A:$A,$A66,Velocity!$B:$B,$C66)/Assumptions!$B$4*Assumptions!$B$6</f>
        <v>1.52083333333333</v>
      </c>
      <c r="V66" s="7" t="n">
        <f aca="false">SUMIFS(Doors!AH:AH,Doors!$A:$A,$D66,Doors!$B:$B,$B66,Doors!$C:$C,$C66)*SUMIFS(Velocity!$I:$I,Velocity!$A:$A,$A66,Velocity!$B:$B,$C66)/Assumptions!$B$4*Assumptions!$B$6</f>
        <v>1.52083333333333</v>
      </c>
      <c r="W66" s="7" t="n">
        <f aca="false">SUMIFS(Doors!AI:AI,Doors!$A:$A,$D66,Doors!$B:$B,$B66,Doors!$C:$C,$C66)*SUMIFS(Velocity!$I:$I,Velocity!$A:$A,$A66,Velocity!$B:$B,$C66)/Assumptions!$B$4*Assumptions!$B$6</f>
        <v>1.825</v>
      </c>
      <c r="X66" s="7" t="n">
        <f aca="false">SUMIFS(Doors!AJ:AJ,Doors!$A:$A,$D66,Doors!$B:$B,$B66,Doors!$C:$C,$C66)*SUMIFS(Velocity!$I:$I,Velocity!$A:$A,$A66,Velocity!$B:$B,$C66)/Assumptions!$B$4*Assumptions!$B$6</f>
        <v>1.825</v>
      </c>
      <c r="Y66" s="7" t="n">
        <f aca="false">SUMIFS(Doors!AK:AK,Doors!$A:$A,$D66,Doors!$B:$B,$B66,Doors!$C:$C,$C66)*SUMIFS(Velocity!$I:$I,Velocity!$A:$A,$A66,Velocity!$B:$B,$C66)/Assumptions!$B$4*Assumptions!$B$6</f>
        <v>1.825</v>
      </c>
      <c r="Z66" s="7" t="n">
        <f aca="false">SUMIFS(Doors!AL:AL,Doors!$A:$A,$D66,Doors!$B:$B,$B66,Doors!$C:$C,$C66)*SUMIFS(Velocity!$I:$I,Velocity!$A:$A,$A66,Velocity!$B:$B,$C66)/Assumptions!$B$4*Assumptions!$B$6</f>
        <v>1.825</v>
      </c>
      <c r="AA66" s="7" t="n">
        <f aca="false">SUMIFS(Doors!AM:AM,Doors!$A:$A,$D66,Doors!$B:$B,$B66,Doors!$C:$C,$C66)*SUMIFS(Velocity!$I:$I,Velocity!$A:$A,$A66,Velocity!$B:$B,$C66)/Assumptions!$B$4*Assumptions!$B$6</f>
        <v>2.12916666666667</v>
      </c>
      <c r="AB66" s="7" t="n">
        <f aca="false">SUMIFS(Doors!AN:AN,Doors!$A:$A,$D66,Doors!$B:$B,$B66,Doors!$C:$C,$C66)*SUMIFS(Velocity!$I:$I,Velocity!$A:$A,$A66,Velocity!$B:$B,$C66)/Assumptions!$B$4*Assumptions!$B$6</f>
        <v>2.12916666666667</v>
      </c>
      <c r="AC66" s="7" t="n">
        <f aca="false">SUMIFS(Doors!AO:AO,Doors!$A:$A,$D66,Doors!$B:$B,$B66,Doors!$C:$C,$C66)*SUMIFS(Velocity!$I:$I,Velocity!$A:$A,$A66,Velocity!$B:$B,$C66)/Assumptions!$B$4*Assumptions!$B$6</f>
        <v>2.12916666666667</v>
      </c>
      <c r="AD66" s="7" t="n">
        <f aca="false">SUMIFS(Doors!AP:AP,Doors!$A:$A,$D66,Doors!$B:$B,$B66,Doors!$C:$C,$C66)*SUMIFS(Velocity!$I:$I,Velocity!$A:$A,$A66,Velocity!$B:$B,$C66)/Assumptions!$B$4*Assumptions!$B$6</f>
        <v>2.12916666666667</v>
      </c>
      <c r="AE66" s="7" t="n">
        <f aca="false">SUMIFS(Doors!AQ:AQ,Doors!$A:$A,$D66,Doors!$B:$B,$B66,Doors!$C:$C,$C66)*SUMIFS(Velocity!$I:$I,Velocity!$A:$A,$A66,Velocity!$B:$B,$C66)/Assumptions!$B$4*Assumptions!$B$6</f>
        <v>2.12916666666667</v>
      </c>
      <c r="AF66" s="7" t="n">
        <f aca="false">SUMIFS(Doors!AR:AR,Doors!$A:$A,$D66,Doors!$B:$B,$B66,Doors!$C:$C,$C66)*SUMIFS(Velocity!$I:$I,Velocity!$A:$A,$A66,Velocity!$B:$B,$C66)/Assumptions!$B$4*Assumptions!$B$6</f>
        <v>2.12916666666667</v>
      </c>
      <c r="AG66" s="7" t="n">
        <f aca="false">SUMIFS(Doors!AS:AS,Doors!$A:$A,$D66,Doors!$B:$B,$B66,Doors!$C:$C,$C66)*SUMIFS(Velocity!$I:$I,Velocity!$A:$A,$A66,Velocity!$B:$B,$C66)/Assumptions!$B$4*Assumptions!$B$6</f>
        <v>2.12916666666667</v>
      </c>
      <c r="AH66" s="7" t="n">
        <f aca="false">SUMIFS(Doors!AT:AT,Doors!$A:$A,$D66,Doors!$B:$B,$B66,Doors!$C:$C,$C66)*SUMIFS(Velocity!$I:$I,Velocity!$A:$A,$A66,Velocity!$B:$B,$C66)/Assumptions!$B$4*Assumptions!$B$6</f>
        <v>2.12916666666667</v>
      </c>
      <c r="AI66" s="7" t="n">
        <f aca="false">SUMIFS(Doors!AU:AU,Doors!$A:$A,$D66,Doors!$B:$B,$B66,Doors!$C:$C,$C66)*SUMIFS(Velocity!$I:$I,Velocity!$A:$A,$A66,Velocity!$B:$B,$C66)/Assumptions!$B$4*Assumptions!$B$6</f>
        <v>2.12916666666667</v>
      </c>
      <c r="AJ66" s="7" t="n">
        <f aca="false">SUMIFS(Doors!AV:AV,Doors!$A:$A,$D66,Doors!$B:$B,$B66,Doors!$C:$C,$C66)*SUMIFS(Velocity!$I:$I,Velocity!$A:$A,$A66,Velocity!$B:$B,$C66)/Assumptions!$B$4*Assumptions!$B$6</f>
        <v>2.43333333333333</v>
      </c>
      <c r="AK66" s="7" t="n">
        <f aca="false">SUMIFS(Doors!AW:AW,Doors!$A:$A,$D66,Doors!$B:$B,$B66,Doors!$C:$C,$C66)*SUMIFS(Velocity!$I:$I,Velocity!$A:$A,$A66,Velocity!$B:$B,$C66)/Assumptions!$B$4*Assumptions!$B$6</f>
        <v>2.43333333333333</v>
      </c>
      <c r="AL66" s="7" t="n">
        <f aca="false">SUMIFS(Doors!AX:AX,Doors!$A:$A,$D66,Doors!$B:$B,$B66,Doors!$C:$C,$C66)*SUMIFS(Velocity!$I:$I,Velocity!$A:$A,$A66,Velocity!$B:$B,$C66)/Assumptions!$B$4*Assumptions!$B$6</f>
        <v>2.43333333333333</v>
      </c>
      <c r="AM66" s="7" t="n">
        <f aca="false">SUMIFS(Doors!AY:AY,Doors!$A:$A,$D66,Doors!$B:$B,$B66,Doors!$C:$C,$C66)*SUMIFS(Velocity!$I:$I,Velocity!$A:$A,$A66,Velocity!$B:$B,$C66)/Assumptions!$B$4*Assumptions!$B$6</f>
        <v>2.43333333333333</v>
      </c>
      <c r="AN66" s="7" t="n">
        <f aca="false">SUMIFS(Doors!AZ:AZ,Doors!$A:$A,$D66,Doors!$B:$B,$B66,Doors!$C:$C,$C66)*SUMIFS(Velocity!$I:$I,Velocity!$A:$A,$A66,Velocity!$B:$B,$C66)/Assumptions!$B$4*Assumptions!$B$6</f>
        <v>2.43333333333333</v>
      </c>
      <c r="AO66" s="7" t="n">
        <f aca="false">SUMIFS(Doors!BA:BA,Doors!$A:$A,$D66,Doors!$B:$B,$B66,Doors!$C:$C,$C66)*SUMIFS(Velocity!$I:$I,Velocity!$A:$A,$A66,Velocity!$B:$B,$C66)/Assumptions!$B$4*Assumptions!$B$6</f>
        <v>2.43333333333333</v>
      </c>
      <c r="AP66" s="7" t="n">
        <f aca="false">SUMIFS(Doors!BB:BB,Doors!$A:$A,$D66,Doors!$B:$B,$B66,Doors!$C:$C,$C66)*SUMIFS(Velocity!$I:$I,Velocity!$A:$A,$A66,Velocity!$B:$B,$C66)/Assumptions!$B$4*Assumptions!$B$6</f>
        <v>2.43333333333333</v>
      </c>
      <c r="AQ66" s="7" t="n">
        <f aca="false">SUMIFS(Doors!BC:BC,Doors!$A:$A,$D66,Doors!$B:$B,$B66,Doors!$C:$C,$C66)*SUMIFS(Velocity!$I:$I,Velocity!$A:$A,$A66,Velocity!$B:$B,$C66)/Assumptions!$B$4*Assumptions!$B$6</f>
        <v>2.43333333333333</v>
      </c>
      <c r="AR66" s="7" t="n">
        <f aca="false">SUMIFS(Doors!BD:BD,Doors!$A:$A,$D66,Doors!$B:$B,$B66,Doors!$C:$C,$C66)*SUMIFS(Velocity!$I:$I,Velocity!$A:$A,$A66,Velocity!$B:$B,$C66)/Assumptions!$B$4*Assumptions!$B$6</f>
        <v>2.43333333333333</v>
      </c>
      <c r="AS66" s="7" t="n">
        <f aca="false">SUMIFS(Doors!BE:BE,Doors!$A:$A,$D66,Doors!$B:$B,$B66,Doors!$C:$C,$C66)*SUMIFS(Velocity!$I:$I,Velocity!$A:$A,$A66,Velocity!$B:$B,$C66)/Assumptions!$B$4*Assumptions!$B$6</f>
        <v>2.43333333333333</v>
      </c>
      <c r="AT66" s="7" t="n">
        <f aca="false">SUMIFS(Doors!BF:BF,Doors!$A:$A,$D66,Doors!$B:$B,$B66,Doors!$C:$C,$C66)*SUMIFS(Velocity!$I:$I,Velocity!$A:$A,$A66,Velocity!$B:$B,$C66)/Assumptions!$B$4*Assumptions!$B$6</f>
        <v>2.43333333333333</v>
      </c>
      <c r="AU66" s="7" t="n">
        <f aca="false">SUMIFS(Doors!BG:BG,Doors!$A:$A,$D66,Doors!$B:$B,$B66,Doors!$C:$C,$C66)*SUMIFS(Velocity!$I:$I,Velocity!$A:$A,$A66,Velocity!$B:$B,$C66)/Assumptions!$B$4*Assumptions!$B$6</f>
        <v>2.43333333333333</v>
      </c>
      <c r="AV66" s="7" t="n">
        <f aca="false">SUMIFS(Doors!BH:BH,Doors!$A:$A,$D66,Doors!$B:$B,$B66,Doors!$C:$C,$C66)*SUMIFS(Velocity!$I:$I,Velocity!$A:$A,$A66,Velocity!$B:$B,$C66)/Assumptions!$B$4*Assumptions!$B$6</f>
        <v>2.43333333333333</v>
      </c>
      <c r="AW66" s="7" t="n">
        <f aca="false">SUMIFS(Doors!BI:BI,Doors!$A:$A,$D66,Doors!$B:$B,$B66,Doors!$C:$C,$C66)*SUMIFS(Velocity!$I:$I,Velocity!$A:$A,$A66,Velocity!$B:$B,$C66)/Assumptions!$B$4*Assumptions!$B$6</f>
        <v>2.43333333333333</v>
      </c>
      <c r="AX66" s="7" t="n">
        <f aca="false">SUMIFS(Doors!BJ:BJ,Doors!$A:$A,$D66,Doors!$B:$B,$B66,Doors!$C:$C,$C66)*SUMIFS(Velocity!$I:$I,Velocity!$A:$A,$A66,Velocity!$B:$B,$C66)/Assumptions!$B$4*Assumptions!$B$6</f>
        <v>2.43333333333333</v>
      </c>
      <c r="AY66" s="7" t="n">
        <f aca="false">SUMIFS(Doors!BK:BK,Doors!$A:$A,$D66,Doors!$B:$B,$B66,Doors!$C:$C,$C66)*SUMIFS(Velocity!$I:$I,Velocity!$A:$A,$A66,Velocity!$B:$B,$C66)/Assumptions!$B$4*Assumptions!$B$6</f>
        <v>2.43333333333333</v>
      </c>
      <c r="AZ66" s="7" t="n">
        <f aca="false">SUMIFS(Doors!BL:BL,Doors!$A:$A,$D66,Doors!$B:$B,$B66,Doors!$C:$C,$C66)*SUMIFS(Velocity!$I:$I,Velocity!$A:$A,$A66,Velocity!$B:$B,$C66)/Assumptions!$B$4*Assumptions!$B$6</f>
        <v>2.43333333333333</v>
      </c>
      <c r="BA66" s="7" t="n">
        <f aca="false">SUMIFS(Doors!BM:BM,Doors!$A:$A,$D66,Doors!$B:$B,$B66,Doors!$C:$C,$C66)*SUMIFS(Velocity!$I:$I,Velocity!$A:$A,$A66,Velocity!$B:$B,$C66)/Assumptions!$B$4*Assumptions!$B$6</f>
        <v>2.43333333333333</v>
      </c>
      <c r="BB66" s="7" t="n">
        <f aca="false">SUMIFS(Doors!BN:BN,Doors!$A:$A,$D66,Doors!$B:$B,$B66,Doors!$C:$C,$C66)*SUMIFS(Velocity!$I:$I,Velocity!$A:$A,$A66,Velocity!$B:$B,$C66)/Assumptions!$B$4*Assumptions!$B$6</f>
        <v>2.43333333333333</v>
      </c>
      <c r="BC66" s="7" t="n">
        <f aca="false">SUMIFS(Doors!BO:BO,Doors!$A:$A,$D66,Doors!$B:$B,$B66,Doors!$C:$C,$C66)*SUMIFS(Velocity!$I:$I,Velocity!$A:$A,$A66,Velocity!$B:$B,$C66)/Assumptions!$B$4*Assumptions!$B$6</f>
        <v>2.43333333333333</v>
      </c>
      <c r="BD66" s="7" t="n">
        <f aca="false">SUMIFS(Doors!BP:BP,Doors!$A:$A,$D66,Doors!$B:$B,$B66,Doors!$C:$C,$C66)*SUMIFS(Velocity!$I:$I,Velocity!$A:$A,$A66,Velocity!$B:$B,$C66)/Assumptions!$B$4*Assumptions!$B$6</f>
        <v>2.43333333333333</v>
      </c>
    </row>
    <row r="67" customFormat="false" ht="15" hidden="false" customHeight="false" outlineLevel="0" collapsed="false">
      <c r="A67" s="0" t="s">
        <v>108</v>
      </c>
      <c r="B67" s="0" t="s">
        <v>132</v>
      </c>
      <c r="C67" s="0" t="s">
        <v>122</v>
      </c>
      <c r="D67" s="0" t="s">
        <v>235</v>
      </c>
      <c r="E67" s="7" t="n">
        <f aca="false">SUMIFS(Doors!Q:Q,Doors!$A:$A,$D67,Doors!$B:$B,$B67,Doors!$C:$C,$C67)*SUMIFS(Velocity!$I:$I,Velocity!$A:$A,$A67,Velocity!$B:$B,$C67)/Assumptions!$B$4*Assumptions!$B$6</f>
        <v>0</v>
      </c>
      <c r="F67" s="7" t="n">
        <f aca="false">SUMIFS(Doors!R:R,Doors!$A:$A,$D67,Doors!$B:$B,$B67,Doors!$C:$C,$C67)*SUMIFS(Velocity!$I:$I,Velocity!$A:$A,$A67,Velocity!$B:$B,$C67)/Assumptions!$B$4*Assumptions!$B$6</f>
        <v>0</v>
      </c>
      <c r="G67" s="7" t="n">
        <f aca="false">SUMIFS(Doors!S:S,Doors!$A:$A,$D67,Doors!$B:$B,$B67,Doors!$C:$C,$C67)*SUMIFS(Velocity!$I:$I,Velocity!$A:$A,$A67,Velocity!$B:$B,$C67)/Assumptions!$B$4*Assumptions!$B$6</f>
        <v>0</v>
      </c>
      <c r="H67" s="7" t="n">
        <f aca="false">SUMIFS(Doors!T:T,Doors!$A:$A,$D67,Doors!$B:$B,$B67,Doors!$C:$C,$C67)*SUMIFS(Velocity!$I:$I,Velocity!$A:$A,$A67,Velocity!$B:$B,$C67)/Assumptions!$B$4*Assumptions!$B$6</f>
        <v>0</v>
      </c>
      <c r="I67" s="7" t="n">
        <f aca="false">SUMIFS(Doors!U:U,Doors!$A:$A,$D67,Doors!$B:$B,$B67,Doors!$C:$C,$C67)*SUMIFS(Velocity!$I:$I,Velocity!$A:$A,$A67,Velocity!$B:$B,$C67)/Assumptions!$B$4*Assumptions!$B$6</f>
        <v>0</v>
      </c>
      <c r="J67" s="7" t="n">
        <f aca="false">SUMIFS(Doors!V:V,Doors!$A:$A,$D67,Doors!$B:$B,$B67,Doors!$C:$C,$C67)*SUMIFS(Velocity!$I:$I,Velocity!$A:$A,$A67,Velocity!$B:$B,$C67)/Assumptions!$B$4*Assumptions!$B$6</f>
        <v>0</v>
      </c>
      <c r="K67" s="7" t="n">
        <f aca="false">SUMIFS(Doors!W:W,Doors!$A:$A,$D67,Doors!$B:$B,$B67,Doors!$C:$C,$C67)*SUMIFS(Velocity!$I:$I,Velocity!$A:$A,$A67,Velocity!$B:$B,$C67)/Assumptions!$B$4*Assumptions!$B$6</f>
        <v>0</v>
      </c>
      <c r="L67" s="7" t="n">
        <f aca="false">SUMIFS(Doors!X:X,Doors!$A:$A,$D67,Doors!$B:$B,$B67,Doors!$C:$C,$C67)*SUMIFS(Velocity!$I:$I,Velocity!$A:$A,$A67,Velocity!$B:$B,$C67)/Assumptions!$B$4*Assumptions!$B$6</f>
        <v>0</v>
      </c>
      <c r="M67" s="7" t="n">
        <f aca="false">SUMIFS(Doors!Y:Y,Doors!$A:$A,$D67,Doors!$B:$B,$B67,Doors!$C:$C,$C67)*SUMIFS(Velocity!$I:$I,Velocity!$A:$A,$A67,Velocity!$B:$B,$C67)/Assumptions!$B$4*Assumptions!$B$6</f>
        <v>0</v>
      </c>
      <c r="N67" s="7" t="n">
        <f aca="false">SUMIFS(Doors!Z:Z,Doors!$A:$A,$D67,Doors!$B:$B,$B67,Doors!$C:$C,$C67)*SUMIFS(Velocity!$I:$I,Velocity!$A:$A,$A67,Velocity!$B:$B,$C67)/Assumptions!$B$4*Assumptions!$B$6</f>
        <v>0</v>
      </c>
      <c r="O67" s="7" t="n">
        <f aca="false">SUMIFS(Doors!AA:AA,Doors!$A:$A,$D67,Doors!$B:$B,$B67,Doors!$C:$C,$C67)*SUMIFS(Velocity!$I:$I,Velocity!$A:$A,$A67,Velocity!$B:$B,$C67)/Assumptions!$B$4*Assumptions!$B$6</f>
        <v>0</v>
      </c>
      <c r="P67" s="7" t="n">
        <f aca="false">SUMIFS(Doors!AB:AB,Doors!$A:$A,$D67,Doors!$B:$B,$B67,Doors!$C:$C,$C67)*SUMIFS(Velocity!$I:$I,Velocity!$A:$A,$A67,Velocity!$B:$B,$C67)/Assumptions!$B$4*Assumptions!$B$6</f>
        <v>0</v>
      </c>
      <c r="Q67" s="7" t="n">
        <f aca="false">SUMIFS(Doors!AC:AC,Doors!$A:$A,$D67,Doors!$B:$B,$B67,Doors!$C:$C,$C67)*SUMIFS(Velocity!$I:$I,Velocity!$A:$A,$A67,Velocity!$B:$B,$C67)/Assumptions!$B$4*Assumptions!$B$6</f>
        <v>0</v>
      </c>
      <c r="R67" s="7" t="n">
        <f aca="false">SUMIFS(Doors!AD:AD,Doors!$A:$A,$D67,Doors!$B:$B,$B67,Doors!$C:$C,$C67)*SUMIFS(Velocity!$I:$I,Velocity!$A:$A,$A67,Velocity!$B:$B,$C67)/Assumptions!$B$4*Assumptions!$B$6</f>
        <v>0</v>
      </c>
      <c r="S67" s="7" t="n">
        <f aca="false">SUMIFS(Doors!AE:AE,Doors!$A:$A,$D67,Doors!$B:$B,$B67,Doors!$C:$C,$C67)*SUMIFS(Velocity!$I:$I,Velocity!$A:$A,$A67,Velocity!$B:$B,$C67)/Assumptions!$B$4*Assumptions!$B$6</f>
        <v>0</v>
      </c>
      <c r="T67" s="7" t="n">
        <f aca="false">SUMIFS(Doors!AF:AF,Doors!$A:$A,$D67,Doors!$B:$B,$B67,Doors!$C:$C,$C67)*SUMIFS(Velocity!$I:$I,Velocity!$A:$A,$A67,Velocity!$B:$B,$C67)/Assumptions!$B$4*Assumptions!$B$6</f>
        <v>0</v>
      </c>
      <c r="U67" s="7" t="n">
        <f aca="false">SUMIFS(Doors!AG:AG,Doors!$A:$A,$D67,Doors!$B:$B,$B67,Doors!$C:$C,$C67)*SUMIFS(Velocity!$I:$I,Velocity!$A:$A,$A67,Velocity!$B:$B,$C67)/Assumptions!$B$4*Assumptions!$B$6</f>
        <v>0</v>
      </c>
      <c r="V67" s="7" t="n">
        <f aca="false">SUMIFS(Doors!AH:AH,Doors!$A:$A,$D67,Doors!$B:$B,$B67,Doors!$C:$C,$C67)*SUMIFS(Velocity!$I:$I,Velocity!$A:$A,$A67,Velocity!$B:$B,$C67)/Assumptions!$B$4*Assumptions!$B$6</f>
        <v>0</v>
      </c>
      <c r="W67" s="7" t="n">
        <f aca="false">SUMIFS(Doors!AI:AI,Doors!$A:$A,$D67,Doors!$B:$B,$B67,Doors!$C:$C,$C67)*SUMIFS(Velocity!$I:$I,Velocity!$A:$A,$A67,Velocity!$B:$B,$C67)/Assumptions!$B$4*Assumptions!$B$6</f>
        <v>0</v>
      </c>
      <c r="X67" s="7" t="n">
        <f aca="false">SUMIFS(Doors!AJ:AJ,Doors!$A:$A,$D67,Doors!$B:$B,$B67,Doors!$C:$C,$C67)*SUMIFS(Velocity!$I:$I,Velocity!$A:$A,$A67,Velocity!$B:$B,$C67)/Assumptions!$B$4*Assumptions!$B$6</f>
        <v>0</v>
      </c>
      <c r="Y67" s="7" t="n">
        <f aca="false">SUMIFS(Doors!AK:AK,Doors!$A:$A,$D67,Doors!$B:$B,$B67,Doors!$C:$C,$C67)*SUMIFS(Velocity!$I:$I,Velocity!$A:$A,$A67,Velocity!$B:$B,$C67)/Assumptions!$B$4*Assumptions!$B$6</f>
        <v>0</v>
      </c>
      <c r="Z67" s="7" t="n">
        <f aca="false">SUMIFS(Doors!AL:AL,Doors!$A:$A,$D67,Doors!$B:$B,$B67,Doors!$C:$C,$C67)*SUMIFS(Velocity!$I:$I,Velocity!$A:$A,$A67,Velocity!$B:$B,$C67)/Assumptions!$B$4*Assumptions!$B$6</f>
        <v>0</v>
      </c>
      <c r="AA67" s="7" t="n">
        <f aca="false">SUMIFS(Doors!AM:AM,Doors!$A:$A,$D67,Doors!$B:$B,$B67,Doors!$C:$C,$C67)*SUMIFS(Velocity!$I:$I,Velocity!$A:$A,$A67,Velocity!$B:$B,$C67)/Assumptions!$B$4*Assumptions!$B$6</f>
        <v>0</v>
      </c>
      <c r="AB67" s="7" t="n">
        <f aca="false">SUMIFS(Doors!AN:AN,Doors!$A:$A,$D67,Doors!$B:$B,$B67,Doors!$C:$C,$C67)*SUMIFS(Velocity!$I:$I,Velocity!$A:$A,$A67,Velocity!$B:$B,$C67)/Assumptions!$B$4*Assumptions!$B$6</f>
        <v>0</v>
      </c>
      <c r="AC67" s="7" t="n">
        <f aca="false">SUMIFS(Doors!AO:AO,Doors!$A:$A,$D67,Doors!$B:$B,$B67,Doors!$C:$C,$C67)*SUMIFS(Velocity!$I:$I,Velocity!$A:$A,$A67,Velocity!$B:$B,$C67)/Assumptions!$B$4*Assumptions!$B$6</f>
        <v>0</v>
      </c>
      <c r="AD67" s="7" t="n">
        <f aca="false">SUMIFS(Doors!AP:AP,Doors!$A:$A,$D67,Doors!$B:$B,$B67,Doors!$C:$C,$C67)*SUMIFS(Velocity!$I:$I,Velocity!$A:$A,$A67,Velocity!$B:$B,$C67)/Assumptions!$B$4*Assumptions!$B$6</f>
        <v>0</v>
      </c>
      <c r="AE67" s="7" t="n">
        <f aca="false">SUMIFS(Doors!AQ:AQ,Doors!$A:$A,$D67,Doors!$B:$B,$B67,Doors!$C:$C,$C67)*SUMIFS(Velocity!$I:$I,Velocity!$A:$A,$A67,Velocity!$B:$B,$C67)/Assumptions!$B$4*Assumptions!$B$6</f>
        <v>0</v>
      </c>
      <c r="AF67" s="7" t="n">
        <f aca="false">SUMIFS(Doors!AR:AR,Doors!$A:$A,$D67,Doors!$B:$B,$B67,Doors!$C:$C,$C67)*SUMIFS(Velocity!$I:$I,Velocity!$A:$A,$A67,Velocity!$B:$B,$C67)/Assumptions!$B$4*Assumptions!$B$6</f>
        <v>0</v>
      </c>
      <c r="AG67" s="7" t="n">
        <f aca="false">SUMIFS(Doors!AS:AS,Doors!$A:$A,$D67,Doors!$B:$B,$B67,Doors!$C:$C,$C67)*SUMIFS(Velocity!$I:$I,Velocity!$A:$A,$A67,Velocity!$B:$B,$C67)/Assumptions!$B$4*Assumptions!$B$6</f>
        <v>0</v>
      </c>
      <c r="AH67" s="7" t="n">
        <f aca="false">SUMIFS(Doors!AT:AT,Doors!$A:$A,$D67,Doors!$B:$B,$B67,Doors!$C:$C,$C67)*SUMIFS(Velocity!$I:$I,Velocity!$A:$A,$A67,Velocity!$B:$B,$C67)/Assumptions!$B$4*Assumptions!$B$6</f>
        <v>0</v>
      </c>
      <c r="AI67" s="7" t="n">
        <f aca="false">SUMIFS(Doors!AU:AU,Doors!$A:$A,$D67,Doors!$B:$B,$B67,Doors!$C:$C,$C67)*SUMIFS(Velocity!$I:$I,Velocity!$A:$A,$A67,Velocity!$B:$B,$C67)/Assumptions!$B$4*Assumptions!$B$6</f>
        <v>0</v>
      </c>
      <c r="AJ67" s="7" t="n">
        <f aca="false">SUMIFS(Doors!AV:AV,Doors!$A:$A,$D67,Doors!$B:$B,$B67,Doors!$C:$C,$C67)*SUMIFS(Velocity!$I:$I,Velocity!$A:$A,$A67,Velocity!$B:$B,$C67)/Assumptions!$B$4*Assumptions!$B$6</f>
        <v>0</v>
      </c>
      <c r="AK67" s="7" t="n">
        <f aca="false">SUMIFS(Doors!AW:AW,Doors!$A:$A,$D67,Doors!$B:$B,$B67,Doors!$C:$C,$C67)*SUMIFS(Velocity!$I:$I,Velocity!$A:$A,$A67,Velocity!$B:$B,$C67)/Assumptions!$B$4*Assumptions!$B$6</f>
        <v>0</v>
      </c>
      <c r="AL67" s="7" t="n">
        <f aca="false">SUMIFS(Doors!AX:AX,Doors!$A:$A,$D67,Doors!$B:$B,$B67,Doors!$C:$C,$C67)*SUMIFS(Velocity!$I:$I,Velocity!$A:$A,$A67,Velocity!$B:$B,$C67)/Assumptions!$B$4*Assumptions!$B$6</f>
        <v>0</v>
      </c>
      <c r="AM67" s="7" t="n">
        <f aca="false">SUMIFS(Doors!AY:AY,Doors!$A:$A,$D67,Doors!$B:$B,$B67,Doors!$C:$C,$C67)*SUMIFS(Velocity!$I:$I,Velocity!$A:$A,$A67,Velocity!$B:$B,$C67)/Assumptions!$B$4*Assumptions!$B$6</f>
        <v>0</v>
      </c>
      <c r="AN67" s="7" t="n">
        <f aca="false">SUMIFS(Doors!AZ:AZ,Doors!$A:$A,$D67,Doors!$B:$B,$B67,Doors!$C:$C,$C67)*SUMIFS(Velocity!$I:$I,Velocity!$A:$A,$A67,Velocity!$B:$B,$C67)/Assumptions!$B$4*Assumptions!$B$6</f>
        <v>0</v>
      </c>
      <c r="AO67" s="7" t="n">
        <f aca="false">SUMIFS(Doors!BA:BA,Doors!$A:$A,$D67,Doors!$B:$B,$B67,Doors!$C:$C,$C67)*SUMIFS(Velocity!$I:$I,Velocity!$A:$A,$A67,Velocity!$B:$B,$C67)/Assumptions!$B$4*Assumptions!$B$6</f>
        <v>0</v>
      </c>
      <c r="AP67" s="7" t="n">
        <f aca="false">SUMIFS(Doors!BB:BB,Doors!$A:$A,$D67,Doors!$B:$B,$B67,Doors!$C:$C,$C67)*SUMIFS(Velocity!$I:$I,Velocity!$A:$A,$A67,Velocity!$B:$B,$C67)/Assumptions!$B$4*Assumptions!$B$6</f>
        <v>0</v>
      </c>
      <c r="AQ67" s="7" t="n">
        <f aca="false">SUMIFS(Doors!BC:BC,Doors!$A:$A,$D67,Doors!$B:$B,$B67,Doors!$C:$C,$C67)*SUMIFS(Velocity!$I:$I,Velocity!$A:$A,$A67,Velocity!$B:$B,$C67)/Assumptions!$B$4*Assumptions!$B$6</f>
        <v>0</v>
      </c>
      <c r="AR67" s="7" t="n">
        <f aca="false">SUMIFS(Doors!BD:BD,Doors!$A:$A,$D67,Doors!$B:$B,$B67,Doors!$C:$C,$C67)*SUMIFS(Velocity!$I:$I,Velocity!$A:$A,$A67,Velocity!$B:$B,$C67)/Assumptions!$B$4*Assumptions!$B$6</f>
        <v>0</v>
      </c>
      <c r="AS67" s="7" t="n">
        <f aca="false">SUMIFS(Doors!BE:BE,Doors!$A:$A,$D67,Doors!$B:$B,$B67,Doors!$C:$C,$C67)*SUMIFS(Velocity!$I:$I,Velocity!$A:$A,$A67,Velocity!$B:$B,$C67)/Assumptions!$B$4*Assumptions!$B$6</f>
        <v>0</v>
      </c>
      <c r="AT67" s="7" t="n">
        <f aca="false">SUMIFS(Doors!BF:BF,Doors!$A:$A,$D67,Doors!$B:$B,$B67,Doors!$C:$C,$C67)*SUMIFS(Velocity!$I:$I,Velocity!$A:$A,$A67,Velocity!$B:$B,$C67)/Assumptions!$B$4*Assumptions!$B$6</f>
        <v>0</v>
      </c>
      <c r="AU67" s="7" t="n">
        <f aca="false">SUMIFS(Doors!BG:BG,Doors!$A:$A,$D67,Doors!$B:$B,$B67,Doors!$C:$C,$C67)*SUMIFS(Velocity!$I:$I,Velocity!$A:$A,$A67,Velocity!$B:$B,$C67)/Assumptions!$B$4*Assumptions!$B$6</f>
        <v>0</v>
      </c>
      <c r="AV67" s="7" t="n">
        <f aca="false">SUMIFS(Doors!BH:BH,Doors!$A:$A,$D67,Doors!$B:$B,$B67,Doors!$C:$C,$C67)*SUMIFS(Velocity!$I:$I,Velocity!$A:$A,$A67,Velocity!$B:$B,$C67)/Assumptions!$B$4*Assumptions!$B$6</f>
        <v>0</v>
      </c>
      <c r="AW67" s="7" t="n">
        <f aca="false">SUMIFS(Doors!BI:BI,Doors!$A:$A,$D67,Doors!$B:$B,$B67,Doors!$C:$C,$C67)*SUMIFS(Velocity!$I:$I,Velocity!$A:$A,$A67,Velocity!$B:$B,$C67)/Assumptions!$B$4*Assumptions!$B$6</f>
        <v>0</v>
      </c>
      <c r="AX67" s="7" t="n">
        <f aca="false">SUMIFS(Doors!BJ:BJ,Doors!$A:$A,$D67,Doors!$B:$B,$B67,Doors!$C:$C,$C67)*SUMIFS(Velocity!$I:$I,Velocity!$A:$A,$A67,Velocity!$B:$B,$C67)/Assumptions!$B$4*Assumptions!$B$6</f>
        <v>0</v>
      </c>
      <c r="AY67" s="7" t="n">
        <f aca="false">SUMIFS(Doors!BK:BK,Doors!$A:$A,$D67,Doors!$B:$B,$B67,Doors!$C:$C,$C67)*SUMIFS(Velocity!$I:$I,Velocity!$A:$A,$A67,Velocity!$B:$B,$C67)/Assumptions!$B$4*Assumptions!$B$6</f>
        <v>0</v>
      </c>
      <c r="AZ67" s="7" t="n">
        <f aca="false">SUMIFS(Doors!BL:BL,Doors!$A:$A,$D67,Doors!$B:$B,$B67,Doors!$C:$C,$C67)*SUMIFS(Velocity!$I:$I,Velocity!$A:$A,$A67,Velocity!$B:$B,$C67)/Assumptions!$B$4*Assumptions!$B$6</f>
        <v>0</v>
      </c>
      <c r="BA67" s="7" t="n">
        <f aca="false">SUMIFS(Doors!BM:BM,Doors!$A:$A,$D67,Doors!$B:$B,$B67,Doors!$C:$C,$C67)*SUMIFS(Velocity!$I:$I,Velocity!$A:$A,$A67,Velocity!$B:$B,$C67)/Assumptions!$B$4*Assumptions!$B$6</f>
        <v>0</v>
      </c>
      <c r="BB67" s="7" t="n">
        <f aca="false">SUMIFS(Doors!BN:BN,Doors!$A:$A,$D67,Doors!$B:$B,$B67,Doors!$C:$C,$C67)*SUMIFS(Velocity!$I:$I,Velocity!$A:$A,$A67,Velocity!$B:$B,$C67)/Assumptions!$B$4*Assumptions!$B$6</f>
        <v>0</v>
      </c>
      <c r="BC67" s="7" t="n">
        <f aca="false">SUMIFS(Doors!BO:BO,Doors!$A:$A,$D67,Doors!$B:$B,$B67,Doors!$C:$C,$C67)*SUMIFS(Velocity!$I:$I,Velocity!$A:$A,$A67,Velocity!$B:$B,$C67)/Assumptions!$B$4*Assumptions!$B$6</f>
        <v>0</v>
      </c>
      <c r="BD67" s="7" t="n">
        <f aca="false">SUMIFS(Doors!BP:BP,Doors!$A:$A,$D67,Doors!$B:$B,$B67,Doors!$C:$C,$C67)*SUMIFS(Velocity!$I:$I,Velocity!$A:$A,$A67,Velocity!$B:$B,$C67)/Assumptions!$B$4*Assumptions!$B$6</f>
        <v>0</v>
      </c>
    </row>
    <row r="68" customFormat="false" ht="15" hidden="false" customHeight="false" outlineLevel="0" collapsed="false">
      <c r="A68" s="0" t="s">
        <v>108</v>
      </c>
      <c r="B68" s="0" t="s">
        <v>132</v>
      </c>
      <c r="C68" s="0" t="s">
        <v>123</v>
      </c>
      <c r="D68" s="0" t="s">
        <v>235</v>
      </c>
      <c r="E68" s="7" t="n">
        <f aca="false">SUMIFS(Doors!Q:Q,Doors!$A:$A,$D68,Doors!$B:$B,$B68,Doors!$C:$C,$C68)*SUMIFS(Velocity!$I:$I,Velocity!$A:$A,$A68,Velocity!$B:$B,$C68)/Assumptions!$B$4*Assumptions!$B$6</f>
        <v>0.216666666666667</v>
      </c>
      <c r="F68" s="7" t="n">
        <f aca="false">SUMIFS(Doors!R:R,Doors!$A:$A,$D68,Doors!$B:$B,$B68,Doors!$C:$C,$C68)*SUMIFS(Velocity!$I:$I,Velocity!$A:$A,$A68,Velocity!$B:$B,$C68)/Assumptions!$B$4*Assumptions!$B$6</f>
        <v>0.216666666666667</v>
      </c>
      <c r="G68" s="7" t="n">
        <f aca="false">SUMIFS(Doors!S:S,Doors!$A:$A,$D68,Doors!$B:$B,$B68,Doors!$C:$C,$C68)*SUMIFS(Velocity!$I:$I,Velocity!$A:$A,$A68,Velocity!$B:$B,$C68)/Assumptions!$B$4*Assumptions!$B$6</f>
        <v>0.216666666666667</v>
      </c>
      <c r="H68" s="7" t="n">
        <f aca="false">SUMIFS(Doors!T:T,Doors!$A:$A,$D68,Doors!$B:$B,$B68,Doors!$C:$C,$C68)*SUMIFS(Velocity!$I:$I,Velocity!$A:$A,$A68,Velocity!$B:$B,$C68)/Assumptions!$B$4*Assumptions!$B$6</f>
        <v>0.216666666666667</v>
      </c>
      <c r="I68" s="7" t="n">
        <f aca="false">SUMIFS(Doors!U:U,Doors!$A:$A,$D68,Doors!$B:$B,$B68,Doors!$C:$C,$C68)*SUMIFS(Velocity!$I:$I,Velocity!$A:$A,$A68,Velocity!$B:$B,$C68)/Assumptions!$B$4*Assumptions!$B$6</f>
        <v>0.216666666666667</v>
      </c>
      <c r="J68" s="7" t="n">
        <f aca="false">SUMIFS(Doors!V:V,Doors!$A:$A,$D68,Doors!$B:$B,$B68,Doors!$C:$C,$C68)*SUMIFS(Velocity!$I:$I,Velocity!$A:$A,$A68,Velocity!$B:$B,$C68)/Assumptions!$B$4*Assumptions!$B$6</f>
        <v>0.325</v>
      </c>
      <c r="K68" s="7" t="n">
        <f aca="false">SUMIFS(Doors!W:W,Doors!$A:$A,$D68,Doors!$B:$B,$B68,Doors!$C:$C,$C68)*SUMIFS(Velocity!$I:$I,Velocity!$A:$A,$A68,Velocity!$B:$B,$C68)/Assumptions!$B$4*Assumptions!$B$6</f>
        <v>0.325</v>
      </c>
      <c r="L68" s="7" t="n">
        <f aca="false">SUMIFS(Doors!X:X,Doors!$A:$A,$D68,Doors!$B:$B,$B68,Doors!$C:$C,$C68)*SUMIFS(Velocity!$I:$I,Velocity!$A:$A,$A68,Velocity!$B:$B,$C68)/Assumptions!$B$4*Assumptions!$B$6</f>
        <v>0.325</v>
      </c>
      <c r="M68" s="7" t="n">
        <f aca="false">SUMIFS(Doors!Y:Y,Doors!$A:$A,$D68,Doors!$B:$B,$B68,Doors!$C:$C,$C68)*SUMIFS(Velocity!$I:$I,Velocity!$A:$A,$A68,Velocity!$B:$B,$C68)/Assumptions!$B$4*Assumptions!$B$6</f>
        <v>0.325</v>
      </c>
      <c r="N68" s="7" t="n">
        <f aca="false">SUMIFS(Doors!Z:Z,Doors!$A:$A,$D68,Doors!$B:$B,$B68,Doors!$C:$C,$C68)*SUMIFS(Velocity!$I:$I,Velocity!$A:$A,$A68,Velocity!$B:$B,$C68)/Assumptions!$B$4*Assumptions!$B$6</f>
        <v>0.541666666666667</v>
      </c>
      <c r="O68" s="7" t="n">
        <f aca="false">SUMIFS(Doors!AA:AA,Doors!$A:$A,$D68,Doors!$B:$B,$B68,Doors!$C:$C,$C68)*SUMIFS(Velocity!$I:$I,Velocity!$A:$A,$A68,Velocity!$B:$B,$C68)/Assumptions!$B$4*Assumptions!$B$6</f>
        <v>0.541666666666667</v>
      </c>
      <c r="P68" s="7" t="n">
        <f aca="false">SUMIFS(Doors!AB:AB,Doors!$A:$A,$D68,Doors!$B:$B,$B68,Doors!$C:$C,$C68)*SUMIFS(Velocity!$I:$I,Velocity!$A:$A,$A68,Velocity!$B:$B,$C68)/Assumptions!$B$4*Assumptions!$B$6</f>
        <v>0.541666666666667</v>
      </c>
      <c r="Q68" s="7" t="n">
        <f aca="false">SUMIFS(Doors!AC:AC,Doors!$A:$A,$D68,Doors!$B:$B,$B68,Doors!$C:$C,$C68)*SUMIFS(Velocity!$I:$I,Velocity!$A:$A,$A68,Velocity!$B:$B,$C68)/Assumptions!$B$4*Assumptions!$B$6</f>
        <v>0.541666666666667</v>
      </c>
      <c r="R68" s="7" t="n">
        <f aca="false">SUMIFS(Doors!AD:AD,Doors!$A:$A,$D68,Doors!$B:$B,$B68,Doors!$C:$C,$C68)*SUMIFS(Velocity!$I:$I,Velocity!$A:$A,$A68,Velocity!$B:$B,$C68)/Assumptions!$B$4*Assumptions!$B$6</f>
        <v>0.65</v>
      </c>
      <c r="S68" s="7" t="n">
        <f aca="false">SUMIFS(Doors!AE:AE,Doors!$A:$A,$D68,Doors!$B:$B,$B68,Doors!$C:$C,$C68)*SUMIFS(Velocity!$I:$I,Velocity!$A:$A,$A68,Velocity!$B:$B,$C68)/Assumptions!$B$4*Assumptions!$B$6</f>
        <v>0.65</v>
      </c>
      <c r="T68" s="7" t="n">
        <f aca="false">SUMIFS(Doors!AF:AF,Doors!$A:$A,$D68,Doors!$B:$B,$B68,Doors!$C:$C,$C68)*SUMIFS(Velocity!$I:$I,Velocity!$A:$A,$A68,Velocity!$B:$B,$C68)/Assumptions!$B$4*Assumptions!$B$6</f>
        <v>0.65</v>
      </c>
      <c r="U68" s="7" t="n">
        <f aca="false">SUMIFS(Doors!AG:AG,Doors!$A:$A,$D68,Doors!$B:$B,$B68,Doors!$C:$C,$C68)*SUMIFS(Velocity!$I:$I,Velocity!$A:$A,$A68,Velocity!$B:$B,$C68)/Assumptions!$B$4*Assumptions!$B$6</f>
        <v>0.65</v>
      </c>
      <c r="V68" s="7" t="n">
        <f aca="false">SUMIFS(Doors!AH:AH,Doors!$A:$A,$D68,Doors!$B:$B,$B68,Doors!$C:$C,$C68)*SUMIFS(Velocity!$I:$I,Velocity!$A:$A,$A68,Velocity!$B:$B,$C68)/Assumptions!$B$4*Assumptions!$B$6</f>
        <v>0.65</v>
      </c>
      <c r="W68" s="7" t="n">
        <f aca="false">SUMIFS(Doors!AI:AI,Doors!$A:$A,$D68,Doors!$B:$B,$B68,Doors!$C:$C,$C68)*SUMIFS(Velocity!$I:$I,Velocity!$A:$A,$A68,Velocity!$B:$B,$C68)/Assumptions!$B$4*Assumptions!$B$6</f>
        <v>0.758333333333333</v>
      </c>
      <c r="X68" s="7" t="n">
        <f aca="false">SUMIFS(Doors!AJ:AJ,Doors!$A:$A,$D68,Doors!$B:$B,$B68,Doors!$C:$C,$C68)*SUMIFS(Velocity!$I:$I,Velocity!$A:$A,$A68,Velocity!$B:$B,$C68)/Assumptions!$B$4*Assumptions!$B$6</f>
        <v>0.758333333333333</v>
      </c>
      <c r="Y68" s="7" t="n">
        <f aca="false">SUMIFS(Doors!AK:AK,Doors!$A:$A,$D68,Doors!$B:$B,$B68,Doors!$C:$C,$C68)*SUMIFS(Velocity!$I:$I,Velocity!$A:$A,$A68,Velocity!$B:$B,$C68)/Assumptions!$B$4*Assumptions!$B$6</f>
        <v>0.758333333333333</v>
      </c>
      <c r="Z68" s="7" t="n">
        <f aca="false">SUMIFS(Doors!AL:AL,Doors!$A:$A,$D68,Doors!$B:$B,$B68,Doors!$C:$C,$C68)*SUMIFS(Velocity!$I:$I,Velocity!$A:$A,$A68,Velocity!$B:$B,$C68)/Assumptions!$B$4*Assumptions!$B$6</f>
        <v>0.758333333333333</v>
      </c>
      <c r="AA68" s="7" t="n">
        <f aca="false">SUMIFS(Doors!AM:AM,Doors!$A:$A,$D68,Doors!$B:$B,$B68,Doors!$C:$C,$C68)*SUMIFS(Velocity!$I:$I,Velocity!$A:$A,$A68,Velocity!$B:$B,$C68)/Assumptions!$B$4*Assumptions!$B$6</f>
        <v>0.866666666666667</v>
      </c>
      <c r="AB68" s="7" t="n">
        <f aca="false">SUMIFS(Doors!AN:AN,Doors!$A:$A,$D68,Doors!$B:$B,$B68,Doors!$C:$C,$C68)*SUMIFS(Velocity!$I:$I,Velocity!$A:$A,$A68,Velocity!$B:$B,$C68)/Assumptions!$B$4*Assumptions!$B$6</f>
        <v>0.866666666666667</v>
      </c>
      <c r="AC68" s="7" t="n">
        <f aca="false">SUMIFS(Doors!AO:AO,Doors!$A:$A,$D68,Doors!$B:$B,$B68,Doors!$C:$C,$C68)*SUMIFS(Velocity!$I:$I,Velocity!$A:$A,$A68,Velocity!$B:$B,$C68)/Assumptions!$B$4*Assumptions!$B$6</f>
        <v>0.866666666666667</v>
      </c>
      <c r="AD68" s="7" t="n">
        <f aca="false">SUMIFS(Doors!AP:AP,Doors!$A:$A,$D68,Doors!$B:$B,$B68,Doors!$C:$C,$C68)*SUMIFS(Velocity!$I:$I,Velocity!$A:$A,$A68,Velocity!$B:$B,$C68)/Assumptions!$B$4*Assumptions!$B$6</f>
        <v>0.866666666666667</v>
      </c>
      <c r="AE68" s="7" t="n">
        <f aca="false">SUMIFS(Doors!AQ:AQ,Doors!$A:$A,$D68,Doors!$B:$B,$B68,Doors!$C:$C,$C68)*SUMIFS(Velocity!$I:$I,Velocity!$A:$A,$A68,Velocity!$B:$B,$C68)/Assumptions!$B$4*Assumptions!$B$6</f>
        <v>0.975</v>
      </c>
      <c r="AF68" s="7" t="n">
        <f aca="false">SUMIFS(Doors!AR:AR,Doors!$A:$A,$D68,Doors!$B:$B,$B68,Doors!$C:$C,$C68)*SUMIFS(Velocity!$I:$I,Velocity!$A:$A,$A68,Velocity!$B:$B,$C68)/Assumptions!$B$4*Assumptions!$B$6</f>
        <v>0.975</v>
      </c>
      <c r="AG68" s="7" t="n">
        <f aca="false">SUMIFS(Doors!AS:AS,Doors!$A:$A,$D68,Doors!$B:$B,$B68,Doors!$C:$C,$C68)*SUMIFS(Velocity!$I:$I,Velocity!$A:$A,$A68,Velocity!$B:$B,$C68)/Assumptions!$B$4*Assumptions!$B$6</f>
        <v>0.975</v>
      </c>
      <c r="AH68" s="7" t="n">
        <f aca="false">SUMIFS(Doors!AT:AT,Doors!$A:$A,$D68,Doors!$B:$B,$B68,Doors!$C:$C,$C68)*SUMIFS(Velocity!$I:$I,Velocity!$A:$A,$A68,Velocity!$B:$B,$C68)/Assumptions!$B$4*Assumptions!$B$6</f>
        <v>0.975</v>
      </c>
      <c r="AI68" s="7" t="n">
        <f aca="false">SUMIFS(Doors!AU:AU,Doors!$A:$A,$D68,Doors!$B:$B,$B68,Doors!$C:$C,$C68)*SUMIFS(Velocity!$I:$I,Velocity!$A:$A,$A68,Velocity!$B:$B,$C68)/Assumptions!$B$4*Assumptions!$B$6</f>
        <v>0.975</v>
      </c>
      <c r="AJ68" s="7" t="n">
        <f aca="false">SUMIFS(Doors!AV:AV,Doors!$A:$A,$D68,Doors!$B:$B,$B68,Doors!$C:$C,$C68)*SUMIFS(Velocity!$I:$I,Velocity!$A:$A,$A68,Velocity!$B:$B,$C68)/Assumptions!$B$4*Assumptions!$B$6</f>
        <v>1.08333333333333</v>
      </c>
      <c r="AK68" s="7" t="n">
        <f aca="false">SUMIFS(Doors!AW:AW,Doors!$A:$A,$D68,Doors!$B:$B,$B68,Doors!$C:$C,$C68)*SUMIFS(Velocity!$I:$I,Velocity!$A:$A,$A68,Velocity!$B:$B,$C68)/Assumptions!$B$4*Assumptions!$B$6</f>
        <v>1.08333333333333</v>
      </c>
      <c r="AL68" s="7" t="n">
        <f aca="false">SUMIFS(Doors!AX:AX,Doors!$A:$A,$D68,Doors!$B:$B,$B68,Doors!$C:$C,$C68)*SUMIFS(Velocity!$I:$I,Velocity!$A:$A,$A68,Velocity!$B:$B,$C68)/Assumptions!$B$4*Assumptions!$B$6</f>
        <v>1.08333333333333</v>
      </c>
      <c r="AM68" s="7" t="n">
        <f aca="false">SUMIFS(Doors!AY:AY,Doors!$A:$A,$D68,Doors!$B:$B,$B68,Doors!$C:$C,$C68)*SUMIFS(Velocity!$I:$I,Velocity!$A:$A,$A68,Velocity!$B:$B,$C68)/Assumptions!$B$4*Assumptions!$B$6</f>
        <v>1.08333333333333</v>
      </c>
      <c r="AN68" s="7" t="n">
        <f aca="false">SUMIFS(Doors!AZ:AZ,Doors!$A:$A,$D68,Doors!$B:$B,$B68,Doors!$C:$C,$C68)*SUMIFS(Velocity!$I:$I,Velocity!$A:$A,$A68,Velocity!$B:$B,$C68)/Assumptions!$B$4*Assumptions!$B$6</f>
        <v>1.08333333333333</v>
      </c>
      <c r="AO68" s="7" t="n">
        <f aca="false">SUMIFS(Doors!BA:BA,Doors!$A:$A,$D68,Doors!$B:$B,$B68,Doors!$C:$C,$C68)*SUMIFS(Velocity!$I:$I,Velocity!$A:$A,$A68,Velocity!$B:$B,$C68)/Assumptions!$B$4*Assumptions!$B$6</f>
        <v>1.08333333333333</v>
      </c>
      <c r="AP68" s="7" t="n">
        <f aca="false">SUMIFS(Doors!BB:BB,Doors!$A:$A,$D68,Doors!$B:$B,$B68,Doors!$C:$C,$C68)*SUMIFS(Velocity!$I:$I,Velocity!$A:$A,$A68,Velocity!$B:$B,$C68)/Assumptions!$B$4*Assumptions!$B$6</f>
        <v>1.08333333333333</v>
      </c>
      <c r="AQ68" s="7" t="n">
        <f aca="false">SUMIFS(Doors!BC:BC,Doors!$A:$A,$D68,Doors!$B:$B,$B68,Doors!$C:$C,$C68)*SUMIFS(Velocity!$I:$I,Velocity!$A:$A,$A68,Velocity!$B:$B,$C68)/Assumptions!$B$4*Assumptions!$B$6</f>
        <v>1.08333333333333</v>
      </c>
      <c r="AR68" s="7" t="n">
        <f aca="false">SUMIFS(Doors!BD:BD,Doors!$A:$A,$D68,Doors!$B:$B,$B68,Doors!$C:$C,$C68)*SUMIFS(Velocity!$I:$I,Velocity!$A:$A,$A68,Velocity!$B:$B,$C68)/Assumptions!$B$4*Assumptions!$B$6</f>
        <v>1.08333333333333</v>
      </c>
      <c r="AS68" s="7" t="n">
        <f aca="false">SUMIFS(Doors!BE:BE,Doors!$A:$A,$D68,Doors!$B:$B,$B68,Doors!$C:$C,$C68)*SUMIFS(Velocity!$I:$I,Velocity!$A:$A,$A68,Velocity!$B:$B,$C68)/Assumptions!$B$4*Assumptions!$B$6</f>
        <v>1.08333333333333</v>
      </c>
      <c r="AT68" s="7" t="n">
        <f aca="false">SUMIFS(Doors!BF:BF,Doors!$A:$A,$D68,Doors!$B:$B,$B68,Doors!$C:$C,$C68)*SUMIFS(Velocity!$I:$I,Velocity!$A:$A,$A68,Velocity!$B:$B,$C68)/Assumptions!$B$4*Assumptions!$B$6</f>
        <v>1.08333333333333</v>
      </c>
      <c r="AU68" s="7" t="n">
        <f aca="false">SUMIFS(Doors!BG:BG,Doors!$A:$A,$D68,Doors!$B:$B,$B68,Doors!$C:$C,$C68)*SUMIFS(Velocity!$I:$I,Velocity!$A:$A,$A68,Velocity!$B:$B,$C68)/Assumptions!$B$4*Assumptions!$B$6</f>
        <v>1.08333333333333</v>
      </c>
      <c r="AV68" s="7" t="n">
        <f aca="false">SUMIFS(Doors!BH:BH,Doors!$A:$A,$D68,Doors!$B:$B,$B68,Doors!$C:$C,$C68)*SUMIFS(Velocity!$I:$I,Velocity!$A:$A,$A68,Velocity!$B:$B,$C68)/Assumptions!$B$4*Assumptions!$B$6</f>
        <v>1.08333333333333</v>
      </c>
      <c r="AW68" s="7" t="n">
        <f aca="false">SUMIFS(Doors!BI:BI,Doors!$A:$A,$D68,Doors!$B:$B,$B68,Doors!$C:$C,$C68)*SUMIFS(Velocity!$I:$I,Velocity!$A:$A,$A68,Velocity!$B:$B,$C68)/Assumptions!$B$4*Assumptions!$B$6</f>
        <v>1.08333333333333</v>
      </c>
      <c r="AX68" s="7" t="n">
        <f aca="false">SUMIFS(Doors!BJ:BJ,Doors!$A:$A,$D68,Doors!$B:$B,$B68,Doors!$C:$C,$C68)*SUMIFS(Velocity!$I:$I,Velocity!$A:$A,$A68,Velocity!$B:$B,$C68)/Assumptions!$B$4*Assumptions!$B$6</f>
        <v>1.08333333333333</v>
      </c>
      <c r="AY68" s="7" t="n">
        <f aca="false">SUMIFS(Doors!BK:BK,Doors!$A:$A,$D68,Doors!$B:$B,$B68,Doors!$C:$C,$C68)*SUMIFS(Velocity!$I:$I,Velocity!$A:$A,$A68,Velocity!$B:$B,$C68)/Assumptions!$B$4*Assumptions!$B$6</f>
        <v>1.08333333333333</v>
      </c>
      <c r="AZ68" s="7" t="n">
        <f aca="false">SUMIFS(Doors!BL:BL,Doors!$A:$A,$D68,Doors!$B:$B,$B68,Doors!$C:$C,$C68)*SUMIFS(Velocity!$I:$I,Velocity!$A:$A,$A68,Velocity!$B:$B,$C68)/Assumptions!$B$4*Assumptions!$B$6</f>
        <v>1.08333333333333</v>
      </c>
      <c r="BA68" s="7" t="n">
        <f aca="false">SUMIFS(Doors!BM:BM,Doors!$A:$A,$D68,Doors!$B:$B,$B68,Doors!$C:$C,$C68)*SUMIFS(Velocity!$I:$I,Velocity!$A:$A,$A68,Velocity!$B:$B,$C68)/Assumptions!$B$4*Assumptions!$B$6</f>
        <v>1.08333333333333</v>
      </c>
      <c r="BB68" s="7" t="n">
        <f aca="false">SUMIFS(Doors!BN:BN,Doors!$A:$A,$D68,Doors!$B:$B,$B68,Doors!$C:$C,$C68)*SUMIFS(Velocity!$I:$I,Velocity!$A:$A,$A68,Velocity!$B:$B,$C68)/Assumptions!$B$4*Assumptions!$B$6</f>
        <v>1.08333333333333</v>
      </c>
      <c r="BC68" s="7" t="n">
        <f aca="false">SUMIFS(Doors!BO:BO,Doors!$A:$A,$D68,Doors!$B:$B,$B68,Doors!$C:$C,$C68)*SUMIFS(Velocity!$I:$I,Velocity!$A:$A,$A68,Velocity!$B:$B,$C68)/Assumptions!$B$4*Assumptions!$B$6</f>
        <v>1.08333333333333</v>
      </c>
      <c r="BD68" s="7" t="n">
        <f aca="false">SUMIFS(Doors!BP:BP,Doors!$A:$A,$D68,Doors!$B:$B,$B68,Doors!$C:$C,$C68)*SUMIFS(Velocity!$I:$I,Velocity!$A:$A,$A68,Velocity!$B:$B,$C68)/Assumptions!$B$4*Assumptions!$B$6</f>
        <v>1.08333333333333</v>
      </c>
    </row>
    <row r="69" customFormat="false" ht="15" hidden="false" customHeight="false" outlineLevel="0" collapsed="false">
      <c r="A69" s="0" t="s">
        <v>108</v>
      </c>
      <c r="B69" s="0" t="s">
        <v>133</v>
      </c>
      <c r="C69" s="0" t="s">
        <v>115</v>
      </c>
      <c r="D69" s="0" t="s">
        <v>235</v>
      </c>
      <c r="E69" s="7" t="n">
        <f aca="false">SUMIFS(Doors!Q:Q,Doors!$A:$A,$D69,Doors!$B:$B,$B69,Doors!$C:$C,$C69)*SUMIFS(Velocity!$I:$I,Velocity!$A:$A,$A69,Velocity!$B:$B,$C69)/Assumptions!$B$4*Assumptions!$B$6</f>
        <v>0</v>
      </c>
      <c r="F69" s="7" t="n">
        <f aca="false">SUMIFS(Doors!R:R,Doors!$A:$A,$D69,Doors!$B:$B,$B69,Doors!$C:$C,$C69)*SUMIFS(Velocity!$I:$I,Velocity!$A:$A,$A69,Velocity!$B:$B,$C69)/Assumptions!$B$4*Assumptions!$B$6</f>
        <v>0</v>
      </c>
      <c r="G69" s="7" t="n">
        <f aca="false">SUMIFS(Doors!S:S,Doors!$A:$A,$D69,Doors!$B:$B,$B69,Doors!$C:$C,$C69)*SUMIFS(Velocity!$I:$I,Velocity!$A:$A,$A69,Velocity!$B:$B,$C69)/Assumptions!$B$4*Assumptions!$B$6</f>
        <v>0</v>
      </c>
      <c r="H69" s="7" t="n">
        <f aca="false">SUMIFS(Doors!T:T,Doors!$A:$A,$D69,Doors!$B:$B,$B69,Doors!$C:$C,$C69)*SUMIFS(Velocity!$I:$I,Velocity!$A:$A,$A69,Velocity!$B:$B,$C69)/Assumptions!$B$4*Assumptions!$B$6</f>
        <v>0</v>
      </c>
      <c r="I69" s="7" t="n">
        <f aca="false">SUMIFS(Doors!U:U,Doors!$A:$A,$D69,Doors!$B:$B,$B69,Doors!$C:$C,$C69)*SUMIFS(Velocity!$I:$I,Velocity!$A:$A,$A69,Velocity!$B:$B,$C69)/Assumptions!$B$4*Assumptions!$B$6</f>
        <v>0</v>
      </c>
      <c r="J69" s="7" t="n">
        <f aca="false">SUMIFS(Doors!V:V,Doors!$A:$A,$D69,Doors!$B:$B,$B69,Doors!$C:$C,$C69)*SUMIFS(Velocity!$I:$I,Velocity!$A:$A,$A69,Velocity!$B:$B,$C69)/Assumptions!$B$4*Assumptions!$B$6</f>
        <v>0</v>
      </c>
      <c r="K69" s="7" t="n">
        <f aca="false">SUMIFS(Doors!W:W,Doors!$A:$A,$D69,Doors!$B:$B,$B69,Doors!$C:$C,$C69)*SUMIFS(Velocity!$I:$I,Velocity!$A:$A,$A69,Velocity!$B:$B,$C69)/Assumptions!$B$4*Assumptions!$B$6</f>
        <v>0</v>
      </c>
      <c r="L69" s="7" t="n">
        <f aca="false">SUMIFS(Doors!X:X,Doors!$A:$A,$D69,Doors!$B:$B,$B69,Doors!$C:$C,$C69)*SUMIFS(Velocity!$I:$I,Velocity!$A:$A,$A69,Velocity!$B:$B,$C69)/Assumptions!$B$4*Assumptions!$B$6</f>
        <v>0</v>
      </c>
      <c r="M69" s="7" t="n">
        <f aca="false">SUMIFS(Doors!Y:Y,Doors!$A:$A,$D69,Doors!$B:$B,$B69,Doors!$C:$C,$C69)*SUMIFS(Velocity!$I:$I,Velocity!$A:$A,$A69,Velocity!$B:$B,$C69)/Assumptions!$B$4*Assumptions!$B$6</f>
        <v>0</v>
      </c>
      <c r="N69" s="7" t="n">
        <f aca="false">SUMIFS(Doors!Z:Z,Doors!$A:$A,$D69,Doors!$B:$B,$B69,Doors!$C:$C,$C69)*SUMIFS(Velocity!$I:$I,Velocity!$A:$A,$A69,Velocity!$B:$B,$C69)/Assumptions!$B$4*Assumptions!$B$6</f>
        <v>0.329166666666667</v>
      </c>
      <c r="O69" s="7" t="n">
        <f aca="false">SUMIFS(Doors!AA:AA,Doors!$A:$A,$D69,Doors!$B:$B,$B69,Doors!$C:$C,$C69)*SUMIFS(Velocity!$I:$I,Velocity!$A:$A,$A69,Velocity!$B:$B,$C69)/Assumptions!$B$4*Assumptions!$B$6</f>
        <v>0.329166666666667</v>
      </c>
      <c r="P69" s="7" t="n">
        <f aca="false">SUMIFS(Doors!AB:AB,Doors!$A:$A,$D69,Doors!$B:$B,$B69,Doors!$C:$C,$C69)*SUMIFS(Velocity!$I:$I,Velocity!$A:$A,$A69,Velocity!$B:$B,$C69)/Assumptions!$B$4*Assumptions!$B$6</f>
        <v>0.329166666666667</v>
      </c>
      <c r="Q69" s="7" t="n">
        <f aca="false">SUMIFS(Doors!AC:AC,Doors!$A:$A,$D69,Doors!$B:$B,$B69,Doors!$C:$C,$C69)*SUMIFS(Velocity!$I:$I,Velocity!$A:$A,$A69,Velocity!$B:$B,$C69)/Assumptions!$B$4*Assumptions!$B$6</f>
        <v>0.329166666666667</v>
      </c>
      <c r="R69" s="7" t="n">
        <f aca="false">SUMIFS(Doors!AD:AD,Doors!$A:$A,$D69,Doors!$B:$B,$B69,Doors!$C:$C,$C69)*SUMIFS(Velocity!$I:$I,Velocity!$A:$A,$A69,Velocity!$B:$B,$C69)/Assumptions!$B$4*Assumptions!$B$6</f>
        <v>0.9875</v>
      </c>
      <c r="S69" s="7" t="n">
        <f aca="false">SUMIFS(Doors!AE:AE,Doors!$A:$A,$D69,Doors!$B:$B,$B69,Doors!$C:$C,$C69)*SUMIFS(Velocity!$I:$I,Velocity!$A:$A,$A69,Velocity!$B:$B,$C69)/Assumptions!$B$4*Assumptions!$B$6</f>
        <v>0.9875</v>
      </c>
      <c r="T69" s="7" t="n">
        <f aca="false">SUMIFS(Doors!AF:AF,Doors!$A:$A,$D69,Doors!$B:$B,$B69,Doors!$C:$C,$C69)*SUMIFS(Velocity!$I:$I,Velocity!$A:$A,$A69,Velocity!$B:$B,$C69)/Assumptions!$B$4*Assumptions!$B$6</f>
        <v>0.9875</v>
      </c>
      <c r="U69" s="7" t="n">
        <f aca="false">SUMIFS(Doors!AG:AG,Doors!$A:$A,$D69,Doors!$B:$B,$B69,Doors!$C:$C,$C69)*SUMIFS(Velocity!$I:$I,Velocity!$A:$A,$A69,Velocity!$B:$B,$C69)/Assumptions!$B$4*Assumptions!$B$6</f>
        <v>0.9875</v>
      </c>
      <c r="V69" s="7" t="n">
        <f aca="false">SUMIFS(Doors!AH:AH,Doors!$A:$A,$D69,Doors!$B:$B,$B69,Doors!$C:$C,$C69)*SUMIFS(Velocity!$I:$I,Velocity!$A:$A,$A69,Velocity!$B:$B,$C69)/Assumptions!$B$4*Assumptions!$B$6</f>
        <v>0.9875</v>
      </c>
      <c r="W69" s="7" t="n">
        <f aca="false">SUMIFS(Doors!AI:AI,Doors!$A:$A,$D69,Doors!$B:$B,$B69,Doors!$C:$C,$C69)*SUMIFS(Velocity!$I:$I,Velocity!$A:$A,$A69,Velocity!$B:$B,$C69)/Assumptions!$B$4*Assumptions!$B$6</f>
        <v>1.64583333333333</v>
      </c>
      <c r="X69" s="7" t="n">
        <f aca="false">SUMIFS(Doors!AJ:AJ,Doors!$A:$A,$D69,Doors!$B:$B,$B69,Doors!$C:$C,$C69)*SUMIFS(Velocity!$I:$I,Velocity!$A:$A,$A69,Velocity!$B:$B,$C69)/Assumptions!$B$4*Assumptions!$B$6</f>
        <v>1.64583333333333</v>
      </c>
      <c r="Y69" s="7" t="n">
        <f aca="false">SUMIFS(Doors!AK:AK,Doors!$A:$A,$D69,Doors!$B:$B,$B69,Doors!$C:$C,$C69)*SUMIFS(Velocity!$I:$I,Velocity!$A:$A,$A69,Velocity!$B:$B,$C69)/Assumptions!$B$4*Assumptions!$B$6</f>
        <v>1.64583333333333</v>
      </c>
      <c r="Z69" s="7" t="n">
        <f aca="false">SUMIFS(Doors!AL:AL,Doors!$A:$A,$D69,Doors!$B:$B,$B69,Doors!$C:$C,$C69)*SUMIFS(Velocity!$I:$I,Velocity!$A:$A,$A69,Velocity!$B:$B,$C69)/Assumptions!$B$4*Assumptions!$B$6</f>
        <v>1.64583333333333</v>
      </c>
      <c r="AA69" s="7" t="n">
        <f aca="false">SUMIFS(Doors!AM:AM,Doors!$A:$A,$D69,Doors!$B:$B,$B69,Doors!$C:$C,$C69)*SUMIFS(Velocity!$I:$I,Velocity!$A:$A,$A69,Velocity!$B:$B,$C69)/Assumptions!$B$4*Assumptions!$B$6</f>
        <v>2.30416666666667</v>
      </c>
      <c r="AB69" s="7" t="n">
        <f aca="false">SUMIFS(Doors!AN:AN,Doors!$A:$A,$D69,Doors!$B:$B,$B69,Doors!$C:$C,$C69)*SUMIFS(Velocity!$I:$I,Velocity!$A:$A,$A69,Velocity!$B:$B,$C69)/Assumptions!$B$4*Assumptions!$B$6</f>
        <v>2.30416666666667</v>
      </c>
      <c r="AC69" s="7" t="n">
        <f aca="false">SUMIFS(Doors!AO:AO,Doors!$A:$A,$D69,Doors!$B:$B,$B69,Doors!$C:$C,$C69)*SUMIFS(Velocity!$I:$I,Velocity!$A:$A,$A69,Velocity!$B:$B,$C69)/Assumptions!$B$4*Assumptions!$B$6</f>
        <v>2.30416666666667</v>
      </c>
      <c r="AD69" s="7" t="n">
        <f aca="false">SUMIFS(Doors!AP:AP,Doors!$A:$A,$D69,Doors!$B:$B,$B69,Doors!$C:$C,$C69)*SUMIFS(Velocity!$I:$I,Velocity!$A:$A,$A69,Velocity!$B:$B,$C69)/Assumptions!$B$4*Assumptions!$B$6</f>
        <v>2.30416666666667</v>
      </c>
      <c r="AE69" s="7" t="n">
        <f aca="false">SUMIFS(Doors!AQ:AQ,Doors!$A:$A,$D69,Doors!$B:$B,$B69,Doors!$C:$C,$C69)*SUMIFS(Velocity!$I:$I,Velocity!$A:$A,$A69,Velocity!$B:$B,$C69)/Assumptions!$B$4*Assumptions!$B$6</f>
        <v>2.9625</v>
      </c>
      <c r="AF69" s="7" t="n">
        <f aca="false">SUMIFS(Doors!AR:AR,Doors!$A:$A,$D69,Doors!$B:$B,$B69,Doors!$C:$C,$C69)*SUMIFS(Velocity!$I:$I,Velocity!$A:$A,$A69,Velocity!$B:$B,$C69)/Assumptions!$B$4*Assumptions!$B$6</f>
        <v>2.9625</v>
      </c>
      <c r="AG69" s="7" t="n">
        <f aca="false">SUMIFS(Doors!AS:AS,Doors!$A:$A,$D69,Doors!$B:$B,$B69,Doors!$C:$C,$C69)*SUMIFS(Velocity!$I:$I,Velocity!$A:$A,$A69,Velocity!$B:$B,$C69)/Assumptions!$B$4*Assumptions!$B$6</f>
        <v>2.9625</v>
      </c>
      <c r="AH69" s="7" t="n">
        <f aca="false">SUMIFS(Doors!AT:AT,Doors!$A:$A,$D69,Doors!$B:$B,$B69,Doors!$C:$C,$C69)*SUMIFS(Velocity!$I:$I,Velocity!$A:$A,$A69,Velocity!$B:$B,$C69)/Assumptions!$B$4*Assumptions!$B$6</f>
        <v>2.9625</v>
      </c>
      <c r="AI69" s="7" t="n">
        <f aca="false">SUMIFS(Doors!AU:AU,Doors!$A:$A,$D69,Doors!$B:$B,$B69,Doors!$C:$C,$C69)*SUMIFS(Velocity!$I:$I,Velocity!$A:$A,$A69,Velocity!$B:$B,$C69)/Assumptions!$B$4*Assumptions!$B$6</f>
        <v>2.9625</v>
      </c>
      <c r="AJ69" s="7" t="n">
        <f aca="false">SUMIFS(Doors!AV:AV,Doors!$A:$A,$D69,Doors!$B:$B,$B69,Doors!$C:$C,$C69)*SUMIFS(Velocity!$I:$I,Velocity!$A:$A,$A69,Velocity!$B:$B,$C69)/Assumptions!$B$4*Assumptions!$B$6</f>
        <v>3.62083333333333</v>
      </c>
      <c r="AK69" s="7" t="n">
        <f aca="false">SUMIFS(Doors!AW:AW,Doors!$A:$A,$D69,Doors!$B:$B,$B69,Doors!$C:$C,$C69)*SUMIFS(Velocity!$I:$I,Velocity!$A:$A,$A69,Velocity!$B:$B,$C69)/Assumptions!$B$4*Assumptions!$B$6</f>
        <v>3.62083333333333</v>
      </c>
      <c r="AL69" s="7" t="n">
        <f aca="false">SUMIFS(Doors!AX:AX,Doors!$A:$A,$D69,Doors!$B:$B,$B69,Doors!$C:$C,$C69)*SUMIFS(Velocity!$I:$I,Velocity!$A:$A,$A69,Velocity!$B:$B,$C69)/Assumptions!$B$4*Assumptions!$B$6</f>
        <v>3.62083333333333</v>
      </c>
      <c r="AM69" s="7" t="n">
        <f aca="false">SUMIFS(Doors!AY:AY,Doors!$A:$A,$D69,Doors!$B:$B,$B69,Doors!$C:$C,$C69)*SUMIFS(Velocity!$I:$I,Velocity!$A:$A,$A69,Velocity!$B:$B,$C69)/Assumptions!$B$4*Assumptions!$B$6</f>
        <v>3.62083333333333</v>
      </c>
      <c r="AN69" s="7" t="n">
        <f aca="false">SUMIFS(Doors!AZ:AZ,Doors!$A:$A,$D69,Doors!$B:$B,$B69,Doors!$C:$C,$C69)*SUMIFS(Velocity!$I:$I,Velocity!$A:$A,$A69,Velocity!$B:$B,$C69)/Assumptions!$B$4*Assumptions!$B$6</f>
        <v>4.27916666666667</v>
      </c>
      <c r="AO69" s="7" t="n">
        <f aca="false">SUMIFS(Doors!BA:BA,Doors!$A:$A,$D69,Doors!$B:$B,$B69,Doors!$C:$C,$C69)*SUMIFS(Velocity!$I:$I,Velocity!$A:$A,$A69,Velocity!$B:$B,$C69)/Assumptions!$B$4*Assumptions!$B$6</f>
        <v>4.27916666666667</v>
      </c>
      <c r="AP69" s="7" t="n">
        <f aca="false">SUMIFS(Doors!BB:BB,Doors!$A:$A,$D69,Doors!$B:$B,$B69,Doors!$C:$C,$C69)*SUMIFS(Velocity!$I:$I,Velocity!$A:$A,$A69,Velocity!$B:$B,$C69)/Assumptions!$B$4*Assumptions!$B$6</f>
        <v>4.27916666666667</v>
      </c>
      <c r="AQ69" s="7" t="n">
        <f aca="false">SUMIFS(Doors!BC:BC,Doors!$A:$A,$D69,Doors!$B:$B,$B69,Doors!$C:$C,$C69)*SUMIFS(Velocity!$I:$I,Velocity!$A:$A,$A69,Velocity!$B:$B,$C69)/Assumptions!$B$4*Assumptions!$B$6</f>
        <v>4.27916666666667</v>
      </c>
      <c r="AR69" s="7" t="n">
        <f aca="false">SUMIFS(Doors!BD:BD,Doors!$A:$A,$D69,Doors!$B:$B,$B69,Doors!$C:$C,$C69)*SUMIFS(Velocity!$I:$I,Velocity!$A:$A,$A69,Velocity!$B:$B,$C69)/Assumptions!$B$4*Assumptions!$B$6</f>
        <v>4.60833333333333</v>
      </c>
      <c r="AS69" s="7" t="n">
        <f aca="false">SUMIFS(Doors!BE:BE,Doors!$A:$A,$D69,Doors!$B:$B,$B69,Doors!$C:$C,$C69)*SUMIFS(Velocity!$I:$I,Velocity!$A:$A,$A69,Velocity!$B:$B,$C69)/Assumptions!$B$4*Assumptions!$B$6</f>
        <v>4.60833333333333</v>
      </c>
      <c r="AT69" s="7" t="n">
        <f aca="false">SUMIFS(Doors!BF:BF,Doors!$A:$A,$D69,Doors!$B:$B,$B69,Doors!$C:$C,$C69)*SUMIFS(Velocity!$I:$I,Velocity!$A:$A,$A69,Velocity!$B:$B,$C69)/Assumptions!$B$4*Assumptions!$B$6</f>
        <v>4.60833333333333</v>
      </c>
      <c r="AU69" s="7" t="n">
        <f aca="false">SUMIFS(Doors!BG:BG,Doors!$A:$A,$D69,Doors!$B:$B,$B69,Doors!$C:$C,$C69)*SUMIFS(Velocity!$I:$I,Velocity!$A:$A,$A69,Velocity!$B:$B,$C69)/Assumptions!$B$4*Assumptions!$B$6</f>
        <v>4.60833333333333</v>
      </c>
      <c r="AV69" s="7" t="n">
        <f aca="false">SUMIFS(Doors!BH:BH,Doors!$A:$A,$D69,Doors!$B:$B,$B69,Doors!$C:$C,$C69)*SUMIFS(Velocity!$I:$I,Velocity!$A:$A,$A69,Velocity!$B:$B,$C69)/Assumptions!$B$4*Assumptions!$B$6</f>
        <v>4.60833333333333</v>
      </c>
      <c r="AW69" s="7" t="n">
        <f aca="false">SUMIFS(Doors!BI:BI,Doors!$A:$A,$D69,Doors!$B:$B,$B69,Doors!$C:$C,$C69)*SUMIFS(Velocity!$I:$I,Velocity!$A:$A,$A69,Velocity!$B:$B,$C69)/Assumptions!$B$4*Assumptions!$B$6</f>
        <v>4.9375</v>
      </c>
      <c r="AX69" s="7" t="n">
        <f aca="false">SUMIFS(Doors!BJ:BJ,Doors!$A:$A,$D69,Doors!$B:$B,$B69,Doors!$C:$C,$C69)*SUMIFS(Velocity!$I:$I,Velocity!$A:$A,$A69,Velocity!$B:$B,$C69)/Assumptions!$B$4*Assumptions!$B$6</f>
        <v>4.9375</v>
      </c>
      <c r="AY69" s="7" t="n">
        <f aca="false">SUMIFS(Doors!BK:BK,Doors!$A:$A,$D69,Doors!$B:$B,$B69,Doors!$C:$C,$C69)*SUMIFS(Velocity!$I:$I,Velocity!$A:$A,$A69,Velocity!$B:$B,$C69)/Assumptions!$B$4*Assumptions!$B$6</f>
        <v>4.9375</v>
      </c>
      <c r="AZ69" s="7" t="n">
        <f aca="false">SUMIFS(Doors!BL:BL,Doors!$A:$A,$D69,Doors!$B:$B,$B69,Doors!$C:$C,$C69)*SUMIFS(Velocity!$I:$I,Velocity!$A:$A,$A69,Velocity!$B:$B,$C69)/Assumptions!$B$4*Assumptions!$B$6</f>
        <v>4.9375</v>
      </c>
      <c r="BA69" s="7" t="n">
        <f aca="false">SUMIFS(Doors!BM:BM,Doors!$A:$A,$D69,Doors!$B:$B,$B69,Doors!$C:$C,$C69)*SUMIFS(Velocity!$I:$I,Velocity!$A:$A,$A69,Velocity!$B:$B,$C69)/Assumptions!$B$4*Assumptions!$B$6</f>
        <v>5.26666666666667</v>
      </c>
      <c r="BB69" s="7" t="n">
        <f aca="false">SUMIFS(Doors!BN:BN,Doors!$A:$A,$D69,Doors!$B:$B,$B69,Doors!$C:$C,$C69)*SUMIFS(Velocity!$I:$I,Velocity!$A:$A,$A69,Velocity!$B:$B,$C69)/Assumptions!$B$4*Assumptions!$B$6</f>
        <v>5.26666666666667</v>
      </c>
      <c r="BC69" s="7" t="n">
        <f aca="false">SUMIFS(Doors!BO:BO,Doors!$A:$A,$D69,Doors!$B:$B,$B69,Doors!$C:$C,$C69)*SUMIFS(Velocity!$I:$I,Velocity!$A:$A,$A69,Velocity!$B:$B,$C69)/Assumptions!$B$4*Assumptions!$B$6</f>
        <v>5.26666666666667</v>
      </c>
      <c r="BD69" s="7" t="n">
        <f aca="false">SUMIFS(Doors!BP:BP,Doors!$A:$A,$D69,Doors!$B:$B,$B69,Doors!$C:$C,$C69)*SUMIFS(Velocity!$I:$I,Velocity!$A:$A,$A69,Velocity!$B:$B,$C69)/Assumptions!$B$4*Assumptions!$B$6</f>
        <v>5.26666666666667</v>
      </c>
    </row>
    <row r="70" customFormat="false" ht="15" hidden="false" customHeight="false" outlineLevel="0" collapsed="false">
      <c r="A70" s="0" t="s">
        <v>108</v>
      </c>
      <c r="B70" s="0" t="s">
        <v>133</v>
      </c>
      <c r="C70" s="0" t="s">
        <v>116</v>
      </c>
      <c r="D70" s="0" t="s">
        <v>235</v>
      </c>
      <c r="E70" s="7" t="n">
        <f aca="false">SUMIFS(Doors!Q:Q,Doors!$A:$A,$D70,Doors!$B:$B,$B70,Doors!$C:$C,$C70)*SUMIFS(Velocity!$I:$I,Velocity!$A:$A,$A70,Velocity!$B:$B,$C70)/Assumptions!$B$4*Assumptions!$B$6</f>
        <v>0</v>
      </c>
      <c r="F70" s="7" t="n">
        <f aca="false">SUMIFS(Doors!R:R,Doors!$A:$A,$D70,Doors!$B:$B,$B70,Doors!$C:$C,$C70)*SUMIFS(Velocity!$I:$I,Velocity!$A:$A,$A70,Velocity!$B:$B,$C70)/Assumptions!$B$4*Assumptions!$B$6</f>
        <v>0</v>
      </c>
      <c r="G70" s="7" t="n">
        <f aca="false">SUMIFS(Doors!S:S,Doors!$A:$A,$D70,Doors!$B:$B,$B70,Doors!$C:$C,$C70)*SUMIFS(Velocity!$I:$I,Velocity!$A:$A,$A70,Velocity!$B:$B,$C70)/Assumptions!$B$4*Assumptions!$B$6</f>
        <v>0</v>
      </c>
      <c r="H70" s="7" t="n">
        <f aca="false">SUMIFS(Doors!T:T,Doors!$A:$A,$D70,Doors!$B:$B,$B70,Doors!$C:$C,$C70)*SUMIFS(Velocity!$I:$I,Velocity!$A:$A,$A70,Velocity!$B:$B,$C70)/Assumptions!$B$4*Assumptions!$B$6</f>
        <v>0</v>
      </c>
      <c r="I70" s="7" t="n">
        <f aca="false">SUMIFS(Doors!U:U,Doors!$A:$A,$D70,Doors!$B:$B,$B70,Doors!$C:$C,$C70)*SUMIFS(Velocity!$I:$I,Velocity!$A:$A,$A70,Velocity!$B:$B,$C70)/Assumptions!$B$4*Assumptions!$B$6</f>
        <v>0</v>
      </c>
      <c r="J70" s="7" t="n">
        <f aca="false">SUMIFS(Doors!V:V,Doors!$A:$A,$D70,Doors!$B:$B,$B70,Doors!$C:$C,$C70)*SUMIFS(Velocity!$I:$I,Velocity!$A:$A,$A70,Velocity!$B:$B,$C70)/Assumptions!$B$4*Assumptions!$B$6</f>
        <v>0</v>
      </c>
      <c r="K70" s="7" t="n">
        <f aca="false">SUMIFS(Doors!W:W,Doors!$A:$A,$D70,Doors!$B:$B,$B70,Doors!$C:$C,$C70)*SUMIFS(Velocity!$I:$I,Velocity!$A:$A,$A70,Velocity!$B:$B,$C70)/Assumptions!$B$4*Assumptions!$B$6</f>
        <v>0</v>
      </c>
      <c r="L70" s="7" t="n">
        <f aca="false">SUMIFS(Doors!X:X,Doors!$A:$A,$D70,Doors!$B:$B,$B70,Doors!$C:$C,$C70)*SUMIFS(Velocity!$I:$I,Velocity!$A:$A,$A70,Velocity!$B:$B,$C70)/Assumptions!$B$4*Assumptions!$B$6</f>
        <v>0</v>
      </c>
      <c r="M70" s="7" t="n">
        <f aca="false">SUMIFS(Doors!Y:Y,Doors!$A:$A,$D70,Doors!$B:$B,$B70,Doors!$C:$C,$C70)*SUMIFS(Velocity!$I:$I,Velocity!$A:$A,$A70,Velocity!$B:$B,$C70)/Assumptions!$B$4*Assumptions!$B$6</f>
        <v>0</v>
      </c>
      <c r="N70" s="7" t="n">
        <f aca="false">SUMIFS(Doors!Z:Z,Doors!$A:$A,$D70,Doors!$B:$B,$B70,Doors!$C:$C,$C70)*SUMIFS(Velocity!$I:$I,Velocity!$A:$A,$A70,Velocity!$B:$B,$C70)/Assumptions!$B$4*Assumptions!$B$6</f>
        <v>0</v>
      </c>
      <c r="O70" s="7" t="n">
        <f aca="false">SUMIFS(Doors!AA:AA,Doors!$A:$A,$D70,Doors!$B:$B,$B70,Doors!$C:$C,$C70)*SUMIFS(Velocity!$I:$I,Velocity!$A:$A,$A70,Velocity!$B:$B,$C70)/Assumptions!$B$4*Assumptions!$B$6</f>
        <v>0</v>
      </c>
      <c r="P70" s="7" t="n">
        <f aca="false">SUMIFS(Doors!AB:AB,Doors!$A:$A,$D70,Doors!$B:$B,$B70,Doors!$C:$C,$C70)*SUMIFS(Velocity!$I:$I,Velocity!$A:$A,$A70,Velocity!$B:$B,$C70)/Assumptions!$B$4*Assumptions!$B$6</f>
        <v>0</v>
      </c>
      <c r="Q70" s="7" t="n">
        <f aca="false">SUMIFS(Doors!AC:AC,Doors!$A:$A,$D70,Doors!$B:$B,$B70,Doors!$C:$C,$C70)*SUMIFS(Velocity!$I:$I,Velocity!$A:$A,$A70,Velocity!$B:$B,$C70)/Assumptions!$B$4*Assumptions!$B$6</f>
        <v>0</v>
      </c>
      <c r="R70" s="7" t="n">
        <f aca="false">SUMIFS(Doors!AD:AD,Doors!$A:$A,$D70,Doors!$B:$B,$B70,Doors!$C:$C,$C70)*SUMIFS(Velocity!$I:$I,Velocity!$A:$A,$A70,Velocity!$B:$B,$C70)/Assumptions!$B$4*Assumptions!$B$6</f>
        <v>0.304166666666667</v>
      </c>
      <c r="S70" s="7" t="n">
        <f aca="false">SUMIFS(Doors!AE:AE,Doors!$A:$A,$D70,Doors!$B:$B,$B70,Doors!$C:$C,$C70)*SUMIFS(Velocity!$I:$I,Velocity!$A:$A,$A70,Velocity!$B:$B,$C70)/Assumptions!$B$4*Assumptions!$B$6</f>
        <v>0.304166666666667</v>
      </c>
      <c r="T70" s="7" t="n">
        <f aca="false">SUMIFS(Doors!AF:AF,Doors!$A:$A,$D70,Doors!$B:$B,$B70,Doors!$C:$C,$C70)*SUMIFS(Velocity!$I:$I,Velocity!$A:$A,$A70,Velocity!$B:$B,$C70)/Assumptions!$B$4*Assumptions!$B$6</f>
        <v>0.304166666666667</v>
      </c>
      <c r="U70" s="7" t="n">
        <f aca="false">SUMIFS(Doors!AG:AG,Doors!$A:$A,$D70,Doors!$B:$B,$B70,Doors!$C:$C,$C70)*SUMIFS(Velocity!$I:$I,Velocity!$A:$A,$A70,Velocity!$B:$B,$C70)/Assumptions!$B$4*Assumptions!$B$6</f>
        <v>0.304166666666667</v>
      </c>
      <c r="V70" s="7" t="n">
        <f aca="false">SUMIFS(Doors!AH:AH,Doors!$A:$A,$D70,Doors!$B:$B,$B70,Doors!$C:$C,$C70)*SUMIFS(Velocity!$I:$I,Velocity!$A:$A,$A70,Velocity!$B:$B,$C70)/Assumptions!$B$4*Assumptions!$B$6</f>
        <v>0.304166666666667</v>
      </c>
      <c r="W70" s="7" t="n">
        <f aca="false">SUMIFS(Doors!AI:AI,Doors!$A:$A,$D70,Doors!$B:$B,$B70,Doors!$C:$C,$C70)*SUMIFS(Velocity!$I:$I,Velocity!$A:$A,$A70,Velocity!$B:$B,$C70)/Assumptions!$B$4*Assumptions!$B$6</f>
        <v>0.608333333333333</v>
      </c>
      <c r="X70" s="7" t="n">
        <f aca="false">SUMIFS(Doors!AJ:AJ,Doors!$A:$A,$D70,Doors!$B:$B,$B70,Doors!$C:$C,$C70)*SUMIFS(Velocity!$I:$I,Velocity!$A:$A,$A70,Velocity!$B:$B,$C70)/Assumptions!$B$4*Assumptions!$B$6</f>
        <v>0.608333333333333</v>
      </c>
      <c r="Y70" s="7" t="n">
        <f aca="false">SUMIFS(Doors!AK:AK,Doors!$A:$A,$D70,Doors!$B:$B,$B70,Doors!$C:$C,$C70)*SUMIFS(Velocity!$I:$I,Velocity!$A:$A,$A70,Velocity!$B:$B,$C70)/Assumptions!$B$4*Assumptions!$B$6</f>
        <v>0.608333333333333</v>
      </c>
      <c r="Z70" s="7" t="n">
        <f aca="false">SUMIFS(Doors!AL:AL,Doors!$A:$A,$D70,Doors!$B:$B,$B70,Doors!$C:$C,$C70)*SUMIFS(Velocity!$I:$I,Velocity!$A:$A,$A70,Velocity!$B:$B,$C70)/Assumptions!$B$4*Assumptions!$B$6</f>
        <v>0.608333333333333</v>
      </c>
      <c r="AA70" s="7" t="n">
        <f aca="false">SUMIFS(Doors!AM:AM,Doors!$A:$A,$D70,Doors!$B:$B,$B70,Doors!$C:$C,$C70)*SUMIFS(Velocity!$I:$I,Velocity!$A:$A,$A70,Velocity!$B:$B,$C70)/Assumptions!$B$4*Assumptions!$B$6</f>
        <v>1.21666666666667</v>
      </c>
      <c r="AB70" s="7" t="n">
        <f aca="false">SUMIFS(Doors!AN:AN,Doors!$A:$A,$D70,Doors!$B:$B,$B70,Doors!$C:$C,$C70)*SUMIFS(Velocity!$I:$I,Velocity!$A:$A,$A70,Velocity!$B:$B,$C70)/Assumptions!$B$4*Assumptions!$B$6</f>
        <v>1.21666666666667</v>
      </c>
      <c r="AC70" s="7" t="n">
        <f aca="false">SUMIFS(Doors!AO:AO,Doors!$A:$A,$D70,Doors!$B:$B,$B70,Doors!$C:$C,$C70)*SUMIFS(Velocity!$I:$I,Velocity!$A:$A,$A70,Velocity!$B:$B,$C70)/Assumptions!$B$4*Assumptions!$B$6</f>
        <v>1.21666666666667</v>
      </c>
      <c r="AD70" s="7" t="n">
        <f aca="false">SUMIFS(Doors!AP:AP,Doors!$A:$A,$D70,Doors!$B:$B,$B70,Doors!$C:$C,$C70)*SUMIFS(Velocity!$I:$I,Velocity!$A:$A,$A70,Velocity!$B:$B,$C70)/Assumptions!$B$4*Assumptions!$B$6</f>
        <v>1.21666666666667</v>
      </c>
      <c r="AE70" s="7" t="n">
        <f aca="false">SUMIFS(Doors!AQ:AQ,Doors!$A:$A,$D70,Doors!$B:$B,$B70,Doors!$C:$C,$C70)*SUMIFS(Velocity!$I:$I,Velocity!$A:$A,$A70,Velocity!$B:$B,$C70)/Assumptions!$B$4*Assumptions!$B$6</f>
        <v>1.52083333333333</v>
      </c>
      <c r="AF70" s="7" t="n">
        <f aca="false">SUMIFS(Doors!AR:AR,Doors!$A:$A,$D70,Doors!$B:$B,$B70,Doors!$C:$C,$C70)*SUMIFS(Velocity!$I:$I,Velocity!$A:$A,$A70,Velocity!$B:$B,$C70)/Assumptions!$B$4*Assumptions!$B$6</f>
        <v>1.52083333333333</v>
      </c>
      <c r="AG70" s="7" t="n">
        <f aca="false">SUMIFS(Doors!AS:AS,Doors!$A:$A,$D70,Doors!$B:$B,$B70,Doors!$C:$C,$C70)*SUMIFS(Velocity!$I:$I,Velocity!$A:$A,$A70,Velocity!$B:$B,$C70)/Assumptions!$B$4*Assumptions!$B$6</f>
        <v>1.52083333333333</v>
      </c>
      <c r="AH70" s="7" t="n">
        <f aca="false">SUMIFS(Doors!AT:AT,Doors!$A:$A,$D70,Doors!$B:$B,$B70,Doors!$C:$C,$C70)*SUMIFS(Velocity!$I:$I,Velocity!$A:$A,$A70,Velocity!$B:$B,$C70)/Assumptions!$B$4*Assumptions!$B$6</f>
        <v>1.52083333333333</v>
      </c>
      <c r="AI70" s="7" t="n">
        <f aca="false">SUMIFS(Doors!AU:AU,Doors!$A:$A,$D70,Doors!$B:$B,$B70,Doors!$C:$C,$C70)*SUMIFS(Velocity!$I:$I,Velocity!$A:$A,$A70,Velocity!$B:$B,$C70)/Assumptions!$B$4*Assumptions!$B$6</f>
        <v>1.52083333333333</v>
      </c>
      <c r="AJ70" s="7" t="n">
        <f aca="false">SUMIFS(Doors!AV:AV,Doors!$A:$A,$D70,Doors!$B:$B,$B70,Doors!$C:$C,$C70)*SUMIFS(Velocity!$I:$I,Velocity!$A:$A,$A70,Velocity!$B:$B,$C70)/Assumptions!$B$4*Assumptions!$B$6</f>
        <v>1.825</v>
      </c>
      <c r="AK70" s="7" t="n">
        <f aca="false">SUMIFS(Doors!AW:AW,Doors!$A:$A,$D70,Doors!$B:$B,$B70,Doors!$C:$C,$C70)*SUMIFS(Velocity!$I:$I,Velocity!$A:$A,$A70,Velocity!$B:$B,$C70)/Assumptions!$B$4*Assumptions!$B$6</f>
        <v>1.825</v>
      </c>
      <c r="AL70" s="7" t="n">
        <f aca="false">SUMIFS(Doors!AX:AX,Doors!$A:$A,$D70,Doors!$B:$B,$B70,Doors!$C:$C,$C70)*SUMIFS(Velocity!$I:$I,Velocity!$A:$A,$A70,Velocity!$B:$B,$C70)/Assumptions!$B$4*Assumptions!$B$6</f>
        <v>1.825</v>
      </c>
      <c r="AM70" s="7" t="n">
        <f aca="false">SUMIFS(Doors!AY:AY,Doors!$A:$A,$D70,Doors!$B:$B,$B70,Doors!$C:$C,$C70)*SUMIFS(Velocity!$I:$I,Velocity!$A:$A,$A70,Velocity!$B:$B,$C70)/Assumptions!$B$4*Assumptions!$B$6</f>
        <v>1.825</v>
      </c>
      <c r="AN70" s="7" t="n">
        <f aca="false">SUMIFS(Doors!AZ:AZ,Doors!$A:$A,$D70,Doors!$B:$B,$B70,Doors!$C:$C,$C70)*SUMIFS(Velocity!$I:$I,Velocity!$A:$A,$A70,Velocity!$B:$B,$C70)/Assumptions!$B$4*Assumptions!$B$6</f>
        <v>2.12916666666667</v>
      </c>
      <c r="AO70" s="7" t="n">
        <f aca="false">SUMIFS(Doors!BA:BA,Doors!$A:$A,$D70,Doors!$B:$B,$B70,Doors!$C:$C,$C70)*SUMIFS(Velocity!$I:$I,Velocity!$A:$A,$A70,Velocity!$B:$B,$C70)/Assumptions!$B$4*Assumptions!$B$6</f>
        <v>2.12916666666667</v>
      </c>
      <c r="AP70" s="7" t="n">
        <f aca="false">SUMIFS(Doors!BB:BB,Doors!$A:$A,$D70,Doors!$B:$B,$B70,Doors!$C:$C,$C70)*SUMIFS(Velocity!$I:$I,Velocity!$A:$A,$A70,Velocity!$B:$B,$C70)/Assumptions!$B$4*Assumptions!$B$6</f>
        <v>2.12916666666667</v>
      </c>
      <c r="AQ70" s="7" t="n">
        <f aca="false">SUMIFS(Doors!BC:BC,Doors!$A:$A,$D70,Doors!$B:$B,$B70,Doors!$C:$C,$C70)*SUMIFS(Velocity!$I:$I,Velocity!$A:$A,$A70,Velocity!$B:$B,$C70)/Assumptions!$B$4*Assumptions!$B$6</f>
        <v>2.12916666666667</v>
      </c>
      <c r="AR70" s="7" t="n">
        <f aca="false">SUMIFS(Doors!BD:BD,Doors!$A:$A,$D70,Doors!$B:$B,$B70,Doors!$C:$C,$C70)*SUMIFS(Velocity!$I:$I,Velocity!$A:$A,$A70,Velocity!$B:$B,$C70)/Assumptions!$B$4*Assumptions!$B$6</f>
        <v>2.43333333333333</v>
      </c>
      <c r="AS70" s="7" t="n">
        <f aca="false">SUMIFS(Doors!BE:BE,Doors!$A:$A,$D70,Doors!$B:$B,$B70,Doors!$C:$C,$C70)*SUMIFS(Velocity!$I:$I,Velocity!$A:$A,$A70,Velocity!$B:$B,$C70)/Assumptions!$B$4*Assumptions!$B$6</f>
        <v>2.43333333333333</v>
      </c>
      <c r="AT70" s="7" t="n">
        <f aca="false">SUMIFS(Doors!BF:BF,Doors!$A:$A,$D70,Doors!$B:$B,$B70,Doors!$C:$C,$C70)*SUMIFS(Velocity!$I:$I,Velocity!$A:$A,$A70,Velocity!$B:$B,$C70)/Assumptions!$B$4*Assumptions!$B$6</f>
        <v>2.43333333333333</v>
      </c>
      <c r="AU70" s="7" t="n">
        <f aca="false">SUMIFS(Doors!BG:BG,Doors!$A:$A,$D70,Doors!$B:$B,$B70,Doors!$C:$C,$C70)*SUMIFS(Velocity!$I:$I,Velocity!$A:$A,$A70,Velocity!$B:$B,$C70)/Assumptions!$B$4*Assumptions!$B$6</f>
        <v>2.43333333333333</v>
      </c>
      <c r="AV70" s="7" t="n">
        <f aca="false">SUMIFS(Doors!BH:BH,Doors!$A:$A,$D70,Doors!$B:$B,$B70,Doors!$C:$C,$C70)*SUMIFS(Velocity!$I:$I,Velocity!$A:$A,$A70,Velocity!$B:$B,$C70)/Assumptions!$B$4*Assumptions!$B$6</f>
        <v>2.43333333333333</v>
      </c>
      <c r="AW70" s="7" t="n">
        <f aca="false">SUMIFS(Doors!BI:BI,Doors!$A:$A,$D70,Doors!$B:$B,$B70,Doors!$C:$C,$C70)*SUMIFS(Velocity!$I:$I,Velocity!$A:$A,$A70,Velocity!$B:$B,$C70)/Assumptions!$B$4*Assumptions!$B$6</f>
        <v>2.7375</v>
      </c>
      <c r="AX70" s="7" t="n">
        <f aca="false">SUMIFS(Doors!BJ:BJ,Doors!$A:$A,$D70,Doors!$B:$B,$B70,Doors!$C:$C,$C70)*SUMIFS(Velocity!$I:$I,Velocity!$A:$A,$A70,Velocity!$B:$B,$C70)/Assumptions!$B$4*Assumptions!$B$6</f>
        <v>2.7375</v>
      </c>
      <c r="AY70" s="7" t="n">
        <f aca="false">SUMIFS(Doors!BK:BK,Doors!$A:$A,$D70,Doors!$B:$B,$B70,Doors!$C:$C,$C70)*SUMIFS(Velocity!$I:$I,Velocity!$A:$A,$A70,Velocity!$B:$B,$C70)/Assumptions!$B$4*Assumptions!$B$6</f>
        <v>2.7375</v>
      </c>
      <c r="AZ70" s="7" t="n">
        <f aca="false">SUMIFS(Doors!BL:BL,Doors!$A:$A,$D70,Doors!$B:$B,$B70,Doors!$C:$C,$C70)*SUMIFS(Velocity!$I:$I,Velocity!$A:$A,$A70,Velocity!$B:$B,$C70)/Assumptions!$B$4*Assumptions!$B$6</f>
        <v>2.7375</v>
      </c>
      <c r="BA70" s="7" t="n">
        <f aca="false">SUMIFS(Doors!BM:BM,Doors!$A:$A,$D70,Doors!$B:$B,$B70,Doors!$C:$C,$C70)*SUMIFS(Velocity!$I:$I,Velocity!$A:$A,$A70,Velocity!$B:$B,$C70)/Assumptions!$B$4*Assumptions!$B$6</f>
        <v>3.04166666666667</v>
      </c>
      <c r="BB70" s="7" t="n">
        <f aca="false">SUMIFS(Doors!BN:BN,Doors!$A:$A,$D70,Doors!$B:$B,$B70,Doors!$C:$C,$C70)*SUMIFS(Velocity!$I:$I,Velocity!$A:$A,$A70,Velocity!$B:$B,$C70)/Assumptions!$B$4*Assumptions!$B$6</f>
        <v>3.04166666666667</v>
      </c>
      <c r="BC70" s="7" t="n">
        <f aca="false">SUMIFS(Doors!BO:BO,Doors!$A:$A,$D70,Doors!$B:$B,$B70,Doors!$C:$C,$C70)*SUMIFS(Velocity!$I:$I,Velocity!$A:$A,$A70,Velocity!$B:$B,$C70)/Assumptions!$B$4*Assumptions!$B$6</f>
        <v>3.04166666666667</v>
      </c>
      <c r="BD70" s="7" t="n">
        <f aca="false">SUMIFS(Doors!BP:BP,Doors!$A:$A,$D70,Doors!$B:$B,$B70,Doors!$C:$C,$C70)*SUMIFS(Velocity!$I:$I,Velocity!$A:$A,$A70,Velocity!$B:$B,$C70)/Assumptions!$B$4*Assumptions!$B$6</f>
        <v>3.04166666666667</v>
      </c>
    </row>
    <row r="71" customFormat="false" ht="15" hidden="false" customHeight="false" outlineLevel="0" collapsed="false">
      <c r="A71" s="0" t="s">
        <v>108</v>
      </c>
      <c r="B71" s="0" t="s">
        <v>133</v>
      </c>
      <c r="C71" s="0" t="s">
        <v>117</v>
      </c>
      <c r="D71" s="0" t="s">
        <v>235</v>
      </c>
      <c r="E71" s="7" t="n">
        <f aca="false">SUMIFS(Doors!Q:Q,Doors!$A:$A,$D71,Doors!$B:$B,$B71,Doors!$C:$C,$C71)*SUMIFS(Velocity!$I:$I,Velocity!$A:$A,$A71,Velocity!$B:$B,$C71)/Assumptions!$B$4*Assumptions!$B$6</f>
        <v>0</v>
      </c>
      <c r="F71" s="7" t="n">
        <f aca="false">SUMIFS(Doors!R:R,Doors!$A:$A,$D71,Doors!$B:$B,$B71,Doors!$C:$C,$C71)*SUMIFS(Velocity!$I:$I,Velocity!$A:$A,$A71,Velocity!$B:$B,$C71)/Assumptions!$B$4*Assumptions!$B$6</f>
        <v>0</v>
      </c>
      <c r="G71" s="7" t="n">
        <f aca="false">SUMIFS(Doors!S:S,Doors!$A:$A,$D71,Doors!$B:$B,$B71,Doors!$C:$C,$C71)*SUMIFS(Velocity!$I:$I,Velocity!$A:$A,$A71,Velocity!$B:$B,$C71)/Assumptions!$B$4*Assumptions!$B$6</f>
        <v>0</v>
      </c>
      <c r="H71" s="7" t="n">
        <f aca="false">SUMIFS(Doors!T:T,Doors!$A:$A,$D71,Doors!$B:$B,$B71,Doors!$C:$C,$C71)*SUMIFS(Velocity!$I:$I,Velocity!$A:$A,$A71,Velocity!$B:$B,$C71)/Assumptions!$B$4*Assumptions!$B$6</f>
        <v>0</v>
      </c>
      <c r="I71" s="7" t="n">
        <f aca="false">SUMIFS(Doors!U:U,Doors!$A:$A,$D71,Doors!$B:$B,$B71,Doors!$C:$C,$C71)*SUMIFS(Velocity!$I:$I,Velocity!$A:$A,$A71,Velocity!$B:$B,$C71)/Assumptions!$B$4*Assumptions!$B$6</f>
        <v>0</v>
      </c>
      <c r="J71" s="7" t="n">
        <f aca="false">SUMIFS(Doors!V:V,Doors!$A:$A,$D71,Doors!$B:$B,$B71,Doors!$C:$C,$C71)*SUMIFS(Velocity!$I:$I,Velocity!$A:$A,$A71,Velocity!$B:$B,$C71)/Assumptions!$B$4*Assumptions!$B$6</f>
        <v>0</v>
      </c>
      <c r="K71" s="7" t="n">
        <f aca="false">SUMIFS(Doors!W:W,Doors!$A:$A,$D71,Doors!$B:$B,$B71,Doors!$C:$C,$C71)*SUMIFS(Velocity!$I:$I,Velocity!$A:$A,$A71,Velocity!$B:$B,$C71)/Assumptions!$B$4*Assumptions!$B$6</f>
        <v>0</v>
      </c>
      <c r="L71" s="7" t="n">
        <f aca="false">SUMIFS(Doors!X:X,Doors!$A:$A,$D71,Doors!$B:$B,$B71,Doors!$C:$C,$C71)*SUMIFS(Velocity!$I:$I,Velocity!$A:$A,$A71,Velocity!$B:$B,$C71)/Assumptions!$B$4*Assumptions!$B$6</f>
        <v>0</v>
      </c>
      <c r="M71" s="7" t="n">
        <f aca="false">SUMIFS(Doors!Y:Y,Doors!$A:$A,$D71,Doors!$B:$B,$B71,Doors!$C:$C,$C71)*SUMIFS(Velocity!$I:$I,Velocity!$A:$A,$A71,Velocity!$B:$B,$C71)/Assumptions!$B$4*Assumptions!$B$6</f>
        <v>0</v>
      </c>
      <c r="N71" s="7" t="n">
        <f aca="false">SUMIFS(Doors!Z:Z,Doors!$A:$A,$D71,Doors!$B:$B,$B71,Doors!$C:$C,$C71)*SUMIFS(Velocity!$I:$I,Velocity!$A:$A,$A71,Velocity!$B:$B,$C71)/Assumptions!$B$4*Assumptions!$B$6</f>
        <v>0</v>
      </c>
      <c r="O71" s="7" t="n">
        <f aca="false">SUMIFS(Doors!AA:AA,Doors!$A:$A,$D71,Doors!$B:$B,$B71,Doors!$C:$C,$C71)*SUMIFS(Velocity!$I:$I,Velocity!$A:$A,$A71,Velocity!$B:$B,$C71)/Assumptions!$B$4*Assumptions!$B$6</f>
        <v>0</v>
      </c>
      <c r="P71" s="7" t="n">
        <f aca="false">SUMIFS(Doors!AB:AB,Doors!$A:$A,$D71,Doors!$B:$B,$B71,Doors!$C:$C,$C71)*SUMIFS(Velocity!$I:$I,Velocity!$A:$A,$A71,Velocity!$B:$B,$C71)/Assumptions!$B$4*Assumptions!$B$6</f>
        <v>0</v>
      </c>
      <c r="Q71" s="7" t="n">
        <f aca="false">SUMIFS(Doors!AC:AC,Doors!$A:$A,$D71,Doors!$B:$B,$B71,Doors!$C:$C,$C71)*SUMIFS(Velocity!$I:$I,Velocity!$A:$A,$A71,Velocity!$B:$B,$C71)/Assumptions!$B$4*Assumptions!$B$6</f>
        <v>0</v>
      </c>
      <c r="R71" s="7" t="n">
        <f aca="false">SUMIFS(Doors!AD:AD,Doors!$A:$A,$D71,Doors!$B:$B,$B71,Doors!$C:$C,$C71)*SUMIFS(Velocity!$I:$I,Velocity!$A:$A,$A71,Velocity!$B:$B,$C71)/Assumptions!$B$4*Assumptions!$B$6</f>
        <v>0</v>
      </c>
      <c r="S71" s="7" t="n">
        <f aca="false">SUMIFS(Doors!AE:AE,Doors!$A:$A,$D71,Doors!$B:$B,$B71,Doors!$C:$C,$C71)*SUMIFS(Velocity!$I:$I,Velocity!$A:$A,$A71,Velocity!$B:$B,$C71)/Assumptions!$B$4*Assumptions!$B$6</f>
        <v>0</v>
      </c>
      <c r="T71" s="7" t="n">
        <f aca="false">SUMIFS(Doors!AF:AF,Doors!$A:$A,$D71,Doors!$B:$B,$B71,Doors!$C:$C,$C71)*SUMIFS(Velocity!$I:$I,Velocity!$A:$A,$A71,Velocity!$B:$B,$C71)/Assumptions!$B$4*Assumptions!$B$6</f>
        <v>0</v>
      </c>
      <c r="U71" s="7" t="n">
        <f aca="false">SUMIFS(Doors!AG:AG,Doors!$A:$A,$D71,Doors!$B:$B,$B71,Doors!$C:$C,$C71)*SUMIFS(Velocity!$I:$I,Velocity!$A:$A,$A71,Velocity!$B:$B,$C71)/Assumptions!$B$4*Assumptions!$B$6</f>
        <v>0</v>
      </c>
      <c r="V71" s="7" t="n">
        <f aca="false">SUMIFS(Doors!AH:AH,Doors!$A:$A,$D71,Doors!$B:$B,$B71,Doors!$C:$C,$C71)*SUMIFS(Velocity!$I:$I,Velocity!$A:$A,$A71,Velocity!$B:$B,$C71)/Assumptions!$B$4*Assumptions!$B$6</f>
        <v>0</v>
      </c>
      <c r="W71" s="7" t="n">
        <f aca="false">SUMIFS(Doors!AI:AI,Doors!$A:$A,$D71,Doors!$B:$B,$B71,Doors!$C:$C,$C71)*SUMIFS(Velocity!$I:$I,Velocity!$A:$A,$A71,Velocity!$B:$B,$C71)/Assumptions!$B$4*Assumptions!$B$6</f>
        <v>0</v>
      </c>
      <c r="X71" s="7" t="n">
        <f aca="false">SUMIFS(Doors!AJ:AJ,Doors!$A:$A,$D71,Doors!$B:$B,$B71,Doors!$C:$C,$C71)*SUMIFS(Velocity!$I:$I,Velocity!$A:$A,$A71,Velocity!$B:$B,$C71)/Assumptions!$B$4*Assumptions!$B$6</f>
        <v>0</v>
      </c>
      <c r="Y71" s="7" t="n">
        <f aca="false">SUMIFS(Doors!AK:AK,Doors!$A:$A,$D71,Doors!$B:$B,$B71,Doors!$C:$C,$C71)*SUMIFS(Velocity!$I:$I,Velocity!$A:$A,$A71,Velocity!$B:$B,$C71)/Assumptions!$B$4*Assumptions!$B$6</f>
        <v>0</v>
      </c>
      <c r="Z71" s="7" t="n">
        <f aca="false">SUMIFS(Doors!AL:AL,Doors!$A:$A,$D71,Doors!$B:$B,$B71,Doors!$C:$C,$C71)*SUMIFS(Velocity!$I:$I,Velocity!$A:$A,$A71,Velocity!$B:$B,$C71)/Assumptions!$B$4*Assumptions!$B$6</f>
        <v>0</v>
      </c>
      <c r="AA71" s="7" t="n">
        <f aca="false">SUMIFS(Doors!AM:AM,Doors!$A:$A,$D71,Doors!$B:$B,$B71,Doors!$C:$C,$C71)*SUMIFS(Velocity!$I:$I,Velocity!$A:$A,$A71,Velocity!$B:$B,$C71)/Assumptions!$B$4*Assumptions!$B$6</f>
        <v>1.25833333333333</v>
      </c>
      <c r="AB71" s="7" t="n">
        <f aca="false">SUMIFS(Doors!AN:AN,Doors!$A:$A,$D71,Doors!$B:$B,$B71,Doors!$C:$C,$C71)*SUMIFS(Velocity!$I:$I,Velocity!$A:$A,$A71,Velocity!$B:$B,$C71)/Assumptions!$B$4*Assumptions!$B$6</f>
        <v>1.25833333333333</v>
      </c>
      <c r="AC71" s="7" t="n">
        <f aca="false">SUMIFS(Doors!AO:AO,Doors!$A:$A,$D71,Doors!$B:$B,$B71,Doors!$C:$C,$C71)*SUMIFS(Velocity!$I:$I,Velocity!$A:$A,$A71,Velocity!$B:$B,$C71)/Assumptions!$B$4*Assumptions!$B$6</f>
        <v>1.25833333333333</v>
      </c>
      <c r="AD71" s="7" t="n">
        <f aca="false">SUMIFS(Doors!AP:AP,Doors!$A:$A,$D71,Doors!$B:$B,$B71,Doors!$C:$C,$C71)*SUMIFS(Velocity!$I:$I,Velocity!$A:$A,$A71,Velocity!$B:$B,$C71)/Assumptions!$B$4*Assumptions!$B$6</f>
        <v>1.25833333333333</v>
      </c>
      <c r="AE71" s="7" t="n">
        <f aca="false">SUMIFS(Doors!AQ:AQ,Doors!$A:$A,$D71,Doors!$B:$B,$B71,Doors!$C:$C,$C71)*SUMIFS(Velocity!$I:$I,Velocity!$A:$A,$A71,Velocity!$B:$B,$C71)/Assumptions!$B$4*Assumptions!$B$6</f>
        <v>1.8875</v>
      </c>
      <c r="AF71" s="7" t="n">
        <f aca="false">SUMIFS(Doors!AR:AR,Doors!$A:$A,$D71,Doors!$B:$B,$B71,Doors!$C:$C,$C71)*SUMIFS(Velocity!$I:$I,Velocity!$A:$A,$A71,Velocity!$B:$B,$C71)/Assumptions!$B$4*Assumptions!$B$6</f>
        <v>1.8875</v>
      </c>
      <c r="AG71" s="7" t="n">
        <f aca="false">SUMIFS(Doors!AS:AS,Doors!$A:$A,$D71,Doors!$B:$B,$B71,Doors!$C:$C,$C71)*SUMIFS(Velocity!$I:$I,Velocity!$A:$A,$A71,Velocity!$B:$B,$C71)/Assumptions!$B$4*Assumptions!$B$6</f>
        <v>1.8875</v>
      </c>
      <c r="AH71" s="7" t="n">
        <f aca="false">SUMIFS(Doors!AT:AT,Doors!$A:$A,$D71,Doors!$B:$B,$B71,Doors!$C:$C,$C71)*SUMIFS(Velocity!$I:$I,Velocity!$A:$A,$A71,Velocity!$B:$B,$C71)/Assumptions!$B$4*Assumptions!$B$6</f>
        <v>1.8875</v>
      </c>
      <c r="AI71" s="7" t="n">
        <f aca="false">SUMIFS(Doors!AU:AU,Doors!$A:$A,$D71,Doors!$B:$B,$B71,Doors!$C:$C,$C71)*SUMIFS(Velocity!$I:$I,Velocity!$A:$A,$A71,Velocity!$B:$B,$C71)/Assumptions!$B$4*Assumptions!$B$6</f>
        <v>1.8875</v>
      </c>
      <c r="AJ71" s="7" t="n">
        <f aca="false">SUMIFS(Doors!AV:AV,Doors!$A:$A,$D71,Doors!$B:$B,$B71,Doors!$C:$C,$C71)*SUMIFS(Velocity!$I:$I,Velocity!$A:$A,$A71,Velocity!$B:$B,$C71)/Assumptions!$B$4*Assumptions!$B$6</f>
        <v>3.14583333333333</v>
      </c>
      <c r="AK71" s="7" t="n">
        <f aca="false">SUMIFS(Doors!AW:AW,Doors!$A:$A,$D71,Doors!$B:$B,$B71,Doors!$C:$C,$C71)*SUMIFS(Velocity!$I:$I,Velocity!$A:$A,$A71,Velocity!$B:$B,$C71)/Assumptions!$B$4*Assumptions!$B$6</f>
        <v>3.14583333333333</v>
      </c>
      <c r="AL71" s="7" t="n">
        <f aca="false">SUMIFS(Doors!AX:AX,Doors!$A:$A,$D71,Doors!$B:$B,$B71,Doors!$C:$C,$C71)*SUMIFS(Velocity!$I:$I,Velocity!$A:$A,$A71,Velocity!$B:$B,$C71)/Assumptions!$B$4*Assumptions!$B$6</f>
        <v>3.14583333333333</v>
      </c>
      <c r="AM71" s="7" t="n">
        <f aca="false">SUMIFS(Doors!AY:AY,Doors!$A:$A,$D71,Doors!$B:$B,$B71,Doors!$C:$C,$C71)*SUMIFS(Velocity!$I:$I,Velocity!$A:$A,$A71,Velocity!$B:$B,$C71)/Assumptions!$B$4*Assumptions!$B$6</f>
        <v>3.14583333333333</v>
      </c>
      <c r="AN71" s="7" t="n">
        <f aca="false">SUMIFS(Doors!AZ:AZ,Doors!$A:$A,$D71,Doors!$B:$B,$B71,Doors!$C:$C,$C71)*SUMIFS(Velocity!$I:$I,Velocity!$A:$A,$A71,Velocity!$B:$B,$C71)/Assumptions!$B$4*Assumptions!$B$6</f>
        <v>4.40416666666667</v>
      </c>
      <c r="AO71" s="7" t="n">
        <f aca="false">SUMIFS(Doors!BA:BA,Doors!$A:$A,$D71,Doors!$B:$B,$B71,Doors!$C:$C,$C71)*SUMIFS(Velocity!$I:$I,Velocity!$A:$A,$A71,Velocity!$B:$B,$C71)/Assumptions!$B$4*Assumptions!$B$6</f>
        <v>4.40416666666667</v>
      </c>
      <c r="AP71" s="7" t="n">
        <f aca="false">SUMIFS(Doors!BB:BB,Doors!$A:$A,$D71,Doors!$B:$B,$B71,Doors!$C:$C,$C71)*SUMIFS(Velocity!$I:$I,Velocity!$A:$A,$A71,Velocity!$B:$B,$C71)/Assumptions!$B$4*Assumptions!$B$6</f>
        <v>4.40416666666667</v>
      </c>
      <c r="AQ71" s="7" t="n">
        <f aca="false">SUMIFS(Doors!BC:BC,Doors!$A:$A,$D71,Doors!$B:$B,$B71,Doors!$C:$C,$C71)*SUMIFS(Velocity!$I:$I,Velocity!$A:$A,$A71,Velocity!$B:$B,$C71)/Assumptions!$B$4*Assumptions!$B$6</f>
        <v>4.40416666666667</v>
      </c>
      <c r="AR71" s="7" t="n">
        <f aca="false">SUMIFS(Doors!BD:BD,Doors!$A:$A,$D71,Doors!$B:$B,$B71,Doors!$C:$C,$C71)*SUMIFS(Velocity!$I:$I,Velocity!$A:$A,$A71,Velocity!$B:$B,$C71)/Assumptions!$B$4*Assumptions!$B$6</f>
        <v>5.03333333333333</v>
      </c>
      <c r="AS71" s="7" t="n">
        <f aca="false">SUMIFS(Doors!BE:BE,Doors!$A:$A,$D71,Doors!$B:$B,$B71,Doors!$C:$C,$C71)*SUMIFS(Velocity!$I:$I,Velocity!$A:$A,$A71,Velocity!$B:$B,$C71)/Assumptions!$B$4*Assumptions!$B$6</f>
        <v>5.03333333333333</v>
      </c>
      <c r="AT71" s="7" t="n">
        <f aca="false">SUMIFS(Doors!BF:BF,Doors!$A:$A,$D71,Doors!$B:$B,$B71,Doors!$C:$C,$C71)*SUMIFS(Velocity!$I:$I,Velocity!$A:$A,$A71,Velocity!$B:$B,$C71)/Assumptions!$B$4*Assumptions!$B$6</f>
        <v>5.03333333333333</v>
      </c>
      <c r="AU71" s="7" t="n">
        <f aca="false">SUMIFS(Doors!BG:BG,Doors!$A:$A,$D71,Doors!$B:$B,$B71,Doors!$C:$C,$C71)*SUMIFS(Velocity!$I:$I,Velocity!$A:$A,$A71,Velocity!$B:$B,$C71)/Assumptions!$B$4*Assumptions!$B$6</f>
        <v>5.03333333333333</v>
      </c>
      <c r="AV71" s="7" t="n">
        <f aca="false">SUMIFS(Doors!BH:BH,Doors!$A:$A,$D71,Doors!$B:$B,$B71,Doors!$C:$C,$C71)*SUMIFS(Velocity!$I:$I,Velocity!$A:$A,$A71,Velocity!$B:$B,$C71)/Assumptions!$B$4*Assumptions!$B$6</f>
        <v>5.03333333333333</v>
      </c>
      <c r="AW71" s="7" t="n">
        <f aca="false">SUMIFS(Doors!BI:BI,Doors!$A:$A,$D71,Doors!$B:$B,$B71,Doors!$C:$C,$C71)*SUMIFS(Velocity!$I:$I,Velocity!$A:$A,$A71,Velocity!$B:$B,$C71)/Assumptions!$B$4*Assumptions!$B$6</f>
        <v>5.6625</v>
      </c>
      <c r="AX71" s="7" t="n">
        <f aca="false">SUMIFS(Doors!BJ:BJ,Doors!$A:$A,$D71,Doors!$B:$B,$B71,Doors!$C:$C,$C71)*SUMIFS(Velocity!$I:$I,Velocity!$A:$A,$A71,Velocity!$B:$B,$C71)/Assumptions!$B$4*Assumptions!$B$6</f>
        <v>5.6625</v>
      </c>
      <c r="AY71" s="7" t="n">
        <f aca="false">SUMIFS(Doors!BK:BK,Doors!$A:$A,$D71,Doors!$B:$B,$B71,Doors!$C:$C,$C71)*SUMIFS(Velocity!$I:$I,Velocity!$A:$A,$A71,Velocity!$B:$B,$C71)/Assumptions!$B$4*Assumptions!$B$6</f>
        <v>5.6625</v>
      </c>
      <c r="AZ71" s="7" t="n">
        <f aca="false">SUMIFS(Doors!BL:BL,Doors!$A:$A,$D71,Doors!$B:$B,$B71,Doors!$C:$C,$C71)*SUMIFS(Velocity!$I:$I,Velocity!$A:$A,$A71,Velocity!$B:$B,$C71)/Assumptions!$B$4*Assumptions!$B$6</f>
        <v>5.6625</v>
      </c>
      <c r="BA71" s="7" t="n">
        <f aca="false">SUMIFS(Doors!BM:BM,Doors!$A:$A,$D71,Doors!$B:$B,$B71,Doors!$C:$C,$C71)*SUMIFS(Velocity!$I:$I,Velocity!$A:$A,$A71,Velocity!$B:$B,$C71)/Assumptions!$B$4*Assumptions!$B$6</f>
        <v>6.29166666666667</v>
      </c>
      <c r="BB71" s="7" t="n">
        <f aca="false">SUMIFS(Doors!BN:BN,Doors!$A:$A,$D71,Doors!$B:$B,$B71,Doors!$C:$C,$C71)*SUMIFS(Velocity!$I:$I,Velocity!$A:$A,$A71,Velocity!$B:$B,$C71)/Assumptions!$B$4*Assumptions!$B$6</f>
        <v>6.29166666666667</v>
      </c>
      <c r="BC71" s="7" t="n">
        <f aca="false">SUMIFS(Doors!BO:BO,Doors!$A:$A,$D71,Doors!$B:$B,$B71,Doors!$C:$C,$C71)*SUMIFS(Velocity!$I:$I,Velocity!$A:$A,$A71,Velocity!$B:$B,$C71)/Assumptions!$B$4*Assumptions!$B$6</f>
        <v>6.29166666666667</v>
      </c>
      <c r="BD71" s="7" t="n">
        <f aca="false">SUMIFS(Doors!BP:BP,Doors!$A:$A,$D71,Doors!$B:$B,$B71,Doors!$C:$C,$C71)*SUMIFS(Velocity!$I:$I,Velocity!$A:$A,$A71,Velocity!$B:$B,$C71)/Assumptions!$B$4*Assumptions!$B$6</f>
        <v>6.29166666666667</v>
      </c>
    </row>
    <row r="72" customFormat="false" ht="15" hidden="false" customHeight="false" outlineLevel="0" collapsed="false">
      <c r="A72" s="0" t="s">
        <v>108</v>
      </c>
      <c r="B72" s="0" t="s">
        <v>133</v>
      </c>
      <c r="C72" s="0" t="s">
        <v>118</v>
      </c>
      <c r="D72" s="0" t="s">
        <v>235</v>
      </c>
      <c r="E72" s="7" t="n">
        <f aca="false">SUMIFS(Doors!Q:Q,Doors!$A:$A,$D72,Doors!$B:$B,$B72,Doors!$C:$C,$C72)*SUMIFS(Velocity!$I:$I,Velocity!$A:$A,$A72,Velocity!$B:$B,$C72)/Assumptions!$B$4*Assumptions!$B$6</f>
        <v>0</v>
      </c>
      <c r="F72" s="7" t="n">
        <f aca="false">SUMIFS(Doors!R:R,Doors!$A:$A,$D72,Doors!$B:$B,$B72,Doors!$C:$C,$C72)*SUMIFS(Velocity!$I:$I,Velocity!$A:$A,$A72,Velocity!$B:$B,$C72)/Assumptions!$B$4*Assumptions!$B$6</f>
        <v>0</v>
      </c>
      <c r="G72" s="7" t="n">
        <f aca="false">SUMIFS(Doors!S:S,Doors!$A:$A,$D72,Doors!$B:$B,$B72,Doors!$C:$C,$C72)*SUMIFS(Velocity!$I:$I,Velocity!$A:$A,$A72,Velocity!$B:$B,$C72)/Assumptions!$B$4*Assumptions!$B$6</f>
        <v>0</v>
      </c>
      <c r="H72" s="7" t="n">
        <f aca="false">SUMIFS(Doors!T:T,Doors!$A:$A,$D72,Doors!$B:$B,$B72,Doors!$C:$C,$C72)*SUMIFS(Velocity!$I:$I,Velocity!$A:$A,$A72,Velocity!$B:$B,$C72)/Assumptions!$B$4*Assumptions!$B$6</f>
        <v>0</v>
      </c>
      <c r="I72" s="7" t="n">
        <f aca="false">SUMIFS(Doors!U:U,Doors!$A:$A,$D72,Doors!$B:$B,$B72,Doors!$C:$C,$C72)*SUMIFS(Velocity!$I:$I,Velocity!$A:$A,$A72,Velocity!$B:$B,$C72)/Assumptions!$B$4*Assumptions!$B$6</f>
        <v>0</v>
      </c>
      <c r="J72" s="7" t="n">
        <f aca="false">SUMIFS(Doors!V:V,Doors!$A:$A,$D72,Doors!$B:$B,$B72,Doors!$C:$C,$C72)*SUMIFS(Velocity!$I:$I,Velocity!$A:$A,$A72,Velocity!$B:$B,$C72)/Assumptions!$B$4*Assumptions!$B$6</f>
        <v>0</v>
      </c>
      <c r="K72" s="7" t="n">
        <f aca="false">SUMIFS(Doors!W:W,Doors!$A:$A,$D72,Doors!$B:$B,$B72,Doors!$C:$C,$C72)*SUMIFS(Velocity!$I:$I,Velocity!$A:$A,$A72,Velocity!$B:$B,$C72)/Assumptions!$B$4*Assumptions!$B$6</f>
        <v>0</v>
      </c>
      <c r="L72" s="7" t="n">
        <f aca="false">SUMIFS(Doors!X:X,Doors!$A:$A,$D72,Doors!$B:$B,$B72,Doors!$C:$C,$C72)*SUMIFS(Velocity!$I:$I,Velocity!$A:$A,$A72,Velocity!$B:$B,$C72)/Assumptions!$B$4*Assumptions!$B$6</f>
        <v>0</v>
      </c>
      <c r="M72" s="7" t="n">
        <f aca="false">SUMIFS(Doors!Y:Y,Doors!$A:$A,$D72,Doors!$B:$B,$B72,Doors!$C:$C,$C72)*SUMIFS(Velocity!$I:$I,Velocity!$A:$A,$A72,Velocity!$B:$B,$C72)/Assumptions!$B$4*Assumptions!$B$6</f>
        <v>0</v>
      </c>
      <c r="N72" s="7" t="n">
        <f aca="false">SUMIFS(Doors!Z:Z,Doors!$A:$A,$D72,Doors!$B:$B,$B72,Doors!$C:$C,$C72)*SUMIFS(Velocity!$I:$I,Velocity!$A:$A,$A72,Velocity!$B:$B,$C72)/Assumptions!$B$4*Assumptions!$B$6</f>
        <v>0</v>
      </c>
      <c r="O72" s="7" t="n">
        <f aca="false">SUMIFS(Doors!AA:AA,Doors!$A:$A,$D72,Doors!$B:$B,$B72,Doors!$C:$C,$C72)*SUMIFS(Velocity!$I:$I,Velocity!$A:$A,$A72,Velocity!$B:$B,$C72)/Assumptions!$B$4*Assumptions!$B$6</f>
        <v>0</v>
      </c>
      <c r="P72" s="7" t="n">
        <f aca="false">SUMIFS(Doors!AB:AB,Doors!$A:$A,$D72,Doors!$B:$B,$B72,Doors!$C:$C,$C72)*SUMIFS(Velocity!$I:$I,Velocity!$A:$A,$A72,Velocity!$B:$B,$C72)/Assumptions!$B$4*Assumptions!$B$6</f>
        <v>0</v>
      </c>
      <c r="Q72" s="7" t="n">
        <f aca="false">SUMIFS(Doors!AC:AC,Doors!$A:$A,$D72,Doors!$B:$B,$B72,Doors!$C:$C,$C72)*SUMIFS(Velocity!$I:$I,Velocity!$A:$A,$A72,Velocity!$B:$B,$C72)/Assumptions!$B$4*Assumptions!$B$6</f>
        <v>0</v>
      </c>
      <c r="R72" s="7" t="n">
        <f aca="false">SUMIFS(Doors!AD:AD,Doors!$A:$A,$D72,Doors!$B:$B,$B72,Doors!$C:$C,$C72)*SUMIFS(Velocity!$I:$I,Velocity!$A:$A,$A72,Velocity!$B:$B,$C72)/Assumptions!$B$4*Assumptions!$B$6</f>
        <v>0</v>
      </c>
      <c r="S72" s="7" t="n">
        <f aca="false">SUMIFS(Doors!AE:AE,Doors!$A:$A,$D72,Doors!$B:$B,$B72,Doors!$C:$C,$C72)*SUMIFS(Velocity!$I:$I,Velocity!$A:$A,$A72,Velocity!$B:$B,$C72)/Assumptions!$B$4*Assumptions!$B$6</f>
        <v>0</v>
      </c>
      <c r="T72" s="7" t="n">
        <f aca="false">SUMIFS(Doors!AF:AF,Doors!$A:$A,$D72,Doors!$B:$B,$B72,Doors!$C:$C,$C72)*SUMIFS(Velocity!$I:$I,Velocity!$A:$A,$A72,Velocity!$B:$B,$C72)/Assumptions!$B$4*Assumptions!$B$6</f>
        <v>0</v>
      </c>
      <c r="U72" s="7" t="n">
        <f aca="false">SUMIFS(Doors!AG:AG,Doors!$A:$A,$D72,Doors!$B:$B,$B72,Doors!$C:$C,$C72)*SUMIFS(Velocity!$I:$I,Velocity!$A:$A,$A72,Velocity!$B:$B,$C72)/Assumptions!$B$4*Assumptions!$B$6</f>
        <v>0</v>
      </c>
      <c r="V72" s="7" t="n">
        <f aca="false">SUMIFS(Doors!AH:AH,Doors!$A:$A,$D72,Doors!$B:$B,$B72,Doors!$C:$C,$C72)*SUMIFS(Velocity!$I:$I,Velocity!$A:$A,$A72,Velocity!$B:$B,$C72)/Assumptions!$B$4*Assumptions!$B$6</f>
        <v>0</v>
      </c>
      <c r="W72" s="7" t="n">
        <f aca="false">SUMIFS(Doors!AI:AI,Doors!$A:$A,$D72,Doors!$B:$B,$B72,Doors!$C:$C,$C72)*SUMIFS(Velocity!$I:$I,Velocity!$A:$A,$A72,Velocity!$B:$B,$C72)/Assumptions!$B$4*Assumptions!$B$6</f>
        <v>0</v>
      </c>
      <c r="X72" s="7" t="n">
        <f aca="false">SUMIFS(Doors!AJ:AJ,Doors!$A:$A,$D72,Doors!$B:$B,$B72,Doors!$C:$C,$C72)*SUMIFS(Velocity!$I:$I,Velocity!$A:$A,$A72,Velocity!$B:$B,$C72)/Assumptions!$B$4*Assumptions!$B$6</f>
        <v>0</v>
      </c>
      <c r="Y72" s="7" t="n">
        <f aca="false">SUMIFS(Doors!AK:AK,Doors!$A:$A,$D72,Doors!$B:$B,$B72,Doors!$C:$C,$C72)*SUMIFS(Velocity!$I:$I,Velocity!$A:$A,$A72,Velocity!$B:$B,$C72)/Assumptions!$B$4*Assumptions!$B$6</f>
        <v>0</v>
      </c>
      <c r="Z72" s="7" t="n">
        <f aca="false">SUMIFS(Doors!AL:AL,Doors!$A:$A,$D72,Doors!$B:$B,$B72,Doors!$C:$C,$C72)*SUMIFS(Velocity!$I:$I,Velocity!$A:$A,$A72,Velocity!$B:$B,$C72)/Assumptions!$B$4*Assumptions!$B$6</f>
        <v>0</v>
      </c>
      <c r="AA72" s="7" t="n">
        <f aca="false">SUMIFS(Doors!AM:AM,Doors!$A:$A,$D72,Doors!$B:$B,$B72,Doors!$C:$C,$C72)*SUMIFS(Velocity!$I:$I,Velocity!$A:$A,$A72,Velocity!$B:$B,$C72)/Assumptions!$B$4*Assumptions!$B$6</f>
        <v>0</v>
      </c>
      <c r="AB72" s="7" t="n">
        <f aca="false">SUMIFS(Doors!AN:AN,Doors!$A:$A,$D72,Doors!$B:$B,$B72,Doors!$C:$C,$C72)*SUMIFS(Velocity!$I:$I,Velocity!$A:$A,$A72,Velocity!$B:$B,$C72)/Assumptions!$B$4*Assumptions!$B$6</f>
        <v>0</v>
      </c>
      <c r="AC72" s="7" t="n">
        <f aca="false">SUMIFS(Doors!AO:AO,Doors!$A:$A,$D72,Doors!$B:$B,$B72,Doors!$C:$C,$C72)*SUMIFS(Velocity!$I:$I,Velocity!$A:$A,$A72,Velocity!$B:$B,$C72)/Assumptions!$B$4*Assumptions!$B$6</f>
        <v>0</v>
      </c>
      <c r="AD72" s="7" t="n">
        <f aca="false">SUMIFS(Doors!AP:AP,Doors!$A:$A,$D72,Doors!$B:$B,$B72,Doors!$C:$C,$C72)*SUMIFS(Velocity!$I:$I,Velocity!$A:$A,$A72,Velocity!$B:$B,$C72)/Assumptions!$B$4*Assumptions!$B$6</f>
        <v>0</v>
      </c>
      <c r="AE72" s="7" t="n">
        <f aca="false">SUMIFS(Doors!AQ:AQ,Doors!$A:$A,$D72,Doors!$B:$B,$B72,Doors!$C:$C,$C72)*SUMIFS(Velocity!$I:$I,Velocity!$A:$A,$A72,Velocity!$B:$B,$C72)/Assumptions!$B$4*Assumptions!$B$6</f>
        <v>0</v>
      </c>
      <c r="AF72" s="7" t="n">
        <f aca="false">SUMIFS(Doors!AR:AR,Doors!$A:$A,$D72,Doors!$B:$B,$B72,Doors!$C:$C,$C72)*SUMIFS(Velocity!$I:$I,Velocity!$A:$A,$A72,Velocity!$B:$B,$C72)/Assumptions!$B$4*Assumptions!$B$6</f>
        <v>0</v>
      </c>
      <c r="AG72" s="7" t="n">
        <f aca="false">SUMIFS(Doors!AS:AS,Doors!$A:$A,$D72,Doors!$B:$B,$B72,Doors!$C:$C,$C72)*SUMIFS(Velocity!$I:$I,Velocity!$A:$A,$A72,Velocity!$B:$B,$C72)/Assumptions!$B$4*Assumptions!$B$6</f>
        <v>0</v>
      </c>
      <c r="AH72" s="7" t="n">
        <f aca="false">SUMIFS(Doors!AT:AT,Doors!$A:$A,$D72,Doors!$B:$B,$B72,Doors!$C:$C,$C72)*SUMIFS(Velocity!$I:$I,Velocity!$A:$A,$A72,Velocity!$B:$B,$C72)/Assumptions!$B$4*Assumptions!$B$6</f>
        <v>0</v>
      </c>
      <c r="AI72" s="7" t="n">
        <f aca="false">SUMIFS(Doors!AU:AU,Doors!$A:$A,$D72,Doors!$B:$B,$B72,Doors!$C:$C,$C72)*SUMIFS(Velocity!$I:$I,Velocity!$A:$A,$A72,Velocity!$B:$B,$C72)/Assumptions!$B$4*Assumptions!$B$6</f>
        <v>0</v>
      </c>
      <c r="AJ72" s="7" t="n">
        <f aca="false">SUMIFS(Doors!AV:AV,Doors!$A:$A,$D72,Doors!$B:$B,$B72,Doors!$C:$C,$C72)*SUMIFS(Velocity!$I:$I,Velocity!$A:$A,$A72,Velocity!$B:$B,$C72)/Assumptions!$B$4*Assumptions!$B$6</f>
        <v>0</v>
      </c>
      <c r="AK72" s="7" t="n">
        <f aca="false">SUMIFS(Doors!AW:AW,Doors!$A:$A,$D72,Doors!$B:$B,$B72,Doors!$C:$C,$C72)*SUMIFS(Velocity!$I:$I,Velocity!$A:$A,$A72,Velocity!$B:$B,$C72)/Assumptions!$B$4*Assumptions!$B$6</f>
        <v>0</v>
      </c>
      <c r="AL72" s="7" t="n">
        <f aca="false">SUMIFS(Doors!AX:AX,Doors!$A:$A,$D72,Doors!$B:$B,$B72,Doors!$C:$C,$C72)*SUMIFS(Velocity!$I:$I,Velocity!$A:$A,$A72,Velocity!$B:$B,$C72)/Assumptions!$B$4*Assumptions!$B$6</f>
        <v>0</v>
      </c>
      <c r="AM72" s="7" t="n">
        <f aca="false">SUMIFS(Doors!AY:AY,Doors!$A:$A,$D72,Doors!$B:$B,$B72,Doors!$C:$C,$C72)*SUMIFS(Velocity!$I:$I,Velocity!$A:$A,$A72,Velocity!$B:$B,$C72)/Assumptions!$B$4*Assumptions!$B$6</f>
        <v>0</v>
      </c>
      <c r="AN72" s="7" t="n">
        <f aca="false">SUMIFS(Doors!AZ:AZ,Doors!$A:$A,$D72,Doors!$B:$B,$B72,Doors!$C:$C,$C72)*SUMIFS(Velocity!$I:$I,Velocity!$A:$A,$A72,Velocity!$B:$B,$C72)/Assumptions!$B$4*Assumptions!$B$6</f>
        <v>0</v>
      </c>
      <c r="AO72" s="7" t="n">
        <f aca="false">SUMIFS(Doors!BA:BA,Doors!$A:$A,$D72,Doors!$B:$B,$B72,Doors!$C:$C,$C72)*SUMIFS(Velocity!$I:$I,Velocity!$A:$A,$A72,Velocity!$B:$B,$C72)/Assumptions!$B$4*Assumptions!$B$6</f>
        <v>0</v>
      </c>
      <c r="AP72" s="7" t="n">
        <f aca="false">SUMIFS(Doors!BB:BB,Doors!$A:$A,$D72,Doors!$B:$B,$B72,Doors!$C:$C,$C72)*SUMIFS(Velocity!$I:$I,Velocity!$A:$A,$A72,Velocity!$B:$B,$C72)/Assumptions!$B$4*Assumptions!$B$6</f>
        <v>0</v>
      </c>
      <c r="AQ72" s="7" t="n">
        <f aca="false">SUMIFS(Doors!BC:BC,Doors!$A:$A,$D72,Doors!$B:$B,$B72,Doors!$C:$C,$C72)*SUMIFS(Velocity!$I:$I,Velocity!$A:$A,$A72,Velocity!$B:$B,$C72)/Assumptions!$B$4*Assumptions!$B$6</f>
        <v>0</v>
      </c>
      <c r="AR72" s="7" t="n">
        <f aca="false">SUMIFS(Doors!BD:BD,Doors!$A:$A,$D72,Doors!$B:$B,$B72,Doors!$C:$C,$C72)*SUMIFS(Velocity!$I:$I,Velocity!$A:$A,$A72,Velocity!$B:$B,$C72)/Assumptions!$B$4*Assumptions!$B$6</f>
        <v>23</v>
      </c>
      <c r="AS72" s="7" t="n">
        <f aca="false">SUMIFS(Doors!BE:BE,Doors!$A:$A,$D72,Doors!$B:$B,$B72,Doors!$C:$C,$C72)*SUMIFS(Velocity!$I:$I,Velocity!$A:$A,$A72,Velocity!$B:$B,$C72)/Assumptions!$B$4*Assumptions!$B$6</f>
        <v>23</v>
      </c>
      <c r="AT72" s="7" t="n">
        <f aca="false">SUMIFS(Doors!BF:BF,Doors!$A:$A,$D72,Doors!$B:$B,$B72,Doors!$C:$C,$C72)*SUMIFS(Velocity!$I:$I,Velocity!$A:$A,$A72,Velocity!$B:$B,$C72)/Assumptions!$B$4*Assumptions!$B$6</f>
        <v>23</v>
      </c>
      <c r="AU72" s="7" t="n">
        <f aca="false">SUMIFS(Doors!BG:BG,Doors!$A:$A,$D72,Doors!$B:$B,$B72,Doors!$C:$C,$C72)*SUMIFS(Velocity!$I:$I,Velocity!$A:$A,$A72,Velocity!$B:$B,$C72)/Assumptions!$B$4*Assumptions!$B$6</f>
        <v>23</v>
      </c>
      <c r="AV72" s="7" t="n">
        <f aca="false">SUMIFS(Doors!BH:BH,Doors!$A:$A,$D72,Doors!$B:$B,$B72,Doors!$C:$C,$C72)*SUMIFS(Velocity!$I:$I,Velocity!$A:$A,$A72,Velocity!$B:$B,$C72)/Assumptions!$B$4*Assumptions!$B$6</f>
        <v>23</v>
      </c>
      <c r="AW72" s="7" t="n">
        <f aca="false">SUMIFS(Doors!BI:BI,Doors!$A:$A,$D72,Doors!$B:$B,$B72,Doors!$C:$C,$C72)*SUMIFS(Velocity!$I:$I,Velocity!$A:$A,$A72,Velocity!$B:$B,$C72)/Assumptions!$B$4*Assumptions!$B$6</f>
        <v>30.6666666666667</v>
      </c>
      <c r="AX72" s="7" t="n">
        <f aca="false">SUMIFS(Doors!BJ:BJ,Doors!$A:$A,$D72,Doors!$B:$B,$B72,Doors!$C:$C,$C72)*SUMIFS(Velocity!$I:$I,Velocity!$A:$A,$A72,Velocity!$B:$B,$C72)/Assumptions!$B$4*Assumptions!$B$6</f>
        <v>30.6666666666667</v>
      </c>
      <c r="AY72" s="7" t="n">
        <f aca="false">SUMIFS(Doors!BK:BK,Doors!$A:$A,$D72,Doors!$B:$B,$B72,Doors!$C:$C,$C72)*SUMIFS(Velocity!$I:$I,Velocity!$A:$A,$A72,Velocity!$B:$B,$C72)/Assumptions!$B$4*Assumptions!$B$6</f>
        <v>30.6666666666667</v>
      </c>
      <c r="AZ72" s="7" t="n">
        <f aca="false">SUMIFS(Doors!BL:BL,Doors!$A:$A,$D72,Doors!$B:$B,$B72,Doors!$C:$C,$C72)*SUMIFS(Velocity!$I:$I,Velocity!$A:$A,$A72,Velocity!$B:$B,$C72)/Assumptions!$B$4*Assumptions!$B$6</f>
        <v>30.6666666666667</v>
      </c>
      <c r="BA72" s="7" t="n">
        <f aca="false">SUMIFS(Doors!BM:BM,Doors!$A:$A,$D72,Doors!$B:$B,$B72,Doors!$C:$C,$C72)*SUMIFS(Velocity!$I:$I,Velocity!$A:$A,$A72,Velocity!$B:$B,$C72)/Assumptions!$B$4*Assumptions!$B$6</f>
        <v>38.3333333333333</v>
      </c>
      <c r="BB72" s="7" t="n">
        <f aca="false">SUMIFS(Doors!BN:BN,Doors!$A:$A,$D72,Doors!$B:$B,$B72,Doors!$C:$C,$C72)*SUMIFS(Velocity!$I:$I,Velocity!$A:$A,$A72,Velocity!$B:$B,$C72)/Assumptions!$B$4*Assumptions!$B$6</f>
        <v>38.3333333333333</v>
      </c>
      <c r="BC72" s="7" t="n">
        <f aca="false">SUMIFS(Doors!BO:BO,Doors!$A:$A,$D72,Doors!$B:$B,$B72,Doors!$C:$C,$C72)*SUMIFS(Velocity!$I:$I,Velocity!$A:$A,$A72,Velocity!$B:$B,$C72)/Assumptions!$B$4*Assumptions!$B$6</f>
        <v>38.3333333333333</v>
      </c>
      <c r="BD72" s="7" t="n">
        <f aca="false">SUMIFS(Doors!BP:BP,Doors!$A:$A,$D72,Doors!$B:$B,$B72,Doors!$C:$C,$C72)*SUMIFS(Velocity!$I:$I,Velocity!$A:$A,$A72,Velocity!$B:$B,$C72)/Assumptions!$B$4*Assumptions!$B$6</f>
        <v>38.3333333333333</v>
      </c>
    </row>
    <row r="73" customFormat="false" ht="15" hidden="false" customHeight="false" outlineLevel="0" collapsed="false">
      <c r="A73" s="0" t="s">
        <v>108</v>
      </c>
      <c r="B73" s="0" t="s">
        <v>133</v>
      </c>
      <c r="C73" s="0" t="s">
        <v>119</v>
      </c>
      <c r="D73" s="0" t="s">
        <v>235</v>
      </c>
      <c r="E73" s="7" t="n">
        <f aca="false">SUMIFS(Doors!Q:Q,Doors!$A:$A,$D73,Doors!$B:$B,$B73,Doors!$C:$C,$C73)*SUMIFS(Velocity!$I:$I,Velocity!$A:$A,$A73,Velocity!$B:$B,$C73)/Assumptions!$B$4*Assumptions!$B$6</f>
        <v>0.5</v>
      </c>
      <c r="F73" s="7" t="n">
        <f aca="false">SUMIFS(Doors!R:R,Doors!$A:$A,$D73,Doors!$B:$B,$B73,Doors!$C:$C,$C73)*SUMIFS(Velocity!$I:$I,Velocity!$A:$A,$A73,Velocity!$B:$B,$C73)/Assumptions!$B$4*Assumptions!$B$6</f>
        <v>0.5</v>
      </c>
      <c r="G73" s="7" t="n">
        <f aca="false">SUMIFS(Doors!S:S,Doors!$A:$A,$D73,Doors!$B:$B,$B73,Doors!$C:$C,$C73)*SUMIFS(Velocity!$I:$I,Velocity!$A:$A,$A73,Velocity!$B:$B,$C73)/Assumptions!$B$4*Assumptions!$B$6</f>
        <v>0.5</v>
      </c>
      <c r="H73" s="7" t="n">
        <f aca="false">SUMIFS(Doors!T:T,Doors!$A:$A,$D73,Doors!$B:$B,$B73,Doors!$C:$C,$C73)*SUMIFS(Velocity!$I:$I,Velocity!$A:$A,$A73,Velocity!$B:$B,$C73)/Assumptions!$B$4*Assumptions!$B$6</f>
        <v>0.5</v>
      </c>
      <c r="I73" s="7" t="n">
        <f aca="false">SUMIFS(Doors!U:U,Doors!$A:$A,$D73,Doors!$B:$B,$B73,Doors!$C:$C,$C73)*SUMIFS(Velocity!$I:$I,Velocity!$A:$A,$A73,Velocity!$B:$B,$C73)/Assumptions!$B$4*Assumptions!$B$6</f>
        <v>0.5</v>
      </c>
      <c r="J73" s="7" t="n">
        <f aca="false">SUMIFS(Doors!V:V,Doors!$A:$A,$D73,Doors!$B:$B,$B73,Doors!$C:$C,$C73)*SUMIFS(Velocity!$I:$I,Velocity!$A:$A,$A73,Velocity!$B:$B,$C73)/Assumptions!$B$4*Assumptions!$B$6</f>
        <v>0.833333333333333</v>
      </c>
      <c r="K73" s="7" t="n">
        <f aca="false">SUMIFS(Doors!W:W,Doors!$A:$A,$D73,Doors!$B:$B,$B73,Doors!$C:$C,$C73)*SUMIFS(Velocity!$I:$I,Velocity!$A:$A,$A73,Velocity!$B:$B,$C73)/Assumptions!$B$4*Assumptions!$B$6</f>
        <v>0.833333333333333</v>
      </c>
      <c r="L73" s="7" t="n">
        <f aca="false">SUMIFS(Doors!X:X,Doors!$A:$A,$D73,Doors!$B:$B,$B73,Doors!$C:$C,$C73)*SUMIFS(Velocity!$I:$I,Velocity!$A:$A,$A73,Velocity!$B:$B,$C73)/Assumptions!$B$4*Assumptions!$B$6</f>
        <v>0.833333333333333</v>
      </c>
      <c r="M73" s="7" t="n">
        <f aca="false">SUMIFS(Doors!Y:Y,Doors!$A:$A,$D73,Doors!$B:$B,$B73,Doors!$C:$C,$C73)*SUMIFS(Velocity!$I:$I,Velocity!$A:$A,$A73,Velocity!$B:$B,$C73)/Assumptions!$B$4*Assumptions!$B$6</f>
        <v>0.833333333333333</v>
      </c>
      <c r="N73" s="7" t="n">
        <f aca="false">SUMIFS(Doors!Z:Z,Doors!$A:$A,$D73,Doors!$B:$B,$B73,Doors!$C:$C,$C73)*SUMIFS(Velocity!$I:$I,Velocity!$A:$A,$A73,Velocity!$B:$B,$C73)/Assumptions!$B$4*Assumptions!$B$6</f>
        <v>1.16666666666667</v>
      </c>
      <c r="O73" s="7" t="n">
        <f aca="false">SUMIFS(Doors!AA:AA,Doors!$A:$A,$D73,Doors!$B:$B,$B73,Doors!$C:$C,$C73)*SUMIFS(Velocity!$I:$I,Velocity!$A:$A,$A73,Velocity!$B:$B,$C73)/Assumptions!$B$4*Assumptions!$B$6</f>
        <v>1.16666666666667</v>
      </c>
      <c r="P73" s="7" t="n">
        <f aca="false">SUMIFS(Doors!AB:AB,Doors!$A:$A,$D73,Doors!$B:$B,$B73,Doors!$C:$C,$C73)*SUMIFS(Velocity!$I:$I,Velocity!$A:$A,$A73,Velocity!$B:$B,$C73)/Assumptions!$B$4*Assumptions!$B$6</f>
        <v>1.16666666666667</v>
      </c>
      <c r="Q73" s="7" t="n">
        <f aca="false">SUMIFS(Doors!AC:AC,Doors!$A:$A,$D73,Doors!$B:$B,$B73,Doors!$C:$C,$C73)*SUMIFS(Velocity!$I:$I,Velocity!$A:$A,$A73,Velocity!$B:$B,$C73)/Assumptions!$B$4*Assumptions!$B$6</f>
        <v>1.16666666666667</v>
      </c>
      <c r="R73" s="7" t="n">
        <f aca="false">SUMIFS(Doors!AD:AD,Doors!$A:$A,$D73,Doors!$B:$B,$B73,Doors!$C:$C,$C73)*SUMIFS(Velocity!$I:$I,Velocity!$A:$A,$A73,Velocity!$B:$B,$C73)/Assumptions!$B$4*Assumptions!$B$6</f>
        <v>1.5</v>
      </c>
      <c r="S73" s="7" t="n">
        <f aca="false">SUMIFS(Doors!AE:AE,Doors!$A:$A,$D73,Doors!$B:$B,$B73,Doors!$C:$C,$C73)*SUMIFS(Velocity!$I:$I,Velocity!$A:$A,$A73,Velocity!$B:$B,$C73)/Assumptions!$B$4*Assumptions!$B$6</f>
        <v>1.5</v>
      </c>
      <c r="T73" s="7" t="n">
        <f aca="false">SUMIFS(Doors!AF:AF,Doors!$A:$A,$D73,Doors!$B:$B,$B73,Doors!$C:$C,$C73)*SUMIFS(Velocity!$I:$I,Velocity!$A:$A,$A73,Velocity!$B:$B,$C73)/Assumptions!$B$4*Assumptions!$B$6</f>
        <v>1.5</v>
      </c>
      <c r="U73" s="7" t="n">
        <f aca="false">SUMIFS(Doors!AG:AG,Doors!$A:$A,$D73,Doors!$B:$B,$B73,Doors!$C:$C,$C73)*SUMIFS(Velocity!$I:$I,Velocity!$A:$A,$A73,Velocity!$B:$B,$C73)/Assumptions!$B$4*Assumptions!$B$6</f>
        <v>1.5</v>
      </c>
      <c r="V73" s="7" t="n">
        <f aca="false">SUMIFS(Doors!AH:AH,Doors!$A:$A,$D73,Doors!$B:$B,$B73,Doors!$C:$C,$C73)*SUMIFS(Velocity!$I:$I,Velocity!$A:$A,$A73,Velocity!$B:$B,$C73)/Assumptions!$B$4*Assumptions!$B$6</f>
        <v>1.5</v>
      </c>
      <c r="W73" s="7" t="n">
        <f aca="false">SUMIFS(Doors!AI:AI,Doors!$A:$A,$D73,Doors!$B:$B,$B73,Doors!$C:$C,$C73)*SUMIFS(Velocity!$I:$I,Velocity!$A:$A,$A73,Velocity!$B:$B,$C73)/Assumptions!$B$4*Assumptions!$B$6</f>
        <v>1.66666666666667</v>
      </c>
      <c r="X73" s="7" t="n">
        <f aca="false">SUMIFS(Doors!AJ:AJ,Doors!$A:$A,$D73,Doors!$B:$B,$B73,Doors!$C:$C,$C73)*SUMIFS(Velocity!$I:$I,Velocity!$A:$A,$A73,Velocity!$B:$B,$C73)/Assumptions!$B$4*Assumptions!$B$6</f>
        <v>1.66666666666667</v>
      </c>
      <c r="Y73" s="7" t="n">
        <f aca="false">SUMIFS(Doors!AK:AK,Doors!$A:$A,$D73,Doors!$B:$B,$B73,Doors!$C:$C,$C73)*SUMIFS(Velocity!$I:$I,Velocity!$A:$A,$A73,Velocity!$B:$B,$C73)/Assumptions!$B$4*Assumptions!$B$6</f>
        <v>1.66666666666667</v>
      </c>
      <c r="Z73" s="7" t="n">
        <f aca="false">SUMIFS(Doors!AL:AL,Doors!$A:$A,$D73,Doors!$B:$B,$B73,Doors!$C:$C,$C73)*SUMIFS(Velocity!$I:$I,Velocity!$A:$A,$A73,Velocity!$B:$B,$C73)/Assumptions!$B$4*Assumptions!$B$6</f>
        <v>1.66666666666667</v>
      </c>
      <c r="AA73" s="7" t="n">
        <f aca="false">SUMIFS(Doors!AM:AM,Doors!$A:$A,$D73,Doors!$B:$B,$B73,Doors!$C:$C,$C73)*SUMIFS(Velocity!$I:$I,Velocity!$A:$A,$A73,Velocity!$B:$B,$C73)/Assumptions!$B$4*Assumptions!$B$6</f>
        <v>1.83333333333333</v>
      </c>
      <c r="AB73" s="7" t="n">
        <f aca="false">SUMIFS(Doors!AN:AN,Doors!$A:$A,$D73,Doors!$B:$B,$B73,Doors!$C:$C,$C73)*SUMIFS(Velocity!$I:$I,Velocity!$A:$A,$A73,Velocity!$B:$B,$C73)/Assumptions!$B$4*Assumptions!$B$6</f>
        <v>1.83333333333333</v>
      </c>
      <c r="AC73" s="7" t="n">
        <f aca="false">SUMIFS(Doors!AO:AO,Doors!$A:$A,$D73,Doors!$B:$B,$B73,Doors!$C:$C,$C73)*SUMIFS(Velocity!$I:$I,Velocity!$A:$A,$A73,Velocity!$B:$B,$C73)/Assumptions!$B$4*Assumptions!$B$6</f>
        <v>1.83333333333333</v>
      </c>
      <c r="AD73" s="7" t="n">
        <f aca="false">SUMIFS(Doors!AP:AP,Doors!$A:$A,$D73,Doors!$B:$B,$B73,Doors!$C:$C,$C73)*SUMIFS(Velocity!$I:$I,Velocity!$A:$A,$A73,Velocity!$B:$B,$C73)/Assumptions!$B$4*Assumptions!$B$6</f>
        <v>1.83333333333333</v>
      </c>
      <c r="AE73" s="7" t="n">
        <f aca="false">SUMIFS(Doors!AQ:AQ,Doors!$A:$A,$D73,Doors!$B:$B,$B73,Doors!$C:$C,$C73)*SUMIFS(Velocity!$I:$I,Velocity!$A:$A,$A73,Velocity!$B:$B,$C73)/Assumptions!$B$4*Assumptions!$B$6</f>
        <v>2</v>
      </c>
      <c r="AF73" s="7" t="n">
        <f aca="false">SUMIFS(Doors!AR:AR,Doors!$A:$A,$D73,Doors!$B:$B,$B73,Doors!$C:$C,$C73)*SUMIFS(Velocity!$I:$I,Velocity!$A:$A,$A73,Velocity!$B:$B,$C73)/Assumptions!$B$4*Assumptions!$B$6</f>
        <v>2</v>
      </c>
      <c r="AG73" s="7" t="n">
        <f aca="false">SUMIFS(Doors!AS:AS,Doors!$A:$A,$D73,Doors!$B:$B,$B73,Doors!$C:$C,$C73)*SUMIFS(Velocity!$I:$I,Velocity!$A:$A,$A73,Velocity!$B:$B,$C73)/Assumptions!$B$4*Assumptions!$B$6</f>
        <v>2</v>
      </c>
      <c r="AH73" s="7" t="n">
        <f aca="false">SUMIFS(Doors!AT:AT,Doors!$A:$A,$D73,Doors!$B:$B,$B73,Doors!$C:$C,$C73)*SUMIFS(Velocity!$I:$I,Velocity!$A:$A,$A73,Velocity!$B:$B,$C73)/Assumptions!$B$4*Assumptions!$B$6</f>
        <v>2</v>
      </c>
      <c r="AI73" s="7" t="n">
        <f aca="false">SUMIFS(Doors!AU:AU,Doors!$A:$A,$D73,Doors!$B:$B,$B73,Doors!$C:$C,$C73)*SUMIFS(Velocity!$I:$I,Velocity!$A:$A,$A73,Velocity!$B:$B,$C73)/Assumptions!$B$4*Assumptions!$B$6</f>
        <v>2</v>
      </c>
      <c r="AJ73" s="7" t="n">
        <f aca="false">SUMIFS(Doors!AV:AV,Doors!$A:$A,$D73,Doors!$B:$B,$B73,Doors!$C:$C,$C73)*SUMIFS(Velocity!$I:$I,Velocity!$A:$A,$A73,Velocity!$B:$B,$C73)/Assumptions!$B$4*Assumptions!$B$6</f>
        <v>2.16666666666667</v>
      </c>
      <c r="AK73" s="7" t="n">
        <f aca="false">SUMIFS(Doors!AW:AW,Doors!$A:$A,$D73,Doors!$B:$B,$B73,Doors!$C:$C,$C73)*SUMIFS(Velocity!$I:$I,Velocity!$A:$A,$A73,Velocity!$B:$B,$C73)/Assumptions!$B$4*Assumptions!$B$6</f>
        <v>2.16666666666667</v>
      </c>
      <c r="AL73" s="7" t="n">
        <f aca="false">SUMIFS(Doors!AX:AX,Doors!$A:$A,$D73,Doors!$B:$B,$B73,Doors!$C:$C,$C73)*SUMIFS(Velocity!$I:$I,Velocity!$A:$A,$A73,Velocity!$B:$B,$C73)/Assumptions!$B$4*Assumptions!$B$6</f>
        <v>2.16666666666667</v>
      </c>
      <c r="AM73" s="7" t="n">
        <f aca="false">SUMIFS(Doors!AY:AY,Doors!$A:$A,$D73,Doors!$B:$B,$B73,Doors!$C:$C,$C73)*SUMIFS(Velocity!$I:$I,Velocity!$A:$A,$A73,Velocity!$B:$B,$C73)/Assumptions!$B$4*Assumptions!$B$6</f>
        <v>2.16666666666667</v>
      </c>
      <c r="AN73" s="7" t="n">
        <f aca="false">SUMIFS(Doors!AZ:AZ,Doors!$A:$A,$D73,Doors!$B:$B,$B73,Doors!$C:$C,$C73)*SUMIFS(Velocity!$I:$I,Velocity!$A:$A,$A73,Velocity!$B:$B,$C73)/Assumptions!$B$4*Assumptions!$B$6</f>
        <v>2.33333333333333</v>
      </c>
      <c r="AO73" s="7" t="n">
        <f aca="false">SUMIFS(Doors!BA:BA,Doors!$A:$A,$D73,Doors!$B:$B,$B73,Doors!$C:$C,$C73)*SUMIFS(Velocity!$I:$I,Velocity!$A:$A,$A73,Velocity!$B:$B,$C73)/Assumptions!$B$4*Assumptions!$B$6</f>
        <v>2.33333333333333</v>
      </c>
      <c r="AP73" s="7" t="n">
        <f aca="false">SUMIFS(Doors!BB:BB,Doors!$A:$A,$D73,Doors!$B:$B,$B73,Doors!$C:$C,$C73)*SUMIFS(Velocity!$I:$I,Velocity!$A:$A,$A73,Velocity!$B:$B,$C73)/Assumptions!$B$4*Assumptions!$B$6</f>
        <v>2.33333333333333</v>
      </c>
      <c r="AQ73" s="7" t="n">
        <f aca="false">SUMIFS(Doors!BC:BC,Doors!$A:$A,$D73,Doors!$B:$B,$B73,Doors!$C:$C,$C73)*SUMIFS(Velocity!$I:$I,Velocity!$A:$A,$A73,Velocity!$B:$B,$C73)/Assumptions!$B$4*Assumptions!$B$6</f>
        <v>2.33333333333333</v>
      </c>
      <c r="AR73" s="7" t="n">
        <f aca="false">SUMIFS(Doors!BD:BD,Doors!$A:$A,$D73,Doors!$B:$B,$B73,Doors!$C:$C,$C73)*SUMIFS(Velocity!$I:$I,Velocity!$A:$A,$A73,Velocity!$B:$B,$C73)/Assumptions!$B$4*Assumptions!$B$6</f>
        <v>2.33333333333333</v>
      </c>
      <c r="AS73" s="7" t="n">
        <f aca="false">SUMIFS(Doors!BE:BE,Doors!$A:$A,$D73,Doors!$B:$B,$B73,Doors!$C:$C,$C73)*SUMIFS(Velocity!$I:$I,Velocity!$A:$A,$A73,Velocity!$B:$B,$C73)/Assumptions!$B$4*Assumptions!$B$6</f>
        <v>2.33333333333333</v>
      </c>
      <c r="AT73" s="7" t="n">
        <f aca="false">SUMIFS(Doors!BF:BF,Doors!$A:$A,$D73,Doors!$B:$B,$B73,Doors!$C:$C,$C73)*SUMIFS(Velocity!$I:$I,Velocity!$A:$A,$A73,Velocity!$B:$B,$C73)/Assumptions!$B$4*Assumptions!$B$6</f>
        <v>2.33333333333333</v>
      </c>
      <c r="AU73" s="7" t="n">
        <f aca="false">SUMIFS(Doors!BG:BG,Doors!$A:$A,$D73,Doors!$B:$B,$B73,Doors!$C:$C,$C73)*SUMIFS(Velocity!$I:$I,Velocity!$A:$A,$A73,Velocity!$B:$B,$C73)/Assumptions!$B$4*Assumptions!$B$6</f>
        <v>2.33333333333333</v>
      </c>
      <c r="AV73" s="7" t="n">
        <f aca="false">SUMIFS(Doors!BH:BH,Doors!$A:$A,$D73,Doors!$B:$B,$B73,Doors!$C:$C,$C73)*SUMIFS(Velocity!$I:$I,Velocity!$A:$A,$A73,Velocity!$B:$B,$C73)/Assumptions!$B$4*Assumptions!$B$6</f>
        <v>2.33333333333333</v>
      </c>
      <c r="AW73" s="7" t="n">
        <f aca="false">SUMIFS(Doors!BI:BI,Doors!$A:$A,$D73,Doors!$B:$B,$B73,Doors!$C:$C,$C73)*SUMIFS(Velocity!$I:$I,Velocity!$A:$A,$A73,Velocity!$B:$B,$C73)/Assumptions!$B$4*Assumptions!$B$6</f>
        <v>2.5</v>
      </c>
      <c r="AX73" s="7" t="n">
        <f aca="false">SUMIFS(Doors!BJ:BJ,Doors!$A:$A,$D73,Doors!$B:$B,$B73,Doors!$C:$C,$C73)*SUMIFS(Velocity!$I:$I,Velocity!$A:$A,$A73,Velocity!$B:$B,$C73)/Assumptions!$B$4*Assumptions!$B$6</f>
        <v>2.5</v>
      </c>
      <c r="AY73" s="7" t="n">
        <f aca="false">SUMIFS(Doors!BK:BK,Doors!$A:$A,$D73,Doors!$B:$B,$B73,Doors!$C:$C,$C73)*SUMIFS(Velocity!$I:$I,Velocity!$A:$A,$A73,Velocity!$B:$B,$C73)/Assumptions!$B$4*Assumptions!$B$6</f>
        <v>2.5</v>
      </c>
      <c r="AZ73" s="7" t="n">
        <f aca="false">SUMIFS(Doors!BL:BL,Doors!$A:$A,$D73,Doors!$B:$B,$B73,Doors!$C:$C,$C73)*SUMIFS(Velocity!$I:$I,Velocity!$A:$A,$A73,Velocity!$B:$B,$C73)/Assumptions!$B$4*Assumptions!$B$6</f>
        <v>2.5</v>
      </c>
      <c r="BA73" s="7" t="n">
        <f aca="false">SUMIFS(Doors!BM:BM,Doors!$A:$A,$D73,Doors!$B:$B,$B73,Doors!$C:$C,$C73)*SUMIFS(Velocity!$I:$I,Velocity!$A:$A,$A73,Velocity!$B:$B,$C73)/Assumptions!$B$4*Assumptions!$B$6</f>
        <v>2.5</v>
      </c>
      <c r="BB73" s="7" t="n">
        <f aca="false">SUMIFS(Doors!BN:BN,Doors!$A:$A,$D73,Doors!$B:$B,$B73,Doors!$C:$C,$C73)*SUMIFS(Velocity!$I:$I,Velocity!$A:$A,$A73,Velocity!$B:$B,$C73)/Assumptions!$B$4*Assumptions!$B$6</f>
        <v>2.5</v>
      </c>
      <c r="BC73" s="7" t="n">
        <f aca="false">SUMIFS(Doors!BO:BO,Doors!$A:$A,$D73,Doors!$B:$B,$B73,Doors!$C:$C,$C73)*SUMIFS(Velocity!$I:$I,Velocity!$A:$A,$A73,Velocity!$B:$B,$C73)/Assumptions!$B$4*Assumptions!$B$6</f>
        <v>2.5</v>
      </c>
      <c r="BD73" s="7" t="n">
        <f aca="false">SUMIFS(Doors!BP:BP,Doors!$A:$A,$D73,Doors!$B:$B,$B73,Doors!$C:$C,$C73)*SUMIFS(Velocity!$I:$I,Velocity!$A:$A,$A73,Velocity!$B:$B,$C73)/Assumptions!$B$4*Assumptions!$B$6</f>
        <v>2.5</v>
      </c>
    </row>
    <row r="74" customFormat="false" ht="15" hidden="false" customHeight="false" outlineLevel="0" collapsed="false">
      <c r="A74" s="0" t="s">
        <v>108</v>
      </c>
      <c r="B74" s="0" t="s">
        <v>133</v>
      </c>
      <c r="C74" s="0" t="s">
        <v>120</v>
      </c>
      <c r="D74" s="0" t="s">
        <v>235</v>
      </c>
      <c r="E74" s="7" t="n">
        <f aca="false">SUMIFS(Doors!Q:Q,Doors!$A:$A,$D74,Doors!$B:$B,$B74,Doors!$C:$C,$C74)*SUMIFS(Velocity!$I:$I,Velocity!$A:$A,$A74,Velocity!$B:$B,$C74)/Assumptions!$B$4*Assumptions!$B$6</f>
        <v>0.59375</v>
      </c>
      <c r="F74" s="7" t="n">
        <f aca="false">SUMIFS(Doors!R:R,Doors!$A:$A,$D74,Doors!$B:$B,$B74,Doors!$C:$C,$C74)*SUMIFS(Velocity!$I:$I,Velocity!$A:$A,$A74,Velocity!$B:$B,$C74)/Assumptions!$B$4*Assumptions!$B$6</f>
        <v>0.59375</v>
      </c>
      <c r="G74" s="7" t="n">
        <f aca="false">SUMIFS(Doors!S:S,Doors!$A:$A,$D74,Doors!$B:$B,$B74,Doors!$C:$C,$C74)*SUMIFS(Velocity!$I:$I,Velocity!$A:$A,$A74,Velocity!$B:$B,$C74)/Assumptions!$B$4*Assumptions!$B$6</f>
        <v>0.59375</v>
      </c>
      <c r="H74" s="7" t="n">
        <f aca="false">SUMIFS(Doors!T:T,Doors!$A:$A,$D74,Doors!$B:$B,$B74,Doors!$C:$C,$C74)*SUMIFS(Velocity!$I:$I,Velocity!$A:$A,$A74,Velocity!$B:$B,$C74)/Assumptions!$B$4*Assumptions!$B$6</f>
        <v>0.59375</v>
      </c>
      <c r="I74" s="7" t="n">
        <f aca="false">SUMIFS(Doors!U:U,Doors!$A:$A,$D74,Doors!$B:$B,$B74,Doors!$C:$C,$C74)*SUMIFS(Velocity!$I:$I,Velocity!$A:$A,$A74,Velocity!$B:$B,$C74)/Assumptions!$B$4*Assumptions!$B$6</f>
        <v>0.59375</v>
      </c>
      <c r="J74" s="7" t="n">
        <f aca="false">SUMIFS(Doors!V:V,Doors!$A:$A,$D74,Doors!$B:$B,$B74,Doors!$C:$C,$C74)*SUMIFS(Velocity!$I:$I,Velocity!$A:$A,$A74,Velocity!$B:$B,$C74)/Assumptions!$B$4*Assumptions!$B$6</f>
        <v>0.989583333333333</v>
      </c>
      <c r="K74" s="7" t="n">
        <f aca="false">SUMIFS(Doors!W:W,Doors!$A:$A,$D74,Doors!$B:$B,$B74,Doors!$C:$C,$C74)*SUMIFS(Velocity!$I:$I,Velocity!$A:$A,$A74,Velocity!$B:$B,$C74)/Assumptions!$B$4*Assumptions!$B$6</f>
        <v>0.989583333333333</v>
      </c>
      <c r="L74" s="7" t="n">
        <f aca="false">SUMIFS(Doors!X:X,Doors!$A:$A,$D74,Doors!$B:$B,$B74,Doors!$C:$C,$C74)*SUMIFS(Velocity!$I:$I,Velocity!$A:$A,$A74,Velocity!$B:$B,$C74)/Assumptions!$B$4*Assumptions!$B$6</f>
        <v>0.989583333333333</v>
      </c>
      <c r="M74" s="7" t="n">
        <f aca="false">SUMIFS(Doors!Y:Y,Doors!$A:$A,$D74,Doors!$B:$B,$B74,Doors!$C:$C,$C74)*SUMIFS(Velocity!$I:$I,Velocity!$A:$A,$A74,Velocity!$B:$B,$C74)/Assumptions!$B$4*Assumptions!$B$6</f>
        <v>0.989583333333333</v>
      </c>
      <c r="N74" s="7" t="n">
        <f aca="false">SUMIFS(Doors!Z:Z,Doors!$A:$A,$D74,Doors!$B:$B,$B74,Doors!$C:$C,$C74)*SUMIFS(Velocity!$I:$I,Velocity!$A:$A,$A74,Velocity!$B:$B,$C74)/Assumptions!$B$4*Assumptions!$B$6</f>
        <v>1.38541666666667</v>
      </c>
      <c r="O74" s="7" t="n">
        <f aca="false">SUMIFS(Doors!AA:AA,Doors!$A:$A,$D74,Doors!$B:$B,$B74,Doors!$C:$C,$C74)*SUMIFS(Velocity!$I:$I,Velocity!$A:$A,$A74,Velocity!$B:$B,$C74)/Assumptions!$B$4*Assumptions!$B$6</f>
        <v>1.38541666666667</v>
      </c>
      <c r="P74" s="7" t="n">
        <f aca="false">SUMIFS(Doors!AB:AB,Doors!$A:$A,$D74,Doors!$B:$B,$B74,Doors!$C:$C,$C74)*SUMIFS(Velocity!$I:$I,Velocity!$A:$A,$A74,Velocity!$B:$B,$C74)/Assumptions!$B$4*Assumptions!$B$6</f>
        <v>1.38541666666667</v>
      </c>
      <c r="Q74" s="7" t="n">
        <f aca="false">SUMIFS(Doors!AC:AC,Doors!$A:$A,$D74,Doors!$B:$B,$B74,Doors!$C:$C,$C74)*SUMIFS(Velocity!$I:$I,Velocity!$A:$A,$A74,Velocity!$B:$B,$C74)/Assumptions!$B$4*Assumptions!$B$6</f>
        <v>1.38541666666667</v>
      </c>
      <c r="R74" s="7" t="n">
        <f aca="false">SUMIFS(Doors!AD:AD,Doors!$A:$A,$D74,Doors!$B:$B,$B74,Doors!$C:$C,$C74)*SUMIFS(Velocity!$I:$I,Velocity!$A:$A,$A74,Velocity!$B:$B,$C74)/Assumptions!$B$4*Assumptions!$B$6</f>
        <v>1.78125</v>
      </c>
      <c r="S74" s="7" t="n">
        <f aca="false">SUMIFS(Doors!AE:AE,Doors!$A:$A,$D74,Doors!$B:$B,$B74,Doors!$C:$C,$C74)*SUMIFS(Velocity!$I:$I,Velocity!$A:$A,$A74,Velocity!$B:$B,$C74)/Assumptions!$B$4*Assumptions!$B$6</f>
        <v>1.78125</v>
      </c>
      <c r="T74" s="7" t="n">
        <f aca="false">SUMIFS(Doors!AF:AF,Doors!$A:$A,$D74,Doors!$B:$B,$B74,Doors!$C:$C,$C74)*SUMIFS(Velocity!$I:$I,Velocity!$A:$A,$A74,Velocity!$B:$B,$C74)/Assumptions!$B$4*Assumptions!$B$6</f>
        <v>1.78125</v>
      </c>
      <c r="U74" s="7" t="n">
        <f aca="false">SUMIFS(Doors!AG:AG,Doors!$A:$A,$D74,Doors!$B:$B,$B74,Doors!$C:$C,$C74)*SUMIFS(Velocity!$I:$I,Velocity!$A:$A,$A74,Velocity!$B:$B,$C74)/Assumptions!$B$4*Assumptions!$B$6</f>
        <v>1.78125</v>
      </c>
      <c r="V74" s="7" t="n">
        <f aca="false">SUMIFS(Doors!AH:AH,Doors!$A:$A,$D74,Doors!$B:$B,$B74,Doors!$C:$C,$C74)*SUMIFS(Velocity!$I:$I,Velocity!$A:$A,$A74,Velocity!$B:$B,$C74)/Assumptions!$B$4*Assumptions!$B$6</f>
        <v>1.78125</v>
      </c>
      <c r="W74" s="7" t="n">
        <f aca="false">SUMIFS(Doors!AI:AI,Doors!$A:$A,$D74,Doors!$B:$B,$B74,Doors!$C:$C,$C74)*SUMIFS(Velocity!$I:$I,Velocity!$A:$A,$A74,Velocity!$B:$B,$C74)/Assumptions!$B$4*Assumptions!$B$6</f>
        <v>2.17708333333333</v>
      </c>
      <c r="X74" s="7" t="n">
        <f aca="false">SUMIFS(Doors!AJ:AJ,Doors!$A:$A,$D74,Doors!$B:$B,$B74,Doors!$C:$C,$C74)*SUMIFS(Velocity!$I:$I,Velocity!$A:$A,$A74,Velocity!$B:$B,$C74)/Assumptions!$B$4*Assumptions!$B$6</f>
        <v>2.17708333333333</v>
      </c>
      <c r="Y74" s="7" t="n">
        <f aca="false">SUMIFS(Doors!AK:AK,Doors!$A:$A,$D74,Doors!$B:$B,$B74,Doors!$C:$C,$C74)*SUMIFS(Velocity!$I:$I,Velocity!$A:$A,$A74,Velocity!$B:$B,$C74)/Assumptions!$B$4*Assumptions!$B$6</f>
        <v>2.17708333333333</v>
      </c>
      <c r="Z74" s="7" t="n">
        <f aca="false">SUMIFS(Doors!AL:AL,Doors!$A:$A,$D74,Doors!$B:$B,$B74,Doors!$C:$C,$C74)*SUMIFS(Velocity!$I:$I,Velocity!$A:$A,$A74,Velocity!$B:$B,$C74)/Assumptions!$B$4*Assumptions!$B$6</f>
        <v>2.17708333333333</v>
      </c>
      <c r="AA74" s="7" t="n">
        <f aca="false">SUMIFS(Doors!AM:AM,Doors!$A:$A,$D74,Doors!$B:$B,$B74,Doors!$C:$C,$C74)*SUMIFS(Velocity!$I:$I,Velocity!$A:$A,$A74,Velocity!$B:$B,$C74)/Assumptions!$B$4*Assumptions!$B$6</f>
        <v>2.375</v>
      </c>
      <c r="AB74" s="7" t="n">
        <f aca="false">SUMIFS(Doors!AN:AN,Doors!$A:$A,$D74,Doors!$B:$B,$B74,Doors!$C:$C,$C74)*SUMIFS(Velocity!$I:$I,Velocity!$A:$A,$A74,Velocity!$B:$B,$C74)/Assumptions!$B$4*Assumptions!$B$6</f>
        <v>2.375</v>
      </c>
      <c r="AC74" s="7" t="n">
        <f aca="false">SUMIFS(Doors!AO:AO,Doors!$A:$A,$D74,Doors!$B:$B,$B74,Doors!$C:$C,$C74)*SUMIFS(Velocity!$I:$I,Velocity!$A:$A,$A74,Velocity!$B:$B,$C74)/Assumptions!$B$4*Assumptions!$B$6</f>
        <v>2.375</v>
      </c>
      <c r="AD74" s="7" t="n">
        <f aca="false">SUMIFS(Doors!AP:AP,Doors!$A:$A,$D74,Doors!$B:$B,$B74,Doors!$C:$C,$C74)*SUMIFS(Velocity!$I:$I,Velocity!$A:$A,$A74,Velocity!$B:$B,$C74)/Assumptions!$B$4*Assumptions!$B$6</f>
        <v>2.375</v>
      </c>
      <c r="AE74" s="7" t="n">
        <f aca="false">SUMIFS(Doors!AQ:AQ,Doors!$A:$A,$D74,Doors!$B:$B,$B74,Doors!$C:$C,$C74)*SUMIFS(Velocity!$I:$I,Velocity!$A:$A,$A74,Velocity!$B:$B,$C74)/Assumptions!$B$4*Assumptions!$B$6</f>
        <v>2.57291666666667</v>
      </c>
      <c r="AF74" s="7" t="n">
        <f aca="false">SUMIFS(Doors!AR:AR,Doors!$A:$A,$D74,Doors!$B:$B,$B74,Doors!$C:$C,$C74)*SUMIFS(Velocity!$I:$I,Velocity!$A:$A,$A74,Velocity!$B:$B,$C74)/Assumptions!$B$4*Assumptions!$B$6</f>
        <v>2.57291666666667</v>
      </c>
      <c r="AG74" s="7" t="n">
        <f aca="false">SUMIFS(Doors!AS:AS,Doors!$A:$A,$D74,Doors!$B:$B,$B74,Doors!$C:$C,$C74)*SUMIFS(Velocity!$I:$I,Velocity!$A:$A,$A74,Velocity!$B:$B,$C74)/Assumptions!$B$4*Assumptions!$B$6</f>
        <v>2.57291666666667</v>
      </c>
      <c r="AH74" s="7" t="n">
        <f aca="false">SUMIFS(Doors!AT:AT,Doors!$A:$A,$D74,Doors!$B:$B,$B74,Doors!$C:$C,$C74)*SUMIFS(Velocity!$I:$I,Velocity!$A:$A,$A74,Velocity!$B:$B,$C74)/Assumptions!$B$4*Assumptions!$B$6</f>
        <v>2.57291666666667</v>
      </c>
      <c r="AI74" s="7" t="n">
        <f aca="false">SUMIFS(Doors!AU:AU,Doors!$A:$A,$D74,Doors!$B:$B,$B74,Doors!$C:$C,$C74)*SUMIFS(Velocity!$I:$I,Velocity!$A:$A,$A74,Velocity!$B:$B,$C74)/Assumptions!$B$4*Assumptions!$B$6</f>
        <v>2.57291666666667</v>
      </c>
      <c r="AJ74" s="7" t="n">
        <f aca="false">SUMIFS(Doors!AV:AV,Doors!$A:$A,$D74,Doors!$B:$B,$B74,Doors!$C:$C,$C74)*SUMIFS(Velocity!$I:$I,Velocity!$A:$A,$A74,Velocity!$B:$B,$C74)/Assumptions!$B$4*Assumptions!$B$6</f>
        <v>2.77083333333333</v>
      </c>
      <c r="AK74" s="7" t="n">
        <f aca="false">SUMIFS(Doors!AW:AW,Doors!$A:$A,$D74,Doors!$B:$B,$B74,Doors!$C:$C,$C74)*SUMIFS(Velocity!$I:$I,Velocity!$A:$A,$A74,Velocity!$B:$B,$C74)/Assumptions!$B$4*Assumptions!$B$6</f>
        <v>2.77083333333333</v>
      </c>
      <c r="AL74" s="7" t="n">
        <f aca="false">SUMIFS(Doors!AX:AX,Doors!$A:$A,$D74,Doors!$B:$B,$B74,Doors!$C:$C,$C74)*SUMIFS(Velocity!$I:$I,Velocity!$A:$A,$A74,Velocity!$B:$B,$C74)/Assumptions!$B$4*Assumptions!$B$6</f>
        <v>2.77083333333333</v>
      </c>
      <c r="AM74" s="7" t="n">
        <f aca="false">SUMIFS(Doors!AY:AY,Doors!$A:$A,$D74,Doors!$B:$B,$B74,Doors!$C:$C,$C74)*SUMIFS(Velocity!$I:$I,Velocity!$A:$A,$A74,Velocity!$B:$B,$C74)/Assumptions!$B$4*Assumptions!$B$6</f>
        <v>2.77083333333333</v>
      </c>
      <c r="AN74" s="7" t="n">
        <f aca="false">SUMIFS(Doors!AZ:AZ,Doors!$A:$A,$D74,Doors!$B:$B,$B74,Doors!$C:$C,$C74)*SUMIFS(Velocity!$I:$I,Velocity!$A:$A,$A74,Velocity!$B:$B,$C74)/Assumptions!$B$4*Assumptions!$B$6</f>
        <v>2.77083333333333</v>
      </c>
      <c r="AO74" s="7" t="n">
        <f aca="false">SUMIFS(Doors!BA:BA,Doors!$A:$A,$D74,Doors!$B:$B,$B74,Doors!$C:$C,$C74)*SUMIFS(Velocity!$I:$I,Velocity!$A:$A,$A74,Velocity!$B:$B,$C74)/Assumptions!$B$4*Assumptions!$B$6</f>
        <v>2.77083333333333</v>
      </c>
      <c r="AP74" s="7" t="n">
        <f aca="false">SUMIFS(Doors!BB:BB,Doors!$A:$A,$D74,Doors!$B:$B,$B74,Doors!$C:$C,$C74)*SUMIFS(Velocity!$I:$I,Velocity!$A:$A,$A74,Velocity!$B:$B,$C74)/Assumptions!$B$4*Assumptions!$B$6</f>
        <v>2.77083333333333</v>
      </c>
      <c r="AQ74" s="7" t="n">
        <f aca="false">SUMIFS(Doors!BC:BC,Doors!$A:$A,$D74,Doors!$B:$B,$B74,Doors!$C:$C,$C74)*SUMIFS(Velocity!$I:$I,Velocity!$A:$A,$A74,Velocity!$B:$B,$C74)/Assumptions!$B$4*Assumptions!$B$6</f>
        <v>2.77083333333333</v>
      </c>
      <c r="AR74" s="7" t="n">
        <f aca="false">SUMIFS(Doors!BD:BD,Doors!$A:$A,$D74,Doors!$B:$B,$B74,Doors!$C:$C,$C74)*SUMIFS(Velocity!$I:$I,Velocity!$A:$A,$A74,Velocity!$B:$B,$C74)/Assumptions!$B$4*Assumptions!$B$6</f>
        <v>2.96875</v>
      </c>
      <c r="AS74" s="7" t="n">
        <f aca="false">SUMIFS(Doors!BE:BE,Doors!$A:$A,$D74,Doors!$B:$B,$B74,Doors!$C:$C,$C74)*SUMIFS(Velocity!$I:$I,Velocity!$A:$A,$A74,Velocity!$B:$B,$C74)/Assumptions!$B$4*Assumptions!$B$6</f>
        <v>2.96875</v>
      </c>
      <c r="AT74" s="7" t="n">
        <f aca="false">SUMIFS(Doors!BF:BF,Doors!$A:$A,$D74,Doors!$B:$B,$B74,Doors!$C:$C,$C74)*SUMIFS(Velocity!$I:$I,Velocity!$A:$A,$A74,Velocity!$B:$B,$C74)/Assumptions!$B$4*Assumptions!$B$6</f>
        <v>2.96875</v>
      </c>
      <c r="AU74" s="7" t="n">
        <f aca="false">SUMIFS(Doors!BG:BG,Doors!$A:$A,$D74,Doors!$B:$B,$B74,Doors!$C:$C,$C74)*SUMIFS(Velocity!$I:$I,Velocity!$A:$A,$A74,Velocity!$B:$B,$C74)/Assumptions!$B$4*Assumptions!$B$6</f>
        <v>2.96875</v>
      </c>
      <c r="AV74" s="7" t="n">
        <f aca="false">SUMIFS(Doors!BH:BH,Doors!$A:$A,$D74,Doors!$B:$B,$B74,Doors!$C:$C,$C74)*SUMIFS(Velocity!$I:$I,Velocity!$A:$A,$A74,Velocity!$B:$B,$C74)/Assumptions!$B$4*Assumptions!$B$6</f>
        <v>2.96875</v>
      </c>
      <c r="AW74" s="7" t="n">
        <f aca="false">SUMIFS(Doors!BI:BI,Doors!$A:$A,$D74,Doors!$B:$B,$B74,Doors!$C:$C,$C74)*SUMIFS(Velocity!$I:$I,Velocity!$A:$A,$A74,Velocity!$B:$B,$C74)/Assumptions!$B$4*Assumptions!$B$6</f>
        <v>2.96875</v>
      </c>
      <c r="AX74" s="7" t="n">
        <f aca="false">SUMIFS(Doors!BJ:BJ,Doors!$A:$A,$D74,Doors!$B:$B,$B74,Doors!$C:$C,$C74)*SUMIFS(Velocity!$I:$I,Velocity!$A:$A,$A74,Velocity!$B:$B,$C74)/Assumptions!$B$4*Assumptions!$B$6</f>
        <v>2.96875</v>
      </c>
      <c r="AY74" s="7" t="n">
        <f aca="false">SUMIFS(Doors!BK:BK,Doors!$A:$A,$D74,Doors!$B:$B,$B74,Doors!$C:$C,$C74)*SUMIFS(Velocity!$I:$I,Velocity!$A:$A,$A74,Velocity!$B:$B,$C74)/Assumptions!$B$4*Assumptions!$B$6</f>
        <v>2.96875</v>
      </c>
      <c r="AZ74" s="7" t="n">
        <f aca="false">SUMIFS(Doors!BL:BL,Doors!$A:$A,$D74,Doors!$B:$B,$B74,Doors!$C:$C,$C74)*SUMIFS(Velocity!$I:$I,Velocity!$A:$A,$A74,Velocity!$B:$B,$C74)/Assumptions!$B$4*Assumptions!$B$6</f>
        <v>2.96875</v>
      </c>
      <c r="BA74" s="7" t="n">
        <f aca="false">SUMIFS(Doors!BM:BM,Doors!$A:$A,$D74,Doors!$B:$B,$B74,Doors!$C:$C,$C74)*SUMIFS(Velocity!$I:$I,Velocity!$A:$A,$A74,Velocity!$B:$B,$C74)/Assumptions!$B$4*Assumptions!$B$6</f>
        <v>2.96875</v>
      </c>
      <c r="BB74" s="7" t="n">
        <f aca="false">SUMIFS(Doors!BN:BN,Doors!$A:$A,$D74,Doors!$B:$B,$B74,Doors!$C:$C,$C74)*SUMIFS(Velocity!$I:$I,Velocity!$A:$A,$A74,Velocity!$B:$B,$C74)/Assumptions!$B$4*Assumptions!$B$6</f>
        <v>2.96875</v>
      </c>
      <c r="BC74" s="7" t="n">
        <f aca="false">SUMIFS(Doors!BO:BO,Doors!$A:$A,$D74,Doors!$B:$B,$B74,Doors!$C:$C,$C74)*SUMIFS(Velocity!$I:$I,Velocity!$A:$A,$A74,Velocity!$B:$B,$C74)/Assumptions!$B$4*Assumptions!$B$6</f>
        <v>2.96875</v>
      </c>
      <c r="BD74" s="7" t="n">
        <f aca="false">SUMIFS(Doors!BP:BP,Doors!$A:$A,$D74,Doors!$B:$B,$B74,Doors!$C:$C,$C74)*SUMIFS(Velocity!$I:$I,Velocity!$A:$A,$A74,Velocity!$B:$B,$C74)/Assumptions!$B$4*Assumptions!$B$6</f>
        <v>2.96875</v>
      </c>
    </row>
    <row r="75" customFormat="false" ht="15" hidden="false" customHeight="false" outlineLevel="0" collapsed="false">
      <c r="A75" s="0" t="s">
        <v>108</v>
      </c>
      <c r="B75" s="0" t="s">
        <v>133</v>
      </c>
      <c r="C75" s="0" t="s">
        <v>121</v>
      </c>
      <c r="D75" s="0" t="s">
        <v>235</v>
      </c>
      <c r="E75" s="7" t="n">
        <f aca="false">SUMIFS(Doors!Q:Q,Doors!$A:$A,$D75,Doors!$B:$B,$B75,Doors!$C:$C,$C75)*SUMIFS(Velocity!$I:$I,Velocity!$A:$A,$A75,Velocity!$B:$B,$C75)/Assumptions!$B$4*Assumptions!$B$6</f>
        <v>0.608333333333333</v>
      </c>
      <c r="F75" s="7" t="n">
        <f aca="false">SUMIFS(Doors!R:R,Doors!$A:$A,$D75,Doors!$B:$B,$B75,Doors!$C:$C,$C75)*SUMIFS(Velocity!$I:$I,Velocity!$A:$A,$A75,Velocity!$B:$B,$C75)/Assumptions!$B$4*Assumptions!$B$6</f>
        <v>0.608333333333333</v>
      </c>
      <c r="G75" s="7" t="n">
        <f aca="false">SUMIFS(Doors!S:S,Doors!$A:$A,$D75,Doors!$B:$B,$B75,Doors!$C:$C,$C75)*SUMIFS(Velocity!$I:$I,Velocity!$A:$A,$A75,Velocity!$B:$B,$C75)/Assumptions!$B$4*Assumptions!$B$6</f>
        <v>0.608333333333333</v>
      </c>
      <c r="H75" s="7" t="n">
        <f aca="false">SUMIFS(Doors!T:T,Doors!$A:$A,$D75,Doors!$B:$B,$B75,Doors!$C:$C,$C75)*SUMIFS(Velocity!$I:$I,Velocity!$A:$A,$A75,Velocity!$B:$B,$C75)/Assumptions!$B$4*Assumptions!$B$6</f>
        <v>0.608333333333333</v>
      </c>
      <c r="I75" s="7" t="n">
        <f aca="false">SUMIFS(Doors!U:U,Doors!$A:$A,$D75,Doors!$B:$B,$B75,Doors!$C:$C,$C75)*SUMIFS(Velocity!$I:$I,Velocity!$A:$A,$A75,Velocity!$B:$B,$C75)/Assumptions!$B$4*Assumptions!$B$6</f>
        <v>0.608333333333333</v>
      </c>
      <c r="J75" s="7" t="n">
        <f aca="false">SUMIFS(Doors!V:V,Doors!$A:$A,$D75,Doors!$B:$B,$B75,Doors!$C:$C,$C75)*SUMIFS(Velocity!$I:$I,Velocity!$A:$A,$A75,Velocity!$B:$B,$C75)/Assumptions!$B$4*Assumptions!$B$6</f>
        <v>0.9125</v>
      </c>
      <c r="K75" s="7" t="n">
        <f aca="false">SUMIFS(Doors!W:W,Doors!$A:$A,$D75,Doors!$B:$B,$B75,Doors!$C:$C,$C75)*SUMIFS(Velocity!$I:$I,Velocity!$A:$A,$A75,Velocity!$B:$B,$C75)/Assumptions!$B$4*Assumptions!$B$6</f>
        <v>0.9125</v>
      </c>
      <c r="L75" s="7" t="n">
        <f aca="false">SUMIFS(Doors!X:X,Doors!$A:$A,$D75,Doors!$B:$B,$B75,Doors!$C:$C,$C75)*SUMIFS(Velocity!$I:$I,Velocity!$A:$A,$A75,Velocity!$B:$B,$C75)/Assumptions!$B$4*Assumptions!$B$6</f>
        <v>0.9125</v>
      </c>
      <c r="M75" s="7" t="n">
        <f aca="false">SUMIFS(Doors!Y:Y,Doors!$A:$A,$D75,Doors!$B:$B,$B75,Doors!$C:$C,$C75)*SUMIFS(Velocity!$I:$I,Velocity!$A:$A,$A75,Velocity!$B:$B,$C75)/Assumptions!$B$4*Assumptions!$B$6</f>
        <v>0.9125</v>
      </c>
      <c r="N75" s="7" t="n">
        <f aca="false">SUMIFS(Doors!Z:Z,Doors!$A:$A,$D75,Doors!$B:$B,$B75,Doors!$C:$C,$C75)*SUMIFS(Velocity!$I:$I,Velocity!$A:$A,$A75,Velocity!$B:$B,$C75)/Assumptions!$B$4*Assumptions!$B$6</f>
        <v>1.21666666666667</v>
      </c>
      <c r="O75" s="7" t="n">
        <f aca="false">SUMIFS(Doors!AA:AA,Doors!$A:$A,$D75,Doors!$B:$B,$B75,Doors!$C:$C,$C75)*SUMIFS(Velocity!$I:$I,Velocity!$A:$A,$A75,Velocity!$B:$B,$C75)/Assumptions!$B$4*Assumptions!$B$6</f>
        <v>1.21666666666667</v>
      </c>
      <c r="P75" s="7" t="n">
        <f aca="false">SUMIFS(Doors!AB:AB,Doors!$A:$A,$D75,Doors!$B:$B,$B75,Doors!$C:$C,$C75)*SUMIFS(Velocity!$I:$I,Velocity!$A:$A,$A75,Velocity!$B:$B,$C75)/Assumptions!$B$4*Assumptions!$B$6</f>
        <v>1.21666666666667</v>
      </c>
      <c r="Q75" s="7" t="n">
        <f aca="false">SUMIFS(Doors!AC:AC,Doors!$A:$A,$D75,Doors!$B:$B,$B75,Doors!$C:$C,$C75)*SUMIFS(Velocity!$I:$I,Velocity!$A:$A,$A75,Velocity!$B:$B,$C75)/Assumptions!$B$4*Assumptions!$B$6</f>
        <v>1.21666666666667</v>
      </c>
      <c r="R75" s="7" t="n">
        <f aca="false">SUMIFS(Doors!AD:AD,Doors!$A:$A,$D75,Doors!$B:$B,$B75,Doors!$C:$C,$C75)*SUMIFS(Velocity!$I:$I,Velocity!$A:$A,$A75,Velocity!$B:$B,$C75)/Assumptions!$B$4*Assumptions!$B$6</f>
        <v>1.52083333333333</v>
      </c>
      <c r="S75" s="7" t="n">
        <f aca="false">SUMIFS(Doors!AE:AE,Doors!$A:$A,$D75,Doors!$B:$B,$B75,Doors!$C:$C,$C75)*SUMIFS(Velocity!$I:$I,Velocity!$A:$A,$A75,Velocity!$B:$B,$C75)/Assumptions!$B$4*Assumptions!$B$6</f>
        <v>1.52083333333333</v>
      </c>
      <c r="T75" s="7" t="n">
        <f aca="false">SUMIFS(Doors!AF:AF,Doors!$A:$A,$D75,Doors!$B:$B,$B75,Doors!$C:$C,$C75)*SUMIFS(Velocity!$I:$I,Velocity!$A:$A,$A75,Velocity!$B:$B,$C75)/Assumptions!$B$4*Assumptions!$B$6</f>
        <v>1.52083333333333</v>
      </c>
      <c r="U75" s="7" t="n">
        <f aca="false">SUMIFS(Doors!AG:AG,Doors!$A:$A,$D75,Doors!$B:$B,$B75,Doors!$C:$C,$C75)*SUMIFS(Velocity!$I:$I,Velocity!$A:$A,$A75,Velocity!$B:$B,$C75)/Assumptions!$B$4*Assumptions!$B$6</f>
        <v>1.52083333333333</v>
      </c>
      <c r="V75" s="7" t="n">
        <f aca="false">SUMIFS(Doors!AH:AH,Doors!$A:$A,$D75,Doors!$B:$B,$B75,Doors!$C:$C,$C75)*SUMIFS(Velocity!$I:$I,Velocity!$A:$A,$A75,Velocity!$B:$B,$C75)/Assumptions!$B$4*Assumptions!$B$6</f>
        <v>1.52083333333333</v>
      </c>
      <c r="W75" s="7" t="n">
        <f aca="false">SUMIFS(Doors!AI:AI,Doors!$A:$A,$D75,Doors!$B:$B,$B75,Doors!$C:$C,$C75)*SUMIFS(Velocity!$I:$I,Velocity!$A:$A,$A75,Velocity!$B:$B,$C75)/Assumptions!$B$4*Assumptions!$B$6</f>
        <v>1.825</v>
      </c>
      <c r="X75" s="7" t="n">
        <f aca="false">SUMIFS(Doors!AJ:AJ,Doors!$A:$A,$D75,Doors!$B:$B,$B75,Doors!$C:$C,$C75)*SUMIFS(Velocity!$I:$I,Velocity!$A:$A,$A75,Velocity!$B:$B,$C75)/Assumptions!$B$4*Assumptions!$B$6</f>
        <v>1.825</v>
      </c>
      <c r="Y75" s="7" t="n">
        <f aca="false">SUMIFS(Doors!AK:AK,Doors!$A:$A,$D75,Doors!$B:$B,$B75,Doors!$C:$C,$C75)*SUMIFS(Velocity!$I:$I,Velocity!$A:$A,$A75,Velocity!$B:$B,$C75)/Assumptions!$B$4*Assumptions!$B$6</f>
        <v>1.825</v>
      </c>
      <c r="Z75" s="7" t="n">
        <f aca="false">SUMIFS(Doors!AL:AL,Doors!$A:$A,$D75,Doors!$B:$B,$B75,Doors!$C:$C,$C75)*SUMIFS(Velocity!$I:$I,Velocity!$A:$A,$A75,Velocity!$B:$B,$C75)/Assumptions!$B$4*Assumptions!$B$6</f>
        <v>1.825</v>
      </c>
      <c r="AA75" s="7" t="n">
        <f aca="false">SUMIFS(Doors!AM:AM,Doors!$A:$A,$D75,Doors!$B:$B,$B75,Doors!$C:$C,$C75)*SUMIFS(Velocity!$I:$I,Velocity!$A:$A,$A75,Velocity!$B:$B,$C75)/Assumptions!$B$4*Assumptions!$B$6</f>
        <v>2.12916666666667</v>
      </c>
      <c r="AB75" s="7" t="n">
        <f aca="false">SUMIFS(Doors!AN:AN,Doors!$A:$A,$D75,Doors!$B:$B,$B75,Doors!$C:$C,$C75)*SUMIFS(Velocity!$I:$I,Velocity!$A:$A,$A75,Velocity!$B:$B,$C75)/Assumptions!$B$4*Assumptions!$B$6</f>
        <v>2.12916666666667</v>
      </c>
      <c r="AC75" s="7" t="n">
        <f aca="false">SUMIFS(Doors!AO:AO,Doors!$A:$A,$D75,Doors!$B:$B,$B75,Doors!$C:$C,$C75)*SUMIFS(Velocity!$I:$I,Velocity!$A:$A,$A75,Velocity!$B:$B,$C75)/Assumptions!$B$4*Assumptions!$B$6</f>
        <v>2.12916666666667</v>
      </c>
      <c r="AD75" s="7" t="n">
        <f aca="false">SUMIFS(Doors!AP:AP,Doors!$A:$A,$D75,Doors!$B:$B,$B75,Doors!$C:$C,$C75)*SUMIFS(Velocity!$I:$I,Velocity!$A:$A,$A75,Velocity!$B:$B,$C75)/Assumptions!$B$4*Assumptions!$B$6</f>
        <v>2.12916666666667</v>
      </c>
      <c r="AE75" s="7" t="n">
        <f aca="false">SUMIFS(Doors!AQ:AQ,Doors!$A:$A,$D75,Doors!$B:$B,$B75,Doors!$C:$C,$C75)*SUMIFS(Velocity!$I:$I,Velocity!$A:$A,$A75,Velocity!$B:$B,$C75)/Assumptions!$B$4*Assumptions!$B$6</f>
        <v>2.12916666666667</v>
      </c>
      <c r="AF75" s="7" t="n">
        <f aca="false">SUMIFS(Doors!AR:AR,Doors!$A:$A,$D75,Doors!$B:$B,$B75,Doors!$C:$C,$C75)*SUMIFS(Velocity!$I:$I,Velocity!$A:$A,$A75,Velocity!$B:$B,$C75)/Assumptions!$B$4*Assumptions!$B$6</f>
        <v>2.12916666666667</v>
      </c>
      <c r="AG75" s="7" t="n">
        <f aca="false">SUMIFS(Doors!AS:AS,Doors!$A:$A,$D75,Doors!$B:$B,$B75,Doors!$C:$C,$C75)*SUMIFS(Velocity!$I:$I,Velocity!$A:$A,$A75,Velocity!$B:$B,$C75)/Assumptions!$B$4*Assumptions!$B$6</f>
        <v>2.12916666666667</v>
      </c>
      <c r="AH75" s="7" t="n">
        <f aca="false">SUMIFS(Doors!AT:AT,Doors!$A:$A,$D75,Doors!$B:$B,$B75,Doors!$C:$C,$C75)*SUMIFS(Velocity!$I:$I,Velocity!$A:$A,$A75,Velocity!$B:$B,$C75)/Assumptions!$B$4*Assumptions!$B$6</f>
        <v>2.12916666666667</v>
      </c>
      <c r="AI75" s="7" t="n">
        <f aca="false">SUMIFS(Doors!AU:AU,Doors!$A:$A,$D75,Doors!$B:$B,$B75,Doors!$C:$C,$C75)*SUMIFS(Velocity!$I:$I,Velocity!$A:$A,$A75,Velocity!$B:$B,$C75)/Assumptions!$B$4*Assumptions!$B$6</f>
        <v>2.12916666666667</v>
      </c>
      <c r="AJ75" s="7" t="n">
        <f aca="false">SUMIFS(Doors!AV:AV,Doors!$A:$A,$D75,Doors!$B:$B,$B75,Doors!$C:$C,$C75)*SUMIFS(Velocity!$I:$I,Velocity!$A:$A,$A75,Velocity!$B:$B,$C75)/Assumptions!$B$4*Assumptions!$B$6</f>
        <v>2.43333333333333</v>
      </c>
      <c r="AK75" s="7" t="n">
        <f aca="false">SUMIFS(Doors!AW:AW,Doors!$A:$A,$D75,Doors!$B:$B,$B75,Doors!$C:$C,$C75)*SUMIFS(Velocity!$I:$I,Velocity!$A:$A,$A75,Velocity!$B:$B,$C75)/Assumptions!$B$4*Assumptions!$B$6</f>
        <v>2.43333333333333</v>
      </c>
      <c r="AL75" s="7" t="n">
        <f aca="false">SUMIFS(Doors!AX:AX,Doors!$A:$A,$D75,Doors!$B:$B,$B75,Doors!$C:$C,$C75)*SUMIFS(Velocity!$I:$I,Velocity!$A:$A,$A75,Velocity!$B:$B,$C75)/Assumptions!$B$4*Assumptions!$B$6</f>
        <v>2.43333333333333</v>
      </c>
      <c r="AM75" s="7" t="n">
        <f aca="false">SUMIFS(Doors!AY:AY,Doors!$A:$A,$D75,Doors!$B:$B,$B75,Doors!$C:$C,$C75)*SUMIFS(Velocity!$I:$I,Velocity!$A:$A,$A75,Velocity!$B:$B,$C75)/Assumptions!$B$4*Assumptions!$B$6</f>
        <v>2.43333333333333</v>
      </c>
      <c r="AN75" s="7" t="n">
        <f aca="false">SUMIFS(Doors!AZ:AZ,Doors!$A:$A,$D75,Doors!$B:$B,$B75,Doors!$C:$C,$C75)*SUMIFS(Velocity!$I:$I,Velocity!$A:$A,$A75,Velocity!$B:$B,$C75)/Assumptions!$B$4*Assumptions!$B$6</f>
        <v>2.43333333333333</v>
      </c>
      <c r="AO75" s="7" t="n">
        <f aca="false">SUMIFS(Doors!BA:BA,Doors!$A:$A,$D75,Doors!$B:$B,$B75,Doors!$C:$C,$C75)*SUMIFS(Velocity!$I:$I,Velocity!$A:$A,$A75,Velocity!$B:$B,$C75)/Assumptions!$B$4*Assumptions!$B$6</f>
        <v>2.43333333333333</v>
      </c>
      <c r="AP75" s="7" t="n">
        <f aca="false">SUMIFS(Doors!BB:BB,Doors!$A:$A,$D75,Doors!$B:$B,$B75,Doors!$C:$C,$C75)*SUMIFS(Velocity!$I:$I,Velocity!$A:$A,$A75,Velocity!$B:$B,$C75)/Assumptions!$B$4*Assumptions!$B$6</f>
        <v>2.43333333333333</v>
      </c>
      <c r="AQ75" s="7" t="n">
        <f aca="false">SUMIFS(Doors!BC:BC,Doors!$A:$A,$D75,Doors!$B:$B,$B75,Doors!$C:$C,$C75)*SUMIFS(Velocity!$I:$I,Velocity!$A:$A,$A75,Velocity!$B:$B,$C75)/Assumptions!$B$4*Assumptions!$B$6</f>
        <v>2.43333333333333</v>
      </c>
      <c r="AR75" s="7" t="n">
        <f aca="false">SUMIFS(Doors!BD:BD,Doors!$A:$A,$D75,Doors!$B:$B,$B75,Doors!$C:$C,$C75)*SUMIFS(Velocity!$I:$I,Velocity!$A:$A,$A75,Velocity!$B:$B,$C75)/Assumptions!$B$4*Assumptions!$B$6</f>
        <v>2.43333333333333</v>
      </c>
      <c r="AS75" s="7" t="n">
        <f aca="false">SUMIFS(Doors!BE:BE,Doors!$A:$A,$D75,Doors!$B:$B,$B75,Doors!$C:$C,$C75)*SUMIFS(Velocity!$I:$I,Velocity!$A:$A,$A75,Velocity!$B:$B,$C75)/Assumptions!$B$4*Assumptions!$B$6</f>
        <v>2.43333333333333</v>
      </c>
      <c r="AT75" s="7" t="n">
        <f aca="false">SUMIFS(Doors!BF:BF,Doors!$A:$A,$D75,Doors!$B:$B,$B75,Doors!$C:$C,$C75)*SUMIFS(Velocity!$I:$I,Velocity!$A:$A,$A75,Velocity!$B:$B,$C75)/Assumptions!$B$4*Assumptions!$B$6</f>
        <v>2.43333333333333</v>
      </c>
      <c r="AU75" s="7" t="n">
        <f aca="false">SUMIFS(Doors!BG:BG,Doors!$A:$A,$D75,Doors!$B:$B,$B75,Doors!$C:$C,$C75)*SUMIFS(Velocity!$I:$I,Velocity!$A:$A,$A75,Velocity!$B:$B,$C75)/Assumptions!$B$4*Assumptions!$B$6</f>
        <v>2.43333333333333</v>
      </c>
      <c r="AV75" s="7" t="n">
        <f aca="false">SUMIFS(Doors!BH:BH,Doors!$A:$A,$D75,Doors!$B:$B,$B75,Doors!$C:$C,$C75)*SUMIFS(Velocity!$I:$I,Velocity!$A:$A,$A75,Velocity!$B:$B,$C75)/Assumptions!$B$4*Assumptions!$B$6</f>
        <v>2.43333333333333</v>
      </c>
      <c r="AW75" s="7" t="n">
        <f aca="false">SUMIFS(Doors!BI:BI,Doors!$A:$A,$D75,Doors!$B:$B,$B75,Doors!$C:$C,$C75)*SUMIFS(Velocity!$I:$I,Velocity!$A:$A,$A75,Velocity!$B:$B,$C75)/Assumptions!$B$4*Assumptions!$B$6</f>
        <v>2.43333333333333</v>
      </c>
      <c r="AX75" s="7" t="n">
        <f aca="false">SUMIFS(Doors!BJ:BJ,Doors!$A:$A,$D75,Doors!$B:$B,$B75,Doors!$C:$C,$C75)*SUMIFS(Velocity!$I:$I,Velocity!$A:$A,$A75,Velocity!$B:$B,$C75)/Assumptions!$B$4*Assumptions!$B$6</f>
        <v>2.43333333333333</v>
      </c>
      <c r="AY75" s="7" t="n">
        <f aca="false">SUMIFS(Doors!BK:BK,Doors!$A:$A,$D75,Doors!$B:$B,$B75,Doors!$C:$C,$C75)*SUMIFS(Velocity!$I:$I,Velocity!$A:$A,$A75,Velocity!$B:$B,$C75)/Assumptions!$B$4*Assumptions!$B$6</f>
        <v>2.43333333333333</v>
      </c>
      <c r="AZ75" s="7" t="n">
        <f aca="false">SUMIFS(Doors!BL:BL,Doors!$A:$A,$D75,Doors!$B:$B,$B75,Doors!$C:$C,$C75)*SUMIFS(Velocity!$I:$I,Velocity!$A:$A,$A75,Velocity!$B:$B,$C75)/Assumptions!$B$4*Assumptions!$B$6</f>
        <v>2.43333333333333</v>
      </c>
      <c r="BA75" s="7" t="n">
        <f aca="false">SUMIFS(Doors!BM:BM,Doors!$A:$A,$D75,Doors!$B:$B,$B75,Doors!$C:$C,$C75)*SUMIFS(Velocity!$I:$I,Velocity!$A:$A,$A75,Velocity!$B:$B,$C75)/Assumptions!$B$4*Assumptions!$B$6</f>
        <v>2.43333333333333</v>
      </c>
      <c r="BB75" s="7" t="n">
        <f aca="false">SUMIFS(Doors!BN:BN,Doors!$A:$A,$D75,Doors!$B:$B,$B75,Doors!$C:$C,$C75)*SUMIFS(Velocity!$I:$I,Velocity!$A:$A,$A75,Velocity!$B:$B,$C75)/Assumptions!$B$4*Assumptions!$B$6</f>
        <v>2.43333333333333</v>
      </c>
      <c r="BC75" s="7" t="n">
        <f aca="false">SUMIFS(Doors!BO:BO,Doors!$A:$A,$D75,Doors!$B:$B,$B75,Doors!$C:$C,$C75)*SUMIFS(Velocity!$I:$I,Velocity!$A:$A,$A75,Velocity!$B:$B,$C75)/Assumptions!$B$4*Assumptions!$B$6</f>
        <v>2.43333333333333</v>
      </c>
      <c r="BD75" s="7" t="n">
        <f aca="false">SUMIFS(Doors!BP:BP,Doors!$A:$A,$D75,Doors!$B:$B,$B75,Doors!$C:$C,$C75)*SUMIFS(Velocity!$I:$I,Velocity!$A:$A,$A75,Velocity!$B:$B,$C75)/Assumptions!$B$4*Assumptions!$B$6</f>
        <v>2.43333333333333</v>
      </c>
    </row>
    <row r="76" customFormat="false" ht="15" hidden="false" customHeight="false" outlineLevel="0" collapsed="false">
      <c r="A76" s="0" t="s">
        <v>108</v>
      </c>
      <c r="B76" s="0" t="s">
        <v>133</v>
      </c>
      <c r="C76" s="0" t="s">
        <v>122</v>
      </c>
      <c r="D76" s="0" t="s">
        <v>235</v>
      </c>
      <c r="E76" s="7" t="n">
        <f aca="false">SUMIFS(Doors!Q:Q,Doors!$A:$A,$D76,Doors!$B:$B,$B76,Doors!$C:$C,$C76)*SUMIFS(Velocity!$I:$I,Velocity!$A:$A,$A76,Velocity!$B:$B,$C76)/Assumptions!$B$4*Assumptions!$B$6</f>
        <v>0</v>
      </c>
      <c r="F76" s="7" t="n">
        <f aca="false">SUMIFS(Doors!R:R,Doors!$A:$A,$D76,Doors!$B:$B,$B76,Doors!$C:$C,$C76)*SUMIFS(Velocity!$I:$I,Velocity!$A:$A,$A76,Velocity!$B:$B,$C76)/Assumptions!$B$4*Assumptions!$B$6</f>
        <v>0</v>
      </c>
      <c r="G76" s="7" t="n">
        <f aca="false">SUMIFS(Doors!S:S,Doors!$A:$A,$D76,Doors!$B:$B,$B76,Doors!$C:$C,$C76)*SUMIFS(Velocity!$I:$I,Velocity!$A:$A,$A76,Velocity!$B:$B,$C76)/Assumptions!$B$4*Assumptions!$B$6</f>
        <v>0</v>
      </c>
      <c r="H76" s="7" t="n">
        <f aca="false">SUMIFS(Doors!T:T,Doors!$A:$A,$D76,Doors!$B:$B,$B76,Doors!$C:$C,$C76)*SUMIFS(Velocity!$I:$I,Velocity!$A:$A,$A76,Velocity!$B:$B,$C76)/Assumptions!$B$4*Assumptions!$B$6</f>
        <v>0</v>
      </c>
      <c r="I76" s="7" t="n">
        <f aca="false">SUMIFS(Doors!U:U,Doors!$A:$A,$D76,Doors!$B:$B,$B76,Doors!$C:$C,$C76)*SUMIFS(Velocity!$I:$I,Velocity!$A:$A,$A76,Velocity!$B:$B,$C76)/Assumptions!$B$4*Assumptions!$B$6</f>
        <v>0</v>
      </c>
      <c r="J76" s="7" t="n">
        <f aca="false">SUMIFS(Doors!V:V,Doors!$A:$A,$D76,Doors!$B:$B,$B76,Doors!$C:$C,$C76)*SUMIFS(Velocity!$I:$I,Velocity!$A:$A,$A76,Velocity!$B:$B,$C76)/Assumptions!$B$4*Assumptions!$B$6</f>
        <v>0</v>
      </c>
      <c r="K76" s="7" t="n">
        <f aca="false">SUMIFS(Doors!W:W,Doors!$A:$A,$D76,Doors!$B:$B,$B76,Doors!$C:$C,$C76)*SUMIFS(Velocity!$I:$I,Velocity!$A:$A,$A76,Velocity!$B:$B,$C76)/Assumptions!$B$4*Assumptions!$B$6</f>
        <v>0</v>
      </c>
      <c r="L76" s="7" t="n">
        <f aca="false">SUMIFS(Doors!X:X,Doors!$A:$A,$D76,Doors!$B:$B,$B76,Doors!$C:$C,$C76)*SUMIFS(Velocity!$I:$I,Velocity!$A:$A,$A76,Velocity!$B:$B,$C76)/Assumptions!$B$4*Assumptions!$B$6</f>
        <v>0</v>
      </c>
      <c r="M76" s="7" t="n">
        <f aca="false">SUMIFS(Doors!Y:Y,Doors!$A:$A,$D76,Doors!$B:$B,$B76,Doors!$C:$C,$C76)*SUMIFS(Velocity!$I:$I,Velocity!$A:$A,$A76,Velocity!$B:$B,$C76)/Assumptions!$B$4*Assumptions!$B$6</f>
        <v>0</v>
      </c>
      <c r="N76" s="7" t="n">
        <f aca="false">SUMIFS(Doors!Z:Z,Doors!$A:$A,$D76,Doors!$B:$B,$B76,Doors!$C:$C,$C76)*SUMIFS(Velocity!$I:$I,Velocity!$A:$A,$A76,Velocity!$B:$B,$C76)/Assumptions!$B$4*Assumptions!$B$6</f>
        <v>0</v>
      </c>
      <c r="O76" s="7" t="n">
        <f aca="false">SUMIFS(Doors!AA:AA,Doors!$A:$A,$D76,Doors!$B:$B,$B76,Doors!$C:$C,$C76)*SUMIFS(Velocity!$I:$I,Velocity!$A:$A,$A76,Velocity!$B:$B,$C76)/Assumptions!$B$4*Assumptions!$B$6</f>
        <v>0</v>
      </c>
      <c r="P76" s="7" t="n">
        <f aca="false">SUMIFS(Doors!AB:AB,Doors!$A:$A,$D76,Doors!$B:$B,$B76,Doors!$C:$C,$C76)*SUMIFS(Velocity!$I:$I,Velocity!$A:$A,$A76,Velocity!$B:$B,$C76)/Assumptions!$B$4*Assumptions!$B$6</f>
        <v>0</v>
      </c>
      <c r="Q76" s="7" t="n">
        <f aca="false">SUMIFS(Doors!AC:AC,Doors!$A:$A,$D76,Doors!$B:$B,$B76,Doors!$C:$C,$C76)*SUMIFS(Velocity!$I:$I,Velocity!$A:$A,$A76,Velocity!$B:$B,$C76)/Assumptions!$B$4*Assumptions!$B$6</f>
        <v>0</v>
      </c>
      <c r="R76" s="7" t="n">
        <f aca="false">SUMIFS(Doors!AD:AD,Doors!$A:$A,$D76,Doors!$B:$B,$B76,Doors!$C:$C,$C76)*SUMIFS(Velocity!$I:$I,Velocity!$A:$A,$A76,Velocity!$B:$B,$C76)/Assumptions!$B$4*Assumptions!$B$6</f>
        <v>0</v>
      </c>
      <c r="S76" s="7" t="n">
        <f aca="false">SUMIFS(Doors!AE:AE,Doors!$A:$A,$D76,Doors!$B:$B,$B76,Doors!$C:$C,$C76)*SUMIFS(Velocity!$I:$I,Velocity!$A:$A,$A76,Velocity!$B:$B,$C76)/Assumptions!$B$4*Assumptions!$B$6</f>
        <v>0</v>
      </c>
      <c r="T76" s="7" t="n">
        <f aca="false">SUMIFS(Doors!AF:AF,Doors!$A:$A,$D76,Doors!$B:$B,$B76,Doors!$C:$C,$C76)*SUMIFS(Velocity!$I:$I,Velocity!$A:$A,$A76,Velocity!$B:$B,$C76)/Assumptions!$B$4*Assumptions!$B$6</f>
        <v>0</v>
      </c>
      <c r="U76" s="7" t="n">
        <f aca="false">SUMIFS(Doors!AG:AG,Doors!$A:$A,$D76,Doors!$B:$B,$B76,Doors!$C:$C,$C76)*SUMIFS(Velocity!$I:$I,Velocity!$A:$A,$A76,Velocity!$B:$B,$C76)/Assumptions!$B$4*Assumptions!$B$6</f>
        <v>0</v>
      </c>
      <c r="V76" s="7" t="n">
        <f aca="false">SUMIFS(Doors!AH:AH,Doors!$A:$A,$D76,Doors!$B:$B,$B76,Doors!$C:$C,$C76)*SUMIFS(Velocity!$I:$I,Velocity!$A:$A,$A76,Velocity!$B:$B,$C76)/Assumptions!$B$4*Assumptions!$B$6</f>
        <v>0</v>
      </c>
      <c r="W76" s="7" t="n">
        <f aca="false">SUMIFS(Doors!AI:AI,Doors!$A:$A,$D76,Doors!$B:$B,$B76,Doors!$C:$C,$C76)*SUMIFS(Velocity!$I:$I,Velocity!$A:$A,$A76,Velocity!$B:$B,$C76)/Assumptions!$B$4*Assumptions!$B$6</f>
        <v>0</v>
      </c>
      <c r="X76" s="7" t="n">
        <f aca="false">SUMIFS(Doors!AJ:AJ,Doors!$A:$A,$D76,Doors!$B:$B,$B76,Doors!$C:$C,$C76)*SUMIFS(Velocity!$I:$I,Velocity!$A:$A,$A76,Velocity!$B:$B,$C76)/Assumptions!$B$4*Assumptions!$B$6</f>
        <v>0</v>
      </c>
      <c r="Y76" s="7" t="n">
        <f aca="false">SUMIFS(Doors!AK:AK,Doors!$A:$A,$D76,Doors!$B:$B,$B76,Doors!$C:$C,$C76)*SUMIFS(Velocity!$I:$I,Velocity!$A:$A,$A76,Velocity!$B:$B,$C76)/Assumptions!$B$4*Assumptions!$B$6</f>
        <v>0</v>
      </c>
      <c r="Z76" s="7" t="n">
        <f aca="false">SUMIFS(Doors!AL:AL,Doors!$A:$A,$D76,Doors!$B:$B,$B76,Doors!$C:$C,$C76)*SUMIFS(Velocity!$I:$I,Velocity!$A:$A,$A76,Velocity!$B:$B,$C76)/Assumptions!$B$4*Assumptions!$B$6</f>
        <v>0</v>
      </c>
      <c r="AA76" s="7" t="n">
        <f aca="false">SUMIFS(Doors!AM:AM,Doors!$A:$A,$D76,Doors!$B:$B,$B76,Doors!$C:$C,$C76)*SUMIFS(Velocity!$I:$I,Velocity!$A:$A,$A76,Velocity!$B:$B,$C76)/Assumptions!$B$4*Assumptions!$B$6</f>
        <v>0</v>
      </c>
      <c r="AB76" s="7" t="n">
        <f aca="false">SUMIFS(Doors!AN:AN,Doors!$A:$A,$D76,Doors!$B:$B,$B76,Doors!$C:$C,$C76)*SUMIFS(Velocity!$I:$I,Velocity!$A:$A,$A76,Velocity!$B:$B,$C76)/Assumptions!$B$4*Assumptions!$B$6</f>
        <v>0</v>
      </c>
      <c r="AC76" s="7" t="n">
        <f aca="false">SUMIFS(Doors!AO:AO,Doors!$A:$A,$D76,Doors!$B:$B,$B76,Doors!$C:$C,$C76)*SUMIFS(Velocity!$I:$I,Velocity!$A:$A,$A76,Velocity!$B:$B,$C76)/Assumptions!$B$4*Assumptions!$B$6</f>
        <v>0</v>
      </c>
      <c r="AD76" s="7" t="n">
        <f aca="false">SUMIFS(Doors!AP:AP,Doors!$A:$A,$D76,Doors!$B:$B,$B76,Doors!$C:$C,$C76)*SUMIFS(Velocity!$I:$I,Velocity!$A:$A,$A76,Velocity!$B:$B,$C76)/Assumptions!$B$4*Assumptions!$B$6</f>
        <v>0</v>
      </c>
      <c r="AE76" s="7" t="n">
        <f aca="false">SUMIFS(Doors!AQ:AQ,Doors!$A:$A,$D76,Doors!$B:$B,$B76,Doors!$C:$C,$C76)*SUMIFS(Velocity!$I:$I,Velocity!$A:$A,$A76,Velocity!$B:$B,$C76)/Assumptions!$B$4*Assumptions!$B$6</f>
        <v>0</v>
      </c>
      <c r="AF76" s="7" t="n">
        <f aca="false">SUMIFS(Doors!AR:AR,Doors!$A:$A,$D76,Doors!$B:$B,$B76,Doors!$C:$C,$C76)*SUMIFS(Velocity!$I:$I,Velocity!$A:$A,$A76,Velocity!$B:$B,$C76)/Assumptions!$B$4*Assumptions!$B$6</f>
        <v>0</v>
      </c>
      <c r="AG76" s="7" t="n">
        <f aca="false">SUMIFS(Doors!AS:AS,Doors!$A:$A,$D76,Doors!$B:$B,$B76,Doors!$C:$C,$C76)*SUMIFS(Velocity!$I:$I,Velocity!$A:$A,$A76,Velocity!$B:$B,$C76)/Assumptions!$B$4*Assumptions!$B$6</f>
        <v>0</v>
      </c>
      <c r="AH76" s="7" t="n">
        <f aca="false">SUMIFS(Doors!AT:AT,Doors!$A:$A,$D76,Doors!$B:$B,$B76,Doors!$C:$C,$C76)*SUMIFS(Velocity!$I:$I,Velocity!$A:$A,$A76,Velocity!$B:$B,$C76)/Assumptions!$B$4*Assumptions!$B$6</f>
        <v>0</v>
      </c>
      <c r="AI76" s="7" t="n">
        <f aca="false">SUMIFS(Doors!AU:AU,Doors!$A:$A,$D76,Doors!$B:$B,$B76,Doors!$C:$C,$C76)*SUMIFS(Velocity!$I:$I,Velocity!$A:$A,$A76,Velocity!$B:$B,$C76)/Assumptions!$B$4*Assumptions!$B$6</f>
        <v>0</v>
      </c>
      <c r="AJ76" s="7" t="n">
        <f aca="false">SUMIFS(Doors!AV:AV,Doors!$A:$A,$D76,Doors!$B:$B,$B76,Doors!$C:$C,$C76)*SUMIFS(Velocity!$I:$I,Velocity!$A:$A,$A76,Velocity!$B:$B,$C76)/Assumptions!$B$4*Assumptions!$B$6</f>
        <v>0</v>
      </c>
      <c r="AK76" s="7" t="n">
        <f aca="false">SUMIFS(Doors!AW:AW,Doors!$A:$A,$D76,Doors!$B:$B,$B76,Doors!$C:$C,$C76)*SUMIFS(Velocity!$I:$I,Velocity!$A:$A,$A76,Velocity!$B:$B,$C76)/Assumptions!$B$4*Assumptions!$B$6</f>
        <v>0</v>
      </c>
      <c r="AL76" s="7" t="n">
        <f aca="false">SUMIFS(Doors!AX:AX,Doors!$A:$A,$D76,Doors!$B:$B,$B76,Doors!$C:$C,$C76)*SUMIFS(Velocity!$I:$I,Velocity!$A:$A,$A76,Velocity!$B:$B,$C76)/Assumptions!$B$4*Assumptions!$B$6</f>
        <v>0</v>
      </c>
      <c r="AM76" s="7" t="n">
        <f aca="false">SUMIFS(Doors!AY:AY,Doors!$A:$A,$D76,Doors!$B:$B,$B76,Doors!$C:$C,$C76)*SUMIFS(Velocity!$I:$I,Velocity!$A:$A,$A76,Velocity!$B:$B,$C76)/Assumptions!$B$4*Assumptions!$B$6</f>
        <v>0</v>
      </c>
      <c r="AN76" s="7" t="n">
        <f aca="false">SUMIFS(Doors!AZ:AZ,Doors!$A:$A,$D76,Doors!$B:$B,$B76,Doors!$C:$C,$C76)*SUMIFS(Velocity!$I:$I,Velocity!$A:$A,$A76,Velocity!$B:$B,$C76)/Assumptions!$B$4*Assumptions!$B$6</f>
        <v>0</v>
      </c>
      <c r="AO76" s="7" t="n">
        <f aca="false">SUMIFS(Doors!BA:BA,Doors!$A:$A,$D76,Doors!$B:$B,$B76,Doors!$C:$C,$C76)*SUMIFS(Velocity!$I:$I,Velocity!$A:$A,$A76,Velocity!$B:$B,$C76)/Assumptions!$B$4*Assumptions!$B$6</f>
        <v>0</v>
      </c>
      <c r="AP76" s="7" t="n">
        <f aca="false">SUMIFS(Doors!BB:BB,Doors!$A:$A,$D76,Doors!$B:$B,$B76,Doors!$C:$C,$C76)*SUMIFS(Velocity!$I:$I,Velocity!$A:$A,$A76,Velocity!$B:$B,$C76)/Assumptions!$B$4*Assumptions!$B$6</f>
        <v>0</v>
      </c>
      <c r="AQ76" s="7" t="n">
        <f aca="false">SUMIFS(Doors!BC:BC,Doors!$A:$A,$D76,Doors!$B:$B,$B76,Doors!$C:$C,$C76)*SUMIFS(Velocity!$I:$I,Velocity!$A:$A,$A76,Velocity!$B:$B,$C76)/Assumptions!$B$4*Assumptions!$B$6</f>
        <v>0</v>
      </c>
      <c r="AR76" s="7" t="n">
        <f aca="false">SUMIFS(Doors!BD:BD,Doors!$A:$A,$D76,Doors!$B:$B,$B76,Doors!$C:$C,$C76)*SUMIFS(Velocity!$I:$I,Velocity!$A:$A,$A76,Velocity!$B:$B,$C76)/Assumptions!$B$4*Assumptions!$B$6</f>
        <v>0</v>
      </c>
      <c r="AS76" s="7" t="n">
        <f aca="false">SUMIFS(Doors!BE:BE,Doors!$A:$A,$D76,Doors!$B:$B,$B76,Doors!$C:$C,$C76)*SUMIFS(Velocity!$I:$I,Velocity!$A:$A,$A76,Velocity!$B:$B,$C76)/Assumptions!$B$4*Assumptions!$B$6</f>
        <v>0</v>
      </c>
      <c r="AT76" s="7" t="n">
        <f aca="false">SUMIFS(Doors!BF:BF,Doors!$A:$A,$D76,Doors!$B:$B,$B76,Doors!$C:$C,$C76)*SUMIFS(Velocity!$I:$I,Velocity!$A:$A,$A76,Velocity!$B:$B,$C76)/Assumptions!$B$4*Assumptions!$B$6</f>
        <v>0</v>
      </c>
      <c r="AU76" s="7" t="n">
        <f aca="false">SUMIFS(Doors!BG:BG,Doors!$A:$A,$D76,Doors!$B:$B,$B76,Doors!$C:$C,$C76)*SUMIFS(Velocity!$I:$I,Velocity!$A:$A,$A76,Velocity!$B:$B,$C76)/Assumptions!$B$4*Assumptions!$B$6</f>
        <v>0</v>
      </c>
      <c r="AV76" s="7" t="n">
        <f aca="false">SUMIFS(Doors!BH:BH,Doors!$A:$A,$D76,Doors!$B:$B,$B76,Doors!$C:$C,$C76)*SUMIFS(Velocity!$I:$I,Velocity!$A:$A,$A76,Velocity!$B:$B,$C76)/Assumptions!$B$4*Assumptions!$B$6</f>
        <v>0</v>
      </c>
      <c r="AW76" s="7" t="n">
        <f aca="false">SUMIFS(Doors!BI:BI,Doors!$A:$A,$D76,Doors!$B:$B,$B76,Doors!$C:$C,$C76)*SUMIFS(Velocity!$I:$I,Velocity!$A:$A,$A76,Velocity!$B:$B,$C76)/Assumptions!$B$4*Assumptions!$B$6</f>
        <v>0</v>
      </c>
      <c r="AX76" s="7" t="n">
        <f aca="false">SUMIFS(Doors!BJ:BJ,Doors!$A:$A,$D76,Doors!$B:$B,$B76,Doors!$C:$C,$C76)*SUMIFS(Velocity!$I:$I,Velocity!$A:$A,$A76,Velocity!$B:$B,$C76)/Assumptions!$B$4*Assumptions!$B$6</f>
        <v>0</v>
      </c>
      <c r="AY76" s="7" t="n">
        <f aca="false">SUMIFS(Doors!BK:BK,Doors!$A:$A,$D76,Doors!$B:$B,$B76,Doors!$C:$C,$C76)*SUMIFS(Velocity!$I:$I,Velocity!$A:$A,$A76,Velocity!$B:$B,$C76)/Assumptions!$B$4*Assumptions!$B$6</f>
        <v>0</v>
      </c>
      <c r="AZ76" s="7" t="n">
        <f aca="false">SUMIFS(Doors!BL:BL,Doors!$A:$A,$D76,Doors!$B:$B,$B76,Doors!$C:$C,$C76)*SUMIFS(Velocity!$I:$I,Velocity!$A:$A,$A76,Velocity!$B:$B,$C76)/Assumptions!$B$4*Assumptions!$B$6</f>
        <v>0</v>
      </c>
      <c r="BA76" s="7" t="n">
        <f aca="false">SUMIFS(Doors!BM:BM,Doors!$A:$A,$D76,Doors!$B:$B,$B76,Doors!$C:$C,$C76)*SUMIFS(Velocity!$I:$I,Velocity!$A:$A,$A76,Velocity!$B:$B,$C76)/Assumptions!$B$4*Assumptions!$B$6</f>
        <v>0</v>
      </c>
      <c r="BB76" s="7" t="n">
        <f aca="false">SUMIFS(Doors!BN:BN,Doors!$A:$A,$D76,Doors!$B:$B,$B76,Doors!$C:$C,$C76)*SUMIFS(Velocity!$I:$I,Velocity!$A:$A,$A76,Velocity!$B:$B,$C76)/Assumptions!$B$4*Assumptions!$B$6</f>
        <v>0</v>
      </c>
      <c r="BC76" s="7" t="n">
        <f aca="false">SUMIFS(Doors!BO:BO,Doors!$A:$A,$D76,Doors!$B:$B,$B76,Doors!$C:$C,$C76)*SUMIFS(Velocity!$I:$I,Velocity!$A:$A,$A76,Velocity!$B:$B,$C76)/Assumptions!$B$4*Assumptions!$B$6</f>
        <v>0</v>
      </c>
      <c r="BD76" s="7" t="n">
        <f aca="false">SUMIFS(Doors!BP:BP,Doors!$A:$A,$D76,Doors!$B:$B,$B76,Doors!$C:$C,$C76)*SUMIFS(Velocity!$I:$I,Velocity!$A:$A,$A76,Velocity!$B:$B,$C76)/Assumptions!$B$4*Assumptions!$B$6</f>
        <v>0</v>
      </c>
    </row>
    <row r="77" customFormat="false" ht="15" hidden="false" customHeight="false" outlineLevel="0" collapsed="false">
      <c r="A77" s="0" t="s">
        <v>108</v>
      </c>
      <c r="B77" s="0" t="s">
        <v>133</v>
      </c>
      <c r="C77" s="0" t="s">
        <v>123</v>
      </c>
      <c r="D77" s="0" t="s">
        <v>235</v>
      </c>
      <c r="E77" s="7" t="n">
        <f aca="false">SUMIFS(Doors!Q:Q,Doors!$A:$A,$D77,Doors!$B:$B,$B77,Doors!$C:$C,$C77)*SUMIFS(Velocity!$I:$I,Velocity!$A:$A,$A77,Velocity!$B:$B,$C77)/Assumptions!$B$4*Assumptions!$B$6</f>
        <v>0.216666666666667</v>
      </c>
      <c r="F77" s="7" t="n">
        <f aca="false">SUMIFS(Doors!R:R,Doors!$A:$A,$D77,Doors!$B:$B,$B77,Doors!$C:$C,$C77)*SUMIFS(Velocity!$I:$I,Velocity!$A:$A,$A77,Velocity!$B:$B,$C77)/Assumptions!$B$4*Assumptions!$B$6</f>
        <v>0.216666666666667</v>
      </c>
      <c r="G77" s="7" t="n">
        <f aca="false">SUMIFS(Doors!S:S,Doors!$A:$A,$D77,Doors!$B:$B,$B77,Doors!$C:$C,$C77)*SUMIFS(Velocity!$I:$I,Velocity!$A:$A,$A77,Velocity!$B:$B,$C77)/Assumptions!$B$4*Assumptions!$B$6</f>
        <v>0.216666666666667</v>
      </c>
      <c r="H77" s="7" t="n">
        <f aca="false">SUMIFS(Doors!T:T,Doors!$A:$A,$D77,Doors!$B:$B,$B77,Doors!$C:$C,$C77)*SUMIFS(Velocity!$I:$I,Velocity!$A:$A,$A77,Velocity!$B:$B,$C77)/Assumptions!$B$4*Assumptions!$B$6</f>
        <v>0.216666666666667</v>
      </c>
      <c r="I77" s="7" t="n">
        <f aca="false">SUMIFS(Doors!U:U,Doors!$A:$A,$D77,Doors!$B:$B,$B77,Doors!$C:$C,$C77)*SUMIFS(Velocity!$I:$I,Velocity!$A:$A,$A77,Velocity!$B:$B,$C77)/Assumptions!$B$4*Assumptions!$B$6</f>
        <v>0.216666666666667</v>
      </c>
      <c r="J77" s="7" t="n">
        <f aca="false">SUMIFS(Doors!V:V,Doors!$A:$A,$D77,Doors!$B:$B,$B77,Doors!$C:$C,$C77)*SUMIFS(Velocity!$I:$I,Velocity!$A:$A,$A77,Velocity!$B:$B,$C77)/Assumptions!$B$4*Assumptions!$B$6</f>
        <v>0.325</v>
      </c>
      <c r="K77" s="7" t="n">
        <f aca="false">SUMIFS(Doors!W:W,Doors!$A:$A,$D77,Doors!$B:$B,$B77,Doors!$C:$C,$C77)*SUMIFS(Velocity!$I:$I,Velocity!$A:$A,$A77,Velocity!$B:$B,$C77)/Assumptions!$B$4*Assumptions!$B$6</f>
        <v>0.325</v>
      </c>
      <c r="L77" s="7" t="n">
        <f aca="false">SUMIFS(Doors!X:X,Doors!$A:$A,$D77,Doors!$B:$B,$B77,Doors!$C:$C,$C77)*SUMIFS(Velocity!$I:$I,Velocity!$A:$A,$A77,Velocity!$B:$B,$C77)/Assumptions!$B$4*Assumptions!$B$6</f>
        <v>0.325</v>
      </c>
      <c r="M77" s="7" t="n">
        <f aca="false">SUMIFS(Doors!Y:Y,Doors!$A:$A,$D77,Doors!$B:$B,$B77,Doors!$C:$C,$C77)*SUMIFS(Velocity!$I:$I,Velocity!$A:$A,$A77,Velocity!$B:$B,$C77)/Assumptions!$B$4*Assumptions!$B$6</f>
        <v>0.325</v>
      </c>
      <c r="N77" s="7" t="n">
        <f aca="false">SUMIFS(Doors!Z:Z,Doors!$A:$A,$D77,Doors!$B:$B,$B77,Doors!$C:$C,$C77)*SUMIFS(Velocity!$I:$I,Velocity!$A:$A,$A77,Velocity!$B:$B,$C77)/Assumptions!$B$4*Assumptions!$B$6</f>
        <v>0.541666666666667</v>
      </c>
      <c r="O77" s="7" t="n">
        <f aca="false">SUMIFS(Doors!AA:AA,Doors!$A:$A,$D77,Doors!$B:$B,$B77,Doors!$C:$C,$C77)*SUMIFS(Velocity!$I:$I,Velocity!$A:$A,$A77,Velocity!$B:$B,$C77)/Assumptions!$B$4*Assumptions!$B$6</f>
        <v>0.541666666666667</v>
      </c>
      <c r="P77" s="7" t="n">
        <f aca="false">SUMIFS(Doors!AB:AB,Doors!$A:$A,$D77,Doors!$B:$B,$B77,Doors!$C:$C,$C77)*SUMIFS(Velocity!$I:$I,Velocity!$A:$A,$A77,Velocity!$B:$B,$C77)/Assumptions!$B$4*Assumptions!$B$6</f>
        <v>0.541666666666667</v>
      </c>
      <c r="Q77" s="7" t="n">
        <f aca="false">SUMIFS(Doors!AC:AC,Doors!$A:$A,$D77,Doors!$B:$B,$B77,Doors!$C:$C,$C77)*SUMIFS(Velocity!$I:$I,Velocity!$A:$A,$A77,Velocity!$B:$B,$C77)/Assumptions!$B$4*Assumptions!$B$6</f>
        <v>0.541666666666667</v>
      </c>
      <c r="R77" s="7" t="n">
        <f aca="false">SUMIFS(Doors!AD:AD,Doors!$A:$A,$D77,Doors!$B:$B,$B77,Doors!$C:$C,$C77)*SUMIFS(Velocity!$I:$I,Velocity!$A:$A,$A77,Velocity!$B:$B,$C77)/Assumptions!$B$4*Assumptions!$B$6</f>
        <v>0.65</v>
      </c>
      <c r="S77" s="7" t="n">
        <f aca="false">SUMIFS(Doors!AE:AE,Doors!$A:$A,$D77,Doors!$B:$B,$B77,Doors!$C:$C,$C77)*SUMIFS(Velocity!$I:$I,Velocity!$A:$A,$A77,Velocity!$B:$B,$C77)/Assumptions!$B$4*Assumptions!$B$6</f>
        <v>0.65</v>
      </c>
      <c r="T77" s="7" t="n">
        <f aca="false">SUMIFS(Doors!AF:AF,Doors!$A:$A,$D77,Doors!$B:$B,$B77,Doors!$C:$C,$C77)*SUMIFS(Velocity!$I:$I,Velocity!$A:$A,$A77,Velocity!$B:$B,$C77)/Assumptions!$B$4*Assumptions!$B$6</f>
        <v>0.65</v>
      </c>
      <c r="U77" s="7" t="n">
        <f aca="false">SUMIFS(Doors!AG:AG,Doors!$A:$A,$D77,Doors!$B:$B,$B77,Doors!$C:$C,$C77)*SUMIFS(Velocity!$I:$I,Velocity!$A:$A,$A77,Velocity!$B:$B,$C77)/Assumptions!$B$4*Assumptions!$B$6</f>
        <v>0.65</v>
      </c>
      <c r="V77" s="7" t="n">
        <f aca="false">SUMIFS(Doors!AH:AH,Doors!$A:$A,$D77,Doors!$B:$B,$B77,Doors!$C:$C,$C77)*SUMIFS(Velocity!$I:$I,Velocity!$A:$A,$A77,Velocity!$B:$B,$C77)/Assumptions!$B$4*Assumptions!$B$6</f>
        <v>0.65</v>
      </c>
      <c r="W77" s="7" t="n">
        <f aca="false">SUMIFS(Doors!AI:AI,Doors!$A:$A,$D77,Doors!$B:$B,$B77,Doors!$C:$C,$C77)*SUMIFS(Velocity!$I:$I,Velocity!$A:$A,$A77,Velocity!$B:$B,$C77)/Assumptions!$B$4*Assumptions!$B$6</f>
        <v>0.758333333333333</v>
      </c>
      <c r="X77" s="7" t="n">
        <f aca="false">SUMIFS(Doors!AJ:AJ,Doors!$A:$A,$D77,Doors!$B:$B,$B77,Doors!$C:$C,$C77)*SUMIFS(Velocity!$I:$I,Velocity!$A:$A,$A77,Velocity!$B:$B,$C77)/Assumptions!$B$4*Assumptions!$B$6</f>
        <v>0.758333333333333</v>
      </c>
      <c r="Y77" s="7" t="n">
        <f aca="false">SUMIFS(Doors!AK:AK,Doors!$A:$A,$D77,Doors!$B:$B,$B77,Doors!$C:$C,$C77)*SUMIFS(Velocity!$I:$I,Velocity!$A:$A,$A77,Velocity!$B:$B,$C77)/Assumptions!$B$4*Assumptions!$B$6</f>
        <v>0.758333333333333</v>
      </c>
      <c r="Z77" s="7" t="n">
        <f aca="false">SUMIFS(Doors!AL:AL,Doors!$A:$A,$D77,Doors!$B:$B,$B77,Doors!$C:$C,$C77)*SUMIFS(Velocity!$I:$I,Velocity!$A:$A,$A77,Velocity!$B:$B,$C77)/Assumptions!$B$4*Assumptions!$B$6</f>
        <v>0.758333333333333</v>
      </c>
      <c r="AA77" s="7" t="n">
        <f aca="false">SUMIFS(Doors!AM:AM,Doors!$A:$A,$D77,Doors!$B:$B,$B77,Doors!$C:$C,$C77)*SUMIFS(Velocity!$I:$I,Velocity!$A:$A,$A77,Velocity!$B:$B,$C77)/Assumptions!$B$4*Assumptions!$B$6</f>
        <v>0.866666666666667</v>
      </c>
      <c r="AB77" s="7" t="n">
        <f aca="false">SUMIFS(Doors!AN:AN,Doors!$A:$A,$D77,Doors!$B:$B,$B77,Doors!$C:$C,$C77)*SUMIFS(Velocity!$I:$I,Velocity!$A:$A,$A77,Velocity!$B:$B,$C77)/Assumptions!$B$4*Assumptions!$B$6</f>
        <v>0.866666666666667</v>
      </c>
      <c r="AC77" s="7" t="n">
        <f aca="false">SUMIFS(Doors!AO:AO,Doors!$A:$A,$D77,Doors!$B:$B,$B77,Doors!$C:$C,$C77)*SUMIFS(Velocity!$I:$I,Velocity!$A:$A,$A77,Velocity!$B:$B,$C77)/Assumptions!$B$4*Assumptions!$B$6</f>
        <v>0.866666666666667</v>
      </c>
      <c r="AD77" s="7" t="n">
        <f aca="false">SUMIFS(Doors!AP:AP,Doors!$A:$A,$D77,Doors!$B:$B,$B77,Doors!$C:$C,$C77)*SUMIFS(Velocity!$I:$I,Velocity!$A:$A,$A77,Velocity!$B:$B,$C77)/Assumptions!$B$4*Assumptions!$B$6</f>
        <v>0.866666666666667</v>
      </c>
      <c r="AE77" s="7" t="n">
        <f aca="false">SUMIFS(Doors!AQ:AQ,Doors!$A:$A,$D77,Doors!$B:$B,$B77,Doors!$C:$C,$C77)*SUMIFS(Velocity!$I:$I,Velocity!$A:$A,$A77,Velocity!$B:$B,$C77)/Assumptions!$B$4*Assumptions!$B$6</f>
        <v>0.975</v>
      </c>
      <c r="AF77" s="7" t="n">
        <f aca="false">SUMIFS(Doors!AR:AR,Doors!$A:$A,$D77,Doors!$B:$B,$B77,Doors!$C:$C,$C77)*SUMIFS(Velocity!$I:$I,Velocity!$A:$A,$A77,Velocity!$B:$B,$C77)/Assumptions!$B$4*Assumptions!$B$6</f>
        <v>0.975</v>
      </c>
      <c r="AG77" s="7" t="n">
        <f aca="false">SUMIFS(Doors!AS:AS,Doors!$A:$A,$D77,Doors!$B:$B,$B77,Doors!$C:$C,$C77)*SUMIFS(Velocity!$I:$I,Velocity!$A:$A,$A77,Velocity!$B:$B,$C77)/Assumptions!$B$4*Assumptions!$B$6</f>
        <v>0.975</v>
      </c>
      <c r="AH77" s="7" t="n">
        <f aca="false">SUMIFS(Doors!AT:AT,Doors!$A:$A,$D77,Doors!$B:$B,$B77,Doors!$C:$C,$C77)*SUMIFS(Velocity!$I:$I,Velocity!$A:$A,$A77,Velocity!$B:$B,$C77)/Assumptions!$B$4*Assumptions!$B$6</f>
        <v>0.975</v>
      </c>
      <c r="AI77" s="7" t="n">
        <f aca="false">SUMIFS(Doors!AU:AU,Doors!$A:$A,$D77,Doors!$B:$B,$B77,Doors!$C:$C,$C77)*SUMIFS(Velocity!$I:$I,Velocity!$A:$A,$A77,Velocity!$B:$B,$C77)/Assumptions!$B$4*Assumptions!$B$6</f>
        <v>0.975</v>
      </c>
      <c r="AJ77" s="7" t="n">
        <f aca="false">SUMIFS(Doors!AV:AV,Doors!$A:$A,$D77,Doors!$B:$B,$B77,Doors!$C:$C,$C77)*SUMIFS(Velocity!$I:$I,Velocity!$A:$A,$A77,Velocity!$B:$B,$C77)/Assumptions!$B$4*Assumptions!$B$6</f>
        <v>1.08333333333333</v>
      </c>
      <c r="AK77" s="7" t="n">
        <f aca="false">SUMIFS(Doors!AW:AW,Doors!$A:$A,$D77,Doors!$B:$B,$B77,Doors!$C:$C,$C77)*SUMIFS(Velocity!$I:$I,Velocity!$A:$A,$A77,Velocity!$B:$B,$C77)/Assumptions!$B$4*Assumptions!$B$6</f>
        <v>1.08333333333333</v>
      </c>
      <c r="AL77" s="7" t="n">
        <f aca="false">SUMIFS(Doors!AX:AX,Doors!$A:$A,$D77,Doors!$B:$B,$B77,Doors!$C:$C,$C77)*SUMIFS(Velocity!$I:$I,Velocity!$A:$A,$A77,Velocity!$B:$B,$C77)/Assumptions!$B$4*Assumptions!$B$6</f>
        <v>1.08333333333333</v>
      </c>
      <c r="AM77" s="7" t="n">
        <f aca="false">SUMIFS(Doors!AY:AY,Doors!$A:$A,$D77,Doors!$B:$B,$B77,Doors!$C:$C,$C77)*SUMIFS(Velocity!$I:$I,Velocity!$A:$A,$A77,Velocity!$B:$B,$C77)/Assumptions!$B$4*Assumptions!$B$6</f>
        <v>1.08333333333333</v>
      </c>
      <c r="AN77" s="7" t="n">
        <f aca="false">SUMIFS(Doors!AZ:AZ,Doors!$A:$A,$D77,Doors!$B:$B,$B77,Doors!$C:$C,$C77)*SUMIFS(Velocity!$I:$I,Velocity!$A:$A,$A77,Velocity!$B:$B,$C77)/Assumptions!$B$4*Assumptions!$B$6</f>
        <v>1.08333333333333</v>
      </c>
      <c r="AO77" s="7" t="n">
        <f aca="false">SUMIFS(Doors!BA:BA,Doors!$A:$A,$D77,Doors!$B:$B,$B77,Doors!$C:$C,$C77)*SUMIFS(Velocity!$I:$I,Velocity!$A:$A,$A77,Velocity!$B:$B,$C77)/Assumptions!$B$4*Assumptions!$B$6</f>
        <v>1.08333333333333</v>
      </c>
      <c r="AP77" s="7" t="n">
        <f aca="false">SUMIFS(Doors!BB:BB,Doors!$A:$A,$D77,Doors!$B:$B,$B77,Doors!$C:$C,$C77)*SUMIFS(Velocity!$I:$I,Velocity!$A:$A,$A77,Velocity!$B:$B,$C77)/Assumptions!$B$4*Assumptions!$B$6</f>
        <v>1.08333333333333</v>
      </c>
      <c r="AQ77" s="7" t="n">
        <f aca="false">SUMIFS(Doors!BC:BC,Doors!$A:$A,$D77,Doors!$B:$B,$B77,Doors!$C:$C,$C77)*SUMIFS(Velocity!$I:$I,Velocity!$A:$A,$A77,Velocity!$B:$B,$C77)/Assumptions!$B$4*Assumptions!$B$6</f>
        <v>1.08333333333333</v>
      </c>
      <c r="AR77" s="7" t="n">
        <f aca="false">SUMIFS(Doors!BD:BD,Doors!$A:$A,$D77,Doors!$B:$B,$B77,Doors!$C:$C,$C77)*SUMIFS(Velocity!$I:$I,Velocity!$A:$A,$A77,Velocity!$B:$B,$C77)/Assumptions!$B$4*Assumptions!$B$6</f>
        <v>1.08333333333333</v>
      </c>
      <c r="AS77" s="7" t="n">
        <f aca="false">SUMIFS(Doors!BE:BE,Doors!$A:$A,$D77,Doors!$B:$B,$B77,Doors!$C:$C,$C77)*SUMIFS(Velocity!$I:$I,Velocity!$A:$A,$A77,Velocity!$B:$B,$C77)/Assumptions!$B$4*Assumptions!$B$6</f>
        <v>1.08333333333333</v>
      </c>
      <c r="AT77" s="7" t="n">
        <f aca="false">SUMIFS(Doors!BF:BF,Doors!$A:$A,$D77,Doors!$B:$B,$B77,Doors!$C:$C,$C77)*SUMIFS(Velocity!$I:$I,Velocity!$A:$A,$A77,Velocity!$B:$B,$C77)/Assumptions!$B$4*Assumptions!$B$6</f>
        <v>1.08333333333333</v>
      </c>
      <c r="AU77" s="7" t="n">
        <f aca="false">SUMIFS(Doors!BG:BG,Doors!$A:$A,$D77,Doors!$B:$B,$B77,Doors!$C:$C,$C77)*SUMIFS(Velocity!$I:$I,Velocity!$A:$A,$A77,Velocity!$B:$B,$C77)/Assumptions!$B$4*Assumptions!$B$6</f>
        <v>1.08333333333333</v>
      </c>
      <c r="AV77" s="7" t="n">
        <f aca="false">SUMIFS(Doors!BH:BH,Doors!$A:$A,$D77,Doors!$B:$B,$B77,Doors!$C:$C,$C77)*SUMIFS(Velocity!$I:$I,Velocity!$A:$A,$A77,Velocity!$B:$B,$C77)/Assumptions!$B$4*Assumptions!$B$6</f>
        <v>1.08333333333333</v>
      </c>
      <c r="AW77" s="7" t="n">
        <f aca="false">SUMIFS(Doors!BI:BI,Doors!$A:$A,$D77,Doors!$B:$B,$B77,Doors!$C:$C,$C77)*SUMIFS(Velocity!$I:$I,Velocity!$A:$A,$A77,Velocity!$B:$B,$C77)/Assumptions!$B$4*Assumptions!$B$6</f>
        <v>1.08333333333333</v>
      </c>
      <c r="AX77" s="7" t="n">
        <f aca="false">SUMIFS(Doors!BJ:BJ,Doors!$A:$A,$D77,Doors!$B:$B,$B77,Doors!$C:$C,$C77)*SUMIFS(Velocity!$I:$I,Velocity!$A:$A,$A77,Velocity!$B:$B,$C77)/Assumptions!$B$4*Assumptions!$B$6</f>
        <v>1.08333333333333</v>
      </c>
      <c r="AY77" s="7" t="n">
        <f aca="false">SUMIFS(Doors!BK:BK,Doors!$A:$A,$D77,Doors!$B:$B,$B77,Doors!$C:$C,$C77)*SUMIFS(Velocity!$I:$I,Velocity!$A:$A,$A77,Velocity!$B:$B,$C77)/Assumptions!$B$4*Assumptions!$B$6</f>
        <v>1.08333333333333</v>
      </c>
      <c r="AZ77" s="7" t="n">
        <f aca="false">SUMIFS(Doors!BL:BL,Doors!$A:$A,$D77,Doors!$B:$B,$B77,Doors!$C:$C,$C77)*SUMIFS(Velocity!$I:$I,Velocity!$A:$A,$A77,Velocity!$B:$B,$C77)/Assumptions!$B$4*Assumptions!$B$6</f>
        <v>1.08333333333333</v>
      </c>
      <c r="BA77" s="7" t="n">
        <f aca="false">SUMIFS(Doors!BM:BM,Doors!$A:$A,$D77,Doors!$B:$B,$B77,Doors!$C:$C,$C77)*SUMIFS(Velocity!$I:$I,Velocity!$A:$A,$A77,Velocity!$B:$B,$C77)/Assumptions!$B$4*Assumptions!$B$6</f>
        <v>1.08333333333333</v>
      </c>
      <c r="BB77" s="7" t="n">
        <f aca="false">SUMIFS(Doors!BN:BN,Doors!$A:$A,$D77,Doors!$B:$B,$B77,Doors!$C:$C,$C77)*SUMIFS(Velocity!$I:$I,Velocity!$A:$A,$A77,Velocity!$B:$B,$C77)/Assumptions!$B$4*Assumptions!$B$6</f>
        <v>1.08333333333333</v>
      </c>
      <c r="BC77" s="7" t="n">
        <f aca="false">SUMIFS(Doors!BO:BO,Doors!$A:$A,$D77,Doors!$B:$B,$B77,Doors!$C:$C,$C77)*SUMIFS(Velocity!$I:$I,Velocity!$A:$A,$A77,Velocity!$B:$B,$C77)/Assumptions!$B$4*Assumptions!$B$6</f>
        <v>1.08333333333333</v>
      </c>
      <c r="BD77" s="7" t="n">
        <f aca="false">SUMIFS(Doors!BP:BP,Doors!$A:$A,$D77,Doors!$B:$B,$B77,Doors!$C:$C,$C77)*SUMIFS(Velocity!$I:$I,Velocity!$A:$A,$A77,Velocity!$B:$B,$C77)/Assumptions!$B$4*Assumptions!$B$6</f>
        <v>1.08333333333333</v>
      </c>
    </row>
    <row r="78" customFormat="false" ht="15" hidden="false" customHeight="false" outlineLevel="0" collapsed="false">
      <c r="A78" s="0" t="s">
        <v>108</v>
      </c>
      <c r="B78" s="0" t="s">
        <v>134</v>
      </c>
      <c r="C78" s="0" t="s">
        <v>115</v>
      </c>
      <c r="D78" s="0" t="s">
        <v>235</v>
      </c>
      <c r="E78" s="7" t="n">
        <f aca="false">SUMIFS(Doors!Q:Q,Doors!$A:$A,$D78,Doors!$B:$B,$B78,Doors!$C:$C,$C78)*SUMIFS(Velocity!$I:$I,Velocity!$A:$A,$A78,Velocity!$B:$B,$C78)/Assumptions!$B$4*Assumptions!$B$6</f>
        <v>0</v>
      </c>
      <c r="F78" s="7" t="n">
        <f aca="false">SUMIFS(Doors!R:R,Doors!$A:$A,$D78,Doors!$B:$B,$B78,Doors!$C:$C,$C78)*SUMIFS(Velocity!$I:$I,Velocity!$A:$A,$A78,Velocity!$B:$B,$C78)/Assumptions!$B$4*Assumptions!$B$6</f>
        <v>0</v>
      </c>
      <c r="G78" s="7" t="n">
        <f aca="false">SUMIFS(Doors!S:S,Doors!$A:$A,$D78,Doors!$B:$B,$B78,Doors!$C:$C,$C78)*SUMIFS(Velocity!$I:$I,Velocity!$A:$A,$A78,Velocity!$B:$B,$C78)/Assumptions!$B$4*Assumptions!$B$6</f>
        <v>0</v>
      </c>
      <c r="H78" s="7" t="n">
        <f aca="false">SUMIFS(Doors!T:T,Doors!$A:$A,$D78,Doors!$B:$B,$B78,Doors!$C:$C,$C78)*SUMIFS(Velocity!$I:$I,Velocity!$A:$A,$A78,Velocity!$B:$B,$C78)/Assumptions!$B$4*Assumptions!$B$6</f>
        <v>0</v>
      </c>
      <c r="I78" s="7" t="n">
        <f aca="false">SUMIFS(Doors!U:U,Doors!$A:$A,$D78,Doors!$B:$B,$B78,Doors!$C:$C,$C78)*SUMIFS(Velocity!$I:$I,Velocity!$A:$A,$A78,Velocity!$B:$B,$C78)/Assumptions!$B$4*Assumptions!$B$6</f>
        <v>0</v>
      </c>
      <c r="J78" s="7" t="n">
        <f aca="false">SUMIFS(Doors!V:V,Doors!$A:$A,$D78,Doors!$B:$B,$B78,Doors!$C:$C,$C78)*SUMIFS(Velocity!$I:$I,Velocity!$A:$A,$A78,Velocity!$B:$B,$C78)/Assumptions!$B$4*Assumptions!$B$6</f>
        <v>0</v>
      </c>
      <c r="K78" s="7" t="n">
        <f aca="false">SUMIFS(Doors!W:W,Doors!$A:$A,$D78,Doors!$B:$B,$B78,Doors!$C:$C,$C78)*SUMIFS(Velocity!$I:$I,Velocity!$A:$A,$A78,Velocity!$B:$B,$C78)/Assumptions!$B$4*Assumptions!$B$6</f>
        <v>0</v>
      </c>
      <c r="L78" s="7" t="n">
        <f aca="false">SUMIFS(Doors!X:X,Doors!$A:$A,$D78,Doors!$B:$B,$B78,Doors!$C:$C,$C78)*SUMIFS(Velocity!$I:$I,Velocity!$A:$A,$A78,Velocity!$B:$B,$C78)/Assumptions!$B$4*Assumptions!$B$6</f>
        <v>0</v>
      </c>
      <c r="M78" s="7" t="n">
        <f aca="false">SUMIFS(Doors!Y:Y,Doors!$A:$A,$D78,Doors!$B:$B,$B78,Doors!$C:$C,$C78)*SUMIFS(Velocity!$I:$I,Velocity!$A:$A,$A78,Velocity!$B:$B,$C78)/Assumptions!$B$4*Assumptions!$B$6</f>
        <v>0</v>
      </c>
      <c r="N78" s="7" t="n">
        <f aca="false">SUMIFS(Doors!Z:Z,Doors!$A:$A,$D78,Doors!$B:$B,$B78,Doors!$C:$C,$C78)*SUMIFS(Velocity!$I:$I,Velocity!$A:$A,$A78,Velocity!$B:$B,$C78)/Assumptions!$B$4*Assumptions!$B$6</f>
        <v>0</v>
      </c>
      <c r="O78" s="7" t="n">
        <f aca="false">SUMIFS(Doors!AA:AA,Doors!$A:$A,$D78,Doors!$B:$B,$B78,Doors!$C:$C,$C78)*SUMIFS(Velocity!$I:$I,Velocity!$A:$A,$A78,Velocity!$B:$B,$C78)/Assumptions!$B$4*Assumptions!$B$6</f>
        <v>0</v>
      </c>
      <c r="P78" s="7" t="n">
        <f aca="false">SUMIFS(Doors!AB:AB,Doors!$A:$A,$D78,Doors!$B:$B,$B78,Doors!$C:$C,$C78)*SUMIFS(Velocity!$I:$I,Velocity!$A:$A,$A78,Velocity!$B:$B,$C78)/Assumptions!$B$4*Assumptions!$B$6</f>
        <v>0</v>
      </c>
      <c r="Q78" s="7" t="n">
        <f aca="false">SUMIFS(Doors!AC:AC,Doors!$A:$A,$D78,Doors!$B:$B,$B78,Doors!$C:$C,$C78)*SUMIFS(Velocity!$I:$I,Velocity!$A:$A,$A78,Velocity!$B:$B,$C78)/Assumptions!$B$4*Assumptions!$B$6</f>
        <v>0</v>
      </c>
      <c r="R78" s="7" t="n">
        <f aca="false">SUMIFS(Doors!AD:AD,Doors!$A:$A,$D78,Doors!$B:$B,$B78,Doors!$C:$C,$C78)*SUMIFS(Velocity!$I:$I,Velocity!$A:$A,$A78,Velocity!$B:$B,$C78)/Assumptions!$B$4*Assumptions!$B$6</f>
        <v>0.329166666666667</v>
      </c>
      <c r="S78" s="7" t="n">
        <f aca="false">SUMIFS(Doors!AE:AE,Doors!$A:$A,$D78,Doors!$B:$B,$B78,Doors!$C:$C,$C78)*SUMIFS(Velocity!$I:$I,Velocity!$A:$A,$A78,Velocity!$B:$B,$C78)/Assumptions!$B$4*Assumptions!$B$6</f>
        <v>0.329166666666667</v>
      </c>
      <c r="T78" s="7" t="n">
        <f aca="false">SUMIFS(Doors!AF:AF,Doors!$A:$A,$D78,Doors!$B:$B,$B78,Doors!$C:$C,$C78)*SUMIFS(Velocity!$I:$I,Velocity!$A:$A,$A78,Velocity!$B:$B,$C78)/Assumptions!$B$4*Assumptions!$B$6</f>
        <v>0.329166666666667</v>
      </c>
      <c r="U78" s="7" t="n">
        <f aca="false">SUMIFS(Doors!AG:AG,Doors!$A:$A,$D78,Doors!$B:$B,$B78,Doors!$C:$C,$C78)*SUMIFS(Velocity!$I:$I,Velocity!$A:$A,$A78,Velocity!$B:$B,$C78)/Assumptions!$B$4*Assumptions!$B$6</f>
        <v>0.329166666666667</v>
      </c>
      <c r="V78" s="7" t="n">
        <f aca="false">SUMIFS(Doors!AH:AH,Doors!$A:$A,$D78,Doors!$B:$B,$B78,Doors!$C:$C,$C78)*SUMIFS(Velocity!$I:$I,Velocity!$A:$A,$A78,Velocity!$B:$B,$C78)/Assumptions!$B$4*Assumptions!$B$6</f>
        <v>0.329166666666667</v>
      </c>
      <c r="W78" s="7" t="n">
        <f aca="false">SUMIFS(Doors!AI:AI,Doors!$A:$A,$D78,Doors!$B:$B,$B78,Doors!$C:$C,$C78)*SUMIFS(Velocity!$I:$I,Velocity!$A:$A,$A78,Velocity!$B:$B,$C78)/Assumptions!$B$4*Assumptions!$B$6</f>
        <v>0.658333333333333</v>
      </c>
      <c r="X78" s="7" t="n">
        <f aca="false">SUMIFS(Doors!AJ:AJ,Doors!$A:$A,$D78,Doors!$B:$B,$B78,Doors!$C:$C,$C78)*SUMIFS(Velocity!$I:$I,Velocity!$A:$A,$A78,Velocity!$B:$B,$C78)/Assumptions!$B$4*Assumptions!$B$6</f>
        <v>0.658333333333333</v>
      </c>
      <c r="Y78" s="7" t="n">
        <f aca="false">SUMIFS(Doors!AK:AK,Doors!$A:$A,$D78,Doors!$B:$B,$B78,Doors!$C:$C,$C78)*SUMIFS(Velocity!$I:$I,Velocity!$A:$A,$A78,Velocity!$B:$B,$C78)/Assumptions!$B$4*Assumptions!$B$6</f>
        <v>0.658333333333333</v>
      </c>
      <c r="Z78" s="7" t="n">
        <f aca="false">SUMIFS(Doors!AL:AL,Doors!$A:$A,$D78,Doors!$B:$B,$B78,Doors!$C:$C,$C78)*SUMIFS(Velocity!$I:$I,Velocity!$A:$A,$A78,Velocity!$B:$B,$C78)/Assumptions!$B$4*Assumptions!$B$6</f>
        <v>0.658333333333333</v>
      </c>
      <c r="AA78" s="7" t="n">
        <f aca="false">SUMIFS(Doors!AM:AM,Doors!$A:$A,$D78,Doors!$B:$B,$B78,Doors!$C:$C,$C78)*SUMIFS(Velocity!$I:$I,Velocity!$A:$A,$A78,Velocity!$B:$B,$C78)/Assumptions!$B$4*Assumptions!$B$6</f>
        <v>0.9875</v>
      </c>
      <c r="AB78" s="7" t="n">
        <f aca="false">SUMIFS(Doors!AN:AN,Doors!$A:$A,$D78,Doors!$B:$B,$B78,Doors!$C:$C,$C78)*SUMIFS(Velocity!$I:$I,Velocity!$A:$A,$A78,Velocity!$B:$B,$C78)/Assumptions!$B$4*Assumptions!$B$6</f>
        <v>0.9875</v>
      </c>
      <c r="AC78" s="7" t="n">
        <f aca="false">SUMIFS(Doors!AO:AO,Doors!$A:$A,$D78,Doors!$B:$B,$B78,Doors!$C:$C,$C78)*SUMIFS(Velocity!$I:$I,Velocity!$A:$A,$A78,Velocity!$B:$B,$C78)/Assumptions!$B$4*Assumptions!$B$6</f>
        <v>0.9875</v>
      </c>
      <c r="AD78" s="7" t="n">
        <f aca="false">SUMIFS(Doors!AP:AP,Doors!$A:$A,$D78,Doors!$B:$B,$B78,Doors!$C:$C,$C78)*SUMIFS(Velocity!$I:$I,Velocity!$A:$A,$A78,Velocity!$B:$B,$C78)/Assumptions!$B$4*Assumptions!$B$6</f>
        <v>0.9875</v>
      </c>
      <c r="AE78" s="7" t="n">
        <f aca="false">SUMIFS(Doors!AQ:AQ,Doors!$A:$A,$D78,Doors!$B:$B,$B78,Doors!$C:$C,$C78)*SUMIFS(Velocity!$I:$I,Velocity!$A:$A,$A78,Velocity!$B:$B,$C78)/Assumptions!$B$4*Assumptions!$B$6</f>
        <v>1.31666666666667</v>
      </c>
      <c r="AF78" s="7" t="n">
        <f aca="false">SUMIFS(Doors!AR:AR,Doors!$A:$A,$D78,Doors!$B:$B,$B78,Doors!$C:$C,$C78)*SUMIFS(Velocity!$I:$I,Velocity!$A:$A,$A78,Velocity!$B:$B,$C78)/Assumptions!$B$4*Assumptions!$B$6</f>
        <v>1.31666666666667</v>
      </c>
      <c r="AG78" s="7" t="n">
        <f aca="false">SUMIFS(Doors!AS:AS,Doors!$A:$A,$D78,Doors!$B:$B,$B78,Doors!$C:$C,$C78)*SUMIFS(Velocity!$I:$I,Velocity!$A:$A,$A78,Velocity!$B:$B,$C78)/Assumptions!$B$4*Assumptions!$B$6</f>
        <v>1.31666666666667</v>
      </c>
      <c r="AH78" s="7" t="n">
        <f aca="false">SUMIFS(Doors!AT:AT,Doors!$A:$A,$D78,Doors!$B:$B,$B78,Doors!$C:$C,$C78)*SUMIFS(Velocity!$I:$I,Velocity!$A:$A,$A78,Velocity!$B:$B,$C78)/Assumptions!$B$4*Assumptions!$B$6</f>
        <v>1.31666666666667</v>
      </c>
      <c r="AI78" s="7" t="n">
        <f aca="false">SUMIFS(Doors!AU:AU,Doors!$A:$A,$D78,Doors!$B:$B,$B78,Doors!$C:$C,$C78)*SUMIFS(Velocity!$I:$I,Velocity!$A:$A,$A78,Velocity!$B:$B,$C78)/Assumptions!$B$4*Assumptions!$B$6</f>
        <v>1.31666666666667</v>
      </c>
      <c r="AJ78" s="7" t="n">
        <f aca="false">SUMIFS(Doors!AV:AV,Doors!$A:$A,$D78,Doors!$B:$B,$B78,Doors!$C:$C,$C78)*SUMIFS(Velocity!$I:$I,Velocity!$A:$A,$A78,Velocity!$B:$B,$C78)/Assumptions!$B$4*Assumptions!$B$6</f>
        <v>1.64583333333333</v>
      </c>
      <c r="AK78" s="7" t="n">
        <f aca="false">SUMIFS(Doors!AW:AW,Doors!$A:$A,$D78,Doors!$B:$B,$B78,Doors!$C:$C,$C78)*SUMIFS(Velocity!$I:$I,Velocity!$A:$A,$A78,Velocity!$B:$B,$C78)/Assumptions!$B$4*Assumptions!$B$6</f>
        <v>1.64583333333333</v>
      </c>
      <c r="AL78" s="7" t="n">
        <f aca="false">SUMIFS(Doors!AX:AX,Doors!$A:$A,$D78,Doors!$B:$B,$B78,Doors!$C:$C,$C78)*SUMIFS(Velocity!$I:$I,Velocity!$A:$A,$A78,Velocity!$B:$B,$C78)/Assumptions!$B$4*Assumptions!$B$6</f>
        <v>1.64583333333333</v>
      </c>
      <c r="AM78" s="7" t="n">
        <f aca="false">SUMIFS(Doors!AY:AY,Doors!$A:$A,$D78,Doors!$B:$B,$B78,Doors!$C:$C,$C78)*SUMIFS(Velocity!$I:$I,Velocity!$A:$A,$A78,Velocity!$B:$B,$C78)/Assumptions!$B$4*Assumptions!$B$6</f>
        <v>1.64583333333333</v>
      </c>
      <c r="AN78" s="7" t="n">
        <f aca="false">SUMIFS(Doors!AZ:AZ,Doors!$A:$A,$D78,Doors!$B:$B,$B78,Doors!$C:$C,$C78)*SUMIFS(Velocity!$I:$I,Velocity!$A:$A,$A78,Velocity!$B:$B,$C78)/Assumptions!$B$4*Assumptions!$B$6</f>
        <v>1.975</v>
      </c>
      <c r="AO78" s="7" t="n">
        <f aca="false">SUMIFS(Doors!BA:BA,Doors!$A:$A,$D78,Doors!$B:$B,$B78,Doors!$C:$C,$C78)*SUMIFS(Velocity!$I:$I,Velocity!$A:$A,$A78,Velocity!$B:$B,$C78)/Assumptions!$B$4*Assumptions!$B$6</f>
        <v>1.975</v>
      </c>
      <c r="AP78" s="7" t="n">
        <f aca="false">SUMIFS(Doors!BB:BB,Doors!$A:$A,$D78,Doors!$B:$B,$B78,Doors!$C:$C,$C78)*SUMIFS(Velocity!$I:$I,Velocity!$A:$A,$A78,Velocity!$B:$B,$C78)/Assumptions!$B$4*Assumptions!$B$6</f>
        <v>1.975</v>
      </c>
      <c r="AQ78" s="7" t="n">
        <f aca="false">SUMIFS(Doors!BC:BC,Doors!$A:$A,$D78,Doors!$B:$B,$B78,Doors!$C:$C,$C78)*SUMIFS(Velocity!$I:$I,Velocity!$A:$A,$A78,Velocity!$B:$B,$C78)/Assumptions!$B$4*Assumptions!$B$6</f>
        <v>1.975</v>
      </c>
      <c r="AR78" s="7" t="n">
        <f aca="false">SUMIFS(Doors!BD:BD,Doors!$A:$A,$D78,Doors!$B:$B,$B78,Doors!$C:$C,$C78)*SUMIFS(Velocity!$I:$I,Velocity!$A:$A,$A78,Velocity!$B:$B,$C78)/Assumptions!$B$4*Assumptions!$B$6</f>
        <v>1.975</v>
      </c>
      <c r="AS78" s="7" t="n">
        <f aca="false">SUMIFS(Doors!BE:BE,Doors!$A:$A,$D78,Doors!$B:$B,$B78,Doors!$C:$C,$C78)*SUMIFS(Velocity!$I:$I,Velocity!$A:$A,$A78,Velocity!$B:$B,$C78)/Assumptions!$B$4*Assumptions!$B$6</f>
        <v>1.975</v>
      </c>
      <c r="AT78" s="7" t="n">
        <f aca="false">SUMIFS(Doors!BF:BF,Doors!$A:$A,$D78,Doors!$B:$B,$B78,Doors!$C:$C,$C78)*SUMIFS(Velocity!$I:$I,Velocity!$A:$A,$A78,Velocity!$B:$B,$C78)/Assumptions!$B$4*Assumptions!$B$6</f>
        <v>1.975</v>
      </c>
      <c r="AU78" s="7" t="n">
        <f aca="false">SUMIFS(Doors!BG:BG,Doors!$A:$A,$D78,Doors!$B:$B,$B78,Doors!$C:$C,$C78)*SUMIFS(Velocity!$I:$I,Velocity!$A:$A,$A78,Velocity!$B:$B,$C78)/Assumptions!$B$4*Assumptions!$B$6</f>
        <v>1.975</v>
      </c>
      <c r="AV78" s="7" t="n">
        <f aca="false">SUMIFS(Doors!BH:BH,Doors!$A:$A,$D78,Doors!$B:$B,$B78,Doors!$C:$C,$C78)*SUMIFS(Velocity!$I:$I,Velocity!$A:$A,$A78,Velocity!$B:$B,$C78)/Assumptions!$B$4*Assumptions!$B$6</f>
        <v>1.975</v>
      </c>
      <c r="AW78" s="7" t="n">
        <f aca="false">SUMIFS(Doors!BI:BI,Doors!$A:$A,$D78,Doors!$B:$B,$B78,Doors!$C:$C,$C78)*SUMIFS(Velocity!$I:$I,Velocity!$A:$A,$A78,Velocity!$B:$B,$C78)/Assumptions!$B$4*Assumptions!$B$6</f>
        <v>2.30416666666667</v>
      </c>
      <c r="AX78" s="7" t="n">
        <f aca="false">SUMIFS(Doors!BJ:BJ,Doors!$A:$A,$D78,Doors!$B:$B,$B78,Doors!$C:$C,$C78)*SUMIFS(Velocity!$I:$I,Velocity!$A:$A,$A78,Velocity!$B:$B,$C78)/Assumptions!$B$4*Assumptions!$B$6</f>
        <v>2.30416666666667</v>
      </c>
      <c r="AY78" s="7" t="n">
        <f aca="false">SUMIFS(Doors!BK:BK,Doors!$A:$A,$D78,Doors!$B:$B,$B78,Doors!$C:$C,$C78)*SUMIFS(Velocity!$I:$I,Velocity!$A:$A,$A78,Velocity!$B:$B,$C78)/Assumptions!$B$4*Assumptions!$B$6</f>
        <v>2.30416666666667</v>
      </c>
      <c r="AZ78" s="7" t="n">
        <f aca="false">SUMIFS(Doors!BL:BL,Doors!$A:$A,$D78,Doors!$B:$B,$B78,Doors!$C:$C,$C78)*SUMIFS(Velocity!$I:$I,Velocity!$A:$A,$A78,Velocity!$B:$B,$C78)/Assumptions!$B$4*Assumptions!$B$6</f>
        <v>2.30416666666667</v>
      </c>
      <c r="BA78" s="7" t="n">
        <f aca="false">SUMIFS(Doors!BM:BM,Doors!$A:$A,$D78,Doors!$B:$B,$B78,Doors!$C:$C,$C78)*SUMIFS(Velocity!$I:$I,Velocity!$A:$A,$A78,Velocity!$B:$B,$C78)/Assumptions!$B$4*Assumptions!$B$6</f>
        <v>2.30416666666667</v>
      </c>
      <c r="BB78" s="7" t="n">
        <f aca="false">SUMIFS(Doors!BN:BN,Doors!$A:$A,$D78,Doors!$B:$B,$B78,Doors!$C:$C,$C78)*SUMIFS(Velocity!$I:$I,Velocity!$A:$A,$A78,Velocity!$B:$B,$C78)/Assumptions!$B$4*Assumptions!$B$6</f>
        <v>2.30416666666667</v>
      </c>
      <c r="BC78" s="7" t="n">
        <f aca="false">SUMIFS(Doors!BO:BO,Doors!$A:$A,$D78,Doors!$B:$B,$B78,Doors!$C:$C,$C78)*SUMIFS(Velocity!$I:$I,Velocity!$A:$A,$A78,Velocity!$B:$B,$C78)/Assumptions!$B$4*Assumptions!$B$6</f>
        <v>2.30416666666667</v>
      </c>
      <c r="BD78" s="7" t="n">
        <f aca="false">SUMIFS(Doors!BP:BP,Doors!$A:$A,$D78,Doors!$B:$B,$B78,Doors!$C:$C,$C78)*SUMIFS(Velocity!$I:$I,Velocity!$A:$A,$A78,Velocity!$B:$B,$C78)/Assumptions!$B$4*Assumptions!$B$6</f>
        <v>2.30416666666667</v>
      </c>
    </row>
    <row r="79" customFormat="false" ht="15" hidden="false" customHeight="false" outlineLevel="0" collapsed="false">
      <c r="A79" s="0" t="s">
        <v>108</v>
      </c>
      <c r="B79" s="0" t="s">
        <v>134</v>
      </c>
      <c r="C79" s="0" t="s">
        <v>116</v>
      </c>
      <c r="D79" s="0" t="s">
        <v>235</v>
      </c>
      <c r="E79" s="7" t="n">
        <f aca="false">SUMIFS(Doors!Q:Q,Doors!$A:$A,$D79,Doors!$B:$B,$B79,Doors!$C:$C,$C79)*SUMIFS(Velocity!$I:$I,Velocity!$A:$A,$A79,Velocity!$B:$B,$C79)/Assumptions!$B$4*Assumptions!$B$6</f>
        <v>0</v>
      </c>
      <c r="F79" s="7" t="n">
        <f aca="false">SUMIFS(Doors!R:R,Doors!$A:$A,$D79,Doors!$B:$B,$B79,Doors!$C:$C,$C79)*SUMIFS(Velocity!$I:$I,Velocity!$A:$A,$A79,Velocity!$B:$B,$C79)/Assumptions!$B$4*Assumptions!$B$6</f>
        <v>0</v>
      </c>
      <c r="G79" s="7" t="n">
        <f aca="false">SUMIFS(Doors!S:S,Doors!$A:$A,$D79,Doors!$B:$B,$B79,Doors!$C:$C,$C79)*SUMIFS(Velocity!$I:$I,Velocity!$A:$A,$A79,Velocity!$B:$B,$C79)/Assumptions!$B$4*Assumptions!$B$6</f>
        <v>0</v>
      </c>
      <c r="H79" s="7" t="n">
        <f aca="false">SUMIFS(Doors!T:T,Doors!$A:$A,$D79,Doors!$B:$B,$B79,Doors!$C:$C,$C79)*SUMIFS(Velocity!$I:$I,Velocity!$A:$A,$A79,Velocity!$B:$B,$C79)/Assumptions!$B$4*Assumptions!$B$6</f>
        <v>0</v>
      </c>
      <c r="I79" s="7" t="n">
        <f aca="false">SUMIFS(Doors!U:U,Doors!$A:$A,$D79,Doors!$B:$B,$B79,Doors!$C:$C,$C79)*SUMIFS(Velocity!$I:$I,Velocity!$A:$A,$A79,Velocity!$B:$B,$C79)/Assumptions!$B$4*Assumptions!$B$6</f>
        <v>0</v>
      </c>
      <c r="J79" s="7" t="n">
        <f aca="false">SUMIFS(Doors!V:V,Doors!$A:$A,$D79,Doors!$B:$B,$B79,Doors!$C:$C,$C79)*SUMIFS(Velocity!$I:$I,Velocity!$A:$A,$A79,Velocity!$B:$B,$C79)/Assumptions!$B$4*Assumptions!$B$6</f>
        <v>0</v>
      </c>
      <c r="K79" s="7" t="n">
        <f aca="false">SUMIFS(Doors!W:W,Doors!$A:$A,$D79,Doors!$B:$B,$B79,Doors!$C:$C,$C79)*SUMIFS(Velocity!$I:$I,Velocity!$A:$A,$A79,Velocity!$B:$B,$C79)/Assumptions!$B$4*Assumptions!$B$6</f>
        <v>0</v>
      </c>
      <c r="L79" s="7" t="n">
        <f aca="false">SUMIFS(Doors!X:X,Doors!$A:$A,$D79,Doors!$B:$B,$B79,Doors!$C:$C,$C79)*SUMIFS(Velocity!$I:$I,Velocity!$A:$A,$A79,Velocity!$B:$B,$C79)/Assumptions!$B$4*Assumptions!$B$6</f>
        <v>0</v>
      </c>
      <c r="M79" s="7" t="n">
        <f aca="false">SUMIFS(Doors!Y:Y,Doors!$A:$A,$D79,Doors!$B:$B,$B79,Doors!$C:$C,$C79)*SUMIFS(Velocity!$I:$I,Velocity!$A:$A,$A79,Velocity!$B:$B,$C79)/Assumptions!$B$4*Assumptions!$B$6</f>
        <v>0</v>
      </c>
      <c r="N79" s="7" t="n">
        <f aca="false">SUMIFS(Doors!Z:Z,Doors!$A:$A,$D79,Doors!$B:$B,$B79,Doors!$C:$C,$C79)*SUMIFS(Velocity!$I:$I,Velocity!$A:$A,$A79,Velocity!$B:$B,$C79)/Assumptions!$B$4*Assumptions!$B$6</f>
        <v>0</v>
      </c>
      <c r="O79" s="7" t="n">
        <f aca="false">SUMIFS(Doors!AA:AA,Doors!$A:$A,$D79,Doors!$B:$B,$B79,Doors!$C:$C,$C79)*SUMIFS(Velocity!$I:$I,Velocity!$A:$A,$A79,Velocity!$B:$B,$C79)/Assumptions!$B$4*Assumptions!$B$6</f>
        <v>0</v>
      </c>
      <c r="P79" s="7" t="n">
        <f aca="false">SUMIFS(Doors!AB:AB,Doors!$A:$A,$D79,Doors!$B:$B,$B79,Doors!$C:$C,$C79)*SUMIFS(Velocity!$I:$I,Velocity!$A:$A,$A79,Velocity!$B:$B,$C79)/Assumptions!$B$4*Assumptions!$B$6</f>
        <v>0</v>
      </c>
      <c r="Q79" s="7" t="n">
        <f aca="false">SUMIFS(Doors!AC:AC,Doors!$A:$A,$D79,Doors!$B:$B,$B79,Doors!$C:$C,$C79)*SUMIFS(Velocity!$I:$I,Velocity!$A:$A,$A79,Velocity!$B:$B,$C79)/Assumptions!$B$4*Assumptions!$B$6</f>
        <v>0</v>
      </c>
      <c r="R79" s="7" t="n">
        <f aca="false">SUMIFS(Doors!AD:AD,Doors!$A:$A,$D79,Doors!$B:$B,$B79,Doors!$C:$C,$C79)*SUMIFS(Velocity!$I:$I,Velocity!$A:$A,$A79,Velocity!$B:$B,$C79)/Assumptions!$B$4*Assumptions!$B$6</f>
        <v>0</v>
      </c>
      <c r="S79" s="7" t="n">
        <f aca="false">SUMIFS(Doors!AE:AE,Doors!$A:$A,$D79,Doors!$B:$B,$B79,Doors!$C:$C,$C79)*SUMIFS(Velocity!$I:$I,Velocity!$A:$A,$A79,Velocity!$B:$B,$C79)/Assumptions!$B$4*Assumptions!$B$6</f>
        <v>0</v>
      </c>
      <c r="T79" s="7" t="n">
        <f aca="false">SUMIFS(Doors!AF:AF,Doors!$A:$A,$D79,Doors!$B:$B,$B79,Doors!$C:$C,$C79)*SUMIFS(Velocity!$I:$I,Velocity!$A:$A,$A79,Velocity!$B:$B,$C79)/Assumptions!$B$4*Assumptions!$B$6</f>
        <v>0</v>
      </c>
      <c r="U79" s="7" t="n">
        <f aca="false">SUMIFS(Doors!AG:AG,Doors!$A:$A,$D79,Doors!$B:$B,$B79,Doors!$C:$C,$C79)*SUMIFS(Velocity!$I:$I,Velocity!$A:$A,$A79,Velocity!$B:$B,$C79)/Assumptions!$B$4*Assumptions!$B$6</f>
        <v>0</v>
      </c>
      <c r="V79" s="7" t="n">
        <f aca="false">SUMIFS(Doors!AH:AH,Doors!$A:$A,$D79,Doors!$B:$B,$B79,Doors!$C:$C,$C79)*SUMIFS(Velocity!$I:$I,Velocity!$A:$A,$A79,Velocity!$B:$B,$C79)/Assumptions!$B$4*Assumptions!$B$6</f>
        <v>0</v>
      </c>
      <c r="W79" s="7" t="n">
        <f aca="false">SUMIFS(Doors!AI:AI,Doors!$A:$A,$D79,Doors!$B:$B,$B79,Doors!$C:$C,$C79)*SUMIFS(Velocity!$I:$I,Velocity!$A:$A,$A79,Velocity!$B:$B,$C79)/Assumptions!$B$4*Assumptions!$B$6</f>
        <v>0.304166666666667</v>
      </c>
      <c r="X79" s="7" t="n">
        <f aca="false">SUMIFS(Doors!AJ:AJ,Doors!$A:$A,$D79,Doors!$B:$B,$B79,Doors!$C:$C,$C79)*SUMIFS(Velocity!$I:$I,Velocity!$A:$A,$A79,Velocity!$B:$B,$C79)/Assumptions!$B$4*Assumptions!$B$6</f>
        <v>0.304166666666667</v>
      </c>
      <c r="Y79" s="7" t="n">
        <f aca="false">SUMIFS(Doors!AK:AK,Doors!$A:$A,$D79,Doors!$B:$B,$B79,Doors!$C:$C,$C79)*SUMIFS(Velocity!$I:$I,Velocity!$A:$A,$A79,Velocity!$B:$B,$C79)/Assumptions!$B$4*Assumptions!$B$6</f>
        <v>0.304166666666667</v>
      </c>
      <c r="Z79" s="7" t="n">
        <f aca="false">SUMIFS(Doors!AL:AL,Doors!$A:$A,$D79,Doors!$B:$B,$B79,Doors!$C:$C,$C79)*SUMIFS(Velocity!$I:$I,Velocity!$A:$A,$A79,Velocity!$B:$B,$C79)/Assumptions!$B$4*Assumptions!$B$6</f>
        <v>0.304166666666667</v>
      </c>
      <c r="AA79" s="7" t="n">
        <f aca="false">SUMIFS(Doors!AM:AM,Doors!$A:$A,$D79,Doors!$B:$B,$B79,Doors!$C:$C,$C79)*SUMIFS(Velocity!$I:$I,Velocity!$A:$A,$A79,Velocity!$B:$B,$C79)/Assumptions!$B$4*Assumptions!$B$6</f>
        <v>0.608333333333333</v>
      </c>
      <c r="AB79" s="7" t="n">
        <f aca="false">SUMIFS(Doors!AN:AN,Doors!$A:$A,$D79,Doors!$B:$B,$B79,Doors!$C:$C,$C79)*SUMIFS(Velocity!$I:$I,Velocity!$A:$A,$A79,Velocity!$B:$B,$C79)/Assumptions!$B$4*Assumptions!$B$6</f>
        <v>0.608333333333333</v>
      </c>
      <c r="AC79" s="7" t="n">
        <f aca="false">SUMIFS(Doors!AO:AO,Doors!$A:$A,$D79,Doors!$B:$B,$B79,Doors!$C:$C,$C79)*SUMIFS(Velocity!$I:$I,Velocity!$A:$A,$A79,Velocity!$B:$B,$C79)/Assumptions!$B$4*Assumptions!$B$6</f>
        <v>0.608333333333333</v>
      </c>
      <c r="AD79" s="7" t="n">
        <f aca="false">SUMIFS(Doors!AP:AP,Doors!$A:$A,$D79,Doors!$B:$B,$B79,Doors!$C:$C,$C79)*SUMIFS(Velocity!$I:$I,Velocity!$A:$A,$A79,Velocity!$B:$B,$C79)/Assumptions!$B$4*Assumptions!$B$6</f>
        <v>0.608333333333333</v>
      </c>
      <c r="AE79" s="7" t="n">
        <f aca="false">SUMIFS(Doors!AQ:AQ,Doors!$A:$A,$D79,Doors!$B:$B,$B79,Doors!$C:$C,$C79)*SUMIFS(Velocity!$I:$I,Velocity!$A:$A,$A79,Velocity!$B:$B,$C79)/Assumptions!$B$4*Assumptions!$B$6</f>
        <v>0.608333333333333</v>
      </c>
      <c r="AF79" s="7" t="n">
        <f aca="false">SUMIFS(Doors!AR:AR,Doors!$A:$A,$D79,Doors!$B:$B,$B79,Doors!$C:$C,$C79)*SUMIFS(Velocity!$I:$I,Velocity!$A:$A,$A79,Velocity!$B:$B,$C79)/Assumptions!$B$4*Assumptions!$B$6</f>
        <v>0.608333333333333</v>
      </c>
      <c r="AG79" s="7" t="n">
        <f aca="false">SUMIFS(Doors!AS:AS,Doors!$A:$A,$D79,Doors!$B:$B,$B79,Doors!$C:$C,$C79)*SUMIFS(Velocity!$I:$I,Velocity!$A:$A,$A79,Velocity!$B:$B,$C79)/Assumptions!$B$4*Assumptions!$B$6</f>
        <v>0.608333333333333</v>
      </c>
      <c r="AH79" s="7" t="n">
        <f aca="false">SUMIFS(Doors!AT:AT,Doors!$A:$A,$D79,Doors!$B:$B,$B79,Doors!$C:$C,$C79)*SUMIFS(Velocity!$I:$I,Velocity!$A:$A,$A79,Velocity!$B:$B,$C79)/Assumptions!$B$4*Assumptions!$B$6</f>
        <v>0.608333333333333</v>
      </c>
      <c r="AI79" s="7" t="n">
        <f aca="false">SUMIFS(Doors!AU:AU,Doors!$A:$A,$D79,Doors!$B:$B,$B79,Doors!$C:$C,$C79)*SUMIFS(Velocity!$I:$I,Velocity!$A:$A,$A79,Velocity!$B:$B,$C79)/Assumptions!$B$4*Assumptions!$B$6</f>
        <v>0.608333333333333</v>
      </c>
      <c r="AJ79" s="7" t="n">
        <f aca="false">SUMIFS(Doors!AV:AV,Doors!$A:$A,$D79,Doors!$B:$B,$B79,Doors!$C:$C,$C79)*SUMIFS(Velocity!$I:$I,Velocity!$A:$A,$A79,Velocity!$B:$B,$C79)/Assumptions!$B$4*Assumptions!$B$6</f>
        <v>0.9125</v>
      </c>
      <c r="AK79" s="7" t="n">
        <f aca="false">SUMIFS(Doors!AW:AW,Doors!$A:$A,$D79,Doors!$B:$B,$B79,Doors!$C:$C,$C79)*SUMIFS(Velocity!$I:$I,Velocity!$A:$A,$A79,Velocity!$B:$B,$C79)/Assumptions!$B$4*Assumptions!$B$6</f>
        <v>0.9125</v>
      </c>
      <c r="AL79" s="7" t="n">
        <f aca="false">SUMIFS(Doors!AX:AX,Doors!$A:$A,$D79,Doors!$B:$B,$B79,Doors!$C:$C,$C79)*SUMIFS(Velocity!$I:$I,Velocity!$A:$A,$A79,Velocity!$B:$B,$C79)/Assumptions!$B$4*Assumptions!$B$6</f>
        <v>0.9125</v>
      </c>
      <c r="AM79" s="7" t="n">
        <f aca="false">SUMIFS(Doors!AY:AY,Doors!$A:$A,$D79,Doors!$B:$B,$B79,Doors!$C:$C,$C79)*SUMIFS(Velocity!$I:$I,Velocity!$A:$A,$A79,Velocity!$B:$B,$C79)/Assumptions!$B$4*Assumptions!$B$6</f>
        <v>0.9125</v>
      </c>
      <c r="AN79" s="7" t="n">
        <f aca="false">SUMIFS(Doors!AZ:AZ,Doors!$A:$A,$D79,Doors!$B:$B,$B79,Doors!$C:$C,$C79)*SUMIFS(Velocity!$I:$I,Velocity!$A:$A,$A79,Velocity!$B:$B,$C79)/Assumptions!$B$4*Assumptions!$B$6</f>
        <v>0.9125</v>
      </c>
      <c r="AO79" s="7" t="n">
        <f aca="false">SUMIFS(Doors!BA:BA,Doors!$A:$A,$D79,Doors!$B:$B,$B79,Doors!$C:$C,$C79)*SUMIFS(Velocity!$I:$I,Velocity!$A:$A,$A79,Velocity!$B:$B,$C79)/Assumptions!$B$4*Assumptions!$B$6</f>
        <v>0.9125</v>
      </c>
      <c r="AP79" s="7" t="n">
        <f aca="false">SUMIFS(Doors!BB:BB,Doors!$A:$A,$D79,Doors!$B:$B,$B79,Doors!$C:$C,$C79)*SUMIFS(Velocity!$I:$I,Velocity!$A:$A,$A79,Velocity!$B:$B,$C79)/Assumptions!$B$4*Assumptions!$B$6</f>
        <v>0.9125</v>
      </c>
      <c r="AQ79" s="7" t="n">
        <f aca="false">SUMIFS(Doors!BC:BC,Doors!$A:$A,$D79,Doors!$B:$B,$B79,Doors!$C:$C,$C79)*SUMIFS(Velocity!$I:$I,Velocity!$A:$A,$A79,Velocity!$B:$B,$C79)/Assumptions!$B$4*Assumptions!$B$6</f>
        <v>0.9125</v>
      </c>
      <c r="AR79" s="7" t="n">
        <f aca="false">SUMIFS(Doors!BD:BD,Doors!$A:$A,$D79,Doors!$B:$B,$B79,Doors!$C:$C,$C79)*SUMIFS(Velocity!$I:$I,Velocity!$A:$A,$A79,Velocity!$B:$B,$C79)/Assumptions!$B$4*Assumptions!$B$6</f>
        <v>1.21666666666667</v>
      </c>
      <c r="AS79" s="7" t="n">
        <f aca="false">SUMIFS(Doors!BE:BE,Doors!$A:$A,$D79,Doors!$B:$B,$B79,Doors!$C:$C,$C79)*SUMIFS(Velocity!$I:$I,Velocity!$A:$A,$A79,Velocity!$B:$B,$C79)/Assumptions!$B$4*Assumptions!$B$6</f>
        <v>1.21666666666667</v>
      </c>
      <c r="AT79" s="7" t="n">
        <f aca="false">SUMIFS(Doors!BF:BF,Doors!$A:$A,$D79,Doors!$B:$B,$B79,Doors!$C:$C,$C79)*SUMIFS(Velocity!$I:$I,Velocity!$A:$A,$A79,Velocity!$B:$B,$C79)/Assumptions!$B$4*Assumptions!$B$6</f>
        <v>1.21666666666667</v>
      </c>
      <c r="AU79" s="7" t="n">
        <f aca="false">SUMIFS(Doors!BG:BG,Doors!$A:$A,$D79,Doors!$B:$B,$B79,Doors!$C:$C,$C79)*SUMIFS(Velocity!$I:$I,Velocity!$A:$A,$A79,Velocity!$B:$B,$C79)/Assumptions!$B$4*Assumptions!$B$6</f>
        <v>1.21666666666667</v>
      </c>
      <c r="AV79" s="7" t="n">
        <f aca="false">SUMIFS(Doors!BH:BH,Doors!$A:$A,$D79,Doors!$B:$B,$B79,Doors!$C:$C,$C79)*SUMIFS(Velocity!$I:$I,Velocity!$A:$A,$A79,Velocity!$B:$B,$C79)/Assumptions!$B$4*Assumptions!$B$6</f>
        <v>1.21666666666667</v>
      </c>
      <c r="AW79" s="7" t="n">
        <f aca="false">SUMIFS(Doors!BI:BI,Doors!$A:$A,$D79,Doors!$B:$B,$B79,Doors!$C:$C,$C79)*SUMIFS(Velocity!$I:$I,Velocity!$A:$A,$A79,Velocity!$B:$B,$C79)/Assumptions!$B$4*Assumptions!$B$6</f>
        <v>1.21666666666667</v>
      </c>
      <c r="AX79" s="7" t="n">
        <f aca="false">SUMIFS(Doors!BJ:BJ,Doors!$A:$A,$D79,Doors!$B:$B,$B79,Doors!$C:$C,$C79)*SUMIFS(Velocity!$I:$I,Velocity!$A:$A,$A79,Velocity!$B:$B,$C79)/Assumptions!$B$4*Assumptions!$B$6</f>
        <v>1.21666666666667</v>
      </c>
      <c r="AY79" s="7" t="n">
        <f aca="false">SUMIFS(Doors!BK:BK,Doors!$A:$A,$D79,Doors!$B:$B,$B79,Doors!$C:$C,$C79)*SUMIFS(Velocity!$I:$I,Velocity!$A:$A,$A79,Velocity!$B:$B,$C79)/Assumptions!$B$4*Assumptions!$B$6</f>
        <v>1.21666666666667</v>
      </c>
      <c r="AZ79" s="7" t="n">
        <f aca="false">SUMIFS(Doors!BL:BL,Doors!$A:$A,$D79,Doors!$B:$B,$B79,Doors!$C:$C,$C79)*SUMIFS(Velocity!$I:$I,Velocity!$A:$A,$A79,Velocity!$B:$B,$C79)/Assumptions!$B$4*Assumptions!$B$6</f>
        <v>1.21666666666667</v>
      </c>
      <c r="BA79" s="7" t="n">
        <f aca="false">SUMIFS(Doors!BM:BM,Doors!$A:$A,$D79,Doors!$B:$B,$B79,Doors!$C:$C,$C79)*SUMIFS(Velocity!$I:$I,Velocity!$A:$A,$A79,Velocity!$B:$B,$C79)/Assumptions!$B$4*Assumptions!$B$6</f>
        <v>1.21666666666667</v>
      </c>
      <c r="BB79" s="7" t="n">
        <f aca="false">SUMIFS(Doors!BN:BN,Doors!$A:$A,$D79,Doors!$B:$B,$B79,Doors!$C:$C,$C79)*SUMIFS(Velocity!$I:$I,Velocity!$A:$A,$A79,Velocity!$B:$B,$C79)/Assumptions!$B$4*Assumptions!$B$6</f>
        <v>1.21666666666667</v>
      </c>
      <c r="BC79" s="7" t="n">
        <f aca="false">SUMIFS(Doors!BO:BO,Doors!$A:$A,$D79,Doors!$B:$B,$B79,Doors!$C:$C,$C79)*SUMIFS(Velocity!$I:$I,Velocity!$A:$A,$A79,Velocity!$B:$B,$C79)/Assumptions!$B$4*Assumptions!$B$6</f>
        <v>1.21666666666667</v>
      </c>
      <c r="BD79" s="7" t="n">
        <f aca="false">SUMIFS(Doors!BP:BP,Doors!$A:$A,$D79,Doors!$B:$B,$B79,Doors!$C:$C,$C79)*SUMIFS(Velocity!$I:$I,Velocity!$A:$A,$A79,Velocity!$B:$B,$C79)/Assumptions!$B$4*Assumptions!$B$6</f>
        <v>1.21666666666667</v>
      </c>
    </row>
    <row r="80" customFormat="false" ht="15" hidden="false" customHeight="false" outlineLevel="0" collapsed="false">
      <c r="A80" s="0" t="s">
        <v>108</v>
      </c>
      <c r="B80" s="0" t="s">
        <v>134</v>
      </c>
      <c r="C80" s="0" t="s">
        <v>117</v>
      </c>
      <c r="D80" s="0" t="s">
        <v>235</v>
      </c>
      <c r="E80" s="7" t="n">
        <f aca="false">SUMIFS(Doors!Q:Q,Doors!$A:$A,$D80,Doors!$B:$B,$B80,Doors!$C:$C,$C80)*SUMIFS(Velocity!$I:$I,Velocity!$A:$A,$A80,Velocity!$B:$B,$C80)/Assumptions!$B$4*Assumptions!$B$6</f>
        <v>0</v>
      </c>
      <c r="F80" s="7" t="n">
        <f aca="false">SUMIFS(Doors!R:R,Doors!$A:$A,$D80,Doors!$B:$B,$B80,Doors!$C:$C,$C80)*SUMIFS(Velocity!$I:$I,Velocity!$A:$A,$A80,Velocity!$B:$B,$C80)/Assumptions!$B$4*Assumptions!$B$6</f>
        <v>0</v>
      </c>
      <c r="G80" s="7" t="n">
        <f aca="false">SUMIFS(Doors!S:S,Doors!$A:$A,$D80,Doors!$B:$B,$B80,Doors!$C:$C,$C80)*SUMIFS(Velocity!$I:$I,Velocity!$A:$A,$A80,Velocity!$B:$B,$C80)/Assumptions!$B$4*Assumptions!$B$6</f>
        <v>0</v>
      </c>
      <c r="H80" s="7" t="n">
        <f aca="false">SUMIFS(Doors!T:T,Doors!$A:$A,$D80,Doors!$B:$B,$B80,Doors!$C:$C,$C80)*SUMIFS(Velocity!$I:$I,Velocity!$A:$A,$A80,Velocity!$B:$B,$C80)/Assumptions!$B$4*Assumptions!$B$6</f>
        <v>0</v>
      </c>
      <c r="I80" s="7" t="n">
        <f aca="false">SUMIFS(Doors!U:U,Doors!$A:$A,$D80,Doors!$B:$B,$B80,Doors!$C:$C,$C80)*SUMIFS(Velocity!$I:$I,Velocity!$A:$A,$A80,Velocity!$B:$B,$C80)/Assumptions!$B$4*Assumptions!$B$6</f>
        <v>0</v>
      </c>
      <c r="J80" s="7" t="n">
        <f aca="false">SUMIFS(Doors!V:V,Doors!$A:$A,$D80,Doors!$B:$B,$B80,Doors!$C:$C,$C80)*SUMIFS(Velocity!$I:$I,Velocity!$A:$A,$A80,Velocity!$B:$B,$C80)/Assumptions!$B$4*Assumptions!$B$6</f>
        <v>0</v>
      </c>
      <c r="K80" s="7" t="n">
        <f aca="false">SUMIFS(Doors!W:W,Doors!$A:$A,$D80,Doors!$B:$B,$B80,Doors!$C:$C,$C80)*SUMIFS(Velocity!$I:$I,Velocity!$A:$A,$A80,Velocity!$B:$B,$C80)/Assumptions!$B$4*Assumptions!$B$6</f>
        <v>0</v>
      </c>
      <c r="L80" s="7" t="n">
        <f aca="false">SUMIFS(Doors!X:X,Doors!$A:$A,$D80,Doors!$B:$B,$B80,Doors!$C:$C,$C80)*SUMIFS(Velocity!$I:$I,Velocity!$A:$A,$A80,Velocity!$B:$B,$C80)/Assumptions!$B$4*Assumptions!$B$6</f>
        <v>0</v>
      </c>
      <c r="M80" s="7" t="n">
        <f aca="false">SUMIFS(Doors!Y:Y,Doors!$A:$A,$D80,Doors!$B:$B,$B80,Doors!$C:$C,$C80)*SUMIFS(Velocity!$I:$I,Velocity!$A:$A,$A80,Velocity!$B:$B,$C80)/Assumptions!$B$4*Assumptions!$B$6</f>
        <v>0</v>
      </c>
      <c r="N80" s="7" t="n">
        <f aca="false">SUMIFS(Doors!Z:Z,Doors!$A:$A,$D80,Doors!$B:$B,$B80,Doors!$C:$C,$C80)*SUMIFS(Velocity!$I:$I,Velocity!$A:$A,$A80,Velocity!$B:$B,$C80)/Assumptions!$B$4*Assumptions!$B$6</f>
        <v>0</v>
      </c>
      <c r="O80" s="7" t="n">
        <f aca="false">SUMIFS(Doors!AA:AA,Doors!$A:$A,$D80,Doors!$B:$B,$B80,Doors!$C:$C,$C80)*SUMIFS(Velocity!$I:$I,Velocity!$A:$A,$A80,Velocity!$B:$B,$C80)/Assumptions!$B$4*Assumptions!$B$6</f>
        <v>0</v>
      </c>
      <c r="P80" s="7" t="n">
        <f aca="false">SUMIFS(Doors!AB:AB,Doors!$A:$A,$D80,Doors!$B:$B,$B80,Doors!$C:$C,$C80)*SUMIFS(Velocity!$I:$I,Velocity!$A:$A,$A80,Velocity!$B:$B,$C80)/Assumptions!$B$4*Assumptions!$B$6</f>
        <v>0</v>
      </c>
      <c r="Q80" s="7" t="n">
        <f aca="false">SUMIFS(Doors!AC:AC,Doors!$A:$A,$D80,Doors!$B:$B,$B80,Doors!$C:$C,$C80)*SUMIFS(Velocity!$I:$I,Velocity!$A:$A,$A80,Velocity!$B:$B,$C80)/Assumptions!$B$4*Assumptions!$B$6</f>
        <v>0</v>
      </c>
      <c r="R80" s="7" t="n">
        <f aca="false">SUMIFS(Doors!AD:AD,Doors!$A:$A,$D80,Doors!$B:$B,$B80,Doors!$C:$C,$C80)*SUMIFS(Velocity!$I:$I,Velocity!$A:$A,$A80,Velocity!$B:$B,$C80)/Assumptions!$B$4*Assumptions!$B$6</f>
        <v>0</v>
      </c>
      <c r="S80" s="7" t="n">
        <f aca="false">SUMIFS(Doors!AE:AE,Doors!$A:$A,$D80,Doors!$B:$B,$B80,Doors!$C:$C,$C80)*SUMIFS(Velocity!$I:$I,Velocity!$A:$A,$A80,Velocity!$B:$B,$C80)/Assumptions!$B$4*Assumptions!$B$6</f>
        <v>0</v>
      </c>
      <c r="T80" s="7" t="n">
        <f aca="false">SUMIFS(Doors!AF:AF,Doors!$A:$A,$D80,Doors!$B:$B,$B80,Doors!$C:$C,$C80)*SUMIFS(Velocity!$I:$I,Velocity!$A:$A,$A80,Velocity!$B:$B,$C80)/Assumptions!$B$4*Assumptions!$B$6</f>
        <v>0</v>
      </c>
      <c r="U80" s="7" t="n">
        <f aca="false">SUMIFS(Doors!AG:AG,Doors!$A:$A,$D80,Doors!$B:$B,$B80,Doors!$C:$C,$C80)*SUMIFS(Velocity!$I:$I,Velocity!$A:$A,$A80,Velocity!$B:$B,$C80)/Assumptions!$B$4*Assumptions!$B$6</f>
        <v>0</v>
      </c>
      <c r="V80" s="7" t="n">
        <f aca="false">SUMIFS(Doors!AH:AH,Doors!$A:$A,$D80,Doors!$B:$B,$B80,Doors!$C:$C,$C80)*SUMIFS(Velocity!$I:$I,Velocity!$A:$A,$A80,Velocity!$B:$B,$C80)/Assumptions!$B$4*Assumptions!$B$6</f>
        <v>0</v>
      </c>
      <c r="W80" s="7" t="n">
        <f aca="false">SUMIFS(Doors!AI:AI,Doors!$A:$A,$D80,Doors!$B:$B,$B80,Doors!$C:$C,$C80)*SUMIFS(Velocity!$I:$I,Velocity!$A:$A,$A80,Velocity!$B:$B,$C80)/Assumptions!$B$4*Assumptions!$B$6</f>
        <v>0</v>
      </c>
      <c r="X80" s="7" t="n">
        <f aca="false">SUMIFS(Doors!AJ:AJ,Doors!$A:$A,$D80,Doors!$B:$B,$B80,Doors!$C:$C,$C80)*SUMIFS(Velocity!$I:$I,Velocity!$A:$A,$A80,Velocity!$B:$B,$C80)/Assumptions!$B$4*Assumptions!$B$6</f>
        <v>0</v>
      </c>
      <c r="Y80" s="7" t="n">
        <f aca="false">SUMIFS(Doors!AK:AK,Doors!$A:$A,$D80,Doors!$B:$B,$B80,Doors!$C:$C,$C80)*SUMIFS(Velocity!$I:$I,Velocity!$A:$A,$A80,Velocity!$B:$B,$C80)/Assumptions!$B$4*Assumptions!$B$6</f>
        <v>0</v>
      </c>
      <c r="Z80" s="7" t="n">
        <f aca="false">SUMIFS(Doors!AL:AL,Doors!$A:$A,$D80,Doors!$B:$B,$B80,Doors!$C:$C,$C80)*SUMIFS(Velocity!$I:$I,Velocity!$A:$A,$A80,Velocity!$B:$B,$C80)/Assumptions!$B$4*Assumptions!$B$6</f>
        <v>0</v>
      </c>
      <c r="AA80" s="7" t="n">
        <f aca="false">SUMIFS(Doors!AM:AM,Doors!$A:$A,$D80,Doors!$B:$B,$B80,Doors!$C:$C,$C80)*SUMIFS(Velocity!$I:$I,Velocity!$A:$A,$A80,Velocity!$B:$B,$C80)/Assumptions!$B$4*Assumptions!$B$6</f>
        <v>0</v>
      </c>
      <c r="AB80" s="7" t="n">
        <f aca="false">SUMIFS(Doors!AN:AN,Doors!$A:$A,$D80,Doors!$B:$B,$B80,Doors!$C:$C,$C80)*SUMIFS(Velocity!$I:$I,Velocity!$A:$A,$A80,Velocity!$B:$B,$C80)/Assumptions!$B$4*Assumptions!$B$6</f>
        <v>0</v>
      </c>
      <c r="AC80" s="7" t="n">
        <f aca="false">SUMIFS(Doors!AO:AO,Doors!$A:$A,$D80,Doors!$B:$B,$B80,Doors!$C:$C,$C80)*SUMIFS(Velocity!$I:$I,Velocity!$A:$A,$A80,Velocity!$B:$B,$C80)/Assumptions!$B$4*Assumptions!$B$6</f>
        <v>0</v>
      </c>
      <c r="AD80" s="7" t="n">
        <f aca="false">SUMIFS(Doors!AP:AP,Doors!$A:$A,$D80,Doors!$B:$B,$B80,Doors!$C:$C,$C80)*SUMIFS(Velocity!$I:$I,Velocity!$A:$A,$A80,Velocity!$B:$B,$C80)/Assumptions!$B$4*Assumptions!$B$6</f>
        <v>0</v>
      </c>
      <c r="AE80" s="7" t="n">
        <f aca="false">SUMIFS(Doors!AQ:AQ,Doors!$A:$A,$D80,Doors!$B:$B,$B80,Doors!$C:$C,$C80)*SUMIFS(Velocity!$I:$I,Velocity!$A:$A,$A80,Velocity!$B:$B,$C80)/Assumptions!$B$4*Assumptions!$B$6</f>
        <v>0.629166666666667</v>
      </c>
      <c r="AF80" s="7" t="n">
        <f aca="false">SUMIFS(Doors!AR:AR,Doors!$A:$A,$D80,Doors!$B:$B,$B80,Doors!$C:$C,$C80)*SUMIFS(Velocity!$I:$I,Velocity!$A:$A,$A80,Velocity!$B:$B,$C80)/Assumptions!$B$4*Assumptions!$B$6</f>
        <v>0.629166666666667</v>
      </c>
      <c r="AG80" s="7" t="n">
        <f aca="false">SUMIFS(Doors!AS:AS,Doors!$A:$A,$D80,Doors!$B:$B,$B80,Doors!$C:$C,$C80)*SUMIFS(Velocity!$I:$I,Velocity!$A:$A,$A80,Velocity!$B:$B,$C80)/Assumptions!$B$4*Assumptions!$B$6</f>
        <v>0.629166666666667</v>
      </c>
      <c r="AH80" s="7" t="n">
        <f aca="false">SUMIFS(Doors!AT:AT,Doors!$A:$A,$D80,Doors!$B:$B,$B80,Doors!$C:$C,$C80)*SUMIFS(Velocity!$I:$I,Velocity!$A:$A,$A80,Velocity!$B:$B,$C80)/Assumptions!$B$4*Assumptions!$B$6</f>
        <v>0.629166666666667</v>
      </c>
      <c r="AI80" s="7" t="n">
        <f aca="false">SUMIFS(Doors!AU:AU,Doors!$A:$A,$D80,Doors!$B:$B,$B80,Doors!$C:$C,$C80)*SUMIFS(Velocity!$I:$I,Velocity!$A:$A,$A80,Velocity!$B:$B,$C80)/Assumptions!$B$4*Assumptions!$B$6</f>
        <v>0.629166666666667</v>
      </c>
      <c r="AJ80" s="7" t="n">
        <f aca="false">SUMIFS(Doors!AV:AV,Doors!$A:$A,$D80,Doors!$B:$B,$B80,Doors!$C:$C,$C80)*SUMIFS(Velocity!$I:$I,Velocity!$A:$A,$A80,Velocity!$B:$B,$C80)/Assumptions!$B$4*Assumptions!$B$6</f>
        <v>1.25833333333333</v>
      </c>
      <c r="AK80" s="7" t="n">
        <f aca="false">SUMIFS(Doors!AW:AW,Doors!$A:$A,$D80,Doors!$B:$B,$B80,Doors!$C:$C,$C80)*SUMIFS(Velocity!$I:$I,Velocity!$A:$A,$A80,Velocity!$B:$B,$C80)/Assumptions!$B$4*Assumptions!$B$6</f>
        <v>1.25833333333333</v>
      </c>
      <c r="AL80" s="7" t="n">
        <f aca="false">SUMIFS(Doors!AX:AX,Doors!$A:$A,$D80,Doors!$B:$B,$B80,Doors!$C:$C,$C80)*SUMIFS(Velocity!$I:$I,Velocity!$A:$A,$A80,Velocity!$B:$B,$C80)/Assumptions!$B$4*Assumptions!$B$6</f>
        <v>1.25833333333333</v>
      </c>
      <c r="AM80" s="7" t="n">
        <f aca="false">SUMIFS(Doors!AY:AY,Doors!$A:$A,$D80,Doors!$B:$B,$B80,Doors!$C:$C,$C80)*SUMIFS(Velocity!$I:$I,Velocity!$A:$A,$A80,Velocity!$B:$B,$C80)/Assumptions!$B$4*Assumptions!$B$6</f>
        <v>1.25833333333333</v>
      </c>
      <c r="AN80" s="7" t="n">
        <f aca="false">SUMIFS(Doors!AZ:AZ,Doors!$A:$A,$D80,Doors!$B:$B,$B80,Doors!$C:$C,$C80)*SUMIFS(Velocity!$I:$I,Velocity!$A:$A,$A80,Velocity!$B:$B,$C80)/Assumptions!$B$4*Assumptions!$B$6</f>
        <v>1.25833333333333</v>
      </c>
      <c r="AO80" s="7" t="n">
        <f aca="false">SUMIFS(Doors!BA:BA,Doors!$A:$A,$D80,Doors!$B:$B,$B80,Doors!$C:$C,$C80)*SUMIFS(Velocity!$I:$I,Velocity!$A:$A,$A80,Velocity!$B:$B,$C80)/Assumptions!$B$4*Assumptions!$B$6</f>
        <v>1.25833333333333</v>
      </c>
      <c r="AP80" s="7" t="n">
        <f aca="false">SUMIFS(Doors!BB:BB,Doors!$A:$A,$D80,Doors!$B:$B,$B80,Doors!$C:$C,$C80)*SUMIFS(Velocity!$I:$I,Velocity!$A:$A,$A80,Velocity!$B:$B,$C80)/Assumptions!$B$4*Assumptions!$B$6</f>
        <v>1.25833333333333</v>
      </c>
      <c r="AQ80" s="7" t="n">
        <f aca="false">SUMIFS(Doors!BC:BC,Doors!$A:$A,$D80,Doors!$B:$B,$B80,Doors!$C:$C,$C80)*SUMIFS(Velocity!$I:$I,Velocity!$A:$A,$A80,Velocity!$B:$B,$C80)/Assumptions!$B$4*Assumptions!$B$6</f>
        <v>1.25833333333333</v>
      </c>
      <c r="AR80" s="7" t="n">
        <f aca="false">SUMIFS(Doors!BD:BD,Doors!$A:$A,$D80,Doors!$B:$B,$B80,Doors!$C:$C,$C80)*SUMIFS(Velocity!$I:$I,Velocity!$A:$A,$A80,Velocity!$B:$B,$C80)/Assumptions!$B$4*Assumptions!$B$6</f>
        <v>1.8875</v>
      </c>
      <c r="AS80" s="7" t="n">
        <f aca="false">SUMIFS(Doors!BE:BE,Doors!$A:$A,$D80,Doors!$B:$B,$B80,Doors!$C:$C,$C80)*SUMIFS(Velocity!$I:$I,Velocity!$A:$A,$A80,Velocity!$B:$B,$C80)/Assumptions!$B$4*Assumptions!$B$6</f>
        <v>1.8875</v>
      </c>
      <c r="AT80" s="7" t="n">
        <f aca="false">SUMIFS(Doors!BF:BF,Doors!$A:$A,$D80,Doors!$B:$B,$B80,Doors!$C:$C,$C80)*SUMIFS(Velocity!$I:$I,Velocity!$A:$A,$A80,Velocity!$B:$B,$C80)/Assumptions!$B$4*Assumptions!$B$6</f>
        <v>1.8875</v>
      </c>
      <c r="AU80" s="7" t="n">
        <f aca="false">SUMIFS(Doors!BG:BG,Doors!$A:$A,$D80,Doors!$B:$B,$B80,Doors!$C:$C,$C80)*SUMIFS(Velocity!$I:$I,Velocity!$A:$A,$A80,Velocity!$B:$B,$C80)/Assumptions!$B$4*Assumptions!$B$6</f>
        <v>1.8875</v>
      </c>
      <c r="AV80" s="7" t="n">
        <f aca="false">SUMIFS(Doors!BH:BH,Doors!$A:$A,$D80,Doors!$B:$B,$B80,Doors!$C:$C,$C80)*SUMIFS(Velocity!$I:$I,Velocity!$A:$A,$A80,Velocity!$B:$B,$C80)/Assumptions!$B$4*Assumptions!$B$6</f>
        <v>1.8875</v>
      </c>
      <c r="AW80" s="7" t="n">
        <f aca="false">SUMIFS(Doors!BI:BI,Doors!$A:$A,$D80,Doors!$B:$B,$B80,Doors!$C:$C,$C80)*SUMIFS(Velocity!$I:$I,Velocity!$A:$A,$A80,Velocity!$B:$B,$C80)/Assumptions!$B$4*Assumptions!$B$6</f>
        <v>1.8875</v>
      </c>
      <c r="AX80" s="7" t="n">
        <f aca="false">SUMIFS(Doors!BJ:BJ,Doors!$A:$A,$D80,Doors!$B:$B,$B80,Doors!$C:$C,$C80)*SUMIFS(Velocity!$I:$I,Velocity!$A:$A,$A80,Velocity!$B:$B,$C80)/Assumptions!$B$4*Assumptions!$B$6</f>
        <v>1.8875</v>
      </c>
      <c r="AY80" s="7" t="n">
        <f aca="false">SUMIFS(Doors!BK:BK,Doors!$A:$A,$D80,Doors!$B:$B,$B80,Doors!$C:$C,$C80)*SUMIFS(Velocity!$I:$I,Velocity!$A:$A,$A80,Velocity!$B:$B,$C80)/Assumptions!$B$4*Assumptions!$B$6</f>
        <v>1.8875</v>
      </c>
      <c r="AZ80" s="7" t="n">
        <f aca="false">SUMIFS(Doors!BL:BL,Doors!$A:$A,$D80,Doors!$B:$B,$B80,Doors!$C:$C,$C80)*SUMIFS(Velocity!$I:$I,Velocity!$A:$A,$A80,Velocity!$B:$B,$C80)/Assumptions!$B$4*Assumptions!$B$6</f>
        <v>1.8875</v>
      </c>
      <c r="BA80" s="7" t="n">
        <f aca="false">SUMIFS(Doors!BM:BM,Doors!$A:$A,$D80,Doors!$B:$B,$B80,Doors!$C:$C,$C80)*SUMIFS(Velocity!$I:$I,Velocity!$A:$A,$A80,Velocity!$B:$B,$C80)/Assumptions!$B$4*Assumptions!$B$6</f>
        <v>1.8875</v>
      </c>
      <c r="BB80" s="7" t="n">
        <f aca="false">SUMIFS(Doors!BN:BN,Doors!$A:$A,$D80,Doors!$B:$B,$B80,Doors!$C:$C,$C80)*SUMIFS(Velocity!$I:$I,Velocity!$A:$A,$A80,Velocity!$B:$B,$C80)/Assumptions!$B$4*Assumptions!$B$6</f>
        <v>1.8875</v>
      </c>
      <c r="BC80" s="7" t="n">
        <f aca="false">SUMIFS(Doors!BO:BO,Doors!$A:$A,$D80,Doors!$B:$B,$B80,Doors!$C:$C,$C80)*SUMIFS(Velocity!$I:$I,Velocity!$A:$A,$A80,Velocity!$B:$B,$C80)/Assumptions!$B$4*Assumptions!$B$6</f>
        <v>1.8875</v>
      </c>
      <c r="BD80" s="7" t="n">
        <f aca="false">SUMIFS(Doors!BP:BP,Doors!$A:$A,$D80,Doors!$B:$B,$B80,Doors!$C:$C,$C80)*SUMIFS(Velocity!$I:$I,Velocity!$A:$A,$A80,Velocity!$B:$B,$C80)/Assumptions!$B$4*Assumptions!$B$6</f>
        <v>1.8875</v>
      </c>
    </row>
    <row r="81" customFormat="false" ht="15" hidden="false" customHeight="false" outlineLevel="0" collapsed="false">
      <c r="A81" s="0" t="s">
        <v>108</v>
      </c>
      <c r="B81" s="0" t="s">
        <v>134</v>
      </c>
      <c r="C81" s="0" t="s">
        <v>118</v>
      </c>
      <c r="D81" s="0" t="s">
        <v>235</v>
      </c>
      <c r="E81" s="7" t="n">
        <f aca="false">SUMIFS(Doors!Q:Q,Doors!$A:$A,$D81,Doors!$B:$B,$B81,Doors!$C:$C,$C81)*SUMIFS(Velocity!$I:$I,Velocity!$A:$A,$A81,Velocity!$B:$B,$C81)/Assumptions!$B$4*Assumptions!$B$6</f>
        <v>0</v>
      </c>
      <c r="F81" s="7" t="n">
        <f aca="false">SUMIFS(Doors!R:R,Doors!$A:$A,$D81,Doors!$B:$B,$B81,Doors!$C:$C,$C81)*SUMIFS(Velocity!$I:$I,Velocity!$A:$A,$A81,Velocity!$B:$B,$C81)/Assumptions!$B$4*Assumptions!$B$6</f>
        <v>0</v>
      </c>
      <c r="G81" s="7" t="n">
        <f aca="false">SUMIFS(Doors!S:S,Doors!$A:$A,$D81,Doors!$B:$B,$B81,Doors!$C:$C,$C81)*SUMIFS(Velocity!$I:$I,Velocity!$A:$A,$A81,Velocity!$B:$B,$C81)/Assumptions!$B$4*Assumptions!$B$6</f>
        <v>0</v>
      </c>
      <c r="H81" s="7" t="n">
        <f aca="false">SUMIFS(Doors!T:T,Doors!$A:$A,$D81,Doors!$B:$B,$B81,Doors!$C:$C,$C81)*SUMIFS(Velocity!$I:$I,Velocity!$A:$A,$A81,Velocity!$B:$B,$C81)/Assumptions!$B$4*Assumptions!$B$6</f>
        <v>0</v>
      </c>
      <c r="I81" s="7" t="n">
        <f aca="false">SUMIFS(Doors!U:U,Doors!$A:$A,$D81,Doors!$B:$B,$B81,Doors!$C:$C,$C81)*SUMIFS(Velocity!$I:$I,Velocity!$A:$A,$A81,Velocity!$B:$B,$C81)/Assumptions!$B$4*Assumptions!$B$6</f>
        <v>0</v>
      </c>
      <c r="J81" s="7" t="n">
        <f aca="false">SUMIFS(Doors!V:V,Doors!$A:$A,$D81,Doors!$B:$B,$B81,Doors!$C:$C,$C81)*SUMIFS(Velocity!$I:$I,Velocity!$A:$A,$A81,Velocity!$B:$B,$C81)/Assumptions!$B$4*Assumptions!$B$6</f>
        <v>0</v>
      </c>
      <c r="K81" s="7" t="n">
        <f aca="false">SUMIFS(Doors!W:W,Doors!$A:$A,$D81,Doors!$B:$B,$B81,Doors!$C:$C,$C81)*SUMIFS(Velocity!$I:$I,Velocity!$A:$A,$A81,Velocity!$B:$B,$C81)/Assumptions!$B$4*Assumptions!$B$6</f>
        <v>0</v>
      </c>
      <c r="L81" s="7" t="n">
        <f aca="false">SUMIFS(Doors!X:X,Doors!$A:$A,$D81,Doors!$B:$B,$B81,Doors!$C:$C,$C81)*SUMIFS(Velocity!$I:$I,Velocity!$A:$A,$A81,Velocity!$B:$B,$C81)/Assumptions!$B$4*Assumptions!$B$6</f>
        <v>0</v>
      </c>
      <c r="M81" s="7" t="n">
        <f aca="false">SUMIFS(Doors!Y:Y,Doors!$A:$A,$D81,Doors!$B:$B,$B81,Doors!$C:$C,$C81)*SUMIFS(Velocity!$I:$I,Velocity!$A:$A,$A81,Velocity!$B:$B,$C81)/Assumptions!$B$4*Assumptions!$B$6</f>
        <v>0</v>
      </c>
      <c r="N81" s="7" t="n">
        <f aca="false">SUMIFS(Doors!Z:Z,Doors!$A:$A,$D81,Doors!$B:$B,$B81,Doors!$C:$C,$C81)*SUMIFS(Velocity!$I:$I,Velocity!$A:$A,$A81,Velocity!$B:$B,$C81)/Assumptions!$B$4*Assumptions!$B$6</f>
        <v>0</v>
      </c>
      <c r="O81" s="7" t="n">
        <f aca="false">SUMIFS(Doors!AA:AA,Doors!$A:$A,$D81,Doors!$B:$B,$B81,Doors!$C:$C,$C81)*SUMIFS(Velocity!$I:$I,Velocity!$A:$A,$A81,Velocity!$B:$B,$C81)/Assumptions!$B$4*Assumptions!$B$6</f>
        <v>0</v>
      </c>
      <c r="P81" s="7" t="n">
        <f aca="false">SUMIFS(Doors!AB:AB,Doors!$A:$A,$D81,Doors!$B:$B,$B81,Doors!$C:$C,$C81)*SUMIFS(Velocity!$I:$I,Velocity!$A:$A,$A81,Velocity!$B:$B,$C81)/Assumptions!$B$4*Assumptions!$B$6</f>
        <v>0</v>
      </c>
      <c r="Q81" s="7" t="n">
        <f aca="false">SUMIFS(Doors!AC:AC,Doors!$A:$A,$D81,Doors!$B:$B,$B81,Doors!$C:$C,$C81)*SUMIFS(Velocity!$I:$I,Velocity!$A:$A,$A81,Velocity!$B:$B,$C81)/Assumptions!$B$4*Assumptions!$B$6</f>
        <v>0</v>
      </c>
      <c r="R81" s="7" t="n">
        <f aca="false">SUMIFS(Doors!AD:AD,Doors!$A:$A,$D81,Doors!$B:$B,$B81,Doors!$C:$C,$C81)*SUMIFS(Velocity!$I:$I,Velocity!$A:$A,$A81,Velocity!$B:$B,$C81)/Assumptions!$B$4*Assumptions!$B$6</f>
        <v>0</v>
      </c>
      <c r="S81" s="7" t="n">
        <f aca="false">SUMIFS(Doors!AE:AE,Doors!$A:$A,$D81,Doors!$B:$B,$B81,Doors!$C:$C,$C81)*SUMIFS(Velocity!$I:$I,Velocity!$A:$A,$A81,Velocity!$B:$B,$C81)/Assumptions!$B$4*Assumptions!$B$6</f>
        <v>0</v>
      </c>
      <c r="T81" s="7" t="n">
        <f aca="false">SUMIFS(Doors!AF:AF,Doors!$A:$A,$D81,Doors!$B:$B,$B81,Doors!$C:$C,$C81)*SUMIFS(Velocity!$I:$I,Velocity!$A:$A,$A81,Velocity!$B:$B,$C81)/Assumptions!$B$4*Assumptions!$B$6</f>
        <v>0</v>
      </c>
      <c r="U81" s="7" t="n">
        <f aca="false">SUMIFS(Doors!AG:AG,Doors!$A:$A,$D81,Doors!$B:$B,$B81,Doors!$C:$C,$C81)*SUMIFS(Velocity!$I:$I,Velocity!$A:$A,$A81,Velocity!$B:$B,$C81)/Assumptions!$B$4*Assumptions!$B$6</f>
        <v>0</v>
      </c>
      <c r="V81" s="7" t="n">
        <f aca="false">SUMIFS(Doors!AH:AH,Doors!$A:$A,$D81,Doors!$B:$B,$B81,Doors!$C:$C,$C81)*SUMIFS(Velocity!$I:$I,Velocity!$A:$A,$A81,Velocity!$B:$B,$C81)/Assumptions!$B$4*Assumptions!$B$6</f>
        <v>0</v>
      </c>
      <c r="W81" s="7" t="n">
        <f aca="false">SUMIFS(Doors!AI:AI,Doors!$A:$A,$D81,Doors!$B:$B,$B81,Doors!$C:$C,$C81)*SUMIFS(Velocity!$I:$I,Velocity!$A:$A,$A81,Velocity!$B:$B,$C81)/Assumptions!$B$4*Assumptions!$B$6</f>
        <v>0</v>
      </c>
      <c r="X81" s="7" t="n">
        <f aca="false">SUMIFS(Doors!AJ:AJ,Doors!$A:$A,$D81,Doors!$B:$B,$B81,Doors!$C:$C,$C81)*SUMIFS(Velocity!$I:$I,Velocity!$A:$A,$A81,Velocity!$B:$B,$C81)/Assumptions!$B$4*Assumptions!$B$6</f>
        <v>0</v>
      </c>
      <c r="Y81" s="7" t="n">
        <f aca="false">SUMIFS(Doors!AK:AK,Doors!$A:$A,$D81,Doors!$B:$B,$B81,Doors!$C:$C,$C81)*SUMIFS(Velocity!$I:$I,Velocity!$A:$A,$A81,Velocity!$B:$B,$C81)/Assumptions!$B$4*Assumptions!$B$6</f>
        <v>0</v>
      </c>
      <c r="Z81" s="7" t="n">
        <f aca="false">SUMIFS(Doors!AL:AL,Doors!$A:$A,$D81,Doors!$B:$B,$B81,Doors!$C:$C,$C81)*SUMIFS(Velocity!$I:$I,Velocity!$A:$A,$A81,Velocity!$B:$B,$C81)/Assumptions!$B$4*Assumptions!$B$6</f>
        <v>0</v>
      </c>
      <c r="AA81" s="7" t="n">
        <f aca="false">SUMIFS(Doors!AM:AM,Doors!$A:$A,$D81,Doors!$B:$B,$B81,Doors!$C:$C,$C81)*SUMIFS(Velocity!$I:$I,Velocity!$A:$A,$A81,Velocity!$B:$B,$C81)/Assumptions!$B$4*Assumptions!$B$6</f>
        <v>0</v>
      </c>
      <c r="AB81" s="7" t="n">
        <f aca="false">SUMIFS(Doors!AN:AN,Doors!$A:$A,$D81,Doors!$B:$B,$B81,Doors!$C:$C,$C81)*SUMIFS(Velocity!$I:$I,Velocity!$A:$A,$A81,Velocity!$B:$B,$C81)/Assumptions!$B$4*Assumptions!$B$6</f>
        <v>0</v>
      </c>
      <c r="AC81" s="7" t="n">
        <f aca="false">SUMIFS(Doors!AO:AO,Doors!$A:$A,$D81,Doors!$B:$B,$B81,Doors!$C:$C,$C81)*SUMIFS(Velocity!$I:$I,Velocity!$A:$A,$A81,Velocity!$B:$B,$C81)/Assumptions!$B$4*Assumptions!$B$6</f>
        <v>0</v>
      </c>
      <c r="AD81" s="7" t="n">
        <f aca="false">SUMIFS(Doors!AP:AP,Doors!$A:$A,$D81,Doors!$B:$B,$B81,Doors!$C:$C,$C81)*SUMIFS(Velocity!$I:$I,Velocity!$A:$A,$A81,Velocity!$B:$B,$C81)/Assumptions!$B$4*Assumptions!$B$6</f>
        <v>0</v>
      </c>
      <c r="AE81" s="7" t="n">
        <f aca="false">SUMIFS(Doors!AQ:AQ,Doors!$A:$A,$D81,Doors!$B:$B,$B81,Doors!$C:$C,$C81)*SUMIFS(Velocity!$I:$I,Velocity!$A:$A,$A81,Velocity!$B:$B,$C81)/Assumptions!$B$4*Assumptions!$B$6</f>
        <v>0</v>
      </c>
      <c r="AF81" s="7" t="n">
        <f aca="false">SUMIFS(Doors!AR:AR,Doors!$A:$A,$D81,Doors!$B:$B,$B81,Doors!$C:$C,$C81)*SUMIFS(Velocity!$I:$I,Velocity!$A:$A,$A81,Velocity!$B:$B,$C81)/Assumptions!$B$4*Assumptions!$B$6</f>
        <v>0</v>
      </c>
      <c r="AG81" s="7" t="n">
        <f aca="false">SUMIFS(Doors!AS:AS,Doors!$A:$A,$D81,Doors!$B:$B,$B81,Doors!$C:$C,$C81)*SUMIFS(Velocity!$I:$I,Velocity!$A:$A,$A81,Velocity!$B:$B,$C81)/Assumptions!$B$4*Assumptions!$B$6</f>
        <v>0</v>
      </c>
      <c r="AH81" s="7" t="n">
        <f aca="false">SUMIFS(Doors!AT:AT,Doors!$A:$A,$D81,Doors!$B:$B,$B81,Doors!$C:$C,$C81)*SUMIFS(Velocity!$I:$I,Velocity!$A:$A,$A81,Velocity!$B:$B,$C81)/Assumptions!$B$4*Assumptions!$B$6</f>
        <v>0</v>
      </c>
      <c r="AI81" s="7" t="n">
        <f aca="false">SUMIFS(Doors!AU:AU,Doors!$A:$A,$D81,Doors!$B:$B,$B81,Doors!$C:$C,$C81)*SUMIFS(Velocity!$I:$I,Velocity!$A:$A,$A81,Velocity!$B:$B,$C81)/Assumptions!$B$4*Assumptions!$B$6</f>
        <v>0</v>
      </c>
      <c r="AJ81" s="7" t="n">
        <f aca="false">SUMIFS(Doors!AV:AV,Doors!$A:$A,$D81,Doors!$B:$B,$B81,Doors!$C:$C,$C81)*SUMIFS(Velocity!$I:$I,Velocity!$A:$A,$A81,Velocity!$B:$B,$C81)/Assumptions!$B$4*Assumptions!$B$6</f>
        <v>0</v>
      </c>
      <c r="AK81" s="7" t="n">
        <f aca="false">SUMIFS(Doors!AW:AW,Doors!$A:$A,$D81,Doors!$B:$B,$B81,Doors!$C:$C,$C81)*SUMIFS(Velocity!$I:$I,Velocity!$A:$A,$A81,Velocity!$B:$B,$C81)/Assumptions!$B$4*Assumptions!$B$6</f>
        <v>0</v>
      </c>
      <c r="AL81" s="7" t="n">
        <f aca="false">SUMIFS(Doors!AX:AX,Doors!$A:$A,$D81,Doors!$B:$B,$B81,Doors!$C:$C,$C81)*SUMIFS(Velocity!$I:$I,Velocity!$A:$A,$A81,Velocity!$B:$B,$C81)/Assumptions!$B$4*Assumptions!$B$6</f>
        <v>0</v>
      </c>
      <c r="AM81" s="7" t="n">
        <f aca="false">SUMIFS(Doors!AY:AY,Doors!$A:$A,$D81,Doors!$B:$B,$B81,Doors!$C:$C,$C81)*SUMIFS(Velocity!$I:$I,Velocity!$A:$A,$A81,Velocity!$B:$B,$C81)/Assumptions!$B$4*Assumptions!$B$6</f>
        <v>0</v>
      </c>
      <c r="AN81" s="7" t="n">
        <f aca="false">SUMIFS(Doors!AZ:AZ,Doors!$A:$A,$D81,Doors!$B:$B,$B81,Doors!$C:$C,$C81)*SUMIFS(Velocity!$I:$I,Velocity!$A:$A,$A81,Velocity!$B:$B,$C81)/Assumptions!$B$4*Assumptions!$B$6</f>
        <v>0</v>
      </c>
      <c r="AO81" s="7" t="n">
        <f aca="false">SUMIFS(Doors!BA:BA,Doors!$A:$A,$D81,Doors!$B:$B,$B81,Doors!$C:$C,$C81)*SUMIFS(Velocity!$I:$I,Velocity!$A:$A,$A81,Velocity!$B:$B,$C81)/Assumptions!$B$4*Assumptions!$B$6</f>
        <v>0</v>
      </c>
      <c r="AP81" s="7" t="n">
        <f aca="false">SUMIFS(Doors!BB:BB,Doors!$A:$A,$D81,Doors!$B:$B,$B81,Doors!$C:$C,$C81)*SUMIFS(Velocity!$I:$I,Velocity!$A:$A,$A81,Velocity!$B:$B,$C81)/Assumptions!$B$4*Assumptions!$B$6</f>
        <v>0</v>
      </c>
      <c r="AQ81" s="7" t="n">
        <f aca="false">SUMIFS(Doors!BC:BC,Doors!$A:$A,$D81,Doors!$B:$B,$B81,Doors!$C:$C,$C81)*SUMIFS(Velocity!$I:$I,Velocity!$A:$A,$A81,Velocity!$B:$B,$C81)/Assumptions!$B$4*Assumptions!$B$6</f>
        <v>0</v>
      </c>
      <c r="AR81" s="7" t="n">
        <f aca="false">SUMIFS(Doors!BD:BD,Doors!$A:$A,$D81,Doors!$B:$B,$B81,Doors!$C:$C,$C81)*SUMIFS(Velocity!$I:$I,Velocity!$A:$A,$A81,Velocity!$B:$B,$C81)/Assumptions!$B$4*Assumptions!$B$6</f>
        <v>0</v>
      </c>
      <c r="AS81" s="7" t="n">
        <f aca="false">SUMIFS(Doors!BE:BE,Doors!$A:$A,$D81,Doors!$B:$B,$B81,Doors!$C:$C,$C81)*SUMIFS(Velocity!$I:$I,Velocity!$A:$A,$A81,Velocity!$B:$B,$C81)/Assumptions!$B$4*Assumptions!$B$6</f>
        <v>0</v>
      </c>
      <c r="AT81" s="7" t="n">
        <f aca="false">SUMIFS(Doors!BF:BF,Doors!$A:$A,$D81,Doors!$B:$B,$B81,Doors!$C:$C,$C81)*SUMIFS(Velocity!$I:$I,Velocity!$A:$A,$A81,Velocity!$B:$B,$C81)/Assumptions!$B$4*Assumptions!$B$6</f>
        <v>0</v>
      </c>
      <c r="AU81" s="7" t="n">
        <f aca="false">SUMIFS(Doors!BG:BG,Doors!$A:$A,$D81,Doors!$B:$B,$B81,Doors!$C:$C,$C81)*SUMIFS(Velocity!$I:$I,Velocity!$A:$A,$A81,Velocity!$B:$B,$C81)/Assumptions!$B$4*Assumptions!$B$6</f>
        <v>0</v>
      </c>
      <c r="AV81" s="7" t="n">
        <f aca="false">SUMIFS(Doors!BH:BH,Doors!$A:$A,$D81,Doors!$B:$B,$B81,Doors!$C:$C,$C81)*SUMIFS(Velocity!$I:$I,Velocity!$A:$A,$A81,Velocity!$B:$B,$C81)/Assumptions!$B$4*Assumptions!$B$6</f>
        <v>0</v>
      </c>
      <c r="AW81" s="7" t="n">
        <f aca="false">SUMIFS(Doors!BI:BI,Doors!$A:$A,$D81,Doors!$B:$B,$B81,Doors!$C:$C,$C81)*SUMIFS(Velocity!$I:$I,Velocity!$A:$A,$A81,Velocity!$B:$B,$C81)/Assumptions!$B$4*Assumptions!$B$6</f>
        <v>0</v>
      </c>
      <c r="AX81" s="7" t="n">
        <f aca="false">SUMIFS(Doors!BJ:BJ,Doors!$A:$A,$D81,Doors!$B:$B,$B81,Doors!$C:$C,$C81)*SUMIFS(Velocity!$I:$I,Velocity!$A:$A,$A81,Velocity!$B:$B,$C81)/Assumptions!$B$4*Assumptions!$B$6</f>
        <v>0</v>
      </c>
      <c r="AY81" s="7" t="n">
        <f aca="false">SUMIFS(Doors!BK:BK,Doors!$A:$A,$D81,Doors!$B:$B,$B81,Doors!$C:$C,$C81)*SUMIFS(Velocity!$I:$I,Velocity!$A:$A,$A81,Velocity!$B:$B,$C81)/Assumptions!$B$4*Assumptions!$B$6</f>
        <v>0</v>
      </c>
      <c r="AZ81" s="7" t="n">
        <f aca="false">SUMIFS(Doors!BL:BL,Doors!$A:$A,$D81,Doors!$B:$B,$B81,Doors!$C:$C,$C81)*SUMIFS(Velocity!$I:$I,Velocity!$A:$A,$A81,Velocity!$B:$B,$C81)/Assumptions!$B$4*Assumptions!$B$6</f>
        <v>0</v>
      </c>
      <c r="BA81" s="7" t="n">
        <f aca="false">SUMIFS(Doors!BM:BM,Doors!$A:$A,$D81,Doors!$B:$B,$B81,Doors!$C:$C,$C81)*SUMIFS(Velocity!$I:$I,Velocity!$A:$A,$A81,Velocity!$B:$B,$C81)/Assumptions!$B$4*Assumptions!$B$6</f>
        <v>0</v>
      </c>
      <c r="BB81" s="7" t="n">
        <f aca="false">SUMIFS(Doors!BN:BN,Doors!$A:$A,$D81,Doors!$B:$B,$B81,Doors!$C:$C,$C81)*SUMIFS(Velocity!$I:$I,Velocity!$A:$A,$A81,Velocity!$B:$B,$C81)/Assumptions!$B$4*Assumptions!$B$6</f>
        <v>0</v>
      </c>
      <c r="BC81" s="7" t="n">
        <f aca="false">SUMIFS(Doors!BO:BO,Doors!$A:$A,$D81,Doors!$B:$B,$B81,Doors!$C:$C,$C81)*SUMIFS(Velocity!$I:$I,Velocity!$A:$A,$A81,Velocity!$B:$B,$C81)/Assumptions!$B$4*Assumptions!$B$6</f>
        <v>0</v>
      </c>
      <c r="BD81" s="7" t="n">
        <f aca="false">SUMIFS(Doors!BP:BP,Doors!$A:$A,$D81,Doors!$B:$B,$B81,Doors!$C:$C,$C81)*SUMIFS(Velocity!$I:$I,Velocity!$A:$A,$A81,Velocity!$B:$B,$C81)/Assumptions!$B$4*Assumptions!$B$6</f>
        <v>0</v>
      </c>
    </row>
    <row r="82" customFormat="false" ht="15" hidden="false" customHeight="false" outlineLevel="0" collapsed="false">
      <c r="A82" s="0" t="s">
        <v>108</v>
      </c>
      <c r="B82" s="0" t="s">
        <v>134</v>
      </c>
      <c r="C82" s="0" t="s">
        <v>119</v>
      </c>
      <c r="D82" s="0" t="s">
        <v>235</v>
      </c>
      <c r="E82" s="7" t="n">
        <f aca="false">SUMIFS(Doors!Q:Q,Doors!$A:$A,$D82,Doors!$B:$B,$B82,Doors!$C:$C,$C82)*SUMIFS(Velocity!$I:$I,Velocity!$A:$A,$A82,Velocity!$B:$B,$C82)/Assumptions!$B$4*Assumptions!$B$6</f>
        <v>0.166666666666667</v>
      </c>
      <c r="F82" s="7" t="n">
        <f aca="false">SUMIFS(Doors!R:R,Doors!$A:$A,$D82,Doors!$B:$B,$B82,Doors!$C:$C,$C82)*SUMIFS(Velocity!$I:$I,Velocity!$A:$A,$A82,Velocity!$B:$B,$C82)/Assumptions!$B$4*Assumptions!$B$6</f>
        <v>0.166666666666667</v>
      </c>
      <c r="G82" s="7" t="n">
        <f aca="false">SUMIFS(Doors!S:S,Doors!$A:$A,$D82,Doors!$B:$B,$B82,Doors!$C:$C,$C82)*SUMIFS(Velocity!$I:$I,Velocity!$A:$A,$A82,Velocity!$B:$B,$C82)/Assumptions!$B$4*Assumptions!$B$6</f>
        <v>0.166666666666667</v>
      </c>
      <c r="H82" s="7" t="n">
        <f aca="false">SUMIFS(Doors!T:T,Doors!$A:$A,$D82,Doors!$B:$B,$B82,Doors!$C:$C,$C82)*SUMIFS(Velocity!$I:$I,Velocity!$A:$A,$A82,Velocity!$B:$B,$C82)/Assumptions!$B$4*Assumptions!$B$6</f>
        <v>0.166666666666667</v>
      </c>
      <c r="I82" s="7" t="n">
        <f aca="false">SUMIFS(Doors!U:U,Doors!$A:$A,$D82,Doors!$B:$B,$B82,Doors!$C:$C,$C82)*SUMIFS(Velocity!$I:$I,Velocity!$A:$A,$A82,Velocity!$B:$B,$C82)/Assumptions!$B$4*Assumptions!$B$6</f>
        <v>0.166666666666667</v>
      </c>
      <c r="J82" s="7" t="n">
        <f aca="false">SUMIFS(Doors!V:V,Doors!$A:$A,$D82,Doors!$B:$B,$B82,Doors!$C:$C,$C82)*SUMIFS(Velocity!$I:$I,Velocity!$A:$A,$A82,Velocity!$B:$B,$C82)/Assumptions!$B$4*Assumptions!$B$6</f>
        <v>0.166666666666667</v>
      </c>
      <c r="K82" s="7" t="n">
        <f aca="false">SUMIFS(Doors!W:W,Doors!$A:$A,$D82,Doors!$B:$B,$B82,Doors!$C:$C,$C82)*SUMIFS(Velocity!$I:$I,Velocity!$A:$A,$A82,Velocity!$B:$B,$C82)/Assumptions!$B$4*Assumptions!$B$6</f>
        <v>0.166666666666667</v>
      </c>
      <c r="L82" s="7" t="n">
        <f aca="false">SUMIFS(Doors!X:X,Doors!$A:$A,$D82,Doors!$B:$B,$B82,Doors!$C:$C,$C82)*SUMIFS(Velocity!$I:$I,Velocity!$A:$A,$A82,Velocity!$B:$B,$C82)/Assumptions!$B$4*Assumptions!$B$6</f>
        <v>0.166666666666667</v>
      </c>
      <c r="M82" s="7" t="n">
        <f aca="false">SUMIFS(Doors!Y:Y,Doors!$A:$A,$D82,Doors!$B:$B,$B82,Doors!$C:$C,$C82)*SUMIFS(Velocity!$I:$I,Velocity!$A:$A,$A82,Velocity!$B:$B,$C82)/Assumptions!$B$4*Assumptions!$B$6</f>
        <v>0.166666666666667</v>
      </c>
      <c r="N82" s="7" t="n">
        <f aca="false">SUMIFS(Doors!Z:Z,Doors!$A:$A,$D82,Doors!$B:$B,$B82,Doors!$C:$C,$C82)*SUMIFS(Velocity!$I:$I,Velocity!$A:$A,$A82,Velocity!$B:$B,$C82)/Assumptions!$B$4*Assumptions!$B$6</f>
        <v>0.333333333333333</v>
      </c>
      <c r="O82" s="7" t="n">
        <f aca="false">SUMIFS(Doors!AA:AA,Doors!$A:$A,$D82,Doors!$B:$B,$B82,Doors!$C:$C,$C82)*SUMIFS(Velocity!$I:$I,Velocity!$A:$A,$A82,Velocity!$B:$B,$C82)/Assumptions!$B$4*Assumptions!$B$6</f>
        <v>0.333333333333333</v>
      </c>
      <c r="P82" s="7" t="n">
        <f aca="false">SUMIFS(Doors!AB:AB,Doors!$A:$A,$D82,Doors!$B:$B,$B82,Doors!$C:$C,$C82)*SUMIFS(Velocity!$I:$I,Velocity!$A:$A,$A82,Velocity!$B:$B,$C82)/Assumptions!$B$4*Assumptions!$B$6</f>
        <v>0.333333333333333</v>
      </c>
      <c r="Q82" s="7" t="n">
        <f aca="false">SUMIFS(Doors!AC:AC,Doors!$A:$A,$D82,Doors!$B:$B,$B82,Doors!$C:$C,$C82)*SUMIFS(Velocity!$I:$I,Velocity!$A:$A,$A82,Velocity!$B:$B,$C82)/Assumptions!$B$4*Assumptions!$B$6</f>
        <v>0.333333333333333</v>
      </c>
      <c r="R82" s="7" t="n">
        <f aca="false">SUMIFS(Doors!AD:AD,Doors!$A:$A,$D82,Doors!$B:$B,$B82,Doors!$C:$C,$C82)*SUMIFS(Velocity!$I:$I,Velocity!$A:$A,$A82,Velocity!$B:$B,$C82)/Assumptions!$B$4*Assumptions!$B$6</f>
        <v>0.333333333333333</v>
      </c>
      <c r="S82" s="7" t="n">
        <f aca="false">SUMIFS(Doors!AE:AE,Doors!$A:$A,$D82,Doors!$B:$B,$B82,Doors!$C:$C,$C82)*SUMIFS(Velocity!$I:$I,Velocity!$A:$A,$A82,Velocity!$B:$B,$C82)/Assumptions!$B$4*Assumptions!$B$6</f>
        <v>0.333333333333333</v>
      </c>
      <c r="T82" s="7" t="n">
        <f aca="false">SUMIFS(Doors!AF:AF,Doors!$A:$A,$D82,Doors!$B:$B,$B82,Doors!$C:$C,$C82)*SUMIFS(Velocity!$I:$I,Velocity!$A:$A,$A82,Velocity!$B:$B,$C82)/Assumptions!$B$4*Assumptions!$B$6</f>
        <v>0.333333333333333</v>
      </c>
      <c r="U82" s="7" t="n">
        <f aca="false">SUMIFS(Doors!AG:AG,Doors!$A:$A,$D82,Doors!$B:$B,$B82,Doors!$C:$C,$C82)*SUMIFS(Velocity!$I:$I,Velocity!$A:$A,$A82,Velocity!$B:$B,$C82)/Assumptions!$B$4*Assumptions!$B$6</f>
        <v>0.333333333333333</v>
      </c>
      <c r="V82" s="7" t="n">
        <f aca="false">SUMIFS(Doors!AH:AH,Doors!$A:$A,$D82,Doors!$B:$B,$B82,Doors!$C:$C,$C82)*SUMIFS(Velocity!$I:$I,Velocity!$A:$A,$A82,Velocity!$B:$B,$C82)/Assumptions!$B$4*Assumptions!$B$6</f>
        <v>0.333333333333333</v>
      </c>
      <c r="W82" s="7" t="n">
        <f aca="false">SUMIFS(Doors!AI:AI,Doors!$A:$A,$D82,Doors!$B:$B,$B82,Doors!$C:$C,$C82)*SUMIFS(Velocity!$I:$I,Velocity!$A:$A,$A82,Velocity!$B:$B,$C82)/Assumptions!$B$4*Assumptions!$B$6</f>
        <v>0.5</v>
      </c>
      <c r="X82" s="7" t="n">
        <f aca="false">SUMIFS(Doors!AJ:AJ,Doors!$A:$A,$D82,Doors!$B:$B,$B82,Doors!$C:$C,$C82)*SUMIFS(Velocity!$I:$I,Velocity!$A:$A,$A82,Velocity!$B:$B,$C82)/Assumptions!$B$4*Assumptions!$B$6</f>
        <v>0.5</v>
      </c>
      <c r="Y82" s="7" t="n">
        <f aca="false">SUMIFS(Doors!AK:AK,Doors!$A:$A,$D82,Doors!$B:$B,$B82,Doors!$C:$C,$C82)*SUMIFS(Velocity!$I:$I,Velocity!$A:$A,$A82,Velocity!$B:$B,$C82)/Assumptions!$B$4*Assumptions!$B$6</f>
        <v>0.5</v>
      </c>
      <c r="Z82" s="7" t="n">
        <f aca="false">SUMIFS(Doors!AL:AL,Doors!$A:$A,$D82,Doors!$B:$B,$B82,Doors!$C:$C,$C82)*SUMIFS(Velocity!$I:$I,Velocity!$A:$A,$A82,Velocity!$B:$B,$C82)/Assumptions!$B$4*Assumptions!$B$6</f>
        <v>0.5</v>
      </c>
      <c r="AA82" s="7" t="n">
        <f aca="false">SUMIFS(Doors!AM:AM,Doors!$A:$A,$D82,Doors!$B:$B,$B82,Doors!$C:$C,$C82)*SUMIFS(Velocity!$I:$I,Velocity!$A:$A,$A82,Velocity!$B:$B,$C82)/Assumptions!$B$4*Assumptions!$B$6</f>
        <v>0.5</v>
      </c>
      <c r="AB82" s="7" t="n">
        <f aca="false">SUMIFS(Doors!AN:AN,Doors!$A:$A,$D82,Doors!$B:$B,$B82,Doors!$C:$C,$C82)*SUMIFS(Velocity!$I:$I,Velocity!$A:$A,$A82,Velocity!$B:$B,$C82)/Assumptions!$B$4*Assumptions!$B$6</f>
        <v>0.5</v>
      </c>
      <c r="AC82" s="7" t="n">
        <f aca="false">SUMIFS(Doors!AO:AO,Doors!$A:$A,$D82,Doors!$B:$B,$B82,Doors!$C:$C,$C82)*SUMIFS(Velocity!$I:$I,Velocity!$A:$A,$A82,Velocity!$B:$B,$C82)/Assumptions!$B$4*Assumptions!$B$6</f>
        <v>0.5</v>
      </c>
      <c r="AD82" s="7" t="n">
        <f aca="false">SUMIFS(Doors!AP:AP,Doors!$A:$A,$D82,Doors!$B:$B,$B82,Doors!$C:$C,$C82)*SUMIFS(Velocity!$I:$I,Velocity!$A:$A,$A82,Velocity!$B:$B,$C82)/Assumptions!$B$4*Assumptions!$B$6</f>
        <v>0.5</v>
      </c>
      <c r="AE82" s="7" t="n">
        <f aca="false">SUMIFS(Doors!AQ:AQ,Doors!$A:$A,$D82,Doors!$B:$B,$B82,Doors!$C:$C,$C82)*SUMIFS(Velocity!$I:$I,Velocity!$A:$A,$A82,Velocity!$B:$B,$C82)/Assumptions!$B$4*Assumptions!$B$6</f>
        <v>0.666666666666667</v>
      </c>
      <c r="AF82" s="7" t="n">
        <f aca="false">SUMIFS(Doors!AR:AR,Doors!$A:$A,$D82,Doors!$B:$B,$B82,Doors!$C:$C,$C82)*SUMIFS(Velocity!$I:$I,Velocity!$A:$A,$A82,Velocity!$B:$B,$C82)/Assumptions!$B$4*Assumptions!$B$6</f>
        <v>0.666666666666667</v>
      </c>
      <c r="AG82" s="7" t="n">
        <f aca="false">SUMIFS(Doors!AS:AS,Doors!$A:$A,$D82,Doors!$B:$B,$B82,Doors!$C:$C,$C82)*SUMIFS(Velocity!$I:$I,Velocity!$A:$A,$A82,Velocity!$B:$B,$C82)/Assumptions!$B$4*Assumptions!$B$6</f>
        <v>0.666666666666667</v>
      </c>
      <c r="AH82" s="7" t="n">
        <f aca="false">SUMIFS(Doors!AT:AT,Doors!$A:$A,$D82,Doors!$B:$B,$B82,Doors!$C:$C,$C82)*SUMIFS(Velocity!$I:$I,Velocity!$A:$A,$A82,Velocity!$B:$B,$C82)/Assumptions!$B$4*Assumptions!$B$6</f>
        <v>0.666666666666667</v>
      </c>
      <c r="AI82" s="7" t="n">
        <f aca="false">SUMIFS(Doors!AU:AU,Doors!$A:$A,$D82,Doors!$B:$B,$B82,Doors!$C:$C,$C82)*SUMIFS(Velocity!$I:$I,Velocity!$A:$A,$A82,Velocity!$B:$B,$C82)/Assumptions!$B$4*Assumptions!$B$6</f>
        <v>0.666666666666667</v>
      </c>
      <c r="AJ82" s="7" t="n">
        <f aca="false">SUMIFS(Doors!AV:AV,Doors!$A:$A,$D82,Doors!$B:$B,$B82,Doors!$C:$C,$C82)*SUMIFS(Velocity!$I:$I,Velocity!$A:$A,$A82,Velocity!$B:$B,$C82)/Assumptions!$B$4*Assumptions!$B$6</f>
        <v>0.666666666666667</v>
      </c>
      <c r="AK82" s="7" t="n">
        <f aca="false">SUMIFS(Doors!AW:AW,Doors!$A:$A,$D82,Doors!$B:$B,$B82,Doors!$C:$C,$C82)*SUMIFS(Velocity!$I:$I,Velocity!$A:$A,$A82,Velocity!$B:$B,$C82)/Assumptions!$B$4*Assumptions!$B$6</f>
        <v>0.666666666666667</v>
      </c>
      <c r="AL82" s="7" t="n">
        <f aca="false">SUMIFS(Doors!AX:AX,Doors!$A:$A,$D82,Doors!$B:$B,$B82,Doors!$C:$C,$C82)*SUMIFS(Velocity!$I:$I,Velocity!$A:$A,$A82,Velocity!$B:$B,$C82)/Assumptions!$B$4*Assumptions!$B$6</f>
        <v>0.666666666666667</v>
      </c>
      <c r="AM82" s="7" t="n">
        <f aca="false">SUMIFS(Doors!AY:AY,Doors!$A:$A,$D82,Doors!$B:$B,$B82,Doors!$C:$C,$C82)*SUMIFS(Velocity!$I:$I,Velocity!$A:$A,$A82,Velocity!$B:$B,$C82)/Assumptions!$B$4*Assumptions!$B$6</f>
        <v>0.666666666666667</v>
      </c>
      <c r="AN82" s="7" t="n">
        <f aca="false">SUMIFS(Doors!AZ:AZ,Doors!$A:$A,$D82,Doors!$B:$B,$B82,Doors!$C:$C,$C82)*SUMIFS(Velocity!$I:$I,Velocity!$A:$A,$A82,Velocity!$B:$B,$C82)/Assumptions!$B$4*Assumptions!$B$6</f>
        <v>0.666666666666667</v>
      </c>
      <c r="AO82" s="7" t="n">
        <f aca="false">SUMIFS(Doors!BA:BA,Doors!$A:$A,$D82,Doors!$B:$B,$B82,Doors!$C:$C,$C82)*SUMIFS(Velocity!$I:$I,Velocity!$A:$A,$A82,Velocity!$B:$B,$C82)/Assumptions!$B$4*Assumptions!$B$6</f>
        <v>0.666666666666667</v>
      </c>
      <c r="AP82" s="7" t="n">
        <f aca="false">SUMIFS(Doors!BB:BB,Doors!$A:$A,$D82,Doors!$B:$B,$B82,Doors!$C:$C,$C82)*SUMIFS(Velocity!$I:$I,Velocity!$A:$A,$A82,Velocity!$B:$B,$C82)/Assumptions!$B$4*Assumptions!$B$6</f>
        <v>0.666666666666667</v>
      </c>
      <c r="AQ82" s="7" t="n">
        <f aca="false">SUMIFS(Doors!BC:BC,Doors!$A:$A,$D82,Doors!$B:$B,$B82,Doors!$C:$C,$C82)*SUMIFS(Velocity!$I:$I,Velocity!$A:$A,$A82,Velocity!$B:$B,$C82)/Assumptions!$B$4*Assumptions!$B$6</f>
        <v>0.666666666666667</v>
      </c>
      <c r="AR82" s="7" t="n">
        <f aca="false">SUMIFS(Doors!BD:BD,Doors!$A:$A,$D82,Doors!$B:$B,$B82,Doors!$C:$C,$C82)*SUMIFS(Velocity!$I:$I,Velocity!$A:$A,$A82,Velocity!$B:$B,$C82)/Assumptions!$B$4*Assumptions!$B$6</f>
        <v>0.833333333333333</v>
      </c>
      <c r="AS82" s="7" t="n">
        <f aca="false">SUMIFS(Doors!BE:BE,Doors!$A:$A,$D82,Doors!$B:$B,$B82,Doors!$C:$C,$C82)*SUMIFS(Velocity!$I:$I,Velocity!$A:$A,$A82,Velocity!$B:$B,$C82)/Assumptions!$B$4*Assumptions!$B$6</f>
        <v>0.833333333333333</v>
      </c>
      <c r="AT82" s="7" t="n">
        <f aca="false">SUMIFS(Doors!BF:BF,Doors!$A:$A,$D82,Doors!$B:$B,$B82,Doors!$C:$C,$C82)*SUMIFS(Velocity!$I:$I,Velocity!$A:$A,$A82,Velocity!$B:$B,$C82)/Assumptions!$B$4*Assumptions!$B$6</f>
        <v>0.833333333333333</v>
      </c>
      <c r="AU82" s="7" t="n">
        <f aca="false">SUMIFS(Doors!BG:BG,Doors!$A:$A,$D82,Doors!$B:$B,$B82,Doors!$C:$C,$C82)*SUMIFS(Velocity!$I:$I,Velocity!$A:$A,$A82,Velocity!$B:$B,$C82)/Assumptions!$B$4*Assumptions!$B$6</f>
        <v>0.833333333333333</v>
      </c>
      <c r="AV82" s="7" t="n">
        <f aca="false">SUMIFS(Doors!BH:BH,Doors!$A:$A,$D82,Doors!$B:$B,$B82,Doors!$C:$C,$C82)*SUMIFS(Velocity!$I:$I,Velocity!$A:$A,$A82,Velocity!$B:$B,$C82)/Assumptions!$B$4*Assumptions!$B$6</f>
        <v>0.833333333333333</v>
      </c>
      <c r="AW82" s="7" t="n">
        <f aca="false">SUMIFS(Doors!BI:BI,Doors!$A:$A,$D82,Doors!$B:$B,$B82,Doors!$C:$C,$C82)*SUMIFS(Velocity!$I:$I,Velocity!$A:$A,$A82,Velocity!$B:$B,$C82)/Assumptions!$B$4*Assumptions!$B$6</f>
        <v>0.833333333333333</v>
      </c>
      <c r="AX82" s="7" t="n">
        <f aca="false">SUMIFS(Doors!BJ:BJ,Doors!$A:$A,$D82,Doors!$B:$B,$B82,Doors!$C:$C,$C82)*SUMIFS(Velocity!$I:$I,Velocity!$A:$A,$A82,Velocity!$B:$B,$C82)/Assumptions!$B$4*Assumptions!$B$6</f>
        <v>0.833333333333333</v>
      </c>
      <c r="AY82" s="7" t="n">
        <f aca="false">SUMIFS(Doors!BK:BK,Doors!$A:$A,$D82,Doors!$B:$B,$B82,Doors!$C:$C,$C82)*SUMIFS(Velocity!$I:$I,Velocity!$A:$A,$A82,Velocity!$B:$B,$C82)/Assumptions!$B$4*Assumptions!$B$6</f>
        <v>0.833333333333333</v>
      </c>
      <c r="AZ82" s="7" t="n">
        <f aca="false">SUMIFS(Doors!BL:BL,Doors!$A:$A,$D82,Doors!$B:$B,$B82,Doors!$C:$C,$C82)*SUMIFS(Velocity!$I:$I,Velocity!$A:$A,$A82,Velocity!$B:$B,$C82)/Assumptions!$B$4*Assumptions!$B$6</f>
        <v>0.833333333333333</v>
      </c>
      <c r="BA82" s="7" t="n">
        <f aca="false">SUMIFS(Doors!BM:BM,Doors!$A:$A,$D82,Doors!$B:$B,$B82,Doors!$C:$C,$C82)*SUMIFS(Velocity!$I:$I,Velocity!$A:$A,$A82,Velocity!$B:$B,$C82)/Assumptions!$B$4*Assumptions!$B$6</f>
        <v>0.833333333333333</v>
      </c>
      <c r="BB82" s="7" t="n">
        <f aca="false">SUMIFS(Doors!BN:BN,Doors!$A:$A,$D82,Doors!$B:$B,$B82,Doors!$C:$C,$C82)*SUMIFS(Velocity!$I:$I,Velocity!$A:$A,$A82,Velocity!$B:$B,$C82)/Assumptions!$B$4*Assumptions!$B$6</f>
        <v>0.833333333333333</v>
      </c>
      <c r="BC82" s="7" t="n">
        <f aca="false">SUMIFS(Doors!BO:BO,Doors!$A:$A,$D82,Doors!$B:$B,$B82,Doors!$C:$C,$C82)*SUMIFS(Velocity!$I:$I,Velocity!$A:$A,$A82,Velocity!$B:$B,$C82)/Assumptions!$B$4*Assumptions!$B$6</f>
        <v>0.833333333333333</v>
      </c>
      <c r="BD82" s="7" t="n">
        <f aca="false">SUMIFS(Doors!BP:BP,Doors!$A:$A,$D82,Doors!$B:$B,$B82,Doors!$C:$C,$C82)*SUMIFS(Velocity!$I:$I,Velocity!$A:$A,$A82,Velocity!$B:$B,$C82)/Assumptions!$B$4*Assumptions!$B$6</f>
        <v>0.833333333333333</v>
      </c>
    </row>
    <row r="83" customFormat="false" ht="15" hidden="false" customHeight="false" outlineLevel="0" collapsed="false">
      <c r="A83" s="0" t="s">
        <v>108</v>
      </c>
      <c r="B83" s="0" t="s">
        <v>134</v>
      </c>
      <c r="C83" s="0" t="s">
        <v>120</v>
      </c>
      <c r="D83" s="0" t="s">
        <v>235</v>
      </c>
      <c r="E83" s="7" t="n">
        <f aca="false">SUMIFS(Doors!Q:Q,Doors!$A:$A,$D83,Doors!$B:$B,$B83,Doors!$C:$C,$C83)*SUMIFS(Velocity!$I:$I,Velocity!$A:$A,$A83,Velocity!$B:$B,$C83)/Assumptions!$B$4*Assumptions!$B$6</f>
        <v>0.197916666666667</v>
      </c>
      <c r="F83" s="7" t="n">
        <f aca="false">SUMIFS(Doors!R:R,Doors!$A:$A,$D83,Doors!$B:$B,$B83,Doors!$C:$C,$C83)*SUMIFS(Velocity!$I:$I,Velocity!$A:$A,$A83,Velocity!$B:$B,$C83)/Assumptions!$B$4*Assumptions!$B$6</f>
        <v>0.197916666666667</v>
      </c>
      <c r="G83" s="7" t="n">
        <f aca="false">SUMIFS(Doors!S:S,Doors!$A:$A,$D83,Doors!$B:$B,$B83,Doors!$C:$C,$C83)*SUMIFS(Velocity!$I:$I,Velocity!$A:$A,$A83,Velocity!$B:$B,$C83)/Assumptions!$B$4*Assumptions!$B$6</f>
        <v>0.197916666666667</v>
      </c>
      <c r="H83" s="7" t="n">
        <f aca="false">SUMIFS(Doors!T:T,Doors!$A:$A,$D83,Doors!$B:$B,$B83,Doors!$C:$C,$C83)*SUMIFS(Velocity!$I:$I,Velocity!$A:$A,$A83,Velocity!$B:$B,$C83)/Assumptions!$B$4*Assumptions!$B$6</f>
        <v>0.197916666666667</v>
      </c>
      <c r="I83" s="7" t="n">
        <f aca="false">SUMIFS(Doors!U:U,Doors!$A:$A,$D83,Doors!$B:$B,$B83,Doors!$C:$C,$C83)*SUMIFS(Velocity!$I:$I,Velocity!$A:$A,$A83,Velocity!$B:$B,$C83)/Assumptions!$B$4*Assumptions!$B$6</f>
        <v>0.197916666666667</v>
      </c>
      <c r="J83" s="7" t="n">
        <f aca="false">SUMIFS(Doors!V:V,Doors!$A:$A,$D83,Doors!$B:$B,$B83,Doors!$C:$C,$C83)*SUMIFS(Velocity!$I:$I,Velocity!$A:$A,$A83,Velocity!$B:$B,$C83)/Assumptions!$B$4*Assumptions!$B$6</f>
        <v>0.395833333333333</v>
      </c>
      <c r="K83" s="7" t="n">
        <f aca="false">SUMIFS(Doors!W:W,Doors!$A:$A,$D83,Doors!$B:$B,$B83,Doors!$C:$C,$C83)*SUMIFS(Velocity!$I:$I,Velocity!$A:$A,$A83,Velocity!$B:$B,$C83)/Assumptions!$B$4*Assumptions!$B$6</f>
        <v>0.395833333333333</v>
      </c>
      <c r="L83" s="7" t="n">
        <f aca="false">SUMIFS(Doors!X:X,Doors!$A:$A,$D83,Doors!$B:$B,$B83,Doors!$C:$C,$C83)*SUMIFS(Velocity!$I:$I,Velocity!$A:$A,$A83,Velocity!$B:$B,$C83)/Assumptions!$B$4*Assumptions!$B$6</f>
        <v>0.395833333333333</v>
      </c>
      <c r="M83" s="7" t="n">
        <f aca="false">SUMIFS(Doors!Y:Y,Doors!$A:$A,$D83,Doors!$B:$B,$B83,Doors!$C:$C,$C83)*SUMIFS(Velocity!$I:$I,Velocity!$A:$A,$A83,Velocity!$B:$B,$C83)/Assumptions!$B$4*Assumptions!$B$6</f>
        <v>0.395833333333333</v>
      </c>
      <c r="N83" s="7" t="n">
        <f aca="false">SUMIFS(Doors!Z:Z,Doors!$A:$A,$D83,Doors!$B:$B,$B83,Doors!$C:$C,$C83)*SUMIFS(Velocity!$I:$I,Velocity!$A:$A,$A83,Velocity!$B:$B,$C83)/Assumptions!$B$4*Assumptions!$B$6</f>
        <v>0.395833333333333</v>
      </c>
      <c r="O83" s="7" t="n">
        <f aca="false">SUMIFS(Doors!AA:AA,Doors!$A:$A,$D83,Doors!$B:$B,$B83,Doors!$C:$C,$C83)*SUMIFS(Velocity!$I:$I,Velocity!$A:$A,$A83,Velocity!$B:$B,$C83)/Assumptions!$B$4*Assumptions!$B$6</f>
        <v>0.395833333333333</v>
      </c>
      <c r="P83" s="7" t="n">
        <f aca="false">SUMIFS(Doors!AB:AB,Doors!$A:$A,$D83,Doors!$B:$B,$B83,Doors!$C:$C,$C83)*SUMIFS(Velocity!$I:$I,Velocity!$A:$A,$A83,Velocity!$B:$B,$C83)/Assumptions!$B$4*Assumptions!$B$6</f>
        <v>0.395833333333333</v>
      </c>
      <c r="Q83" s="7" t="n">
        <f aca="false">SUMIFS(Doors!AC:AC,Doors!$A:$A,$D83,Doors!$B:$B,$B83,Doors!$C:$C,$C83)*SUMIFS(Velocity!$I:$I,Velocity!$A:$A,$A83,Velocity!$B:$B,$C83)/Assumptions!$B$4*Assumptions!$B$6</f>
        <v>0.395833333333333</v>
      </c>
      <c r="R83" s="7" t="n">
        <f aca="false">SUMIFS(Doors!AD:AD,Doors!$A:$A,$D83,Doors!$B:$B,$B83,Doors!$C:$C,$C83)*SUMIFS(Velocity!$I:$I,Velocity!$A:$A,$A83,Velocity!$B:$B,$C83)/Assumptions!$B$4*Assumptions!$B$6</f>
        <v>0.59375</v>
      </c>
      <c r="S83" s="7" t="n">
        <f aca="false">SUMIFS(Doors!AE:AE,Doors!$A:$A,$D83,Doors!$B:$B,$B83,Doors!$C:$C,$C83)*SUMIFS(Velocity!$I:$I,Velocity!$A:$A,$A83,Velocity!$B:$B,$C83)/Assumptions!$B$4*Assumptions!$B$6</f>
        <v>0.59375</v>
      </c>
      <c r="T83" s="7" t="n">
        <f aca="false">SUMIFS(Doors!AF:AF,Doors!$A:$A,$D83,Doors!$B:$B,$B83,Doors!$C:$C,$C83)*SUMIFS(Velocity!$I:$I,Velocity!$A:$A,$A83,Velocity!$B:$B,$C83)/Assumptions!$B$4*Assumptions!$B$6</f>
        <v>0.59375</v>
      </c>
      <c r="U83" s="7" t="n">
        <f aca="false">SUMIFS(Doors!AG:AG,Doors!$A:$A,$D83,Doors!$B:$B,$B83,Doors!$C:$C,$C83)*SUMIFS(Velocity!$I:$I,Velocity!$A:$A,$A83,Velocity!$B:$B,$C83)/Assumptions!$B$4*Assumptions!$B$6</f>
        <v>0.59375</v>
      </c>
      <c r="V83" s="7" t="n">
        <f aca="false">SUMIFS(Doors!AH:AH,Doors!$A:$A,$D83,Doors!$B:$B,$B83,Doors!$C:$C,$C83)*SUMIFS(Velocity!$I:$I,Velocity!$A:$A,$A83,Velocity!$B:$B,$C83)/Assumptions!$B$4*Assumptions!$B$6</f>
        <v>0.59375</v>
      </c>
      <c r="W83" s="7" t="n">
        <f aca="false">SUMIFS(Doors!AI:AI,Doors!$A:$A,$D83,Doors!$B:$B,$B83,Doors!$C:$C,$C83)*SUMIFS(Velocity!$I:$I,Velocity!$A:$A,$A83,Velocity!$B:$B,$C83)/Assumptions!$B$4*Assumptions!$B$6</f>
        <v>0.59375</v>
      </c>
      <c r="X83" s="7" t="n">
        <f aca="false">SUMIFS(Doors!AJ:AJ,Doors!$A:$A,$D83,Doors!$B:$B,$B83,Doors!$C:$C,$C83)*SUMIFS(Velocity!$I:$I,Velocity!$A:$A,$A83,Velocity!$B:$B,$C83)/Assumptions!$B$4*Assumptions!$B$6</f>
        <v>0.59375</v>
      </c>
      <c r="Y83" s="7" t="n">
        <f aca="false">SUMIFS(Doors!AK:AK,Doors!$A:$A,$D83,Doors!$B:$B,$B83,Doors!$C:$C,$C83)*SUMIFS(Velocity!$I:$I,Velocity!$A:$A,$A83,Velocity!$B:$B,$C83)/Assumptions!$B$4*Assumptions!$B$6</f>
        <v>0.59375</v>
      </c>
      <c r="Z83" s="7" t="n">
        <f aca="false">SUMIFS(Doors!AL:AL,Doors!$A:$A,$D83,Doors!$B:$B,$B83,Doors!$C:$C,$C83)*SUMIFS(Velocity!$I:$I,Velocity!$A:$A,$A83,Velocity!$B:$B,$C83)/Assumptions!$B$4*Assumptions!$B$6</f>
        <v>0.59375</v>
      </c>
      <c r="AA83" s="7" t="n">
        <f aca="false">SUMIFS(Doors!AM:AM,Doors!$A:$A,$D83,Doors!$B:$B,$B83,Doors!$C:$C,$C83)*SUMIFS(Velocity!$I:$I,Velocity!$A:$A,$A83,Velocity!$B:$B,$C83)/Assumptions!$B$4*Assumptions!$B$6</f>
        <v>0.791666666666667</v>
      </c>
      <c r="AB83" s="7" t="n">
        <f aca="false">SUMIFS(Doors!AN:AN,Doors!$A:$A,$D83,Doors!$B:$B,$B83,Doors!$C:$C,$C83)*SUMIFS(Velocity!$I:$I,Velocity!$A:$A,$A83,Velocity!$B:$B,$C83)/Assumptions!$B$4*Assumptions!$B$6</f>
        <v>0.791666666666667</v>
      </c>
      <c r="AC83" s="7" t="n">
        <f aca="false">SUMIFS(Doors!AO:AO,Doors!$A:$A,$D83,Doors!$B:$B,$B83,Doors!$C:$C,$C83)*SUMIFS(Velocity!$I:$I,Velocity!$A:$A,$A83,Velocity!$B:$B,$C83)/Assumptions!$B$4*Assumptions!$B$6</f>
        <v>0.791666666666667</v>
      </c>
      <c r="AD83" s="7" t="n">
        <f aca="false">SUMIFS(Doors!AP:AP,Doors!$A:$A,$D83,Doors!$B:$B,$B83,Doors!$C:$C,$C83)*SUMIFS(Velocity!$I:$I,Velocity!$A:$A,$A83,Velocity!$B:$B,$C83)/Assumptions!$B$4*Assumptions!$B$6</f>
        <v>0.791666666666667</v>
      </c>
      <c r="AE83" s="7" t="n">
        <f aca="false">SUMIFS(Doors!AQ:AQ,Doors!$A:$A,$D83,Doors!$B:$B,$B83,Doors!$C:$C,$C83)*SUMIFS(Velocity!$I:$I,Velocity!$A:$A,$A83,Velocity!$B:$B,$C83)/Assumptions!$B$4*Assumptions!$B$6</f>
        <v>0.791666666666667</v>
      </c>
      <c r="AF83" s="7" t="n">
        <f aca="false">SUMIFS(Doors!AR:AR,Doors!$A:$A,$D83,Doors!$B:$B,$B83,Doors!$C:$C,$C83)*SUMIFS(Velocity!$I:$I,Velocity!$A:$A,$A83,Velocity!$B:$B,$C83)/Assumptions!$B$4*Assumptions!$B$6</f>
        <v>0.791666666666667</v>
      </c>
      <c r="AG83" s="7" t="n">
        <f aca="false">SUMIFS(Doors!AS:AS,Doors!$A:$A,$D83,Doors!$B:$B,$B83,Doors!$C:$C,$C83)*SUMIFS(Velocity!$I:$I,Velocity!$A:$A,$A83,Velocity!$B:$B,$C83)/Assumptions!$B$4*Assumptions!$B$6</f>
        <v>0.791666666666667</v>
      </c>
      <c r="AH83" s="7" t="n">
        <f aca="false">SUMIFS(Doors!AT:AT,Doors!$A:$A,$D83,Doors!$B:$B,$B83,Doors!$C:$C,$C83)*SUMIFS(Velocity!$I:$I,Velocity!$A:$A,$A83,Velocity!$B:$B,$C83)/Assumptions!$B$4*Assumptions!$B$6</f>
        <v>0.791666666666667</v>
      </c>
      <c r="AI83" s="7" t="n">
        <f aca="false">SUMIFS(Doors!AU:AU,Doors!$A:$A,$D83,Doors!$B:$B,$B83,Doors!$C:$C,$C83)*SUMIFS(Velocity!$I:$I,Velocity!$A:$A,$A83,Velocity!$B:$B,$C83)/Assumptions!$B$4*Assumptions!$B$6</f>
        <v>0.791666666666667</v>
      </c>
      <c r="AJ83" s="7" t="n">
        <f aca="false">SUMIFS(Doors!AV:AV,Doors!$A:$A,$D83,Doors!$B:$B,$B83,Doors!$C:$C,$C83)*SUMIFS(Velocity!$I:$I,Velocity!$A:$A,$A83,Velocity!$B:$B,$C83)/Assumptions!$B$4*Assumptions!$B$6</f>
        <v>0.989583333333333</v>
      </c>
      <c r="AK83" s="7" t="n">
        <f aca="false">SUMIFS(Doors!AW:AW,Doors!$A:$A,$D83,Doors!$B:$B,$B83,Doors!$C:$C,$C83)*SUMIFS(Velocity!$I:$I,Velocity!$A:$A,$A83,Velocity!$B:$B,$C83)/Assumptions!$B$4*Assumptions!$B$6</f>
        <v>0.989583333333333</v>
      </c>
      <c r="AL83" s="7" t="n">
        <f aca="false">SUMIFS(Doors!AX:AX,Doors!$A:$A,$D83,Doors!$B:$B,$B83,Doors!$C:$C,$C83)*SUMIFS(Velocity!$I:$I,Velocity!$A:$A,$A83,Velocity!$B:$B,$C83)/Assumptions!$B$4*Assumptions!$B$6</f>
        <v>0.989583333333333</v>
      </c>
      <c r="AM83" s="7" t="n">
        <f aca="false">SUMIFS(Doors!AY:AY,Doors!$A:$A,$D83,Doors!$B:$B,$B83,Doors!$C:$C,$C83)*SUMIFS(Velocity!$I:$I,Velocity!$A:$A,$A83,Velocity!$B:$B,$C83)/Assumptions!$B$4*Assumptions!$B$6</f>
        <v>0.989583333333333</v>
      </c>
      <c r="AN83" s="7" t="n">
        <f aca="false">SUMIFS(Doors!AZ:AZ,Doors!$A:$A,$D83,Doors!$B:$B,$B83,Doors!$C:$C,$C83)*SUMIFS(Velocity!$I:$I,Velocity!$A:$A,$A83,Velocity!$B:$B,$C83)/Assumptions!$B$4*Assumptions!$B$6</f>
        <v>0.989583333333333</v>
      </c>
      <c r="AO83" s="7" t="n">
        <f aca="false">SUMIFS(Doors!BA:BA,Doors!$A:$A,$D83,Doors!$B:$B,$B83,Doors!$C:$C,$C83)*SUMIFS(Velocity!$I:$I,Velocity!$A:$A,$A83,Velocity!$B:$B,$C83)/Assumptions!$B$4*Assumptions!$B$6</f>
        <v>0.989583333333333</v>
      </c>
      <c r="AP83" s="7" t="n">
        <f aca="false">SUMIFS(Doors!BB:BB,Doors!$A:$A,$D83,Doors!$B:$B,$B83,Doors!$C:$C,$C83)*SUMIFS(Velocity!$I:$I,Velocity!$A:$A,$A83,Velocity!$B:$B,$C83)/Assumptions!$B$4*Assumptions!$B$6</f>
        <v>0.989583333333333</v>
      </c>
      <c r="AQ83" s="7" t="n">
        <f aca="false">SUMIFS(Doors!BC:BC,Doors!$A:$A,$D83,Doors!$B:$B,$B83,Doors!$C:$C,$C83)*SUMIFS(Velocity!$I:$I,Velocity!$A:$A,$A83,Velocity!$B:$B,$C83)/Assumptions!$B$4*Assumptions!$B$6</f>
        <v>0.989583333333333</v>
      </c>
      <c r="AR83" s="7" t="n">
        <f aca="false">SUMIFS(Doors!BD:BD,Doors!$A:$A,$D83,Doors!$B:$B,$B83,Doors!$C:$C,$C83)*SUMIFS(Velocity!$I:$I,Velocity!$A:$A,$A83,Velocity!$B:$B,$C83)/Assumptions!$B$4*Assumptions!$B$6</f>
        <v>0.989583333333333</v>
      </c>
      <c r="AS83" s="7" t="n">
        <f aca="false">SUMIFS(Doors!BE:BE,Doors!$A:$A,$D83,Doors!$B:$B,$B83,Doors!$C:$C,$C83)*SUMIFS(Velocity!$I:$I,Velocity!$A:$A,$A83,Velocity!$B:$B,$C83)/Assumptions!$B$4*Assumptions!$B$6</f>
        <v>0.989583333333333</v>
      </c>
      <c r="AT83" s="7" t="n">
        <f aca="false">SUMIFS(Doors!BF:BF,Doors!$A:$A,$D83,Doors!$B:$B,$B83,Doors!$C:$C,$C83)*SUMIFS(Velocity!$I:$I,Velocity!$A:$A,$A83,Velocity!$B:$B,$C83)/Assumptions!$B$4*Assumptions!$B$6</f>
        <v>0.989583333333333</v>
      </c>
      <c r="AU83" s="7" t="n">
        <f aca="false">SUMIFS(Doors!BG:BG,Doors!$A:$A,$D83,Doors!$B:$B,$B83,Doors!$C:$C,$C83)*SUMIFS(Velocity!$I:$I,Velocity!$A:$A,$A83,Velocity!$B:$B,$C83)/Assumptions!$B$4*Assumptions!$B$6</f>
        <v>0.989583333333333</v>
      </c>
      <c r="AV83" s="7" t="n">
        <f aca="false">SUMIFS(Doors!BH:BH,Doors!$A:$A,$D83,Doors!$B:$B,$B83,Doors!$C:$C,$C83)*SUMIFS(Velocity!$I:$I,Velocity!$A:$A,$A83,Velocity!$B:$B,$C83)/Assumptions!$B$4*Assumptions!$B$6</f>
        <v>0.989583333333333</v>
      </c>
      <c r="AW83" s="7" t="n">
        <f aca="false">SUMIFS(Doors!BI:BI,Doors!$A:$A,$D83,Doors!$B:$B,$B83,Doors!$C:$C,$C83)*SUMIFS(Velocity!$I:$I,Velocity!$A:$A,$A83,Velocity!$B:$B,$C83)/Assumptions!$B$4*Assumptions!$B$6</f>
        <v>0.989583333333333</v>
      </c>
      <c r="AX83" s="7" t="n">
        <f aca="false">SUMIFS(Doors!BJ:BJ,Doors!$A:$A,$D83,Doors!$B:$B,$B83,Doors!$C:$C,$C83)*SUMIFS(Velocity!$I:$I,Velocity!$A:$A,$A83,Velocity!$B:$B,$C83)/Assumptions!$B$4*Assumptions!$B$6</f>
        <v>0.989583333333333</v>
      </c>
      <c r="AY83" s="7" t="n">
        <f aca="false">SUMIFS(Doors!BK:BK,Doors!$A:$A,$D83,Doors!$B:$B,$B83,Doors!$C:$C,$C83)*SUMIFS(Velocity!$I:$I,Velocity!$A:$A,$A83,Velocity!$B:$B,$C83)/Assumptions!$B$4*Assumptions!$B$6</f>
        <v>0.989583333333333</v>
      </c>
      <c r="AZ83" s="7" t="n">
        <f aca="false">SUMIFS(Doors!BL:BL,Doors!$A:$A,$D83,Doors!$B:$B,$B83,Doors!$C:$C,$C83)*SUMIFS(Velocity!$I:$I,Velocity!$A:$A,$A83,Velocity!$B:$B,$C83)/Assumptions!$B$4*Assumptions!$B$6</f>
        <v>0.989583333333333</v>
      </c>
      <c r="BA83" s="7" t="n">
        <f aca="false">SUMIFS(Doors!BM:BM,Doors!$A:$A,$D83,Doors!$B:$B,$B83,Doors!$C:$C,$C83)*SUMIFS(Velocity!$I:$I,Velocity!$A:$A,$A83,Velocity!$B:$B,$C83)/Assumptions!$B$4*Assumptions!$B$6</f>
        <v>0.989583333333333</v>
      </c>
      <c r="BB83" s="7" t="n">
        <f aca="false">SUMIFS(Doors!BN:BN,Doors!$A:$A,$D83,Doors!$B:$B,$B83,Doors!$C:$C,$C83)*SUMIFS(Velocity!$I:$I,Velocity!$A:$A,$A83,Velocity!$B:$B,$C83)/Assumptions!$B$4*Assumptions!$B$6</f>
        <v>0.989583333333333</v>
      </c>
      <c r="BC83" s="7" t="n">
        <f aca="false">SUMIFS(Doors!BO:BO,Doors!$A:$A,$D83,Doors!$B:$B,$B83,Doors!$C:$C,$C83)*SUMIFS(Velocity!$I:$I,Velocity!$A:$A,$A83,Velocity!$B:$B,$C83)/Assumptions!$B$4*Assumptions!$B$6</f>
        <v>0.989583333333333</v>
      </c>
      <c r="BD83" s="7" t="n">
        <f aca="false">SUMIFS(Doors!BP:BP,Doors!$A:$A,$D83,Doors!$B:$B,$B83,Doors!$C:$C,$C83)*SUMIFS(Velocity!$I:$I,Velocity!$A:$A,$A83,Velocity!$B:$B,$C83)/Assumptions!$B$4*Assumptions!$B$6</f>
        <v>0.989583333333333</v>
      </c>
    </row>
    <row r="84" customFormat="false" ht="15" hidden="false" customHeight="false" outlineLevel="0" collapsed="false">
      <c r="A84" s="0" t="s">
        <v>108</v>
      </c>
      <c r="B84" s="0" t="s">
        <v>134</v>
      </c>
      <c r="C84" s="0" t="s">
        <v>121</v>
      </c>
      <c r="D84" s="0" t="s">
        <v>235</v>
      </c>
      <c r="E84" s="7" t="n">
        <f aca="false">SUMIFS(Doors!Q:Q,Doors!$A:$A,$D84,Doors!$B:$B,$B84,Doors!$C:$C,$C84)*SUMIFS(Velocity!$I:$I,Velocity!$A:$A,$A84,Velocity!$B:$B,$C84)/Assumptions!$B$4*Assumptions!$B$6</f>
        <v>0</v>
      </c>
      <c r="F84" s="7" t="n">
        <f aca="false">SUMIFS(Doors!R:R,Doors!$A:$A,$D84,Doors!$B:$B,$B84,Doors!$C:$C,$C84)*SUMIFS(Velocity!$I:$I,Velocity!$A:$A,$A84,Velocity!$B:$B,$C84)/Assumptions!$B$4*Assumptions!$B$6</f>
        <v>0</v>
      </c>
      <c r="G84" s="7" t="n">
        <f aca="false">SUMIFS(Doors!S:S,Doors!$A:$A,$D84,Doors!$B:$B,$B84,Doors!$C:$C,$C84)*SUMIFS(Velocity!$I:$I,Velocity!$A:$A,$A84,Velocity!$B:$B,$C84)/Assumptions!$B$4*Assumptions!$B$6</f>
        <v>0</v>
      </c>
      <c r="H84" s="7" t="n">
        <f aca="false">SUMIFS(Doors!T:T,Doors!$A:$A,$D84,Doors!$B:$B,$B84,Doors!$C:$C,$C84)*SUMIFS(Velocity!$I:$I,Velocity!$A:$A,$A84,Velocity!$B:$B,$C84)/Assumptions!$B$4*Assumptions!$B$6</f>
        <v>0</v>
      </c>
      <c r="I84" s="7" t="n">
        <f aca="false">SUMIFS(Doors!U:U,Doors!$A:$A,$D84,Doors!$B:$B,$B84,Doors!$C:$C,$C84)*SUMIFS(Velocity!$I:$I,Velocity!$A:$A,$A84,Velocity!$B:$B,$C84)/Assumptions!$B$4*Assumptions!$B$6</f>
        <v>0</v>
      </c>
      <c r="J84" s="7" t="n">
        <f aca="false">SUMIFS(Doors!V:V,Doors!$A:$A,$D84,Doors!$B:$B,$B84,Doors!$C:$C,$C84)*SUMIFS(Velocity!$I:$I,Velocity!$A:$A,$A84,Velocity!$B:$B,$C84)/Assumptions!$B$4*Assumptions!$B$6</f>
        <v>0</v>
      </c>
      <c r="K84" s="7" t="n">
        <f aca="false">SUMIFS(Doors!W:W,Doors!$A:$A,$D84,Doors!$B:$B,$B84,Doors!$C:$C,$C84)*SUMIFS(Velocity!$I:$I,Velocity!$A:$A,$A84,Velocity!$B:$B,$C84)/Assumptions!$B$4*Assumptions!$B$6</f>
        <v>0</v>
      </c>
      <c r="L84" s="7" t="n">
        <f aca="false">SUMIFS(Doors!X:X,Doors!$A:$A,$D84,Doors!$B:$B,$B84,Doors!$C:$C,$C84)*SUMIFS(Velocity!$I:$I,Velocity!$A:$A,$A84,Velocity!$B:$B,$C84)/Assumptions!$B$4*Assumptions!$B$6</f>
        <v>0</v>
      </c>
      <c r="M84" s="7" t="n">
        <f aca="false">SUMIFS(Doors!Y:Y,Doors!$A:$A,$D84,Doors!$B:$B,$B84,Doors!$C:$C,$C84)*SUMIFS(Velocity!$I:$I,Velocity!$A:$A,$A84,Velocity!$B:$B,$C84)/Assumptions!$B$4*Assumptions!$B$6</f>
        <v>0</v>
      </c>
      <c r="N84" s="7" t="n">
        <f aca="false">SUMIFS(Doors!Z:Z,Doors!$A:$A,$D84,Doors!$B:$B,$B84,Doors!$C:$C,$C84)*SUMIFS(Velocity!$I:$I,Velocity!$A:$A,$A84,Velocity!$B:$B,$C84)/Assumptions!$B$4*Assumptions!$B$6</f>
        <v>0.304166666666667</v>
      </c>
      <c r="O84" s="7" t="n">
        <f aca="false">SUMIFS(Doors!AA:AA,Doors!$A:$A,$D84,Doors!$B:$B,$B84,Doors!$C:$C,$C84)*SUMIFS(Velocity!$I:$I,Velocity!$A:$A,$A84,Velocity!$B:$B,$C84)/Assumptions!$B$4*Assumptions!$B$6</f>
        <v>0.304166666666667</v>
      </c>
      <c r="P84" s="7" t="n">
        <f aca="false">SUMIFS(Doors!AB:AB,Doors!$A:$A,$D84,Doors!$B:$B,$B84,Doors!$C:$C,$C84)*SUMIFS(Velocity!$I:$I,Velocity!$A:$A,$A84,Velocity!$B:$B,$C84)/Assumptions!$B$4*Assumptions!$B$6</f>
        <v>0.304166666666667</v>
      </c>
      <c r="Q84" s="7" t="n">
        <f aca="false">SUMIFS(Doors!AC:AC,Doors!$A:$A,$D84,Doors!$B:$B,$B84,Doors!$C:$C,$C84)*SUMIFS(Velocity!$I:$I,Velocity!$A:$A,$A84,Velocity!$B:$B,$C84)/Assumptions!$B$4*Assumptions!$B$6</f>
        <v>0.304166666666667</v>
      </c>
      <c r="R84" s="7" t="n">
        <f aca="false">SUMIFS(Doors!AD:AD,Doors!$A:$A,$D84,Doors!$B:$B,$B84,Doors!$C:$C,$C84)*SUMIFS(Velocity!$I:$I,Velocity!$A:$A,$A84,Velocity!$B:$B,$C84)/Assumptions!$B$4*Assumptions!$B$6</f>
        <v>0.304166666666667</v>
      </c>
      <c r="S84" s="7" t="n">
        <f aca="false">SUMIFS(Doors!AE:AE,Doors!$A:$A,$D84,Doors!$B:$B,$B84,Doors!$C:$C,$C84)*SUMIFS(Velocity!$I:$I,Velocity!$A:$A,$A84,Velocity!$B:$B,$C84)/Assumptions!$B$4*Assumptions!$B$6</f>
        <v>0.304166666666667</v>
      </c>
      <c r="T84" s="7" t="n">
        <f aca="false">SUMIFS(Doors!AF:AF,Doors!$A:$A,$D84,Doors!$B:$B,$B84,Doors!$C:$C,$C84)*SUMIFS(Velocity!$I:$I,Velocity!$A:$A,$A84,Velocity!$B:$B,$C84)/Assumptions!$B$4*Assumptions!$B$6</f>
        <v>0.304166666666667</v>
      </c>
      <c r="U84" s="7" t="n">
        <f aca="false">SUMIFS(Doors!AG:AG,Doors!$A:$A,$D84,Doors!$B:$B,$B84,Doors!$C:$C,$C84)*SUMIFS(Velocity!$I:$I,Velocity!$A:$A,$A84,Velocity!$B:$B,$C84)/Assumptions!$B$4*Assumptions!$B$6</f>
        <v>0.304166666666667</v>
      </c>
      <c r="V84" s="7" t="n">
        <f aca="false">SUMIFS(Doors!AH:AH,Doors!$A:$A,$D84,Doors!$B:$B,$B84,Doors!$C:$C,$C84)*SUMIFS(Velocity!$I:$I,Velocity!$A:$A,$A84,Velocity!$B:$B,$C84)/Assumptions!$B$4*Assumptions!$B$6</f>
        <v>0.304166666666667</v>
      </c>
      <c r="W84" s="7" t="n">
        <f aca="false">SUMIFS(Doors!AI:AI,Doors!$A:$A,$D84,Doors!$B:$B,$B84,Doors!$C:$C,$C84)*SUMIFS(Velocity!$I:$I,Velocity!$A:$A,$A84,Velocity!$B:$B,$C84)/Assumptions!$B$4*Assumptions!$B$6</f>
        <v>0.608333333333333</v>
      </c>
      <c r="X84" s="7" t="n">
        <f aca="false">SUMIFS(Doors!AJ:AJ,Doors!$A:$A,$D84,Doors!$B:$B,$B84,Doors!$C:$C,$C84)*SUMIFS(Velocity!$I:$I,Velocity!$A:$A,$A84,Velocity!$B:$B,$C84)/Assumptions!$B$4*Assumptions!$B$6</f>
        <v>0.608333333333333</v>
      </c>
      <c r="Y84" s="7" t="n">
        <f aca="false">SUMIFS(Doors!AK:AK,Doors!$A:$A,$D84,Doors!$B:$B,$B84,Doors!$C:$C,$C84)*SUMIFS(Velocity!$I:$I,Velocity!$A:$A,$A84,Velocity!$B:$B,$C84)/Assumptions!$B$4*Assumptions!$B$6</f>
        <v>0.608333333333333</v>
      </c>
      <c r="Z84" s="7" t="n">
        <f aca="false">SUMIFS(Doors!AL:AL,Doors!$A:$A,$D84,Doors!$B:$B,$B84,Doors!$C:$C,$C84)*SUMIFS(Velocity!$I:$I,Velocity!$A:$A,$A84,Velocity!$B:$B,$C84)/Assumptions!$B$4*Assumptions!$B$6</f>
        <v>0.608333333333333</v>
      </c>
      <c r="AA84" s="7" t="n">
        <f aca="false">SUMIFS(Doors!AM:AM,Doors!$A:$A,$D84,Doors!$B:$B,$B84,Doors!$C:$C,$C84)*SUMIFS(Velocity!$I:$I,Velocity!$A:$A,$A84,Velocity!$B:$B,$C84)/Assumptions!$B$4*Assumptions!$B$6</f>
        <v>0.608333333333333</v>
      </c>
      <c r="AB84" s="7" t="n">
        <f aca="false">SUMIFS(Doors!AN:AN,Doors!$A:$A,$D84,Doors!$B:$B,$B84,Doors!$C:$C,$C84)*SUMIFS(Velocity!$I:$I,Velocity!$A:$A,$A84,Velocity!$B:$B,$C84)/Assumptions!$B$4*Assumptions!$B$6</f>
        <v>0.608333333333333</v>
      </c>
      <c r="AC84" s="7" t="n">
        <f aca="false">SUMIFS(Doors!AO:AO,Doors!$A:$A,$D84,Doors!$B:$B,$B84,Doors!$C:$C,$C84)*SUMIFS(Velocity!$I:$I,Velocity!$A:$A,$A84,Velocity!$B:$B,$C84)/Assumptions!$B$4*Assumptions!$B$6</f>
        <v>0.608333333333333</v>
      </c>
      <c r="AD84" s="7" t="n">
        <f aca="false">SUMIFS(Doors!AP:AP,Doors!$A:$A,$D84,Doors!$B:$B,$B84,Doors!$C:$C,$C84)*SUMIFS(Velocity!$I:$I,Velocity!$A:$A,$A84,Velocity!$B:$B,$C84)/Assumptions!$B$4*Assumptions!$B$6</f>
        <v>0.608333333333333</v>
      </c>
      <c r="AE84" s="7" t="n">
        <f aca="false">SUMIFS(Doors!AQ:AQ,Doors!$A:$A,$D84,Doors!$B:$B,$B84,Doors!$C:$C,$C84)*SUMIFS(Velocity!$I:$I,Velocity!$A:$A,$A84,Velocity!$B:$B,$C84)/Assumptions!$B$4*Assumptions!$B$6</f>
        <v>0.608333333333333</v>
      </c>
      <c r="AF84" s="7" t="n">
        <f aca="false">SUMIFS(Doors!AR:AR,Doors!$A:$A,$D84,Doors!$B:$B,$B84,Doors!$C:$C,$C84)*SUMIFS(Velocity!$I:$I,Velocity!$A:$A,$A84,Velocity!$B:$B,$C84)/Assumptions!$B$4*Assumptions!$B$6</f>
        <v>0.608333333333333</v>
      </c>
      <c r="AG84" s="7" t="n">
        <f aca="false">SUMIFS(Doors!AS:AS,Doors!$A:$A,$D84,Doors!$B:$B,$B84,Doors!$C:$C,$C84)*SUMIFS(Velocity!$I:$I,Velocity!$A:$A,$A84,Velocity!$B:$B,$C84)/Assumptions!$B$4*Assumptions!$B$6</f>
        <v>0.608333333333333</v>
      </c>
      <c r="AH84" s="7" t="n">
        <f aca="false">SUMIFS(Doors!AT:AT,Doors!$A:$A,$D84,Doors!$B:$B,$B84,Doors!$C:$C,$C84)*SUMIFS(Velocity!$I:$I,Velocity!$A:$A,$A84,Velocity!$B:$B,$C84)/Assumptions!$B$4*Assumptions!$B$6</f>
        <v>0.608333333333333</v>
      </c>
      <c r="AI84" s="7" t="n">
        <f aca="false">SUMIFS(Doors!AU:AU,Doors!$A:$A,$D84,Doors!$B:$B,$B84,Doors!$C:$C,$C84)*SUMIFS(Velocity!$I:$I,Velocity!$A:$A,$A84,Velocity!$B:$B,$C84)/Assumptions!$B$4*Assumptions!$B$6</f>
        <v>0.608333333333333</v>
      </c>
      <c r="AJ84" s="7" t="n">
        <f aca="false">SUMIFS(Doors!AV:AV,Doors!$A:$A,$D84,Doors!$B:$B,$B84,Doors!$C:$C,$C84)*SUMIFS(Velocity!$I:$I,Velocity!$A:$A,$A84,Velocity!$B:$B,$C84)/Assumptions!$B$4*Assumptions!$B$6</f>
        <v>0.9125</v>
      </c>
      <c r="AK84" s="7" t="n">
        <f aca="false">SUMIFS(Doors!AW:AW,Doors!$A:$A,$D84,Doors!$B:$B,$B84,Doors!$C:$C,$C84)*SUMIFS(Velocity!$I:$I,Velocity!$A:$A,$A84,Velocity!$B:$B,$C84)/Assumptions!$B$4*Assumptions!$B$6</f>
        <v>0.9125</v>
      </c>
      <c r="AL84" s="7" t="n">
        <f aca="false">SUMIFS(Doors!AX:AX,Doors!$A:$A,$D84,Doors!$B:$B,$B84,Doors!$C:$C,$C84)*SUMIFS(Velocity!$I:$I,Velocity!$A:$A,$A84,Velocity!$B:$B,$C84)/Assumptions!$B$4*Assumptions!$B$6</f>
        <v>0.9125</v>
      </c>
      <c r="AM84" s="7" t="n">
        <f aca="false">SUMIFS(Doors!AY:AY,Doors!$A:$A,$D84,Doors!$B:$B,$B84,Doors!$C:$C,$C84)*SUMIFS(Velocity!$I:$I,Velocity!$A:$A,$A84,Velocity!$B:$B,$C84)/Assumptions!$B$4*Assumptions!$B$6</f>
        <v>0.9125</v>
      </c>
      <c r="AN84" s="7" t="n">
        <f aca="false">SUMIFS(Doors!AZ:AZ,Doors!$A:$A,$D84,Doors!$B:$B,$B84,Doors!$C:$C,$C84)*SUMIFS(Velocity!$I:$I,Velocity!$A:$A,$A84,Velocity!$B:$B,$C84)/Assumptions!$B$4*Assumptions!$B$6</f>
        <v>0.9125</v>
      </c>
      <c r="AO84" s="7" t="n">
        <f aca="false">SUMIFS(Doors!BA:BA,Doors!$A:$A,$D84,Doors!$B:$B,$B84,Doors!$C:$C,$C84)*SUMIFS(Velocity!$I:$I,Velocity!$A:$A,$A84,Velocity!$B:$B,$C84)/Assumptions!$B$4*Assumptions!$B$6</f>
        <v>0.9125</v>
      </c>
      <c r="AP84" s="7" t="n">
        <f aca="false">SUMIFS(Doors!BB:BB,Doors!$A:$A,$D84,Doors!$B:$B,$B84,Doors!$C:$C,$C84)*SUMIFS(Velocity!$I:$I,Velocity!$A:$A,$A84,Velocity!$B:$B,$C84)/Assumptions!$B$4*Assumptions!$B$6</f>
        <v>0.9125</v>
      </c>
      <c r="AQ84" s="7" t="n">
        <f aca="false">SUMIFS(Doors!BC:BC,Doors!$A:$A,$D84,Doors!$B:$B,$B84,Doors!$C:$C,$C84)*SUMIFS(Velocity!$I:$I,Velocity!$A:$A,$A84,Velocity!$B:$B,$C84)/Assumptions!$B$4*Assumptions!$B$6</f>
        <v>0.9125</v>
      </c>
      <c r="AR84" s="7" t="n">
        <f aca="false">SUMIFS(Doors!BD:BD,Doors!$A:$A,$D84,Doors!$B:$B,$B84,Doors!$C:$C,$C84)*SUMIFS(Velocity!$I:$I,Velocity!$A:$A,$A84,Velocity!$B:$B,$C84)/Assumptions!$B$4*Assumptions!$B$6</f>
        <v>0.9125</v>
      </c>
      <c r="AS84" s="7" t="n">
        <f aca="false">SUMIFS(Doors!BE:BE,Doors!$A:$A,$D84,Doors!$B:$B,$B84,Doors!$C:$C,$C84)*SUMIFS(Velocity!$I:$I,Velocity!$A:$A,$A84,Velocity!$B:$B,$C84)/Assumptions!$B$4*Assumptions!$B$6</f>
        <v>0.9125</v>
      </c>
      <c r="AT84" s="7" t="n">
        <f aca="false">SUMIFS(Doors!BF:BF,Doors!$A:$A,$D84,Doors!$B:$B,$B84,Doors!$C:$C,$C84)*SUMIFS(Velocity!$I:$I,Velocity!$A:$A,$A84,Velocity!$B:$B,$C84)/Assumptions!$B$4*Assumptions!$B$6</f>
        <v>0.9125</v>
      </c>
      <c r="AU84" s="7" t="n">
        <f aca="false">SUMIFS(Doors!BG:BG,Doors!$A:$A,$D84,Doors!$B:$B,$B84,Doors!$C:$C,$C84)*SUMIFS(Velocity!$I:$I,Velocity!$A:$A,$A84,Velocity!$B:$B,$C84)/Assumptions!$B$4*Assumptions!$B$6</f>
        <v>0.9125</v>
      </c>
      <c r="AV84" s="7" t="n">
        <f aca="false">SUMIFS(Doors!BH:BH,Doors!$A:$A,$D84,Doors!$B:$B,$B84,Doors!$C:$C,$C84)*SUMIFS(Velocity!$I:$I,Velocity!$A:$A,$A84,Velocity!$B:$B,$C84)/Assumptions!$B$4*Assumptions!$B$6</f>
        <v>0.9125</v>
      </c>
      <c r="AW84" s="7" t="n">
        <f aca="false">SUMIFS(Doors!BI:BI,Doors!$A:$A,$D84,Doors!$B:$B,$B84,Doors!$C:$C,$C84)*SUMIFS(Velocity!$I:$I,Velocity!$A:$A,$A84,Velocity!$B:$B,$C84)/Assumptions!$B$4*Assumptions!$B$6</f>
        <v>0.9125</v>
      </c>
      <c r="AX84" s="7" t="n">
        <f aca="false">SUMIFS(Doors!BJ:BJ,Doors!$A:$A,$D84,Doors!$B:$B,$B84,Doors!$C:$C,$C84)*SUMIFS(Velocity!$I:$I,Velocity!$A:$A,$A84,Velocity!$B:$B,$C84)/Assumptions!$B$4*Assumptions!$B$6</f>
        <v>0.9125</v>
      </c>
      <c r="AY84" s="7" t="n">
        <f aca="false">SUMIFS(Doors!BK:BK,Doors!$A:$A,$D84,Doors!$B:$B,$B84,Doors!$C:$C,$C84)*SUMIFS(Velocity!$I:$I,Velocity!$A:$A,$A84,Velocity!$B:$B,$C84)/Assumptions!$B$4*Assumptions!$B$6</f>
        <v>0.9125</v>
      </c>
      <c r="AZ84" s="7" t="n">
        <f aca="false">SUMIFS(Doors!BL:BL,Doors!$A:$A,$D84,Doors!$B:$B,$B84,Doors!$C:$C,$C84)*SUMIFS(Velocity!$I:$I,Velocity!$A:$A,$A84,Velocity!$B:$B,$C84)/Assumptions!$B$4*Assumptions!$B$6</f>
        <v>0.9125</v>
      </c>
      <c r="BA84" s="7" t="n">
        <f aca="false">SUMIFS(Doors!BM:BM,Doors!$A:$A,$D84,Doors!$B:$B,$B84,Doors!$C:$C,$C84)*SUMIFS(Velocity!$I:$I,Velocity!$A:$A,$A84,Velocity!$B:$B,$C84)/Assumptions!$B$4*Assumptions!$B$6</f>
        <v>0.9125</v>
      </c>
      <c r="BB84" s="7" t="n">
        <f aca="false">SUMIFS(Doors!BN:BN,Doors!$A:$A,$D84,Doors!$B:$B,$B84,Doors!$C:$C,$C84)*SUMIFS(Velocity!$I:$I,Velocity!$A:$A,$A84,Velocity!$B:$B,$C84)/Assumptions!$B$4*Assumptions!$B$6</f>
        <v>0.9125</v>
      </c>
      <c r="BC84" s="7" t="n">
        <f aca="false">SUMIFS(Doors!BO:BO,Doors!$A:$A,$D84,Doors!$B:$B,$B84,Doors!$C:$C,$C84)*SUMIFS(Velocity!$I:$I,Velocity!$A:$A,$A84,Velocity!$B:$B,$C84)/Assumptions!$B$4*Assumptions!$B$6</f>
        <v>0.9125</v>
      </c>
      <c r="BD84" s="7" t="n">
        <f aca="false">SUMIFS(Doors!BP:BP,Doors!$A:$A,$D84,Doors!$B:$B,$B84,Doors!$C:$C,$C84)*SUMIFS(Velocity!$I:$I,Velocity!$A:$A,$A84,Velocity!$B:$B,$C84)/Assumptions!$B$4*Assumptions!$B$6</f>
        <v>0.9125</v>
      </c>
    </row>
    <row r="85" customFormat="false" ht="15" hidden="false" customHeight="false" outlineLevel="0" collapsed="false">
      <c r="A85" s="0" t="s">
        <v>108</v>
      </c>
      <c r="B85" s="0" t="s">
        <v>134</v>
      </c>
      <c r="C85" s="0" t="s">
        <v>122</v>
      </c>
      <c r="D85" s="0" t="s">
        <v>235</v>
      </c>
      <c r="E85" s="7" t="n">
        <f aca="false">SUMIFS(Doors!Q:Q,Doors!$A:$A,$D85,Doors!$B:$B,$B85,Doors!$C:$C,$C85)*SUMIFS(Velocity!$I:$I,Velocity!$A:$A,$A85,Velocity!$B:$B,$C85)/Assumptions!$B$4*Assumptions!$B$6</f>
        <v>0</v>
      </c>
      <c r="F85" s="7" t="n">
        <f aca="false">SUMIFS(Doors!R:R,Doors!$A:$A,$D85,Doors!$B:$B,$B85,Doors!$C:$C,$C85)*SUMIFS(Velocity!$I:$I,Velocity!$A:$A,$A85,Velocity!$B:$B,$C85)/Assumptions!$B$4*Assumptions!$B$6</f>
        <v>0</v>
      </c>
      <c r="G85" s="7" t="n">
        <f aca="false">SUMIFS(Doors!S:S,Doors!$A:$A,$D85,Doors!$B:$B,$B85,Doors!$C:$C,$C85)*SUMIFS(Velocity!$I:$I,Velocity!$A:$A,$A85,Velocity!$B:$B,$C85)/Assumptions!$B$4*Assumptions!$B$6</f>
        <v>0</v>
      </c>
      <c r="H85" s="7" t="n">
        <f aca="false">SUMIFS(Doors!T:T,Doors!$A:$A,$D85,Doors!$B:$B,$B85,Doors!$C:$C,$C85)*SUMIFS(Velocity!$I:$I,Velocity!$A:$A,$A85,Velocity!$B:$B,$C85)/Assumptions!$B$4*Assumptions!$B$6</f>
        <v>0</v>
      </c>
      <c r="I85" s="7" t="n">
        <f aca="false">SUMIFS(Doors!U:U,Doors!$A:$A,$D85,Doors!$B:$B,$B85,Doors!$C:$C,$C85)*SUMIFS(Velocity!$I:$I,Velocity!$A:$A,$A85,Velocity!$B:$B,$C85)/Assumptions!$B$4*Assumptions!$B$6</f>
        <v>0</v>
      </c>
      <c r="J85" s="7" t="n">
        <f aca="false">SUMIFS(Doors!V:V,Doors!$A:$A,$D85,Doors!$B:$B,$B85,Doors!$C:$C,$C85)*SUMIFS(Velocity!$I:$I,Velocity!$A:$A,$A85,Velocity!$B:$B,$C85)/Assumptions!$B$4*Assumptions!$B$6</f>
        <v>0</v>
      </c>
      <c r="K85" s="7" t="n">
        <f aca="false">SUMIFS(Doors!W:W,Doors!$A:$A,$D85,Doors!$B:$B,$B85,Doors!$C:$C,$C85)*SUMIFS(Velocity!$I:$I,Velocity!$A:$A,$A85,Velocity!$B:$B,$C85)/Assumptions!$B$4*Assumptions!$B$6</f>
        <v>0</v>
      </c>
      <c r="L85" s="7" t="n">
        <f aca="false">SUMIFS(Doors!X:X,Doors!$A:$A,$D85,Doors!$B:$B,$B85,Doors!$C:$C,$C85)*SUMIFS(Velocity!$I:$I,Velocity!$A:$A,$A85,Velocity!$B:$B,$C85)/Assumptions!$B$4*Assumptions!$B$6</f>
        <v>0</v>
      </c>
      <c r="M85" s="7" t="n">
        <f aca="false">SUMIFS(Doors!Y:Y,Doors!$A:$A,$D85,Doors!$B:$B,$B85,Doors!$C:$C,$C85)*SUMIFS(Velocity!$I:$I,Velocity!$A:$A,$A85,Velocity!$B:$B,$C85)/Assumptions!$B$4*Assumptions!$B$6</f>
        <v>0</v>
      </c>
      <c r="N85" s="7" t="n">
        <f aca="false">SUMIFS(Doors!Z:Z,Doors!$A:$A,$D85,Doors!$B:$B,$B85,Doors!$C:$C,$C85)*SUMIFS(Velocity!$I:$I,Velocity!$A:$A,$A85,Velocity!$B:$B,$C85)/Assumptions!$B$4*Assumptions!$B$6</f>
        <v>0</v>
      </c>
      <c r="O85" s="7" t="n">
        <f aca="false">SUMIFS(Doors!AA:AA,Doors!$A:$A,$D85,Doors!$B:$B,$B85,Doors!$C:$C,$C85)*SUMIFS(Velocity!$I:$I,Velocity!$A:$A,$A85,Velocity!$B:$B,$C85)/Assumptions!$B$4*Assumptions!$B$6</f>
        <v>0</v>
      </c>
      <c r="P85" s="7" t="n">
        <f aca="false">SUMIFS(Doors!AB:AB,Doors!$A:$A,$D85,Doors!$B:$B,$B85,Doors!$C:$C,$C85)*SUMIFS(Velocity!$I:$I,Velocity!$A:$A,$A85,Velocity!$B:$B,$C85)/Assumptions!$B$4*Assumptions!$B$6</f>
        <v>0</v>
      </c>
      <c r="Q85" s="7" t="n">
        <f aca="false">SUMIFS(Doors!AC:AC,Doors!$A:$A,$D85,Doors!$B:$B,$B85,Doors!$C:$C,$C85)*SUMIFS(Velocity!$I:$I,Velocity!$A:$A,$A85,Velocity!$B:$B,$C85)/Assumptions!$B$4*Assumptions!$B$6</f>
        <v>0</v>
      </c>
      <c r="R85" s="7" t="n">
        <f aca="false">SUMIFS(Doors!AD:AD,Doors!$A:$A,$D85,Doors!$B:$B,$B85,Doors!$C:$C,$C85)*SUMIFS(Velocity!$I:$I,Velocity!$A:$A,$A85,Velocity!$B:$B,$C85)/Assumptions!$B$4*Assumptions!$B$6</f>
        <v>0</v>
      </c>
      <c r="S85" s="7" t="n">
        <f aca="false">SUMIFS(Doors!AE:AE,Doors!$A:$A,$D85,Doors!$B:$B,$B85,Doors!$C:$C,$C85)*SUMIFS(Velocity!$I:$I,Velocity!$A:$A,$A85,Velocity!$B:$B,$C85)/Assumptions!$B$4*Assumptions!$B$6</f>
        <v>0</v>
      </c>
      <c r="T85" s="7" t="n">
        <f aca="false">SUMIFS(Doors!AF:AF,Doors!$A:$A,$D85,Doors!$B:$B,$B85,Doors!$C:$C,$C85)*SUMIFS(Velocity!$I:$I,Velocity!$A:$A,$A85,Velocity!$B:$B,$C85)/Assumptions!$B$4*Assumptions!$B$6</f>
        <v>0</v>
      </c>
      <c r="U85" s="7" t="n">
        <f aca="false">SUMIFS(Doors!AG:AG,Doors!$A:$A,$D85,Doors!$B:$B,$B85,Doors!$C:$C,$C85)*SUMIFS(Velocity!$I:$I,Velocity!$A:$A,$A85,Velocity!$B:$B,$C85)/Assumptions!$B$4*Assumptions!$B$6</f>
        <v>0</v>
      </c>
      <c r="V85" s="7" t="n">
        <f aca="false">SUMIFS(Doors!AH:AH,Doors!$A:$A,$D85,Doors!$B:$B,$B85,Doors!$C:$C,$C85)*SUMIFS(Velocity!$I:$I,Velocity!$A:$A,$A85,Velocity!$B:$B,$C85)/Assumptions!$B$4*Assumptions!$B$6</f>
        <v>0</v>
      </c>
      <c r="W85" s="7" t="n">
        <f aca="false">SUMIFS(Doors!AI:AI,Doors!$A:$A,$D85,Doors!$B:$B,$B85,Doors!$C:$C,$C85)*SUMIFS(Velocity!$I:$I,Velocity!$A:$A,$A85,Velocity!$B:$B,$C85)/Assumptions!$B$4*Assumptions!$B$6</f>
        <v>0</v>
      </c>
      <c r="X85" s="7" t="n">
        <f aca="false">SUMIFS(Doors!AJ:AJ,Doors!$A:$A,$D85,Doors!$B:$B,$B85,Doors!$C:$C,$C85)*SUMIFS(Velocity!$I:$I,Velocity!$A:$A,$A85,Velocity!$B:$B,$C85)/Assumptions!$B$4*Assumptions!$B$6</f>
        <v>0</v>
      </c>
      <c r="Y85" s="7" t="n">
        <f aca="false">SUMIFS(Doors!AK:AK,Doors!$A:$A,$D85,Doors!$B:$B,$B85,Doors!$C:$C,$C85)*SUMIFS(Velocity!$I:$I,Velocity!$A:$A,$A85,Velocity!$B:$B,$C85)/Assumptions!$B$4*Assumptions!$B$6</f>
        <v>0</v>
      </c>
      <c r="Z85" s="7" t="n">
        <f aca="false">SUMIFS(Doors!AL:AL,Doors!$A:$A,$D85,Doors!$B:$B,$B85,Doors!$C:$C,$C85)*SUMIFS(Velocity!$I:$I,Velocity!$A:$A,$A85,Velocity!$B:$B,$C85)/Assumptions!$B$4*Assumptions!$B$6</f>
        <v>0</v>
      </c>
      <c r="AA85" s="7" t="n">
        <f aca="false">SUMIFS(Doors!AM:AM,Doors!$A:$A,$D85,Doors!$B:$B,$B85,Doors!$C:$C,$C85)*SUMIFS(Velocity!$I:$I,Velocity!$A:$A,$A85,Velocity!$B:$B,$C85)/Assumptions!$B$4*Assumptions!$B$6</f>
        <v>0</v>
      </c>
      <c r="AB85" s="7" t="n">
        <f aca="false">SUMIFS(Doors!AN:AN,Doors!$A:$A,$D85,Doors!$B:$B,$B85,Doors!$C:$C,$C85)*SUMIFS(Velocity!$I:$I,Velocity!$A:$A,$A85,Velocity!$B:$B,$C85)/Assumptions!$B$4*Assumptions!$B$6</f>
        <v>0</v>
      </c>
      <c r="AC85" s="7" t="n">
        <f aca="false">SUMIFS(Doors!AO:AO,Doors!$A:$A,$D85,Doors!$B:$B,$B85,Doors!$C:$C,$C85)*SUMIFS(Velocity!$I:$I,Velocity!$A:$A,$A85,Velocity!$B:$B,$C85)/Assumptions!$B$4*Assumptions!$B$6</f>
        <v>0</v>
      </c>
      <c r="AD85" s="7" t="n">
        <f aca="false">SUMIFS(Doors!AP:AP,Doors!$A:$A,$D85,Doors!$B:$B,$B85,Doors!$C:$C,$C85)*SUMIFS(Velocity!$I:$I,Velocity!$A:$A,$A85,Velocity!$B:$B,$C85)/Assumptions!$B$4*Assumptions!$B$6</f>
        <v>0</v>
      </c>
      <c r="AE85" s="7" t="n">
        <f aca="false">SUMIFS(Doors!AQ:AQ,Doors!$A:$A,$D85,Doors!$B:$B,$B85,Doors!$C:$C,$C85)*SUMIFS(Velocity!$I:$I,Velocity!$A:$A,$A85,Velocity!$B:$B,$C85)/Assumptions!$B$4*Assumptions!$B$6</f>
        <v>0</v>
      </c>
      <c r="AF85" s="7" t="n">
        <f aca="false">SUMIFS(Doors!AR:AR,Doors!$A:$A,$D85,Doors!$B:$B,$B85,Doors!$C:$C,$C85)*SUMIFS(Velocity!$I:$I,Velocity!$A:$A,$A85,Velocity!$B:$B,$C85)/Assumptions!$B$4*Assumptions!$B$6</f>
        <v>0</v>
      </c>
      <c r="AG85" s="7" t="n">
        <f aca="false">SUMIFS(Doors!AS:AS,Doors!$A:$A,$D85,Doors!$B:$B,$B85,Doors!$C:$C,$C85)*SUMIFS(Velocity!$I:$I,Velocity!$A:$A,$A85,Velocity!$B:$B,$C85)/Assumptions!$B$4*Assumptions!$B$6</f>
        <v>0</v>
      </c>
      <c r="AH85" s="7" t="n">
        <f aca="false">SUMIFS(Doors!AT:AT,Doors!$A:$A,$D85,Doors!$B:$B,$B85,Doors!$C:$C,$C85)*SUMIFS(Velocity!$I:$I,Velocity!$A:$A,$A85,Velocity!$B:$B,$C85)/Assumptions!$B$4*Assumptions!$B$6</f>
        <v>0</v>
      </c>
      <c r="AI85" s="7" t="n">
        <f aca="false">SUMIFS(Doors!AU:AU,Doors!$A:$A,$D85,Doors!$B:$B,$B85,Doors!$C:$C,$C85)*SUMIFS(Velocity!$I:$I,Velocity!$A:$A,$A85,Velocity!$B:$B,$C85)/Assumptions!$B$4*Assumptions!$B$6</f>
        <v>0</v>
      </c>
      <c r="AJ85" s="7" t="n">
        <f aca="false">SUMIFS(Doors!AV:AV,Doors!$A:$A,$D85,Doors!$B:$B,$B85,Doors!$C:$C,$C85)*SUMIFS(Velocity!$I:$I,Velocity!$A:$A,$A85,Velocity!$B:$B,$C85)/Assumptions!$B$4*Assumptions!$B$6</f>
        <v>0</v>
      </c>
      <c r="AK85" s="7" t="n">
        <f aca="false">SUMIFS(Doors!AW:AW,Doors!$A:$A,$D85,Doors!$B:$B,$B85,Doors!$C:$C,$C85)*SUMIFS(Velocity!$I:$I,Velocity!$A:$A,$A85,Velocity!$B:$B,$C85)/Assumptions!$B$4*Assumptions!$B$6</f>
        <v>0</v>
      </c>
      <c r="AL85" s="7" t="n">
        <f aca="false">SUMIFS(Doors!AX:AX,Doors!$A:$A,$D85,Doors!$B:$B,$B85,Doors!$C:$C,$C85)*SUMIFS(Velocity!$I:$I,Velocity!$A:$A,$A85,Velocity!$B:$B,$C85)/Assumptions!$B$4*Assumptions!$B$6</f>
        <v>0</v>
      </c>
      <c r="AM85" s="7" t="n">
        <f aca="false">SUMIFS(Doors!AY:AY,Doors!$A:$A,$D85,Doors!$B:$B,$B85,Doors!$C:$C,$C85)*SUMIFS(Velocity!$I:$I,Velocity!$A:$A,$A85,Velocity!$B:$B,$C85)/Assumptions!$B$4*Assumptions!$B$6</f>
        <v>0</v>
      </c>
      <c r="AN85" s="7" t="n">
        <f aca="false">SUMIFS(Doors!AZ:AZ,Doors!$A:$A,$D85,Doors!$B:$B,$B85,Doors!$C:$C,$C85)*SUMIFS(Velocity!$I:$I,Velocity!$A:$A,$A85,Velocity!$B:$B,$C85)/Assumptions!$B$4*Assumptions!$B$6</f>
        <v>0</v>
      </c>
      <c r="AO85" s="7" t="n">
        <f aca="false">SUMIFS(Doors!BA:BA,Doors!$A:$A,$D85,Doors!$B:$B,$B85,Doors!$C:$C,$C85)*SUMIFS(Velocity!$I:$I,Velocity!$A:$A,$A85,Velocity!$B:$B,$C85)/Assumptions!$B$4*Assumptions!$B$6</f>
        <v>0</v>
      </c>
      <c r="AP85" s="7" t="n">
        <f aca="false">SUMIFS(Doors!BB:BB,Doors!$A:$A,$D85,Doors!$B:$B,$B85,Doors!$C:$C,$C85)*SUMIFS(Velocity!$I:$I,Velocity!$A:$A,$A85,Velocity!$B:$B,$C85)/Assumptions!$B$4*Assumptions!$B$6</f>
        <v>0</v>
      </c>
      <c r="AQ85" s="7" t="n">
        <f aca="false">SUMIFS(Doors!BC:BC,Doors!$A:$A,$D85,Doors!$B:$B,$B85,Doors!$C:$C,$C85)*SUMIFS(Velocity!$I:$I,Velocity!$A:$A,$A85,Velocity!$B:$B,$C85)/Assumptions!$B$4*Assumptions!$B$6</f>
        <v>0</v>
      </c>
      <c r="AR85" s="7" t="n">
        <f aca="false">SUMIFS(Doors!BD:BD,Doors!$A:$A,$D85,Doors!$B:$B,$B85,Doors!$C:$C,$C85)*SUMIFS(Velocity!$I:$I,Velocity!$A:$A,$A85,Velocity!$B:$B,$C85)/Assumptions!$B$4*Assumptions!$B$6</f>
        <v>0</v>
      </c>
      <c r="AS85" s="7" t="n">
        <f aca="false">SUMIFS(Doors!BE:BE,Doors!$A:$A,$D85,Doors!$B:$B,$B85,Doors!$C:$C,$C85)*SUMIFS(Velocity!$I:$I,Velocity!$A:$A,$A85,Velocity!$B:$B,$C85)/Assumptions!$B$4*Assumptions!$B$6</f>
        <v>0</v>
      </c>
      <c r="AT85" s="7" t="n">
        <f aca="false">SUMIFS(Doors!BF:BF,Doors!$A:$A,$D85,Doors!$B:$B,$B85,Doors!$C:$C,$C85)*SUMIFS(Velocity!$I:$I,Velocity!$A:$A,$A85,Velocity!$B:$B,$C85)/Assumptions!$B$4*Assumptions!$B$6</f>
        <v>0</v>
      </c>
      <c r="AU85" s="7" t="n">
        <f aca="false">SUMIFS(Doors!BG:BG,Doors!$A:$A,$D85,Doors!$B:$B,$B85,Doors!$C:$C,$C85)*SUMIFS(Velocity!$I:$I,Velocity!$A:$A,$A85,Velocity!$B:$B,$C85)/Assumptions!$B$4*Assumptions!$B$6</f>
        <v>0</v>
      </c>
      <c r="AV85" s="7" t="n">
        <f aca="false">SUMIFS(Doors!BH:BH,Doors!$A:$A,$D85,Doors!$B:$B,$B85,Doors!$C:$C,$C85)*SUMIFS(Velocity!$I:$I,Velocity!$A:$A,$A85,Velocity!$B:$B,$C85)/Assumptions!$B$4*Assumptions!$B$6</f>
        <v>0</v>
      </c>
      <c r="AW85" s="7" t="n">
        <f aca="false">SUMIFS(Doors!BI:BI,Doors!$A:$A,$D85,Doors!$B:$B,$B85,Doors!$C:$C,$C85)*SUMIFS(Velocity!$I:$I,Velocity!$A:$A,$A85,Velocity!$B:$B,$C85)/Assumptions!$B$4*Assumptions!$B$6</f>
        <v>0</v>
      </c>
      <c r="AX85" s="7" t="n">
        <f aca="false">SUMIFS(Doors!BJ:BJ,Doors!$A:$A,$D85,Doors!$B:$B,$B85,Doors!$C:$C,$C85)*SUMIFS(Velocity!$I:$I,Velocity!$A:$A,$A85,Velocity!$B:$B,$C85)/Assumptions!$B$4*Assumptions!$B$6</f>
        <v>0</v>
      </c>
      <c r="AY85" s="7" t="n">
        <f aca="false">SUMIFS(Doors!BK:BK,Doors!$A:$A,$D85,Doors!$B:$B,$B85,Doors!$C:$C,$C85)*SUMIFS(Velocity!$I:$I,Velocity!$A:$A,$A85,Velocity!$B:$B,$C85)/Assumptions!$B$4*Assumptions!$B$6</f>
        <v>0</v>
      </c>
      <c r="AZ85" s="7" t="n">
        <f aca="false">SUMIFS(Doors!BL:BL,Doors!$A:$A,$D85,Doors!$B:$B,$B85,Doors!$C:$C,$C85)*SUMIFS(Velocity!$I:$I,Velocity!$A:$A,$A85,Velocity!$B:$B,$C85)/Assumptions!$B$4*Assumptions!$B$6</f>
        <v>0</v>
      </c>
      <c r="BA85" s="7" t="n">
        <f aca="false">SUMIFS(Doors!BM:BM,Doors!$A:$A,$D85,Doors!$B:$B,$B85,Doors!$C:$C,$C85)*SUMIFS(Velocity!$I:$I,Velocity!$A:$A,$A85,Velocity!$B:$B,$C85)/Assumptions!$B$4*Assumptions!$B$6</f>
        <v>0</v>
      </c>
      <c r="BB85" s="7" t="n">
        <f aca="false">SUMIFS(Doors!BN:BN,Doors!$A:$A,$D85,Doors!$B:$B,$B85,Doors!$C:$C,$C85)*SUMIFS(Velocity!$I:$I,Velocity!$A:$A,$A85,Velocity!$B:$B,$C85)/Assumptions!$B$4*Assumptions!$B$6</f>
        <v>0</v>
      </c>
      <c r="BC85" s="7" t="n">
        <f aca="false">SUMIFS(Doors!BO:BO,Doors!$A:$A,$D85,Doors!$B:$B,$B85,Doors!$C:$C,$C85)*SUMIFS(Velocity!$I:$I,Velocity!$A:$A,$A85,Velocity!$B:$B,$C85)/Assumptions!$B$4*Assumptions!$B$6</f>
        <v>0</v>
      </c>
      <c r="BD85" s="7" t="n">
        <f aca="false">SUMIFS(Doors!BP:BP,Doors!$A:$A,$D85,Doors!$B:$B,$B85,Doors!$C:$C,$C85)*SUMIFS(Velocity!$I:$I,Velocity!$A:$A,$A85,Velocity!$B:$B,$C85)/Assumptions!$B$4*Assumptions!$B$6</f>
        <v>0</v>
      </c>
    </row>
    <row r="86" customFormat="false" ht="15" hidden="false" customHeight="false" outlineLevel="0" collapsed="false">
      <c r="A86" s="0" t="s">
        <v>108</v>
      </c>
      <c r="B86" s="0" t="s">
        <v>134</v>
      </c>
      <c r="C86" s="0" t="s">
        <v>123</v>
      </c>
      <c r="D86" s="0" t="s">
        <v>235</v>
      </c>
      <c r="E86" s="7" t="n">
        <f aca="false">SUMIFS(Doors!Q:Q,Doors!$A:$A,$D86,Doors!$B:$B,$B86,Doors!$C:$C,$C86)*SUMIFS(Velocity!$I:$I,Velocity!$A:$A,$A86,Velocity!$B:$B,$C86)/Assumptions!$B$4*Assumptions!$B$6</f>
        <v>0</v>
      </c>
      <c r="F86" s="7" t="n">
        <f aca="false">SUMIFS(Doors!R:R,Doors!$A:$A,$D86,Doors!$B:$B,$B86,Doors!$C:$C,$C86)*SUMIFS(Velocity!$I:$I,Velocity!$A:$A,$A86,Velocity!$B:$B,$C86)/Assumptions!$B$4*Assumptions!$B$6</f>
        <v>0</v>
      </c>
      <c r="G86" s="7" t="n">
        <f aca="false">SUMIFS(Doors!S:S,Doors!$A:$A,$D86,Doors!$B:$B,$B86,Doors!$C:$C,$C86)*SUMIFS(Velocity!$I:$I,Velocity!$A:$A,$A86,Velocity!$B:$B,$C86)/Assumptions!$B$4*Assumptions!$B$6</f>
        <v>0</v>
      </c>
      <c r="H86" s="7" t="n">
        <f aca="false">SUMIFS(Doors!T:T,Doors!$A:$A,$D86,Doors!$B:$B,$B86,Doors!$C:$C,$C86)*SUMIFS(Velocity!$I:$I,Velocity!$A:$A,$A86,Velocity!$B:$B,$C86)/Assumptions!$B$4*Assumptions!$B$6</f>
        <v>0</v>
      </c>
      <c r="I86" s="7" t="n">
        <f aca="false">SUMIFS(Doors!U:U,Doors!$A:$A,$D86,Doors!$B:$B,$B86,Doors!$C:$C,$C86)*SUMIFS(Velocity!$I:$I,Velocity!$A:$A,$A86,Velocity!$B:$B,$C86)/Assumptions!$B$4*Assumptions!$B$6</f>
        <v>0</v>
      </c>
      <c r="J86" s="7" t="n">
        <f aca="false">SUMIFS(Doors!V:V,Doors!$A:$A,$D86,Doors!$B:$B,$B86,Doors!$C:$C,$C86)*SUMIFS(Velocity!$I:$I,Velocity!$A:$A,$A86,Velocity!$B:$B,$C86)/Assumptions!$B$4*Assumptions!$B$6</f>
        <v>0</v>
      </c>
      <c r="K86" s="7" t="n">
        <f aca="false">SUMIFS(Doors!W:W,Doors!$A:$A,$D86,Doors!$B:$B,$B86,Doors!$C:$C,$C86)*SUMIFS(Velocity!$I:$I,Velocity!$A:$A,$A86,Velocity!$B:$B,$C86)/Assumptions!$B$4*Assumptions!$B$6</f>
        <v>0</v>
      </c>
      <c r="L86" s="7" t="n">
        <f aca="false">SUMIFS(Doors!X:X,Doors!$A:$A,$D86,Doors!$B:$B,$B86,Doors!$C:$C,$C86)*SUMIFS(Velocity!$I:$I,Velocity!$A:$A,$A86,Velocity!$B:$B,$C86)/Assumptions!$B$4*Assumptions!$B$6</f>
        <v>0</v>
      </c>
      <c r="M86" s="7" t="n">
        <f aca="false">SUMIFS(Doors!Y:Y,Doors!$A:$A,$D86,Doors!$B:$B,$B86,Doors!$C:$C,$C86)*SUMIFS(Velocity!$I:$I,Velocity!$A:$A,$A86,Velocity!$B:$B,$C86)/Assumptions!$B$4*Assumptions!$B$6</f>
        <v>0</v>
      </c>
      <c r="N86" s="7" t="n">
        <f aca="false">SUMIFS(Doors!Z:Z,Doors!$A:$A,$D86,Doors!$B:$B,$B86,Doors!$C:$C,$C86)*SUMIFS(Velocity!$I:$I,Velocity!$A:$A,$A86,Velocity!$B:$B,$C86)/Assumptions!$B$4*Assumptions!$B$6</f>
        <v>0</v>
      </c>
      <c r="O86" s="7" t="n">
        <f aca="false">SUMIFS(Doors!AA:AA,Doors!$A:$A,$D86,Doors!$B:$B,$B86,Doors!$C:$C,$C86)*SUMIFS(Velocity!$I:$I,Velocity!$A:$A,$A86,Velocity!$B:$B,$C86)/Assumptions!$B$4*Assumptions!$B$6</f>
        <v>0</v>
      </c>
      <c r="P86" s="7" t="n">
        <f aca="false">SUMIFS(Doors!AB:AB,Doors!$A:$A,$D86,Doors!$B:$B,$B86,Doors!$C:$C,$C86)*SUMIFS(Velocity!$I:$I,Velocity!$A:$A,$A86,Velocity!$B:$B,$C86)/Assumptions!$B$4*Assumptions!$B$6</f>
        <v>0</v>
      </c>
      <c r="Q86" s="7" t="n">
        <f aca="false">SUMIFS(Doors!AC:AC,Doors!$A:$A,$D86,Doors!$B:$B,$B86,Doors!$C:$C,$C86)*SUMIFS(Velocity!$I:$I,Velocity!$A:$A,$A86,Velocity!$B:$B,$C86)/Assumptions!$B$4*Assumptions!$B$6</f>
        <v>0</v>
      </c>
      <c r="R86" s="7" t="n">
        <f aca="false">SUMIFS(Doors!AD:AD,Doors!$A:$A,$D86,Doors!$B:$B,$B86,Doors!$C:$C,$C86)*SUMIFS(Velocity!$I:$I,Velocity!$A:$A,$A86,Velocity!$B:$B,$C86)/Assumptions!$B$4*Assumptions!$B$6</f>
        <v>0</v>
      </c>
      <c r="S86" s="7" t="n">
        <f aca="false">SUMIFS(Doors!AE:AE,Doors!$A:$A,$D86,Doors!$B:$B,$B86,Doors!$C:$C,$C86)*SUMIFS(Velocity!$I:$I,Velocity!$A:$A,$A86,Velocity!$B:$B,$C86)/Assumptions!$B$4*Assumptions!$B$6</f>
        <v>0</v>
      </c>
      <c r="T86" s="7" t="n">
        <f aca="false">SUMIFS(Doors!AF:AF,Doors!$A:$A,$D86,Doors!$B:$B,$B86,Doors!$C:$C,$C86)*SUMIFS(Velocity!$I:$I,Velocity!$A:$A,$A86,Velocity!$B:$B,$C86)/Assumptions!$B$4*Assumptions!$B$6</f>
        <v>0</v>
      </c>
      <c r="U86" s="7" t="n">
        <f aca="false">SUMIFS(Doors!AG:AG,Doors!$A:$A,$D86,Doors!$B:$B,$B86,Doors!$C:$C,$C86)*SUMIFS(Velocity!$I:$I,Velocity!$A:$A,$A86,Velocity!$B:$B,$C86)/Assumptions!$B$4*Assumptions!$B$6</f>
        <v>0</v>
      </c>
      <c r="V86" s="7" t="n">
        <f aca="false">SUMIFS(Doors!AH:AH,Doors!$A:$A,$D86,Doors!$B:$B,$B86,Doors!$C:$C,$C86)*SUMIFS(Velocity!$I:$I,Velocity!$A:$A,$A86,Velocity!$B:$B,$C86)/Assumptions!$B$4*Assumptions!$B$6</f>
        <v>0</v>
      </c>
      <c r="W86" s="7" t="n">
        <f aca="false">SUMIFS(Doors!AI:AI,Doors!$A:$A,$D86,Doors!$B:$B,$B86,Doors!$C:$C,$C86)*SUMIFS(Velocity!$I:$I,Velocity!$A:$A,$A86,Velocity!$B:$B,$C86)/Assumptions!$B$4*Assumptions!$B$6</f>
        <v>0</v>
      </c>
      <c r="X86" s="7" t="n">
        <f aca="false">SUMIFS(Doors!AJ:AJ,Doors!$A:$A,$D86,Doors!$B:$B,$B86,Doors!$C:$C,$C86)*SUMIFS(Velocity!$I:$I,Velocity!$A:$A,$A86,Velocity!$B:$B,$C86)/Assumptions!$B$4*Assumptions!$B$6</f>
        <v>0</v>
      </c>
      <c r="Y86" s="7" t="n">
        <f aca="false">SUMIFS(Doors!AK:AK,Doors!$A:$A,$D86,Doors!$B:$B,$B86,Doors!$C:$C,$C86)*SUMIFS(Velocity!$I:$I,Velocity!$A:$A,$A86,Velocity!$B:$B,$C86)/Assumptions!$B$4*Assumptions!$B$6</f>
        <v>0</v>
      </c>
      <c r="Z86" s="7" t="n">
        <f aca="false">SUMIFS(Doors!AL:AL,Doors!$A:$A,$D86,Doors!$B:$B,$B86,Doors!$C:$C,$C86)*SUMIFS(Velocity!$I:$I,Velocity!$A:$A,$A86,Velocity!$B:$B,$C86)/Assumptions!$B$4*Assumptions!$B$6</f>
        <v>0</v>
      </c>
      <c r="AA86" s="7" t="n">
        <f aca="false">SUMIFS(Doors!AM:AM,Doors!$A:$A,$D86,Doors!$B:$B,$B86,Doors!$C:$C,$C86)*SUMIFS(Velocity!$I:$I,Velocity!$A:$A,$A86,Velocity!$B:$B,$C86)/Assumptions!$B$4*Assumptions!$B$6</f>
        <v>0</v>
      </c>
      <c r="AB86" s="7" t="n">
        <f aca="false">SUMIFS(Doors!AN:AN,Doors!$A:$A,$D86,Doors!$B:$B,$B86,Doors!$C:$C,$C86)*SUMIFS(Velocity!$I:$I,Velocity!$A:$A,$A86,Velocity!$B:$B,$C86)/Assumptions!$B$4*Assumptions!$B$6</f>
        <v>0</v>
      </c>
      <c r="AC86" s="7" t="n">
        <f aca="false">SUMIFS(Doors!AO:AO,Doors!$A:$A,$D86,Doors!$B:$B,$B86,Doors!$C:$C,$C86)*SUMIFS(Velocity!$I:$I,Velocity!$A:$A,$A86,Velocity!$B:$B,$C86)/Assumptions!$B$4*Assumptions!$B$6</f>
        <v>0</v>
      </c>
      <c r="AD86" s="7" t="n">
        <f aca="false">SUMIFS(Doors!AP:AP,Doors!$A:$A,$D86,Doors!$B:$B,$B86,Doors!$C:$C,$C86)*SUMIFS(Velocity!$I:$I,Velocity!$A:$A,$A86,Velocity!$B:$B,$C86)/Assumptions!$B$4*Assumptions!$B$6</f>
        <v>0</v>
      </c>
      <c r="AE86" s="7" t="n">
        <f aca="false">SUMIFS(Doors!AQ:AQ,Doors!$A:$A,$D86,Doors!$B:$B,$B86,Doors!$C:$C,$C86)*SUMIFS(Velocity!$I:$I,Velocity!$A:$A,$A86,Velocity!$B:$B,$C86)/Assumptions!$B$4*Assumptions!$B$6</f>
        <v>0</v>
      </c>
      <c r="AF86" s="7" t="n">
        <f aca="false">SUMIFS(Doors!AR:AR,Doors!$A:$A,$D86,Doors!$B:$B,$B86,Doors!$C:$C,$C86)*SUMIFS(Velocity!$I:$I,Velocity!$A:$A,$A86,Velocity!$B:$B,$C86)/Assumptions!$B$4*Assumptions!$B$6</f>
        <v>0</v>
      </c>
      <c r="AG86" s="7" t="n">
        <f aca="false">SUMIFS(Doors!AS:AS,Doors!$A:$A,$D86,Doors!$B:$B,$B86,Doors!$C:$C,$C86)*SUMIFS(Velocity!$I:$I,Velocity!$A:$A,$A86,Velocity!$B:$B,$C86)/Assumptions!$B$4*Assumptions!$B$6</f>
        <v>0</v>
      </c>
      <c r="AH86" s="7" t="n">
        <f aca="false">SUMIFS(Doors!AT:AT,Doors!$A:$A,$D86,Doors!$B:$B,$B86,Doors!$C:$C,$C86)*SUMIFS(Velocity!$I:$I,Velocity!$A:$A,$A86,Velocity!$B:$B,$C86)/Assumptions!$B$4*Assumptions!$B$6</f>
        <v>0</v>
      </c>
      <c r="AI86" s="7" t="n">
        <f aca="false">SUMIFS(Doors!AU:AU,Doors!$A:$A,$D86,Doors!$B:$B,$B86,Doors!$C:$C,$C86)*SUMIFS(Velocity!$I:$I,Velocity!$A:$A,$A86,Velocity!$B:$B,$C86)/Assumptions!$B$4*Assumptions!$B$6</f>
        <v>0</v>
      </c>
      <c r="AJ86" s="7" t="n">
        <f aca="false">SUMIFS(Doors!AV:AV,Doors!$A:$A,$D86,Doors!$B:$B,$B86,Doors!$C:$C,$C86)*SUMIFS(Velocity!$I:$I,Velocity!$A:$A,$A86,Velocity!$B:$B,$C86)/Assumptions!$B$4*Assumptions!$B$6</f>
        <v>0</v>
      </c>
      <c r="AK86" s="7" t="n">
        <f aca="false">SUMIFS(Doors!AW:AW,Doors!$A:$A,$D86,Doors!$B:$B,$B86,Doors!$C:$C,$C86)*SUMIFS(Velocity!$I:$I,Velocity!$A:$A,$A86,Velocity!$B:$B,$C86)/Assumptions!$B$4*Assumptions!$B$6</f>
        <v>0</v>
      </c>
      <c r="AL86" s="7" t="n">
        <f aca="false">SUMIFS(Doors!AX:AX,Doors!$A:$A,$D86,Doors!$B:$B,$B86,Doors!$C:$C,$C86)*SUMIFS(Velocity!$I:$I,Velocity!$A:$A,$A86,Velocity!$B:$B,$C86)/Assumptions!$B$4*Assumptions!$B$6</f>
        <v>0</v>
      </c>
      <c r="AM86" s="7" t="n">
        <f aca="false">SUMIFS(Doors!AY:AY,Doors!$A:$A,$D86,Doors!$B:$B,$B86,Doors!$C:$C,$C86)*SUMIFS(Velocity!$I:$I,Velocity!$A:$A,$A86,Velocity!$B:$B,$C86)/Assumptions!$B$4*Assumptions!$B$6</f>
        <v>0</v>
      </c>
      <c r="AN86" s="7" t="n">
        <f aca="false">SUMIFS(Doors!AZ:AZ,Doors!$A:$A,$D86,Doors!$B:$B,$B86,Doors!$C:$C,$C86)*SUMIFS(Velocity!$I:$I,Velocity!$A:$A,$A86,Velocity!$B:$B,$C86)/Assumptions!$B$4*Assumptions!$B$6</f>
        <v>0</v>
      </c>
      <c r="AO86" s="7" t="n">
        <f aca="false">SUMIFS(Doors!BA:BA,Doors!$A:$A,$D86,Doors!$B:$B,$B86,Doors!$C:$C,$C86)*SUMIFS(Velocity!$I:$I,Velocity!$A:$A,$A86,Velocity!$B:$B,$C86)/Assumptions!$B$4*Assumptions!$B$6</f>
        <v>0</v>
      </c>
      <c r="AP86" s="7" t="n">
        <f aca="false">SUMIFS(Doors!BB:BB,Doors!$A:$A,$D86,Doors!$B:$B,$B86,Doors!$C:$C,$C86)*SUMIFS(Velocity!$I:$I,Velocity!$A:$A,$A86,Velocity!$B:$B,$C86)/Assumptions!$B$4*Assumptions!$B$6</f>
        <v>0</v>
      </c>
      <c r="AQ86" s="7" t="n">
        <f aca="false">SUMIFS(Doors!BC:BC,Doors!$A:$A,$D86,Doors!$B:$B,$B86,Doors!$C:$C,$C86)*SUMIFS(Velocity!$I:$I,Velocity!$A:$A,$A86,Velocity!$B:$B,$C86)/Assumptions!$B$4*Assumptions!$B$6</f>
        <v>0</v>
      </c>
      <c r="AR86" s="7" t="n">
        <f aca="false">SUMIFS(Doors!BD:BD,Doors!$A:$A,$D86,Doors!$B:$B,$B86,Doors!$C:$C,$C86)*SUMIFS(Velocity!$I:$I,Velocity!$A:$A,$A86,Velocity!$B:$B,$C86)/Assumptions!$B$4*Assumptions!$B$6</f>
        <v>0</v>
      </c>
      <c r="AS86" s="7" t="n">
        <f aca="false">SUMIFS(Doors!BE:BE,Doors!$A:$A,$D86,Doors!$B:$B,$B86,Doors!$C:$C,$C86)*SUMIFS(Velocity!$I:$I,Velocity!$A:$A,$A86,Velocity!$B:$B,$C86)/Assumptions!$B$4*Assumptions!$B$6</f>
        <v>0</v>
      </c>
      <c r="AT86" s="7" t="n">
        <f aca="false">SUMIFS(Doors!BF:BF,Doors!$A:$A,$D86,Doors!$B:$B,$B86,Doors!$C:$C,$C86)*SUMIFS(Velocity!$I:$I,Velocity!$A:$A,$A86,Velocity!$B:$B,$C86)/Assumptions!$B$4*Assumptions!$B$6</f>
        <v>0</v>
      </c>
      <c r="AU86" s="7" t="n">
        <f aca="false">SUMIFS(Doors!BG:BG,Doors!$A:$A,$D86,Doors!$B:$B,$B86,Doors!$C:$C,$C86)*SUMIFS(Velocity!$I:$I,Velocity!$A:$A,$A86,Velocity!$B:$B,$C86)/Assumptions!$B$4*Assumptions!$B$6</f>
        <v>0</v>
      </c>
      <c r="AV86" s="7" t="n">
        <f aca="false">SUMIFS(Doors!BH:BH,Doors!$A:$A,$D86,Doors!$B:$B,$B86,Doors!$C:$C,$C86)*SUMIFS(Velocity!$I:$I,Velocity!$A:$A,$A86,Velocity!$B:$B,$C86)/Assumptions!$B$4*Assumptions!$B$6</f>
        <v>0</v>
      </c>
      <c r="AW86" s="7" t="n">
        <f aca="false">SUMIFS(Doors!BI:BI,Doors!$A:$A,$D86,Doors!$B:$B,$B86,Doors!$C:$C,$C86)*SUMIFS(Velocity!$I:$I,Velocity!$A:$A,$A86,Velocity!$B:$B,$C86)/Assumptions!$B$4*Assumptions!$B$6</f>
        <v>0</v>
      </c>
      <c r="AX86" s="7" t="n">
        <f aca="false">SUMIFS(Doors!BJ:BJ,Doors!$A:$A,$D86,Doors!$B:$B,$B86,Doors!$C:$C,$C86)*SUMIFS(Velocity!$I:$I,Velocity!$A:$A,$A86,Velocity!$B:$B,$C86)/Assumptions!$B$4*Assumptions!$B$6</f>
        <v>0</v>
      </c>
      <c r="AY86" s="7" t="n">
        <f aca="false">SUMIFS(Doors!BK:BK,Doors!$A:$A,$D86,Doors!$B:$B,$B86,Doors!$C:$C,$C86)*SUMIFS(Velocity!$I:$I,Velocity!$A:$A,$A86,Velocity!$B:$B,$C86)/Assumptions!$B$4*Assumptions!$B$6</f>
        <v>0</v>
      </c>
      <c r="AZ86" s="7" t="n">
        <f aca="false">SUMIFS(Doors!BL:BL,Doors!$A:$A,$D86,Doors!$B:$B,$B86,Doors!$C:$C,$C86)*SUMIFS(Velocity!$I:$I,Velocity!$A:$A,$A86,Velocity!$B:$B,$C86)/Assumptions!$B$4*Assumptions!$B$6</f>
        <v>0</v>
      </c>
      <c r="BA86" s="7" t="n">
        <f aca="false">SUMIFS(Doors!BM:BM,Doors!$A:$A,$D86,Doors!$B:$B,$B86,Doors!$C:$C,$C86)*SUMIFS(Velocity!$I:$I,Velocity!$A:$A,$A86,Velocity!$B:$B,$C86)/Assumptions!$B$4*Assumptions!$B$6</f>
        <v>0</v>
      </c>
      <c r="BB86" s="7" t="n">
        <f aca="false">SUMIFS(Doors!BN:BN,Doors!$A:$A,$D86,Doors!$B:$B,$B86,Doors!$C:$C,$C86)*SUMIFS(Velocity!$I:$I,Velocity!$A:$A,$A86,Velocity!$B:$B,$C86)/Assumptions!$B$4*Assumptions!$B$6</f>
        <v>0</v>
      </c>
      <c r="BC86" s="7" t="n">
        <f aca="false">SUMIFS(Doors!BO:BO,Doors!$A:$A,$D86,Doors!$B:$B,$B86,Doors!$C:$C,$C86)*SUMIFS(Velocity!$I:$I,Velocity!$A:$A,$A86,Velocity!$B:$B,$C86)/Assumptions!$B$4*Assumptions!$B$6</f>
        <v>0</v>
      </c>
      <c r="BD86" s="7" t="n">
        <f aca="false">SUMIFS(Doors!BP:BP,Doors!$A:$A,$D86,Doors!$B:$B,$B86,Doors!$C:$C,$C86)*SUMIFS(Velocity!$I:$I,Velocity!$A:$A,$A86,Velocity!$B:$B,$C86)/Assumptions!$B$4*Assumptions!$B$6</f>
        <v>0</v>
      </c>
    </row>
    <row r="87" customFormat="false" ht="15" hidden="false" customHeight="false" outlineLevel="0" collapsed="false">
      <c r="A87" s="0" t="s">
        <v>108</v>
      </c>
      <c r="B87" s="0" t="s">
        <v>135</v>
      </c>
      <c r="C87" s="0" t="s">
        <v>115</v>
      </c>
      <c r="D87" s="0" t="s">
        <v>235</v>
      </c>
      <c r="E87" s="7" t="n">
        <f aca="false">SUMIFS(Doors!Q:Q,Doors!$A:$A,$D87,Doors!$B:$B,$B87,Doors!$C:$C,$C87)*SUMIFS(Velocity!$I:$I,Velocity!$A:$A,$A87,Velocity!$B:$B,$C87)/Assumptions!$B$4*Assumptions!$B$6</f>
        <v>0</v>
      </c>
      <c r="F87" s="7" t="n">
        <f aca="false">SUMIFS(Doors!R:R,Doors!$A:$A,$D87,Doors!$B:$B,$B87,Doors!$C:$C,$C87)*SUMIFS(Velocity!$I:$I,Velocity!$A:$A,$A87,Velocity!$B:$B,$C87)/Assumptions!$B$4*Assumptions!$B$6</f>
        <v>0</v>
      </c>
      <c r="G87" s="7" t="n">
        <f aca="false">SUMIFS(Doors!S:S,Doors!$A:$A,$D87,Doors!$B:$B,$B87,Doors!$C:$C,$C87)*SUMIFS(Velocity!$I:$I,Velocity!$A:$A,$A87,Velocity!$B:$B,$C87)/Assumptions!$B$4*Assumptions!$B$6</f>
        <v>0</v>
      </c>
      <c r="H87" s="7" t="n">
        <f aca="false">SUMIFS(Doors!T:T,Doors!$A:$A,$D87,Doors!$B:$B,$B87,Doors!$C:$C,$C87)*SUMIFS(Velocity!$I:$I,Velocity!$A:$A,$A87,Velocity!$B:$B,$C87)/Assumptions!$B$4*Assumptions!$B$6</f>
        <v>0</v>
      </c>
      <c r="I87" s="7" t="n">
        <f aca="false">SUMIFS(Doors!U:U,Doors!$A:$A,$D87,Doors!$B:$B,$B87,Doors!$C:$C,$C87)*SUMIFS(Velocity!$I:$I,Velocity!$A:$A,$A87,Velocity!$B:$B,$C87)/Assumptions!$B$4*Assumptions!$B$6</f>
        <v>0</v>
      </c>
      <c r="J87" s="7" t="n">
        <f aca="false">SUMIFS(Doors!V:V,Doors!$A:$A,$D87,Doors!$B:$B,$B87,Doors!$C:$C,$C87)*SUMIFS(Velocity!$I:$I,Velocity!$A:$A,$A87,Velocity!$B:$B,$C87)/Assumptions!$B$4*Assumptions!$B$6</f>
        <v>0</v>
      </c>
      <c r="K87" s="7" t="n">
        <f aca="false">SUMIFS(Doors!W:W,Doors!$A:$A,$D87,Doors!$B:$B,$B87,Doors!$C:$C,$C87)*SUMIFS(Velocity!$I:$I,Velocity!$A:$A,$A87,Velocity!$B:$B,$C87)/Assumptions!$B$4*Assumptions!$B$6</f>
        <v>0</v>
      </c>
      <c r="L87" s="7" t="n">
        <f aca="false">SUMIFS(Doors!X:X,Doors!$A:$A,$D87,Doors!$B:$B,$B87,Doors!$C:$C,$C87)*SUMIFS(Velocity!$I:$I,Velocity!$A:$A,$A87,Velocity!$B:$B,$C87)/Assumptions!$B$4*Assumptions!$B$6</f>
        <v>0</v>
      </c>
      <c r="M87" s="7" t="n">
        <f aca="false">SUMIFS(Doors!Y:Y,Doors!$A:$A,$D87,Doors!$B:$B,$B87,Doors!$C:$C,$C87)*SUMIFS(Velocity!$I:$I,Velocity!$A:$A,$A87,Velocity!$B:$B,$C87)/Assumptions!$B$4*Assumptions!$B$6</f>
        <v>0</v>
      </c>
      <c r="N87" s="7" t="n">
        <f aca="false">SUMIFS(Doors!Z:Z,Doors!$A:$A,$D87,Doors!$B:$B,$B87,Doors!$C:$C,$C87)*SUMIFS(Velocity!$I:$I,Velocity!$A:$A,$A87,Velocity!$B:$B,$C87)/Assumptions!$B$4*Assumptions!$B$6</f>
        <v>0</v>
      </c>
      <c r="O87" s="7" t="n">
        <f aca="false">SUMIFS(Doors!AA:AA,Doors!$A:$A,$D87,Doors!$B:$B,$B87,Doors!$C:$C,$C87)*SUMIFS(Velocity!$I:$I,Velocity!$A:$A,$A87,Velocity!$B:$B,$C87)/Assumptions!$B$4*Assumptions!$B$6</f>
        <v>0</v>
      </c>
      <c r="P87" s="7" t="n">
        <f aca="false">SUMIFS(Doors!AB:AB,Doors!$A:$A,$D87,Doors!$B:$B,$B87,Doors!$C:$C,$C87)*SUMIFS(Velocity!$I:$I,Velocity!$A:$A,$A87,Velocity!$B:$B,$C87)/Assumptions!$B$4*Assumptions!$B$6</f>
        <v>0</v>
      </c>
      <c r="Q87" s="7" t="n">
        <f aca="false">SUMIFS(Doors!AC:AC,Doors!$A:$A,$D87,Doors!$B:$B,$B87,Doors!$C:$C,$C87)*SUMIFS(Velocity!$I:$I,Velocity!$A:$A,$A87,Velocity!$B:$B,$C87)/Assumptions!$B$4*Assumptions!$B$6</f>
        <v>0</v>
      </c>
      <c r="R87" s="7" t="n">
        <f aca="false">SUMIFS(Doors!AD:AD,Doors!$A:$A,$D87,Doors!$B:$B,$B87,Doors!$C:$C,$C87)*SUMIFS(Velocity!$I:$I,Velocity!$A:$A,$A87,Velocity!$B:$B,$C87)/Assumptions!$B$4*Assumptions!$B$6</f>
        <v>0.329166666666667</v>
      </c>
      <c r="S87" s="7" t="n">
        <f aca="false">SUMIFS(Doors!AE:AE,Doors!$A:$A,$D87,Doors!$B:$B,$B87,Doors!$C:$C,$C87)*SUMIFS(Velocity!$I:$I,Velocity!$A:$A,$A87,Velocity!$B:$B,$C87)/Assumptions!$B$4*Assumptions!$B$6</f>
        <v>0.329166666666667</v>
      </c>
      <c r="T87" s="7" t="n">
        <f aca="false">SUMIFS(Doors!AF:AF,Doors!$A:$A,$D87,Doors!$B:$B,$B87,Doors!$C:$C,$C87)*SUMIFS(Velocity!$I:$I,Velocity!$A:$A,$A87,Velocity!$B:$B,$C87)/Assumptions!$B$4*Assumptions!$B$6</f>
        <v>0.329166666666667</v>
      </c>
      <c r="U87" s="7" t="n">
        <f aca="false">SUMIFS(Doors!AG:AG,Doors!$A:$A,$D87,Doors!$B:$B,$B87,Doors!$C:$C,$C87)*SUMIFS(Velocity!$I:$I,Velocity!$A:$A,$A87,Velocity!$B:$B,$C87)/Assumptions!$B$4*Assumptions!$B$6</f>
        <v>0.329166666666667</v>
      </c>
      <c r="V87" s="7" t="n">
        <f aca="false">SUMIFS(Doors!AH:AH,Doors!$A:$A,$D87,Doors!$B:$B,$B87,Doors!$C:$C,$C87)*SUMIFS(Velocity!$I:$I,Velocity!$A:$A,$A87,Velocity!$B:$B,$C87)/Assumptions!$B$4*Assumptions!$B$6</f>
        <v>0.329166666666667</v>
      </c>
      <c r="W87" s="7" t="n">
        <f aca="false">SUMIFS(Doors!AI:AI,Doors!$A:$A,$D87,Doors!$B:$B,$B87,Doors!$C:$C,$C87)*SUMIFS(Velocity!$I:$I,Velocity!$A:$A,$A87,Velocity!$B:$B,$C87)/Assumptions!$B$4*Assumptions!$B$6</f>
        <v>0.658333333333333</v>
      </c>
      <c r="X87" s="7" t="n">
        <f aca="false">SUMIFS(Doors!AJ:AJ,Doors!$A:$A,$D87,Doors!$B:$B,$B87,Doors!$C:$C,$C87)*SUMIFS(Velocity!$I:$I,Velocity!$A:$A,$A87,Velocity!$B:$B,$C87)/Assumptions!$B$4*Assumptions!$B$6</f>
        <v>0.658333333333333</v>
      </c>
      <c r="Y87" s="7" t="n">
        <f aca="false">SUMIFS(Doors!AK:AK,Doors!$A:$A,$D87,Doors!$B:$B,$B87,Doors!$C:$C,$C87)*SUMIFS(Velocity!$I:$I,Velocity!$A:$A,$A87,Velocity!$B:$B,$C87)/Assumptions!$B$4*Assumptions!$B$6</f>
        <v>0.658333333333333</v>
      </c>
      <c r="Z87" s="7" t="n">
        <f aca="false">SUMIFS(Doors!AL:AL,Doors!$A:$A,$D87,Doors!$B:$B,$B87,Doors!$C:$C,$C87)*SUMIFS(Velocity!$I:$I,Velocity!$A:$A,$A87,Velocity!$B:$B,$C87)/Assumptions!$B$4*Assumptions!$B$6</f>
        <v>0.658333333333333</v>
      </c>
      <c r="AA87" s="7" t="n">
        <f aca="false">SUMIFS(Doors!AM:AM,Doors!$A:$A,$D87,Doors!$B:$B,$B87,Doors!$C:$C,$C87)*SUMIFS(Velocity!$I:$I,Velocity!$A:$A,$A87,Velocity!$B:$B,$C87)/Assumptions!$B$4*Assumptions!$B$6</f>
        <v>0.9875</v>
      </c>
      <c r="AB87" s="7" t="n">
        <f aca="false">SUMIFS(Doors!AN:AN,Doors!$A:$A,$D87,Doors!$B:$B,$B87,Doors!$C:$C,$C87)*SUMIFS(Velocity!$I:$I,Velocity!$A:$A,$A87,Velocity!$B:$B,$C87)/Assumptions!$B$4*Assumptions!$B$6</f>
        <v>0.9875</v>
      </c>
      <c r="AC87" s="7" t="n">
        <f aca="false">SUMIFS(Doors!AO:AO,Doors!$A:$A,$D87,Doors!$B:$B,$B87,Doors!$C:$C,$C87)*SUMIFS(Velocity!$I:$I,Velocity!$A:$A,$A87,Velocity!$B:$B,$C87)/Assumptions!$B$4*Assumptions!$B$6</f>
        <v>0.9875</v>
      </c>
      <c r="AD87" s="7" t="n">
        <f aca="false">SUMIFS(Doors!AP:AP,Doors!$A:$A,$D87,Doors!$B:$B,$B87,Doors!$C:$C,$C87)*SUMIFS(Velocity!$I:$I,Velocity!$A:$A,$A87,Velocity!$B:$B,$C87)/Assumptions!$B$4*Assumptions!$B$6</f>
        <v>0.9875</v>
      </c>
      <c r="AE87" s="7" t="n">
        <f aca="false">SUMIFS(Doors!AQ:AQ,Doors!$A:$A,$D87,Doors!$B:$B,$B87,Doors!$C:$C,$C87)*SUMIFS(Velocity!$I:$I,Velocity!$A:$A,$A87,Velocity!$B:$B,$C87)/Assumptions!$B$4*Assumptions!$B$6</f>
        <v>1.31666666666667</v>
      </c>
      <c r="AF87" s="7" t="n">
        <f aca="false">SUMIFS(Doors!AR:AR,Doors!$A:$A,$D87,Doors!$B:$B,$B87,Doors!$C:$C,$C87)*SUMIFS(Velocity!$I:$I,Velocity!$A:$A,$A87,Velocity!$B:$B,$C87)/Assumptions!$B$4*Assumptions!$B$6</f>
        <v>1.31666666666667</v>
      </c>
      <c r="AG87" s="7" t="n">
        <f aca="false">SUMIFS(Doors!AS:AS,Doors!$A:$A,$D87,Doors!$B:$B,$B87,Doors!$C:$C,$C87)*SUMIFS(Velocity!$I:$I,Velocity!$A:$A,$A87,Velocity!$B:$B,$C87)/Assumptions!$B$4*Assumptions!$B$6</f>
        <v>1.31666666666667</v>
      </c>
      <c r="AH87" s="7" t="n">
        <f aca="false">SUMIFS(Doors!AT:AT,Doors!$A:$A,$D87,Doors!$B:$B,$B87,Doors!$C:$C,$C87)*SUMIFS(Velocity!$I:$I,Velocity!$A:$A,$A87,Velocity!$B:$B,$C87)/Assumptions!$B$4*Assumptions!$B$6</f>
        <v>1.31666666666667</v>
      </c>
      <c r="AI87" s="7" t="n">
        <f aca="false">SUMIFS(Doors!AU:AU,Doors!$A:$A,$D87,Doors!$B:$B,$B87,Doors!$C:$C,$C87)*SUMIFS(Velocity!$I:$I,Velocity!$A:$A,$A87,Velocity!$B:$B,$C87)/Assumptions!$B$4*Assumptions!$B$6</f>
        <v>1.31666666666667</v>
      </c>
      <c r="AJ87" s="7" t="n">
        <f aca="false">SUMIFS(Doors!AV:AV,Doors!$A:$A,$D87,Doors!$B:$B,$B87,Doors!$C:$C,$C87)*SUMIFS(Velocity!$I:$I,Velocity!$A:$A,$A87,Velocity!$B:$B,$C87)/Assumptions!$B$4*Assumptions!$B$6</f>
        <v>1.64583333333333</v>
      </c>
      <c r="AK87" s="7" t="n">
        <f aca="false">SUMIFS(Doors!AW:AW,Doors!$A:$A,$D87,Doors!$B:$B,$B87,Doors!$C:$C,$C87)*SUMIFS(Velocity!$I:$I,Velocity!$A:$A,$A87,Velocity!$B:$B,$C87)/Assumptions!$B$4*Assumptions!$B$6</f>
        <v>1.64583333333333</v>
      </c>
      <c r="AL87" s="7" t="n">
        <f aca="false">SUMIFS(Doors!AX:AX,Doors!$A:$A,$D87,Doors!$B:$B,$B87,Doors!$C:$C,$C87)*SUMIFS(Velocity!$I:$I,Velocity!$A:$A,$A87,Velocity!$B:$B,$C87)/Assumptions!$B$4*Assumptions!$B$6</f>
        <v>1.64583333333333</v>
      </c>
      <c r="AM87" s="7" t="n">
        <f aca="false">SUMIFS(Doors!AY:AY,Doors!$A:$A,$D87,Doors!$B:$B,$B87,Doors!$C:$C,$C87)*SUMIFS(Velocity!$I:$I,Velocity!$A:$A,$A87,Velocity!$B:$B,$C87)/Assumptions!$B$4*Assumptions!$B$6</f>
        <v>1.64583333333333</v>
      </c>
      <c r="AN87" s="7" t="n">
        <f aca="false">SUMIFS(Doors!AZ:AZ,Doors!$A:$A,$D87,Doors!$B:$B,$B87,Doors!$C:$C,$C87)*SUMIFS(Velocity!$I:$I,Velocity!$A:$A,$A87,Velocity!$B:$B,$C87)/Assumptions!$B$4*Assumptions!$B$6</f>
        <v>1.975</v>
      </c>
      <c r="AO87" s="7" t="n">
        <f aca="false">SUMIFS(Doors!BA:BA,Doors!$A:$A,$D87,Doors!$B:$B,$B87,Doors!$C:$C,$C87)*SUMIFS(Velocity!$I:$I,Velocity!$A:$A,$A87,Velocity!$B:$B,$C87)/Assumptions!$B$4*Assumptions!$B$6</f>
        <v>1.975</v>
      </c>
      <c r="AP87" s="7" t="n">
        <f aca="false">SUMIFS(Doors!BB:BB,Doors!$A:$A,$D87,Doors!$B:$B,$B87,Doors!$C:$C,$C87)*SUMIFS(Velocity!$I:$I,Velocity!$A:$A,$A87,Velocity!$B:$B,$C87)/Assumptions!$B$4*Assumptions!$B$6</f>
        <v>1.975</v>
      </c>
      <c r="AQ87" s="7" t="n">
        <f aca="false">SUMIFS(Doors!BC:BC,Doors!$A:$A,$D87,Doors!$B:$B,$B87,Doors!$C:$C,$C87)*SUMIFS(Velocity!$I:$I,Velocity!$A:$A,$A87,Velocity!$B:$B,$C87)/Assumptions!$B$4*Assumptions!$B$6</f>
        <v>1.975</v>
      </c>
      <c r="AR87" s="7" t="n">
        <f aca="false">SUMIFS(Doors!BD:BD,Doors!$A:$A,$D87,Doors!$B:$B,$B87,Doors!$C:$C,$C87)*SUMIFS(Velocity!$I:$I,Velocity!$A:$A,$A87,Velocity!$B:$B,$C87)/Assumptions!$B$4*Assumptions!$B$6</f>
        <v>1.975</v>
      </c>
      <c r="AS87" s="7" t="n">
        <f aca="false">SUMIFS(Doors!BE:BE,Doors!$A:$A,$D87,Doors!$B:$B,$B87,Doors!$C:$C,$C87)*SUMIFS(Velocity!$I:$I,Velocity!$A:$A,$A87,Velocity!$B:$B,$C87)/Assumptions!$B$4*Assumptions!$B$6</f>
        <v>1.975</v>
      </c>
      <c r="AT87" s="7" t="n">
        <f aca="false">SUMIFS(Doors!BF:BF,Doors!$A:$A,$D87,Doors!$B:$B,$B87,Doors!$C:$C,$C87)*SUMIFS(Velocity!$I:$I,Velocity!$A:$A,$A87,Velocity!$B:$B,$C87)/Assumptions!$B$4*Assumptions!$B$6</f>
        <v>1.975</v>
      </c>
      <c r="AU87" s="7" t="n">
        <f aca="false">SUMIFS(Doors!BG:BG,Doors!$A:$A,$D87,Doors!$B:$B,$B87,Doors!$C:$C,$C87)*SUMIFS(Velocity!$I:$I,Velocity!$A:$A,$A87,Velocity!$B:$B,$C87)/Assumptions!$B$4*Assumptions!$B$6</f>
        <v>1.975</v>
      </c>
      <c r="AV87" s="7" t="n">
        <f aca="false">SUMIFS(Doors!BH:BH,Doors!$A:$A,$D87,Doors!$B:$B,$B87,Doors!$C:$C,$C87)*SUMIFS(Velocity!$I:$I,Velocity!$A:$A,$A87,Velocity!$B:$B,$C87)/Assumptions!$B$4*Assumptions!$B$6</f>
        <v>1.975</v>
      </c>
      <c r="AW87" s="7" t="n">
        <f aca="false">SUMIFS(Doors!BI:BI,Doors!$A:$A,$D87,Doors!$B:$B,$B87,Doors!$C:$C,$C87)*SUMIFS(Velocity!$I:$I,Velocity!$A:$A,$A87,Velocity!$B:$B,$C87)/Assumptions!$B$4*Assumptions!$B$6</f>
        <v>2.30416666666667</v>
      </c>
      <c r="AX87" s="7" t="n">
        <f aca="false">SUMIFS(Doors!BJ:BJ,Doors!$A:$A,$D87,Doors!$B:$B,$B87,Doors!$C:$C,$C87)*SUMIFS(Velocity!$I:$I,Velocity!$A:$A,$A87,Velocity!$B:$B,$C87)/Assumptions!$B$4*Assumptions!$B$6</f>
        <v>2.30416666666667</v>
      </c>
      <c r="AY87" s="7" t="n">
        <f aca="false">SUMIFS(Doors!BK:BK,Doors!$A:$A,$D87,Doors!$B:$B,$B87,Doors!$C:$C,$C87)*SUMIFS(Velocity!$I:$I,Velocity!$A:$A,$A87,Velocity!$B:$B,$C87)/Assumptions!$B$4*Assumptions!$B$6</f>
        <v>2.30416666666667</v>
      </c>
      <c r="AZ87" s="7" t="n">
        <f aca="false">SUMIFS(Doors!BL:BL,Doors!$A:$A,$D87,Doors!$B:$B,$B87,Doors!$C:$C,$C87)*SUMIFS(Velocity!$I:$I,Velocity!$A:$A,$A87,Velocity!$B:$B,$C87)/Assumptions!$B$4*Assumptions!$B$6</f>
        <v>2.30416666666667</v>
      </c>
      <c r="BA87" s="7" t="n">
        <f aca="false">SUMIFS(Doors!BM:BM,Doors!$A:$A,$D87,Doors!$B:$B,$B87,Doors!$C:$C,$C87)*SUMIFS(Velocity!$I:$I,Velocity!$A:$A,$A87,Velocity!$B:$B,$C87)/Assumptions!$B$4*Assumptions!$B$6</f>
        <v>2.30416666666667</v>
      </c>
      <c r="BB87" s="7" t="n">
        <f aca="false">SUMIFS(Doors!BN:BN,Doors!$A:$A,$D87,Doors!$B:$B,$B87,Doors!$C:$C,$C87)*SUMIFS(Velocity!$I:$I,Velocity!$A:$A,$A87,Velocity!$B:$B,$C87)/Assumptions!$B$4*Assumptions!$B$6</f>
        <v>2.30416666666667</v>
      </c>
      <c r="BC87" s="7" t="n">
        <f aca="false">SUMIFS(Doors!BO:BO,Doors!$A:$A,$D87,Doors!$B:$B,$B87,Doors!$C:$C,$C87)*SUMIFS(Velocity!$I:$I,Velocity!$A:$A,$A87,Velocity!$B:$B,$C87)/Assumptions!$B$4*Assumptions!$B$6</f>
        <v>2.30416666666667</v>
      </c>
      <c r="BD87" s="7" t="n">
        <f aca="false">SUMIFS(Doors!BP:BP,Doors!$A:$A,$D87,Doors!$B:$B,$B87,Doors!$C:$C,$C87)*SUMIFS(Velocity!$I:$I,Velocity!$A:$A,$A87,Velocity!$B:$B,$C87)/Assumptions!$B$4*Assumptions!$B$6</f>
        <v>2.30416666666667</v>
      </c>
    </row>
    <row r="88" customFormat="false" ht="15" hidden="false" customHeight="false" outlineLevel="0" collapsed="false">
      <c r="A88" s="0" t="s">
        <v>108</v>
      </c>
      <c r="B88" s="0" t="s">
        <v>135</v>
      </c>
      <c r="C88" s="0" t="s">
        <v>116</v>
      </c>
      <c r="D88" s="0" t="s">
        <v>235</v>
      </c>
      <c r="E88" s="7" t="n">
        <f aca="false">SUMIFS(Doors!Q:Q,Doors!$A:$A,$D88,Doors!$B:$B,$B88,Doors!$C:$C,$C88)*SUMIFS(Velocity!$I:$I,Velocity!$A:$A,$A88,Velocity!$B:$B,$C88)/Assumptions!$B$4*Assumptions!$B$6</f>
        <v>0</v>
      </c>
      <c r="F88" s="7" t="n">
        <f aca="false">SUMIFS(Doors!R:R,Doors!$A:$A,$D88,Doors!$B:$B,$B88,Doors!$C:$C,$C88)*SUMIFS(Velocity!$I:$I,Velocity!$A:$A,$A88,Velocity!$B:$B,$C88)/Assumptions!$B$4*Assumptions!$B$6</f>
        <v>0</v>
      </c>
      <c r="G88" s="7" t="n">
        <f aca="false">SUMIFS(Doors!S:S,Doors!$A:$A,$D88,Doors!$B:$B,$B88,Doors!$C:$C,$C88)*SUMIFS(Velocity!$I:$I,Velocity!$A:$A,$A88,Velocity!$B:$B,$C88)/Assumptions!$B$4*Assumptions!$B$6</f>
        <v>0</v>
      </c>
      <c r="H88" s="7" t="n">
        <f aca="false">SUMIFS(Doors!T:T,Doors!$A:$A,$D88,Doors!$B:$B,$B88,Doors!$C:$C,$C88)*SUMIFS(Velocity!$I:$I,Velocity!$A:$A,$A88,Velocity!$B:$B,$C88)/Assumptions!$B$4*Assumptions!$B$6</f>
        <v>0</v>
      </c>
      <c r="I88" s="7" t="n">
        <f aca="false">SUMIFS(Doors!U:U,Doors!$A:$A,$D88,Doors!$B:$B,$B88,Doors!$C:$C,$C88)*SUMIFS(Velocity!$I:$I,Velocity!$A:$A,$A88,Velocity!$B:$B,$C88)/Assumptions!$B$4*Assumptions!$B$6</f>
        <v>0</v>
      </c>
      <c r="J88" s="7" t="n">
        <f aca="false">SUMIFS(Doors!V:V,Doors!$A:$A,$D88,Doors!$B:$B,$B88,Doors!$C:$C,$C88)*SUMIFS(Velocity!$I:$I,Velocity!$A:$A,$A88,Velocity!$B:$B,$C88)/Assumptions!$B$4*Assumptions!$B$6</f>
        <v>0</v>
      </c>
      <c r="K88" s="7" t="n">
        <f aca="false">SUMIFS(Doors!W:W,Doors!$A:$A,$D88,Doors!$B:$B,$B88,Doors!$C:$C,$C88)*SUMIFS(Velocity!$I:$I,Velocity!$A:$A,$A88,Velocity!$B:$B,$C88)/Assumptions!$B$4*Assumptions!$B$6</f>
        <v>0</v>
      </c>
      <c r="L88" s="7" t="n">
        <f aca="false">SUMIFS(Doors!X:X,Doors!$A:$A,$D88,Doors!$B:$B,$B88,Doors!$C:$C,$C88)*SUMIFS(Velocity!$I:$I,Velocity!$A:$A,$A88,Velocity!$B:$B,$C88)/Assumptions!$B$4*Assumptions!$B$6</f>
        <v>0</v>
      </c>
      <c r="M88" s="7" t="n">
        <f aca="false">SUMIFS(Doors!Y:Y,Doors!$A:$A,$D88,Doors!$B:$B,$B88,Doors!$C:$C,$C88)*SUMIFS(Velocity!$I:$I,Velocity!$A:$A,$A88,Velocity!$B:$B,$C88)/Assumptions!$B$4*Assumptions!$B$6</f>
        <v>0</v>
      </c>
      <c r="N88" s="7" t="n">
        <f aca="false">SUMIFS(Doors!Z:Z,Doors!$A:$A,$D88,Doors!$B:$B,$B88,Doors!$C:$C,$C88)*SUMIFS(Velocity!$I:$I,Velocity!$A:$A,$A88,Velocity!$B:$B,$C88)/Assumptions!$B$4*Assumptions!$B$6</f>
        <v>0</v>
      </c>
      <c r="O88" s="7" t="n">
        <f aca="false">SUMIFS(Doors!AA:AA,Doors!$A:$A,$D88,Doors!$B:$B,$B88,Doors!$C:$C,$C88)*SUMIFS(Velocity!$I:$I,Velocity!$A:$A,$A88,Velocity!$B:$B,$C88)/Assumptions!$B$4*Assumptions!$B$6</f>
        <v>0</v>
      </c>
      <c r="P88" s="7" t="n">
        <f aca="false">SUMIFS(Doors!AB:AB,Doors!$A:$A,$D88,Doors!$B:$B,$B88,Doors!$C:$C,$C88)*SUMIFS(Velocity!$I:$I,Velocity!$A:$A,$A88,Velocity!$B:$B,$C88)/Assumptions!$B$4*Assumptions!$B$6</f>
        <v>0</v>
      </c>
      <c r="Q88" s="7" t="n">
        <f aca="false">SUMIFS(Doors!AC:AC,Doors!$A:$A,$D88,Doors!$B:$B,$B88,Doors!$C:$C,$C88)*SUMIFS(Velocity!$I:$I,Velocity!$A:$A,$A88,Velocity!$B:$B,$C88)/Assumptions!$B$4*Assumptions!$B$6</f>
        <v>0</v>
      </c>
      <c r="R88" s="7" t="n">
        <f aca="false">SUMIFS(Doors!AD:AD,Doors!$A:$A,$D88,Doors!$B:$B,$B88,Doors!$C:$C,$C88)*SUMIFS(Velocity!$I:$I,Velocity!$A:$A,$A88,Velocity!$B:$B,$C88)/Assumptions!$B$4*Assumptions!$B$6</f>
        <v>0</v>
      </c>
      <c r="S88" s="7" t="n">
        <f aca="false">SUMIFS(Doors!AE:AE,Doors!$A:$A,$D88,Doors!$B:$B,$B88,Doors!$C:$C,$C88)*SUMIFS(Velocity!$I:$I,Velocity!$A:$A,$A88,Velocity!$B:$B,$C88)/Assumptions!$B$4*Assumptions!$B$6</f>
        <v>0</v>
      </c>
      <c r="T88" s="7" t="n">
        <f aca="false">SUMIFS(Doors!AF:AF,Doors!$A:$A,$D88,Doors!$B:$B,$B88,Doors!$C:$C,$C88)*SUMIFS(Velocity!$I:$I,Velocity!$A:$A,$A88,Velocity!$B:$B,$C88)/Assumptions!$B$4*Assumptions!$B$6</f>
        <v>0</v>
      </c>
      <c r="U88" s="7" t="n">
        <f aca="false">SUMIFS(Doors!AG:AG,Doors!$A:$A,$D88,Doors!$B:$B,$B88,Doors!$C:$C,$C88)*SUMIFS(Velocity!$I:$I,Velocity!$A:$A,$A88,Velocity!$B:$B,$C88)/Assumptions!$B$4*Assumptions!$B$6</f>
        <v>0</v>
      </c>
      <c r="V88" s="7" t="n">
        <f aca="false">SUMIFS(Doors!AH:AH,Doors!$A:$A,$D88,Doors!$B:$B,$B88,Doors!$C:$C,$C88)*SUMIFS(Velocity!$I:$I,Velocity!$A:$A,$A88,Velocity!$B:$B,$C88)/Assumptions!$B$4*Assumptions!$B$6</f>
        <v>0</v>
      </c>
      <c r="W88" s="7" t="n">
        <f aca="false">SUMIFS(Doors!AI:AI,Doors!$A:$A,$D88,Doors!$B:$B,$B88,Doors!$C:$C,$C88)*SUMIFS(Velocity!$I:$I,Velocity!$A:$A,$A88,Velocity!$B:$B,$C88)/Assumptions!$B$4*Assumptions!$B$6</f>
        <v>0.304166666666667</v>
      </c>
      <c r="X88" s="7" t="n">
        <f aca="false">SUMIFS(Doors!AJ:AJ,Doors!$A:$A,$D88,Doors!$B:$B,$B88,Doors!$C:$C,$C88)*SUMIFS(Velocity!$I:$I,Velocity!$A:$A,$A88,Velocity!$B:$B,$C88)/Assumptions!$B$4*Assumptions!$B$6</f>
        <v>0.304166666666667</v>
      </c>
      <c r="Y88" s="7" t="n">
        <f aca="false">SUMIFS(Doors!AK:AK,Doors!$A:$A,$D88,Doors!$B:$B,$B88,Doors!$C:$C,$C88)*SUMIFS(Velocity!$I:$I,Velocity!$A:$A,$A88,Velocity!$B:$B,$C88)/Assumptions!$B$4*Assumptions!$B$6</f>
        <v>0.304166666666667</v>
      </c>
      <c r="Z88" s="7" t="n">
        <f aca="false">SUMIFS(Doors!AL:AL,Doors!$A:$A,$D88,Doors!$B:$B,$B88,Doors!$C:$C,$C88)*SUMIFS(Velocity!$I:$I,Velocity!$A:$A,$A88,Velocity!$B:$B,$C88)/Assumptions!$B$4*Assumptions!$B$6</f>
        <v>0.304166666666667</v>
      </c>
      <c r="AA88" s="7" t="n">
        <f aca="false">SUMIFS(Doors!AM:AM,Doors!$A:$A,$D88,Doors!$B:$B,$B88,Doors!$C:$C,$C88)*SUMIFS(Velocity!$I:$I,Velocity!$A:$A,$A88,Velocity!$B:$B,$C88)/Assumptions!$B$4*Assumptions!$B$6</f>
        <v>0.608333333333333</v>
      </c>
      <c r="AB88" s="7" t="n">
        <f aca="false">SUMIFS(Doors!AN:AN,Doors!$A:$A,$D88,Doors!$B:$B,$B88,Doors!$C:$C,$C88)*SUMIFS(Velocity!$I:$I,Velocity!$A:$A,$A88,Velocity!$B:$B,$C88)/Assumptions!$B$4*Assumptions!$B$6</f>
        <v>0.608333333333333</v>
      </c>
      <c r="AC88" s="7" t="n">
        <f aca="false">SUMIFS(Doors!AO:AO,Doors!$A:$A,$D88,Doors!$B:$B,$B88,Doors!$C:$C,$C88)*SUMIFS(Velocity!$I:$I,Velocity!$A:$A,$A88,Velocity!$B:$B,$C88)/Assumptions!$B$4*Assumptions!$B$6</f>
        <v>0.608333333333333</v>
      </c>
      <c r="AD88" s="7" t="n">
        <f aca="false">SUMIFS(Doors!AP:AP,Doors!$A:$A,$D88,Doors!$B:$B,$B88,Doors!$C:$C,$C88)*SUMIFS(Velocity!$I:$I,Velocity!$A:$A,$A88,Velocity!$B:$B,$C88)/Assumptions!$B$4*Assumptions!$B$6</f>
        <v>0.608333333333333</v>
      </c>
      <c r="AE88" s="7" t="n">
        <f aca="false">SUMIFS(Doors!AQ:AQ,Doors!$A:$A,$D88,Doors!$B:$B,$B88,Doors!$C:$C,$C88)*SUMIFS(Velocity!$I:$I,Velocity!$A:$A,$A88,Velocity!$B:$B,$C88)/Assumptions!$B$4*Assumptions!$B$6</f>
        <v>0.608333333333333</v>
      </c>
      <c r="AF88" s="7" t="n">
        <f aca="false">SUMIFS(Doors!AR:AR,Doors!$A:$A,$D88,Doors!$B:$B,$B88,Doors!$C:$C,$C88)*SUMIFS(Velocity!$I:$I,Velocity!$A:$A,$A88,Velocity!$B:$B,$C88)/Assumptions!$B$4*Assumptions!$B$6</f>
        <v>0.608333333333333</v>
      </c>
      <c r="AG88" s="7" t="n">
        <f aca="false">SUMIFS(Doors!AS:AS,Doors!$A:$A,$D88,Doors!$B:$B,$B88,Doors!$C:$C,$C88)*SUMIFS(Velocity!$I:$I,Velocity!$A:$A,$A88,Velocity!$B:$B,$C88)/Assumptions!$B$4*Assumptions!$B$6</f>
        <v>0.608333333333333</v>
      </c>
      <c r="AH88" s="7" t="n">
        <f aca="false">SUMIFS(Doors!AT:AT,Doors!$A:$A,$D88,Doors!$B:$B,$B88,Doors!$C:$C,$C88)*SUMIFS(Velocity!$I:$I,Velocity!$A:$A,$A88,Velocity!$B:$B,$C88)/Assumptions!$B$4*Assumptions!$B$6</f>
        <v>0.608333333333333</v>
      </c>
      <c r="AI88" s="7" t="n">
        <f aca="false">SUMIFS(Doors!AU:AU,Doors!$A:$A,$D88,Doors!$B:$B,$B88,Doors!$C:$C,$C88)*SUMIFS(Velocity!$I:$I,Velocity!$A:$A,$A88,Velocity!$B:$B,$C88)/Assumptions!$B$4*Assumptions!$B$6</f>
        <v>0.608333333333333</v>
      </c>
      <c r="AJ88" s="7" t="n">
        <f aca="false">SUMIFS(Doors!AV:AV,Doors!$A:$A,$D88,Doors!$B:$B,$B88,Doors!$C:$C,$C88)*SUMIFS(Velocity!$I:$I,Velocity!$A:$A,$A88,Velocity!$B:$B,$C88)/Assumptions!$B$4*Assumptions!$B$6</f>
        <v>0.9125</v>
      </c>
      <c r="AK88" s="7" t="n">
        <f aca="false">SUMIFS(Doors!AW:AW,Doors!$A:$A,$D88,Doors!$B:$B,$B88,Doors!$C:$C,$C88)*SUMIFS(Velocity!$I:$I,Velocity!$A:$A,$A88,Velocity!$B:$B,$C88)/Assumptions!$B$4*Assumptions!$B$6</f>
        <v>0.9125</v>
      </c>
      <c r="AL88" s="7" t="n">
        <f aca="false">SUMIFS(Doors!AX:AX,Doors!$A:$A,$D88,Doors!$B:$B,$B88,Doors!$C:$C,$C88)*SUMIFS(Velocity!$I:$I,Velocity!$A:$A,$A88,Velocity!$B:$B,$C88)/Assumptions!$B$4*Assumptions!$B$6</f>
        <v>0.9125</v>
      </c>
      <c r="AM88" s="7" t="n">
        <f aca="false">SUMIFS(Doors!AY:AY,Doors!$A:$A,$D88,Doors!$B:$B,$B88,Doors!$C:$C,$C88)*SUMIFS(Velocity!$I:$I,Velocity!$A:$A,$A88,Velocity!$B:$B,$C88)/Assumptions!$B$4*Assumptions!$B$6</f>
        <v>0.9125</v>
      </c>
      <c r="AN88" s="7" t="n">
        <f aca="false">SUMIFS(Doors!AZ:AZ,Doors!$A:$A,$D88,Doors!$B:$B,$B88,Doors!$C:$C,$C88)*SUMIFS(Velocity!$I:$I,Velocity!$A:$A,$A88,Velocity!$B:$B,$C88)/Assumptions!$B$4*Assumptions!$B$6</f>
        <v>0.9125</v>
      </c>
      <c r="AO88" s="7" t="n">
        <f aca="false">SUMIFS(Doors!BA:BA,Doors!$A:$A,$D88,Doors!$B:$B,$B88,Doors!$C:$C,$C88)*SUMIFS(Velocity!$I:$I,Velocity!$A:$A,$A88,Velocity!$B:$B,$C88)/Assumptions!$B$4*Assumptions!$B$6</f>
        <v>0.9125</v>
      </c>
      <c r="AP88" s="7" t="n">
        <f aca="false">SUMIFS(Doors!BB:BB,Doors!$A:$A,$D88,Doors!$B:$B,$B88,Doors!$C:$C,$C88)*SUMIFS(Velocity!$I:$I,Velocity!$A:$A,$A88,Velocity!$B:$B,$C88)/Assumptions!$B$4*Assumptions!$B$6</f>
        <v>0.9125</v>
      </c>
      <c r="AQ88" s="7" t="n">
        <f aca="false">SUMIFS(Doors!BC:BC,Doors!$A:$A,$D88,Doors!$B:$B,$B88,Doors!$C:$C,$C88)*SUMIFS(Velocity!$I:$I,Velocity!$A:$A,$A88,Velocity!$B:$B,$C88)/Assumptions!$B$4*Assumptions!$B$6</f>
        <v>0.9125</v>
      </c>
      <c r="AR88" s="7" t="n">
        <f aca="false">SUMIFS(Doors!BD:BD,Doors!$A:$A,$D88,Doors!$B:$B,$B88,Doors!$C:$C,$C88)*SUMIFS(Velocity!$I:$I,Velocity!$A:$A,$A88,Velocity!$B:$B,$C88)/Assumptions!$B$4*Assumptions!$B$6</f>
        <v>1.21666666666667</v>
      </c>
      <c r="AS88" s="7" t="n">
        <f aca="false">SUMIFS(Doors!BE:BE,Doors!$A:$A,$D88,Doors!$B:$B,$B88,Doors!$C:$C,$C88)*SUMIFS(Velocity!$I:$I,Velocity!$A:$A,$A88,Velocity!$B:$B,$C88)/Assumptions!$B$4*Assumptions!$B$6</f>
        <v>1.21666666666667</v>
      </c>
      <c r="AT88" s="7" t="n">
        <f aca="false">SUMIFS(Doors!BF:BF,Doors!$A:$A,$D88,Doors!$B:$B,$B88,Doors!$C:$C,$C88)*SUMIFS(Velocity!$I:$I,Velocity!$A:$A,$A88,Velocity!$B:$B,$C88)/Assumptions!$B$4*Assumptions!$B$6</f>
        <v>1.21666666666667</v>
      </c>
      <c r="AU88" s="7" t="n">
        <f aca="false">SUMIFS(Doors!BG:BG,Doors!$A:$A,$D88,Doors!$B:$B,$B88,Doors!$C:$C,$C88)*SUMIFS(Velocity!$I:$I,Velocity!$A:$A,$A88,Velocity!$B:$B,$C88)/Assumptions!$B$4*Assumptions!$B$6</f>
        <v>1.21666666666667</v>
      </c>
      <c r="AV88" s="7" t="n">
        <f aca="false">SUMIFS(Doors!BH:BH,Doors!$A:$A,$D88,Doors!$B:$B,$B88,Doors!$C:$C,$C88)*SUMIFS(Velocity!$I:$I,Velocity!$A:$A,$A88,Velocity!$B:$B,$C88)/Assumptions!$B$4*Assumptions!$B$6</f>
        <v>1.21666666666667</v>
      </c>
      <c r="AW88" s="7" t="n">
        <f aca="false">SUMIFS(Doors!BI:BI,Doors!$A:$A,$D88,Doors!$B:$B,$B88,Doors!$C:$C,$C88)*SUMIFS(Velocity!$I:$I,Velocity!$A:$A,$A88,Velocity!$B:$B,$C88)/Assumptions!$B$4*Assumptions!$B$6</f>
        <v>1.21666666666667</v>
      </c>
      <c r="AX88" s="7" t="n">
        <f aca="false">SUMIFS(Doors!BJ:BJ,Doors!$A:$A,$D88,Doors!$B:$B,$B88,Doors!$C:$C,$C88)*SUMIFS(Velocity!$I:$I,Velocity!$A:$A,$A88,Velocity!$B:$B,$C88)/Assumptions!$B$4*Assumptions!$B$6</f>
        <v>1.21666666666667</v>
      </c>
      <c r="AY88" s="7" t="n">
        <f aca="false">SUMIFS(Doors!BK:BK,Doors!$A:$A,$D88,Doors!$B:$B,$B88,Doors!$C:$C,$C88)*SUMIFS(Velocity!$I:$I,Velocity!$A:$A,$A88,Velocity!$B:$B,$C88)/Assumptions!$B$4*Assumptions!$B$6</f>
        <v>1.21666666666667</v>
      </c>
      <c r="AZ88" s="7" t="n">
        <f aca="false">SUMIFS(Doors!BL:BL,Doors!$A:$A,$D88,Doors!$B:$B,$B88,Doors!$C:$C,$C88)*SUMIFS(Velocity!$I:$I,Velocity!$A:$A,$A88,Velocity!$B:$B,$C88)/Assumptions!$B$4*Assumptions!$B$6</f>
        <v>1.21666666666667</v>
      </c>
      <c r="BA88" s="7" t="n">
        <f aca="false">SUMIFS(Doors!BM:BM,Doors!$A:$A,$D88,Doors!$B:$B,$B88,Doors!$C:$C,$C88)*SUMIFS(Velocity!$I:$I,Velocity!$A:$A,$A88,Velocity!$B:$B,$C88)/Assumptions!$B$4*Assumptions!$B$6</f>
        <v>1.21666666666667</v>
      </c>
      <c r="BB88" s="7" t="n">
        <f aca="false">SUMIFS(Doors!BN:BN,Doors!$A:$A,$D88,Doors!$B:$B,$B88,Doors!$C:$C,$C88)*SUMIFS(Velocity!$I:$I,Velocity!$A:$A,$A88,Velocity!$B:$B,$C88)/Assumptions!$B$4*Assumptions!$B$6</f>
        <v>1.21666666666667</v>
      </c>
      <c r="BC88" s="7" t="n">
        <f aca="false">SUMIFS(Doors!BO:BO,Doors!$A:$A,$D88,Doors!$B:$B,$B88,Doors!$C:$C,$C88)*SUMIFS(Velocity!$I:$I,Velocity!$A:$A,$A88,Velocity!$B:$B,$C88)/Assumptions!$B$4*Assumptions!$B$6</f>
        <v>1.21666666666667</v>
      </c>
      <c r="BD88" s="7" t="n">
        <f aca="false">SUMIFS(Doors!BP:BP,Doors!$A:$A,$D88,Doors!$B:$B,$B88,Doors!$C:$C,$C88)*SUMIFS(Velocity!$I:$I,Velocity!$A:$A,$A88,Velocity!$B:$B,$C88)/Assumptions!$B$4*Assumptions!$B$6</f>
        <v>1.21666666666667</v>
      </c>
    </row>
    <row r="89" customFormat="false" ht="15" hidden="false" customHeight="false" outlineLevel="0" collapsed="false">
      <c r="A89" s="0" t="s">
        <v>108</v>
      </c>
      <c r="B89" s="0" t="s">
        <v>135</v>
      </c>
      <c r="C89" s="0" t="s">
        <v>117</v>
      </c>
      <c r="D89" s="0" t="s">
        <v>235</v>
      </c>
      <c r="E89" s="7" t="n">
        <f aca="false">SUMIFS(Doors!Q:Q,Doors!$A:$A,$D89,Doors!$B:$B,$B89,Doors!$C:$C,$C89)*SUMIFS(Velocity!$I:$I,Velocity!$A:$A,$A89,Velocity!$B:$B,$C89)/Assumptions!$B$4*Assumptions!$B$6</f>
        <v>0</v>
      </c>
      <c r="F89" s="7" t="n">
        <f aca="false">SUMIFS(Doors!R:R,Doors!$A:$A,$D89,Doors!$B:$B,$B89,Doors!$C:$C,$C89)*SUMIFS(Velocity!$I:$I,Velocity!$A:$A,$A89,Velocity!$B:$B,$C89)/Assumptions!$B$4*Assumptions!$B$6</f>
        <v>0</v>
      </c>
      <c r="G89" s="7" t="n">
        <f aca="false">SUMIFS(Doors!S:S,Doors!$A:$A,$D89,Doors!$B:$B,$B89,Doors!$C:$C,$C89)*SUMIFS(Velocity!$I:$I,Velocity!$A:$A,$A89,Velocity!$B:$B,$C89)/Assumptions!$B$4*Assumptions!$B$6</f>
        <v>0</v>
      </c>
      <c r="H89" s="7" t="n">
        <f aca="false">SUMIFS(Doors!T:T,Doors!$A:$A,$D89,Doors!$B:$B,$B89,Doors!$C:$C,$C89)*SUMIFS(Velocity!$I:$I,Velocity!$A:$A,$A89,Velocity!$B:$B,$C89)/Assumptions!$B$4*Assumptions!$B$6</f>
        <v>0</v>
      </c>
      <c r="I89" s="7" t="n">
        <f aca="false">SUMIFS(Doors!U:U,Doors!$A:$A,$D89,Doors!$B:$B,$B89,Doors!$C:$C,$C89)*SUMIFS(Velocity!$I:$I,Velocity!$A:$A,$A89,Velocity!$B:$B,$C89)/Assumptions!$B$4*Assumptions!$B$6</f>
        <v>0</v>
      </c>
      <c r="J89" s="7" t="n">
        <f aca="false">SUMIFS(Doors!V:V,Doors!$A:$A,$D89,Doors!$B:$B,$B89,Doors!$C:$C,$C89)*SUMIFS(Velocity!$I:$I,Velocity!$A:$A,$A89,Velocity!$B:$B,$C89)/Assumptions!$B$4*Assumptions!$B$6</f>
        <v>0</v>
      </c>
      <c r="K89" s="7" t="n">
        <f aca="false">SUMIFS(Doors!W:W,Doors!$A:$A,$D89,Doors!$B:$B,$B89,Doors!$C:$C,$C89)*SUMIFS(Velocity!$I:$I,Velocity!$A:$A,$A89,Velocity!$B:$B,$C89)/Assumptions!$B$4*Assumptions!$B$6</f>
        <v>0</v>
      </c>
      <c r="L89" s="7" t="n">
        <f aca="false">SUMIFS(Doors!X:X,Doors!$A:$A,$D89,Doors!$B:$B,$B89,Doors!$C:$C,$C89)*SUMIFS(Velocity!$I:$I,Velocity!$A:$A,$A89,Velocity!$B:$B,$C89)/Assumptions!$B$4*Assumptions!$B$6</f>
        <v>0</v>
      </c>
      <c r="M89" s="7" t="n">
        <f aca="false">SUMIFS(Doors!Y:Y,Doors!$A:$A,$D89,Doors!$B:$B,$B89,Doors!$C:$C,$C89)*SUMIFS(Velocity!$I:$I,Velocity!$A:$A,$A89,Velocity!$B:$B,$C89)/Assumptions!$B$4*Assumptions!$B$6</f>
        <v>0</v>
      </c>
      <c r="N89" s="7" t="n">
        <f aca="false">SUMIFS(Doors!Z:Z,Doors!$A:$A,$D89,Doors!$B:$B,$B89,Doors!$C:$C,$C89)*SUMIFS(Velocity!$I:$I,Velocity!$A:$A,$A89,Velocity!$B:$B,$C89)/Assumptions!$B$4*Assumptions!$B$6</f>
        <v>0</v>
      </c>
      <c r="O89" s="7" t="n">
        <f aca="false">SUMIFS(Doors!AA:AA,Doors!$A:$A,$D89,Doors!$B:$B,$B89,Doors!$C:$C,$C89)*SUMIFS(Velocity!$I:$I,Velocity!$A:$A,$A89,Velocity!$B:$B,$C89)/Assumptions!$B$4*Assumptions!$B$6</f>
        <v>0</v>
      </c>
      <c r="P89" s="7" t="n">
        <f aca="false">SUMIFS(Doors!AB:AB,Doors!$A:$A,$D89,Doors!$B:$B,$B89,Doors!$C:$C,$C89)*SUMIFS(Velocity!$I:$I,Velocity!$A:$A,$A89,Velocity!$B:$B,$C89)/Assumptions!$B$4*Assumptions!$B$6</f>
        <v>0</v>
      </c>
      <c r="Q89" s="7" t="n">
        <f aca="false">SUMIFS(Doors!AC:AC,Doors!$A:$A,$D89,Doors!$B:$B,$B89,Doors!$C:$C,$C89)*SUMIFS(Velocity!$I:$I,Velocity!$A:$A,$A89,Velocity!$B:$B,$C89)/Assumptions!$B$4*Assumptions!$B$6</f>
        <v>0</v>
      </c>
      <c r="R89" s="7" t="n">
        <f aca="false">SUMIFS(Doors!AD:AD,Doors!$A:$A,$D89,Doors!$B:$B,$B89,Doors!$C:$C,$C89)*SUMIFS(Velocity!$I:$I,Velocity!$A:$A,$A89,Velocity!$B:$B,$C89)/Assumptions!$B$4*Assumptions!$B$6</f>
        <v>0</v>
      </c>
      <c r="S89" s="7" t="n">
        <f aca="false">SUMIFS(Doors!AE:AE,Doors!$A:$A,$D89,Doors!$B:$B,$B89,Doors!$C:$C,$C89)*SUMIFS(Velocity!$I:$I,Velocity!$A:$A,$A89,Velocity!$B:$B,$C89)/Assumptions!$B$4*Assumptions!$B$6</f>
        <v>0</v>
      </c>
      <c r="T89" s="7" t="n">
        <f aca="false">SUMIFS(Doors!AF:AF,Doors!$A:$A,$D89,Doors!$B:$B,$B89,Doors!$C:$C,$C89)*SUMIFS(Velocity!$I:$I,Velocity!$A:$A,$A89,Velocity!$B:$B,$C89)/Assumptions!$B$4*Assumptions!$B$6</f>
        <v>0</v>
      </c>
      <c r="U89" s="7" t="n">
        <f aca="false">SUMIFS(Doors!AG:AG,Doors!$A:$A,$D89,Doors!$B:$B,$B89,Doors!$C:$C,$C89)*SUMIFS(Velocity!$I:$I,Velocity!$A:$A,$A89,Velocity!$B:$B,$C89)/Assumptions!$B$4*Assumptions!$B$6</f>
        <v>0</v>
      </c>
      <c r="V89" s="7" t="n">
        <f aca="false">SUMIFS(Doors!AH:AH,Doors!$A:$A,$D89,Doors!$B:$B,$B89,Doors!$C:$C,$C89)*SUMIFS(Velocity!$I:$I,Velocity!$A:$A,$A89,Velocity!$B:$B,$C89)/Assumptions!$B$4*Assumptions!$B$6</f>
        <v>0</v>
      </c>
      <c r="W89" s="7" t="n">
        <f aca="false">SUMIFS(Doors!AI:AI,Doors!$A:$A,$D89,Doors!$B:$B,$B89,Doors!$C:$C,$C89)*SUMIFS(Velocity!$I:$I,Velocity!$A:$A,$A89,Velocity!$B:$B,$C89)/Assumptions!$B$4*Assumptions!$B$6</f>
        <v>0</v>
      </c>
      <c r="X89" s="7" t="n">
        <f aca="false">SUMIFS(Doors!AJ:AJ,Doors!$A:$A,$D89,Doors!$B:$B,$B89,Doors!$C:$C,$C89)*SUMIFS(Velocity!$I:$I,Velocity!$A:$A,$A89,Velocity!$B:$B,$C89)/Assumptions!$B$4*Assumptions!$B$6</f>
        <v>0</v>
      </c>
      <c r="Y89" s="7" t="n">
        <f aca="false">SUMIFS(Doors!AK:AK,Doors!$A:$A,$D89,Doors!$B:$B,$B89,Doors!$C:$C,$C89)*SUMIFS(Velocity!$I:$I,Velocity!$A:$A,$A89,Velocity!$B:$B,$C89)/Assumptions!$B$4*Assumptions!$B$6</f>
        <v>0</v>
      </c>
      <c r="Z89" s="7" t="n">
        <f aca="false">SUMIFS(Doors!AL:AL,Doors!$A:$A,$D89,Doors!$B:$B,$B89,Doors!$C:$C,$C89)*SUMIFS(Velocity!$I:$I,Velocity!$A:$A,$A89,Velocity!$B:$B,$C89)/Assumptions!$B$4*Assumptions!$B$6</f>
        <v>0</v>
      </c>
      <c r="AA89" s="7" t="n">
        <f aca="false">SUMIFS(Doors!AM:AM,Doors!$A:$A,$D89,Doors!$B:$B,$B89,Doors!$C:$C,$C89)*SUMIFS(Velocity!$I:$I,Velocity!$A:$A,$A89,Velocity!$B:$B,$C89)/Assumptions!$B$4*Assumptions!$B$6</f>
        <v>0</v>
      </c>
      <c r="AB89" s="7" t="n">
        <f aca="false">SUMIFS(Doors!AN:AN,Doors!$A:$A,$D89,Doors!$B:$B,$B89,Doors!$C:$C,$C89)*SUMIFS(Velocity!$I:$I,Velocity!$A:$A,$A89,Velocity!$B:$B,$C89)/Assumptions!$B$4*Assumptions!$B$6</f>
        <v>0</v>
      </c>
      <c r="AC89" s="7" t="n">
        <f aca="false">SUMIFS(Doors!AO:AO,Doors!$A:$A,$D89,Doors!$B:$B,$B89,Doors!$C:$C,$C89)*SUMIFS(Velocity!$I:$I,Velocity!$A:$A,$A89,Velocity!$B:$B,$C89)/Assumptions!$B$4*Assumptions!$B$6</f>
        <v>0</v>
      </c>
      <c r="AD89" s="7" t="n">
        <f aca="false">SUMIFS(Doors!AP:AP,Doors!$A:$A,$D89,Doors!$B:$B,$B89,Doors!$C:$C,$C89)*SUMIFS(Velocity!$I:$I,Velocity!$A:$A,$A89,Velocity!$B:$B,$C89)/Assumptions!$B$4*Assumptions!$B$6</f>
        <v>0</v>
      </c>
      <c r="AE89" s="7" t="n">
        <f aca="false">SUMIFS(Doors!AQ:AQ,Doors!$A:$A,$D89,Doors!$B:$B,$B89,Doors!$C:$C,$C89)*SUMIFS(Velocity!$I:$I,Velocity!$A:$A,$A89,Velocity!$B:$B,$C89)/Assumptions!$B$4*Assumptions!$B$6</f>
        <v>0.629166666666667</v>
      </c>
      <c r="AF89" s="7" t="n">
        <f aca="false">SUMIFS(Doors!AR:AR,Doors!$A:$A,$D89,Doors!$B:$B,$B89,Doors!$C:$C,$C89)*SUMIFS(Velocity!$I:$I,Velocity!$A:$A,$A89,Velocity!$B:$B,$C89)/Assumptions!$B$4*Assumptions!$B$6</f>
        <v>0.629166666666667</v>
      </c>
      <c r="AG89" s="7" t="n">
        <f aca="false">SUMIFS(Doors!AS:AS,Doors!$A:$A,$D89,Doors!$B:$B,$B89,Doors!$C:$C,$C89)*SUMIFS(Velocity!$I:$I,Velocity!$A:$A,$A89,Velocity!$B:$B,$C89)/Assumptions!$B$4*Assumptions!$B$6</f>
        <v>0.629166666666667</v>
      </c>
      <c r="AH89" s="7" t="n">
        <f aca="false">SUMIFS(Doors!AT:AT,Doors!$A:$A,$D89,Doors!$B:$B,$B89,Doors!$C:$C,$C89)*SUMIFS(Velocity!$I:$I,Velocity!$A:$A,$A89,Velocity!$B:$B,$C89)/Assumptions!$B$4*Assumptions!$B$6</f>
        <v>0.629166666666667</v>
      </c>
      <c r="AI89" s="7" t="n">
        <f aca="false">SUMIFS(Doors!AU:AU,Doors!$A:$A,$D89,Doors!$B:$B,$B89,Doors!$C:$C,$C89)*SUMIFS(Velocity!$I:$I,Velocity!$A:$A,$A89,Velocity!$B:$B,$C89)/Assumptions!$B$4*Assumptions!$B$6</f>
        <v>0.629166666666667</v>
      </c>
      <c r="AJ89" s="7" t="n">
        <f aca="false">SUMIFS(Doors!AV:AV,Doors!$A:$A,$D89,Doors!$B:$B,$B89,Doors!$C:$C,$C89)*SUMIFS(Velocity!$I:$I,Velocity!$A:$A,$A89,Velocity!$B:$B,$C89)/Assumptions!$B$4*Assumptions!$B$6</f>
        <v>1.25833333333333</v>
      </c>
      <c r="AK89" s="7" t="n">
        <f aca="false">SUMIFS(Doors!AW:AW,Doors!$A:$A,$D89,Doors!$B:$B,$B89,Doors!$C:$C,$C89)*SUMIFS(Velocity!$I:$I,Velocity!$A:$A,$A89,Velocity!$B:$B,$C89)/Assumptions!$B$4*Assumptions!$B$6</f>
        <v>1.25833333333333</v>
      </c>
      <c r="AL89" s="7" t="n">
        <f aca="false">SUMIFS(Doors!AX:AX,Doors!$A:$A,$D89,Doors!$B:$B,$B89,Doors!$C:$C,$C89)*SUMIFS(Velocity!$I:$I,Velocity!$A:$A,$A89,Velocity!$B:$B,$C89)/Assumptions!$B$4*Assumptions!$B$6</f>
        <v>1.25833333333333</v>
      </c>
      <c r="AM89" s="7" t="n">
        <f aca="false">SUMIFS(Doors!AY:AY,Doors!$A:$A,$D89,Doors!$B:$B,$B89,Doors!$C:$C,$C89)*SUMIFS(Velocity!$I:$I,Velocity!$A:$A,$A89,Velocity!$B:$B,$C89)/Assumptions!$B$4*Assumptions!$B$6</f>
        <v>1.25833333333333</v>
      </c>
      <c r="AN89" s="7" t="n">
        <f aca="false">SUMIFS(Doors!AZ:AZ,Doors!$A:$A,$D89,Doors!$B:$B,$B89,Doors!$C:$C,$C89)*SUMIFS(Velocity!$I:$I,Velocity!$A:$A,$A89,Velocity!$B:$B,$C89)/Assumptions!$B$4*Assumptions!$B$6</f>
        <v>1.25833333333333</v>
      </c>
      <c r="AO89" s="7" t="n">
        <f aca="false">SUMIFS(Doors!BA:BA,Doors!$A:$A,$D89,Doors!$B:$B,$B89,Doors!$C:$C,$C89)*SUMIFS(Velocity!$I:$I,Velocity!$A:$A,$A89,Velocity!$B:$B,$C89)/Assumptions!$B$4*Assumptions!$B$6</f>
        <v>1.25833333333333</v>
      </c>
      <c r="AP89" s="7" t="n">
        <f aca="false">SUMIFS(Doors!BB:BB,Doors!$A:$A,$D89,Doors!$B:$B,$B89,Doors!$C:$C,$C89)*SUMIFS(Velocity!$I:$I,Velocity!$A:$A,$A89,Velocity!$B:$B,$C89)/Assumptions!$B$4*Assumptions!$B$6</f>
        <v>1.25833333333333</v>
      </c>
      <c r="AQ89" s="7" t="n">
        <f aca="false">SUMIFS(Doors!BC:BC,Doors!$A:$A,$D89,Doors!$B:$B,$B89,Doors!$C:$C,$C89)*SUMIFS(Velocity!$I:$I,Velocity!$A:$A,$A89,Velocity!$B:$B,$C89)/Assumptions!$B$4*Assumptions!$B$6</f>
        <v>1.25833333333333</v>
      </c>
      <c r="AR89" s="7" t="n">
        <f aca="false">SUMIFS(Doors!BD:BD,Doors!$A:$A,$D89,Doors!$B:$B,$B89,Doors!$C:$C,$C89)*SUMIFS(Velocity!$I:$I,Velocity!$A:$A,$A89,Velocity!$B:$B,$C89)/Assumptions!$B$4*Assumptions!$B$6</f>
        <v>1.8875</v>
      </c>
      <c r="AS89" s="7" t="n">
        <f aca="false">SUMIFS(Doors!BE:BE,Doors!$A:$A,$D89,Doors!$B:$B,$B89,Doors!$C:$C,$C89)*SUMIFS(Velocity!$I:$I,Velocity!$A:$A,$A89,Velocity!$B:$B,$C89)/Assumptions!$B$4*Assumptions!$B$6</f>
        <v>1.8875</v>
      </c>
      <c r="AT89" s="7" t="n">
        <f aca="false">SUMIFS(Doors!BF:BF,Doors!$A:$A,$D89,Doors!$B:$B,$B89,Doors!$C:$C,$C89)*SUMIFS(Velocity!$I:$I,Velocity!$A:$A,$A89,Velocity!$B:$B,$C89)/Assumptions!$B$4*Assumptions!$B$6</f>
        <v>1.8875</v>
      </c>
      <c r="AU89" s="7" t="n">
        <f aca="false">SUMIFS(Doors!BG:BG,Doors!$A:$A,$D89,Doors!$B:$B,$B89,Doors!$C:$C,$C89)*SUMIFS(Velocity!$I:$I,Velocity!$A:$A,$A89,Velocity!$B:$B,$C89)/Assumptions!$B$4*Assumptions!$B$6</f>
        <v>1.8875</v>
      </c>
      <c r="AV89" s="7" t="n">
        <f aca="false">SUMIFS(Doors!BH:BH,Doors!$A:$A,$D89,Doors!$B:$B,$B89,Doors!$C:$C,$C89)*SUMIFS(Velocity!$I:$I,Velocity!$A:$A,$A89,Velocity!$B:$B,$C89)/Assumptions!$B$4*Assumptions!$B$6</f>
        <v>1.8875</v>
      </c>
      <c r="AW89" s="7" t="n">
        <f aca="false">SUMIFS(Doors!BI:BI,Doors!$A:$A,$D89,Doors!$B:$B,$B89,Doors!$C:$C,$C89)*SUMIFS(Velocity!$I:$I,Velocity!$A:$A,$A89,Velocity!$B:$B,$C89)/Assumptions!$B$4*Assumptions!$B$6</f>
        <v>1.8875</v>
      </c>
      <c r="AX89" s="7" t="n">
        <f aca="false">SUMIFS(Doors!BJ:BJ,Doors!$A:$A,$D89,Doors!$B:$B,$B89,Doors!$C:$C,$C89)*SUMIFS(Velocity!$I:$I,Velocity!$A:$A,$A89,Velocity!$B:$B,$C89)/Assumptions!$B$4*Assumptions!$B$6</f>
        <v>1.8875</v>
      </c>
      <c r="AY89" s="7" t="n">
        <f aca="false">SUMIFS(Doors!BK:BK,Doors!$A:$A,$D89,Doors!$B:$B,$B89,Doors!$C:$C,$C89)*SUMIFS(Velocity!$I:$I,Velocity!$A:$A,$A89,Velocity!$B:$B,$C89)/Assumptions!$B$4*Assumptions!$B$6</f>
        <v>1.8875</v>
      </c>
      <c r="AZ89" s="7" t="n">
        <f aca="false">SUMIFS(Doors!BL:BL,Doors!$A:$A,$D89,Doors!$B:$B,$B89,Doors!$C:$C,$C89)*SUMIFS(Velocity!$I:$I,Velocity!$A:$A,$A89,Velocity!$B:$B,$C89)/Assumptions!$B$4*Assumptions!$B$6</f>
        <v>1.8875</v>
      </c>
      <c r="BA89" s="7" t="n">
        <f aca="false">SUMIFS(Doors!BM:BM,Doors!$A:$A,$D89,Doors!$B:$B,$B89,Doors!$C:$C,$C89)*SUMIFS(Velocity!$I:$I,Velocity!$A:$A,$A89,Velocity!$B:$B,$C89)/Assumptions!$B$4*Assumptions!$B$6</f>
        <v>1.8875</v>
      </c>
      <c r="BB89" s="7" t="n">
        <f aca="false">SUMIFS(Doors!BN:BN,Doors!$A:$A,$D89,Doors!$B:$B,$B89,Doors!$C:$C,$C89)*SUMIFS(Velocity!$I:$I,Velocity!$A:$A,$A89,Velocity!$B:$B,$C89)/Assumptions!$B$4*Assumptions!$B$6</f>
        <v>1.8875</v>
      </c>
      <c r="BC89" s="7" t="n">
        <f aca="false">SUMIFS(Doors!BO:BO,Doors!$A:$A,$D89,Doors!$B:$B,$B89,Doors!$C:$C,$C89)*SUMIFS(Velocity!$I:$I,Velocity!$A:$A,$A89,Velocity!$B:$B,$C89)/Assumptions!$B$4*Assumptions!$B$6</f>
        <v>1.8875</v>
      </c>
      <c r="BD89" s="7" t="n">
        <f aca="false">SUMIFS(Doors!BP:BP,Doors!$A:$A,$D89,Doors!$B:$B,$B89,Doors!$C:$C,$C89)*SUMIFS(Velocity!$I:$I,Velocity!$A:$A,$A89,Velocity!$B:$B,$C89)/Assumptions!$B$4*Assumptions!$B$6</f>
        <v>1.8875</v>
      </c>
    </row>
    <row r="90" customFormat="false" ht="15" hidden="false" customHeight="false" outlineLevel="0" collapsed="false">
      <c r="A90" s="0" t="s">
        <v>108</v>
      </c>
      <c r="B90" s="0" t="s">
        <v>135</v>
      </c>
      <c r="C90" s="0" t="s">
        <v>118</v>
      </c>
      <c r="D90" s="0" t="s">
        <v>235</v>
      </c>
      <c r="E90" s="7" t="n">
        <f aca="false">SUMIFS(Doors!Q:Q,Doors!$A:$A,$D90,Doors!$B:$B,$B90,Doors!$C:$C,$C90)*SUMIFS(Velocity!$I:$I,Velocity!$A:$A,$A90,Velocity!$B:$B,$C90)/Assumptions!$B$4*Assumptions!$B$6</f>
        <v>0</v>
      </c>
      <c r="F90" s="7" t="n">
        <f aca="false">SUMIFS(Doors!R:R,Doors!$A:$A,$D90,Doors!$B:$B,$B90,Doors!$C:$C,$C90)*SUMIFS(Velocity!$I:$I,Velocity!$A:$A,$A90,Velocity!$B:$B,$C90)/Assumptions!$B$4*Assumptions!$B$6</f>
        <v>0</v>
      </c>
      <c r="G90" s="7" t="n">
        <f aca="false">SUMIFS(Doors!S:S,Doors!$A:$A,$D90,Doors!$B:$B,$B90,Doors!$C:$C,$C90)*SUMIFS(Velocity!$I:$I,Velocity!$A:$A,$A90,Velocity!$B:$B,$C90)/Assumptions!$B$4*Assumptions!$B$6</f>
        <v>0</v>
      </c>
      <c r="H90" s="7" t="n">
        <f aca="false">SUMIFS(Doors!T:T,Doors!$A:$A,$D90,Doors!$B:$B,$B90,Doors!$C:$C,$C90)*SUMIFS(Velocity!$I:$I,Velocity!$A:$A,$A90,Velocity!$B:$B,$C90)/Assumptions!$B$4*Assumptions!$B$6</f>
        <v>0</v>
      </c>
      <c r="I90" s="7" t="n">
        <f aca="false">SUMIFS(Doors!U:U,Doors!$A:$A,$D90,Doors!$B:$B,$B90,Doors!$C:$C,$C90)*SUMIFS(Velocity!$I:$I,Velocity!$A:$A,$A90,Velocity!$B:$B,$C90)/Assumptions!$B$4*Assumptions!$B$6</f>
        <v>0</v>
      </c>
      <c r="J90" s="7" t="n">
        <f aca="false">SUMIFS(Doors!V:V,Doors!$A:$A,$D90,Doors!$B:$B,$B90,Doors!$C:$C,$C90)*SUMIFS(Velocity!$I:$I,Velocity!$A:$A,$A90,Velocity!$B:$B,$C90)/Assumptions!$B$4*Assumptions!$B$6</f>
        <v>0</v>
      </c>
      <c r="K90" s="7" t="n">
        <f aca="false">SUMIFS(Doors!W:W,Doors!$A:$A,$D90,Doors!$B:$B,$B90,Doors!$C:$C,$C90)*SUMIFS(Velocity!$I:$I,Velocity!$A:$A,$A90,Velocity!$B:$B,$C90)/Assumptions!$B$4*Assumptions!$B$6</f>
        <v>0</v>
      </c>
      <c r="L90" s="7" t="n">
        <f aca="false">SUMIFS(Doors!X:X,Doors!$A:$A,$D90,Doors!$B:$B,$B90,Doors!$C:$C,$C90)*SUMIFS(Velocity!$I:$I,Velocity!$A:$A,$A90,Velocity!$B:$B,$C90)/Assumptions!$B$4*Assumptions!$B$6</f>
        <v>0</v>
      </c>
      <c r="M90" s="7" t="n">
        <f aca="false">SUMIFS(Doors!Y:Y,Doors!$A:$A,$D90,Doors!$B:$B,$B90,Doors!$C:$C,$C90)*SUMIFS(Velocity!$I:$I,Velocity!$A:$A,$A90,Velocity!$B:$B,$C90)/Assumptions!$B$4*Assumptions!$B$6</f>
        <v>0</v>
      </c>
      <c r="N90" s="7" t="n">
        <f aca="false">SUMIFS(Doors!Z:Z,Doors!$A:$A,$D90,Doors!$B:$B,$B90,Doors!$C:$C,$C90)*SUMIFS(Velocity!$I:$I,Velocity!$A:$A,$A90,Velocity!$B:$B,$C90)/Assumptions!$B$4*Assumptions!$B$6</f>
        <v>0</v>
      </c>
      <c r="O90" s="7" t="n">
        <f aca="false">SUMIFS(Doors!AA:AA,Doors!$A:$A,$D90,Doors!$B:$B,$B90,Doors!$C:$C,$C90)*SUMIFS(Velocity!$I:$I,Velocity!$A:$A,$A90,Velocity!$B:$B,$C90)/Assumptions!$B$4*Assumptions!$B$6</f>
        <v>0</v>
      </c>
      <c r="P90" s="7" t="n">
        <f aca="false">SUMIFS(Doors!AB:AB,Doors!$A:$A,$D90,Doors!$B:$B,$B90,Doors!$C:$C,$C90)*SUMIFS(Velocity!$I:$I,Velocity!$A:$A,$A90,Velocity!$B:$B,$C90)/Assumptions!$B$4*Assumptions!$B$6</f>
        <v>0</v>
      </c>
      <c r="Q90" s="7" t="n">
        <f aca="false">SUMIFS(Doors!AC:AC,Doors!$A:$A,$D90,Doors!$B:$B,$B90,Doors!$C:$C,$C90)*SUMIFS(Velocity!$I:$I,Velocity!$A:$A,$A90,Velocity!$B:$B,$C90)/Assumptions!$B$4*Assumptions!$B$6</f>
        <v>0</v>
      </c>
      <c r="R90" s="7" t="n">
        <f aca="false">SUMIFS(Doors!AD:AD,Doors!$A:$A,$D90,Doors!$B:$B,$B90,Doors!$C:$C,$C90)*SUMIFS(Velocity!$I:$I,Velocity!$A:$A,$A90,Velocity!$B:$B,$C90)/Assumptions!$B$4*Assumptions!$B$6</f>
        <v>0</v>
      </c>
      <c r="S90" s="7" t="n">
        <f aca="false">SUMIFS(Doors!AE:AE,Doors!$A:$A,$D90,Doors!$B:$B,$B90,Doors!$C:$C,$C90)*SUMIFS(Velocity!$I:$I,Velocity!$A:$A,$A90,Velocity!$B:$B,$C90)/Assumptions!$B$4*Assumptions!$B$6</f>
        <v>0</v>
      </c>
      <c r="T90" s="7" t="n">
        <f aca="false">SUMIFS(Doors!AF:AF,Doors!$A:$A,$D90,Doors!$B:$B,$B90,Doors!$C:$C,$C90)*SUMIFS(Velocity!$I:$I,Velocity!$A:$A,$A90,Velocity!$B:$B,$C90)/Assumptions!$B$4*Assumptions!$B$6</f>
        <v>0</v>
      </c>
      <c r="U90" s="7" t="n">
        <f aca="false">SUMIFS(Doors!AG:AG,Doors!$A:$A,$D90,Doors!$B:$B,$B90,Doors!$C:$C,$C90)*SUMIFS(Velocity!$I:$I,Velocity!$A:$A,$A90,Velocity!$B:$B,$C90)/Assumptions!$B$4*Assumptions!$B$6</f>
        <v>0</v>
      </c>
      <c r="V90" s="7" t="n">
        <f aca="false">SUMIFS(Doors!AH:AH,Doors!$A:$A,$D90,Doors!$B:$B,$B90,Doors!$C:$C,$C90)*SUMIFS(Velocity!$I:$I,Velocity!$A:$A,$A90,Velocity!$B:$B,$C90)/Assumptions!$B$4*Assumptions!$B$6</f>
        <v>0</v>
      </c>
      <c r="W90" s="7" t="n">
        <f aca="false">SUMIFS(Doors!AI:AI,Doors!$A:$A,$D90,Doors!$B:$B,$B90,Doors!$C:$C,$C90)*SUMIFS(Velocity!$I:$I,Velocity!$A:$A,$A90,Velocity!$B:$B,$C90)/Assumptions!$B$4*Assumptions!$B$6</f>
        <v>0</v>
      </c>
      <c r="X90" s="7" t="n">
        <f aca="false">SUMIFS(Doors!AJ:AJ,Doors!$A:$A,$D90,Doors!$B:$B,$B90,Doors!$C:$C,$C90)*SUMIFS(Velocity!$I:$I,Velocity!$A:$A,$A90,Velocity!$B:$B,$C90)/Assumptions!$B$4*Assumptions!$B$6</f>
        <v>0</v>
      </c>
      <c r="Y90" s="7" t="n">
        <f aca="false">SUMIFS(Doors!AK:AK,Doors!$A:$A,$D90,Doors!$B:$B,$B90,Doors!$C:$C,$C90)*SUMIFS(Velocity!$I:$I,Velocity!$A:$A,$A90,Velocity!$B:$B,$C90)/Assumptions!$B$4*Assumptions!$B$6</f>
        <v>0</v>
      </c>
      <c r="Z90" s="7" t="n">
        <f aca="false">SUMIFS(Doors!AL:AL,Doors!$A:$A,$D90,Doors!$B:$B,$B90,Doors!$C:$C,$C90)*SUMIFS(Velocity!$I:$I,Velocity!$A:$A,$A90,Velocity!$B:$B,$C90)/Assumptions!$B$4*Assumptions!$B$6</f>
        <v>0</v>
      </c>
      <c r="AA90" s="7" t="n">
        <f aca="false">SUMIFS(Doors!AM:AM,Doors!$A:$A,$D90,Doors!$B:$B,$B90,Doors!$C:$C,$C90)*SUMIFS(Velocity!$I:$I,Velocity!$A:$A,$A90,Velocity!$B:$B,$C90)/Assumptions!$B$4*Assumptions!$B$6</f>
        <v>0</v>
      </c>
      <c r="AB90" s="7" t="n">
        <f aca="false">SUMIFS(Doors!AN:AN,Doors!$A:$A,$D90,Doors!$B:$B,$B90,Doors!$C:$C,$C90)*SUMIFS(Velocity!$I:$I,Velocity!$A:$A,$A90,Velocity!$B:$B,$C90)/Assumptions!$B$4*Assumptions!$B$6</f>
        <v>0</v>
      </c>
      <c r="AC90" s="7" t="n">
        <f aca="false">SUMIFS(Doors!AO:AO,Doors!$A:$A,$D90,Doors!$B:$B,$B90,Doors!$C:$C,$C90)*SUMIFS(Velocity!$I:$I,Velocity!$A:$A,$A90,Velocity!$B:$B,$C90)/Assumptions!$B$4*Assumptions!$B$6</f>
        <v>0</v>
      </c>
      <c r="AD90" s="7" t="n">
        <f aca="false">SUMIFS(Doors!AP:AP,Doors!$A:$A,$D90,Doors!$B:$B,$B90,Doors!$C:$C,$C90)*SUMIFS(Velocity!$I:$I,Velocity!$A:$A,$A90,Velocity!$B:$B,$C90)/Assumptions!$B$4*Assumptions!$B$6</f>
        <v>0</v>
      </c>
      <c r="AE90" s="7" t="n">
        <f aca="false">SUMIFS(Doors!AQ:AQ,Doors!$A:$A,$D90,Doors!$B:$B,$B90,Doors!$C:$C,$C90)*SUMIFS(Velocity!$I:$I,Velocity!$A:$A,$A90,Velocity!$B:$B,$C90)/Assumptions!$B$4*Assumptions!$B$6</f>
        <v>0</v>
      </c>
      <c r="AF90" s="7" t="n">
        <f aca="false">SUMIFS(Doors!AR:AR,Doors!$A:$A,$D90,Doors!$B:$B,$B90,Doors!$C:$C,$C90)*SUMIFS(Velocity!$I:$I,Velocity!$A:$A,$A90,Velocity!$B:$B,$C90)/Assumptions!$B$4*Assumptions!$B$6</f>
        <v>0</v>
      </c>
      <c r="AG90" s="7" t="n">
        <f aca="false">SUMIFS(Doors!AS:AS,Doors!$A:$A,$D90,Doors!$B:$B,$B90,Doors!$C:$C,$C90)*SUMIFS(Velocity!$I:$I,Velocity!$A:$A,$A90,Velocity!$B:$B,$C90)/Assumptions!$B$4*Assumptions!$B$6</f>
        <v>0</v>
      </c>
      <c r="AH90" s="7" t="n">
        <f aca="false">SUMIFS(Doors!AT:AT,Doors!$A:$A,$D90,Doors!$B:$B,$B90,Doors!$C:$C,$C90)*SUMIFS(Velocity!$I:$I,Velocity!$A:$A,$A90,Velocity!$B:$B,$C90)/Assumptions!$B$4*Assumptions!$B$6</f>
        <v>0</v>
      </c>
      <c r="AI90" s="7" t="n">
        <f aca="false">SUMIFS(Doors!AU:AU,Doors!$A:$A,$D90,Doors!$B:$B,$B90,Doors!$C:$C,$C90)*SUMIFS(Velocity!$I:$I,Velocity!$A:$A,$A90,Velocity!$B:$B,$C90)/Assumptions!$B$4*Assumptions!$B$6</f>
        <v>0</v>
      </c>
      <c r="AJ90" s="7" t="n">
        <f aca="false">SUMIFS(Doors!AV:AV,Doors!$A:$A,$D90,Doors!$B:$B,$B90,Doors!$C:$C,$C90)*SUMIFS(Velocity!$I:$I,Velocity!$A:$A,$A90,Velocity!$B:$B,$C90)/Assumptions!$B$4*Assumptions!$B$6</f>
        <v>0</v>
      </c>
      <c r="AK90" s="7" t="n">
        <f aca="false">SUMIFS(Doors!AW:AW,Doors!$A:$A,$D90,Doors!$B:$B,$B90,Doors!$C:$C,$C90)*SUMIFS(Velocity!$I:$I,Velocity!$A:$A,$A90,Velocity!$B:$B,$C90)/Assumptions!$B$4*Assumptions!$B$6</f>
        <v>0</v>
      </c>
      <c r="AL90" s="7" t="n">
        <f aca="false">SUMIFS(Doors!AX:AX,Doors!$A:$A,$D90,Doors!$B:$B,$B90,Doors!$C:$C,$C90)*SUMIFS(Velocity!$I:$I,Velocity!$A:$A,$A90,Velocity!$B:$B,$C90)/Assumptions!$B$4*Assumptions!$B$6</f>
        <v>0</v>
      </c>
      <c r="AM90" s="7" t="n">
        <f aca="false">SUMIFS(Doors!AY:AY,Doors!$A:$A,$D90,Doors!$B:$B,$B90,Doors!$C:$C,$C90)*SUMIFS(Velocity!$I:$I,Velocity!$A:$A,$A90,Velocity!$B:$B,$C90)/Assumptions!$B$4*Assumptions!$B$6</f>
        <v>0</v>
      </c>
      <c r="AN90" s="7" t="n">
        <f aca="false">SUMIFS(Doors!AZ:AZ,Doors!$A:$A,$D90,Doors!$B:$B,$B90,Doors!$C:$C,$C90)*SUMIFS(Velocity!$I:$I,Velocity!$A:$A,$A90,Velocity!$B:$B,$C90)/Assumptions!$B$4*Assumptions!$B$6</f>
        <v>0</v>
      </c>
      <c r="AO90" s="7" t="n">
        <f aca="false">SUMIFS(Doors!BA:BA,Doors!$A:$A,$D90,Doors!$B:$B,$B90,Doors!$C:$C,$C90)*SUMIFS(Velocity!$I:$I,Velocity!$A:$A,$A90,Velocity!$B:$B,$C90)/Assumptions!$B$4*Assumptions!$B$6</f>
        <v>0</v>
      </c>
      <c r="AP90" s="7" t="n">
        <f aca="false">SUMIFS(Doors!BB:BB,Doors!$A:$A,$D90,Doors!$B:$B,$B90,Doors!$C:$C,$C90)*SUMIFS(Velocity!$I:$I,Velocity!$A:$A,$A90,Velocity!$B:$B,$C90)/Assumptions!$B$4*Assumptions!$B$6</f>
        <v>0</v>
      </c>
      <c r="AQ90" s="7" t="n">
        <f aca="false">SUMIFS(Doors!BC:BC,Doors!$A:$A,$D90,Doors!$B:$B,$B90,Doors!$C:$C,$C90)*SUMIFS(Velocity!$I:$I,Velocity!$A:$A,$A90,Velocity!$B:$B,$C90)/Assumptions!$B$4*Assumptions!$B$6</f>
        <v>0</v>
      </c>
      <c r="AR90" s="7" t="n">
        <f aca="false">SUMIFS(Doors!BD:BD,Doors!$A:$A,$D90,Doors!$B:$B,$B90,Doors!$C:$C,$C90)*SUMIFS(Velocity!$I:$I,Velocity!$A:$A,$A90,Velocity!$B:$B,$C90)/Assumptions!$B$4*Assumptions!$B$6</f>
        <v>0</v>
      </c>
      <c r="AS90" s="7" t="n">
        <f aca="false">SUMIFS(Doors!BE:BE,Doors!$A:$A,$D90,Doors!$B:$B,$B90,Doors!$C:$C,$C90)*SUMIFS(Velocity!$I:$I,Velocity!$A:$A,$A90,Velocity!$B:$B,$C90)/Assumptions!$B$4*Assumptions!$B$6</f>
        <v>0</v>
      </c>
      <c r="AT90" s="7" t="n">
        <f aca="false">SUMIFS(Doors!BF:BF,Doors!$A:$A,$D90,Doors!$B:$B,$B90,Doors!$C:$C,$C90)*SUMIFS(Velocity!$I:$I,Velocity!$A:$A,$A90,Velocity!$B:$B,$C90)/Assumptions!$B$4*Assumptions!$B$6</f>
        <v>0</v>
      </c>
      <c r="AU90" s="7" t="n">
        <f aca="false">SUMIFS(Doors!BG:BG,Doors!$A:$A,$D90,Doors!$B:$B,$B90,Doors!$C:$C,$C90)*SUMIFS(Velocity!$I:$I,Velocity!$A:$A,$A90,Velocity!$B:$B,$C90)/Assumptions!$B$4*Assumptions!$B$6</f>
        <v>0</v>
      </c>
      <c r="AV90" s="7" t="n">
        <f aca="false">SUMIFS(Doors!BH:BH,Doors!$A:$A,$D90,Doors!$B:$B,$B90,Doors!$C:$C,$C90)*SUMIFS(Velocity!$I:$I,Velocity!$A:$A,$A90,Velocity!$B:$B,$C90)/Assumptions!$B$4*Assumptions!$B$6</f>
        <v>0</v>
      </c>
      <c r="AW90" s="7" t="n">
        <f aca="false">SUMIFS(Doors!BI:BI,Doors!$A:$A,$D90,Doors!$B:$B,$B90,Doors!$C:$C,$C90)*SUMIFS(Velocity!$I:$I,Velocity!$A:$A,$A90,Velocity!$B:$B,$C90)/Assumptions!$B$4*Assumptions!$B$6</f>
        <v>0</v>
      </c>
      <c r="AX90" s="7" t="n">
        <f aca="false">SUMIFS(Doors!BJ:BJ,Doors!$A:$A,$D90,Doors!$B:$B,$B90,Doors!$C:$C,$C90)*SUMIFS(Velocity!$I:$I,Velocity!$A:$A,$A90,Velocity!$B:$B,$C90)/Assumptions!$B$4*Assumptions!$B$6</f>
        <v>0</v>
      </c>
      <c r="AY90" s="7" t="n">
        <f aca="false">SUMIFS(Doors!BK:BK,Doors!$A:$A,$D90,Doors!$B:$B,$B90,Doors!$C:$C,$C90)*SUMIFS(Velocity!$I:$I,Velocity!$A:$A,$A90,Velocity!$B:$B,$C90)/Assumptions!$B$4*Assumptions!$B$6</f>
        <v>0</v>
      </c>
      <c r="AZ90" s="7" t="n">
        <f aca="false">SUMIFS(Doors!BL:BL,Doors!$A:$A,$D90,Doors!$B:$B,$B90,Doors!$C:$C,$C90)*SUMIFS(Velocity!$I:$I,Velocity!$A:$A,$A90,Velocity!$B:$B,$C90)/Assumptions!$B$4*Assumptions!$B$6</f>
        <v>0</v>
      </c>
      <c r="BA90" s="7" t="n">
        <f aca="false">SUMIFS(Doors!BM:BM,Doors!$A:$A,$D90,Doors!$B:$B,$B90,Doors!$C:$C,$C90)*SUMIFS(Velocity!$I:$I,Velocity!$A:$A,$A90,Velocity!$B:$B,$C90)/Assumptions!$B$4*Assumptions!$B$6</f>
        <v>0</v>
      </c>
      <c r="BB90" s="7" t="n">
        <f aca="false">SUMIFS(Doors!BN:BN,Doors!$A:$A,$D90,Doors!$B:$B,$B90,Doors!$C:$C,$C90)*SUMIFS(Velocity!$I:$I,Velocity!$A:$A,$A90,Velocity!$B:$B,$C90)/Assumptions!$B$4*Assumptions!$B$6</f>
        <v>0</v>
      </c>
      <c r="BC90" s="7" t="n">
        <f aca="false">SUMIFS(Doors!BO:BO,Doors!$A:$A,$D90,Doors!$B:$B,$B90,Doors!$C:$C,$C90)*SUMIFS(Velocity!$I:$I,Velocity!$A:$A,$A90,Velocity!$B:$B,$C90)/Assumptions!$B$4*Assumptions!$B$6</f>
        <v>0</v>
      </c>
      <c r="BD90" s="7" t="n">
        <f aca="false">SUMIFS(Doors!BP:BP,Doors!$A:$A,$D90,Doors!$B:$B,$B90,Doors!$C:$C,$C90)*SUMIFS(Velocity!$I:$I,Velocity!$A:$A,$A90,Velocity!$B:$B,$C90)/Assumptions!$B$4*Assumptions!$B$6</f>
        <v>0</v>
      </c>
    </row>
    <row r="91" customFormat="false" ht="15" hidden="false" customHeight="false" outlineLevel="0" collapsed="false">
      <c r="A91" s="0" t="s">
        <v>108</v>
      </c>
      <c r="B91" s="0" t="s">
        <v>135</v>
      </c>
      <c r="C91" s="0" t="s">
        <v>119</v>
      </c>
      <c r="D91" s="0" t="s">
        <v>235</v>
      </c>
      <c r="E91" s="7" t="n">
        <f aca="false">SUMIFS(Doors!Q:Q,Doors!$A:$A,$D91,Doors!$B:$B,$B91,Doors!$C:$C,$C91)*SUMIFS(Velocity!$I:$I,Velocity!$A:$A,$A91,Velocity!$B:$B,$C91)/Assumptions!$B$4*Assumptions!$B$6</f>
        <v>0.166666666666667</v>
      </c>
      <c r="F91" s="7" t="n">
        <f aca="false">SUMIFS(Doors!R:R,Doors!$A:$A,$D91,Doors!$B:$B,$B91,Doors!$C:$C,$C91)*SUMIFS(Velocity!$I:$I,Velocity!$A:$A,$A91,Velocity!$B:$B,$C91)/Assumptions!$B$4*Assumptions!$B$6</f>
        <v>0.166666666666667</v>
      </c>
      <c r="G91" s="7" t="n">
        <f aca="false">SUMIFS(Doors!S:S,Doors!$A:$A,$D91,Doors!$B:$B,$B91,Doors!$C:$C,$C91)*SUMIFS(Velocity!$I:$I,Velocity!$A:$A,$A91,Velocity!$B:$B,$C91)/Assumptions!$B$4*Assumptions!$B$6</f>
        <v>0.166666666666667</v>
      </c>
      <c r="H91" s="7" t="n">
        <f aca="false">SUMIFS(Doors!T:T,Doors!$A:$A,$D91,Doors!$B:$B,$B91,Doors!$C:$C,$C91)*SUMIFS(Velocity!$I:$I,Velocity!$A:$A,$A91,Velocity!$B:$B,$C91)/Assumptions!$B$4*Assumptions!$B$6</f>
        <v>0.166666666666667</v>
      </c>
      <c r="I91" s="7" t="n">
        <f aca="false">SUMIFS(Doors!U:U,Doors!$A:$A,$D91,Doors!$B:$B,$B91,Doors!$C:$C,$C91)*SUMIFS(Velocity!$I:$I,Velocity!$A:$A,$A91,Velocity!$B:$B,$C91)/Assumptions!$B$4*Assumptions!$B$6</f>
        <v>0.166666666666667</v>
      </c>
      <c r="J91" s="7" t="n">
        <f aca="false">SUMIFS(Doors!V:V,Doors!$A:$A,$D91,Doors!$B:$B,$B91,Doors!$C:$C,$C91)*SUMIFS(Velocity!$I:$I,Velocity!$A:$A,$A91,Velocity!$B:$B,$C91)/Assumptions!$B$4*Assumptions!$B$6</f>
        <v>0.166666666666667</v>
      </c>
      <c r="K91" s="7" t="n">
        <f aca="false">SUMIFS(Doors!W:W,Doors!$A:$A,$D91,Doors!$B:$B,$B91,Doors!$C:$C,$C91)*SUMIFS(Velocity!$I:$I,Velocity!$A:$A,$A91,Velocity!$B:$B,$C91)/Assumptions!$B$4*Assumptions!$B$6</f>
        <v>0.166666666666667</v>
      </c>
      <c r="L91" s="7" t="n">
        <f aca="false">SUMIFS(Doors!X:X,Doors!$A:$A,$D91,Doors!$B:$B,$B91,Doors!$C:$C,$C91)*SUMIFS(Velocity!$I:$I,Velocity!$A:$A,$A91,Velocity!$B:$B,$C91)/Assumptions!$B$4*Assumptions!$B$6</f>
        <v>0.166666666666667</v>
      </c>
      <c r="M91" s="7" t="n">
        <f aca="false">SUMIFS(Doors!Y:Y,Doors!$A:$A,$D91,Doors!$B:$B,$B91,Doors!$C:$C,$C91)*SUMIFS(Velocity!$I:$I,Velocity!$A:$A,$A91,Velocity!$B:$B,$C91)/Assumptions!$B$4*Assumptions!$B$6</f>
        <v>0.166666666666667</v>
      </c>
      <c r="N91" s="7" t="n">
        <f aca="false">SUMIFS(Doors!Z:Z,Doors!$A:$A,$D91,Doors!$B:$B,$B91,Doors!$C:$C,$C91)*SUMIFS(Velocity!$I:$I,Velocity!$A:$A,$A91,Velocity!$B:$B,$C91)/Assumptions!$B$4*Assumptions!$B$6</f>
        <v>0.333333333333333</v>
      </c>
      <c r="O91" s="7" t="n">
        <f aca="false">SUMIFS(Doors!AA:AA,Doors!$A:$A,$D91,Doors!$B:$B,$B91,Doors!$C:$C,$C91)*SUMIFS(Velocity!$I:$I,Velocity!$A:$A,$A91,Velocity!$B:$B,$C91)/Assumptions!$B$4*Assumptions!$B$6</f>
        <v>0.333333333333333</v>
      </c>
      <c r="P91" s="7" t="n">
        <f aca="false">SUMIFS(Doors!AB:AB,Doors!$A:$A,$D91,Doors!$B:$B,$B91,Doors!$C:$C,$C91)*SUMIFS(Velocity!$I:$I,Velocity!$A:$A,$A91,Velocity!$B:$B,$C91)/Assumptions!$B$4*Assumptions!$B$6</f>
        <v>0.333333333333333</v>
      </c>
      <c r="Q91" s="7" t="n">
        <f aca="false">SUMIFS(Doors!AC:AC,Doors!$A:$A,$D91,Doors!$B:$B,$B91,Doors!$C:$C,$C91)*SUMIFS(Velocity!$I:$I,Velocity!$A:$A,$A91,Velocity!$B:$B,$C91)/Assumptions!$B$4*Assumptions!$B$6</f>
        <v>0.333333333333333</v>
      </c>
      <c r="R91" s="7" t="n">
        <f aca="false">SUMIFS(Doors!AD:AD,Doors!$A:$A,$D91,Doors!$B:$B,$B91,Doors!$C:$C,$C91)*SUMIFS(Velocity!$I:$I,Velocity!$A:$A,$A91,Velocity!$B:$B,$C91)/Assumptions!$B$4*Assumptions!$B$6</f>
        <v>0.333333333333333</v>
      </c>
      <c r="S91" s="7" t="n">
        <f aca="false">SUMIFS(Doors!AE:AE,Doors!$A:$A,$D91,Doors!$B:$B,$B91,Doors!$C:$C,$C91)*SUMIFS(Velocity!$I:$I,Velocity!$A:$A,$A91,Velocity!$B:$B,$C91)/Assumptions!$B$4*Assumptions!$B$6</f>
        <v>0.333333333333333</v>
      </c>
      <c r="T91" s="7" t="n">
        <f aca="false">SUMIFS(Doors!AF:AF,Doors!$A:$A,$D91,Doors!$B:$B,$B91,Doors!$C:$C,$C91)*SUMIFS(Velocity!$I:$I,Velocity!$A:$A,$A91,Velocity!$B:$B,$C91)/Assumptions!$B$4*Assumptions!$B$6</f>
        <v>0.333333333333333</v>
      </c>
      <c r="U91" s="7" t="n">
        <f aca="false">SUMIFS(Doors!AG:AG,Doors!$A:$A,$D91,Doors!$B:$B,$B91,Doors!$C:$C,$C91)*SUMIFS(Velocity!$I:$I,Velocity!$A:$A,$A91,Velocity!$B:$B,$C91)/Assumptions!$B$4*Assumptions!$B$6</f>
        <v>0.333333333333333</v>
      </c>
      <c r="V91" s="7" t="n">
        <f aca="false">SUMIFS(Doors!AH:AH,Doors!$A:$A,$D91,Doors!$B:$B,$B91,Doors!$C:$C,$C91)*SUMIFS(Velocity!$I:$I,Velocity!$A:$A,$A91,Velocity!$B:$B,$C91)/Assumptions!$B$4*Assumptions!$B$6</f>
        <v>0.333333333333333</v>
      </c>
      <c r="W91" s="7" t="n">
        <f aca="false">SUMIFS(Doors!AI:AI,Doors!$A:$A,$D91,Doors!$B:$B,$B91,Doors!$C:$C,$C91)*SUMIFS(Velocity!$I:$I,Velocity!$A:$A,$A91,Velocity!$B:$B,$C91)/Assumptions!$B$4*Assumptions!$B$6</f>
        <v>0.5</v>
      </c>
      <c r="X91" s="7" t="n">
        <f aca="false">SUMIFS(Doors!AJ:AJ,Doors!$A:$A,$D91,Doors!$B:$B,$B91,Doors!$C:$C,$C91)*SUMIFS(Velocity!$I:$I,Velocity!$A:$A,$A91,Velocity!$B:$B,$C91)/Assumptions!$B$4*Assumptions!$B$6</f>
        <v>0.5</v>
      </c>
      <c r="Y91" s="7" t="n">
        <f aca="false">SUMIFS(Doors!AK:AK,Doors!$A:$A,$D91,Doors!$B:$B,$B91,Doors!$C:$C,$C91)*SUMIFS(Velocity!$I:$I,Velocity!$A:$A,$A91,Velocity!$B:$B,$C91)/Assumptions!$B$4*Assumptions!$B$6</f>
        <v>0.5</v>
      </c>
      <c r="Z91" s="7" t="n">
        <f aca="false">SUMIFS(Doors!AL:AL,Doors!$A:$A,$D91,Doors!$B:$B,$B91,Doors!$C:$C,$C91)*SUMIFS(Velocity!$I:$I,Velocity!$A:$A,$A91,Velocity!$B:$B,$C91)/Assumptions!$B$4*Assumptions!$B$6</f>
        <v>0.5</v>
      </c>
      <c r="AA91" s="7" t="n">
        <f aca="false">SUMIFS(Doors!AM:AM,Doors!$A:$A,$D91,Doors!$B:$B,$B91,Doors!$C:$C,$C91)*SUMIFS(Velocity!$I:$I,Velocity!$A:$A,$A91,Velocity!$B:$B,$C91)/Assumptions!$B$4*Assumptions!$B$6</f>
        <v>0.5</v>
      </c>
      <c r="AB91" s="7" t="n">
        <f aca="false">SUMIFS(Doors!AN:AN,Doors!$A:$A,$D91,Doors!$B:$B,$B91,Doors!$C:$C,$C91)*SUMIFS(Velocity!$I:$I,Velocity!$A:$A,$A91,Velocity!$B:$B,$C91)/Assumptions!$B$4*Assumptions!$B$6</f>
        <v>0.5</v>
      </c>
      <c r="AC91" s="7" t="n">
        <f aca="false">SUMIFS(Doors!AO:AO,Doors!$A:$A,$D91,Doors!$B:$B,$B91,Doors!$C:$C,$C91)*SUMIFS(Velocity!$I:$I,Velocity!$A:$A,$A91,Velocity!$B:$B,$C91)/Assumptions!$B$4*Assumptions!$B$6</f>
        <v>0.5</v>
      </c>
      <c r="AD91" s="7" t="n">
        <f aca="false">SUMIFS(Doors!AP:AP,Doors!$A:$A,$D91,Doors!$B:$B,$B91,Doors!$C:$C,$C91)*SUMIFS(Velocity!$I:$I,Velocity!$A:$A,$A91,Velocity!$B:$B,$C91)/Assumptions!$B$4*Assumptions!$B$6</f>
        <v>0.5</v>
      </c>
      <c r="AE91" s="7" t="n">
        <f aca="false">SUMIFS(Doors!AQ:AQ,Doors!$A:$A,$D91,Doors!$B:$B,$B91,Doors!$C:$C,$C91)*SUMIFS(Velocity!$I:$I,Velocity!$A:$A,$A91,Velocity!$B:$B,$C91)/Assumptions!$B$4*Assumptions!$B$6</f>
        <v>0.666666666666667</v>
      </c>
      <c r="AF91" s="7" t="n">
        <f aca="false">SUMIFS(Doors!AR:AR,Doors!$A:$A,$D91,Doors!$B:$B,$B91,Doors!$C:$C,$C91)*SUMIFS(Velocity!$I:$I,Velocity!$A:$A,$A91,Velocity!$B:$B,$C91)/Assumptions!$B$4*Assumptions!$B$6</f>
        <v>0.666666666666667</v>
      </c>
      <c r="AG91" s="7" t="n">
        <f aca="false">SUMIFS(Doors!AS:AS,Doors!$A:$A,$D91,Doors!$B:$B,$B91,Doors!$C:$C,$C91)*SUMIFS(Velocity!$I:$I,Velocity!$A:$A,$A91,Velocity!$B:$B,$C91)/Assumptions!$B$4*Assumptions!$B$6</f>
        <v>0.666666666666667</v>
      </c>
      <c r="AH91" s="7" t="n">
        <f aca="false">SUMIFS(Doors!AT:AT,Doors!$A:$A,$D91,Doors!$B:$B,$B91,Doors!$C:$C,$C91)*SUMIFS(Velocity!$I:$I,Velocity!$A:$A,$A91,Velocity!$B:$B,$C91)/Assumptions!$B$4*Assumptions!$B$6</f>
        <v>0.666666666666667</v>
      </c>
      <c r="AI91" s="7" t="n">
        <f aca="false">SUMIFS(Doors!AU:AU,Doors!$A:$A,$D91,Doors!$B:$B,$B91,Doors!$C:$C,$C91)*SUMIFS(Velocity!$I:$I,Velocity!$A:$A,$A91,Velocity!$B:$B,$C91)/Assumptions!$B$4*Assumptions!$B$6</f>
        <v>0.666666666666667</v>
      </c>
      <c r="AJ91" s="7" t="n">
        <f aca="false">SUMIFS(Doors!AV:AV,Doors!$A:$A,$D91,Doors!$B:$B,$B91,Doors!$C:$C,$C91)*SUMIFS(Velocity!$I:$I,Velocity!$A:$A,$A91,Velocity!$B:$B,$C91)/Assumptions!$B$4*Assumptions!$B$6</f>
        <v>0.666666666666667</v>
      </c>
      <c r="AK91" s="7" t="n">
        <f aca="false">SUMIFS(Doors!AW:AW,Doors!$A:$A,$D91,Doors!$B:$B,$B91,Doors!$C:$C,$C91)*SUMIFS(Velocity!$I:$I,Velocity!$A:$A,$A91,Velocity!$B:$B,$C91)/Assumptions!$B$4*Assumptions!$B$6</f>
        <v>0.666666666666667</v>
      </c>
      <c r="AL91" s="7" t="n">
        <f aca="false">SUMIFS(Doors!AX:AX,Doors!$A:$A,$D91,Doors!$B:$B,$B91,Doors!$C:$C,$C91)*SUMIFS(Velocity!$I:$I,Velocity!$A:$A,$A91,Velocity!$B:$B,$C91)/Assumptions!$B$4*Assumptions!$B$6</f>
        <v>0.666666666666667</v>
      </c>
      <c r="AM91" s="7" t="n">
        <f aca="false">SUMIFS(Doors!AY:AY,Doors!$A:$A,$D91,Doors!$B:$B,$B91,Doors!$C:$C,$C91)*SUMIFS(Velocity!$I:$I,Velocity!$A:$A,$A91,Velocity!$B:$B,$C91)/Assumptions!$B$4*Assumptions!$B$6</f>
        <v>0.666666666666667</v>
      </c>
      <c r="AN91" s="7" t="n">
        <f aca="false">SUMIFS(Doors!AZ:AZ,Doors!$A:$A,$D91,Doors!$B:$B,$B91,Doors!$C:$C,$C91)*SUMIFS(Velocity!$I:$I,Velocity!$A:$A,$A91,Velocity!$B:$B,$C91)/Assumptions!$B$4*Assumptions!$B$6</f>
        <v>0.666666666666667</v>
      </c>
      <c r="AO91" s="7" t="n">
        <f aca="false">SUMIFS(Doors!BA:BA,Doors!$A:$A,$D91,Doors!$B:$B,$B91,Doors!$C:$C,$C91)*SUMIFS(Velocity!$I:$I,Velocity!$A:$A,$A91,Velocity!$B:$B,$C91)/Assumptions!$B$4*Assumptions!$B$6</f>
        <v>0.666666666666667</v>
      </c>
      <c r="AP91" s="7" t="n">
        <f aca="false">SUMIFS(Doors!BB:BB,Doors!$A:$A,$D91,Doors!$B:$B,$B91,Doors!$C:$C,$C91)*SUMIFS(Velocity!$I:$I,Velocity!$A:$A,$A91,Velocity!$B:$B,$C91)/Assumptions!$B$4*Assumptions!$B$6</f>
        <v>0.666666666666667</v>
      </c>
      <c r="AQ91" s="7" t="n">
        <f aca="false">SUMIFS(Doors!BC:BC,Doors!$A:$A,$D91,Doors!$B:$B,$B91,Doors!$C:$C,$C91)*SUMIFS(Velocity!$I:$I,Velocity!$A:$A,$A91,Velocity!$B:$B,$C91)/Assumptions!$B$4*Assumptions!$B$6</f>
        <v>0.666666666666667</v>
      </c>
      <c r="AR91" s="7" t="n">
        <f aca="false">SUMIFS(Doors!BD:BD,Doors!$A:$A,$D91,Doors!$B:$B,$B91,Doors!$C:$C,$C91)*SUMIFS(Velocity!$I:$I,Velocity!$A:$A,$A91,Velocity!$B:$B,$C91)/Assumptions!$B$4*Assumptions!$B$6</f>
        <v>0.833333333333333</v>
      </c>
      <c r="AS91" s="7" t="n">
        <f aca="false">SUMIFS(Doors!BE:BE,Doors!$A:$A,$D91,Doors!$B:$B,$B91,Doors!$C:$C,$C91)*SUMIFS(Velocity!$I:$I,Velocity!$A:$A,$A91,Velocity!$B:$B,$C91)/Assumptions!$B$4*Assumptions!$B$6</f>
        <v>0.833333333333333</v>
      </c>
      <c r="AT91" s="7" t="n">
        <f aca="false">SUMIFS(Doors!BF:BF,Doors!$A:$A,$D91,Doors!$B:$B,$B91,Doors!$C:$C,$C91)*SUMIFS(Velocity!$I:$I,Velocity!$A:$A,$A91,Velocity!$B:$B,$C91)/Assumptions!$B$4*Assumptions!$B$6</f>
        <v>0.833333333333333</v>
      </c>
      <c r="AU91" s="7" t="n">
        <f aca="false">SUMIFS(Doors!BG:BG,Doors!$A:$A,$D91,Doors!$B:$B,$B91,Doors!$C:$C,$C91)*SUMIFS(Velocity!$I:$I,Velocity!$A:$A,$A91,Velocity!$B:$B,$C91)/Assumptions!$B$4*Assumptions!$B$6</f>
        <v>0.833333333333333</v>
      </c>
      <c r="AV91" s="7" t="n">
        <f aca="false">SUMIFS(Doors!BH:BH,Doors!$A:$A,$D91,Doors!$B:$B,$B91,Doors!$C:$C,$C91)*SUMIFS(Velocity!$I:$I,Velocity!$A:$A,$A91,Velocity!$B:$B,$C91)/Assumptions!$B$4*Assumptions!$B$6</f>
        <v>0.833333333333333</v>
      </c>
      <c r="AW91" s="7" t="n">
        <f aca="false">SUMIFS(Doors!BI:BI,Doors!$A:$A,$D91,Doors!$B:$B,$B91,Doors!$C:$C,$C91)*SUMIFS(Velocity!$I:$I,Velocity!$A:$A,$A91,Velocity!$B:$B,$C91)/Assumptions!$B$4*Assumptions!$B$6</f>
        <v>0.833333333333333</v>
      </c>
      <c r="AX91" s="7" t="n">
        <f aca="false">SUMIFS(Doors!BJ:BJ,Doors!$A:$A,$D91,Doors!$B:$B,$B91,Doors!$C:$C,$C91)*SUMIFS(Velocity!$I:$I,Velocity!$A:$A,$A91,Velocity!$B:$B,$C91)/Assumptions!$B$4*Assumptions!$B$6</f>
        <v>0.833333333333333</v>
      </c>
      <c r="AY91" s="7" t="n">
        <f aca="false">SUMIFS(Doors!BK:BK,Doors!$A:$A,$D91,Doors!$B:$B,$B91,Doors!$C:$C,$C91)*SUMIFS(Velocity!$I:$I,Velocity!$A:$A,$A91,Velocity!$B:$B,$C91)/Assumptions!$B$4*Assumptions!$B$6</f>
        <v>0.833333333333333</v>
      </c>
      <c r="AZ91" s="7" t="n">
        <f aca="false">SUMIFS(Doors!BL:BL,Doors!$A:$A,$D91,Doors!$B:$B,$B91,Doors!$C:$C,$C91)*SUMIFS(Velocity!$I:$I,Velocity!$A:$A,$A91,Velocity!$B:$B,$C91)/Assumptions!$B$4*Assumptions!$B$6</f>
        <v>0.833333333333333</v>
      </c>
      <c r="BA91" s="7" t="n">
        <f aca="false">SUMIFS(Doors!BM:BM,Doors!$A:$A,$D91,Doors!$B:$B,$B91,Doors!$C:$C,$C91)*SUMIFS(Velocity!$I:$I,Velocity!$A:$A,$A91,Velocity!$B:$B,$C91)/Assumptions!$B$4*Assumptions!$B$6</f>
        <v>0.833333333333333</v>
      </c>
      <c r="BB91" s="7" t="n">
        <f aca="false">SUMIFS(Doors!BN:BN,Doors!$A:$A,$D91,Doors!$B:$B,$B91,Doors!$C:$C,$C91)*SUMIFS(Velocity!$I:$I,Velocity!$A:$A,$A91,Velocity!$B:$B,$C91)/Assumptions!$B$4*Assumptions!$B$6</f>
        <v>0.833333333333333</v>
      </c>
      <c r="BC91" s="7" t="n">
        <f aca="false">SUMIFS(Doors!BO:BO,Doors!$A:$A,$D91,Doors!$B:$B,$B91,Doors!$C:$C,$C91)*SUMIFS(Velocity!$I:$I,Velocity!$A:$A,$A91,Velocity!$B:$B,$C91)/Assumptions!$B$4*Assumptions!$B$6</f>
        <v>0.833333333333333</v>
      </c>
      <c r="BD91" s="7" t="n">
        <f aca="false">SUMIFS(Doors!BP:BP,Doors!$A:$A,$D91,Doors!$B:$B,$B91,Doors!$C:$C,$C91)*SUMIFS(Velocity!$I:$I,Velocity!$A:$A,$A91,Velocity!$B:$B,$C91)/Assumptions!$B$4*Assumptions!$B$6</f>
        <v>0.833333333333333</v>
      </c>
    </row>
    <row r="92" customFormat="false" ht="15" hidden="false" customHeight="false" outlineLevel="0" collapsed="false">
      <c r="A92" s="0" t="s">
        <v>108</v>
      </c>
      <c r="B92" s="0" t="s">
        <v>135</v>
      </c>
      <c r="C92" s="0" t="s">
        <v>120</v>
      </c>
      <c r="D92" s="0" t="s">
        <v>235</v>
      </c>
      <c r="E92" s="7" t="n">
        <f aca="false">SUMIFS(Doors!Q:Q,Doors!$A:$A,$D92,Doors!$B:$B,$B92,Doors!$C:$C,$C92)*SUMIFS(Velocity!$I:$I,Velocity!$A:$A,$A92,Velocity!$B:$B,$C92)/Assumptions!$B$4*Assumptions!$B$6</f>
        <v>0.197916666666667</v>
      </c>
      <c r="F92" s="7" t="n">
        <f aca="false">SUMIFS(Doors!R:R,Doors!$A:$A,$D92,Doors!$B:$B,$B92,Doors!$C:$C,$C92)*SUMIFS(Velocity!$I:$I,Velocity!$A:$A,$A92,Velocity!$B:$B,$C92)/Assumptions!$B$4*Assumptions!$B$6</f>
        <v>0.197916666666667</v>
      </c>
      <c r="G92" s="7" t="n">
        <f aca="false">SUMIFS(Doors!S:S,Doors!$A:$A,$D92,Doors!$B:$B,$B92,Doors!$C:$C,$C92)*SUMIFS(Velocity!$I:$I,Velocity!$A:$A,$A92,Velocity!$B:$B,$C92)/Assumptions!$B$4*Assumptions!$B$6</f>
        <v>0.197916666666667</v>
      </c>
      <c r="H92" s="7" t="n">
        <f aca="false">SUMIFS(Doors!T:T,Doors!$A:$A,$D92,Doors!$B:$B,$B92,Doors!$C:$C,$C92)*SUMIFS(Velocity!$I:$I,Velocity!$A:$A,$A92,Velocity!$B:$B,$C92)/Assumptions!$B$4*Assumptions!$B$6</f>
        <v>0.197916666666667</v>
      </c>
      <c r="I92" s="7" t="n">
        <f aca="false">SUMIFS(Doors!U:U,Doors!$A:$A,$D92,Doors!$B:$B,$B92,Doors!$C:$C,$C92)*SUMIFS(Velocity!$I:$I,Velocity!$A:$A,$A92,Velocity!$B:$B,$C92)/Assumptions!$B$4*Assumptions!$B$6</f>
        <v>0.197916666666667</v>
      </c>
      <c r="J92" s="7" t="n">
        <f aca="false">SUMIFS(Doors!V:V,Doors!$A:$A,$D92,Doors!$B:$B,$B92,Doors!$C:$C,$C92)*SUMIFS(Velocity!$I:$I,Velocity!$A:$A,$A92,Velocity!$B:$B,$C92)/Assumptions!$B$4*Assumptions!$B$6</f>
        <v>0.395833333333333</v>
      </c>
      <c r="K92" s="7" t="n">
        <f aca="false">SUMIFS(Doors!W:W,Doors!$A:$A,$D92,Doors!$B:$B,$B92,Doors!$C:$C,$C92)*SUMIFS(Velocity!$I:$I,Velocity!$A:$A,$A92,Velocity!$B:$B,$C92)/Assumptions!$B$4*Assumptions!$B$6</f>
        <v>0.395833333333333</v>
      </c>
      <c r="L92" s="7" t="n">
        <f aca="false">SUMIFS(Doors!X:X,Doors!$A:$A,$D92,Doors!$B:$B,$B92,Doors!$C:$C,$C92)*SUMIFS(Velocity!$I:$I,Velocity!$A:$A,$A92,Velocity!$B:$B,$C92)/Assumptions!$B$4*Assumptions!$B$6</f>
        <v>0.395833333333333</v>
      </c>
      <c r="M92" s="7" t="n">
        <f aca="false">SUMIFS(Doors!Y:Y,Doors!$A:$A,$D92,Doors!$B:$B,$B92,Doors!$C:$C,$C92)*SUMIFS(Velocity!$I:$I,Velocity!$A:$A,$A92,Velocity!$B:$B,$C92)/Assumptions!$B$4*Assumptions!$B$6</f>
        <v>0.395833333333333</v>
      </c>
      <c r="N92" s="7" t="n">
        <f aca="false">SUMIFS(Doors!Z:Z,Doors!$A:$A,$D92,Doors!$B:$B,$B92,Doors!$C:$C,$C92)*SUMIFS(Velocity!$I:$I,Velocity!$A:$A,$A92,Velocity!$B:$B,$C92)/Assumptions!$B$4*Assumptions!$B$6</f>
        <v>0.395833333333333</v>
      </c>
      <c r="O92" s="7" t="n">
        <f aca="false">SUMIFS(Doors!AA:AA,Doors!$A:$A,$D92,Doors!$B:$B,$B92,Doors!$C:$C,$C92)*SUMIFS(Velocity!$I:$I,Velocity!$A:$A,$A92,Velocity!$B:$B,$C92)/Assumptions!$B$4*Assumptions!$B$6</f>
        <v>0.395833333333333</v>
      </c>
      <c r="P92" s="7" t="n">
        <f aca="false">SUMIFS(Doors!AB:AB,Doors!$A:$A,$D92,Doors!$B:$B,$B92,Doors!$C:$C,$C92)*SUMIFS(Velocity!$I:$I,Velocity!$A:$A,$A92,Velocity!$B:$B,$C92)/Assumptions!$B$4*Assumptions!$B$6</f>
        <v>0.395833333333333</v>
      </c>
      <c r="Q92" s="7" t="n">
        <f aca="false">SUMIFS(Doors!AC:AC,Doors!$A:$A,$D92,Doors!$B:$B,$B92,Doors!$C:$C,$C92)*SUMIFS(Velocity!$I:$I,Velocity!$A:$A,$A92,Velocity!$B:$B,$C92)/Assumptions!$B$4*Assumptions!$B$6</f>
        <v>0.395833333333333</v>
      </c>
      <c r="R92" s="7" t="n">
        <f aca="false">SUMIFS(Doors!AD:AD,Doors!$A:$A,$D92,Doors!$B:$B,$B92,Doors!$C:$C,$C92)*SUMIFS(Velocity!$I:$I,Velocity!$A:$A,$A92,Velocity!$B:$B,$C92)/Assumptions!$B$4*Assumptions!$B$6</f>
        <v>0.59375</v>
      </c>
      <c r="S92" s="7" t="n">
        <f aca="false">SUMIFS(Doors!AE:AE,Doors!$A:$A,$D92,Doors!$B:$B,$B92,Doors!$C:$C,$C92)*SUMIFS(Velocity!$I:$I,Velocity!$A:$A,$A92,Velocity!$B:$B,$C92)/Assumptions!$B$4*Assumptions!$B$6</f>
        <v>0.59375</v>
      </c>
      <c r="T92" s="7" t="n">
        <f aca="false">SUMIFS(Doors!AF:AF,Doors!$A:$A,$D92,Doors!$B:$B,$B92,Doors!$C:$C,$C92)*SUMIFS(Velocity!$I:$I,Velocity!$A:$A,$A92,Velocity!$B:$B,$C92)/Assumptions!$B$4*Assumptions!$B$6</f>
        <v>0.59375</v>
      </c>
      <c r="U92" s="7" t="n">
        <f aca="false">SUMIFS(Doors!AG:AG,Doors!$A:$A,$D92,Doors!$B:$B,$B92,Doors!$C:$C,$C92)*SUMIFS(Velocity!$I:$I,Velocity!$A:$A,$A92,Velocity!$B:$B,$C92)/Assumptions!$B$4*Assumptions!$B$6</f>
        <v>0.59375</v>
      </c>
      <c r="V92" s="7" t="n">
        <f aca="false">SUMIFS(Doors!AH:AH,Doors!$A:$A,$D92,Doors!$B:$B,$B92,Doors!$C:$C,$C92)*SUMIFS(Velocity!$I:$I,Velocity!$A:$A,$A92,Velocity!$B:$B,$C92)/Assumptions!$B$4*Assumptions!$B$6</f>
        <v>0.59375</v>
      </c>
      <c r="W92" s="7" t="n">
        <f aca="false">SUMIFS(Doors!AI:AI,Doors!$A:$A,$D92,Doors!$B:$B,$B92,Doors!$C:$C,$C92)*SUMIFS(Velocity!$I:$I,Velocity!$A:$A,$A92,Velocity!$B:$B,$C92)/Assumptions!$B$4*Assumptions!$B$6</f>
        <v>0.59375</v>
      </c>
      <c r="X92" s="7" t="n">
        <f aca="false">SUMIFS(Doors!AJ:AJ,Doors!$A:$A,$D92,Doors!$B:$B,$B92,Doors!$C:$C,$C92)*SUMIFS(Velocity!$I:$I,Velocity!$A:$A,$A92,Velocity!$B:$B,$C92)/Assumptions!$B$4*Assumptions!$B$6</f>
        <v>0.59375</v>
      </c>
      <c r="Y92" s="7" t="n">
        <f aca="false">SUMIFS(Doors!AK:AK,Doors!$A:$A,$D92,Doors!$B:$B,$B92,Doors!$C:$C,$C92)*SUMIFS(Velocity!$I:$I,Velocity!$A:$A,$A92,Velocity!$B:$B,$C92)/Assumptions!$B$4*Assumptions!$B$6</f>
        <v>0.59375</v>
      </c>
      <c r="Z92" s="7" t="n">
        <f aca="false">SUMIFS(Doors!AL:AL,Doors!$A:$A,$D92,Doors!$B:$B,$B92,Doors!$C:$C,$C92)*SUMIFS(Velocity!$I:$I,Velocity!$A:$A,$A92,Velocity!$B:$B,$C92)/Assumptions!$B$4*Assumptions!$B$6</f>
        <v>0.59375</v>
      </c>
      <c r="AA92" s="7" t="n">
        <f aca="false">SUMIFS(Doors!AM:AM,Doors!$A:$A,$D92,Doors!$B:$B,$B92,Doors!$C:$C,$C92)*SUMIFS(Velocity!$I:$I,Velocity!$A:$A,$A92,Velocity!$B:$B,$C92)/Assumptions!$B$4*Assumptions!$B$6</f>
        <v>0.791666666666667</v>
      </c>
      <c r="AB92" s="7" t="n">
        <f aca="false">SUMIFS(Doors!AN:AN,Doors!$A:$A,$D92,Doors!$B:$B,$B92,Doors!$C:$C,$C92)*SUMIFS(Velocity!$I:$I,Velocity!$A:$A,$A92,Velocity!$B:$B,$C92)/Assumptions!$B$4*Assumptions!$B$6</f>
        <v>0.791666666666667</v>
      </c>
      <c r="AC92" s="7" t="n">
        <f aca="false">SUMIFS(Doors!AO:AO,Doors!$A:$A,$D92,Doors!$B:$B,$B92,Doors!$C:$C,$C92)*SUMIFS(Velocity!$I:$I,Velocity!$A:$A,$A92,Velocity!$B:$B,$C92)/Assumptions!$B$4*Assumptions!$B$6</f>
        <v>0.791666666666667</v>
      </c>
      <c r="AD92" s="7" t="n">
        <f aca="false">SUMIFS(Doors!AP:AP,Doors!$A:$A,$D92,Doors!$B:$B,$B92,Doors!$C:$C,$C92)*SUMIFS(Velocity!$I:$I,Velocity!$A:$A,$A92,Velocity!$B:$B,$C92)/Assumptions!$B$4*Assumptions!$B$6</f>
        <v>0.791666666666667</v>
      </c>
      <c r="AE92" s="7" t="n">
        <f aca="false">SUMIFS(Doors!AQ:AQ,Doors!$A:$A,$D92,Doors!$B:$B,$B92,Doors!$C:$C,$C92)*SUMIFS(Velocity!$I:$I,Velocity!$A:$A,$A92,Velocity!$B:$B,$C92)/Assumptions!$B$4*Assumptions!$B$6</f>
        <v>0.791666666666667</v>
      </c>
      <c r="AF92" s="7" t="n">
        <f aca="false">SUMIFS(Doors!AR:AR,Doors!$A:$A,$D92,Doors!$B:$B,$B92,Doors!$C:$C,$C92)*SUMIFS(Velocity!$I:$I,Velocity!$A:$A,$A92,Velocity!$B:$B,$C92)/Assumptions!$B$4*Assumptions!$B$6</f>
        <v>0.791666666666667</v>
      </c>
      <c r="AG92" s="7" t="n">
        <f aca="false">SUMIFS(Doors!AS:AS,Doors!$A:$A,$D92,Doors!$B:$B,$B92,Doors!$C:$C,$C92)*SUMIFS(Velocity!$I:$I,Velocity!$A:$A,$A92,Velocity!$B:$B,$C92)/Assumptions!$B$4*Assumptions!$B$6</f>
        <v>0.791666666666667</v>
      </c>
      <c r="AH92" s="7" t="n">
        <f aca="false">SUMIFS(Doors!AT:AT,Doors!$A:$A,$D92,Doors!$B:$B,$B92,Doors!$C:$C,$C92)*SUMIFS(Velocity!$I:$I,Velocity!$A:$A,$A92,Velocity!$B:$B,$C92)/Assumptions!$B$4*Assumptions!$B$6</f>
        <v>0.791666666666667</v>
      </c>
      <c r="AI92" s="7" t="n">
        <f aca="false">SUMIFS(Doors!AU:AU,Doors!$A:$A,$D92,Doors!$B:$B,$B92,Doors!$C:$C,$C92)*SUMIFS(Velocity!$I:$I,Velocity!$A:$A,$A92,Velocity!$B:$B,$C92)/Assumptions!$B$4*Assumptions!$B$6</f>
        <v>0.791666666666667</v>
      </c>
      <c r="AJ92" s="7" t="n">
        <f aca="false">SUMIFS(Doors!AV:AV,Doors!$A:$A,$D92,Doors!$B:$B,$B92,Doors!$C:$C,$C92)*SUMIFS(Velocity!$I:$I,Velocity!$A:$A,$A92,Velocity!$B:$B,$C92)/Assumptions!$B$4*Assumptions!$B$6</f>
        <v>0.989583333333333</v>
      </c>
      <c r="AK92" s="7" t="n">
        <f aca="false">SUMIFS(Doors!AW:AW,Doors!$A:$A,$D92,Doors!$B:$B,$B92,Doors!$C:$C,$C92)*SUMIFS(Velocity!$I:$I,Velocity!$A:$A,$A92,Velocity!$B:$B,$C92)/Assumptions!$B$4*Assumptions!$B$6</f>
        <v>0.989583333333333</v>
      </c>
      <c r="AL92" s="7" t="n">
        <f aca="false">SUMIFS(Doors!AX:AX,Doors!$A:$A,$D92,Doors!$B:$B,$B92,Doors!$C:$C,$C92)*SUMIFS(Velocity!$I:$I,Velocity!$A:$A,$A92,Velocity!$B:$B,$C92)/Assumptions!$B$4*Assumptions!$B$6</f>
        <v>0.989583333333333</v>
      </c>
      <c r="AM92" s="7" t="n">
        <f aca="false">SUMIFS(Doors!AY:AY,Doors!$A:$A,$D92,Doors!$B:$B,$B92,Doors!$C:$C,$C92)*SUMIFS(Velocity!$I:$I,Velocity!$A:$A,$A92,Velocity!$B:$B,$C92)/Assumptions!$B$4*Assumptions!$B$6</f>
        <v>0.989583333333333</v>
      </c>
      <c r="AN92" s="7" t="n">
        <f aca="false">SUMIFS(Doors!AZ:AZ,Doors!$A:$A,$D92,Doors!$B:$B,$B92,Doors!$C:$C,$C92)*SUMIFS(Velocity!$I:$I,Velocity!$A:$A,$A92,Velocity!$B:$B,$C92)/Assumptions!$B$4*Assumptions!$B$6</f>
        <v>0.989583333333333</v>
      </c>
      <c r="AO92" s="7" t="n">
        <f aca="false">SUMIFS(Doors!BA:BA,Doors!$A:$A,$D92,Doors!$B:$B,$B92,Doors!$C:$C,$C92)*SUMIFS(Velocity!$I:$I,Velocity!$A:$A,$A92,Velocity!$B:$B,$C92)/Assumptions!$B$4*Assumptions!$B$6</f>
        <v>0.989583333333333</v>
      </c>
      <c r="AP92" s="7" t="n">
        <f aca="false">SUMIFS(Doors!BB:BB,Doors!$A:$A,$D92,Doors!$B:$B,$B92,Doors!$C:$C,$C92)*SUMIFS(Velocity!$I:$I,Velocity!$A:$A,$A92,Velocity!$B:$B,$C92)/Assumptions!$B$4*Assumptions!$B$6</f>
        <v>0.989583333333333</v>
      </c>
      <c r="AQ92" s="7" t="n">
        <f aca="false">SUMIFS(Doors!BC:BC,Doors!$A:$A,$D92,Doors!$B:$B,$B92,Doors!$C:$C,$C92)*SUMIFS(Velocity!$I:$I,Velocity!$A:$A,$A92,Velocity!$B:$B,$C92)/Assumptions!$B$4*Assumptions!$B$6</f>
        <v>0.989583333333333</v>
      </c>
      <c r="AR92" s="7" t="n">
        <f aca="false">SUMIFS(Doors!BD:BD,Doors!$A:$A,$D92,Doors!$B:$B,$B92,Doors!$C:$C,$C92)*SUMIFS(Velocity!$I:$I,Velocity!$A:$A,$A92,Velocity!$B:$B,$C92)/Assumptions!$B$4*Assumptions!$B$6</f>
        <v>0.989583333333333</v>
      </c>
      <c r="AS92" s="7" t="n">
        <f aca="false">SUMIFS(Doors!BE:BE,Doors!$A:$A,$D92,Doors!$B:$B,$B92,Doors!$C:$C,$C92)*SUMIFS(Velocity!$I:$I,Velocity!$A:$A,$A92,Velocity!$B:$B,$C92)/Assumptions!$B$4*Assumptions!$B$6</f>
        <v>0.989583333333333</v>
      </c>
      <c r="AT92" s="7" t="n">
        <f aca="false">SUMIFS(Doors!BF:BF,Doors!$A:$A,$D92,Doors!$B:$B,$B92,Doors!$C:$C,$C92)*SUMIFS(Velocity!$I:$I,Velocity!$A:$A,$A92,Velocity!$B:$B,$C92)/Assumptions!$B$4*Assumptions!$B$6</f>
        <v>0.989583333333333</v>
      </c>
      <c r="AU92" s="7" t="n">
        <f aca="false">SUMIFS(Doors!BG:BG,Doors!$A:$A,$D92,Doors!$B:$B,$B92,Doors!$C:$C,$C92)*SUMIFS(Velocity!$I:$I,Velocity!$A:$A,$A92,Velocity!$B:$B,$C92)/Assumptions!$B$4*Assumptions!$B$6</f>
        <v>0.989583333333333</v>
      </c>
      <c r="AV92" s="7" t="n">
        <f aca="false">SUMIFS(Doors!BH:BH,Doors!$A:$A,$D92,Doors!$B:$B,$B92,Doors!$C:$C,$C92)*SUMIFS(Velocity!$I:$I,Velocity!$A:$A,$A92,Velocity!$B:$B,$C92)/Assumptions!$B$4*Assumptions!$B$6</f>
        <v>0.989583333333333</v>
      </c>
      <c r="AW92" s="7" t="n">
        <f aca="false">SUMIFS(Doors!BI:BI,Doors!$A:$A,$D92,Doors!$B:$B,$B92,Doors!$C:$C,$C92)*SUMIFS(Velocity!$I:$I,Velocity!$A:$A,$A92,Velocity!$B:$B,$C92)/Assumptions!$B$4*Assumptions!$B$6</f>
        <v>0.989583333333333</v>
      </c>
      <c r="AX92" s="7" t="n">
        <f aca="false">SUMIFS(Doors!BJ:BJ,Doors!$A:$A,$D92,Doors!$B:$B,$B92,Doors!$C:$C,$C92)*SUMIFS(Velocity!$I:$I,Velocity!$A:$A,$A92,Velocity!$B:$B,$C92)/Assumptions!$B$4*Assumptions!$B$6</f>
        <v>0.989583333333333</v>
      </c>
      <c r="AY92" s="7" t="n">
        <f aca="false">SUMIFS(Doors!BK:BK,Doors!$A:$A,$D92,Doors!$B:$B,$B92,Doors!$C:$C,$C92)*SUMIFS(Velocity!$I:$I,Velocity!$A:$A,$A92,Velocity!$B:$B,$C92)/Assumptions!$B$4*Assumptions!$B$6</f>
        <v>0.989583333333333</v>
      </c>
      <c r="AZ92" s="7" t="n">
        <f aca="false">SUMIFS(Doors!BL:BL,Doors!$A:$A,$D92,Doors!$B:$B,$B92,Doors!$C:$C,$C92)*SUMIFS(Velocity!$I:$I,Velocity!$A:$A,$A92,Velocity!$B:$B,$C92)/Assumptions!$B$4*Assumptions!$B$6</f>
        <v>0.989583333333333</v>
      </c>
      <c r="BA92" s="7" t="n">
        <f aca="false">SUMIFS(Doors!BM:BM,Doors!$A:$A,$D92,Doors!$B:$B,$B92,Doors!$C:$C,$C92)*SUMIFS(Velocity!$I:$I,Velocity!$A:$A,$A92,Velocity!$B:$B,$C92)/Assumptions!$B$4*Assumptions!$B$6</f>
        <v>0.989583333333333</v>
      </c>
      <c r="BB92" s="7" t="n">
        <f aca="false">SUMIFS(Doors!BN:BN,Doors!$A:$A,$D92,Doors!$B:$B,$B92,Doors!$C:$C,$C92)*SUMIFS(Velocity!$I:$I,Velocity!$A:$A,$A92,Velocity!$B:$B,$C92)/Assumptions!$B$4*Assumptions!$B$6</f>
        <v>0.989583333333333</v>
      </c>
      <c r="BC92" s="7" t="n">
        <f aca="false">SUMIFS(Doors!BO:BO,Doors!$A:$A,$D92,Doors!$B:$B,$B92,Doors!$C:$C,$C92)*SUMIFS(Velocity!$I:$I,Velocity!$A:$A,$A92,Velocity!$B:$B,$C92)/Assumptions!$B$4*Assumptions!$B$6</f>
        <v>0.989583333333333</v>
      </c>
      <c r="BD92" s="7" t="n">
        <f aca="false">SUMIFS(Doors!BP:BP,Doors!$A:$A,$D92,Doors!$B:$B,$B92,Doors!$C:$C,$C92)*SUMIFS(Velocity!$I:$I,Velocity!$A:$A,$A92,Velocity!$B:$B,$C92)/Assumptions!$B$4*Assumptions!$B$6</f>
        <v>0.989583333333333</v>
      </c>
    </row>
    <row r="93" customFormat="false" ht="15" hidden="false" customHeight="false" outlineLevel="0" collapsed="false">
      <c r="A93" s="0" t="s">
        <v>108</v>
      </c>
      <c r="B93" s="0" t="s">
        <v>135</v>
      </c>
      <c r="C93" s="0" t="s">
        <v>121</v>
      </c>
      <c r="D93" s="0" t="s">
        <v>235</v>
      </c>
      <c r="E93" s="7" t="n">
        <f aca="false">SUMIFS(Doors!Q:Q,Doors!$A:$A,$D93,Doors!$B:$B,$B93,Doors!$C:$C,$C93)*SUMIFS(Velocity!$I:$I,Velocity!$A:$A,$A93,Velocity!$B:$B,$C93)/Assumptions!$B$4*Assumptions!$B$6</f>
        <v>0</v>
      </c>
      <c r="F93" s="7" t="n">
        <f aca="false">SUMIFS(Doors!R:R,Doors!$A:$A,$D93,Doors!$B:$B,$B93,Doors!$C:$C,$C93)*SUMIFS(Velocity!$I:$I,Velocity!$A:$A,$A93,Velocity!$B:$B,$C93)/Assumptions!$B$4*Assumptions!$B$6</f>
        <v>0</v>
      </c>
      <c r="G93" s="7" t="n">
        <f aca="false">SUMIFS(Doors!S:S,Doors!$A:$A,$D93,Doors!$B:$B,$B93,Doors!$C:$C,$C93)*SUMIFS(Velocity!$I:$I,Velocity!$A:$A,$A93,Velocity!$B:$B,$C93)/Assumptions!$B$4*Assumptions!$B$6</f>
        <v>0</v>
      </c>
      <c r="H93" s="7" t="n">
        <f aca="false">SUMIFS(Doors!T:T,Doors!$A:$A,$D93,Doors!$B:$B,$B93,Doors!$C:$C,$C93)*SUMIFS(Velocity!$I:$I,Velocity!$A:$A,$A93,Velocity!$B:$B,$C93)/Assumptions!$B$4*Assumptions!$B$6</f>
        <v>0</v>
      </c>
      <c r="I93" s="7" t="n">
        <f aca="false">SUMIFS(Doors!U:U,Doors!$A:$A,$D93,Doors!$B:$B,$B93,Doors!$C:$C,$C93)*SUMIFS(Velocity!$I:$I,Velocity!$A:$A,$A93,Velocity!$B:$B,$C93)/Assumptions!$B$4*Assumptions!$B$6</f>
        <v>0</v>
      </c>
      <c r="J93" s="7" t="n">
        <f aca="false">SUMIFS(Doors!V:V,Doors!$A:$A,$D93,Doors!$B:$B,$B93,Doors!$C:$C,$C93)*SUMIFS(Velocity!$I:$I,Velocity!$A:$A,$A93,Velocity!$B:$B,$C93)/Assumptions!$B$4*Assumptions!$B$6</f>
        <v>0</v>
      </c>
      <c r="K93" s="7" t="n">
        <f aca="false">SUMIFS(Doors!W:W,Doors!$A:$A,$D93,Doors!$B:$B,$B93,Doors!$C:$C,$C93)*SUMIFS(Velocity!$I:$I,Velocity!$A:$A,$A93,Velocity!$B:$B,$C93)/Assumptions!$B$4*Assumptions!$B$6</f>
        <v>0</v>
      </c>
      <c r="L93" s="7" t="n">
        <f aca="false">SUMIFS(Doors!X:X,Doors!$A:$A,$D93,Doors!$B:$B,$B93,Doors!$C:$C,$C93)*SUMIFS(Velocity!$I:$I,Velocity!$A:$A,$A93,Velocity!$B:$B,$C93)/Assumptions!$B$4*Assumptions!$B$6</f>
        <v>0</v>
      </c>
      <c r="M93" s="7" t="n">
        <f aca="false">SUMIFS(Doors!Y:Y,Doors!$A:$A,$D93,Doors!$B:$B,$B93,Doors!$C:$C,$C93)*SUMIFS(Velocity!$I:$I,Velocity!$A:$A,$A93,Velocity!$B:$B,$C93)/Assumptions!$B$4*Assumptions!$B$6</f>
        <v>0</v>
      </c>
      <c r="N93" s="7" t="n">
        <f aca="false">SUMIFS(Doors!Z:Z,Doors!$A:$A,$D93,Doors!$B:$B,$B93,Doors!$C:$C,$C93)*SUMIFS(Velocity!$I:$I,Velocity!$A:$A,$A93,Velocity!$B:$B,$C93)/Assumptions!$B$4*Assumptions!$B$6</f>
        <v>0.304166666666667</v>
      </c>
      <c r="O93" s="7" t="n">
        <f aca="false">SUMIFS(Doors!AA:AA,Doors!$A:$A,$D93,Doors!$B:$B,$B93,Doors!$C:$C,$C93)*SUMIFS(Velocity!$I:$I,Velocity!$A:$A,$A93,Velocity!$B:$B,$C93)/Assumptions!$B$4*Assumptions!$B$6</f>
        <v>0.304166666666667</v>
      </c>
      <c r="P93" s="7" t="n">
        <f aca="false">SUMIFS(Doors!AB:AB,Doors!$A:$A,$D93,Doors!$B:$B,$B93,Doors!$C:$C,$C93)*SUMIFS(Velocity!$I:$I,Velocity!$A:$A,$A93,Velocity!$B:$B,$C93)/Assumptions!$B$4*Assumptions!$B$6</f>
        <v>0.304166666666667</v>
      </c>
      <c r="Q93" s="7" t="n">
        <f aca="false">SUMIFS(Doors!AC:AC,Doors!$A:$A,$D93,Doors!$B:$B,$B93,Doors!$C:$C,$C93)*SUMIFS(Velocity!$I:$I,Velocity!$A:$A,$A93,Velocity!$B:$B,$C93)/Assumptions!$B$4*Assumptions!$B$6</f>
        <v>0.304166666666667</v>
      </c>
      <c r="R93" s="7" t="n">
        <f aca="false">SUMIFS(Doors!AD:AD,Doors!$A:$A,$D93,Doors!$B:$B,$B93,Doors!$C:$C,$C93)*SUMIFS(Velocity!$I:$I,Velocity!$A:$A,$A93,Velocity!$B:$B,$C93)/Assumptions!$B$4*Assumptions!$B$6</f>
        <v>0.304166666666667</v>
      </c>
      <c r="S93" s="7" t="n">
        <f aca="false">SUMIFS(Doors!AE:AE,Doors!$A:$A,$D93,Doors!$B:$B,$B93,Doors!$C:$C,$C93)*SUMIFS(Velocity!$I:$I,Velocity!$A:$A,$A93,Velocity!$B:$B,$C93)/Assumptions!$B$4*Assumptions!$B$6</f>
        <v>0.304166666666667</v>
      </c>
      <c r="T93" s="7" t="n">
        <f aca="false">SUMIFS(Doors!AF:AF,Doors!$A:$A,$D93,Doors!$B:$B,$B93,Doors!$C:$C,$C93)*SUMIFS(Velocity!$I:$I,Velocity!$A:$A,$A93,Velocity!$B:$B,$C93)/Assumptions!$B$4*Assumptions!$B$6</f>
        <v>0.304166666666667</v>
      </c>
      <c r="U93" s="7" t="n">
        <f aca="false">SUMIFS(Doors!AG:AG,Doors!$A:$A,$D93,Doors!$B:$B,$B93,Doors!$C:$C,$C93)*SUMIFS(Velocity!$I:$I,Velocity!$A:$A,$A93,Velocity!$B:$B,$C93)/Assumptions!$B$4*Assumptions!$B$6</f>
        <v>0.304166666666667</v>
      </c>
      <c r="V93" s="7" t="n">
        <f aca="false">SUMIFS(Doors!AH:AH,Doors!$A:$A,$D93,Doors!$B:$B,$B93,Doors!$C:$C,$C93)*SUMIFS(Velocity!$I:$I,Velocity!$A:$A,$A93,Velocity!$B:$B,$C93)/Assumptions!$B$4*Assumptions!$B$6</f>
        <v>0.304166666666667</v>
      </c>
      <c r="W93" s="7" t="n">
        <f aca="false">SUMIFS(Doors!AI:AI,Doors!$A:$A,$D93,Doors!$B:$B,$B93,Doors!$C:$C,$C93)*SUMIFS(Velocity!$I:$I,Velocity!$A:$A,$A93,Velocity!$B:$B,$C93)/Assumptions!$B$4*Assumptions!$B$6</f>
        <v>0.608333333333333</v>
      </c>
      <c r="X93" s="7" t="n">
        <f aca="false">SUMIFS(Doors!AJ:AJ,Doors!$A:$A,$D93,Doors!$B:$B,$B93,Doors!$C:$C,$C93)*SUMIFS(Velocity!$I:$I,Velocity!$A:$A,$A93,Velocity!$B:$B,$C93)/Assumptions!$B$4*Assumptions!$B$6</f>
        <v>0.608333333333333</v>
      </c>
      <c r="Y93" s="7" t="n">
        <f aca="false">SUMIFS(Doors!AK:AK,Doors!$A:$A,$D93,Doors!$B:$B,$B93,Doors!$C:$C,$C93)*SUMIFS(Velocity!$I:$I,Velocity!$A:$A,$A93,Velocity!$B:$B,$C93)/Assumptions!$B$4*Assumptions!$B$6</f>
        <v>0.608333333333333</v>
      </c>
      <c r="Z93" s="7" t="n">
        <f aca="false">SUMIFS(Doors!AL:AL,Doors!$A:$A,$D93,Doors!$B:$B,$B93,Doors!$C:$C,$C93)*SUMIFS(Velocity!$I:$I,Velocity!$A:$A,$A93,Velocity!$B:$B,$C93)/Assumptions!$B$4*Assumptions!$B$6</f>
        <v>0.608333333333333</v>
      </c>
      <c r="AA93" s="7" t="n">
        <f aca="false">SUMIFS(Doors!AM:AM,Doors!$A:$A,$D93,Doors!$B:$B,$B93,Doors!$C:$C,$C93)*SUMIFS(Velocity!$I:$I,Velocity!$A:$A,$A93,Velocity!$B:$B,$C93)/Assumptions!$B$4*Assumptions!$B$6</f>
        <v>0.608333333333333</v>
      </c>
      <c r="AB93" s="7" t="n">
        <f aca="false">SUMIFS(Doors!AN:AN,Doors!$A:$A,$D93,Doors!$B:$B,$B93,Doors!$C:$C,$C93)*SUMIFS(Velocity!$I:$I,Velocity!$A:$A,$A93,Velocity!$B:$B,$C93)/Assumptions!$B$4*Assumptions!$B$6</f>
        <v>0.608333333333333</v>
      </c>
      <c r="AC93" s="7" t="n">
        <f aca="false">SUMIFS(Doors!AO:AO,Doors!$A:$A,$D93,Doors!$B:$B,$B93,Doors!$C:$C,$C93)*SUMIFS(Velocity!$I:$I,Velocity!$A:$A,$A93,Velocity!$B:$B,$C93)/Assumptions!$B$4*Assumptions!$B$6</f>
        <v>0.608333333333333</v>
      </c>
      <c r="AD93" s="7" t="n">
        <f aca="false">SUMIFS(Doors!AP:AP,Doors!$A:$A,$D93,Doors!$B:$B,$B93,Doors!$C:$C,$C93)*SUMIFS(Velocity!$I:$I,Velocity!$A:$A,$A93,Velocity!$B:$B,$C93)/Assumptions!$B$4*Assumptions!$B$6</f>
        <v>0.608333333333333</v>
      </c>
      <c r="AE93" s="7" t="n">
        <f aca="false">SUMIFS(Doors!AQ:AQ,Doors!$A:$A,$D93,Doors!$B:$B,$B93,Doors!$C:$C,$C93)*SUMIFS(Velocity!$I:$I,Velocity!$A:$A,$A93,Velocity!$B:$B,$C93)/Assumptions!$B$4*Assumptions!$B$6</f>
        <v>0.608333333333333</v>
      </c>
      <c r="AF93" s="7" t="n">
        <f aca="false">SUMIFS(Doors!AR:AR,Doors!$A:$A,$D93,Doors!$B:$B,$B93,Doors!$C:$C,$C93)*SUMIFS(Velocity!$I:$I,Velocity!$A:$A,$A93,Velocity!$B:$B,$C93)/Assumptions!$B$4*Assumptions!$B$6</f>
        <v>0.608333333333333</v>
      </c>
      <c r="AG93" s="7" t="n">
        <f aca="false">SUMIFS(Doors!AS:AS,Doors!$A:$A,$D93,Doors!$B:$B,$B93,Doors!$C:$C,$C93)*SUMIFS(Velocity!$I:$I,Velocity!$A:$A,$A93,Velocity!$B:$B,$C93)/Assumptions!$B$4*Assumptions!$B$6</f>
        <v>0.608333333333333</v>
      </c>
      <c r="AH93" s="7" t="n">
        <f aca="false">SUMIFS(Doors!AT:AT,Doors!$A:$A,$D93,Doors!$B:$B,$B93,Doors!$C:$C,$C93)*SUMIFS(Velocity!$I:$I,Velocity!$A:$A,$A93,Velocity!$B:$B,$C93)/Assumptions!$B$4*Assumptions!$B$6</f>
        <v>0.608333333333333</v>
      </c>
      <c r="AI93" s="7" t="n">
        <f aca="false">SUMIFS(Doors!AU:AU,Doors!$A:$A,$D93,Doors!$B:$B,$B93,Doors!$C:$C,$C93)*SUMIFS(Velocity!$I:$I,Velocity!$A:$A,$A93,Velocity!$B:$B,$C93)/Assumptions!$B$4*Assumptions!$B$6</f>
        <v>0.608333333333333</v>
      </c>
      <c r="AJ93" s="7" t="n">
        <f aca="false">SUMIFS(Doors!AV:AV,Doors!$A:$A,$D93,Doors!$B:$B,$B93,Doors!$C:$C,$C93)*SUMIFS(Velocity!$I:$I,Velocity!$A:$A,$A93,Velocity!$B:$B,$C93)/Assumptions!$B$4*Assumptions!$B$6</f>
        <v>0.9125</v>
      </c>
      <c r="AK93" s="7" t="n">
        <f aca="false">SUMIFS(Doors!AW:AW,Doors!$A:$A,$D93,Doors!$B:$B,$B93,Doors!$C:$C,$C93)*SUMIFS(Velocity!$I:$I,Velocity!$A:$A,$A93,Velocity!$B:$B,$C93)/Assumptions!$B$4*Assumptions!$B$6</f>
        <v>0.9125</v>
      </c>
      <c r="AL93" s="7" t="n">
        <f aca="false">SUMIFS(Doors!AX:AX,Doors!$A:$A,$D93,Doors!$B:$B,$B93,Doors!$C:$C,$C93)*SUMIFS(Velocity!$I:$I,Velocity!$A:$A,$A93,Velocity!$B:$B,$C93)/Assumptions!$B$4*Assumptions!$B$6</f>
        <v>0.9125</v>
      </c>
      <c r="AM93" s="7" t="n">
        <f aca="false">SUMIFS(Doors!AY:AY,Doors!$A:$A,$D93,Doors!$B:$B,$B93,Doors!$C:$C,$C93)*SUMIFS(Velocity!$I:$I,Velocity!$A:$A,$A93,Velocity!$B:$B,$C93)/Assumptions!$B$4*Assumptions!$B$6</f>
        <v>0.9125</v>
      </c>
      <c r="AN93" s="7" t="n">
        <f aca="false">SUMIFS(Doors!AZ:AZ,Doors!$A:$A,$D93,Doors!$B:$B,$B93,Doors!$C:$C,$C93)*SUMIFS(Velocity!$I:$I,Velocity!$A:$A,$A93,Velocity!$B:$B,$C93)/Assumptions!$B$4*Assumptions!$B$6</f>
        <v>0.9125</v>
      </c>
      <c r="AO93" s="7" t="n">
        <f aca="false">SUMIFS(Doors!BA:BA,Doors!$A:$A,$D93,Doors!$B:$B,$B93,Doors!$C:$C,$C93)*SUMIFS(Velocity!$I:$I,Velocity!$A:$A,$A93,Velocity!$B:$B,$C93)/Assumptions!$B$4*Assumptions!$B$6</f>
        <v>0.9125</v>
      </c>
      <c r="AP93" s="7" t="n">
        <f aca="false">SUMIFS(Doors!BB:BB,Doors!$A:$A,$D93,Doors!$B:$B,$B93,Doors!$C:$C,$C93)*SUMIFS(Velocity!$I:$I,Velocity!$A:$A,$A93,Velocity!$B:$B,$C93)/Assumptions!$B$4*Assumptions!$B$6</f>
        <v>0.9125</v>
      </c>
      <c r="AQ93" s="7" t="n">
        <f aca="false">SUMIFS(Doors!BC:BC,Doors!$A:$A,$D93,Doors!$B:$B,$B93,Doors!$C:$C,$C93)*SUMIFS(Velocity!$I:$I,Velocity!$A:$A,$A93,Velocity!$B:$B,$C93)/Assumptions!$B$4*Assumptions!$B$6</f>
        <v>0.9125</v>
      </c>
      <c r="AR93" s="7" t="n">
        <f aca="false">SUMIFS(Doors!BD:BD,Doors!$A:$A,$D93,Doors!$B:$B,$B93,Doors!$C:$C,$C93)*SUMIFS(Velocity!$I:$I,Velocity!$A:$A,$A93,Velocity!$B:$B,$C93)/Assumptions!$B$4*Assumptions!$B$6</f>
        <v>0.9125</v>
      </c>
      <c r="AS93" s="7" t="n">
        <f aca="false">SUMIFS(Doors!BE:BE,Doors!$A:$A,$D93,Doors!$B:$B,$B93,Doors!$C:$C,$C93)*SUMIFS(Velocity!$I:$I,Velocity!$A:$A,$A93,Velocity!$B:$B,$C93)/Assumptions!$B$4*Assumptions!$B$6</f>
        <v>0.9125</v>
      </c>
      <c r="AT93" s="7" t="n">
        <f aca="false">SUMIFS(Doors!BF:BF,Doors!$A:$A,$D93,Doors!$B:$B,$B93,Doors!$C:$C,$C93)*SUMIFS(Velocity!$I:$I,Velocity!$A:$A,$A93,Velocity!$B:$B,$C93)/Assumptions!$B$4*Assumptions!$B$6</f>
        <v>0.9125</v>
      </c>
      <c r="AU93" s="7" t="n">
        <f aca="false">SUMIFS(Doors!BG:BG,Doors!$A:$A,$D93,Doors!$B:$B,$B93,Doors!$C:$C,$C93)*SUMIFS(Velocity!$I:$I,Velocity!$A:$A,$A93,Velocity!$B:$B,$C93)/Assumptions!$B$4*Assumptions!$B$6</f>
        <v>0.9125</v>
      </c>
      <c r="AV93" s="7" t="n">
        <f aca="false">SUMIFS(Doors!BH:BH,Doors!$A:$A,$D93,Doors!$B:$B,$B93,Doors!$C:$C,$C93)*SUMIFS(Velocity!$I:$I,Velocity!$A:$A,$A93,Velocity!$B:$B,$C93)/Assumptions!$B$4*Assumptions!$B$6</f>
        <v>0.9125</v>
      </c>
      <c r="AW93" s="7" t="n">
        <f aca="false">SUMIFS(Doors!BI:BI,Doors!$A:$A,$D93,Doors!$B:$B,$B93,Doors!$C:$C,$C93)*SUMIFS(Velocity!$I:$I,Velocity!$A:$A,$A93,Velocity!$B:$B,$C93)/Assumptions!$B$4*Assumptions!$B$6</f>
        <v>0.9125</v>
      </c>
      <c r="AX93" s="7" t="n">
        <f aca="false">SUMIFS(Doors!BJ:BJ,Doors!$A:$A,$D93,Doors!$B:$B,$B93,Doors!$C:$C,$C93)*SUMIFS(Velocity!$I:$I,Velocity!$A:$A,$A93,Velocity!$B:$B,$C93)/Assumptions!$B$4*Assumptions!$B$6</f>
        <v>0.9125</v>
      </c>
      <c r="AY93" s="7" t="n">
        <f aca="false">SUMIFS(Doors!BK:BK,Doors!$A:$A,$D93,Doors!$B:$B,$B93,Doors!$C:$C,$C93)*SUMIFS(Velocity!$I:$I,Velocity!$A:$A,$A93,Velocity!$B:$B,$C93)/Assumptions!$B$4*Assumptions!$B$6</f>
        <v>0.9125</v>
      </c>
      <c r="AZ93" s="7" t="n">
        <f aca="false">SUMIFS(Doors!BL:BL,Doors!$A:$A,$D93,Doors!$B:$B,$B93,Doors!$C:$C,$C93)*SUMIFS(Velocity!$I:$I,Velocity!$A:$A,$A93,Velocity!$B:$B,$C93)/Assumptions!$B$4*Assumptions!$B$6</f>
        <v>0.9125</v>
      </c>
      <c r="BA93" s="7" t="n">
        <f aca="false">SUMIFS(Doors!BM:BM,Doors!$A:$A,$D93,Doors!$B:$B,$B93,Doors!$C:$C,$C93)*SUMIFS(Velocity!$I:$I,Velocity!$A:$A,$A93,Velocity!$B:$B,$C93)/Assumptions!$B$4*Assumptions!$B$6</f>
        <v>0.9125</v>
      </c>
      <c r="BB93" s="7" t="n">
        <f aca="false">SUMIFS(Doors!BN:BN,Doors!$A:$A,$D93,Doors!$B:$B,$B93,Doors!$C:$C,$C93)*SUMIFS(Velocity!$I:$I,Velocity!$A:$A,$A93,Velocity!$B:$B,$C93)/Assumptions!$B$4*Assumptions!$B$6</f>
        <v>0.9125</v>
      </c>
      <c r="BC93" s="7" t="n">
        <f aca="false">SUMIFS(Doors!BO:BO,Doors!$A:$A,$D93,Doors!$B:$B,$B93,Doors!$C:$C,$C93)*SUMIFS(Velocity!$I:$I,Velocity!$A:$A,$A93,Velocity!$B:$B,$C93)/Assumptions!$B$4*Assumptions!$B$6</f>
        <v>0.9125</v>
      </c>
      <c r="BD93" s="7" t="n">
        <f aca="false">SUMIFS(Doors!BP:BP,Doors!$A:$A,$D93,Doors!$B:$B,$B93,Doors!$C:$C,$C93)*SUMIFS(Velocity!$I:$I,Velocity!$A:$A,$A93,Velocity!$B:$B,$C93)/Assumptions!$B$4*Assumptions!$B$6</f>
        <v>0.9125</v>
      </c>
    </row>
    <row r="94" customFormat="false" ht="15" hidden="false" customHeight="false" outlineLevel="0" collapsed="false">
      <c r="A94" s="0" t="s">
        <v>108</v>
      </c>
      <c r="B94" s="0" t="s">
        <v>135</v>
      </c>
      <c r="C94" s="0" t="s">
        <v>122</v>
      </c>
      <c r="D94" s="0" t="s">
        <v>235</v>
      </c>
      <c r="E94" s="7" t="n">
        <f aca="false">SUMIFS(Doors!Q:Q,Doors!$A:$A,$D94,Doors!$B:$B,$B94,Doors!$C:$C,$C94)*SUMIFS(Velocity!$I:$I,Velocity!$A:$A,$A94,Velocity!$B:$B,$C94)/Assumptions!$B$4*Assumptions!$B$6</f>
        <v>0</v>
      </c>
      <c r="F94" s="7" t="n">
        <f aca="false">SUMIFS(Doors!R:R,Doors!$A:$A,$D94,Doors!$B:$B,$B94,Doors!$C:$C,$C94)*SUMIFS(Velocity!$I:$I,Velocity!$A:$A,$A94,Velocity!$B:$B,$C94)/Assumptions!$B$4*Assumptions!$B$6</f>
        <v>0</v>
      </c>
      <c r="G94" s="7" t="n">
        <f aca="false">SUMIFS(Doors!S:S,Doors!$A:$A,$D94,Doors!$B:$B,$B94,Doors!$C:$C,$C94)*SUMIFS(Velocity!$I:$I,Velocity!$A:$A,$A94,Velocity!$B:$B,$C94)/Assumptions!$B$4*Assumptions!$B$6</f>
        <v>0</v>
      </c>
      <c r="H94" s="7" t="n">
        <f aca="false">SUMIFS(Doors!T:T,Doors!$A:$A,$D94,Doors!$B:$B,$B94,Doors!$C:$C,$C94)*SUMIFS(Velocity!$I:$I,Velocity!$A:$A,$A94,Velocity!$B:$B,$C94)/Assumptions!$B$4*Assumptions!$B$6</f>
        <v>0</v>
      </c>
      <c r="I94" s="7" t="n">
        <f aca="false">SUMIFS(Doors!U:U,Doors!$A:$A,$D94,Doors!$B:$B,$B94,Doors!$C:$C,$C94)*SUMIFS(Velocity!$I:$I,Velocity!$A:$A,$A94,Velocity!$B:$B,$C94)/Assumptions!$B$4*Assumptions!$B$6</f>
        <v>0</v>
      </c>
      <c r="J94" s="7" t="n">
        <f aca="false">SUMIFS(Doors!V:V,Doors!$A:$A,$D94,Doors!$B:$B,$B94,Doors!$C:$C,$C94)*SUMIFS(Velocity!$I:$I,Velocity!$A:$A,$A94,Velocity!$B:$B,$C94)/Assumptions!$B$4*Assumptions!$B$6</f>
        <v>0</v>
      </c>
      <c r="K94" s="7" t="n">
        <f aca="false">SUMIFS(Doors!W:W,Doors!$A:$A,$D94,Doors!$B:$B,$B94,Doors!$C:$C,$C94)*SUMIFS(Velocity!$I:$I,Velocity!$A:$A,$A94,Velocity!$B:$B,$C94)/Assumptions!$B$4*Assumptions!$B$6</f>
        <v>0</v>
      </c>
      <c r="L94" s="7" t="n">
        <f aca="false">SUMIFS(Doors!X:X,Doors!$A:$A,$D94,Doors!$B:$B,$B94,Doors!$C:$C,$C94)*SUMIFS(Velocity!$I:$I,Velocity!$A:$A,$A94,Velocity!$B:$B,$C94)/Assumptions!$B$4*Assumptions!$B$6</f>
        <v>0</v>
      </c>
      <c r="M94" s="7" t="n">
        <f aca="false">SUMIFS(Doors!Y:Y,Doors!$A:$A,$D94,Doors!$B:$B,$B94,Doors!$C:$C,$C94)*SUMIFS(Velocity!$I:$I,Velocity!$A:$A,$A94,Velocity!$B:$B,$C94)/Assumptions!$B$4*Assumptions!$B$6</f>
        <v>0</v>
      </c>
      <c r="N94" s="7" t="n">
        <f aca="false">SUMIFS(Doors!Z:Z,Doors!$A:$A,$D94,Doors!$B:$B,$B94,Doors!$C:$C,$C94)*SUMIFS(Velocity!$I:$I,Velocity!$A:$A,$A94,Velocity!$B:$B,$C94)/Assumptions!$B$4*Assumptions!$B$6</f>
        <v>0</v>
      </c>
      <c r="O94" s="7" t="n">
        <f aca="false">SUMIFS(Doors!AA:AA,Doors!$A:$A,$D94,Doors!$B:$B,$B94,Doors!$C:$C,$C94)*SUMIFS(Velocity!$I:$I,Velocity!$A:$A,$A94,Velocity!$B:$B,$C94)/Assumptions!$B$4*Assumptions!$B$6</f>
        <v>0</v>
      </c>
      <c r="P94" s="7" t="n">
        <f aca="false">SUMIFS(Doors!AB:AB,Doors!$A:$A,$D94,Doors!$B:$B,$B94,Doors!$C:$C,$C94)*SUMIFS(Velocity!$I:$I,Velocity!$A:$A,$A94,Velocity!$B:$B,$C94)/Assumptions!$B$4*Assumptions!$B$6</f>
        <v>0</v>
      </c>
      <c r="Q94" s="7" t="n">
        <f aca="false">SUMIFS(Doors!AC:AC,Doors!$A:$A,$D94,Doors!$B:$B,$B94,Doors!$C:$C,$C94)*SUMIFS(Velocity!$I:$I,Velocity!$A:$A,$A94,Velocity!$B:$B,$C94)/Assumptions!$B$4*Assumptions!$B$6</f>
        <v>0</v>
      </c>
      <c r="R94" s="7" t="n">
        <f aca="false">SUMIFS(Doors!AD:AD,Doors!$A:$A,$D94,Doors!$B:$B,$B94,Doors!$C:$C,$C94)*SUMIFS(Velocity!$I:$I,Velocity!$A:$A,$A94,Velocity!$B:$B,$C94)/Assumptions!$B$4*Assumptions!$B$6</f>
        <v>0</v>
      </c>
      <c r="S94" s="7" t="n">
        <f aca="false">SUMIFS(Doors!AE:AE,Doors!$A:$A,$D94,Doors!$B:$B,$B94,Doors!$C:$C,$C94)*SUMIFS(Velocity!$I:$I,Velocity!$A:$A,$A94,Velocity!$B:$B,$C94)/Assumptions!$B$4*Assumptions!$B$6</f>
        <v>0</v>
      </c>
      <c r="T94" s="7" t="n">
        <f aca="false">SUMIFS(Doors!AF:AF,Doors!$A:$A,$D94,Doors!$B:$B,$B94,Doors!$C:$C,$C94)*SUMIFS(Velocity!$I:$I,Velocity!$A:$A,$A94,Velocity!$B:$B,$C94)/Assumptions!$B$4*Assumptions!$B$6</f>
        <v>0</v>
      </c>
      <c r="U94" s="7" t="n">
        <f aca="false">SUMIFS(Doors!AG:AG,Doors!$A:$A,$D94,Doors!$B:$B,$B94,Doors!$C:$C,$C94)*SUMIFS(Velocity!$I:$I,Velocity!$A:$A,$A94,Velocity!$B:$B,$C94)/Assumptions!$B$4*Assumptions!$B$6</f>
        <v>0</v>
      </c>
      <c r="V94" s="7" t="n">
        <f aca="false">SUMIFS(Doors!AH:AH,Doors!$A:$A,$D94,Doors!$B:$B,$B94,Doors!$C:$C,$C94)*SUMIFS(Velocity!$I:$I,Velocity!$A:$A,$A94,Velocity!$B:$B,$C94)/Assumptions!$B$4*Assumptions!$B$6</f>
        <v>0</v>
      </c>
      <c r="W94" s="7" t="n">
        <f aca="false">SUMIFS(Doors!AI:AI,Doors!$A:$A,$D94,Doors!$B:$B,$B94,Doors!$C:$C,$C94)*SUMIFS(Velocity!$I:$I,Velocity!$A:$A,$A94,Velocity!$B:$B,$C94)/Assumptions!$B$4*Assumptions!$B$6</f>
        <v>0</v>
      </c>
      <c r="X94" s="7" t="n">
        <f aca="false">SUMIFS(Doors!AJ:AJ,Doors!$A:$A,$D94,Doors!$B:$B,$B94,Doors!$C:$C,$C94)*SUMIFS(Velocity!$I:$I,Velocity!$A:$A,$A94,Velocity!$B:$B,$C94)/Assumptions!$B$4*Assumptions!$B$6</f>
        <v>0</v>
      </c>
      <c r="Y94" s="7" t="n">
        <f aca="false">SUMIFS(Doors!AK:AK,Doors!$A:$A,$D94,Doors!$B:$B,$B94,Doors!$C:$C,$C94)*SUMIFS(Velocity!$I:$I,Velocity!$A:$A,$A94,Velocity!$B:$B,$C94)/Assumptions!$B$4*Assumptions!$B$6</f>
        <v>0</v>
      </c>
      <c r="Z94" s="7" t="n">
        <f aca="false">SUMIFS(Doors!AL:AL,Doors!$A:$A,$D94,Doors!$B:$B,$B94,Doors!$C:$C,$C94)*SUMIFS(Velocity!$I:$I,Velocity!$A:$A,$A94,Velocity!$B:$B,$C94)/Assumptions!$B$4*Assumptions!$B$6</f>
        <v>0</v>
      </c>
      <c r="AA94" s="7" t="n">
        <f aca="false">SUMIFS(Doors!AM:AM,Doors!$A:$A,$D94,Doors!$B:$B,$B94,Doors!$C:$C,$C94)*SUMIFS(Velocity!$I:$I,Velocity!$A:$A,$A94,Velocity!$B:$B,$C94)/Assumptions!$B$4*Assumptions!$B$6</f>
        <v>0</v>
      </c>
      <c r="AB94" s="7" t="n">
        <f aca="false">SUMIFS(Doors!AN:AN,Doors!$A:$A,$D94,Doors!$B:$B,$B94,Doors!$C:$C,$C94)*SUMIFS(Velocity!$I:$I,Velocity!$A:$A,$A94,Velocity!$B:$B,$C94)/Assumptions!$B$4*Assumptions!$B$6</f>
        <v>0</v>
      </c>
      <c r="AC94" s="7" t="n">
        <f aca="false">SUMIFS(Doors!AO:AO,Doors!$A:$A,$D94,Doors!$B:$B,$B94,Doors!$C:$C,$C94)*SUMIFS(Velocity!$I:$I,Velocity!$A:$A,$A94,Velocity!$B:$B,$C94)/Assumptions!$B$4*Assumptions!$B$6</f>
        <v>0</v>
      </c>
      <c r="AD94" s="7" t="n">
        <f aca="false">SUMIFS(Doors!AP:AP,Doors!$A:$A,$D94,Doors!$B:$B,$B94,Doors!$C:$C,$C94)*SUMIFS(Velocity!$I:$I,Velocity!$A:$A,$A94,Velocity!$B:$B,$C94)/Assumptions!$B$4*Assumptions!$B$6</f>
        <v>0</v>
      </c>
      <c r="AE94" s="7" t="n">
        <f aca="false">SUMIFS(Doors!AQ:AQ,Doors!$A:$A,$D94,Doors!$B:$B,$B94,Doors!$C:$C,$C94)*SUMIFS(Velocity!$I:$I,Velocity!$A:$A,$A94,Velocity!$B:$B,$C94)/Assumptions!$B$4*Assumptions!$B$6</f>
        <v>0</v>
      </c>
      <c r="AF94" s="7" t="n">
        <f aca="false">SUMIFS(Doors!AR:AR,Doors!$A:$A,$D94,Doors!$B:$B,$B94,Doors!$C:$C,$C94)*SUMIFS(Velocity!$I:$I,Velocity!$A:$A,$A94,Velocity!$B:$B,$C94)/Assumptions!$B$4*Assumptions!$B$6</f>
        <v>0</v>
      </c>
      <c r="AG94" s="7" t="n">
        <f aca="false">SUMIFS(Doors!AS:AS,Doors!$A:$A,$D94,Doors!$B:$B,$B94,Doors!$C:$C,$C94)*SUMIFS(Velocity!$I:$I,Velocity!$A:$A,$A94,Velocity!$B:$B,$C94)/Assumptions!$B$4*Assumptions!$B$6</f>
        <v>0</v>
      </c>
      <c r="AH94" s="7" t="n">
        <f aca="false">SUMIFS(Doors!AT:AT,Doors!$A:$A,$D94,Doors!$B:$B,$B94,Doors!$C:$C,$C94)*SUMIFS(Velocity!$I:$I,Velocity!$A:$A,$A94,Velocity!$B:$B,$C94)/Assumptions!$B$4*Assumptions!$B$6</f>
        <v>0</v>
      </c>
      <c r="AI94" s="7" t="n">
        <f aca="false">SUMIFS(Doors!AU:AU,Doors!$A:$A,$D94,Doors!$B:$B,$B94,Doors!$C:$C,$C94)*SUMIFS(Velocity!$I:$I,Velocity!$A:$A,$A94,Velocity!$B:$B,$C94)/Assumptions!$B$4*Assumptions!$B$6</f>
        <v>0</v>
      </c>
      <c r="AJ94" s="7" t="n">
        <f aca="false">SUMIFS(Doors!AV:AV,Doors!$A:$A,$D94,Doors!$B:$B,$B94,Doors!$C:$C,$C94)*SUMIFS(Velocity!$I:$I,Velocity!$A:$A,$A94,Velocity!$B:$B,$C94)/Assumptions!$B$4*Assumptions!$B$6</f>
        <v>0</v>
      </c>
      <c r="AK94" s="7" t="n">
        <f aca="false">SUMIFS(Doors!AW:AW,Doors!$A:$A,$D94,Doors!$B:$B,$B94,Doors!$C:$C,$C94)*SUMIFS(Velocity!$I:$I,Velocity!$A:$A,$A94,Velocity!$B:$B,$C94)/Assumptions!$B$4*Assumptions!$B$6</f>
        <v>0</v>
      </c>
      <c r="AL94" s="7" t="n">
        <f aca="false">SUMIFS(Doors!AX:AX,Doors!$A:$A,$D94,Doors!$B:$B,$B94,Doors!$C:$C,$C94)*SUMIFS(Velocity!$I:$I,Velocity!$A:$A,$A94,Velocity!$B:$B,$C94)/Assumptions!$B$4*Assumptions!$B$6</f>
        <v>0</v>
      </c>
      <c r="AM94" s="7" t="n">
        <f aca="false">SUMIFS(Doors!AY:AY,Doors!$A:$A,$D94,Doors!$B:$B,$B94,Doors!$C:$C,$C94)*SUMIFS(Velocity!$I:$I,Velocity!$A:$A,$A94,Velocity!$B:$B,$C94)/Assumptions!$B$4*Assumptions!$B$6</f>
        <v>0</v>
      </c>
      <c r="AN94" s="7" t="n">
        <f aca="false">SUMIFS(Doors!AZ:AZ,Doors!$A:$A,$D94,Doors!$B:$B,$B94,Doors!$C:$C,$C94)*SUMIFS(Velocity!$I:$I,Velocity!$A:$A,$A94,Velocity!$B:$B,$C94)/Assumptions!$B$4*Assumptions!$B$6</f>
        <v>0</v>
      </c>
      <c r="AO94" s="7" t="n">
        <f aca="false">SUMIFS(Doors!BA:BA,Doors!$A:$A,$D94,Doors!$B:$B,$B94,Doors!$C:$C,$C94)*SUMIFS(Velocity!$I:$I,Velocity!$A:$A,$A94,Velocity!$B:$B,$C94)/Assumptions!$B$4*Assumptions!$B$6</f>
        <v>0</v>
      </c>
      <c r="AP94" s="7" t="n">
        <f aca="false">SUMIFS(Doors!BB:BB,Doors!$A:$A,$D94,Doors!$B:$B,$B94,Doors!$C:$C,$C94)*SUMIFS(Velocity!$I:$I,Velocity!$A:$A,$A94,Velocity!$B:$B,$C94)/Assumptions!$B$4*Assumptions!$B$6</f>
        <v>0</v>
      </c>
      <c r="AQ94" s="7" t="n">
        <f aca="false">SUMIFS(Doors!BC:BC,Doors!$A:$A,$D94,Doors!$B:$B,$B94,Doors!$C:$C,$C94)*SUMIFS(Velocity!$I:$I,Velocity!$A:$A,$A94,Velocity!$B:$B,$C94)/Assumptions!$B$4*Assumptions!$B$6</f>
        <v>0</v>
      </c>
      <c r="AR94" s="7" t="n">
        <f aca="false">SUMIFS(Doors!BD:BD,Doors!$A:$A,$D94,Doors!$B:$B,$B94,Doors!$C:$C,$C94)*SUMIFS(Velocity!$I:$I,Velocity!$A:$A,$A94,Velocity!$B:$B,$C94)/Assumptions!$B$4*Assumptions!$B$6</f>
        <v>0</v>
      </c>
      <c r="AS94" s="7" t="n">
        <f aca="false">SUMIFS(Doors!BE:BE,Doors!$A:$A,$D94,Doors!$B:$B,$B94,Doors!$C:$C,$C94)*SUMIFS(Velocity!$I:$I,Velocity!$A:$A,$A94,Velocity!$B:$B,$C94)/Assumptions!$B$4*Assumptions!$B$6</f>
        <v>0</v>
      </c>
      <c r="AT94" s="7" t="n">
        <f aca="false">SUMIFS(Doors!BF:BF,Doors!$A:$A,$D94,Doors!$B:$B,$B94,Doors!$C:$C,$C94)*SUMIFS(Velocity!$I:$I,Velocity!$A:$A,$A94,Velocity!$B:$B,$C94)/Assumptions!$B$4*Assumptions!$B$6</f>
        <v>0</v>
      </c>
      <c r="AU94" s="7" t="n">
        <f aca="false">SUMIFS(Doors!BG:BG,Doors!$A:$A,$D94,Doors!$B:$B,$B94,Doors!$C:$C,$C94)*SUMIFS(Velocity!$I:$I,Velocity!$A:$A,$A94,Velocity!$B:$B,$C94)/Assumptions!$B$4*Assumptions!$B$6</f>
        <v>0</v>
      </c>
      <c r="AV94" s="7" t="n">
        <f aca="false">SUMIFS(Doors!BH:BH,Doors!$A:$A,$D94,Doors!$B:$B,$B94,Doors!$C:$C,$C94)*SUMIFS(Velocity!$I:$I,Velocity!$A:$A,$A94,Velocity!$B:$B,$C94)/Assumptions!$B$4*Assumptions!$B$6</f>
        <v>0</v>
      </c>
      <c r="AW94" s="7" t="n">
        <f aca="false">SUMIFS(Doors!BI:BI,Doors!$A:$A,$D94,Doors!$B:$B,$B94,Doors!$C:$C,$C94)*SUMIFS(Velocity!$I:$I,Velocity!$A:$A,$A94,Velocity!$B:$B,$C94)/Assumptions!$B$4*Assumptions!$B$6</f>
        <v>0</v>
      </c>
      <c r="AX94" s="7" t="n">
        <f aca="false">SUMIFS(Doors!BJ:BJ,Doors!$A:$A,$D94,Doors!$B:$B,$B94,Doors!$C:$C,$C94)*SUMIFS(Velocity!$I:$I,Velocity!$A:$A,$A94,Velocity!$B:$B,$C94)/Assumptions!$B$4*Assumptions!$B$6</f>
        <v>0</v>
      </c>
      <c r="AY94" s="7" t="n">
        <f aca="false">SUMIFS(Doors!BK:BK,Doors!$A:$A,$D94,Doors!$B:$B,$B94,Doors!$C:$C,$C94)*SUMIFS(Velocity!$I:$I,Velocity!$A:$A,$A94,Velocity!$B:$B,$C94)/Assumptions!$B$4*Assumptions!$B$6</f>
        <v>0</v>
      </c>
      <c r="AZ94" s="7" t="n">
        <f aca="false">SUMIFS(Doors!BL:BL,Doors!$A:$A,$D94,Doors!$B:$B,$B94,Doors!$C:$C,$C94)*SUMIFS(Velocity!$I:$I,Velocity!$A:$A,$A94,Velocity!$B:$B,$C94)/Assumptions!$B$4*Assumptions!$B$6</f>
        <v>0</v>
      </c>
      <c r="BA94" s="7" t="n">
        <f aca="false">SUMIFS(Doors!BM:BM,Doors!$A:$A,$D94,Doors!$B:$B,$B94,Doors!$C:$C,$C94)*SUMIFS(Velocity!$I:$I,Velocity!$A:$A,$A94,Velocity!$B:$B,$C94)/Assumptions!$B$4*Assumptions!$B$6</f>
        <v>0</v>
      </c>
      <c r="BB94" s="7" t="n">
        <f aca="false">SUMIFS(Doors!BN:BN,Doors!$A:$A,$D94,Doors!$B:$B,$B94,Doors!$C:$C,$C94)*SUMIFS(Velocity!$I:$I,Velocity!$A:$A,$A94,Velocity!$B:$B,$C94)/Assumptions!$B$4*Assumptions!$B$6</f>
        <v>0</v>
      </c>
      <c r="BC94" s="7" t="n">
        <f aca="false">SUMIFS(Doors!BO:BO,Doors!$A:$A,$D94,Doors!$B:$B,$B94,Doors!$C:$C,$C94)*SUMIFS(Velocity!$I:$I,Velocity!$A:$A,$A94,Velocity!$B:$B,$C94)/Assumptions!$B$4*Assumptions!$B$6</f>
        <v>0</v>
      </c>
      <c r="BD94" s="7" t="n">
        <f aca="false">SUMIFS(Doors!BP:BP,Doors!$A:$A,$D94,Doors!$B:$B,$B94,Doors!$C:$C,$C94)*SUMIFS(Velocity!$I:$I,Velocity!$A:$A,$A94,Velocity!$B:$B,$C94)/Assumptions!$B$4*Assumptions!$B$6</f>
        <v>0</v>
      </c>
    </row>
    <row r="95" customFormat="false" ht="15" hidden="false" customHeight="false" outlineLevel="0" collapsed="false">
      <c r="A95" s="0" t="s">
        <v>108</v>
      </c>
      <c r="B95" s="0" t="s">
        <v>135</v>
      </c>
      <c r="C95" s="0" t="s">
        <v>123</v>
      </c>
      <c r="D95" s="0" t="s">
        <v>235</v>
      </c>
      <c r="E95" s="7" t="n">
        <f aca="false">SUMIFS(Doors!Q:Q,Doors!$A:$A,$D95,Doors!$B:$B,$B95,Doors!$C:$C,$C95)*SUMIFS(Velocity!$I:$I,Velocity!$A:$A,$A95,Velocity!$B:$B,$C95)/Assumptions!$B$4*Assumptions!$B$6</f>
        <v>0</v>
      </c>
      <c r="F95" s="7" t="n">
        <f aca="false">SUMIFS(Doors!R:R,Doors!$A:$A,$D95,Doors!$B:$B,$B95,Doors!$C:$C,$C95)*SUMIFS(Velocity!$I:$I,Velocity!$A:$A,$A95,Velocity!$B:$B,$C95)/Assumptions!$B$4*Assumptions!$B$6</f>
        <v>0</v>
      </c>
      <c r="G95" s="7" t="n">
        <f aca="false">SUMIFS(Doors!S:S,Doors!$A:$A,$D95,Doors!$B:$B,$B95,Doors!$C:$C,$C95)*SUMIFS(Velocity!$I:$I,Velocity!$A:$A,$A95,Velocity!$B:$B,$C95)/Assumptions!$B$4*Assumptions!$B$6</f>
        <v>0</v>
      </c>
      <c r="H95" s="7" t="n">
        <f aca="false">SUMIFS(Doors!T:T,Doors!$A:$A,$D95,Doors!$B:$B,$B95,Doors!$C:$C,$C95)*SUMIFS(Velocity!$I:$I,Velocity!$A:$A,$A95,Velocity!$B:$B,$C95)/Assumptions!$B$4*Assumptions!$B$6</f>
        <v>0</v>
      </c>
      <c r="I95" s="7" t="n">
        <f aca="false">SUMIFS(Doors!U:U,Doors!$A:$A,$D95,Doors!$B:$B,$B95,Doors!$C:$C,$C95)*SUMIFS(Velocity!$I:$I,Velocity!$A:$A,$A95,Velocity!$B:$B,$C95)/Assumptions!$B$4*Assumptions!$B$6</f>
        <v>0</v>
      </c>
      <c r="J95" s="7" t="n">
        <f aca="false">SUMIFS(Doors!V:V,Doors!$A:$A,$D95,Doors!$B:$B,$B95,Doors!$C:$C,$C95)*SUMIFS(Velocity!$I:$I,Velocity!$A:$A,$A95,Velocity!$B:$B,$C95)/Assumptions!$B$4*Assumptions!$B$6</f>
        <v>0</v>
      </c>
      <c r="K95" s="7" t="n">
        <f aca="false">SUMIFS(Doors!W:W,Doors!$A:$A,$D95,Doors!$B:$B,$B95,Doors!$C:$C,$C95)*SUMIFS(Velocity!$I:$I,Velocity!$A:$A,$A95,Velocity!$B:$B,$C95)/Assumptions!$B$4*Assumptions!$B$6</f>
        <v>0</v>
      </c>
      <c r="L95" s="7" t="n">
        <f aca="false">SUMIFS(Doors!X:X,Doors!$A:$A,$D95,Doors!$B:$B,$B95,Doors!$C:$C,$C95)*SUMIFS(Velocity!$I:$I,Velocity!$A:$A,$A95,Velocity!$B:$B,$C95)/Assumptions!$B$4*Assumptions!$B$6</f>
        <v>0</v>
      </c>
      <c r="M95" s="7" t="n">
        <f aca="false">SUMIFS(Doors!Y:Y,Doors!$A:$A,$D95,Doors!$B:$B,$B95,Doors!$C:$C,$C95)*SUMIFS(Velocity!$I:$I,Velocity!$A:$A,$A95,Velocity!$B:$B,$C95)/Assumptions!$B$4*Assumptions!$B$6</f>
        <v>0</v>
      </c>
      <c r="N95" s="7" t="n">
        <f aca="false">SUMIFS(Doors!Z:Z,Doors!$A:$A,$D95,Doors!$B:$B,$B95,Doors!$C:$C,$C95)*SUMIFS(Velocity!$I:$I,Velocity!$A:$A,$A95,Velocity!$B:$B,$C95)/Assumptions!$B$4*Assumptions!$B$6</f>
        <v>0</v>
      </c>
      <c r="O95" s="7" t="n">
        <f aca="false">SUMIFS(Doors!AA:AA,Doors!$A:$A,$D95,Doors!$B:$B,$B95,Doors!$C:$C,$C95)*SUMIFS(Velocity!$I:$I,Velocity!$A:$A,$A95,Velocity!$B:$B,$C95)/Assumptions!$B$4*Assumptions!$B$6</f>
        <v>0</v>
      </c>
      <c r="P95" s="7" t="n">
        <f aca="false">SUMIFS(Doors!AB:AB,Doors!$A:$A,$D95,Doors!$B:$B,$B95,Doors!$C:$C,$C95)*SUMIFS(Velocity!$I:$I,Velocity!$A:$A,$A95,Velocity!$B:$B,$C95)/Assumptions!$B$4*Assumptions!$B$6</f>
        <v>0</v>
      </c>
      <c r="Q95" s="7" t="n">
        <f aca="false">SUMIFS(Doors!AC:AC,Doors!$A:$A,$D95,Doors!$B:$B,$B95,Doors!$C:$C,$C95)*SUMIFS(Velocity!$I:$I,Velocity!$A:$A,$A95,Velocity!$B:$B,$C95)/Assumptions!$B$4*Assumptions!$B$6</f>
        <v>0</v>
      </c>
      <c r="R95" s="7" t="n">
        <f aca="false">SUMIFS(Doors!AD:AD,Doors!$A:$A,$D95,Doors!$B:$B,$B95,Doors!$C:$C,$C95)*SUMIFS(Velocity!$I:$I,Velocity!$A:$A,$A95,Velocity!$B:$B,$C95)/Assumptions!$B$4*Assumptions!$B$6</f>
        <v>0</v>
      </c>
      <c r="S95" s="7" t="n">
        <f aca="false">SUMIFS(Doors!AE:AE,Doors!$A:$A,$D95,Doors!$B:$B,$B95,Doors!$C:$C,$C95)*SUMIFS(Velocity!$I:$I,Velocity!$A:$A,$A95,Velocity!$B:$B,$C95)/Assumptions!$B$4*Assumptions!$B$6</f>
        <v>0</v>
      </c>
      <c r="T95" s="7" t="n">
        <f aca="false">SUMIFS(Doors!AF:AF,Doors!$A:$A,$D95,Doors!$B:$B,$B95,Doors!$C:$C,$C95)*SUMIFS(Velocity!$I:$I,Velocity!$A:$A,$A95,Velocity!$B:$B,$C95)/Assumptions!$B$4*Assumptions!$B$6</f>
        <v>0</v>
      </c>
      <c r="U95" s="7" t="n">
        <f aca="false">SUMIFS(Doors!AG:AG,Doors!$A:$A,$D95,Doors!$B:$B,$B95,Doors!$C:$C,$C95)*SUMIFS(Velocity!$I:$I,Velocity!$A:$A,$A95,Velocity!$B:$B,$C95)/Assumptions!$B$4*Assumptions!$B$6</f>
        <v>0</v>
      </c>
      <c r="V95" s="7" t="n">
        <f aca="false">SUMIFS(Doors!AH:AH,Doors!$A:$A,$D95,Doors!$B:$B,$B95,Doors!$C:$C,$C95)*SUMIFS(Velocity!$I:$I,Velocity!$A:$A,$A95,Velocity!$B:$B,$C95)/Assumptions!$B$4*Assumptions!$B$6</f>
        <v>0</v>
      </c>
      <c r="W95" s="7" t="n">
        <f aca="false">SUMIFS(Doors!AI:AI,Doors!$A:$A,$D95,Doors!$B:$B,$B95,Doors!$C:$C,$C95)*SUMIFS(Velocity!$I:$I,Velocity!$A:$A,$A95,Velocity!$B:$B,$C95)/Assumptions!$B$4*Assumptions!$B$6</f>
        <v>0</v>
      </c>
      <c r="X95" s="7" t="n">
        <f aca="false">SUMIFS(Doors!AJ:AJ,Doors!$A:$A,$D95,Doors!$B:$B,$B95,Doors!$C:$C,$C95)*SUMIFS(Velocity!$I:$I,Velocity!$A:$A,$A95,Velocity!$B:$B,$C95)/Assumptions!$B$4*Assumptions!$B$6</f>
        <v>0</v>
      </c>
      <c r="Y95" s="7" t="n">
        <f aca="false">SUMIFS(Doors!AK:AK,Doors!$A:$A,$D95,Doors!$B:$B,$B95,Doors!$C:$C,$C95)*SUMIFS(Velocity!$I:$I,Velocity!$A:$A,$A95,Velocity!$B:$B,$C95)/Assumptions!$B$4*Assumptions!$B$6</f>
        <v>0</v>
      </c>
      <c r="Z95" s="7" t="n">
        <f aca="false">SUMIFS(Doors!AL:AL,Doors!$A:$A,$D95,Doors!$B:$B,$B95,Doors!$C:$C,$C95)*SUMIFS(Velocity!$I:$I,Velocity!$A:$A,$A95,Velocity!$B:$B,$C95)/Assumptions!$B$4*Assumptions!$B$6</f>
        <v>0</v>
      </c>
      <c r="AA95" s="7" t="n">
        <f aca="false">SUMIFS(Doors!AM:AM,Doors!$A:$A,$D95,Doors!$B:$B,$B95,Doors!$C:$C,$C95)*SUMIFS(Velocity!$I:$I,Velocity!$A:$A,$A95,Velocity!$B:$B,$C95)/Assumptions!$B$4*Assumptions!$B$6</f>
        <v>0</v>
      </c>
      <c r="AB95" s="7" t="n">
        <f aca="false">SUMIFS(Doors!AN:AN,Doors!$A:$A,$D95,Doors!$B:$B,$B95,Doors!$C:$C,$C95)*SUMIFS(Velocity!$I:$I,Velocity!$A:$A,$A95,Velocity!$B:$B,$C95)/Assumptions!$B$4*Assumptions!$B$6</f>
        <v>0</v>
      </c>
      <c r="AC95" s="7" t="n">
        <f aca="false">SUMIFS(Doors!AO:AO,Doors!$A:$A,$D95,Doors!$B:$B,$B95,Doors!$C:$C,$C95)*SUMIFS(Velocity!$I:$I,Velocity!$A:$A,$A95,Velocity!$B:$B,$C95)/Assumptions!$B$4*Assumptions!$B$6</f>
        <v>0</v>
      </c>
      <c r="AD95" s="7" t="n">
        <f aca="false">SUMIFS(Doors!AP:AP,Doors!$A:$A,$D95,Doors!$B:$B,$B95,Doors!$C:$C,$C95)*SUMIFS(Velocity!$I:$I,Velocity!$A:$A,$A95,Velocity!$B:$B,$C95)/Assumptions!$B$4*Assumptions!$B$6</f>
        <v>0</v>
      </c>
      <c r="AE95" s="7" t="n">
        <f aca="false">SUMIFS(Doors!AQ:AQ,Doors!$A:$A,$D95,Doors!$B:$B,$B95,Doors!$C:$C,$C95)*SUMIFS(Velocity!$I:$I,Velocity!$A:$A,$A95,Velocity!$B:$B,$C95)/Assumptions!$B$4*Assumptions!$B$6</f>
        <v>0</v>
      </c>
      <c r="AF95" s="7" t="n">
        <f aca="false">SUMIFS(Doors!AR:AR,Doors!$A:$A,$D95,Doors!$B:$B,$B95,Doors!$C:$C,$C95)*SUMIFS(Velocity!$I:$I,Velocity!$A:$A,$A95,Velocity!$B:$B,$C95)/Assumptions!$B$4*Assumptions!$B$6</f>
        <v>0</v>
      </c>
      <c r="AG95" s="7" t="n">
        <f aca="false">SUMIFS(Doors!AS:AS,Doors!$A:$A,$D95,Doors!$B:$B,$B95,Doors!$C:$C,$C95)*SUMIFS(Velocity!$I:$I,Velocity!$A:$A,$A95,Velocity!$B:$B,$C95)/Assumptions!$B$4*Assumptions!$B$6</f>
        <v>0</v>
      </c>
      <c r="AH95" s="7" t="n">
        <f aca="false">SUMIFS(Doors!AT:AT,Doors!$A:$A,$D95,Doors!$B:$B,$B95,Doors!$C:$C,$C95)*SUMIFS(Velocity!$I:$I,Velocity!$A:$A,$A95,Velocity!$B:$B,$C95)/Assumptions!$B$4*Assumptions!$B$6</f>
        <v>0</v>
      </c>
      <c r="AI95" s="7" t="n">
        <f aca="false">SUMIFS(Doors!AU:AU,Doors!$A:$A,$D95,Doors!$B:$B,$B95,Doors!$C:$C,$C95)*SUMIFS(Velocity!$I:$I,Velocity!$A:$A,$A95,Velocity!$B:$B,$C95)/Assumptions!$B$4*Assumptions!$B$6</f>
        <v>0</v>
      </c>
      <c r="AJ95" s="7" t="n">
        <f aca="false">SUMIFS(Doors!AV:AV,Doors!$A:$A,$D95,Doors!$B:$B,$B95,Doors!$C:$C,$C95)*SUMIFS(Velocity!$I:$I,Velocity!$A:$A,$A95,Velocity!$B:$B,$C95)/Assumptions!$B$4*Assumptions!$B$6</f>
        <v>0</v>
      </c>
      <c r="AK95" s="7" t="n">
        <f aca="false">SUMIFS(Doors!AW:AW,Doors!$A:$A,$D95,Doors!$B:$B,$B95,Doors!$C:$C,$C95)*SUMIFS(Velocity!$I:$I,Velocity!$A:$A,$A95,Velocity!$B:$B,$C95)/Assumptions!$B$4*Assumptions!$B$6</f>
        <v>0</v>
      </c>
      <c r="AL95" s="7" t="n">
        <f aca="false">SUMIFS(Doors!AX:AX,Doors!$A:$A,$D95,Doors!$B:$B,$B95,Doors!$C:$C,$C95)*SUMIFS(Velocity!$I:$I,Velocity!$A:$A,$A95,Velocity!$B:$B,$C95)/Assumptions!$B$4*Assumptions!$B$6</f>
        <v>0</v>
      </c>
      <c r="AM95" s="7" t="n">
        <f aca="false">SUMIFS(Doors!AY:AY,Doors!$A:$A,$D95,Doors!$B:$B,$B95,Doors!$C:$C,$C95)*SUMIFS(Velocity!$I:$I,Velocity!$A:$A,$A95,Velocity!$B:$B,$C95)/Assumptions!$B$4*Assumptions!$B$6</f>
        <v>0</v>
      </c>
      <c r="AN95" s="7" t="n">
        <f aca="false">SUMIFS(Doors!AZ:AZ,Doors!$A:$A,$D95,Doors!$B:$B,$B95,Doors!$C:$C,$C95)*SUMIFS(Velocity!$I:$I,Velocity!$A:$A,$A95,Velocity!$B:$B,$C95)/Assumptions!$B$4*Assumptions!$B$6</f>
        <v>0</v>
      </c>
      <c r="AO95" s="7" t="n">
        <f aca="false">SUMIFS(Doors!BA:BA,Doors!$A:$A,$D95,Doors!$B:$B,$B95,Doors!$C:$C,$C95)*SUMIFS(Velocity!$I:$I,Velocity!$A:$A,$A95,Velocity!$B:$B,$C95)/Assumptions!$B$4*Assumptions!$B$6</f>
        <v>0</v>
      </c>
      <c r="AP95" s="7" t="n">
        <f aca="false">SUMIFS(Doors!BB:BB,Doors!$A:$A,$D95,Doors!$B:$B,$B95,Doors!$C:$C,$C95)*SUMIFS(Velocity!$I:$I,Velocity!$A:$A,$A95,Velocity!$B:$B,$C95)/Assumptions!$B$4*Assumptions!$B$6</f>
        <v>0</v>
      </c>
      <c r="AQ95" s="7" t="n">
        <f aca="false">SUMIFS(Doors!BC:BC,Doors!$A:$A,$D95,Doors!$B:$B,$B95,Doors!$C:$C,$C95)*SUMIFS(Velocity!$I:$I,Velocity!$A:$A,$A95,Velocity!$B:$B,$C95)/Assumptions!$B$4*Assumptions!$B$6</f>
        <v>0</v>
      </c>
      <c r="AR95" s="7" t="n">
        <f aca="false">SUMIFS(Doors!BD:BD,Doors!$A:$A,$D95,Doors!$B:$B,$B95,Doors!$C:$C,$C95)*SUMIFS(Velocity!$I:$I,Velocity!$A:$A,$A95,Velocity!$B:$B,$C95)/Assumptions!$B$4*Assumptions!$B$6</f>
        <v>0</v>
      </c>
      <c r="AS95" s="7" t="n">
        <f aca="false">SUMIFS(Doors!BE:BE,Doors!$A:$A,$D95,Doors!$B:$B,$B95,Doors!$C:$C,$C95)*SUMIFS(Velocity!$I:$I,Velocity!$A:$A,$A95,Velocity!$B:$B,$C95)/Assumptions!$B$4*Assumptions!$B$6</f>
        <v>0</v>
      </c>
      <c r="AT95" s="7" t="n">
        <f aca="false">SUMIFS(Doors!BF:BF,Doors!$A:$A,$D95,Doors!$B:$B,$B95,Doors!$C:$C,$C95)*SUMIFS(Velocity!$I:$I,Velocity!$A:$A,$A95,Velocity!$B:$B,$C95)/Assumptions!$B$4*Assumptions!$B$6</f>
        <v>0</v>
      </c>
      <c r="AU95" s="7" t="n">
        <f aca="false">SUMIFS(Doors!BG:BG,Doors!$A:$A,$D95,Doors!$B:$B,$B95,Doors!$C:$C,$C95)*SUMIFS(Velocity!$I:$I,Velocity!$A:$A,$A95,Velocity!$B:$B,$C95)/Assumptions!$B$4*Assumptions!$B$6</f>
        <v>0</v>
      </c>
      <c r="AV95" s="7" t="n">
        <f aca="false">SUMIFS(Doors!BH:BH,Doors!$A:$A,$D95,Doors!$B:$B,$B95,Doors!$C:$C,$C95)*SUMIFS(Velocity!$I:$I,Velocity!$A:$A,$A95,Velocity!$B:$B,$C95)/Assumptions!$B$4*Assumptions!$B$6</f>
        <v>0</v>
      </c>
      <c r="AW95" s="7" t="n">
        <f aca="false">SUMIFS(Doors!BI:BI,Doors!$A:$A,$D95,Doors!$B:$B,$B95,Doors!$C:$C,$C95)*SUMIFS(Velocity!$I:$I,Velocity!$A:$A,$A95,Velocity!$B:$B,$C95)/Assumptions!$B$4*Assumptions!$B$6</f>
        <v>0</v>
      </c>
      <c r="AX95" s="7" t="n">
        <f aca="false">SUMIFS(Doors!BJ:BJ,Doors!$A:$A,$D95,Doors!$B:$B,$B95,Doors!$C:$C,$C95)*SUMIFS(Velocity!$I:$I,Velocity!$A:$A,$A95,Velocity!$B:$B,$C95)/Assumptions!$B$4*Assumptions!$B$6</f>
        <v>0</v>
      </c>
      <c r="AY95" s="7" t="n">
        <f aca="false">SUMIFS(Doors!BK:BK,Doors!$A:$A,$D95,Doors!$B:$B,$B95,Doors!$C:$C,$C95)*SUMIFS(Velocity!$I:$I,Velocity!$A:$A,$A95,Velocity!$B:$B,$C95)/Assumptions!$B$4*Assumptions!$B$6</f>
        <v>0</v>
      </c>
      <c r="AZ95" s="7" t="n">
        <f aca="false">SUMIFS(Doors!BL:BL,Doors!$A:$A,$D95,Doors!$B:$B,$B95,Doors!$C:$C,$C95)*SUMIFS(Velocity!$I:$I,Velocity!$A:$A,$A95,Velocity!$B:$B,$C95)/Assumptions!$B$4*Assumptions!$B$6</f>
        <v>0</v>
      </c>
      <c r="BA95" s="7" t="n">
        <f aca="false">SUMIFS(Doors!BM:BM,Doors!$A:$A,$D95,Doors!$B:$B,$B95,Doors!$C:$C,$C95)*SUMIFS(Velocity!$I:$I,Velocity!$A:$A,$A95,Velocity!$B:$B,$C95)/Assumptions!$B$4*Assumptions!$B$6</f>
        <v>0</v>
      </c>
      <c r="BB95" s="7" t="n">
        <f aca="false">SUMIFS(Doors!BN:BN,Doors!$A:$A,$D95,Doors!$B:$B,$B95,Doors!$C:$C,$C95)*SUMIFS(Velocity!$I:$I,Velocity!$A:$A,$A95,Velocity!$B:$B,$C95)/Assumptions!$B$4*Assumptions!$B$6</f>
        <v>0</v>
      </c>
      <c r="BC95" s="7" t="n">
        <f aca="false">SUMIFS(Doors!BO:BO,Doors!$A:$A,$D95,Doors!$B:$B,$B95,Doors!$C:$C,$C95)*SUMIFS(Velocity!$I:$I,Velocity!$A:$A,$A95,Velocity!$B:$B,$C95)/Assumptions!$B$4*Assumptions!$B$6</f>
        <v>0</v>
      </c>
      <c r="BD95" s="7" t="n">
        <f aca="false">SUMIFS(Doors!BP:BP,Doors!$A:$A,$D95,Doors!$B:$B,$B95,Doors!$C:$C,$C95)*SUMIFS(Velocity!$I:$I,Velocity!$A:$A,$A95,Velocity!$B:$B,$C95)/Assumptions!$B$4*Assumptions!$B$6</f>
        <v>0</v>
      </c>
    </row>
    <row r="96" customFormat="false" ht="15" hidden="false" customHeight="false" outlineLevel="0" collapsed="false">
      <c r="A96" s="0" t="s">
        <v>109</v>
      </c>
      <c r="B96" s="0" t="s">
        <v>126</v>
      </c>
      <c r="C96" s="0" t="s">
        <v>115</v>
      </c>
      <c r="D96" s="0" t="s">
        <v>235</v>
      </c>
      <c r="E96" s="7" t="n">
        <f aca="false">SUMIFS(Doors!Q:Q,Doors!$A:$A,$D96,Doors!$B:$B,$B96,Doors!$C:$C,$C96)*SUMIFS(Velocity!$I:$I,Velocity!$A:$A,$A96,Velocity!$B:$B,$C96)/Assumptions!$B$4*Assumptions!$B$6</f>
        <v>22.3333333333333</v>
      </c>
      <c r="F96" s="7" t="n">
        <f aca="false">SUMIFS(Doors!R:R,Doors!$A:$A,$D96,Doors!$B:$B,$B96,Doors!$C:$C,$C96)*SUMIFS(Velocity!$I:$I,Velocity!$A:$A,$A96,Velocity!$B:$B,$C96)/Assumptions!$B$4*Assumptions!$B$6</f>
        <v>22.3333333333333</v>
      </c>
      <c r="G96" s="7" t="n">
        <f aca="false">SUMIFS(Doors!S:S,Doors!$A:$A,$D96,Doors!$B:$B,$B96,Doors!$C:$C,$C96)*SUMIFS(Velocity!$I:$I,Velocity!$A:$A,$A96,Velocity!$B:$B,$C96)/Assumptions!$B$4*Assumptions!$B$6</f>
        <v>22.3333333333333</v>
      </c>
      <c r="H96" s="7" t="n">
        <f aca="false">SUMIFS(Doors!T:T,Doors!$A:$A,$D96,Doors!$B:$B,$B96,Doors!$C:$C,$C96)*SUMIFS(Velocity!$I:$I,Velocity!$A:$A,$A96,Velocity!$B:$B,$C96)/Assumptions!$B$4*Assumptions!$B$6</f>
        <v>22.3333333333333</v>
      </c>
      <c r="I96" s="7" t="n">
        <f aca="false">SUMIFS(Doors!U:U,Doors!$A:$A,$D96,Doors!$B:$B,$B96,Doors!$C:$C,$C96)*SUMIFS(Velocity!$I:$I,Velocity!$A:$A,$A96,Velocity!$B:$B,$C96)/Assumptions!$B$4*Assumptions!$B$6</f>
        <v>22.3333333333333</v>
      </c>
      <c r="J96" s="7" t="n">
        <f aca="false">SUMIFS(Doors!V:V,Doors!$A:$A,$D96,Doors!$B:$B,$B96,Doors!$C:$C,$C96)*SUMIFS(Velocity!$I:$I,Velocity!$A:$A,$A96,Velocity!$B:$B,$C96)/Assumptions!$B$4*Assumptions!$B$6</f>
        <v>26.5208333333333</v>
      </c>
      <c r="K96" s="7" t="n">
        <f aca="false">SUMIFS(Doors!W:W,Doors!$A:$A,$D96,Doors!$B:$B,$B96,Doors!$C:$C,$C96)*SUMIFS(Velocity!$I:$I,Velocity!$A:$A,$A96,Velocity!$B:$B,$C96)/Assumptions!$B$4*Assumptions!$B$6</f>
        <v>26.5208333333333</v>
      </c>
      <c r="L96" s="7" t="n">
        <f aca="false">SUMIFS(Doors!X:X,Doors!$A:$A,$D96,Doors!$B:$B,$B96,Doors!$C:$C,$C96)*SUMIFS(Velocity!$I:$I,Velocity!$A:$A,$A96,Velocity!$B:$B,$C96)/Assumptions!$B$4*Assumptions!$B$6</f>
        <v>26.5208333333333</v>
      </c>
      <c r="M96" s="7" t="n">
        <f aca="false">SUMIFS(Doors!Y:Y,Doors!$A:$A,$D96,Doors!$B:$B,$B96,Doors!$C:$C,$C96)*SUMIFS(Velocity!$I:$I,Velocity!$A:$A,$A96,Velocity!$B:$B,$C96)/Assumptions!$B$4*Assumptions!$B$6</f>
        <v>26.5208333333333</v>
      </c>
      <c r="N96" s="7" t="n">
        <f aca="false">SUMIFS(Doors!Z:Z,Doors!$A:$A,$D96,Doors!$B:$B,$B96,Doors!$C:$C,$C96)*SUMIFS(Velocity!$I:$I,Velocity!$A:$A,$A96,Velocity!$B:$B,$C96)/Assumptions!$B$4*Assumptions!$B$6</f>
        <v>30.7083333333333</v>
      </c>
      <c r="O96" s="7" t="n">
        <f aca="false">SUMIFS(Doors!AA:AA,Doors!$A:$A,$D96,Doors!$B:$B,$B96,Doors!$C:$C,$C96)*SUMIFS(Velocity!$I:$I,Velocity!$A:$A,$A96,Velocity!$B:$B,$C96)/Assumptions!$B$4*Assumptions!$B$6</f>
        <v>30.7083333333333</v>
      </c>
      <c r="P96" s="7" t="n">
        <f aca="false">SUMIFS(Doors!AB:AB,Doors!$A:$A,$D96,Doors!$B:$B,$B96,Doors!$C:$C,$C96)*SUMIFS(Velocity!$I:$I,Velocity!$A:$A,$A96,Velocity!$B:$B,$C96)/Assumptions!$B$4*Assumptions!$B$6</f>
        <v>30.7083333333333</v>
      </c>
      <c r="Q96" s="7" t="n">
        <f aca="false">SUMIFS(Doors!AC:AC,Doors!$A:$A,$D96,Doors!$B:$B,$B96,Doors!$C:$C,$C96)*SUMIFS(Velocity!$I:$I,Velocity!$A:$A,$A96,Velocity!$B:$B,$C96)/Assumptions!$B$4*Assumptions!$B$6</f>
        <v>30.7083333333333</v>
      </c>
      <c r="R96" s="7" t="n">
        <f aca="false">SUMIFS(Doors!AD:AD,Doors!$A:$A,$D96,Doors!$B:$B,$B96,Doors!$C:$C,$C96)*SUMIFS(Velocity!$I:$I,Velocity!$A:$A,$A96,Velocity!$B:$B,$C96)/Assumptions!$B$4*Assumptions!$B$6</f>
        <v>34.8958333333333</v>
      </c>
      <c r="S96" s="7" t="n">
        <f aca="false">SUMIFS(Doors!AE:AE,Doors!$A:$A,$D96,Doors!$B:$B,$B96,Doors!$C:$C,$C96)*SUMIFS(Velocity!$I:$I,Velocity!$A:$A,$A96,Velocity!$B:$B,$C96)/Assumptions!$B$4*Assumptions!$B$6</f>
        <v>34.8958333333333</v>
      </c>
      <c r="T96" s="7" t="n">
        <f aca="false">SUMIFS(Doors!AF:AF,Doors!$A:$A,$D96,Doors!$B:$B,$B96,Doors!$C:$C,$C96)*SUMIFS(Velocity!$I:$I,Velocity!$A:$A,$A96,Velocity!$B:$B,$C96)/Assumptions!$B$4*Assumptions!$B$6</f>
        <v>34.8958333333333</v>
      </c>
      <c r="U96" s="7" t="n">
        <f aca="false">SUMIFS(Doors!AG:AG,Doors!$A:$A,$D96,Doors!$B:$B,$B96,Doors!$C:$C,$C96)*SUMIFS(Velocity!$I:$I,Velocity!$A:$A,$A96,Velocity!$B:$B,$C96)/Assumptions!$B$4*Assumptions!$B$6</f>
        <v>34.8958333333333</v>
      </c>
      <c r="V96" s="7" t="n">
        <f aca="false">SUMIFS(Doors!AH:AH,Doors!$A:$A,$D96,Doors!$B:$B,$B96,Doors!$C:$C,$C96)*SUMIFS(Velocity!$I:$I,Velocity!$A:$A,$A96,Velocity!$B:$B,$C96)/Assumptions!$B$4*Assumptions!$B$6</f>
        <v>34.8958333333333</v>
      </c>
      <c r="W96" s="7" t="n">
        <f aca="false">SUMIFS(Doors!AI:AI,Doors!$A:$A,$D96,Doors!$B:$B,$B96,Doors!$C:$C,$C96)*SUMIFS(Velocity!$I:$I,Velocity!$A:$A,$A96,Velocity!$B:$B,$C96)/Assumptions!$B$4*Assumptions!$B$6</f>
        <v>39.0833333333333</v>
      </c>
      <c r="X96" s="7" t="n">
        <f aca="false">SUMIFS(Doors!AJ:AJ,Doors!$A:$A,$D96,Doors!$B:$B,$B96,Doors!$C:$C,$C96)*SUMIFS(Velocity!$I:$I,Velocity!$A:$A,$A96,Velocity!$B:$B,$C96)/Assumptions!$B$4*Assumptions!$B$6</f>
        <v>39.0833333333333</v>
      </c>
      <c r="Y96" s="7" t="n">
        <f aca="false">SUMIFS(Doors!AK:AK,Doors!$A:$A,$D96,Doors!$B:$B,$B96,Doors!$C:$C,$C96)*SUMIFS(Velocity!$I:$I,Velocity!$A:$A,$A96,Velocity!$B:$B,$C96)/Assumptions!$B$4*Assumptions!$B$6</f>
        <v>39.0833333333333</v>
      </c>
      <c r="Z96" s="7" t="n">
        <f aca="false">SUMIFS(Doors!AL:AL,Doors!$A:$A,$D96,Doors!$B:$B,$B96,Doors!$C:$C,$C96)*SUMIFS(Velocity!$I:$I,Velocity!$A:$A,$A96,Velocity!$B:$B,$C96)/Assumptions!$B$4*Assumptions!$B$6</f>
        <v>39.0833333333333</v>
      </c>
      <c r="AA96" s="7" t="n">
        <f aca="false">SUMIFS(Doors!AM:AM,Doors!$A:$A,$D96,Doors!$B:$B,$B96,Doors!$C:$C,$C96)*SUMIFS(Velocity!$I:$I,Velocity!$A:$A,$A96,Velocity!$B:$B,$C96)/Assumptions!$B$4*Assumptions!$B$6</f>
        <v>43.2708333333333</v>
      </c>
      <c r="AB96" s="7" t="n">
        <f aca="false">SUMIFS(Doors!AN:AN,Doors!$A:$A,$D96,Doors!$B:$B,$B96,Doors!$C:$C,$C96)*SUMIFS(Velocity!$I:$I,Velocity!$A:$A,$A96,Velocity!$B:$B,$C96)/Assumptions!$B$4*Assumptions!$B$6</f>
        <v>43.2708333333333</v>
      </c>
      <c r="AC96" s="7" t="n">
        <f aca="false">SUMIFS(Doors!AO:AO,Doors!$A:$A,$D96,Doors!$B:$B,$B96,Doors!$C:$C,$C96)*SUMIFS(Velocity!$I:$I,Velocity!$A:$A,$A96,Velocity!$B:$B,$C96)/Assumptions!$B$4*Assumptions!$B$6</f>
        <v>43.2708333333333</v>
      </c>
      <c r="AD96" s="7" t="n">
        <f aca="false">SUMIFS(Doors!AP:AP,Doors!$A:$A,$D96,Doors!$B:$B,$B96,Doors!$C:$C,$C96)*SUMIFS(Velocity!$I:$I,Velocity!$A:$A,$A96,Velocity!$B:$B,$C96)/Assumptions!$B$4*Assumptions!$B$6</f>
        <v>43.2708333333333</v>
      </c>
      <c r="AE96" s="7" t="n">
        <f aca="false">SUMIFS(Doors!AQ:AQ,Doors!$A:$A,$D96,Doors!$B:$B,$B96,Doors!$C:$C,$C96)*SUMIFS(Velocity!$I:$I,Velocity!$A:$A,$A96,Velocity!$B:$B,$C96)/Assumptions!$B$4*Assumptions!$B$6</f>
        <v>47.4583333333333</v>
      </c>
      <c r="AF96" s="7" t="n">
        <f aca="false">SUMIFS(Doors!AR:AR,Doors!$A:$A,$D96,Doors!$B:$B,$B96,Doors!$C:$C,$C96)*SUMIFS(Velocity!$I:$I,Velocity!$A:$A,$A96,Velocity!$B:$B,$C96)/Assumptions!$B$4*Assumptions!$B$6</f>
        <v>47.4583333333333</v>
      </c>
      <c r="AG96" s="7" t="n">
        <f aca="false">SUMIFS(Doors!AS:AS,Doors!$A:$A,$D96,Doors!$B:$B,$B96,Doors!$C:$C,$C96)*SUMIFS(Velocity!$I:$I,Velocity!$A:$A,$A96,Velocity!$B:$B,$C96)/Assumptions!$B$4*Assumptions!$B$6</f>
        <v>47.4583333333333</v>
      </c>
      <c r="AH96" s="7" t="n">
        <f aca="false">SUMIFS(Doors!AT:AT,Doors!$A:$A,$D96,Doors!$B:$B,$B96,Doors!$C:$C,$C96)*SUMIFS(Velocity!$I:$I,Velocity!$A:$A,$A96,Velocity!$B:$B,$C96)/Assumptions!$B$4*Assumptions!$B$6</f>
        <v>47.4583333333333</v>
      </c>
      <c r="AI96" s="7" t="n">
        <f aca="false">SUMIFS(Doors!AU:AU,Doors!$A:$A,$D96,Doors!$B:$B,$B96,Doors!$C:$C,$C96)*SUMIFS(Velocity!$I:$I,Velocity!$A:$A,$A96,Velocity!$B:$B,$C96)/Assumptions!$B$4*Assumptions!$B$6</f>
        <v>47.4583333333333</v>
      </c>
      <c r="AJ96" s="7" t="n">
        <f aca="false">SUMIFS(Doors!AV:AV,Doors!$A:$A,$D96,Doors!$B:$B,$B96,Doors!$C:$C,$C96)*SUMIFS(Velocity!$I:$I,Velocity!$A:$A,$A96,Velocity!$B:$B,$C96)/Assumptions!$B$4*Assumptions!$B$6</f>
        <v>50.25</v>
      </c>
      <c r="AK96" s="7" t="n">
        <f aca="false">SUMIFS(Doors!AW:AW,Doors!$A:$A,$D96,Doors!$B:$B,$B96,Doors!$C:$C,$C96)*SUMIFS(Velocity!$I:$I,Velocity!$A:$A,$A96,Velocity!$B:$B,$C96)/Assumptions!$B$4*Assumptions!$B$6</f>
        <v>50.25</v>
      </c>
      <c r="AL96" s="7" t="n">
        <f aca="false">SUMIFS(Doors!AX:AX,Doors!$A:$A,$D96,Doors!$B:$B,$B96,Doors!$C:$C,$C96)*SUMIFS(Velocity!$I:$I,Velocity!$A:$A,$A96,Velocity!$B:$B,$C96)/Assumptions!$B$4*Assumptions!$B$6</f>
        <v>50.25</v>
      </c>
      <c r="AM96" s="7" t="n">
        <f aca="false">SUMIFS(Doors!AY:AY,Doors!$A:$A,$D96,Doors!$B:$B,$B96,Doors!$C:$C,$C96)*SUMIFS(Velocity!$I:$I,Velocity!$A:$A,$A96,Velocity!$B:$B,$C96)/Assumptions!$B$4*Assumptions!$B$6</f>
        <v>50.25</v>
      </c>
      <c r="AN96" s="7" t="n">
        <f aca="false">SUMIFS(Doors!AZ:AZ,Doors!$A:$A,$D96,Doors!$B:$B,$B96,Doors!$C:$C,$C96)*SUMIFS(Velocity!$I:$I,Velocity!$A:$A,$A96,Velocity!$B:$B,$C96)/Assumptions!$B$4*Assumptions!$B$6</f>
        <v>53.0416666666667</v>
      </c>
      <c r="AO96" s="7" t="n">
        <f aca="false">SUMIFS(Doors!BA:BA,Doors!$A:$A,$D96,Doors!$B:$B,$B96,Doors!$C:$C,$C96)*SUMIFS(Velocity!$I:$I,Velocity!$A:$A,$A96,Velocity!$B:$B,$C96)/Assumptions!$B$4*Assumptions!$B$6</f>
        <v>53.0416666666667</v>
      </c>
      <c r="AP96" s="7" t="n">
        <f aca="false">SUMIFS(Doors!BB:BB,Doors!$A:$A,$D96,Doors!$B:$B,$B96,Doors!$C:$C,$C96)*SUMIFS(Velocity!$I:$I,Velocity!$A:$A,$A96,Velocity!$B:$B,$C96)/Assumptions!$B$4*Assumptions!$B$6</f>
        <v>53.0416666666667</v>
      </c>
      <c r="AQ96" s="7" t="n">
        <f aca="false">SUMIFS(Doors!BC:BC,Doors!$A:$A,$D96,Doors!$B:$B,$B96,Doors!$C:$C,$C96)*SUMIFS(Velocity!$I:$I,Velocity!$A:$A,$A96,Velocity!$B:$B,$C96)/Assumptions!$B$4*Assumptions!$B$6</f>
        <v>53.0416666666667</v>
      </c>
      <c r="AR96" s="7" t="n">
        <f aca="false">SUMIFS(Doors!BD:BD,Doors!$A:$A,$D96,Doors!$B:$B,$B96,Doors!$C:$C,$C96)*SUMIFS(Velocity!$I:$I,Velocity!$A:$A,$A96,Velocity!$B:$B,$C96)/Assumptions!$B$4*Assumptions!$B$6</f>
        <v>54.4375</v>
      </c>
      <c r="AS96" s="7" t="n">
        <f aca="false">SUMIFS(Doors!BE:BE,Doors!$A:$A,$D96,Doors!$B:$B,$B96,Doors!$C:$C,$C96)*SUMIFS(Velocity!$I:$I,Velocity!$A:$A,$A96,Velocity!$B:$B,$C96)/Assumptions!$B$4*Assumptions!$B$6</f>
        <v>54.4375</v>
      </c>
      <c r="AT96" s="7" t="n">
        <f aca="false">SUMIFS(Doors!BF:BF,Doors!$A:$A,$D96,Doors!$B:$B,$B96,Doors!$C:$C,$C96)*SUMIFS(Velocity!$I:$I,Velocity!$A:$A,$A96,Velocity!$B:$B,$C96)/Assumptions!$B$4*Assumptions!$B$6</f>
        <v>54.4375</v>
      </c>
      <c r="AU96" s="7" t="n">
        <f aca="false">SUMIFS(Doors!BG:BG,Doors!$A:$A,$D96,Doors!$B:$B,$B96,Doors!$C:$C,$C96)*SUMIFS(Velocity!$I:$I,Velocity!$A:$A,$A96,Velocity!$B:$B,$C96)/Assumptions!$B$4*Assumptions!$B$6</f>
        <v>54.4375</v>
      </c>
      <c r="AV96" s="7" t="n">
        <f aca="false">SUMIFS(Doors!BH:BH,Doors!$A:$A,$D96,Doors!$B:$B,$B96,Doors!$C:$C,$C96)*SUMIFS(Velocity!$I:$I,Velocity!$A:$A,$A96,Velocity!$B:$B,$C96)/Assumptions!$B$4*Assumptions!$B$6</f>
        <v>54.4375</v>
      </c>
      <c r="AW96" s="7" t="n">
        <f aca="false">SUMIFS(Doors!BI:BI,Doors!$A:$A,$D96,Doors!$B:$B,$B96,Doors!$C:$C,$C96)*SUMIFS(Velocity!$I:$I,Velocity!$A:$A,$A96,Velocity!$B:$B,$C96)/Assumptions!$B$4*Assumptions!$B$6</f>
        <v>55.8333333333333</v>
      </c>
      <c r="AX96" s="7" t="n">
        <f aca="false">SUMIFS(Doors!BJ:BJ,Doors!$A:$A,$D96,Doors!$B:$B,$B96,Doors!$C:$C,$C96)*SUMIFS(Velocity!$I:$I,Velocity!$A:$A,$A96,Velocity!$B:$B,$C96)/Assumptions!$B$4*Assumptions!$B$6</f>
        <v>55.8333333333333</v>
      </c>
      <c r="AY96" s="7" t="n">
        <f aca="false">SUMIFS(Doors!BK:BK,Doors!$A:$A,$D96,Doors!$B:$B,$B96,Doors!$C:$C,$C96)*SUMIFS(Velocity!$I:$I,Velocity!$A:$A,$A96,Velocity!$B:$B,$C96)/Assumptions!$B$4*Assumptions!$B$6</f>
        <v>55.8333333333333</v>
      </c>
      <c r="AZ96" s="7" t="n">
        <f aca="false">SUMIFS(Doors!BL:BL,Doors!$A:$A,$D96,Doors!$B:$B,$B96,Doors!$C:$C,$C96)*SUMIFS(Velocity!$I:$I,Velocity!$A:$A,$A96,Velocity!$B:$B,$C96)/Assumptions!$B$4*Assumptions!$B$6</f>
        <v>55.8333333333333</v>
      </c>
      <c r="BA96" s="7" t="n">
        <f aca="false">SUMIFS(Doors!BM:BM,Doors!$A:$A,$D96,Doors!$B:$B,$B96,Doors!$C:$C,$C96)*SUMIFS(Velocity!$I:$I,Velocity!$A:$A,$A96,Velocity!$B:$B,$C96)/Assumptions!$B$4*Assumptions!$B$6</f>
        <v>55.8333333333333</v>
      </c>
      <c r="BB96" s="7" t="n">
        <f aca="false">SUMIFS(Doors!BN:BN,Doors!$A:$A,$D96,Doors!$B:$B,$B96,Doors!$C:$C,$C96)*SUMIFS(Velocity!$I:$I,Velocity!$A:$A,$A96,Velocity!$B:$B,$C96)/Assumptions!$B$4*Assumptions!$B$6</f>
        <v>55.8333333333333</v>
      </c>
      <c r="BC96" s="7" t="n">
        <f aca="false">SUMIFS(Doors!BO:BO,Doors!$A:$A,$D96,Doors!$B:$B,$B96,Doors!$C:$C,$C96)*SUMIFS(Velocity!$I:$I,Velocity!$A:$A,$A96,Velocity!$B:$B,$C96)/Assumptions!$B$4*Assumptions!$B$6</f>
        <v>55.8333333333333</v>
      </c>
      <c r="BD96" s="7" t="n">
        <f aca="false">SUMIFS(Doors!BP:BP,Doors!$A:$A,$D96,Doors!$B:$B,$B96,Doors!$C:$C,$C96)*SUMIFS(Velocity!$I:$I,Velocity!$A:$A,$A96,Velocity!$B:$B,$C96)/Assumptions!$B$4*Assumptions!$B$6</f>
        <v>55.8333333333333</v>
      </c>
    </row>
    <row r="97" customFormat="false" ht="15" hidden="false" customHeight="false" outlineLevel="0" collapsed="false">
      <c r="A97" s="0" t="s">
        <v>109</v>
      </c>
      <c r="B97" s="0" t="s">
        <v>126</v>
      </c>
      <c r="C97" s="0" t="s">
        <v>116</v>
      </c>
      <c r="D97" s="0" t="s">
        <v>235</v>
      </c>
      <c r="E97" s="7" t="n">
        <f aca="false">SUMIFS(Doors!Q:Q,Doors!$A:$A,$D97,Doors!$B:$B,$B97,Doors!$C:$C,$C97)*SUMIFS(Velocity!$I:$I,Velocity!$A:$A,$A97,Velocity!$B:$B,$C97)/Assumptions!$B$4*Assumptions!$B$6</f>
        <v>2.70833333333333</v>
      </c>
      <c r="F97" s="7" t="n">
        <f aca="false">SUMIFS(Doors!R:R,Doors!$A:$A,$D97,Doors!$B:$B,$B97,Doors!$C:$C,$C97)*SUMIFS(Velocity!$I:$I,Velocity!$A:$A,$A97,Velocity!$B:$B,$C97)/Assumptions!$B$4*Assumptions!$B$6</f>
        <v>2.70833333333333</v>
      </c>
      <c r="G97" s="7" t="n">
        <f aca="false">SUMIFS(Doors!S:S,Doors!$A:$A,$D97,Doors!$B:$B,$B97,Doors!$C:$C,$C97)*SUMIFS(Velocity!$I:$I,Velocity!$A:$A,$A97,Velocity!$B:$B,$C97)/Assumptions!$B$4*Assumptions!$B$6</f>
        <v>2.70833333333333</v>
      </c>
      <c r="H97" s="7" t="n">
        <f aca="false">SUMIFS(Doors!T:T,Doors!$A:$A,$D97,Doors!$B:$B,$B97,Doors!$C:$C,$C97)*SUMIFS(Velocity!$I:$I,Velocity!$A:$A,$A97,Velocity!$B:$B,$C97)/Assumptions!$B$4*Assumptions!$B$6</f>
        <v>2.70833333333333</v>
      </c>
      <c r="I97" s="7" t="n">
        <f aca="false">SUMIFS(Doors!U:U,Doors!$A:$A,$D97,Doors!$B:$B,$B97,Doors!$C:$C,$C97)*SUMIFS(Velocity!$I:$I,Velocity!$A:$A,$A97,Velocity!$B:$B,$C97)/Assumptions!$B$4*Assumptions!$B$6</f>
        <v>2.70833333333333</v>
      </c>
      <c r="J97" s="7" t="n">
        <f aca="false">SUMIFS(Doors!V:V,Doors!$A:$A,$D97,Doors!$B:$B,$B97,Doors!$C:$C,$C97)*SUMIFS(Velocity!$I:$I,Velocity!$A:$A,$A97,Velocity!$B:$B,$C97)/Assumptions!$B$4*Assumptions!$B$6</f>
        <v>4.0625</v>
      </c>
      <c r="K97" s="7" t="n">
        <f aca="false">SUMIFS(Doors!W:W,Doors!$A:$A,$D97,Doors!$B:$B,$B97,Doors!$C:$C,$C97)*SUMIFS(Velocity!$I:$I,Velocity!$A:$A,$A97,Velocity!$B:$B,$C97)/Assumptions!$B$4*Assumptions!$B$6</f>
        <v>4.0625</v>
      </c>
      <c r="L97" s="7" t="n">
        <f aca="false">SUMIFS(Doors!X:X,Doors!$A:$A,$D97,Doors!$B:$B,$B97,Doors!$C:$C,$C97)*SUMIFS(Velocity!$I:$I,Velocity!$A:$A,$A97,Velocity!$B:$B,$C97)/Assumptions!$B$4*Assumptions!$B$6</f>
        <v>4.0625</v>
      </c>
      <c r="M97" s="7" t="n">
        <f aca="false">SUMIFS(Doors!Y:Y,Doors!$A:$A,$D97,Doors!$B:$B,$B97,Doors!$C:$C,$C97)*SUMIFS(Velocity!$I:$I,Velocity!$A:$A,$A97,Velocity!$B:$B,$C97)/Assumptions!$B$4*Assumptions!$B$6</f>
        <v>4.0625</v>
      </c>
      <c r="N97" s="7" t="n">
        <f aca="false">SUMIFS(Doors!Z:Z,Doors!$A:$A,$D97,Doors!$B:$B,$B97,Doors!$C:$C,$C97)*SUMIFS(Velocity!$I:$I,Velocity!$A:$A,$A97,Velocity!$B:$B,$C97)/Assumptions!$B$4*Assumptions!$B$6</f>
        <v>5.41666666666667</v>
      </c>
      <c r="O97" s="7" t="n">
        <f aca="false">SUMIFS(Doors!AA:AA,Doors!$A:$A,$D97,Doors!$B:$B,$B97,Doors!$C:$C,$C97)*SUMIFS(Velocity!$I:$I,Velocity!$A:$A,$A97,Velocity!$B:$B,$C97)/Assumptions!$B$4*Assumptions!$B$6</f>
        <v>5.41666666666667</v>
      </c>
      <c r="P97" s="7" t="n">
        <f aca="false">SUMIFS(Doors!AB:AB,Doors!$A:$A,$D97,Doors!$B:$B,$B97,Doors!$C:$C,$C97)*SUMIFS(Velocity!$I:$I,Velocity!$A:$A,$A97,Velocity!$B:$B,$C97)/Assumptions!$B$4*Assumptions!$B$6</f>
        <v>5.41666666666667</v>
      </c>
      <c r="Q97" s="7" t="n">
        <f aca="false">SUMIFS(Doors!AC:AC,Doors!$A:$A,$D97,Doors!$B:$B,$B97,Doors!$C:$C,$C97)*SUMIFS(Velocity!$I:$I,Velocity!$A:$A,$A97,Velocity!$B:$B,$C97)/Assumptions!$B$4*Assumptions!$B$6</f>
        <v>5.41666666666667</v>
      </c>
      <c r="R97" s="7" t="n">
        <f aca="false">SUMIFS(Doors!AD:AD,Doors!$A:$A,$D97,Doors!$B:$B,$B97,Doors!$C:$C,$C97)*SUMIFS(Velocity!$I:$I,Velocity!$A:$A,$A97,Velocity!$B:$B,$C97)/Assumptions!$B$4*Assumptions!$B$6</f>
        <v>6.77083333333333</v>
      </c>
      <c r="S97" s="7" t="n">
        <f aca="false">SUMIFS(Doors!AE:AE,Doors!$A:$A,$D97,Doors!$B:$B,$B97,Doors!$C:$C,$C97)*SUMIFS(Velocity!$I:$I,Velocity!$A:$A,$A97,Velocity!$B:$B,$C97)/Assumptions!$B$4*Assumptions!$B$6</f>
        <v>6.77083333333333</v>
      </c>
      <c r="T97" s="7" t="n">
        <f aca="false">SUMIFS(Doors!AF:AF,Doors!$A:$A,$D97,Doors!$B:$B,$B97,Doors!$C:$C,$C97)*SUMIFS(Velocity!$I:$I,Velocity!$A:$A,$A97,Velocity!$B:$B,$C97)/Assumptions!$B$4*Assumptions!$B$6</f>
        <v>6.77083333333333</v>
      </c>
      <c r="U97" s="7" t="n">
        <f aca="false">SUMIFS(Doors!AG:AG,Doors!$A:$A,$D97,Doors!$B:$B,$B97,Doors!$C:$C,$C97)*SUMIFS(Velocity!$I:$I,Velocity!$A:$A,$A97,Velocity!$B:$B,$C97)/Assumptions!$B$4*Assumptions!$B$6</f>
        <v>6.77083333333333</v>
      </c>
      <c r="V97" s="7" t="n">
        <f aca="false">SUMIFS(Doors!AH:AH,Doors!$A:$A,$D97,Doors!$B:$B,$B97,Doors!$C:$C,$C97)*SUMIFS(Velocity!$I:$I,Velocity!$A:$A,$A97,Velocity!$B:$B,$C97)/Assumptions!$B$4*Assumptions!$B$6</f>
        <v>6.77083333333333</v>
      </c>
      <c r="W97" s="7" t="n">
        <f aca="false">SUMIFS(Doors!AI:AI,Doors!$A:$A,$D97,Doors!$B:$B,$B97,Doors!$C:$C,$C97)*SUMIFS(Velocity!$I:$I,Velocity!$A:$A,$A97,Velocity!$B:$B,$C97)/Assumptions!$B$4*Assumptions!$B$6</f>
        <v>8.125</v>
      </c>
      <c r="X97" s="7" t="n">
        <f aca="false">SUMIFS(Doors!AJ:AJ,Doors!$A:$A,$D97,Doors!$B:$B,$B97,Doors!$C:$C,$C97)*SUMIFS(Velocity!$I:$I,Velocity!$A:$A,$A97,Velocity!$B:$B,$C97)/Assumptions!$B$4*Assumptions!$B$6</f>
        <v>8.125</v>
      </c>
      <c r="Y97" s="7" t="n">
        <f aca="false">SUMIFS(Doors!AK:AK,Doors!$A:$A,$D97,Doors!$B:$B,$B97,Doors!$C:$C,$C97)*SUMIFS(Velocity!$I:$I,Velocity!$A:$A,$A97,Velocity!$B:$B,$C97)/Assumptions!$B$4*Assumptions!$B$6</f>
        <v>8.125</v>
      </c>
      <c r="Z97" s="7" t="n">
        <f aca="false">SUMIFS(Doors!AL:AL,Doors!$A:$A,$D97,Doors!$B:$B,$B97,Doors!$C:$C,$C97)*SUMIFS(Velocity!$I:$I,Velocity!$A:$A,$A97,Velocity!$B:$B,$C97)/Assumptions!$B$4*Assumptions!$B$6</f>
        <v>8.125</v>
      </c>
      <c r="AA97" s="7" t="n">
        <f aca="false">SUMIFS(Doors!AM:AM,Doors!$A:$A,$D97,Doors!$B:$B,$B97,Doors!$C:$C,$C97)*SUMIFS(Velocity!$I:$I,Velocity!$A:$A,$A97,Velocity!$B:$B,$C97)/Assumptions!$B$4*Assumptions!$B$6</f>
        <v>9.47916666666667</v>
      </c>
      <c r="AB97" s="7" t="n">
        <f aca="false">SUMIFS(Doors!AN:AN,Doors!$A:$A,$D97,Doors!$B:$B,$B97,Doors!$C:$C,$C97)*SUMIFS(Velocity!$I:$I,Velocity!$A:$A,$A97,Velocity!$B:$B,$C97)/Assumptions!$B$4*Assumptions!$B$6</f>
        <v>9.47916666666667</v>
      </c>
      <c r="AC97" s="7" t="n">
        <f aca="false">SUMIFS(Doors!AO:AO,Doors!$A:$A,$D97,Doors!$B:$B,$B97,Doors!$C:$C,$C97)*SUMIFS(Velocity!$I:$I,Velocity!$A:$A,$A97,Velocity!$B:$B,$C97)/Assumptions!$B$4*Assumptions!$B$6</f>
        <v>9.47916666666667</v>
      </c>
      <c r="AD97" s="7" t="n">
        <f aca="false">SUMIFS(Doors!AP:AP,Doors!$A:$A,$D97,Doors!$B:$B,$B97,Doors!$C:$C,$C97)*SUMIFS(Velocity!$I:$I,Velocity!$A:$A,$A97,Velocity!$B:$B,$C97)/Assumptions!$B$4*Assumptions!$B$6</f>
        <v>9.47916666666667</v>
      </c>
      <c r="AE97" s="7" t="n">
        <f aca="false">SUMIFS(Doors!AQ:AQ,Doors!$A:$A,$D97,Doors!$B:$B,$B97,Doors!$C:$C,$C97)*SUMIFS(Velocity!$I:$I,Velocity!$A:$A,$A97,Velocity!$B:$B,$C97)/Assumptions!$B$4*Assumptions!$B$6</f>
        <v>11.375</v>
      </c>
      <c r="AF97" s="7" t="n">
        <f aca="false">SUMIFS(Doors!AR:AR,Doors!$A:$A,$D97,Doors!$B:$B,$B97,Doors!$C:$C,$C97)*SUMIFS(Velocity!$I:$I,Velocity!$A:$A,$A97,Velocity!$B:$B,$C97)/Assumptions!$B$4*Assumptions!$B$6</f>
        <v>11.375</v>
      </c>
      <c r="AG97" s="7" t="n">
        <f aca="false">SUMIFS(Doors!AS:AS,Doors!$A:$A,$D97,Doors!$B:$B,$B97,Doors!$C:$C,$C97)*SUMIFS(Velocity!$I:$I,Velocity!$A:$A,$A97,Velocity!$B:$B,$C97)/Assumptions!$B$4*Assumptions!$B$6</f>
        <v>11.375</v>
      </c>
      <c r="AH97" s="7" t="n">
        <f aca="false">SUMIFS(Doors!AT:AT,Doors!$A:$A,$D97,Doors!$B:$B,$B97,Doors!$C:$C,$C97)*SUMIFS(Velocity!$I:$I,Velocity!$A:$A,$A97,Velocity!$B:$B,$C97)/Assumptions!$B$4*Assumptions!$B$6</f>
        <v>11.375</v>
      </c>
      <c r="AI97" s="7" t="n">
        <f aca="false">SUMIFS(Doors!AU:AU,Doors!$A:$A,$D97,Doors!$B:$B,$B97,Doors!$C:$C,$C97)*SUMIFS(Velocity!$I:$I,Velocity!$A:$A,$A97,Velocity!$B:$B,$C97)/Assumptions!$B$4*Assumptions!$B$6</f>
        <v>11.375</v>
      </c>
      <c r="AJ97" s="7" t="n">
        <f aca="false">SUMIFS(Doors!AV:AV,Doors!$A:$A,$D97,Doors!$B:$B,$B97,Doors!$C:$C,$C97)*SUMIFS(Velocity!$I:$I,Velocity!$A:$A,$A97,Velocity!$B:$B,$C97)/Assumptions!$B$4*Assumptions!$B$6</f>
        <v>13</v>
      </c>
      <c r="AK97" s="7" t="n">
        <f aca="false">SUMIFS(Doors!AW:AW,Doors!$A:$A,$D97,Doors!$B:$B,$B97,Doors!$C:$C,$C97)*SUMIFS(Velocity!$I:$I,Velocity!$A:$A,$A97,Velocity!$B:$B,$C97)/Assumptions!$B$4*Assumptions!$B$6</f>
        <v>13</v>
      </c>
      <c r="AL97" s="7" t="n">
        <f aca="false">SUMIFS(Doors!AX:AX,Doors!$A:$A,$D97,Doors!$B:$B,$B97,Doors!$C:$C,$C97)*SUMIFS(Velocity!$I:$I,Velocity!$A:$A,$A97,Velocity!$B:$B,$C97)/Assumptions!$B$4*Assumptions!$B$6</f>
        <v>13</v>
      </c>
      <c r="AM97" s="7" t="n">
        <f aca="false">SUMIFS(Doors!AY:AY,Doors!$A:$A,$D97,Doors!$B:$B,$B97,Doors!$C:$C,$C97)*SUMIFS(Velocity!$I:$I,Velocity!$A:$A,$A97,Velocity!$B:$B,$C97)/Assumptions!$B$4*Assumptions!$B$6</f>
        <v>13</v>
      </c>
      <c r="AN97" s="7" t="n">
        <f aca="false">SUMIFS(Doors!AZ:AZ,Doors!$A:$A,$D97,Doors!$B:$B,$B97,Doors!$C:$C,$C97)*SUMIFS(Velocity!$I:$I,Velocity!$A:$A,$A97,Velocity!$B:$B,$C97)/Assumptions!$B$4*Assumptions!$B$6</f>
        <v>14.0833333333333</v>
      </c>
      <c r="AO97" s="7" t="n">
        <f aca="false">SUMIFS(Doors!BA:BA,Doors!$A:$A,$D97,Doors!$B:$B,$B97,Doors!$C:$C,$C97)*SUMIFS(Velocity!$I:$I,Velocity!$A:$A,$A97,Velocity!$B:$B,$C97)/Assumptions!$B$4*Assumptions!$B$6</f>
        <v>14.0833333333333</v>
      </c>
      <c r="AP97" s="7" t="n">
        <f aca="false">SUMIFS(Doors!BB:BB,Doors!$A:$A,$D97,Doors!$B:$B,$B97,Doors!$C:$C,$C97)*SUMIFS(Velocity!$I:$I,Velocity!$A:$A,$A97,Velocity!$B:$B,$C97)/Assumptions!$B$4*Assumptions!$B$6</f>
        <v>14.0833333333333</v>
      </c>
      <c r="AQ97" s="7" t="n">
        <f aca="false">SUMIFS(Doors!BC:BC,Doors!$A:$A,$D97,Doors!$B:$B,$B97,Doors!$C:$C,$C97)*SUMIFS(Velocity!$I:$I,Velocity!$A:$A,$A97,Velocity!$B:$B,$C97)/Assumptions!$B$4*Assumptions!$B$6</f>
        <v>14.0833333333333</v>
      </c>
      <c r="AR97" s="7" t="n">
        <f aca="false">SUMIFS(Doors!BD:BD,Doors!$A:$A,$D97,Doors!$B:$B,$B97,Doors!$C:$C,$C97)*SUMIFS(Velocity!$I:$I,Velocity!$A:$A,$A97,Velocity!$B:$B,$C97)/Assumptions!$B$4*Assumptions!$B$6</f>
        <v>15.1666666666667</v>
      </c>
      <c r="AS97" s="7" t="n">
        <f aca="false">SUMIFS(Doors!BE:BE,Doors!$A:$A,$D97,Doors!$B:$B,$B97,Doors!$C:$C,$C97)*SUMIFS(Velocity!$I:$I,Velocity!$A:$A,$A97,Velocity!$B:$B,$C97)/Assumptions!$B$4*Assumptions!$B$6</f>
        <v>15.1666666666667</v>
      </c>
      <c r="AT97" s="7" t="n">
        <f aca="false">SUMIFS(Doors!BF:BF,Doors!$A:$A,$D97,Doors!$B:$B,$B97,Doors!$C:$C,$C97)*SUMIFS(Velocity!$I:$I,Velocity!$A:$A,$A97,Velocity!$B:$B,$C97)/Assumptions!$B$4*Assumptions!$B$6</f>
        <v>15.1666666666667</v>
      </c>
      <c r="AU97" s="7" t="n">
        <f aca="false">SUMIFS(Doors!BG:BG,Doors!$A:$A,$D97,Doors!$B:$B,$B97,Doors!$C:$C,$C97)*SUMIFS(Velocity!$I:$I,Velocity!$A:$A,$A97,Velocity!$B:$B,$C97)/Assumptions!$B$4*Assumptions!$B$6</f>
        <v>15.1666666666667</v>
      </c>
      <c r="AV97" s="7" t="n">
        <f aca="false">SUMIFS(Doors!BH:BH,Doors!$A:$A,$D97,Doors!$B:$B,$B97,Doors!$C:$C,$C97)*SUMIFS(Velocity!$I:$I,Velocity!$A:$A,$A97,Velocity!$B:$B,$C97)/Assumptions!$B$4*Assumptions!$B$6</f>
        <v>15.1666666666667</v>
      </c>
      <c r="AW97" s="7" t="n">
        <f aca="false">SUMIFS(Doors!BI:BI,Doors!$A:$A,$D97,Doors!$B:$B,$B97,Doors!$C:$C,$C97)*SUMIFS(Velocity!$I:$I,Velocity!$A:$A,$A97,Velocity!$B:$B,$C97)/Assumptions!$B$4*Assumptions!$B$6</f>
        <v>15.7083333333333</v>
      </c>
      <c r="AX97" s="7" t="n">
        <f aca="false">SUMIFS(Doors!BJ:BJ,Doors!$A:$A,$D97,Doors!$B:$B,$B97,Doors!$C:$C,$C97)*SUMIFS(Velocity!$I:$I,Velocity!$A:$A,$A97,Velocity!$B:$B,$C97)/Assumptions!$B$4*Assumptions!$B$6</f>
        <v>15.7083333333333</v>
      </c>
      <c r="AY97" s="7" t="n">
        <f aca="false">SUMIFS(Doors!BK:BK,Doors!$A:$A,$D97,Doors!$B:$B,$B97,Doors!$C:$C,$C97)*SUMIFS(Velocity!$I:$I,Velocity!$A:$A,$A97,Velocity!$B:$B,$C97)/Assumptions!$B$4*Assumptions!$B$6</f>
        <v>15.7083333333333</v>
      </c>
      <c r="AZ97" s="7" t="n">
        <f aca="false">SUMIFS(Doors!BL:BL,Doors!$A:$A,$D97,Doors!$B:$B,$B97,Doors!$C:$C,$C97)*SUMIFS(Velocity!$I:$I,Velocity!$A:$A,$A97,Velocity!$B:$B,$C97)/Assumptions!$B$4*Assumptions!$B$6</f>
        <v>15.7083333333333</v>
      </c>
      <c r="BA97" s="7" t="n">
        <f aca="false">SUMIFS(Doors!BM:BM,Doors!$A:$A,$D97,Doors!$B:$B,$B97,Doors!$C:$C,$C97)*SUMIFS(Velocity!$I:$I,Velocity!$A:$A,$A97,Velocity!$B:$B,$C97)/Assumptions!$B$4*Assumptions!$B$6</f>
        <v>16.25</v>
      </c>
      <c r="BB97" s="7" t="n">
        <f aca="false">SUMIFS(Doors!BN:BN,Doors!$A:$A,$D97,Doors!$B:$B,$B97,Doors!$C:$C,$C97)*SUMIFS(Velocity!$I:$I,Velocity!$A:$A,$A97,Velocity!$B:$B,$C97)/Assumptions!$B$4*Assumptions!$B$6</f>
        <v>16.25</v>
      </c>
      <c r="BC97" s="7" t="n">
        <f aca="false">SUMIFS(Doors!BO:BO,Doors!$A:$A,$D97,Doors!$B:$B,$B97,Doors!$C:$C,$C97)*SUMIFS(Velocity!$I:$I,Velocity!$A:$A,$A97,Velocity!$B:$B,$C97)/Assumptions!$B$4*Assumptions!$B$6</f>
        <v>16.25</v>
      </c>
      <c r="BD97" s="7" t="n">
        <f aca="false">SUMIFS(Doors!BP:BP,Doors!$A:$A,$D97,Doors!$B:$B,$B97,Doors!$C:$C,$C97)*SUMIFS(Velocity!$I:$I,Velocity!$A:$A,$A97,Velocity!$B:$B,$C97)/Assumptions!$B$4*Assumptions!$B$6</f>
        <v>16.25</v>
      </c>
    </row>
    <row r="98" customFormat="false" ht="15" hidden="false" customHeight="false" outlineLevel="0" collapsed="false">
      <c r="A98" s="0" t="s">
        <v>109</v>
      </c>
      <c r="B98" s="0" t="s">
        <v>126</v>
      </c>
      <c r="C98" s="0" t="s">
        <v>117</v>
      </c>
      <c r="D98" s="0" t="s">
        <v>235</v>
      </c>
      <c r="E98" s="7" t="n">
        <f aca="false">SUMIFS(Doors!Q:Q,Doors!$A:$A,$D98,Doors!$B:$B,$B98,Doors!$C:$C,$C98)*SUMIFS(Velocity!$I:$I,Velocity!$A:$A,$A98,Velocity!$B:$B,$C98)/Assumptions!$B$4*Assumptions!$B$6</f>
        <v>0</v>
      </c>
      <c r="F98" s="7" t="n">
        <f aca="false">SUMIFS(Doors!R:R,Doors!$A:$A,$D98,Doors!$B:$B,$B98,Doors!$C:$C,$C98)*SUMIFS(Velocity!$I:$I,Velocity!$A:$A,$A98,Velocity!$B:$B,$C98)/Assumptions!$B$4*Assumptions!$B$6</f>
        <v>0</v>
      </c>
      <c r="G98" s="7" t="n">
        <f aca="false">SUMIFS(Doors!S:S,Doors!$A:$A,$D98,Doors!$B:$B,$B98,Doors!$C:$C,$C98)*SUMIFS(Velocity!$I:$I,Velocity!$A:$A,$A98,Velocity!$B:$B,$C98)/Assumptions!$B$4*Assumptions!$B$6</f>
        <v>0</v>
      </c>
      <c r="H98" s="7" t="n">
        <f aca="false">SUMIFS(Doors!T:T,Doors!$A:$A,$D98,Doors!$B:$B,$B98,Doors!$C:$C,$C98)*SUMIFS(Velocity!$I:$I,Velocity!$A:$A,$A98,Velocity!$B:$B,$C98)/Assumptions!$B$4*Assumptions!$B$6</f>
        <v>0</v>
      </c>
      <c r="I98" s="7" t="n">
        <f aca="false">SUMIFS(Doors!U:U,Doors!$A:$A,$D98,Doors!$B:$B,$B98,Doors!$C:$C,$C98)*SUMIFS(Velocity!$I:$I,Velocity!$A:$A,$A98,Velocity!$B:$B,$C98)/Assumptions!$B$4*Assumptions!$B$6</f>
        <v>0</v>
      </c>
      <c r="J98" s="7" t="n">
        <f aca="false">SUMIFS(Doors!V:V,Doors!$A:$A,$D98,Doors!$B:$B,$B98,Doors!$C:$C,$C98)*SUMIFS(Velocity!$I:$I,Velocity!$A:$A,$A98,Velocity!$B:$B,$C98)/Assumptions!$B$4*Assumptions!$B$6</f>
        <v>0</v>
      </c>
      <c r="K98" s="7" t="n">
        <f aca="false">SUMIFS(Doors!W:W,Doors!$A:$A,$D98,Doors!$B:$B,$B98,Doors!$C:$C,$C98)*SUMIFS(Velocity!$I:$I,Velocity!$A:$A,$A98,Velocity!$B:$B,$C98)/Assumptions!$B$4*Assumptions!$B$6</f>
        <v>0</v>
      </c>
      <c r="L98" s="7" t="n">
        <f aca="false">SUMIFS(Doors!X:X,Doors!$A:$A,$D98,Doors!$B:$B,$B98,Doors!$C:$C,$C98)*SUMIFS(Velocity!$I:$I,Velocity!$A:$A,$A98,Velocity!$B:$B,$C98)/Assumptions!$B$4*Assumptions!$B$6</f>
        <v>0</v>
      </c>
      <c r="M98" s="7" t="n">
        <f aca="false">SUMIFS(Doors!Y:Y,Doors!$A:$A,$D98,Doors!$B:$B,$B98,Doors!$C:$C,$C98)*SUMIFS(Velocity!$I:$I,Velocity!$A:$A,$A98,Velocity!$B:$B,$C98)/Assumptions!$B$4*Assumptions!$B$6</f>
        <v>0</v>
      </c>
      <c r="N98" s="7" t="n">
        <f aca="false">SUMIFS(Doors!Z:Z,Doors!$A:$A,$D98,Doors!$B:$B,$B98,Doors!$C:$C,$C98)*SUMIFS(Velocity!$I:$I,Velocity!$A:$A,$A98,Velocity!$B:$B,$C98)/Assumptions!$B$4*Assumptions!$B$6</f>
        <v>4.53333333333333</v>
      </c>
      <c r="O98" s="7" t="n">
        <f aca="false">SUMIFS(Doors!AA:AA,Doors!$A:$A,$D98,Doors!$B:$B,$B98,Doors!$C:$C,$C98)*SUMIFS(Velocity!$I:$I,Velocity!$A:$A,$A98,Velocity!$B:$B,$C98)/Assumptions!$B$4*Assumptions!$B$6</f>
        <v>4.53333333333333</v>
      </c>
      <c r="P98" s="7" t="n">
        <f aca="false">SUMIFS(Doors!AB:AB,Doors!$A:$A,$D98,Doors!$B:$B,$B98,Doors!$C:$C,$C98)*SUMIFS(Velocity!$I:$I,Velocity!$A:$A,$A98,Velocity!$B:$B,$C98)/Assumptions!$B$4*Assumptions!$B$6</f>
        <v>4.53333333333333</v>
      </c>
      <c r="Q98" s="7" t="n">
        <f aca="false">SUMIFS(Doors!AC:AC,Doors!$A:$A,$D98,Doors!$B:$B,$B98,Doors!$C:$C,$C98)*SUMIFS(Velocity!$I:$I,Velocity!$A:$A,$A98,Velocity!$B:$B,$C98)/Assumptions!$B$4*Assumptions!$B$6</f>
        <v>4.53333333333333</v>
      </c>
      <c r="R98" s="7" t="n">
        <f aca="false">SUMIFS(Doors!AD:AD,Doors!$A:$A,$D98,Doors!$B:$B,$B98,Doors!$C:$C,$C98)*SUMIFS(Velocity!$I:$I,Velocity!$A:$A,$A98,Velocity!$B:$B,$C98)/Assumptions!$B$4*Assumptions!$B$6</f>
        <v>8.5</v>
      </c>
      <c r="S98" s="7" t="n">
        <f aca="false">SUMIFS(Doors!AE:AE,Doors!$A:$A,$D98,Doors!$B:$B,$B98,Doors!$C:$C,$C98)*SUMIFS(Velocity!$I:$I,Velocity!$A:$A,$A98,Velocity!$B:$B,$C98)/Assumptions!$B$4*Assumptions!$B$6</f>
        <v>8.5</v>
      </c>
      <c r="T98" s="7" t="n">
        <f aca="false">SUMIFS(Doors!AF:AF,Doors!$A:$A,$D98,Doors!$B:$B,$B98,Doors!$C:$C,$C98)*SUMIFS(Velocity!$I:$I,Velocity!$A:$A,$A98,Velocity!$B:$B,$C98)/Assumptions!$B$4*Assumptions!$B$6</f>
        <v>8.5</v>
      </c>
      <c r="U98" s="7" t="n">
        <f aca="false">SUMIFS(Doors!AG:AG,Doors!$A:$A,$D98,Doors!$B:$B,$B98,Doors!$C:$C,$C98)*SUMIFS(Velocity!$I:$I,Velocity!$A:$A,$A98,Velocity!$B:$B,$C98)/Assumptions!$B$4*Assumptions!$B$6</f>
        <v>8.5</v>
      </c>
      <c r="V98" s="7" t="n">
        <f aca="false">SUMIFS(Doors!AH:AH,Doors!$A:$A,$D98,Doors!$B:$B,$B98,Doors!$C:$C,$C98)*SUMIFS(Velocity!$I:$I,Velocity!$A:$A,$A98,Velocity!$B:$B,$C98)/Assumptions!$B$4*Assumptions!$B$6</f>
        <v>8.5</v>
      </c>
      <c r="W98" s="7" t="n">
        <f aca="false">SUMIFS(Doors!AI:AI,Doors!$A:$A,$D98,Doors!$B:$B,$B98,Doors!$C:$C,$C98)*SUMIFS(Velocity!$I:$I,Velocity!$A:$A,$A98,Velocity!$B:$B,$C98)/Assumptions!$B$4*Assumptions!$B$6</f>
        <v>11.3333333333333</v>
      </c>
      <c r="X98" s="7" t="n">
        <f aca="false">SUMIFS(Doors!AJ:AJ,Doors!$A:$A,$D98,Doors!$B:$B,$B98,Doors!$C:$C,$C98)*SUMIFS(Velocity!$I:$I,Velocity!$A:$A,$A98,Velocity!$B:$B,$C98)/Assumptions!$B$4*Assumptions!$B$6</f>
        <v>11.3333333333333</v>
      </c>
      <c r="Y98" s="7" t="n">
        <f aca="false">SUMIFS(Doors!AK:AK,Doors!$A:$A,$D98,Doors!$B:$B,$B98,Doors!$C:$C,$C98)*SUMIFS(Velocity!$I:$I,Velocity!$A:$A,$A98,Velocity!$B:$B,$C98)/Assumptions!$B$4*Assumptions!$B$6</f>
        <v>11.3333333333333</v>
      </c>
      <c r="Z98" s="7" t="n">
        <f aca="false">SUMIFS(Doors!AL:AL,Doors!$A:$A,$D98,Doors!$B:$B,$B98,Doors!$C:$C,$C98)*SUMIFS(Velocity!$I:$I,Velocity!$A:$A,$A98,Velocity!$B:$B,$C98)/Assumptions!$B$4*Assumptions!$B$6</f>
        <v>11.3333333333333</v>
      </c>
      <c r="AA98" s="7" t="n">
        <f aca="false">SUMIFS(Doors!AM:AM,Doors!$A:$A,$D98,Doors!$B:$B,$B98,Doors!$C:$C,$C98)*SUMIFS(Velocity!$I:$I,Velocity!$A:$A,$A98,Velocity!$B:$B,$C98)/Assumptions!$B$4*Assumptions!$B$6</f>
        <v>14.1666666666667</v>
      </c>
      <c r="AB98" s="7" t="n">
        <f aca="false">SUMIFS(Doors!AN:AN,Doors!$A:$A,$D98,Doors!$B:$B,$B98,Doors!$C:$C,$C98)*SUMIFS(Velocity!$I:$I,Velocity!$A:$A,$A98,Velocity!$B:$B,$C98)/Assumptions!$B$4*Assumptions!$B$6</f>
        <v>14.1666666666667</v>
      </c>
      <c r="AC98" s="7" t="n">
        <f aca="false">SUMIFS(Doors!AO:AO,Doors!$A:$A,$D98,Doors!$B:$B,$B98,Doors!$C:$C,$C98)*SUMIFS(Velocity!$I:$I,Velocity!$A:$A,$A98,Velocity!$B:$B,$C98)/Assumptions!$B$4*Assumptions!$B$6</f>
        <v>14.1666666666667</v>
      </c>
      <c r="AD98" s="7" t="n">
        <f aca="false">SUMIFS(Doors!AP:AP,Doors!$A:$A,$D98,Doors!$B:$B,$B98,Doors!$C:$C,$C98)*SUMIFS(Velocity!$I:$I,Velocity!$A:$A,$A98,Velocity!$B:$B,$C98)/Assumptions!$B$4*Assumptions!$B$6</f>
        <v>14.1666666666667</v>
      </c>
      <c r="AE98" s="7" t="n">
        <f aca="false">SUMIFS(Doors!AQ:AQ,Doors!$A:$A,$D98,Doors!$B:$B,$B98,Doors!$C:$C,$C98)*SUMIFS(Velocity!$I:$I,Velocity!$A:$A,$A98,Velocity!$B:$B,$C98)/Assumptions!$B$4*Assumptions!$B$6</f>
        <v>15.8666666666667</v>
      </c>
      <c r="AF98" s="7" t="n">
        <f aca="false">SUMIFS(Doors!AR:AR,Doors!$A:$A,$D98,Doors!$B:$B,$B98,Doors!$C:$C,$C98)*SUMIFS(Velocity!$I:$I,Velocity!$A:$A,$A98,Velocity!$B:$B,$C98)/Assumptions!$B$4*Assumptions!$B$6</f>
        <v>15.8666666666667</v>
      </c>
      <c r="AG98" s="7" t="n">
        <f aca="false">SUMIFS(Doors!AS:AS,Doors!$A:$A,$D98,Doors!$B:$B,$B98,Doors!$C:$C,$C98)*SUMIFS(Velocity!$I:$I,Velocity!$A:$A,$A98,Velocity!$B:$B,$C98)/Assumptions!$B$4*Assumptions!$B$6</f>
        <v>15.8666666666667</v>
      </c>
      <c r="AH98" s="7" t="n">
        <f aca="false">SUMIFS(Doors!AT:AT,Doors!$A:$A,$D98,Doors!$B:$B,$B98,Doors!$C:$C,$C98)*SUMIFS(Velocity!$I:$I,Velocity!$A:$A,$A98,Velocity!$B:$B,$C98)/Assumptions!$B$4*Assumptions!$B$6</f>
        <v>15.8666666666667</v>
      </c>
      <c r="AI98" s="7" t="n">
        <f aca="false">SUMIFS(Doors!AU:AU,Doors!$A:$A,$D98,Doors!$B:$B,$B98,Doors!$C:$C,$C98)*SUMIFS(Velocity!$I:$I,Velocity!$A:$A,$A98,Velocity!$B:$B,$C98)/Assumptions!$B$4*Assumptions!$B$6</f>
        <v>15.8666666666667</v>
      </c>
      <c r="AJ98" s="7" t="n">
        <f aca="false">SUMIFS(Doors!AV:AV,Doors!$A:$A,$D98,Doors!$B:$B,$B98,Doors!$C:$C,$C98)*SUMIFS(Velocity!$I:$I,Velocity!$A:$A,$A98,Velocity!$B:$B,$C98)/Assumptions!$B$4*Assumptions!$B$6</f>
        <v>17</v>
      </c>
      <c r="AK98" s="7" t="n">
        <f aca="false">SUMIFS(Doors!AW:AW,Doors!$A:$A,$D98,Doors!$B:$B,$B98,Doors!$C:$C,$C98)*SUMIFS(Velocity!$I:$I,Velocity!$A:$A,$A98,Velocity!$B:$B,$C98)/Assumptions!$B$4*Assumptions!$B$6</f>
        <v>17</v>
      </c>
      <c r="AL98" s="7" t="n">
        <f aca="false">SUMIFS(Doors!AX:AX,Doors!$A:$A,$D98,Doors!$B:$B,$B98,Doors!$C:$C,$C98)*SUMIFS(Velocity!$I:$I,Velocity!$A:$A,$A98,Velocity!$B:$B,$C98)/Assumptions!$B$4*Assumptions!$B$6</f>
        <v>17</v>
      </c>
      <c r="AM98" s="7" t="n">
        <f aca="false">SUMIFS(Doors!AY:AY,Doors!$A:$A,$D98,Doors!$B:$B,$B98,Doors!$C:$C,$C98)*SUMIFS(Velocity!$I:$I,Velocity!$A:$A,$A98,Velocity!$B:$B,$C98)/Assumptions!$B$4*Assumptions!$B$6</f>
        <v>17</v>
      </c>
      <c r="AN98" s="7" t="n">
        <f aca="false">SUMIFS(Doors!AZ:AZ,Doors!$A:$A,$D98,Doors!$B:$B,$B98,Doors!$C:$C,$C98)*SUMIFS(Velocity!$I:$I,Velocity!$A:$A,$A98,Velocity!$B:$B,$C98)/Assumptions!$B$4*Assumptions!$B$6</f>
        <v>18.7</v>
      </c>
      <c r="AO98" s="7" t="n">
        <f aca="false">SUMIFS(Doors!BA:BA,Doors!$A:$A,$D98,Doors!$B:$B,$B98,Doors!$C:$C,$C98)*SUMIFS(Velocity!$I:$I,Velocity!$A:$A,$A98,Velocity!$B:$B,$C98)/Assumptions!$B$4*Assumptions!$B$6</f>
        <v>18.7</v>
      </c>
      <c r="AP98" s="7" t="n">
        <f aca="false">SUMIFS(Doors!BB:BB,Doors!$A:$A,$D98,Doors!$B:$B,$B98,Doors!$C:$C,$C98)*SUMIFS(Velocity!$I:$I,Velocity!$A:$A,$A98,Velocity!$B:$B,$C98)/Assumptions!$B$4*Assumptions!$B$6</f>
        <v>18.7</v>
      </c>
      <c r="AQ98" s="7" t="n">
        <f aca="false">SUMIFS(Doors!BC:BC,Doors!$A:$A,$D98,Doors!$B:$B,$B98,Doors!$C:$C,$C98)*SUMIFS(Velocity!$I:$I,Velocity!$A:$A,$A98,Velocity!$B:$B,$C98)/Assumptions!$B$4*Assumptions!$B$6</f>
        <v>18.7</v>
      </c>
      <c r="AR98" s="7" t="n">
        <f aca="false">SUMIFS(Doors!BD:BD,Doors!$A:$A,$D98,Doors!$B:$B,$B98,Doors!$C:$C,$C98)*SUMIFS(Velocity!$I:$I,Velocity!$A:$A,$A98,Velocity!$B:$B,$C98)/Assumptions!$B$4*Assumptions!$B$6</f>
        <v>20.4</v>
      </c>
      <c r="AS98" s="7" t="n">
        <f aca="false">SUMIFS(Doors!BE:BE,Doors!$A:$A,$D98,Doors!$B:$B,$B98,Doors!$C:$C,$C98)*SUMIFS(Velocity!$I:$I,Velocity!$A:$A,$A98,Velocity!$B:$B,$C98)/Assumptions!$B$4*Assumptions!$B$6</f>
        <v>20.4</v>
      </c>
      <c r="AT98" s="7" t="n">
        <f aca="false">SUMIFS(Doors!BF:BF,Doors!$A:$A,$D98,Doors!$B:$B,$B98,Doors!$C:$C,$C98)*SUMIFS(Velocity!$I:$I,Velocity!$A:$A,$A98,Velocity!$B:$B,$C98)/Assumptions!$B$4*Assumptions!$B$6</f>
        <v>20.4</v>
      </c>
      <c r="AU98" s="7" t="n">
        <f aca="false">SUMIFS(Doors!BG:BG,Doors!$A:$A,$D98,Doors!$B:$B,$B98,Doors!$C:$C,$C98)*SUMIFS(Velocity!$I:$I,Velocity!$A:$A,$A98,Velocity!$B:$B,$C98)/Assumptions!$B$4*Assumptions!$B$6</f>
        <v>20.4</v>
      </c>
      <c r="AV98" s="7" t="n">
        <f aca="false">SUMIFS(Doors!BH:BH,Doors!$A:$A,$D98,Doors!$B:$B,$B98,Doors!$C:$C,$C98)*SUMIFS(Velocity!$I:$I,Velocity!$A:$A,$A98,Velocity!$B:$B,$C98)/Assumptions!$B$4*Assumptions!$B$6</f>
        <v>20.4</v>
      </c>
      <c r="AW98" s="7" t="n">
        <f aca="false">SUMIFS(Doors!BI:BI,Doors!$A:$A,$D98,Doors!$B:$B,$B98,Doors!$C:$C,$C98)*SUMIFS(Velocity!$I:$I,Velocity!$A:$A,$A98,Velocity!$B:$B,$C98)/Assumptions!$B$4*Assumptions!$B$6</f>
        <v>21.5333333333333</v>
      </c>
      <c r="AX98" s="7" t="n">
        <f aca="false">SUMIFS(Doors!BJ:BJ,Doors!$A:$A,$D98,Doors!$B:$B,$B98,Doors!$C:$C,$C98)*SUMIFS(Velocity!$I:$I,Velocity!$A:$A,$A98,Velocity!$B:$B,$C98)/Assumptions!$B$4*Assumptions!$B$6</f>
        <v>21.5333333333333</v>
      </c>
      <c r="AY98" s="7" t="n">
        <f aca="false">SUMIFS(Doors!BK:BK,Doors!$A:$A,$D98,Doors!$B:$B,$B98,Doors!$C:$C,$C98)*SUMIFS(Velocity!$I:$I,Velocity!$A:$A,$A98,Velocity!$B:$B,$C98)/Assumptions!$B$4*Assumptions!$B$6</f>
        <v>21.5333333333333</v>
      </c>
      <c r="AZ98" s="7" t="n">
        <f aca="false">SUMIFS(Doors!BL:BL,Doors!$A:$A,$D98,Doors!$B:$B,$B98,Doors!$C:$C,$C98)*SUMIFS(Velocity!$I:$I,Velocity!$A:$A,$A98,Velocity!$B:$B,$C98)/Assumptions!$B$4*Assumptions!$B$6</f>
        <v>21.5333333333333</v>
      </c>
      <c r="BA98" s="7" t="n">
        <f aca="false">SUMIFS(Doors!BM:BM,Doors!$A:$A,$D98,Doors!$B:$B,$B98,Doors!$C:$C,$C98)*SUMIFS(Velocity!$I:$I,Velocity!$A:$A,$A98,Velocity!$B:$B,$C98)/Assumptions!$B$4*Assumptions!$B$6</f>
        <v>22.6666666666667</v>
      </c>
      <c r="BB98" s="7" t="n">
        <f aca="false">SUMIFS(Doors!BN:BN,Doors!$A:$A,$D98,Doors!$B:$B,$B98,Doors!$C:$C,$C98)*SUMIFS(Velocity!$I:$I,Velocity!$A:$A,$A98,Velocity!$B:$B,$C98)/Assumptions!$B$4*Assumptions!$B$6</f>
        <v>22.6666666666667</v>
      </c>
      <c r="BC98" s="7" t="n">
        <f aca="false">SUMIFS(Doors!BO:BO,Doors!$A:$A,$D98,Doors!$B:$B,$B98,Doors!$C:$C,$C98)*SUMIFS(Velocity!$I:$I,Velocity!$A:$A,$A98,Velocity!$B:$B,$C98)/Assumptions!$B$4*Assumptions!$B$6</f>
        <v>22.6666666666667</v>
      </c>
      <c r="BD98" s="7" t="n">
        <f aca="false">SUMIFS(Doors!BP:BP,Doors!$A:$A,$D98,Doors!$B:$B,$B98,Doors!$C:$C,$C98)*SUMIFS(Velocity!$I:$I,Velocity!$A:$A,$A98,Velocity!$B:$B,$C98)/Assumptions!$B$4*Assumptions!$B$6</f>
        <v>22.6666666666667</v>
      </c>
    </row>
    <row r="99" customFormat="false" ht="15" hidden="false" customHeight="false" outlineLevel="0" collapsed="false">
      <c r="A99" s="0" t="s">
        <v>109</v>
      </c>
      <c r="B99" s="0" t="s">
        <v>126</v>
      </c>
      <c r="C99" s="0" t="s">
        <v>118</v>
      </c>
      <c r="D99" s="0" t="s">
        <v>235</v>
      </c>
      <c r="E99" s="7" t="n">
        <f aca="false">SUMIFS(Doors!Q:Q,Doors!$A:$A,$D99,Doors!$B:$B,$B99,Doors!$C:$C,$C99)*SUMIFS(Velocity!$I:$I,Velocity!$A:$A,$A99,Velocity!$B:$B,$C99)/Assumptions!$B$4*Assumptions!$B$6</f>
        <v>0</v>
      </c>
      <c r="F99" s="7" t="n">
        <f aca="false">SUMIFS(Doors!R:R,Doors!$A:$A,$D99,Doors!$B:$B,$B99,Doors!$C:$C,$C99)*SUMIFS(Velocity!$I:$I,Velocity!$A:$A,$A99,Velocity!$B:$B,$C99)/Assumptions!$B$4*Assumptions!$B$6</f>
        <v>0</v>
      </c>
      <c r="G99" s="7" t="n">
        <f aca="false">SUMIFS(Doors!S:S,Doors!$A:$A,$D99,Doors!$B:$B,$B99,Doors!$C:$C,$C99)*SUMIFS(Velocity!$I:$I,Velocity!$A:$A,$A99,Velocity!$B:$B,$C99)/Assumptions!$B$4*Assumptions!$B$6</f>
        <v>0</v>
      </c>
      <c r="H99" s="7" t="n">
        <f aca="false">SUMIFS(Doors!T:T,Doors!$A:$A,$D99,Doors!$B:$B,$B99,Doors!$C:$C,$C99)*SUMIFS(Velocity!$I:$I,Velocity!$A:$A,$A99,Velocity!$B:$B,$C99)/Assumptions!$B$4*Assumptions!$B$6</f>
        <v>0</v>
      </c>
      <c r="I99" s="7" t="n">
        <f aca="false">SUMIFS(Doors!U:U,Doors!$A:$A,$D99,Doors!$B:$B,$B99,Doors!$C:$C,$C99)*SUMIFS(Velocity!$I:$I,Velocity!$A:$A,$A99,Velocity!$B:$B,$C99)/Assumptions!$B$4*Assumptions!$B$6</f>
        <v>0</v>
      </c>
      <c r="J99" s="7" t="n">
        <f aca="false">SUMIFS(Doors!V:V,Doors!$A:$A,$D99,Doors!$B:$B,$B99,Doors!$C:$C,$C99)*SUMIFS(Velocity!$I:$I,Velocity!$A:$A,$A99,Velocity!$B:$B,$C99)/Assumptions!$B$4*Assumptions!$B$6</f>
        <v>0</v>
      </c>
      <c r="K99" s="7" t="n">
        <f aca="false">SUMIFS(Doors!W:W,Doors!$A:$A,$D99,Doors!$B:$B,$B99,Doors!$C:$C,$C99)*SUMIFS(Velocity!$I:$I,Velocity!$A:$A,$A99,Velocity!$B:$B,$C99)/Assumptions!$B$4*Assumptions!$B$6</f>
        <v>0</v>
      </c>
      <c r="L99" s="7" t="n">
        <f aca="false">SUMIFS(Doors!X:X,Doors!$A:$A,$D99,Doors!$B:$B,$B99,Doors!$C:$C,$C99)*SUMIFS(Velocity!$I:$I,Velocity!$A:$A,$A99,Velocity!$B:$B,$C99)/Assumptions!$B$4*Assumptions!$B$6</f>
        <v>0</v>
      </c>
      <c r="M99" s="7" t="n">
        <f aca="false">SUMIFS(Doors!Y:Y,Doors!$A:$A,$D99,Doors!$B:$B,$B99,Doors!$C:$C,$C99)*SUMIFS(Velocity!$I:$I,Velocity!$A:$A,$A99,Velocity!$B:$B,$C99)/Assumptions!$B$4*Assumptions!$B$6</f>
        <v>0</v>
      </c>
      <c r="N99" s="7" t="n">
        <f aca="false">SUMIFS(Doors!Z:Z,Doors!$A:$A,$D99,Doors!$B:$B,$B99,Doors!$C:$C,$C99)*SUMIFS(Velocity!$I:$I,Velocity!$A:$A,$A99,Velocity!$B:$B,$C99)/Assumptions!$B$4*Assumptions!$B$6</f>
        <v>0</v>
      </c>
      <c r="O99" s="7" t="n">
        <f aca="false">SUMIFS(Doors!AA:AA,Doors!$A:$A,$D99,Doors!$B:$B,$B99,Doors!$C:$C,$C99)*SUMIFS(Velocity!$I:$I,Velocity!$A:$A,$A99,Velocity!$B:$B,$C99)/Assumptions!$B$4*Assumptions!$B$6</f>
        <v>0</v>
      </c>
      <c r="P99" s="7" t="n">
        <f aca="false">SUMIFS(Doors!AB:AB,Doors!$A:$A,$D99,Doors!$B:$B,$B99,Doors!$C:$C,$C99)*SUMIFS(Velocity!$I:$I,Velocity!$A:$A,$A99,Velocity!$B:$B,$C99)/Assumptions!$B$4*Assumptions!$B$6</f>
        <v>0</v>
      </c>
      <c r="Q99" s="7" t="n">
        <f aca="false">SUMIFS(Doors!AC:AC,Doors!$A:$A,$D99,Doors!$B:$B,$B99,Doors!$C:$C,$C99)*SUMIFS(Velocity!$I:$I,Velocity!$A:$A,$A99,Velocity!$B:$B,$C99)/Assumptions!$B$4*Assumptions!$B$6</f>
        <v>0</v>
      </c>
      <c r="R99" s="7" t="n">
        <f aca="false">SUMIFS(Doors!AD:AD,Doors!$A:$A,$D99,Doors!$B:$B,$B99,Doors!$C:$C,$C99)*SUMIFS(Velocity!$I:$I,Velocity!$A:$A,$A99,Velocity!$B:$B,$C99)/Assumptions!$B$4*Assumptions!$B$6</f>
        <v>0</v>
      </c>
      <c r="S99" s="7" t="n">
        <f aca="false">SUMIFS(Doors!AE:AE,Doors!$A:$A,$D99,Doors!$B:$B,$B99,Doors!$C:$C,$C99)*SUMIFS(Velocity!$I:$I,Velocity!$A:$A,$A99,Velocity!$B:$B,$C99)/Assumptions!$B$4*Assumptions!$B$6</f>
        <v>0</v>
      </c>
      <c r="T99" s="7" t="n">
        <f aca="false">SUMIFS(Doors!AF:AF,Doors!$A:$A,$D99,Doors!$B:$B,$B99,Doors!$C:$C,$C99)*SUMIFS(Velocity!$I:$I,Velocity!$A:$A,$A99,Velocity!$B:$B,$C99)/Assumptions!$B$4*Assumptions!$B$6</f>
        <v>0</v>
      </c>
      <c r="U99" s="7" t="n">
        <f aca="false">SUMIFS(Doors!AG:AG,Doors!$A:$A,$D99,Doors!$B:$B,$B99,Doors!$C:$C,$C99)*SUMIFS(Velocity!$I:$I,Velocity!$A:$A,$A99,Velocity!$B:$B,$C99)/Assumptions!$B$4*Assumptions!$B$6</f>
        <v>0</v>
      </c>
      <c r="V99" s="7" t="n">
        <f aca="false">SUMIFS(Doors!AH:AH,Doors!$A:$A,$D99,Doors!$B:$B,$B99,Doors!$C:$C,$C99)*SUMIFS(Velocity!$I:$I,Velocity!$A:$A,$A99,Velocity!$B:$B,$C99)/Assumptions!$B$4*Assumptions!$B$6</f>
        <v>0</v>
      </c>
      <c r="W99" s="7" t="n">
        <f aca="false">SUMIFS(Doors!AI:AI,Doors!$A:$A,$D99,Doors!$B:$B,$B99,Doors!$C:$C,$C99)*SUMIFS(Velocity!$I:$I,Velocity!$A:$A,$A99,Velocity!$B:$B,$C99)/Assumptions!$B$4*Assumptions!$B$6</f>
        <v>0</v>
      </c>
      <c r="X99" s="7" t="n">
        <f aca="false">SUMIFS(Doors!AJ:AJ,Doors!$A:$A,$D99,Doors!$B:$B,$B99,Doors!$C:$C,$C99)*SUMIFS(Velocity!$I:$I,Velocity!$A:$A,$A99,Velocity!$B:$B,$C99)/Assumptions!$B$4*Assumptions!$B$6</f>
        <v>0</v>
      </c>
      <c r="Y99" s="7" t="n">
        <f aca="false">SUMIFS(Doors!AK:AK,Doors!$A:$A,$D99,Doors!$B:$B,$B99,Doors!$C:$C,$C99)*SUMIFS(Velocity!$I:$I,Velocity!$A:$A,$A99,Velocity!$B:$B,$C99)/Assumptions!$B$4*Assumptions!$B$6</f>
        <v>0</v>
      </c>
      <c r="Z99" s="7" t="n">
        <f aca="false">SUMIFS(Doors!AL:AL,Doors!$A:$A,$D99,Doors!$B:$B,$B99,Doors!$C:$C,$C99)*SUMIFS(Velocity!$I:$I,Velocity!$A:$A,$A99,Velocity!$B:$B,$C99)/Assumptions!$B$4*Assumptions!$B$6</f>
        <v>0</v>
      </c>
      <c r="AA99" s="7" t="n">
        <f aca="false">SUMIFS(Doors!AM:AM,Doors!$A:$A,$D99,Doors!$B:$B,$B99,Doors!$C:$C,$C99)*SUMIFS(Velocity!$I:$I,Velocity!$A:$A,$A99,Velocity!$B:$B,$C99)/Assumptions!$B$4*Assumptions!$B$6</f>
        <v>0</v>
      </c>
      <c r="AB99" s="7" t="n">
        <f aca="false">SUMIFS(Doors!AN:AN,Doors!$A:$A,$D99,Doors!$B:$B,$B99,Doors!$C:$C,$C99)*SUMIFS(Velocity!$I:$I,Velocity!$A:$A,$A99,Velocity!$B:$B,$C99)/Assumptions!$B$4*Assumptions!$B$6</f>
        <v>0</v>
      </c>
      <c r="AC99" s="7" t="n">
        <f aca="false">SUMIFS(Doors!AO:AO,Doors!$A:$A,$D99,Doors!$B:$B,$B99,Doors!$C:$C,$C99)*SUMIFS(Velocity!$I:$I,Velocity!$A:$A,$A99,Velocity!$B:$B,$C99)/Assumptions!$B$4*Assumptions!$B$6</f>
        <v>0</v>
      </c>
      <c r="AD99" s="7" t="n">
        <f aca="false">SUMIFS(Doors!AP:AP,Doors!$A:$A,$D99,Doors!$B:$B,$B99,Doors!$C:$C,$C99)*SUMIFS(Velocity!$I:$I,Velocity!$A:$A,$A99,Velocity!$B:$B,$C99)/Assumptions!$B$4*Assumptions!$B$6</f>
        <v>0</v>
      </c>
      <c r="AE99" s="7" t="n">
        <f aca="false">SUMIFS(Doors!AQ:AQ,Doors!$A:$A,$D99,Doors!$B:$B,$B99,Doors!$C:$C,$C99)*SUMIFS(Velocity!$I:$I,Velocity!$A:$A,$A99,Velocity!$B:$B,$C99)/Assumptions!$B$4*Assumptions!$B$6</f>
        <v>415</v>
      </c>
      <c r="AF99" s="7" t="n">
        <f aca="false">SUMIFS(Doors!AR:AR,Doors!$A:$A,$D99,Doors!$B:$B,$B99,Doors!$C:$C,$C99)*SUMIFS(Velocity!$I:$I,Velocity!$A:$A,$A99,Velocity!$B:$B,$C99)/Assumptions!$B$4*Assumptions!$B$6</f>
        <v>415</v>
      </c>
      <c r="AG99" s="7" t="n">
        <f aca="false">SUMIFS(Doors!AS:AS,Doors!$A:$A,$D99,Doors!$B:$B,$B99,Doors!$C:$C,$C99)*SUMIFS(Velocity!$I:$I,Velocity!$A:$A,$A99,Velocity!$B:$B,$C99)/Assumptions!$B$4*Assumptions!$B$6</f>
        <v>415</v>
      </c>
      <c r="AH99" s="7" t="n">
        <f aca="false">SUMIFS(Doors!AT:AT,Doors!$A:$A,$D99,Doors!$B:$B,$B99,Doors!$C:$C,$C99)*SUMIFS(Velocity!$I:$I,Velocity!$A:$A,$A99,Velocity!$B:$B,$C99)/Assumptions!$B$4*Assumptions!$B$6</f>
        <v>415</v>
      </c>
      <c r="AI99" s="7" t="n">
        <f aca="false">SUMIFS(Doors!AU:AU,Doors!$A:$A,$D99,Doors!$B:$B,$B99,Doors!$C:$C,$C99)*SUMIFS(Velocity!$I:$I,Velocity!$A:$A,$A99,Velocity!$B:$B,$C99)/Assumptions!$B$4*Assumptions!$B$6</f>
        <v>415</v>
      </c>
      <c r="AJ99" s="7" t="n">
        <f aca="false">SUMIFS(Doors!AV:AV,Doors!$A:$A,$D99,Doors!$B:$B,$B99,Doors!$C:$C,$C99)*SUMIFS(Velocity!$I:$I,Velocity!$A:$A,$A99,Velocity!$B:$B,$C99)/Assumptions!$B$4*Assumptions!$B$6</f>
        <v>0</v>
      </c>
      <c r="AK99" s="7" t="n">
        <f aca="false">SUMIFS(Doors!AW:AW,Doors!$A:$A,$D99,Doors!$B:$B,$B99,Doors!$C:$C,$C99)*SUMIFS(Velocity!$I:$I,Velocity!$A:$A,$A99,Velocity!$B:$B,$C99)/Assumptions!$B$4*Assumptions!$B$6</f>
        <v>0</v>
      </c>
      <c r="AL99" s="7" t="n">
        <f aca="false">SUMIFS(Doors!AX:AX,Doors!$A:$A,$D99,Doors!$B:$B,$B99,Doors!$C:$C,$C99)*SUMIFS(Velocity!$I:$I,Velocity!$A:$A,$A99,Velocity!$B:$B,$C99)/Assumptions!$B$4*Assumptions!$B$6</f>
        <v>0</v>
      </c>
      <c r="AM99" s="7" t="n">
        <f aca="false">SUMIFS(Doors!AY:AY,Doors!$A:$A,$D99,Doors!$B:$B,$B99,Doors!$C:$C,$C99)*SUMIFS(Velocity!$I:$I,Velocity!$A:$A,$A99,Velocity!$B:$B,$C99)/Assumptions!$B$4*Assumptions!$B$6</f>
        <v>0</v>
      </c>
      <c r="AN99" s="7" t="n">
        <f aca="false">SUMIFS(Doors!AZ:AZ,Doors!$A:$A,$D99,Doors!$B:$B,$B99,Doors!$C:$C,$C99)*SUMIFS(Velocity!$I:$I,Velocity!$A:$A,$A99,Velocity!$B:$B,$C99)/Assumptions!$B$4*Assumptions!$B$6</f>
        <v>0</v>
      </c>
      <c r="AO99" s="7" t="n">
        <f aca="false">SUMIFS(Doors!BA:BA,Doors!$A:$A,$D99,Doors!$B:$B,$B99,Doors!$C:$C,$C99)*SUMIFS(Velocity!$I:$I,Velocity!$A:$A,$A99,Velocity!$B:$B,$C99)/Assumptions!$B$4*Assumptions!$B$6</f>
        <v>0</v>
      </c>
      <c r="AP99" s="7" t="n">
        <f aca="false">SUMIFS(Doors!BB:BB,Doors!$A:$A,$D99,Doors!$B:$B,$B99,Doors!$C:$C,$C99)*SUMIFS(Velocity!$I:$I,Velocity!$A:$A,$A99,Velocity!$B:$B,$C99)/Assumptions!$B$4*Assumptions!$B$6</f>
        <v>0</v>
      </c>
      <c r="AQ99" s="7" t="n">
        <f aca="false">SUMIFS(Doors!BC:BC,Doors!$A:$A,$D99,Doors!$B:$B,$B99,Doors!$C:$C,$C99)*SUMIFS(Velocity!$I:$I,Velocity!$A:$A,$A99,Velocity!$B:$B,$C99)/Assumptions!$B$4*Assumptions!$B$6</f>
        <v>0</v>
      </c>
      <c r="AR99" s="7" t="n">
        <f aca="false">SUMIFS(Doors!BD:BD,Doors!$A:$A,$D99,Doors!$B:$B,$B99,Doors!$C:$C,$C99)*SUMIFS(Velocity!$I:$I,Velocity!$A:$A,$A99,Velocity!$B:$B,$C99)/Assumptions!$B$4*Assumptions!$B$6</f>
        <v>172.916666666667</v>
      </c>
      <c r="AS99" s="7" t="n">
        <f aca="false">SUMIFS(Doors!BE:BE,Doors!$A:$A,$D99,Doors!$B:$B,$B99,Doors!$C:$C,$C99)*SUMIFS(Velocity!$I:$I,Velocity!$A:$A,$A99,Velocity!$B:$B,$C99)/Assumptions!$B$4*Assumptions!$B$6</f>
        <v>172.916666666667</v>
      </c>
      <c r="AT99" s="7" t="n">
        <f aca="false">SUMIFS(Doors!BF:BF,Doors!$A:$A,$D99,Doors!$B:$B,$B99,Doors!$C:$C,$C99)*SUMIFS(Velocity!$I:$I,Velocity!$A:$A,$A99,Velocity!$B:$B,$C99)/Assumptions!$B$4*Assumptions!$B$6</f>
        <v>172.916666666667</v>
      </c>
      <c r="AU99" s="7" t="n">
        <f aca="false">SUMIFS(Doors!BG:BG,Doors!$A:$A,$D99,Doors!$B:$B,$B99,Doors!$C:$C,$C99)*SUMIFS(Velocity!$I:$I,Velocity!$A:$A,$A99,Velocity!$B:$B,$C99)/Assumptions!$B$4*Assumptions!$B$6</f>
        <v>172.916666666667</v>
      </c>
      <c r="AV99" s="7" t="n">
        <f aca="false">SUMIFS(Doors!BH:BH,Doors!$A:$A,$D99,Doors!$B:$B,$B99,Doors!$C:$C,$C99)*SUMIFS(Velocity!$I:$I,Velocity!$A:$A,$A99,Velocity!$B:$B,$C99)/Assumptions!$B$4*Assumptions!$B$6</f>
        <v>172.916666666667</v>
      </c>
      <c r="AW99" s="7" t="n">
        <f aca="false">SUMIFS(Doors!BI:BI,Doors!$A:$A,$D99,Doors!$B:$B,$B99,Doors!$C:$C,$C99)*SUMIFS(Velocity!$I:$I,Velocity!$A:$A,$A99,Velocity!$B:$B,$C99)/Assumptions!$B$4*Assumptions!$B$6</f>
        <v>172.916666666667</v>
      </c>
      <c r="AX99" s="7" t="n">
        <f aca="false">SUMIFS(Doors!BJ:BJ,Doors!$A:$A,$D99,Doors!$B:$B,$B99,Doors!$C:$C,$C99)*SUMIFS(Velocity!$I:$I,Velocity!$A:$A,$A99,Velocity!$B:$B,$C99)/Assumptions!$B$4*Assumptions!$B$6</f>
        <v>172.916666666667</v>
      </c>
      <c r="AY99" s="7" t="n">
        <f aca="false">SUMIFS(Doors!BK:BK,Doors!$A:$A,$D99,Doors!$B:$B,$B99,Doors!$C:$C,$C99)*SUMIFS(Velocity!$I:$I,Velocity!$A:$A,$A99,Velocity!$B:$B,$C99)/Assumptions!$B$4*Assumptions!$B$6</f>
        <v>172.916666666667</v>
      </c>
      <c r="AZ99" s="7" t="n">
        <f aca="false">SUMIFS(Doors!BL:BL,Doors!$A:$A,$D99,Doors!$B:$B,$B99,Doors!$C:$C,$C99)*SUMIFS(Velocity!$I:$I,Velocity!$A:$A,$A99,Velocity!$B:$B,$C99)/Assumptions!$B$4*Assumptions!$B$6</f>
        <v>172.916666666667</v>
      </c>
      <c r="BA99" s="7" t="n">
        <f aca="false">SUMIFS(Doors!BM:BM,Doors!$A:$A,$D99,Doors!$B:$B,$B99,Doors!$C:$C,$C99)*SUMIFS(Velocity!$I:$I,Velocity!$A:$A,$A99,Velocity!$B:$B,$C99)/Assumptions!$B$4*Assumptions!$B$6</f>
        <v>172.916666666667</v>
      </c>
      <c r="BB99" s="7" t="n">
        <f aca="false">SUMIFS(Doors!BN:BN,Doors!$A:$A,$D99,Doors!$B:$B,$B99,Doors!$C:$C,$C99)*SUMIFS(Velocity!$I:$I,Velocity!$A:$A,$A99,Velocity!$B:$B,$C99)/Assumptions!$B$4*Assumptions!$B$6</f>
        <v>172.916666666667</v>
      </c>
      <c r="BC99" s="7" t="n">
        <f aca="false">SUMIFS(Doors!BO:BO,Doors!$A:$A,$D99,Doors!$B:$B,$B99,Doors!$C:$C,$C99)*SUMIFS(Velocity!$I:$I,Velocity!$A:$A,$A99,Velocity!$B:$B,$C99)/Assumptions!$B$4*Assumptions!$B$6</f>
        <v>172.916666666667</v>
      </c>
      <c r="BD99" s="7" t="n">
        <f aca="false">SUMIFS(Doors!BP:BP,Doors!$A:$A,$D99,Doors!$B:$B,$B99,Doors!$C:$C,$C99)*SUMIFS(Velocity!$I:$I,Velocity!$A:$A,$A99,Velocity!$B:$B,$C99)/Assumptions!$B$4*Assumptions!$B$6</f>
        <v>172.916666666667</v>
      </c>
    </row>
    <row r="100" customFormat="false" ht="15" hidden="false" customHeight="false" outlineLevel="0" collapsed="false">
      <c r="A100" s="0" t="s">
        <v>109</v>
      </c>
      <c r="B100" s="0" t="s">
        <v>126</v>
      </c>
      <c r="C100" s="0" t="s">
        <v>119</v>
      </c>
      <c r="D100" s="0" t="s">
        <v>235</v>
      </c>
      <c r="E100" s="7" t="n">
        <f aca="false">SUMIFS(Doors!Q:Q,Doors!$A:$A,$D100,Doors!$B:$B,$B100,Doors!$C:$C,$C100)*SUMIFS(Velocity!$I:$I,Velocity!$A:$A,$A100,Velocity!$B:$B,$C100)/Assumptions!$B$4*Assumptions!$B$6</f>
        <v>5</v>
      </c>
      <c r="F100" s="7" t="n">
        <f aca="false">SUMIFS(Doors!R:R,Doors!$A:$A,$D100,Doors!$B:$B,$B100,Doors!$C:$C,$C100)*SUMIFS(Velocity!$I:$I,Velocity!$A:$A,$A100,Velocity!$B:$B,$C100)/Assumptions!$B$4*Assumptions!$B$6</f>
        <v>5</v>
      </c>
      <c r="G100" s="7" t="n">
        <f aca="false">SUMIFS(Doors!S:S,Doors!$A:$A,$D100,Doors!$B:$B,$B100,Doors!$C:$C,$C100)*SUMIFS(Velocity!$I:$I,Velocity!$A:$A,$A100,Velocity!$B:$B,$C100)/Assumptions!$B$4*Assumptions!$B$6</f>
        <v>5</v>
      </c>
      <c r="H100" s="7" t="n">
        <f aca="false">SUMIFS(Doors!T:T,Doors!$A:$A,$D100,Doors!$B:$B,$B100,Doors!$C:$C,$C100)*SUMIFS(Velocity!$I:$I,Velocity!$A:$A,$A100,Velocity!$B:$B,$C100)/Assumptions!$B$4*Assumptions!$B$6</f>
        <v>5</v>
      </c>
      <c r="I100" s="7" t="n">
        <f aca="false">SUMIFS(Doors!U:U,Doors!$A:$A,$D100,Doors!$B:$B,$B100,Doors!$C:$C,$C100)*SUMIFS(Velocity!$I:$I,Velocity!$A:$A,$A100,Velocity!$B:$B,$C100)/Assumptions!$B$4*Assumptions!$B$6</f>
        <v>5</v>
      </c>
      <c r="J100" s="7" t="n">
        <f aca="false">SUMIFS(Doors!V:V,Doors!$A:$A,$D100,Doors!$B:$B,$B100,Doors!$C:$C,$C100)*SUMIFS(Velocity!$I:$I,Velocity!$A:$A,$A100,Velocity!$B:$B,$C100)/Assumptions!$B$4*Assumptions!$B$6</f>
        <v>6.66666666666667</v>
      </c>
      <c r="K100" s="7" t="n">
        <f aca="false">SUMIFS(Doors!W:W,Doors!$A:$A,$D100,Doors!$B:$B,$B100,Doors!$C:$C,$C100)*SUMIFS(Velocity!$I:$I,Velocity!$A:$A,$A100,Velocity!$B:$B,$C100)/Assumptions!$B$4*Assumptions!$B$6</f>
        <v>6.66666666666667</v>
      </c>
      <c r="L100" s="7" t="n">
        <f aca="false">SUMIFS(Doors!X:X,Doors!$A:$A,$D100,Doors!$B:$B,$B100,Doors!$C:$C,$C100)*SUMIFS(Velocity!$I:$I,Velocity!$A:$A,$A100,Velocity!$B:$B,$C100)/Assumptions!$B$4*Assumptions!$B$6</f>
        <v>6.66666666666667</v>
      </c>
      <c r="M100" s="7" t="n">
        <f aca="false">SUMIFS(Doors!Y:Y,Doors!$A:$A,$D100,Doors!$B:$B,$B100,Doors!$C:$C,$C100)*SUMIFS(Velocity!$I:$I,Velocity!$A:$A,$A100,Velocity!$B:$B,$C100)/Assumptions!$B$4*Assumptions!$B$6</f>
        <v>6.66666666666667</v>
      </c>
      <c r="N100" s="7" t="n">
        <f aca="false">SUMIFS(Doors!Z:Z,Doors!$A:$A,$D100,Doors!$B:$B,$B100,Doors!$C:$C,$C100)*SUMIFS(Velocity!$I:$I,Velocity!$A:$A,$A100,Velocity!$B:$B,$C100)/Assumptions!$B$4*Assumptions!$B$6</f>
        <v>9.16666666666667</v>
      </c>
      <c r="O100" s="7" t="n">
        <f aca="false">SUMIFS(Doors!AA:AA,Doors!$A:$A,$D100,Doors!$B:$B,$B100,Doors!$C:$C,$C100)*SUMIFS(Velocity!$I:$I,Velocity!$A:$A,$A100,Velocity!$B:$B,$C100)/Assumptions!$B$4*Assumptions!$B$6</f>
        <v>9.16666666666667</v>
      </c>
      <c r="P100" s="7" t="n">
        <f aca="false">SUMIFS(Doors!AB:AB,Doors!$A:$A,$D100,Doors!$B:$B,$B100,Doors!$C:$C,$C100)*SUMIFS(Velocity!$I:$I,Velocity!$A:$A,$A100,Velocity!$B:$B,$C100)/Assumptions!$B$4*Assumptions!$B$6</f>
        <v>9.16666666666667</v>
      </c>
      <c r="Q100" s="7" t="n">
        <f aca="false">SUMIFS(Doors!AC:AC,Doors!$A:$A,$D100,Doors!$B:$B,$B100,Doors!$C:$C,$C100)*SUMIFS(Velocity!$I:$I,Velocity!$A:$A,$A100,Velocity!$B:$B,$C100)/Assumptions!$B$4*Assumptions!$B$6</f>
        <v>9.16666666666667</v>
      </c>
      <c r="R100" s="7" t="n">
        <f aca="false">SUMIFS(Doors!AD:AD,Doors!$A:$A,$D100,Doors!$B:$B,$B100,Doors!$C:$C,$C100)*SUMIFS(Velocity!$I:$I,Velocity!$A:$A,$A100,Velocity!$B:$B,$C100)/Assumptions!$B$4*Assumptions!$B$6</f>
        <v>11.6666666666667</v>
      </c>
      <c r="S100" s="7" t="n">
        <f aca="false">SUMIFS(Doors!AE:AE,Doors!$A:$A,$D100,Doors!$B:$B,$B100,Doors!$C:$C,$C100)*SUMIFS(Velocity!$I:$I,Velocity!$A:$A,$A100,Velocity!$B:$B,$C100)/Assumptions!$B$4*Assumptions!$B$6</f>
        <v>11.6666666666667</v>
      </c>
      <c r="T100" s="7" t="n">
        <f aca="false">SUMIFS(Doors!AF:AF,Doors!$A:$A,$D100,Doors!$B:$B,$B100,Doors!$C:$C,$C100)*SUMIFS(Velocity!$I:$I,Velocity!$A:$A,$A100,Velocity!$B:$B,$C100)/Assumptions!$B$4*Assumptions!$B$6</f>
        <v>11.6666666666667</v>
      </c>
      <c r="U100" s="7" t="n">
        <f aca="false">SUMIFS(Doors!AG:AG,Doors!$A:$A,$D100,Doors!$B:$B,$B100,Doors!$C:$C,$C100)*SUMIFS(Velocity!$I:$I,Velocity!$A:$A,$A100,Velocity!$B:$B,$C100)/Assumptions!$B$4*Assumptions!$B$6</f>
        <v>11.6666666666667</v>
      </c>
      <c r="V100" s="7" t="n">
        <f aca="false">SUMIFS(Doors!AH:AH,Doors!$A:$A,$D100,Doors!$B:$B,$B100,Doors!$C:$C,$C100)*SUMIFS(Velocity!$I:$I,Velocity!$A:$A,$A100,Velocity!$B:$B,$C100)/Assumptions!$B$4*Assumptions!$B$6</f>
        <v>11.6666666666667</v>
      </c>
      <c r="W100" s="7" t="n">
        <f aca="false">SUMIFS(Doors!AI:AI,Doors!$A:$A,$D100,Doors!$B:$B,$B100,Doors!$C:$C,$C100)*SUMIFS(Velocity!$I:$I,Velocity!$A:$A,$A100,Velocity!$B:$B,$C100)/Assumptions!$B$4*Assumptions!$B$6</f>
        <v>13.3333333333333</v>
      </c>
      <c r="X100" s="7" t="n">
        <f aca="false">SUMIFS(Doors!AJ:AJ,Doors!$A:$A,$D100,Doors!$B:$B,$B100,Doors!$C:$C,$C100)*SUMIFS(Velocity!$I:$I,Velocity!$A:$A,$A100,Velocity!$B:$B,$C100)/Assumptions!$B$4*Assumptions!$B$6</f>
        <v>13.3333333333333</v>
      </c>
      <c r="Y100" s="7" t="n">
        <f aca="false">SUMIFS(Doors!AK:AK,Doors!$A:$A,$D100,Doors!$B:$B,$B100,Doors!$C:$C,$C100)*SUMIFS(Velocity!$I:$I,Velocity!$A:$A,$A100,Velocity!$B:$B,$C100)/Assumptions!$B$4*Assumptions!$B$6</f>
        <v>13.3333333333333</v>
      </c>
      <c r="Z100" s="7" t="n">
        <f aca="false">SUMIFS(Doors!AL:AL,Doors!$A:$A,$D100,Doors!$B:$B,$B100,Doors!$C:$C,$C100)*SUMIFS(Velocity!$I:$I,Velocity!$A:$A,$A100,Velocity!$B:$B,$C100)/Assumptions!$B$4*Assumptions!$B$6</f>
        <v>13.3333333333333</v>
      </c>
      <c r="AA100" s="7" t="n">
        <f aca="false">SUMIFS(Doors!AM:AM,Doors!$A:$A,$D100,Doors!$B:$B,$B100,Doors!$C:$C,$C100)*SUMIFS(Velocity!$I:$I,Velocity!$A:$A,$A100,Velocity!$B:$B,$C100)/Assumptions!$B$4*Assumptions!$B$6</f>
        <v>15</v>
      </c>
      <c r="AB100" s="7" t="n">
        <f aca="false">SUMIFS(Doors!AN:AN,Doors!$A:$A,$D100,Doors!$B:$B,$B100,Doors!$C:$C,$C100)*SUMIFS(Velocity!$I:$I,Velocity!$A:$A,$A100,Velocity!$B:$B,$C100)/Assumptions!$B$4*Assumptions!$B$6</f>
        <v>15</v>
      </c>
      <c r="AC100" s="7" t="n">
        <f aca="false">SUMIFS(Doors!AO:AO,Doors!$A:$A,$D100,Doors!$B:$B,$B100,Doors!$C:$C,$C100)*SUMIFS(Velocity!$I:$I,Velocity!$A:$A,$A100,Velocity!$B:$B,$C100)/Assumptions!$B$4*Assumptions!$B$6</f>
        <v>15</v>
      </c>
      <c r="AD100" s="7" t="n">
        <f aca="false">SUMIFS(Doors!AP:AP,Doors!$A:$A,$D100,Doors!$B:$B,$B100,Doors!$C:$C,$C100)*SUMIFS(Velocity!$I:$I,Velocity!$A:$A,$A100,Velocity!$B:$B,$C100)/Assumptions!$B$4*Assumptions!$B$6</f>
        <v>15</v>
      </c>
      <c r="AE100" s="7" t="n">
        <f aca="false">SUMIFS(Doors!AQ:AQ,Doors!$A:$A,$D100,Doors!$B:$B,$B100,Doors!$C:$C,$C100)*SUMIFS(Velocity!$I:$I,Velocity!$A:$A,$A100,Velocity!$B:$B,$C100)/Assumptions!$B$4*Assumptions!$B$6</f>
        <v>16.6666666666667</v>
      </c>
      <c r="AF100" s="7" t="n">
        <f aca="false">SUMIFS(Doors!AR:AR,Doors!$A:$A,$D100,Doors!$B:$B,$B100,Doors!$C:$C,$C100)*SUMIFS(Velocity!$I:$I,Velocity!$A:$A,$A100,Velocity!$B:$B,$C100)/Assumptions!$B$4*Assumptions!$B$6</f>
        <v>16.6666666666667</v>
      </c>
      <c r="AG100" s="7" t="n">
        <f aca="false">SUMIFS(Doors!AS:AS,Doors!$A:$A,$D100,Doors!$B:$B,$B100,Doors!$C:$C,$C100)*SUMIFS(Velocity!$I:$I,Velocity!$A:$A,$A100,Velocity!$B:$B,$C100)/Assumptions!$B$4*Assumptions!$B$6</f>
        <v>16.6666666666667</v>
      </c>
      <c r="AH100" s="7" t="n">
        <f aca="false">SUMIFS(Doors!AT:AT,Doors!$A:$A,$D100,Doors!$B:$B,$B100,Doors!$C:$C,$C100)*SUMIFS(Velocity!$I:$I,Velocity!$A:$A,$A100,Velocity!$B:$B,$C100)/Assumptions!$B$4*Assumptions!$B$6</f>
        <v>16.6666666666667</v>
      </c>
      <c r="AI100" s="7" t="n">
        <f aca="false">SUMIFS(Doors!AU:AU,Doors!$A:$A,$D100,Doors!$B:$B,$B100,Doors!$C:$C,$C100)*SUMIFS(Velocity!$I:$I,Velocity!$A:$A,$A100,Velocity!$B:$B,$C100)/Assumptions!$B$4*Assumptions!$B$6</f>
        <v>16.6666666666667</v>
      </c>
      <c r="AJ100" s="7" t="n">
        <f aca="false">SUMIFS(Doors!AV:AV,Doors!$A:$A,$D100,Doors!$B:$B,$B100,Doors!$C:$C,$C100)*SUMIFS(Velocity!$I:$I,Velocity!$A:$A,$A100,Velocity!$B:$B,$C100)/Assumptions!$B$4*Assumptions!$B$6</f>
        <v>17.5</v>
      </c>
      <c r="AK100" s="7" t="n">
        <f aca="false">SUMIFS(Doors!AW:AW,Doors!$A:$A,$D100,Doors!$B:$B,$B100,Doors!$C:$C,$C100)*SUMIFS(Velocity!$I:$I,Velocity!$A:$A,$A100,Velocity!$B:$B,$C100)/Assumptions!$B$4*Assumptions!$B$6</f>
        <v>17.5</v>
      </c>
      <c r="AL100" s="7" t="n">
        <f aca="false">SUMIFS(Doors!AX:AX,Doors!$A:$A,$D100,Doors!$B:$B,$B100,Doors!$C:$C,$C100)*SUMIFS(Velocity!$I:$I,Velocity!$A:$A,$A100,Velocity!$B:$B,$C100)/Assumptions!$B$4*Assumptions!$B$6</f>
        <v>17.5</v>
      </c>
      <c r="AM100" s="7" t="n">
        <f aca="false">SUMIFS(Doors!AY:AY,Doors!$A:$A,$D100,Doors!$B:$B,$B100,Doors!$C:$C,$C100)*SUMIFS(Velocity!$I:$I,Velocity!$A:$A,$A100,Velocity!$B:$B,$C100)/Assumptions!$B$4*Assumptions!$B$6</f>
        <v>17.5</v>
      </c>
      <c r="AN100" s="7" t="n">
        <f aca="false">SUMIFS(Doors!AZ:AZ,Doors!$A:$A,$D100,Doors!$B:$B,$B100,Doors!$C:$C,$C100)*SUMIFS(Velocity!$I:$I,Velocity!$A:$A,$A100,Velocity!$B:$B,$C100)/Assumptions!$B$4*Assumptions!$B$6</f>
        <v>18.3333333333333</v>
      </c>
      <c r="AO100" s="7" t="n">
        <f aca="false">SUMIFS(Doors!BA:BA,Doors!$A:$A,$D100,Doors!$B:$B,$B100,Doors!$C:$C,$C100)*SUMIFS(Velocity!$I:$I,Velocity!$A:$A,$A100,Velocity!$B:$B,$C100)/Assumptions!$B$4*Assumptions!$B$6</f>
        <v>18.3333333333333</v>
      </c>
      <c r="AP100" s="7" t="n">
        <f aca="false">SUMIFS(Doors!BB:BB,Doors!$A:$A,$D100,Doors!$B:$B,$B100,Doors!$C:$C,$C100)*SUMIFS(Velocity!$I:$I,Velocity!$A:$A,$A100,Velocity!$B:$B,$C100)/Assumptions!$B$4*Assumptions!$B$6</f>
        <v>18.3333333333333</v>
      </c>
      <c r="AQ100" s="7" t="n">
        <f aca="false">SUMIFS(Doors!BC:BC,Doors!$A:$A,$D100,Doors!$B:$B,$B100,Doors!$C:$C,$C100)*SUMIFS(Velocity!$I:$I,Velocity!$A:$A,$A100,Velocity!$B:$B,$C100)/Assumptions!$B$4*Assumptions!$B$6</f>
        <v>18.3333333333333</v>
      </c>
      <c r="AR100" s="7" t="n">
        <f aca="false">SUMIFS(Doors!BD:BD,Doors!$A:$A,$D100,Doors!$B:$B,$B100,Doors!$C:$C,$C100)*SUMIFS(Velocity!$I:$I,Velocity!$A:$A,$A100,Velocity!$B:$B,$C100)/Assumptions!$B$4*Assumptions!$B$6</f>
        <v>19.1666666666667</v>
      </c>
      <c r="AS100" s="7" t="n">
        <f aca="false">SUMIFS(Doors!BE:BE,Doors!$A:$A,$D100,Doors!$B:$B,$B100,Doors!$C:$C,$C100)*SUMIFS(Velocity!$I:$I,Velocity!$A:$A,$A100,Velocity!$B:$B,$C100)/Assumptions!$B$4*Assumptions!$B$6</f>
        <v>19.1666666666667</v>
      </c>
      <c r="AT100" s="7" t="n">
        <f aca="false">SUMIFS(Doors!BF:BF,Doors!$A:$A,$D100,Doors!$B:$B,$B100,Doors!$C:$C,$C100)*SUMIFS(Velocity!$I:$I,Velocity!$A:$A,$A100,Velocity!$B:$B,$C100)/Assumptions!$B$4*Assumptions!$B$6</f>
        <v>19.1666666666667</v>
      </c>
      <c r="AU100" s="7" t="n">
        <f aca="false">SUMIFS(Doors!BG:BG,Doors!$A:$A,$D100,Doors!$B:$B,$B100,Doors!$C:$C,$C100)*SUMIFS(Velocity!$I:$I,Velocity!$A:$A,$A100,Velocity!$B:$B,$C100)/Assumptions!$B$4*Assumptions!$B$6</f>
        <v>19.1666666666667</v>
      </c>
      <c r="AV100" s="7" t="n">
        <f aca="false">SUMIFS(Doors!BH:BH,Doors!$A:$A,$D100,Doors!$B:$B,$B100,Doors!$C:$C,$C100)*SUMIFS(Velocity!$I:$I,Velocity!$A:$A,$A100,Velocity!$B:$B,$C100)/Assumptions!$B$4*Assumptions!$B$6</f>
        <v>19.1666666666667</v>
      </c>
      <c r="AW100" s="7" t="n">
        <f aca="false">SUMIFS(Doors!BI:BI,Doors!$A:$A,$D100,Doors!$B:$B,$B100,Doors!$C:$C,$C100)*SUMIFS(Velocity!$I:$I,Velocity!$A:$A,$A100,Velocity!$B:$B,$C100)/Assumptions!$B$4*Assumptions!$B$6</f>
        <v>19.6666666666667</v>
      </c>
      <c r="AX100" s="7" t="n">
        <f aca="false">SUMIFS(Doors!BJ:BJ,Doors!$A:$A,$D100,Doors!$B:$B,$B100,Doors!$C:$C,$C100)*SUMIFS(Velocity!$I:$I,Velocity!$A:$A,$A100,Velocity!$B:$B,$C100)/Assumptions!$B$4*Assumptions!$B$6</f>
        <v>19.6666666666667</v>
      </c>
      <c r="AY100" s="7" t="n">
        <f aca="false">SUMIFS(Doors!BK:BK,Doors!$A:$A,$D100,Doors!$B:$B,$B100,Doors!$C:$C,$C100)*SUMIFS(Velocity!$I:$I,Velocity!$A:$A,$A100,Velocity!$B:$B,$C100)/Assumptions!$B$4*Assumptions!$B$6</f>
        <v>19.6666666666667</v>
      </c>
      <c r="AZ100" s="7" t="n">
        <f aca="false">SUMIFS(Doors!BL:BL,Doors!$A:$A,$D100,Doors!$B:$B,$B100,Doors!$C:$C,$C100)*SUMIFS(Velocity!$I:$I,Velocity!$A:$A,$A100,Velocity!$B:$B,$C100)/Assumptions!$B$4*Assumptions!$B$6</f>
        <v>19.6666666666667</v>
      </c>
      <c r="BA100" s="7" t="n">
        <f aca="false">SUMIFS(Doors!BM:BM,Doors!$A:$A,$D100,Doors!$B:$B,$B100,Doors!$C:$C,$C100)*SUMIFS(Velocity!$I:$I,Velocity!$A:$A,$A100,Velocity!$B:$B,$C100)/Assumptions!$B$4*Assumptions!$B$6</f>
        <v>20</v>
      </c>
      <c r="BB100" s="7" t="n">
        <f aca="false">SUMIFS(Doors!BN:BN,Doors!$A:$A,$D100,Doors!$B:$B,$B100,Doors!$C:$C,$C100)*SUMIFS(Velocity!$I:$I,Velocity!$A:$A,$A100,Velocity!$B:$B,$C100)/Assumptions!$B$4*Assumptions!$B$6</f>
        <v>20</v>
      </c>
      <c r="BC100" s="7" t="n">
        <f aca="false">SUMIFS(Doors!BO:BO,Doors!$A:$A,$D100,Doors!$B:$B,$B100,Doors!$C:$C,$C100)*SUMIFS(Velocity!$I:$I,Velocity!$A:$A,$A100,Velocity!$B:$B,$C100)/Assumptions!$B$4*Assumptions!$B$6</f>
        <v>20</v>
      </c>
      <c r="BD100" s="7" t="n">
        <f aca="false">SUMIFS(Doors!BP:BP,Doors!$A:$A,$D100,Doors!$B:$B,$B100,Doors!$C:$C,$C100)*SUMIFS(Velocity!$I:$I,Velocity!$A:$A,$A100,Velocity!$B:$B,$C100)/Assumptions!$B$4*Assumptions!$B$6</f>
        <v>20</v>
      </c>
    </row>
    <row r="101" customFormat="false" ht="15" hidden="false" customHeight="false" outlineLevel="0" collapsed="false">
      <c r="A101" s="0" t="s">
        <v>109</v>
      </c>
      <c r="B101" s="0" t="s">
        <v>126</v>
      </c>
      <c r="C101" s="0" t="s">
        <v>120</v>
      </c>
      <c r="D101" s="0" t="s">
        <v>235</v>
      </c>
      <c r="E101" s="7" t="n">
        <f aca="false">SUMIFS(Doors!Q:Q,Doors!$A:$A,$D101,Doors!$B:$B,$B101,Doors!$C:$C,$C101)*SUMIFS(Velocity!$I:$I,Velocity!$A:$A,$A101,Velocity!$B:$B,$C101)/Assumptions!$B$4*Assumptions!$B$6</f>
        <v>3.95833333333333</v>
      </c>
      <c r="F101" s="7" t="n">
        <f aca="false">SUMIFS(Doors!R:R,Doors!$A:$A,$D101,Doors!$B:$B,$B101,Doors!$C:$C,$C101)*SUMIFS(Velocity!$I:$I,Velocity!$A:$A,$A101,Velocity!$B:$B,$C101)/Assumptions!$B$4*Assumptions!$B$6</f>
        <v>3.95833333333333</v>
      </c>
      <c r="G101" s="7" t="n">
        <f aca="false">SUMIFS(Doors!S:S,Doors!$A:$A,$D101,Doors!$B:$B,$B101,Doors!$C:$C,$C101)*SUMIFS(Velocity!$I:$I,Velocity!$A:$A,$A101,Velocity!$B:$B,$C101)/Assumptions!$B$4*Assumptions!$B$6</f>
        <v>3.95833333333333</v>
      </c>
      <c r="H101" s="7" t="n">
        <f aca="false">SUMIFS(Doors!T:T,Doors!$A:$A,$D101,Doors!$B:$B,$B101,Doors!$C:$C,$C101)*SUMIFS(Velocity!$I:$I,Velocity!$A:$A,$A101,Velocity!$B:$B,$C101)/Assumptions!$B$4*Assumptions!$B$6</f>
        <v>3.95833333333333</v>
      </c>
      <c r="I101" s="7" t="n">
        <f aca="false">SUMIFS(Doors!U:U,Doors!$A:$A,$D101,Doors!$B:$B,$B101,Doors!$C:$C,$C101)*SUMIFS(Velocity!$I:$I,Velocity!$A:$A,$A101,Velocity!$B:$B,$C101)/Assumptions!$B$4*Assumptions!$B$6</f>
        <v>3.95833333333333</v>
      </c>
      <c r="J101" s="7" t="n">
        <f aca="false">SUMIFS(Doors!V:V,Doors!$A:$A,$D101,Doors!$B:$B,$B101,Doors!$C:$C,$C101)*SUMIFS(Velocity!$I:$I,Velocity!$A:$A,$A101,Velocity!$B:$B,$C101)/Assumptions!$B$4*Assumptions!$B$6</f>
        <v>5.9375</v>
      </c>
      <c r="K101" s="7" t="n">
        <f aca="false">SUMIFS(Doors!W:W,Doors!$A:$A,$D101,Doors!$B:$B,$B101,Doors!$C:$C,$C101)*SUMIFS(Velocity!$I:$I,Velocity!$A:$A,$A101,Velocity!$B:$B,$C101)/Assumptions!$B$4*Assumptions!$B$6</f>
        <v>5.9375</v>
      </c>
      <c r="L101" s="7" t="n">
        <f aca="false">SUMIFS(Doors!X:X,Doors!$A:$A,$D101,Doors!$B:$B,$B101,Doors!$C:$C,$C101)*SUMIFS(Velocity!$I:$I,Velocity!$A:$A,$A101,Velocity!$B:$B,$C101)/Assumptions!$B$4*Assumptions!$B$6</f>
        <v>5.9375</v>
      </c>
      <c r="M101" s="7" t="n">
        <f aca="false">SUMIFS(Doors!Y:Y,Doors!$A:$A,$D101,Doors!$B:$B,$B101,Doors!$C:$C,$C101)*SUMIFS(Velocity!$I:$I,Velocity!$A:$A,$A101,Velocity!$B:$B,$C101)/Assumptions!$B$4*Assumptions!$B$6</f>
        <v>5.9375</v>
      </c>
      <c r="N101" s="7" t="n">
        <f aca="false">SUMIFS(Doors!Z:Z,Doors!$A:$A,$D101,Doors!$B:$B,$B101,Doors!$C:$C,$C101)*SUMIFS(Velocity!$I:$I,Velocity!$A:$A,$A101,Velocity!$B:$B,$C101)/Assumptions!$B$4*Assumptions!$B$6</f>
        <v>8.90625</v>
      </c>
      <c r="O101" s="7" t="n">
        <f aca="false">SUMIFS(Doors!AA:AA,Doors!$A:$A,$D101,Doors!$B:$B,$B101,Doors!$C:$C,$C101)*SUMIFS(Velocity!$I:$I,Velocity!$A:$A,$A101,Velocity!$B:$B,$C101)/Assumptions!$B$4*Assumptions!$B$6</f>
        <v>8.90625</v>
      </c>
      <c r="P101" s="7" t="n">
        <f aca="false">SUMIFS(Doors!AB:AB,Doors!$A:$A,$D101,Doors!$B:$B,$B101,Doors!$C:$C,$C101)*SUMIFS(Velocity!$I:$I,Velocity!$A:$A,$A101,Velocity!$B:$B,$C101)/Assumptions!$B$4*Assumptions!$B$6</f>
        <v>8.90625</v>
      </c>
      <c r="Q101" s="7" t="n">
        <f aca="false">SUMIFS(Doors!AC:AC,Doors!$A:$A,$D101,Doors!$B:$B,$B101,Doors!$C:$C,$C101)*SUMIFS(Velocity!$I:$I,Velocity!$A:$A,$A101,Velocity!$B:$B,$C101)/Assumptions!$B$4*Assumptions!$B$6</f>
        <v>8.90625</v>
      </c>
      <c r="R101" s="7" t="n">
        <f aca="false">SUMIFS(Doors!AD:AD,Doors!$A:$A,$D101,Doors!$B:$B,$B101,Doors!$C:$C,$C101)*SUMIFS(Velocity!$I:$I,Velocity!$A:$A,$A101,Velocity!$B:$B,$C101)/Assumptions!$B$4*Assumptions!$B$6</f>
        <v>11.875</v>
      </c>
      <c r="S101" s="7" t="n">
        <f aca="false">SUMIFS(Doors!AE:AE,Doors!$A:$A,$D101,Doors!$B:$B,$B101,Doors!$C:$C,$C101)*SUMIFS(Velocity!$I:$I,Velocity!$A:$A,$A101,Velocity!$B:$B,$C101)/Assumptions!$B$4*Assumptions!$B$6</f>
        <v>11.875</v>
      </c>
      <c r="T101" s="7" t="n">
        <f aca="false">SUMIFS(Doors!AF:AF,Doors!$A:$A,$D101,Doors!$B:$B,$B101,Doors!$C:$C,$C101)*SUMIFS(Velocity!$I:$I,Velocity!$A:$A,$A101,Velocity!$B:$B,$C101)/Assumptions!$B$4*Assumptions!$B$6</f>
        <v>11.875</v>
      </c>
      <c r="U101" s="7" t="n">
        <f aca="false">SUMIFS(Doors!AG:AG,Doors!$A:$A,$D101,Doors!$B:$B,$B101,Doors!$C:$C,$C101)*SUMIFS(Velocity!$I:$I,Velocity!$A:$A,$A101,Velocity!$B:$B,$C101)/Assumptions!$B$4*Assumptions!$B$6</f>
        <v>11.875</v>
      </c>
      <c r="V101" s="7" t="n">
        <f aca="false">SUMIFS(Doors!AH:AH,Doors!$A:$A,$D101,Doors!$B:$B,$B101,Doors!$C:$C,$C101)*SUMIFS(Velocity!$I:$I,Velocity!$A:$A,$A101,Velocity!$B:$B,$C101)/Assumptions!$B$4*Assumptions!$B$6</f>
        <v>11.875</v>
      </c>
      <c r="W101" s="7" t="n">
        <f aca="false">SUMIFS(Doors!AI:AI,Doors!$A:$A,$D101,Doors!$B:$B,$B101,Doors!$C:$C,$C101)*SUMIFS(Velocity!$I:$I,Velocity!$A:$A,$A101,Velocity!$B:$B,$C101)/Assumptions!$B$4*Assumptions!$B$6</f>
        <v>13.8541666666667</v>
      </c>
      <c r="X101" s="7" t="n">
        <f aca="false">SUMIFS(Doors!AJ:AJ,Doors!$A:$A,$D101,Doors!$B:$B,$B101,Doors!$C:$C,$C101)*SUMIFS(Velocity!$I:$I,Velocity!$A:$A,$A101,Velocity!$B:$B,$C101)/Assumptions!$B$4*Assumptions!$B$6</f>
        <v>13.8541666666667</v>
      </c>
      <c r="Y101" s="7" t="n">
        <f aca="false">SUMIFS(Doors!AK:AK,Doors!$A:$A,$D101,Doors!$B:$B,$B101,Doors!$C:$C,$C101)*SUMIFS(Velocity!$I:$I,Velocity!$A:$A,$A101,Velocity!$B:$B,$C101)/Assumptions!$B$4*Assumptions!$B$6</f>
        <v>13.8541666666667</v>
      </c>
      <c r="Z101" s="7" t="n">
        <f aca="false">SUMIFS(Doors!AL:AL,Doors!$A:$A,$D101,Doors!$B:$B,$B101,Doors!$C:$C,$C101)*SUMIFS(Velocity!$I:$I,Velocity!$A:$A,$A101,Velocity!$B:$B,$C101)/Assumptions!$B$4*Assumptions!$B$6</f>
        <v>13.8541666666667</v>
      </c>
      <c r="AA101" s="7" t="n">
        <f aca="false">SUMIFS(Doors!AM:AM,Doors!$A:$A,$D101,Doors!$B:$B,$B101,Doors!$C:$C,$C101)*SUMIFS(Velocity!$I:$I,Velocity!$A:$A,$A101,Velocity!$B:$B,$C101)/Assumptions!$B$4*Assumptions!$B$6</f>
        <v>15.8333333333333</v>
      </c>
      <c r="AB101" s="7" t="n">
        <f aca="false">SUMIFS(Doors!AN:AN,Doors!$A:$A,$D101,Doors!$B:$B,$B101,Doors!$C:$C,$C101)*SUMIFS(Velocity!$I:$I,Velocity!$A:$A,$A101,Velocity!$B:$B,$C101)/Assumptions!$B$4*Assumptions!$B$6</f>
        <v>15.8333333333333</v>
      </c>
      <c r="AC101" s="7" t="n">
        <f aca="false">SUMIFS(Doors!AO:AO,Doors!$A:$A,$D101,Doors!$B:$B,$B101,Doors!$C:$C,$C101)*SUMIFS(Velocity!$I:$I,Velocity!$A:$A,$A101,Velocity!$B:$B,$C101)/Assumptions!$B$4*Assumptions!$B$6</f>
        <v>15.8333333333333</v>
      </c>
      <c r="AD101" s="7" t="n">
        <f aca="false">SUMIFS(Doors!AP:AP,Doors!$A:$A,$D101,Doors!$B:$B,$B101,Doors!$C:$C,$C101)*SUMIFS(Velocity!$I:$I,Velocity!$A:$A,$A101,Velocity!$B:$B,$C101)/Assumptions!$B$4*Assumptions!$B$6</f>
        <v>15.8333333333333</v>
      </c>
      <c r="AE101" s="7" t="n">
        <f aca="false">SUMIFS(Doors!AQ:AQ,Doors!$A:$A,$D101,Doors!$B:$B,$B101,Doors!$C:$C,$C101)*SUMIFS(Velocity!$I:$I,Velocity!$A:$A,$A101,Velocity!$B:$B,$C101)/Assumptions!$B$4*Assumptions!$B$6</f>
        <v>17.4166666666667</v>
      </c>
      <c r="AF101" s="7" t="n">
        <f aca="false">SUMIFS(Doors!AR:AR,Doors!$A:$A,$D101,Doors!$B:$B,$B101,Doors!$C:$C,$C101)*SUMIFS(Velocity!$I:$I,Velocity!$A:$A,$A101,Velocity!$B:$B,$C101)/Assumptions!$B$4*Assumptions!$B$6</f>
        <v>17.4166666666667</v>
      </c>
      <c r="AG101" s="7" t="n">
        <f aca="false">SUMIFS(Doors!AS:AS,Doors!$A:$A,$D101,Doors!$B:$B,$B101,Doors!$C:$C,$C101)*SUMIFS(Velocity!$I:$I,Velocity!$A:$A,$A101,Velocity!$B:$B,$C101)/Assumptions!$B$4*Assumptions!$B$6</f>
        <v>17.4166666666667</v>
      </c>
      <c r="AH101" s="7" t="n">
        <f aca="false">SUMIFS(Doors!AT:AT,Doors!$A:$A,$D101,Doors!$B:$B,$B101,Doors!$C:$C,$C101)*SUMIFS(Velocity!$I:$I,Velocity!$A:$A,$A101,Velocity!$B:$B,$C101)/Assumptions!$B$4*Assumptions!$B$6</f>
        <v>17.4166666666667</v>
      </c>
      <c r="AI101" s="7" t="n">
        <f aca="false">SUMIFS(Doors!AU:AU,Doors!$A:$A,$D101,Doors!$B:$B,$B101,Doors!$C:$C,$C101)*SUMIFS(Velocity!$I:$I,Velocity!$A:$A,$A101,Velocity!$B:$B,$C101)/Assumptions!$B$4*Assumptions!$B$6</f>
        <v>17.4166666666667</v>
      </c>
      <c r="AJ101" s="7" t="n">
        <f aca="false">SUMIFS(Doors!AV:AV,Doors!$A:$A,$D101,Doors!$B:$B,$B101,Doors!$C:$C,$C101)*SUMIFS(Velocity!$I:$I,Velocity!$A:$A,$A101,Velocity!$B:$B,$C101)/Assumptions!$B$4*Assumptions!$B$6</f>
        <v>18.2083333333333</v>
      </c>
      <c r="AK101" s="7" t="n">
        <f aca="false">SUMIFS(Doors!AW:AW,Doors!$A:$A,$D101,Doors!$B:$B,$B101,Doors!$C:$C,$C101)*SUMIFS(Velocity!$I:$I,Velocity!$A:$A,$A101,Velocity!$B:$B,$C101)/Assumptions!$B$4*Assumptions!$B$6</f>
        <v>18.2083333333333</v>
      </c>
      <c r="AL101" s="7" t="n">
        <f aca="false">SUMIFS(Doors!AX:AX,Doors!$A:$A,$D101,Doors!$B:$B,$B101,Doors!$C:$C,$C101)*SUMIFS(Velocity!$I:$I,Velocity!$A:$A,$A101,Velocity!$B:$B,$C101)/Assumptions!$B$4*Assumptions!$B$6</f>
        <v>18.2083333333333</v>
      </c>
      <c r="AM101" s="7" t="n">
        <f aca="false">SUMIFS(Doors!AY:AY,Doors!$A:$A,$D101,Doors!$B:$B,$B101,Doors!$C:$C,$C101)*SUMIFS(Velocity!$I:$I,Velocity!$A:$A,$A101,Velocity!$B:$B,$C101)/Assumptions!$B$4*Assumptions!$B$6</f>
        <v>18.2083333333333</v>
      </c>
      <c r="AN101" s="7" t="n">
        <f aca="false">SUMIFS(Doors!AZ:AZ,Doors!$A:$A,$D101,Doors!$B:$B,$B101,Doors!$C:$C,$C101)*SUMIFS(Velocity!$I:$I,Velocity!$A:$A,$A101,Velocity!$B:$B,$C101)/Assumptions!$B$4*Assumptions!$B$6</f>
        <v>18.8020833333333</v>
      </c>
      <c r="AO101" s="7" t="n">
        <f aca="false">SUMIFS(Doors!BA:BA,Doors!$A:$A,$D101,Doors!$B:$B,$B101,Doors!$C:$C,$C101)*SUMIFS(Velocity!$I:$I,Velocity!$A:$A,$A101,Velocity!$B:$B,$C101)/Assumptions!$B$4*Assumptions!$B$6</f>
        <v>18.8020833333333</v>
      </c>
      <c r="AP101" s="7" t="n">
        <f aca="false">SUMIFS(Doors!BB:BB,Doors!$A:$A,$D101,Doors!$B:$B,$B101,Doors!$C:$C,$C101)*SUMIFS(Velocity!$I:$I,Velocity!$A:$A,$A101,Velocity!$B:$B,$C101)/Assumptions!$B$4*Assumptions!$B$6</f>
        <v>18.8020833333333</v>
      </c>
      <c r="AQ101" s="7" t="n">
        <f aca="false">SUMIFS(Doors!BC:BC,Doors!$A:$A,$D101,Doors!$B:$B,$B101,Doors!$C:$C,$C101)*SUMIFS(Velocity!$I:$I,Velocity!$A:$A,$A101,Velocity!$B:$B,$C101)/Assumptions!$B$4*Assumptions!$B$6</f>
        <v>18.8020833333333</v>
      </c>
      <c r="AR101" s="7" t="n">
        <f aca="false">SUMIFS(Doors!BD:BD,Doors!$A:$A,$D101,Doors!$B:$B,$B101,Doors!$C:$C,$C101)*SUMIFS(Velocity!$I:$I,Velocity!$A:$A,$A101,Velocity!$B:$B,$C101)/Assumptions!$B$4*Assumptions!$B$6</f>
        <v>19.3958333333333</v>
      </c>
      <c r="AS101" s="7" t="n">
        <f aca="false">SUMIFS(Doors!BE:BE,Doors!$A:$A,$D101,Doors!$B:$B,$B101,Doors!$C:$C,$C101)*SUMIFS(Velocity!$I:$I,Velocity!$A:$A,$A101,Velocity!$B:$B,$C101)/Assumptions!$B$4*Assumptions!$B$6</f>
        <v>19.3958333333333</v>
      </c>
      <c r="AT101" s="7" t="n">
        <f aca="false">SUMIFS(Doors!BF:BF,Doors!$A:$A,$D101,Doors!$B:$B,$B101,Doors!$C:$C,$C101)*SUMIFS(Velocity!$I:$I,Velocity!$A:$A,$A101,Velocity!$B:$B,$C101)/Assumptions!$B$4*Assumptions!$B$6</f>
        <v>19.3958333333333</v>
      </c>
      <c r="AU101" s="7" t="n">
        <f aca="false">SUMIFS(Doors!BG:BG,Doors!$A:$A,$D101,Doors!$B:$B,$B101,Doors!$C:$C,$C101)*SUMIFS(Velocity!$I:$I,Velocity!$A:$A,$A101,Velocity!$B:$B,$C101)/Assumptions!$B$4*Assumptions!$B$6</f>
        <v>19.3958333333333</v>
      </c>
      <c r="AV101" s="7" t="n">
        <f aca="false">SUMIFS(Doors!BH:BH,Doors!$A:$A,$D101,Doors!$B:$B,$B101,Doors!$C:$C,$C101)*SUMIFS(Velocity!$I:$I,Velocity!$A:$A,$A101,Velocity!$B:$B,$C101)/Assumptions!$B$4*Assumptions!$B$6</f>
        <v>19.3958333333333</v>
      </c>
      <c r="AW101" s="7" t="n">
        <f aca="false">SUMIFS(Doors!BI:BI,Doors!$A:$A,$D101,Doors!$B:$B,$B101,Doors!$C:$C,$C101)*SUMIFS(Velocity!$I:$I,Velocity!$A:$A,$A101,Velocity!$B:$B,$C101)/Assumptions!$B$4*Assumptions!$B$6</f>
        <v>19.7916666666667</v>
      </c>
      <c r="AX101" s="7" t="n">
        <f aca="false">SUMIFS(Doors!BJ:BJ,Doors!$A:$A,$D101,Doors!$B:$B,$B101,Doors!$C:$C,$C101)*SUMIFS(Velocity!$I:$I,Velocity!$A:$A,$A101,Velocity!$B:$B,$C101)/Assumptions!$B$4*Assumptions!$B$6</f>
        <v>19.7916666666667</v>
      </c>
      <c r="AY101" s="7" t="n">
        <f aca="false">SUMIFS(Doors!BK:BK,Doors!$A:$A,$D101,Doors!$B:$B,$B101,Doors!$C:$C,$C101)*SUMIFS(Velocity!$I:$I,Velocity!$A:$A,$A101,Velocity!$B:$B,$C101)/Assumptions!$B$4*Assumptions!$B$6</f>
        <v>19.7916666666667</v>
      </c>
      <c r="AZ101" s="7" t="n">
        <f aca="false">SUMIFS(Doors!BL:BL,Doors!$A:$A,$D101,Doors!$B:$B,$B101,Doors!$C:$C,$C101)*SUMIFS(Velocity!$I:$I,Velocity!$A:$A,$A101,Velocity!$B:$B,$C101)/Assumptions!$B$4*Assumptions!$B$6</f>
        <v>19.7916666666667</v>
      </c>
      <c r="BA101" s="7" t="n">
        <f aca="false">SUMIFS(Doors!BM:BM,Doors!$A:$A,$D101,Doors!$B:$B,$B101,Doors!$C:$C,$C101)*SUMIFS(Velocity!$I:$I,Velocity!$A:$A,$A101,Velocity!$B:$B,$C101)/Assumptions!$B$4*Assumptions!$B$6</f>
        <v>19.7916666666667</v>
      </c>
      <c r="BB101" s="7" t="n">
        <f aca="false">SUMIFS(Doors!BN:BN,Doors!$A:$A,$D101,Doors!$B:$B,$B101,Doors!$C:$C,$C101)*SUMIFS(Velocity!$I:$I,Velocity!$A:$A,$A101,Velocity!$B:$B,$C101)/Assumptions!$B$4*Assumptions!$B$6</f>
        <v>19.7916666666667</v>
      </c>
      <c r="BC101" s="7" t="n">
        <f aca="false">SUMIFS(Doors!BO:BO,Doors!$A:$A,$D101,Doors!$B:$B,$B101,Doors!$C:$C,$C101)*SUMIFS(Velocity!$I:$I,Velocity!$A:$A,$A101,Velocity!$B:$B,$C101)/Assumptions!$B$4*Assumptions!$B$6</f>
        <v>19.7916666666667</v>
      </c>
      <c r="BD101" s="7" t="n">
        <f aca="false">SUMIFS(Doors!BP:BP,Doors!$A:$A,$D101,Doors!$B:$B,$B101,Doors!$C:$C,$C101)*SUMIFS(Velocity!$I:$I,Velocity!$A:$A,$A101,Velocity!$B:$B,$C101)/Assumptions!$B$4*Assumptions!$B$6</f>
        <v>19.7916666666667</v>
      </c>
    </row>
    <row r="102" customFormat="false" ht="15" hidden="false" customHeight="false" outlineLevel="0" collapsed="false">
      <c r="A102" s="0" t="s">
        <v>109</v>
      </c>
      <c r="B102" s="0" t="s">
        <v>126</v>
      </c>
      <c r="C102" s="0" t="s">
        <v>121</v>
      </c>
      <c r="D102" s="0" t="s">
        <v>235</v>
      </c>
      <c r="E102" s="7" t="n">
        <f aca="false">SUMIFS(Doors!Q:Q,Doors!$A:$A,$D102,Doors!$B:$B,$B102,Doors!$C:$C,$C102)*SUMIFS(Velocity!$I:$I,Velocity!$A:$A,$A102,Velocity!$B:$B,$C102)/Assumptions!$B$4*Assumptions!$B$6</f>
        <v>4.5625</v>
      </c>
      <c r="F102" s="7" t="n">
        <f aca="false">SUMIFS(Doors!R:R,Doors!$A:$A,$D102,Doors!$B:$B,$B102,Doors!$C:$C,$C102)*SUMIFS(Velocity!$I:$I,Velocity!$A:$A,$A102,Velocity!$B:$B,$C102)/Assumptions!$B$4*Assumptions!$B$6</f>
        <v>4.5625</v>
      </c>
      <c r="G102" s="7" t="n">
        <f aca="false">SUMIFS(Doors!S:S,Doors!$A:$A,$D102,Doors!$B:$B,$B102,Doors!$C:$C,$C102)*SUMIFS(Velocity!$I:$I,Velocity!$A:$A,$A102,Velocity!$B:$B,$C102)/Assumptions!$B$4*Assumptions!$B$6</f>
        <v>4.5625</v>
      </c>
      <c r="H102" s="7" t="n">
        <f aca="false">SUMIFS(Doors!T:T,Doors!$A:$A,$D102,Doors!$B:$B,$B102,Doors!$C:$C,$C102)*SUMIFS(Velocity!$I:$I,Velocity!$A:$A,$A102,Velocity!$B:$B,$C102)/Assumptions!$B$4*Assumptions!$B$6</f>
        <v>4.5625</v>
      </c>
      <c r="I102" s="7" t="n">
        <f aca="false">SUMIFS(Doors!U:U,Doors!$A:$A,$D102,Doors!$B:$B,$B102,Doors!$C:$C,$C102)*SUMIFS(Velocity!$I:$I,Velocity!$A:$A,$A102,Velocity!$B:$B,$C102)/Assumptions!$B$4*Assumptions!$B$6</f>
        <v>4.5625</v>
      </c>
      <c r="J102" s="7" t="n">
        <f aca="false">SUMIFS(Doors!V:V,Doors!$A:$A,$D102,Doors!$B:$B,$B102,Doors!$C:$C,$C102)*SUMIFS(Velocity!$I:$I,Velocity!$A:$A,$A102,Velocity!$B:$B,$C102)/Assumptions!$B$4*Assumptions!$B$6</f>
        <v>6.69166666666667</v>
      </c>
      <c r="K102" s="7" t="n">
        <f aca="false">SUMIFS(Doors!W:W,Doors!$A:$A,$D102,Doors!$B:$B,$B102,Doors!$C:$C,$C102)*SUMIFS(Velocity!$I:$I,Velocity!$A:$A,$A102,Velocity!$B:$B,$C102)/Assumptions!$B$4*Assumptions!$B$6</f>
        <v>6.69166666666667</v>
      </c>
      <c r="L102" s="7" t="n">
        <f aca="false">SUMIFS(Doors!X:X,Doors!$A:$A,$D102,Doors!$B:$B,$B102,Doors!$C:$C,$C102)*SUMIFS(Velocity!$I:$I,Velocity!$A:$A,$A102,Velocity!$B:$B,$C102)/Assumptions!$B$4*Assumptions!$B$6</f>
        <v>6.69166666666667</v>
      </c>
      <c r="M102" s="7" t="n">
        <f aca="false">SUMIFS(Doors!Y:Y,Doors!$A:$A,$D102,Doors!$B:$B,$B102,Doors!$C:$C,$C102)*SUMIFS(Velocity!$I:$I,Velocity!$A:$A,$A102,Velocity!$B:$B,$C102)/Assumptions!$B$4*Assumptions!$B$6</f>
        <v>6.69166666666667</v>
      </c>
      <c r="N102" s="7" t="n">
        <f aca="false">SUMIFS(Doors!Z:Z,Doors!$A:$A,$D102,Doors!$B:$B,$B102,Doors!$C:$C,$C102)*SUMIFS(Velocity!$I:$I,Velocity!$A:$A,$A102,Velocity!$B:$B,$C102)/Assumptions!$B$4*Assumptions!$B$6</f>
        <v>9.125</v>
      </c>
      <c r="O102" s="7" t="n">
        <f aca="false">SUMIFS(Doors!AA:AA,Doors!$A:$A,$D102,Doors!$B:$B,$B102,Doors!$C:$C,$C102)*SUMIFS(Velocity!$I:$I,Velocity!$A:$A,$A102,Velocity!$B:$B,$C102)/Assumptions!$B$4*Assumptions!$B$6</f>
        <v>9.125</v>
      </c>
      <c r="P102" s="7" t="n">
        <f aca="false">SUMIFS(Doors!AB:AB,Doors!$A:$A,$D102,Doors!$B:$B,$B102,Doors!$C:$C,$C102)*SUMIFS(Velocity!$I:$I,Velocity!$A:$A,$A102,Velocity!$B:$B,$C102)/Assumptions!$B$4*Assumptions!$B$6</f>
        <v>9.125</v>
      </c>
      <c r="Q102" s="7" t="n">
        <f aca="false">SUMIFS(Doors!AC:AC,Doors!$A:$A,$D102,Doors!$B:$B,$B102,Doors!$C:$C,$C102)*SUMIFS(Velocity!$I:$I,Velocity!$A:$A,$A102,Velocity!$B:$B,$C102)/Assumptions!$B$4*Assumptions!$B$6</f>
        <v>9.125</v>
      </c>
      <c r="R102" s="7" t="n">
        <f aca="false">SUMIFS(Doors!AD:AD,Doors!$A:$A,$D102,Doors!$B:$B,$B102,Doors!$C:$C,$C102)*SUMIFS(Velocity!$I:$I,Velocity!$A:$A,$A102,Velocity!$B:$B,$C102)/Assumptions!$B$4*Assumptions!$B$6</f>
        <v>11.5583333333333</v>
      </c>
      <c r="S102" s="7" t="n">
        <f aca="false">SUMIFS(Doors!AE:AE,Doors!$A:$A,$D102,Doors!$B:$B,$B102,Doors!$C:$C,$C102)*SUMIFS(Velocity!$I:$I,Velocity!$A:$A,$A102,Velocity!$B:$B,$C102)/Assumptions!$B$4*Assumptions!$B$6</f>
        <v>11.5583333333333</v>
      </c>
      <c r="T102" s="7" t="n">
        <f aca="false">SUMIFS(Doors!AF:AF,Doors!$A:$A,$D102,Doors!$B:$B,$B102,Doors!$C:$C,$C102)*SUMIFS(Velocity!$I:$I,Velocity!$A:$A,$A102,Velocity!$B:$B,$C102)/Assumptions!$B$4*Assumptions!$B$6</f>
        <v>11.5583333333333</v>
      </c>
      <c r="U102" s="7" t="n">
        <f aca="false">SUMIFS(Doors!AG:AG,Doors!$A:$A,$D102,Doors!$B:$B,$B102,Doors!$C:$C,$C102)*SUMIFS(Velocity!$I:$I,Velocity!$A:$A,$A102,Velocity!$B:$B,$C102)/Assumptions!$B$4*Assumptions!$B$6</f>
        <v>11.5583333333333</v>
      </c>
      <c r="V102" s="7" t="n">
        <f aca="false">SUMIFS(Doors!AH:AH,Doors!$A:$A,$D102,Doors!$B:$B,$B102,Doors!$C:$C,$C102)*SUMIFS(Velocity!$I:$I,Velocity!$A:$A,$A102,Velocity!$B:$B,$C102)/Assumptions!$B$4*Assumptions!$B$6</f>
        <v>11.5583333333333</v>
      </c>
      <c r="W102" s="7" t="n">
        <f aca="false">SUMIFS(Doors!AI:AI,Doors!$A:$A,$D102,Doors!$B:$B,$B102,Doors!$C:$C,$C102)*SUMIFS(Velocity!$I:$I,Velocity!$A:$A,$A102,Velocity!$B:$B,$C102)/Assumptions!$B$4*Assumptions!$B$6</f>
        <v>13.3833333333333</v>
      </c>
      <c r="X102" s="7" t="n">
        <f aca="false">SUMIFS(Doors!AJ:AJ,Doors!$A:$A,$D102,Doors!$B:$B,$B102,Doors!$C:$C,$C102)*SUMIFS(Velocity!$I:$I,Velocity!$A:$A,$A102,Velocity!$B:$B,$C102)/Assumptions!$B$4*Assumptions!$B$6</f>
        <v>13.3833333333333</v>
      </c>
      <c r="Y102" s="7" t="n">
        <f aca="false">SUMIFS(Doors!AK:AK,Doors!$A:$A,$D102,Doors!$B:$B,$B102,Doors!$C:$C,$C102)*SUMIFS(Velocity!$I:$I,Velocity!$A:$A,$A102,Velocity!$B:$B,$C102)/Assumptions!$B$4*Assumptions!$B$6</f>
        <v>13.3833333333333</v>
      </c>
      <c r="Z102" s="7" t="n">
        <f aca="false">SUMIFS(Doors!AL:AL,Doors!$A:$A,$D102,Doors!$B:$B,$B102,Doors!$C:$C,$C102)*SUMIFS(Velocity!$I:$I,Velocity!$A:$A,$A102,Velocity!$B:$B,$C102)/Assumptions!$B$4*Assumptions!$B$6</f>
        <v>13.3833333333333</v>
      </c>
      <c r="AA102" s="7" t="n">
        <f aca="false">SUMIFS(Doors!AM:AM,Doors!$A:$A,$D102,Doors!$B:$B,$B102,Doors!$C:$C,$C102)*SUMIFS(Velocity!$I:$I,Velocity!$A:$A,$A102,Velocity!$B:$B,$C102)/Assumptions!$B$4*Assumptions!$B$6</f>
        <v>15.2083333333333</v>
      </c>
      <c r="AB102" s="7" t="n">
        <f aca="false">SUMIFS(Doors!AN:AN,Doors!$A:$A,$D102,Doors!$B:$B,$B102,Doors!$C:$C,$C102)*SUMIFS(Velocity!$I:$I,Velocity!$A:$A,$A102,Velocity!$B:$B,$C102)/Assumptions!$B$4*Assumptions!$B$6</f>
        <v>15.2083333333333</v>
      </c>
      <c r="AC102" s="7" t="n">
        <f aca="false">SUMIFS(Doors!AO:AO,Doors!$A:$A,$D102,Doors!$B:$B,$B102,Doors!$C:$C,$C102)*SUMIFS(Velocity!$I:$I,Velocity!$A:$A,$A102,Velocity!$B:$B,$C102)/Assumptions!$B$4*Assumptions!$B$6</f>
        <v>15.2083333333333</v>
      </c>
      <c r="AD102" s="7" t="n">
        <f aca="false">SUMIFS(Doors!AP:AP,Doors!$A:$A,$D102,Doors!$B:$B,$B102,Doors!$C:$C,$C102)*SUMIFS(Velocity!$I:$I,Velocity!$A:$A,$A102,Velocity!$B:$B,$C102)/Assumptions!$B$4*Assumptions!$B$6</f>
        <v>15.2083333333333</v>
      </c>
      <c r="AE102" s="7" t="n">
        <f aca="false">SUMIFS(Doors!AQ:AQ,Doors!$A:$A,$D102,Doors!$B:$B,$B102,Doors!$C:$C,$C102)*SUMIFS(Velocity!$I:$I,Velocity!$A:$A,$A102,Velocity!$B:$B,$C102)/Assumptions!$B$4*Assumptions!$B$6</f>
        <v>16.425</v>
      </c>
      <c r="AF102" s="7" t="n">
        <f aca="false">SUMIFS(Doors!AR:AR,Doors!$A:$A,$D102,Doors!$B:$B,$B102,Doors!$C:$C,$C102)*SUMIFS(Velocity!$I:$I,Velocity!$A:$A,$A102,Velocity!$B:$B,$C102)/Assumptions!$B$4*Assumptions!$B$6</f>
        <v>16.425</v>
      </c>
      <c r="AG102" s="7" t="n">
        <f aca="false">SUMIFS(Doors!AS:AS,Doors!$A:$A,$D102,Doors!$B:$B,$B102,Doors!$C:$C,$C102)*SUMIFS(Velocity!$I:$I,Velocity!$A:$A,$A102,Velocity!$B:$B,$C102)/Assumptions!$B$4*Assumptions!$B$6</f>
        <v>16.425</v>
      </c>
      <c r="AH102" s="7" t="n">
        <f aca="false">SUMIFS(Doors!AT:AT,Doors!$A:$A,$D102,Doors!$B:$B,$B102,Doors!$C:$C,$C102)*SUMIFS(Velocity!$I:$I,Velocity!$A:$A,$A102,Velocity!$B:$B,$C102)/Assumptions!$B$4*Assumptions!$B$6</f>
        <v>16.425</v>
      </c>
      <c r="AI102" s="7" t="n">
        <f aca="false">SUMIFS(Doors!AU:AU,Doors!$A:$A,$D102,Doors!$B:$B,$B102,Doors!$C:$C,$C102)*SUMIFS(Velocity!$I:$I,Velocity!$A:$A,$A102,Velocity!$B:$B,$C102)/Assumptions!$B$4*Assumptions!$B$6</f>
        <v>16.425</v>
      </c>
      <c r="AJ102" s="7" t="n">
        <f aca="false">SUMIFS(Doors!AV:AV,Doors!$A:$A,$D102,Doors!$B:$B,$B102,Doors!$C:$C,$C102)*SUMIFS(Velocity!$I:$I,Velocity!$A:$A,$A102,Velocity!$B:$B,$C102)/Assumptions!$B$4*Assumptions!$B$6</f>
        <v>17.0333333333333</v>
      </c>
      <c r="AK102" s="7" t="n">
        <f aca="false">SUMIFS(Doors!AW:AW,Doors!$A:$A,$D102,Doors!$B:$B,$B102,Doors!$C:$C,$C102)*SUMIFS(Velocity!$I:$I,Velocity!$A:$A,$A102,Velocity!$B:$B,$C102)/Assumptions!$B$4*Assumptions!$B$6</f>
        <v>17.0333333333333</v>
      </c>
      <c r="AL102" s="7" t="n">
        <f aca="false">SUMIFS(Doors!AX:AX,Doors!$A:$A,$D102,Doors!$B:$B,$B102,Doors!$C:$C,$C102)*SUMIFS(Velocity!$I:$I,Velocity!$A:$A,$A102,Velocity!$B:$B,$C102)/Assumptions!$B$4*Assumptions!$B$6</f>
        <v>17.0333333333333</v>
      </c>
      <c r="AM102" s="7" t="n">
        <f aca="false">SUMIFS(Doors!AY:AY,Doors!$A:$A,$D102,Doors!$B:$B,$B102,Doors!$C:$C,$C102)*SUMIFS(Velocity!$I:$I,Velocity!$A:$A,$A102,Velocity!$B:$B,$C102)/Assumptions!$B$4*Assumptions!$B$6</f>
        <v>17.0333333333333</v>
      </c>
      <c r="AN102" s="7" t="n">
        <f aca="false">SUMIFS(Doors!AZ:AZ,Doors!$A:$A,$D102,Doors!$B:$B,$B102,Doors!$C:$C,$C102)*SUMIFS(Velocity!$I:$I,Velocity!$A:$A,$A102,Velocity!$B:$B,$C102)/Assumptions!$B$4*Assumptions!$B$6</f>
        <v>17.6416666666667</v>
      </c>
      <c r="AO102" s="7" t="n">
        <f aca="false">SUMIFS(Doors!BA:BA,Doors!$A:$A,$D102,Doors!$B:$B,$B102,Doors!$C:$C,$C102)*SUMIFS(Velocity!$I:$I,Velocity!$A:$A,$A102,Velocity!$B:$B,$C102)/Assumptions!$B$4*Assumptions!$B$6</f>
        <v>17.6416666666667</v>
      </c>
      <c r="AP102" s="7" t="n">
        <f aca="false">SUMIFS(Doors!BB:BB,Doors!$A:$A,$D102,Doors!$B:$B,$B102,Doors!$C:$C,$C102)*SUMIFS(Velocity!$I:$I,Velocity!$A:$A,$A102,Velocity!$B:$B,$C102)/Assumptions!$B$4*Assumptions!$B$6</f>
        <v>17.6416666666667</v>
      </c>
      <c r="AQ102" s="7" t="n">
        <f aca="false">SUMIFS(Doors!BC:BC,Doors!$A:$A,$D102,Doors!$B:$B,$B102,Doors!$C:$C,$C102)*SUMIFS(Velocity!$I:$I,Velocity!$A:$A,$A102,Velocity!$B:$B,$C102)/Assumptions!$B$4*Assumptions!$B$6</f>
        <v>17.6416666666667</v>
      </c>
      <c r="AR102" s="7" t="n">
        <f aca="false">SUMIFS(Doors!BD:BD,Doors!$A:$A,$D102,Doors!$B:$B,$B102,Doors!$C:$C,$C102)*SUMIFS(Velocity!$I:$I,Velocity!$A:$A,$A102,Velocity!$B:$B,$C102)/Assumptions!$B$4*Assumptions!$B$6</f>
        <v>17.9458333333333</v>
      </c>
      <c r="AS102" s="7" t="n">
        <f aca="false">SUMIFS(Doors!BE:BE,Doors!$A:$A,$D102,Doors!$B:$B,$B102,Doors!$C:$C,$C102)*SUMIFS(Velocity!$I:$I,Velocity!$A:$A,$A102,Velocity!$B:$B,$C102)/Assumptions!$B$4*Assumptions!$B$6</f>
        <v>17.9458333333333</v>
      </c>
      <c r="AT102" s="7" t="n">
        <f aca="false">SUMIFS(Doors!BF:BF,Doors!$A:$A,$D102,Doors!$B:$B,$B102,Doors!$C:$C,$C102)*SUMIFS(Velocity!$I:$I,Velocity!$A:$A,$A102,Velocity!$B:$B,$C102)/Assumptions!$B$4*Assumptions!$B$6</f>
        <v>17.9458333333333</v>
      </c>
      <c r="AU102" s="7" t="n">
        <f aca="false">SUMIFS(Doors!BG:BG,Doors!$A:$A,$D102,Doors!$B:$B,$B102,Doors!$C:$C,$C102)*SUMIFS(Velocity!$I:$I,Velocity!$A:$A,$A102,Velocity!$B:$B,$C102)/Assumptions!$B$4*Assumptions!$B$6</f>
        <v>17.9458333333333</v>
      </c>
      <c r="AV102" s="7" t="n">
        <f aca="false">SUMIFS(Doors!BH:BH,Doors!$A:$A,$D102,Doors!$B:$B,$B102,Doors!$C:$C,$C102)*SUMIFS(Velocity!$I:$I,Velocity!$A:$A,$A102,Velocity!$B:$B,$C102)/Assumptions!$B$4*Assumptions!$B$6</f>
        <v>17.9458333333333</v>
      </c>
      <c r="AW102" s="7" t="n">
        <f aca="false">SUMIFS(Doors!BI:BI,Doors!$A:$A,$D102,Doors!$B:$B,$B102,Doors!$C:$C,$C102)*SUMIFS(Velocity!$I:$I,Velocity!$A:$A,$A102,Velocity!$B:$B,$C102)/Assumptions!$B$4*Assumptions!$B$6</f>
        <v>18.25</v>
      </c>
      <c r="AX102" s="7" t="n">
        <f aca="false">SUMIFS(Doors!BJ:BJ,Doors!$A:$A,$D102,Doors!$B:$B,$B102,Doors!$C:$C,$C102)*SUMIFS(Velocity!$I:$I,Velocity!$A:$A,$A102,Velocity!$B:$B,$C102)/Assumptions!$B$4*Assumptions!$B$6</f>
        <v>18.25</v>
      </c>
      <c r="AY102" s="7" t="n">
        <f aca="false">SUMIFS(Doors!BK:BK,Doors!$A:$A,$D102,Doors!$B:$B,$B102,Doors!$C:$C,$C102)*SUMIFS(Velocity!$I:$I,Velocity!$A:$A,$A102,Velocity!$B:$B,$C102)/Assumptions!$B$4*Assumptions!$B$6</f>
        <v>18.25</v>
      </c>
      <c r="AZ102" s="7" t="n">
        <f aca="false">SUMIFS(Doors!BL:BL,Doors!$A:$A,$D102,Doors!$B:$B,$B102,Doors!$C:$C,$C102)*SUMIFS(Velocity!$I:$I,Velocity!$A:$A,$A102,Velocity!$B:$B,$C102)/Assumptions!$B$4*Assumptions!$B$6</f>
        <v>18.25</v>
      </c>
      <c r="BA102" s="7" t="n">
        <f aca="false">SUMIFS(Doors!BM:BM,Doors!$A:$A,$D102,Doors!$B:$B,$B102,Doors!$C:$C,$C102)*SUMIFS(Velocity!$I:$I,Velocity!$A:$A,$A102,Velocity!$B:$B,$C102)/Assumptions!$B$4*Assumptions!$B$6</f>
        <v>18.25</v>
      </c>
      <c r="BB102" s="7" t="n">
        <f aca="false">SUMIFS(Doors!BN:BN,Doors!$A:$A,$D102,Doors!$B:$B,$B102,Doors!$C:$C,$C102)*SUMIFS(Velocity!$I:$I,Velocity!$A:$A,$A102,Velocity!$B:$B,$C102)/Assumptions!$B$4*Assumptions!$B$6</f>
        <v>18.25</v>
      </c>
      <c r="BC102" s="7" t="n">
        <f aca="false">SUMIFS(Doors!BO:BO,Doors!$A:$A,$D102,Doors!$B:$B,$B102,Doors!$C:$C,$C102)*SUMIFS(Velocity!$I:$I,Velocity!$A:$A,$A102,Velocity!$B:$B,$C102)/Assumptions!$B$4*Assumptions!$B$6</f>
        <v>18.25</v>
      </c>
      <c r="BD102" s="7" t="n">
        <f aca="false">SUMIFS(Doors!BP:BP,Doors!$A:$A,$D102,Doors!$B:$B,$B102,Doors!$C:$C,$C102)*SUMIFS(Velocity!$I:$I,Velocity!$A:$A,$A102,Velocity!$B:$B,$C102)/Assumptions!$B$4*Assumptions!$B$6</f>
        <v>18.25</v>
      </c>
    </row>
    <row r="103" customFormat="false" ht="15" hidden="false" customHeight="false" outlineLevel="0" collapsed="false">
      <c r="A103" s="0" t="s">
        <v>109</v>
      </c>
      <c r="B103" s="0" t="s">
        <v>126</v>
      </c>
      <c r="C103" s="0" t="s">
        <v>122</v>
      </c>
      <c r="D103" s="0" t="s">
        <v>235</v>
      </c>
      <c r="E103" s="7" t="n">
        <f aca="false">SUMIFS(Doors!Q:Q,Doors!$A:$A,$D103,Doors!$B:$B,$B103,Doors!$C:$C,$C103)*SUMIFS(Velocity!$I:$I,Velocity!$A:$A,$A103,Velocity!$B:$B,$C103)/Assumptions!$B$4*Assumptions!$B$6</f>
        <v>1.375</v>
      </c>
      <c r="F103" s="7" t="n">
        <f aca="false">SUMIFS(Doors!R:R,Doors!$A:$A,$D103,Doors!$B:$B,$B103,Doors!$C:$C,$C103)*SUMIFS(Velocity!$I:$I,Velocity!$A:$A,$A103,Velocity!$B:$B,$C103)/Assumptions!$B$4*Assumptions!$B$6</f>
        <v>1.375</v>
      </c>
      <c r="G103" s="7" t="n">
        <f aca="false">SUMIFS(Doors!S:S,Doors!$A:$A,$D103,Doors!$B:$B,$B103,Doors!$C:$C,$C103)*SUMIFS(Velocity!$I:$I,Velocity!$A:$A,$A103,Velocity!$B:$B,$C103)/Assumptions!$B$4*Assumptions!$B$6</f>
        <v>1.375</v>
      </c>
      <c r="H103" s="7" t="n">
        <f aca="false">SUMIFS(Doors!T:T,Doors!$A:$A,$D103,Doors!$B:$B,$B103,Doors!$C:$C,$C103)*SUMIFS(Velocity!$I:$I,Velocity!$A:$A,$A103,Velocity!$B:$B,$C103)/Assumptions!$B$4*Assumptions!$B$6</f>
        <v>1.375</v>
      </c>
      <c r="I103" s="7" t="n">
        <f aca="false">SUMIFS(Doors!U:U,Doors!$A:$A,$D103,Doors!$B:$B,$B103,Doors!$C:$C,$C103)*SUMIFS(Velocity!$I:$I,Velocity!$A:$A,$A103,Velocity!$B:$B,$C103)/Assumptions!$B$4*Assumptions!$B$6</f>
        <v>1.375</v>
      </c>
      <c r="J103" s="7" t="n">
        <f aca="false">SUMIFS(Doors!V:V,Doors!$A:$A,$D103,Doors!$B:$B,$B103,Doors!$C:$C,$C103)*SUMIFS(Velocity!$I:$I,Velocity!$A:$A,$A103,Velocity!$B:$B,$C103)/Assumptions!$B$4*Assumptions!$B$6</f>
        <v>2.0625</v>
      </c>
      <c r="K103" s="7" t="n">
        <f aca="false">SUMIFS(Doors!W:W,Doors!$A:$A,$D103,Doors!$B:$B,$B103,Doors!$C:$C,$C103)*SUMIFS(Velocity!$I:$I,Velocity!$A:$A,$A103,Velocity!$B:$B,$C103)/Assumptions!$B$4*Assumptions!$B$6</f>
        <v>2.0625</v>
      </c>
      <c r="L103" s="7" t="n">
        <f aca="false">SUMIFS(Doors!X:X,Doors!$A:$A,$D103,Doors!$B:$B,$B103,Doors!$C:$C,$C103)*SUMIFS(Velocity!$I:$I,Velocity!$A:$A,$A103,Velocity!$B:$B,$C103)/Assumptions!$B$4*Assumptions!$B$6</f>
        <v>2.0625</v>
      </c>
      <c r="M103" s="7" t="n">
        <f aca="false">SUMIFS(Doors!Y:Y,Doors!$A:$A,$D103,Doors!$B:$B,$B103,Doors!$C:$C,$C103)*SUMIFS(Velocity!$I:$I,Velocity!$A:$A,$A103,Velocity!$B:$B,$C103)/Assumptions!$B$4*Assumptions!$B$6</f>
        <v>2.0625</v>
      </c>
      <c r="N103" s="7" t="n">
        <f aca="false">SUMIFS(Doors!Z:Z,Doors!$A:$A,$D103,Doors!$B:$B,$B103,Doors!$C:$C,$C103)*SUMIFS(Velocity!$I:$I,Velocity!$A:$A,$A103,Velocity!$B:$B,$C103)/Assumptions!$B$4*Assumptions!$B$6</f>
        <v>3.025</v>
      </c>
      <c r="O103" s="7" t="n">
        <f aca="false">SUMIFS(Doors!AA:AA,Doors!$A:$A,$D103,Doors!$B:$B,$B103,Doors!$C:$C,$C103)*SUMIFS(Velocity!$I:$I,Velocity!$A:$A,$A103,Velocity!$B:$B,$C103)/Assumptions!$B$4*Assumptions!$B$6</f>
        <v>3.025</v>
      </c>
      <c r="P103" s="7" t="n">
        <f aca="false">SUMIFS(Doors!AB:AB,Doors!$A:$A,$D103,Doors!$B:$B,$B103,Doors!$C:$C,$C103)*SUMIFS(Velocity!$I:$I,Velocity!$A:$A,$A103,Velocity!$B:$B,$C103)/Assumptions!$B$4*Assumptions!$B$6</f>
        <v>3.025</v>
      </c>
      <c r="Q103" s="7" t="n">
        <f aca="false">SUMIFS(Doors!AC:AC,Doors!$A:$A,$D103,Doors!$B:$B,$B103,Doors!$C:$C,$C103)*SUMIFS(Velocity!$I:$I,Velocity!$A:$A,$A103,Velocity!$B:$B,$C103)/Assumptions!$B$4*Assumptions!$B$6</f>
        <v>3.025</v>
      </c>
      <c r="R103" s="7" t="n">
        <f aca="false">SUMIFS(Doors!AD:AD,Doors!$A:$A,$D103,Doors!$B:$B,$B103,Doors!$C:$C,$C103)*SUMIFS(Velocity!$I:$I,Velocity!$A:$A,$A103,Velocity!$B:$B,$C103)/Assumptions!$B$4*Assumptions!$B$6</f>
        <v>3.85</v>
      </c>
      <c r="S103" s="7" t="n">
        <f aca="false">SUMIFS(Doors!AE:AE,Doors!$A:$A,$D103,Doors!$B:$B,$B103,Doors!$C:$C,$C103)*SUMIFS(Velocity!$I:$I,Velocity!$A:$A,$A103,Velocity!$B:$B,$C103)/Assumptions!$B$4*Assumptions!$B$6</f>
        <v>3.85</v>
      </c>
      <c r="T103" s="7" t="n">
        <f aca="false">SUMIFS(Doors!AF:AF,Doors!$A:$A,$D103,Doors!$B:$B,$B103,Doors!$C:$C,$C103)*SUMIFS(Velocity!$I:$I,Velocity!$A:$A,$A103,Velocity!$B:$B,$C103)/Assumptions!$B$4*Assumptions!$B$6</f>
        <v>3.85</v>
      </c>
      <c r="U103" s="7" t="n">
        <f aca="false">SUMIFS(Doors!AG:AG,Doors!$A:$A,$D103,Doors!$B:$B,$B103,Doors!$C:$C,$C103)*SUMIFS(Velocity!$I:$I,Velocity!$A:$A,$A103,Velocity!$B:$B,$C103)/Assumptions!$B$4*Assumptions!$B$6</f>
        <v>3.85</v>
      </c>
      <c r="V103" s="7" t="n">
        <f aca="false">SUMIFS(Doors!AH:AH,Doors!$A:$A,$D103,Doors!$B:$B,$B103,Doors!$C:$C,$C103)*SUMIFS(Velocity!$I:$I,Velocity!$A:$A,$A103,Velocity!$B:$B,$C103)/Assumptions!$B$4*Assumptions!$B$6</f>
        <v>3.85</v>
      </c>
      <c r="W103" s="7" t="n">
        <f aca="false">SUMIFS(Doors!AI:AI,Doors!$A:$A,$D103,Doors!$B:$B,$B103,Doors!$C:$C,$C103)*SUMIFS(Velocity!$I:$I,Velocity!$A:$A,$A103,Velocity!$B:$B,$C103)/Assumptions!$B$4*Assumptions!$B$6</f>
        <v>4.675</v>
      </c>
      <c r="X103" s="7" t="n">
        <f aca="false">SUMIFS(Doors!AJ:AJ,Doors!$A:$A,$D103,Doors!$B:$B,$B103,Doors!$C:$C,$C103)*SUMIFS(Velocity!$I:$I,Velocity!$A:$A,$A103,Velocity!$B:$B,$C103)/Assumptions!$B$4*Assumptions!$B$6</f>
        <v>4.675</v>
      </c>
      <c r="Y103" s="7" t="n">
        <f aca="false">SUMIFS(Doors!AK:AK,Doors!$A:$A,$D103,Doors!$B:$B,$B103,Doors!$C:$C,$C103)*SUMIFS(Velocity!$I:$I,Velocity!$A:$A,$A103,Velocity!$B:$B,$C103)/Assumptions!$B$4*Assumptions!$B$6</f>
        <v>4.675</v>
      </c>
      <c r="Z103" s="7" t="n">
        <f aca="false">SUMIFS(Doors!AL:AL,Doors!$A:$A,$D103,Doors!$B:$B,$B103,Doors!$C:$C,$C103)*SUMIFS(Velocity!$I:$I,Velocity!$A:$A,$A103,Velocity!$B:$B,$C103)/Assumptions!$B$4*Assumptions!$B$6</f>
        <v>4.675</v>
      </c>
      <c r="AA103" s="7" t="n">
        <f aca="false">SUMIFS(Doors!AM:AM,Doors!$A:$A,$D103,Doors!$B:$B,$B103,Doors!$C:$C,$C103)*SUMIFS(Velocity!$I:$I,Velocity!$A:$A,$A103,Velocity!$B:$B,$C103)/Assumptions!$B$4*Assumptions!$B$6</f>
        <v>5.5</v>
      </c>
      <c r="AB103" s="7" t="n">
        <f aca="false">SUMIFS(Doors!AN:AN,Doors!$A:$A,$D103,Doors!$B:$B,$B103,Doors!$C:$C,$C103)*SUMIFS(Velocity!$I:$I,Velocity!$A:$A,$A103,Velocity!$B:$B,$C103)/Assumptions!$B$4*Assumptions!$B$6</f>
        <v>5.5</v>
      </c>
      <c r="AC103" s="7" t="n">
        <f aca="false">SUMIFS(Doors!AO:AO,Doors!$A:$A,$D103,Doors!$B:$B,$B103,Doors!$C:$C,$C103)*SUMIFS(Velocity!$I:$I,Velocity!$A:$A,$A103,Velocity!$B:$B,$C103)/Assumptions!$B$4*Assumptions!$B$6</f>
        <v>5.5</v>
      </c>
      <c r="AD103" s="7" t="n">
        <f aca="false">SUMIFS(Doors!AP:AP,Doors!$A:$A,$D103,Doors!$B:$B,$B103,Doors!$C:$C,$C103)*SUMIFS(Velocity!$I:$I,Velocity!$A:$A,$A103,Velocity!$B:$B,$C103)/Assumptions!$B$4*Assumptions!$B$6</f>
        <v>5.5</v>
      </c>
      <c r="AE103" s="7" t="n">
        <f aca="false">SUMIFS(Doors!AQ:AQ,Doors!$A:$A,$D103,Doors!$B:$B,$B103,Doors!$C:$C,$C103)*SUMIFS(Velocity!$I:$I,Velocity!$A:$A,$A103,Velocity!$B:$B,$C103)/Assumptions!$B$4*Assumptions!$B$6</f>
        <v>6.05</v>
      </c>
      <c r="AF103" s="7" t="n">
        <f aca="false">SUMIFS(Doors!AR:AR,Doors!$A:$A,$D103,Doors!$B:$B,$B103,Doors!$C:$C,$C103)*SUMIFS(Velocity!$I:$I,Velocity!$A:$A,$A103,Velocity!$B:$B,$C103)/Assumptions!$B$4*Assumptions!$B$6</f>
        <v>6.05</v>
      </c>
      <c r="AG103" s="7" t="n">
        <f aca="false">SUMIFS(Doors!AS:AS,Doors!$A:$A,$D103,Doors!$B:$B,$B103,Doors!$C:$C,$C103)*SUMIFS(Velocity!$I:$I,Velocity!$A:$A,$A103,Velocity!$B:$B,$C103)/Assumptions!$B$4*Assumptions!$B$6</f>
        <v>6.05</v>
      </c>
      <c r="AH103" s="7" t="n">
        <f aca="false">SUMIFS(Doors!AT:AT,Doors!$A:$A,$D103,Doors!$B:$B,$B103,Doors!$C:$C,$C103)*SUMIFS(Velocity!$I:$I,Velocity!$A:$A,$A103,Velocity!$B:$B,$C103)/Assumptions!$B$4*Assumptions!$B$6</f>
        <v>6.05</v>
      </c>
      <c r="AI103" s="7" t="n">
        <f aca="false">SUMIFS(Doors!AU:AU,Doors!$A:$A,$D103,Doors!$B:$B,$B103,Doors!$C:$C,$C103)*SUMIFS(Velocity!$I:$I,Velocity!$A:$A,$A103,Velocity!$B:$B,$C103)/Assumptions!$B$4*Assumptions!$B$6</f>
        <v>6.05</v>
      </c>
      <c r="AJ103" s="7" t="n">
        <f aca="false">SUMIFS(Doors!AV:AV,Doors!$A:$A,$D103,Doors!$B:$B,$B103,Doors!$C:$C,$C103)*SUMIFS(Velocity!$I:$I,Velocity!$A:$A,$A103,Velocity!$B:$B,$C103)/Assumptions!$B$4*Assumptions!$B$6</f>
        <v>6.4625</v>
      </c>
      <c r="AK103" s="7" t="n">
        <f aca="false">SUMIFS(Doors!AW:AW,Doors!$A:$A,$D103,Doors!$B:$B,$B103,Doors!$C:$C,$C103)*SUMIFS(Velocity!$I:$I,Velocity!$A:$A,$A103,Velocity!$B:$B,$C103)/Assumptions!$B$4*Assumptions!$B$6</f>
        <v>6.4625</v>
      </c>
      <c r="AL103" s="7" t="n">
        <f aca="false">SUMIFS(Doors!AX:AX,Doors!$A:$A,$D103,Doors!$B:$B,$B103,Doors!$C:$C,$C103)*SUMIFS(Velocity!$I:$I,Velocity!$A:$A,$A103,Velocity!$B:$B,$C103)/Assumptions!$B$4*Assumptions!$B$6</f>
        <v>6.4625</v>
      </c>
      <c r="AM103" s="7" t="n">
        <f aca="false">SUMIFS(Doors!AY:AY,Doors!$A:$A,$D103,Doors!$B:$B,$B103,Doors!$C:$C,$C103)*SUMIFS(Velocity!$I:$I,Velocity!$A:$A,$A103,Velocity!$B:$B,$C103)/Assumptions!$B$4*Assumptions!$B$6</f>
        <v>6.4625</v>
      </c>
      <c r="AN103" s="7" t="n">
        <f aca="false">SUMIFS(Doors!AZ:AZ,Doors!$A:$A,$D103,Doors!$B:$B,$B103,Doors!$C:$C,$C103)*SUMIFS(Velocity!$I:$I,Velocity!$A:$A,$A103,Velocity!$B:$B,$C103)/Assumptions!$B$4*Assumptions!$B$6</f>
        <v>6.7375</v>
      </c>
      <c r="AO103" s="7" t="n">
        <f aca="false">SUMIFS(Doors!BA:BA,Doors!$A:$A,$D103,Doors!$B:$B,$B103,Doors!$C:$C,$C103)*SUMIFS(Velocity!$I:$I,Velocity!$A:$A,$A103,Velocity!$B:$B,$C103)/Assumptions!$B$4*Assumptions!$B$6</f>
        <v>6.7375</v>
      </c>
      <c r="AP103" s="7" t="n">
        <f aca="false">SUMIFS(Doors!BB:BB,Doors!$A:$A,$D103,Doors!$B:$B,$B103,Doors!$C:$C,$C103)*SUMIFS(Velocity!$I:$I,Velocity!$A:$A,$A103,Velocity!$B:$B,$C103)/Assumptions!$B$4*Assumptions!$B$6</f>
        <v>6.7375</v>
      </c>
      <c r="AQ103" s="7" t="n">
        <f aca="false">SUMIFS(Doors!BC:BC,Doors!$A:$A,$D103,Doors!$B:$B,$B103,Doors!$C:$C,$C103)*SUMIFS(Velocity!$I:$I,Velocity!$A:$A,$A103,Velocity!$B:$B,$C103)/Assumptions!$B$4*Assumptions!$B$6</f>
        <v>6.7375</v>
      </c>
      <c r="AR103" s="7" t="n">
        <f aca="false">SUMIFS(Doors!BD:BD,Doors!$A:$A,$D103,Doors!$B:$B,$B103,Doors!$C:$C,$C103)*SUMIFS(Velocity!$I:$I,Velocity!$A:$A,$A103,Velocity!$B:$B,$C103)/Assumptions!$B$4*Assumptions!$B$6</f>
        <v>6.875</v>
      </c>
      <c r="AS103" s="7" t="n">
        <f aca="false">SUMIFS(Doors!BE:BE,Doors!$A:$A,$D103,Doors!$B:$B,$B103,Doors!$C:$C,$C103)*SUMIFS(Velocity!$I:$I,Velocity!$A:$A,$A103,Velocity!$B:$B,$C103)/Assumptions!$B$4*Assumptions!$B$6</f>
        <v>6.875</v>
      </c>
      <c r="AT103" s="7" t="n">
        <f aca="false">SUMIFS(Doors!BF:BF,Doors!$A:$A,$D103,Doors!$B:$B,$B103,Doors!$C:$C,$C103)*SUMIFS(Velocity!$I:$I,Velocity!$A:$A,$A103,Velocity!$B:$B,$C103)/Assumptions!$B$4*Assumptions!$B$6</f>
        <v>6.875</v>
      </c>
      <c r="AU103" s="7" t="n">
        <f aca="false">SUMIFS(Doors!BG:BG,Doors!$A:$A,$D103,Doors!$B:$B,$B103,Doors!$C:$C,$C103)*SUMIFS(Velocity!$I:$I,Velocity!$A:$A,$A103,Velocity!$B:$B,$C103)/Assumptions!$B$4*Assumptions!$B$6</f>
        <v>6.875</v>
      </c>
      <c r="AV103" s="7" t="n">
        <f aca="false">SUMIFS(Doors!BH:BH,Doors!$A:$A,$D103,Doors!$B:$B,$B103,Doors!$C:$C,$C103)*SUMIFS(Velocity!$I:$I,Velocity!$A:$A,$A103,Velocity!$B:$B,$C103)/Assumptions!$B$4*Assumptions!$B$6</f>
        <v>6.875</v>
      </c>
      <c r="AW103" s="7" t="n">
        <f aca="false">SUMIFS(Doors!BI:BI,Doors!$A:$A,$D103,Doors!$B:$B,$B103,Doors!$C:$C,$C103)*SUMIFS(Velocity!$I:$I,Velocity!$A:$A,$A103,Velocity!$B:$B,$C103)/Assumptions!$B$4*Assumptions!$B$6</f>
        <v>6.875</v>
      </c>
      <c r="AX103" s="7" t="n">
        <f aca="false">SUMIFS(Doors!BJ:BJ,Doors!$A:$A,$D103,Doors!$B:$B,$B103,Doors!$C:$C,$C103)*SUMIFS(Velocity!$I:$I,Velocity!$A:$A,$A103,Velocity!$B:$B,$C103)/Assumptions!$B$4*Assumptions!$B$6</f>
        <v>6.875</v>
      </c>
      <c r="AY103" s="7" t="n">
        <f aca="false">SUMIFS(Doors!BK:BK,Doors!$A:$A,$D103,Doors!$B:$B,$B103,Doors!$C:$C,$C103)*SUMIFS(Velocity!$I:$I,Velocity!$A:$A,$A103,Velocity!$B:$B,$C103)/Assumptions!$B$4*Assumptions!$B$6</f>
        <v>6.875</v>
      </c>
      <c r="AZ103" s="7" t="n">
        <f aca="false">SUMIFS(Doors!BL:BL,Doors!$A:$A,$D103,Doors!$B:$B,$B103,Doors!$C:$C,$C103)*SUMIFS(Velocity!$I:$I,Velocity!$A:$A,$A103,Velocity!$B:$B,$C103)/Assumptions!$B$4*Assumptions!$B$6</f>
        <v>6.875</v>
      </c>
      <c r="BA103" s="7" t="n">
        <f aca="false">SUMIFS(Doors!BM:BM,Doors!$A:$A,$D103,Doors!$B:$B,$B103,Doors!$C:$C,$C103)*SUMIFS(Velocity!$I:$I,Velocity!$A:$A,$A103,Velocity!$B:$B,$C103)/Assumptions!$B$4*Assumptions!$B$6</f>
        <v>6.875</v>
      </c>
      <c r="BB103" s="7" t="n">
        <f aca="false">SUMIFS(Doors!BN:BN,Doors!$A:$A,$D103,Doors!$B:$B,$B103,Doors!$C:$C,$C103)*SUMIFS(Velocity!$I:$I,Velocity!$A:$A,$A103,Velocity!$B:$B,$C103)/Assumptions!$B$4*Assumptions!$B$6</f>
        <v>6.875</v>
      </c>
      <c r="BC103" s="7" t="n">
        <f aca="false">SUMIFS(Doors!BO:BO,Doors!$A:$A,$D103,Doors!$B:$B,$B103,Doors!$C:$C,$C103)*SUMIFS(Velocity!$I:$I,Velocity!$A:$A,$A103,Velocity!$B:$B,$C103)/Assumptions!$B$4*Assumptions!$B$6</f>
        <v>6.875</v>
      </c>
      <c r="BD103" s="7" t="n">
        <f aca="false">SUMIFS(Doors!BP:BP,Doors!$A:$A,$D103,Doors!$B:$B,$B103,Doors!$C:$C,$C103)*SUMIFS(Velocity!$I:$I,Velocity!$A:$A,$A103,Velocity!$B:$B,$C103)/Assumptions!$B$4*Assumptions!$B$6</f>
        <v>6.875</v>
      </c>
    </row>
    <row r="104" customFormat="false" ht="15" hidden="false" customHeight="false" outlineLevel="0" collapsed="false">
      <c r="A104" s="0" t="s">
        <v>109</v>
      </c>
      <c r="B104" s="0" t="s">
        <v>126</v>
      </c>
      <c r="C104" s="0" t="s">
        <v>123</v>
      </c>
      <c r="D104" s="0" t="s">
        <v>235</v>
      </c>
      <c r="E104" s="7" t="n">
        <f aca="false">SUMIFS(Doors!Q:Q,Doors!$A:$A,$D104,Doors!$B:$B,$B104,Doors!$C:$C,$C104)*SUMIFS(Velocity!$I:$I,Velocity!$A:$A,$A104,Velocity!$B:$B,$C104)/Assumptions!$B$4*Assumptions!$B$6</f>
        <v>0</v>
      </c>
      <c r="F104" s="7" t="n">
        <f aca="false">SUMIFS(Doors!R:R,Doors!$A:$A,$D104,Doors!$B:$B,$B104,Doors!$C:$C,$C104)*SUMIFS(Velocity!$I:$I,Velocity!$A:$A,$A104,Velocity!$B:$B,$C104)/Assumptions!$B$4*Assumptions!$B$6</f>
        <v>0</v>
      </c>
      <c r="G104" s="7" t="n">
        <f aca="false">SUMIFS(Doors!S:S,Doors!$A:$A,$D104,Doors!$B:$B,$B104,Doors!$C:$C,$C104)*SUMIFS(Velocity!$I:$I,Velocity!$A:$A,$A104,Velocity!$B:$B,$C104)/Assumptions!$B$4*Assumptions!$B$6</f>
        <v>0</v>
      </c>
      <c r="H104" s="7" t="n">
        <f aca="false">SUMIFS(Doors!T:T,Doors!$A:$A,$D104,Doors!$B:$B,$B104,Doors!$C:$C,$C104)*SUMIFS(Velocity!$I:$I,Velocity!$A:$A,$A104,Velocity!$B:$B,$C104)/Assumptions!$B$4*Assumptions!$B$6</f>
        <v>0</v>
      </c>
      <c r="I104" s="7" t="n">
        <f aca="false">SUMIFS(Doors!U:U,Doors!$A:$A,$D104,Doors!$B:$B,$B104,Doors!$C:$C,$C104)*SUMIFS(Velocity!$I:$I,Velocity!$A:$A,$A104,Velocity!$B:$B,$C104)/Assumptions!$B$4*Assumptions!$B$6</f>
        <v>0</v>
      </c>
      <c r="J104" s="7" t="n">
        <f aca="false">SUMIFS(Doors!V:V,Doors!$A:$A,$D104,Doors!$B:$B,$B104,Doors!$C:$C,$C104)*SUMIFS(Velocity!$I:$I,Velocity!$A:$A,$A104,Velocity!$B:$B,$C104)/Assumptions!$B$4*Assumptions!$B$6</f>
        <v>0</v>
      </c>
      <c r="K104" s="7" t="n">
        <f aca="false">SUMIFS(Doors!W:W,Doors!$A:$A,$D104,Doors!$B:$B,$B104,Doors!$C:$C,$C104)*SUMIFS(Velocity!$I:$I,Velocity!$A:$A,$A104,Velocity!$B:$B,$C104)/Assumptions!$B$4*Assumptions!$B$6</f>
        <v>0</v>
      </c>
      <c r="L104" s="7" t="n">
        <f aca="false">SUMIFS(Doors!X:X,Doors!$A:$A,$D104,Doors!$B:$B,$B104,Doors!$C:$C,$C104)*SUMIFS(Velocity!$I:$I,Velocity!$A:$A,$A104,Velocity!$B:$B,$C104)/Assumptions!$B$4*Assumptions!$B$6</f>
        <v>0</v>
      </c>
      <c r="M104" s="7" t="n">
        <f aca="false">SUMIFS(Doors!Y:Y,Doors!$A:$A,$D104,Doors!$B:$B,$B104,Doors!$C:$C,$C104)*SUMIFS(Velocity!$I:$I,Velocity!$A:$A,$A104,Velocity!$B:$B,$C104)/Assumptions!$B$4*Assumptions!$B$6</f>
        <v>0</v>
      </c>
      <c r="N104" s="7" t="n">
        <f aca="false">SUMIFS(Doors!Z:Z,Doors!$A:$A,$D104,Doors!$B:$B,$B104,Doors!$C:$C,$C104)*SUMIFS(Velocity!$I:$I,Velocity!$A:$A,$A104,Velocity!$B:$B,$C104)/Assumptions!$B$4*Assumptions!$B$6</f>
        <v>0</v>
      </c>
      <c r="O104" s="7" t="n">
        <f aca="false">SUMIFS(Doors!AA:AA,Doors!$A:$A,$D104,Doors!$B:$B,$B104,Doors!$C:$C,$C104)*SUMIFS(Velocity!$I:$I,Velocity!$A:$A,$A104,Velocity!$B:$B,$C104)/Assumptions!$B$4*Assumptions!$B$6</f>
        <v>0</v>
      </c>
      <c r="P104" s="7" t="n">
        <f aca="false">SUMIFS(Doors!AB:AB,Doors!$A:$A,$D104,Doors!$B:$B,$B104,Doors!$C:$C,$C104)*SUMIFS(Velocity!$I:$I,Velocity!$A:$A,$A104,Velocity!$B:$B,$C104)/Assumptions!$B$4*Assumptions!$B$6</f>
        <v>0</v>
      </c>
      <c r="Q104" s="7" t="n">
        <f aca="false">SUMIFS(Doors!AC:AC,Doors!$A:$A,$D104,Doors!$B:$B,$B104,Doors!$C:$C,$C104)*SUMIFS(Velocity!$I:$I,Velocity!$A:$A,$A104,Velocity!$B:$B,$C104)/Assumptions!$B$4*Assumptions!$B$6</f>
        <v>0</v>
      </c>
      <c r="R104" s="7" t="n">
        <f aca="false">SUMIFS(Doors!AD:AD,Doors!$A:$A,$D104,Doors!$B:$B,$B104,Doors!$C:$C,$C104)*SUMIFS(Velocity!$I:$I,Velocity!$A:$A,$A104,Velocity!$B:$B,$C104)/Assumptions!$B$4*Assumptions!$B$6</f>
        <v>0</v>
      </c>
      <c r="S104" s="7" t="n">
        <f aca="false">SUMIFS(Doors!AE:AE,Doors!$A:$A,$D104,Doors!$B:$B,$B104,Doors!$C:$C,$C104)*SUMIFS(Velocity!$I:$I,Velocity!$A:$A,$A104,Velocity!$B:$B,$C104)/Assumptions!$B$4*Assumptions!$B$6</f>
        <v>0</v>
      </c>
      <c r="T104" s="7" t="n">
        <f aca="false">SUMIFS(Doors!AF:AF,Doors!$A:$A,$D104,Doors!$B:$B,$B104,Doors!$C:$C,$C104)*SUMIFS(Velocity!$I:$I,Velocity!$A:$A,$A104,Velocity!$B:$B,$C104)/Assumptions!$B$4*Assumptions!$B$6</f>
        <v>0</v>
      </c>
      <c r="U104" s="7" t="n">
        <f aca="false">SUMIFS(Doors!AG:AG,Doors!$A:$A,$D104,Doors!$B:$B,$B104,Doors!$C:$C,$C104)*SUMIFS(Velocity!$I:$I,Velocity!$A:$A,$A104,Velocity!$B:$B,$C104)/Assumptions!$B$4*Assumptions!$B$6</f>
        <v>0</v>
      </c>
      <c r="V104" s="7" t="n">
        <f aca="false">SUMIFS(Doors!AH:AH,Doors!$A:$A,$D104,Doors!$B:$B,$B104,Doors!$C:$C,$C104)*SUMIFS(Velocity!$I:$I,Velocity!$A:$A,$A104,Velocity!$B:$B,$C104)/Assumptions!$B$4*Assumptions!$B$6</f>
        <v>0</v>
      </c>
      <c r="W104" s="7" t="n">
        <f aca="false">SUMIFS(Doors!AI:AI,Doors!$A:$A,$D104,Doors!$B:$B,$B104,Doors!$C:$C,$C104)*SUMIFS(Velocity!$I:$I,Velocity!$A:$A,$A104,Velocity!$B:$B,$C104)/Assumptions!$B$4*Assumptions!$B$6</f>
        <v>0</v>
      </c>
      <c r="X104" s="7" t="n">
        <f aca="false">SUMIFS(Doors!AJ:AJ,Doors!$A:$A,$D104,Doors!$B:$B,$B104,Doors!$C:$C,$C104)*SUMIFS(Velocity!$I:$I,Velocity!$A:$A,$A104,Velocity!$B:$B,$C104)/Assumptions!$B$4*Assumptions!$B$6</f>
        <v>0</v>
      </c>
      <c r="Y104" s="7" t="n">
        <f aca="false">SUMIFS(Doors!AK:AK,Doors!$A:$A,$D104,Doors!$B:$B,$B104,Doors!$C:$C,$C104)*SUMIFS(Velocity!$I:$I,Velocity!$A:$A,$A104,Velocity!$B:$B,$C104)/Assumptions!$B$4*Assumptions!$B$6</f>
        <v>0</v>
      </c>
      <c r="Z104" s="7" t="n">
        <f aca="false">SUMIFS(Doors!AL:AL,Doors!$A:$A,$D104,Doors!$B:$B,$B104,Doors!$C:$C,$C104)*SUMIFS(Velocity!$I:$I,Velocity!$A:$A,$A104,Velocity!$B:$B,$C104)/Assumptions!$B$4*Assumptions!$B$6</f>
        <v>0</v>
      </c>
      <c r="AA104" s="7" t="n">
        <f aca="false">SUMIFS(Doors!AM:AM,Doors!$A:$A,$D104,Doors!$B:$B,$B104,Doors!$C:$C,$C104)*SUMIFS(Velocity!$I:$I,Velocity!$A:$A,$A104,Velocity!$B:$B,$C104)/Assumptions!$B$4*Assumptions!$B$6</f>
        <v>0</v>
      </c>
      <c r="AB104" s="7" t="n">
        <f aca="false">SUMIFS(Doors!AN:AN,Doors!$A:$A,$D104,Doors!$B:$B,$B104,Doors!$C:$C,$C104)*SUMIFS(Velocity!$I:$I,Velocity!$A:$A,$A104,Velocity!$B:$B,$C104)/Assumptions!$B$4*Assumptions!$B$6</f>
        <v>0</v>
      </c>
      <c r="AC104" s="7" t="n">
        <f aca="false">SUMIFS(Doors!AO:AO,Doors!$A:$A,$D104,Doors!$B:$B,$B104,Doors!$C:$C,$C104)*SUMIFS(Velocity!$I:$I,Velocity!$A:$A,$A104,Velocity!$B:$B,$C104)/Assumptions!$B$4*Assumptions!$B$6</f>
        <v>0</v>
      </c>
      <c r="AD104" s="7" t="n">
        <f aca="false">SUMIFS(Doors!AP:AP,Doors!$A:$A,$D104,Doors!$B:$B,$B104,Doors!$C:$C,$C104)*SUMIFS(Velocity!$I:$I,Velocity!$A:$A,$A104,Velocity!$B:$B,$C104)/Assumptions!$B$4*Assumptions!$B$6</f>
        <v>0</v>
      </c>
      <c r="AE104" s="7" t="n">
        <f aca="false">SUMIFS(Doors!AQ:AQ,Doors!$A:$A,$D104,Doors!$B:$B,$B104,Doors!$C:$C,$C104)*SUMIFS(Velocity!$I:$I,Velocity!$A:$A,$A104,Velocity!$B:$B,$C104)/Assumptions!$B$4*Assumptions!$B$6</f>
        <v>0</v>
      </c>
      <c r="AF104" s="7" t="n">
        <f aca="false">SUMIFS(Doors!AR:AR,Doors!$A:$A,$D104,Doors!$B:$B,$B104,Doors!$C:$C,$C104)*SUMIFS(Velocity!$I:$I,Velocity!$A:$A,$A104,Velocity!$B:$B,$C104)/Assumptions!$B$4*Assumptions!$B$6</f>
        <v>0</v>
      </c>
      <c r="AG104" s="7" t="n">
        <f aca="false">SUMIFS(Doors!AS:AS,Doors!$A:$A,$D104,Doors!$B:$B,$B104,Doors!$C:$C,$C104)*SUMIFS(Velocity!$I:$I,Velocity!$A:$A,$A104,Velocity!$B:$B,$C104)/Assumptions!$B$4*Assumptions!$B$6</f>
        <v>0</v>
      </c>
      <c r="AH104" s="7" t="n">
        <f aca="false">SUMIFS(Doors!AT:AT,Doors!$A:$A,$D104,Doors!$B:$B,$B104,Doors!$C:$C,$C104)*SUMIFS(Velocity!$I:$I,Velocity!$A:$A,$A104,Velocity!$B:$B,$C104)/Assumptions!$B$4*Assumptions!$B$6</f>
        <v>0</v>
      </c>
      <c r="AI104" s="7" t="n">
        <f aca="false">SUMIFS(Doors!AU:AU,Doors!$A:$A,$D104,Doors!$B:$B,$B104,Doors!$C:$C,$C104)*SUMIFS(Velocity!$I:$I,Velocity!$A:$A,$A104,Velocity!$B:$B,$C104)/Assumptions!$B$4*Assumptions!$B$6</f>
        <v>0</v>
      </c>
      <c r="AJ104" s="7" t="n">
        <f aca="false">SUMIFS(Doors!AV:AV,Doors!$A:$A,$D104,Doors!$B:$B,$B104,Doors!$C:$C,$C104)*SUMIFS(Velocity!$I:$I,Velocity!$A:$A,$A104,Velocity!$B:$B,$C104)/Assumptions!$B$4*Assumptions!$B$6</f>
        <v>0</v>
      </c>
      <c r="AK104" s="7" t="n">
        <f aca="false">SUMIFS(Doors!AW:AW,Doors!$A:$A,$D104,Doors!$B:$B,$B104,Doors!$C:$C,$C104)*SUMIFS(Velocity!$I:$I,Velocity!$A:$A,$A104,Velocity!$B:$B,$C104)/Assumptions!$B$4*Assumptions!$B$6</f>
        <v>0</v>
      </c>
      <c r="AL104" s="7" t="n">
        <f aca="false">SUMIFS(Doors!AX:AX,Doors!$A:$A,$D104,Doors!$B:$B,$B104,Doors!$C:$C,$C104)*SUMIFS(Velocity!$I:$I,Velocity!$A:$A,$A104,Velocity!$B:$B,$C104)/Assumptions!$B$4*Assumptions!$B$6</f>
        <v>0</v>
      </c>
      <c r="AM104" s="7" t="n">
        <f aca="false">SUMIFS(Doors!AY:AY,Doors!$A:$A,$D104,Doors!$B:$B,$B104,Doors!$C:$C,$C104)*SUMIFS(Velocity!$I:$I,Velocity!$A:$A,$A104,Velocity!$B:$B,$C104)/Assumptions!$B$4*Assumptions!$B$6</f>
        <v>0</v>
      </c>
      <c r="AN104" s="7" t="n">
        <f aca="false">SUMIFS(Doors!AZ:AZ,Doors!$A:$A,$D104,Doors!$B:$B,$B104,Doors!$C:$C,$C104)*SUMIFS(Velocity!$I:$I,Velocity!$A:$A,$A104,Velocity!$B:$B,$C104)/Assumptions!$B$4*Assumptions!$B$6</f>
        <v>0</v>
      </c>
      <c r="AO104" s="7" t="n">
        <f aca="false">SUMIFS(Doors!BA:BA,Doors!$A:$A,$D104,Doors!$B:$B,$B104,Doors!$C:$C,$C104)*SUMIFS(Velocity!$I:$I,Velocity!$A:$A,$A104,Velocity!$B:$B,$C104)/Assumptions!$B$4*Assumptions!$B$6</f>
        <v>0</v>
      </c>
      <c r="AP104" s="7" t="n">
        <f aca="false">SUMIFS(Doors!BB:BB,Doors!$A:$A,$D104,Doors!$B:$B,$B104,Doors!$C:$C,$C104)*SUMIFS(Velocity!$I:$I,Velocity!$A:$A,$A104,Velocity!$B:$B,$C104)/Assumptions!$B$4*Assumptions!$B$6</f>
        <v>0</v>
      </c>
      <c r="AQ104" s="7" t="n">
        <f aca="false">SUMIFS(Doors!BC:BC,Doors!$A:$A,$D104,Doors!$B:$B,$B104,Doors!$C:$C,$C104)*SUMIFS(Velocity!$I:$I,Velocity!$A:$A,$A104,Velocity!$B:$B,$C104)/Assumptions!$B$4*Assumptions!$B$6</f>
        <v>0</v>
      </c>
      <c r="AR104" s="7" t="n">
        <f aca="false">SUMIFS(Doors!BD:BD,Doors!$A:$A,$D104,Doors!$B:$B,$B104,Doors!$C:$C,$C104)*SUMIFS(Velocity!$I:$I,Velocity!$A:$A,$A104,Velocity!$B:$B,$C104)/Assumptions!$B$4*Assumptions!$B$6</f>
        <v>0</v>
      </c>
      <c r="AS104" s="7" t="n">
        <f aca="false">SUMIFS(Doors!BE:BE,Doors!$A:$A,$D104,Doors!$B:$B,$B104,Doors!$C:$C,$C104)*SUMIFS(Velocity!$I:$I,Velocity!$A:$A,$A104,Velocity!$B:$B,$C104)/Assumptions!$B$4*Assumptions!$B$6</f>
        <v>0</v>
      </c>
      <c r="AT104" s="7" t="n">
        <f aca="false">SUMIFS(Doors!BF:BF,Doors!$A:$A,$D104,Doors!$B:$B,$B104,Doors!$C:$C,$C104)*SUMIFS(Velocity!$I:$I,Velocity!$A:$A,$A104,Velocity!$B:$B,$C104)/Assumptions!$B$4*Assumptions!$B$6</f>
        <v>0</v>
      </c>
      <c r="AU104" s="7" t="n">
        <f aca="false">SUMIFS(Doors!BG:BG,Doors!$A:$A,$D104,Doors!$B:$B,$B104,Doors!$C:$C,$C104)*SUMIFS(Velocity!$I:$I,Velocity!$A:$A,$A104,Velocity!$B:$B,$C104)/Assumptions!$B$4*Assumptions!$B$6</f>
        <v>0</v>
      </c>
      <c r="AV104" s="7" t="n">
        <f aca="false">SUMIFS(Doors!BH:BH,Doors!$A:$A,$D104,Doors!$B:$B,$B104,Doors!$C:$C,$C104)*SUMIFS(Velocity!$I:$I,Velocity!$A:$A,$A104,Velocity!$B:$B,$C104)/Assumptions!$B$4*Assumptions!$B$6</f>
        <v>0</v>
      </c>
      <c r="AW104" s="7" t="n">
        <f aca="false">SUMIFS(Doors!BI:BI,Doors!$A:$A,$D104,Doors!$B:$B,$B104,Doors!$C:$C,$C104)*SUMIFS(Velocity!$I:$I,Velocity!$A:$A,$A104,Velocity!$B:$B,$C104)/Assumptions!$B$4*Assumptions!$B$6</f>
        <v>0</v>
      </c>
      <c r="AX104" s="7" t="n">
        <f aca="false">SUMIFS(Doors!BJ:BJ,Doors!$A:$A,$D104,Doors!$B:$B,$B104,Doors!$C:$C,$C104)*SUMIFS(Velocity!$I:$I,Velocity!$A:$A,$A104,Velocity!$B:$B,$C104)/Assumptions!$B$4*Assumptions!$B$6</f>
        <v>0</v>
      </c>
      <c r="AY104" s="7" t="n">
        <f aca="false">SUMIFS(Doors!BK:BK,Doors!$A:$A,$D104,Doors!$B:$B,$B104,Doors!$C:$C,$C104)*SUMIFS(Velocity!$I:$I,Velocity!$A:$A,$A104,Velocity!$B:$B,$C104)/Assumptions!$B$4*Assumptions!$B$6</f>
        <v>0</v>
      </c>
      <c r="AZ104" s="7" t="n">
        <f aca="false">SUMIFS(Doors!BL:BL,Doors!$A:$A,$D104,Doors!$B:$B,$B104,Doors!$C:$C,$C104)*SUMIFS(Velocity!$I:$I,Velocity!$A:$A,$A104,Velocity!$B:$B,$C104)/Assumptions!$B$4*Assumptions!$B$6</f>
        <v>0</v>
      </c>
      <c r="BA104" s="7" t="n">
        <f aca="false">SUMIFS(Doors!BM:BM,Doors!$A:$A,$D104,Doors!$B:$B,$B104,Doors!$C:$C,$C104)*SUMIFS(Velocity!$I:$I,Velocity!$A:$A,$A104,Velocity!$B:$B,$C104)/Assumptions!$B$4*Assumptions!$B$6</f>
        <v>0</v>
      </c>
      <c r="BB104" s="7" t="n">
        <f aca="false">SUMIFS(Doors!BN:BN,Doors!$A:$A,$D104,Doors!$B:$B,$B104,Doors!$C:$C,$C104)*SUMIFS(Velocity!$I:$I,Velocity!$A:$A,$A104,Velocity!$B:$B,$C104)/Assumptions!$B$4*Assumptions!$B$6</f>
        <v>0</v>
      </c>
      <c r="BC104" s="7" t="n">
        <f aca="false">SUMIFS(Doors!BO:BO,Doors!$A:$A,$D104,Doors!$B:$B,$B104,Doors!$C:$C,$C104)*SUMIFS(Velocity!$I:$I,Velocity!$A:$A,$A104,Velocity!$B:$B,$C104)/Assumptions!$B$4*Assumptions!$B$6</f>
        <v>0</v>
      </c>
      <c r="BD104" s="7" t="n">
        <f aca="false">SUMIFS(Doors!BP:BP,Doors!$A:$A,$D104,Doors!$B:$B,$B104,Doors!$C:$C,$C104)*SUMIFS(Velocity!$I:$I,Velocity!$A:$A,$A104,Velocity!$B:$B,$C104)/Assumptions!$B$4*Assumptions!$B$6</f>
        <v>0</v>
      </c>
    </row>
    <row r="105" customFormat="false" ht="15" hidden="false" customHeight="false" outlineLevel="0" collapsed="false">
      <c r="A105" s="0" t="s">
        <v>109</v>
      </c>
      <c r="B105" s="0" t="s">
        <v>127</v>
      </c>
      <c r="C105" s="0" t="s">
        <v>115</v>
      </c>
      <c r="D105" s="0" t="s">
        <v>235</v>
      </c>
      <c r="E105" s="7" t="n">
        <f aca="false">SUMIFS(Doors!Q:Q,Doors!$A:$A,$D105,Doors!$B:$B,$B105,Doors!$C:$C,$C105)*SUMIFS(Velocity!$I:$I,Velocity!$A:$A,$A105,Velocity!$B:$B,$C105)/Assumptions!$B$4*Assumptions!$B$6</f>
        <v>1.39583333333333</v>
      </c>
      <c r="F105" s="7" t="n">
        <f aca="false">SUMIFS(Doors!R:R,Doors!$A:$A,$D105,Doors!$B:$B,$B105,Doors!$C:$C,$C105)*SUMIFS(Velocity!$I:$I,Velocity!$A:$A,$A105,Velocity!$B:$B,$C105)/Assumptions!$B$4*Assumptions!$B$6</f>
        <v>1.39583333333333</v>
      </c>
      <c r="G105" s="7" t="n">
        <f aca="false">SUMIFS(Doors!S:S,Doors!$A:$A,$D105,Doors!$B:$B,$B105,Doors!$C:$C,$C105)*SUMIFS(Velocity!$I:$I,Velocity!$A:$A,$A105,Velocity!$B:$B,$C105)/Assumptions!$B$4*Assumptions!$B$6</f>
        <v>1.39583333333333</v>
      </c>
      <c r="H105" s="7" t="n">
        <f aca="false">SUMIFS(Doors!T:T,Doors!$A:$A,$D105,Doors!$B:$B,$B105,Doors!$C:$C,$C105)*SUMIFS(Velocity!$I:$I,Velocity!$A:$A,$A105,Velocity!$B:$B,$C105)/Assumptions!$B$4*Assumptions!$B$6</f>
        <v>1.39583333333333</v>
      </c>
      <c r="I105" s="7" t="n">
        <f aca="false">SUMIFS(Doors!U:U,Doors!$A:$A,$D105,Doors!$B:$B,$B105,Doors!$C:$C,$C105)*SUMIFS(Velocity!$I:$I,Velocity!$A:$A,$A105,Velocity!$B:$B,$C105)/Assumptions!$B$4*Assumptions!$B$6</f>
        <v>1.39583333333333</v>
      </c>
      <c r="J105" s="7" t="n">
        <f aca="false">SUMIFS(Doors!V:V,Doors!$A:$A,$D105,Doors!$B:$B,$B105,Doors!$C:$C,$C105)*SUMIFS(Velocity!$I:$I,Velocity!$A:$A,$A105,Velocity!$B:$B,$C105)/Assumptions!$B$4*Assumptions!$B$6</f>
        <v>2.79166666666667</v>
      </c>
      <c r="K105" s="7" t="n">
        <f aca="false">SUMIFS(Doors!W:W,Doors!$A:$A,$D105,Doors!$B:$B,$B105,Doors!$C:$C,$C105)*SUMIFS(Velocity!$I:$I,Velocity!$A:$A,$A105,Velocity!$B:$B,$C105)/Assumptions!$B$4*Assumptions!$B$6</f>
        <v>2.79166666666667</v>
      </c>
      <c r="L105" s="7" t="n">
        <f aca="false">SUMIFS(Doors!X:X,Doors!$A:$A,$D105,Doors!$B:$B,$B105,Doors!$C:$C,$C105)*SUMIFS(Velocity!$I:$I,Velocity!$A:$A,$A105,Velocity!$B:$B,$C105)/Assumptions!$B$4*Assumptions!$B$6</f>
        <v>2.79166666666667</v>
      </c>
      <c r="M105" s="7" t="n">
        <f aca="false">SUMIFS(Doors!Y:Y,Doors!$A:$A,$D105,Doors!$B:$B,$B105,Doors!$C:$C,$C105)*SUMIFS(Velocity!$I:$I,Velocity!$A:$A,$A105,Velocity!$B:$B,$C105)/Assumptions!$B$4*Assumptions!$B$6</f>
        <v>2.79166666666667</v>
      </c>
      <c r="N105" s="7" t="n">
        <f aca="false">SUMIFS(Doors!Z:Z,Doors!$A:$A,$D105,Doors!$B:$B,$B105,Doors!$C:$C,$C105)*SUMIFS(Velocity!$I:$I,Velocity!$A:$A,$A105,Velocity!$B:$B,$C105)/Assumptions!$B$4*Assumptions!$B$6</f>
        <v>5.025</v>
      </c>
      <c r="O105" s="7" t="n">
        <f aca="false">SUMIFS(Doors!AA:AA,Doors!$A:$A,$D105,Doors!$B:$B,$B105,Doors!$C:$C,$C105)*SUMIFS(Velocity!$I:$I,Velocity!$A:$A,$A105,Velocity!$B:$B,$C105)/Assumptions!$B$4*Assumptions!$B$6</f>
        <v>5.025</v>
      </c>
      <c r="P105" s="7" t="n">
        <f aca="false">SUMIFS(Doors!AB:AB,Doors!$A:$A,$D105,Doors!$B:$B,$B105,Doors!$C:$C,$C105)*SUMIFS(Velocity!$I:$I,Velocity!$A:$A,$A105,Velocity!$B:$B,$C105)/Assumptions!$B$4*Assumptions!$B$6</f>
        <v>5.025</v>
      </c>
      <c r="Q105" s="7" t="n">
        <f aca="false">SUMIFS(Doors!AC:AC,Doors!$A:$A,$D105,Doors!$B:$B,$B105,Doors!$C:$C,$C105)*SUMIFS(Velocity!$I:$I,Velocity!$A:$A,$A105,Velocity!$B:$B,$C105)/Assumptions!$B$4*Assumptions!$B$6</f>
        <v>5.025</v>
      </c>
      <c r="R105" s="7" t="n">
        <f aca="false">SUMIFS(Doors!AD:AD,Doors!$A:$A,$D105,Doors!$B:$B,$B105,Doors!$C:$C,$C105)*SUMIFS(Velocity!$I:$I,Velocity!$A:$A,$A105,Velocity!$B:$B,$C105)/Assumptions!$B$4*Assumptions!$B$6</f>
        <v>7.81666666666667</v>
      </c>
      <c r="S105" s="7" t="n">
        <f aca="false">SUMIFS(Doors!AE:AE,Doors!$A:$A,$D105,Doors!$B:$B,$B105,Doors!$C:$C,$C105)*SUMIFS(Velocity!$I:$I,Velocity!$A:$A,$A105,Velocity!$B:$B,$C105)/Assumptions!$B$4*Assumptions!$B$6</f>
        <v>7.81666666666667</v>
      </c>
      <c r="T105" s="7" t="n">
        <f aca="false">SUMIFS(Doors!AF:AF,Doors!$A:$A,$D105,Doors!$B:$B,$B105,Doors!$C:$C,$C105)*SUMIFS(Velocity!$I:$I,Velocity!$A:$A,$A105,Velocity!$B:$B,$C105)/Assumptions!$B$4*Assumptions!$B$6</f>
        <v>7.81666666666667</v>
      </c>
      <c r="U105" s="7" t="n">
        <f aca="false">SUMIFS(Doors!AG:AG,Doors!$A:$A,$D105,Doors!$B:$B,$B105,Doors!$C:$C,$C105)*SUMIFS(Velocity!$I:$I,Velocity!$A:$A,$A105,Velocity!$B:$B,$C105)/Assumptions!$B$4*Assumptions!$B$6</f>
        <v>7.81666666666667</v>
      </c>
      <c r="V105" s="7" t="n">
        <f aca="false">SUMIFS(Doors!AH:AH,Doors!$A:$A,$D105,Doors!$B:$B,$B105,Doors!$C:$C,$C105)*SUMIFS(Velocity!$I:$I,Velocity!$A:$A,$A105,Velocity!$B:$B,$C105)/Assumptions!$B$4*Assumptions!$B$6</f>
        <v>7.81666666666667</v>
      </c>
      <c r="W105" s="7" t="n">
        <f aca="false">SUMIFS(Doors!AI:AI,Doors!$A:$A,$D105,Doors!$B:$B,$B105,Doors!$C:$C,$C105)*SUMIFS(Velocity!$I:$I,Velocity!$A:$A,$A105,Velocity!$B:$B,$C105)/Assumptions!$B$4*Assumptions!$B$6</f>
        <v>10.6083333333333</v>
      </c>
      <c r="X105" s="7" t="n">
        <f aca="false">SUMIFS(Doors!AJ:AJ,Doors!$A:$A,$D105,Doors!$B:$B,$B105,Doors!$C:$C,$C105)*SUMIFS(Velocity!$I:$I,Velocity!$A:$A,$A105,Velocity!$B:$B,$C105)/Assumptions!$B$4*Assumptions!$B$6</f>
        <v>10.6083333333333</v>
      </c>
      <c r="Y105" s="7" t="n">
        <f aca="false">SUMIFS(Doors!AK:AK,Doors!$A:$A,$D105,Doors!$B:$B,$B105,Doors!$C:$C,$C105)*SUMIFS(Velocity!$I:$I,Velocity!$A:$A,$A105,Velocity!$B:$B,$C105)/Assumptions!$B$4*Assumptions!$B$6</f>
        <v>10.6083333333333</v>
      </c>
      <c r="Z105" s="7" t="n">
        <f aca="false">SUMIFS(Doors!AL:AL,Doors!$A:$A,$D105,Doors!$B:$B,$B105,Doors!$C:$C,$C105)*SUMIFS(Velocity!$I:$I,Velocity!$A:$A,$A105,Velocity!$B:$B,$C105)/Assumptions!$B$4*Assumptions!$B$6</f>
        <v>10.6083333333333</v>
      </c>
      <c r="AA105" s="7" t="n">
        <f aca="false">SUMIFS(Doors!AM:AM,Doors!$A:$A,$D105,Doors!$B:$B,$B105,Doors!$C:$C,$C105)*SUMIFS(Velocity!$I:$I,Velocity!$A:$A,$A105,Velocity!$B:$B,$C105)/Assumptions!$B$4*Assumptions!$B$6</f>
        <v>13.4</v>
      </c>
      <c r="AB105" s="7" t="n">
        <f aca="false">SUMIFS(Doors!AN:AN,Doors!$A:$A,$D105,Doors!$B:$B,$B105,Doors!$C:$C,$C105)*SUMIFS(Velocity!$I:$I,Velocity!$A:$A,$A105,Velocity!$B:$B,$C105)/Assumptions!$B$4*Assumptions!$B$6</f>
        <v>13.4</v>
      </c>
      <c r="AC105" s="7" t="n">
        <f aca="false">SUMIFS(Doors!AO:AO,Doors!$A:$A,$D105,Doors!$B:$B,$B105,Doors!$C:$C,$C105)*SUMIFS(Velocity!$I:$I,Velocity!$A:$A,$A105,Velocity!$B:$B,$C105)/Assumptions!$B$4*Assumptions!$B$6</f>
        <v>13.4</v>
      </c>
      <c r="AD105" s="7" t="n">
        <f aca="false">SUMIFS(Doors!AP:AP,Doors!$A:$A,$D105,Doors!$B:$B,$B105,Doors!$C:$C,$C105)*SUMIFS(Velocity!$I:$I,Velocity!$A:$A,$A105,Velocity!$B:$B,$C105)/Assumptions!$B$4*Assumptions!$B$6</f>
        <v>13.4</v>
      </c>
      <c r="AE105" s="7" t="n">
        <f aca="false">SUMIFS(Doors!AQ:AQ,Doors!$A:$A,$D105,Doors!$B:$B,$B105,Doors!$C:$C,$C105)*SUMIFS(Velocity!$I:$I,Velocity!$A:$A,$A105,Velocity!$B:$B,$C105)/Assumptions!$B$4*Assumptions!$B$6</f>
        <v>16.1916666666667</v>
      </c>
      <c r="AF105" s="7" t="n">
        <f aca="false">SUMIFS(Doors!AR:AR,Doors!$A:$A,$D105,Doors!$B:$B,$B105,Doors!$C:$C,$C105)*SUMIFS(Velocity!$I:$I,Velocity!$A:$A,$A105,Velocity!$B:$B,$C105)/Assumptions!$B$4*Assumptions!$B$6</f>
        <v>16.1916666666667</v>
      </c>
      <c r="AG105" s="7" t="n">
        <f aca="false">SUMIFS(Doors!AS:AS,Doors!$A:$A,$D105,Doors!$B:$B,$B105,Doors!$C:$C,$C105)*SUMIFS(Velocity!$I:$I,Velocity!$A:$A,$A105,Velocity!$B:$B,$C105)/Assumptions!$B$4*Assumptions!$B$6</f>
        <v>16.1916666666667</v>
      </c>
      <c r="AH105" s="7" t="n">
        <f aca="false">SUMIFS(Doors!AT:AT,Doors!$A:$A,$D105,Doors!$B:$B,$B105,Doors!$C:$C,$C105)*SUMIFS(Velocity!$I:$I,Velocity!$A:$A,$A105,Velocity!$B:$B,$C105)/Assumptions!$B$4*Assumptions!$B$6</f>
        <v>16.1916666666667</v>
      </c>
      <c r="AI105" s="7" t="n">
        <f aca="false">SUMIFS(Doors!AU:AU,Doors!$A:$A,$D105,Doors!$B:$B,$B105,Doors!$C:$C,$C105)*SUMIFS(Velocity!$I:$I,Velocity!$A:$A,$A105,Velocity!$B:$B,$C105)/Assumptions!$B$4*Assumptions!$B$6</f>
        <v>16.1916666666667</v>
      </c>
      <c r="AJ105" s="7" t="n">
        <f aca="false">SUMIFS(Doors!AV:AV,Doors!$A:$A,$D105,Doors!$B:$B,$B105,Doors!$C:$C,$C105)*SUMIFS(Velocity!$I:$I,Velocity!$A:$A,$A105,Velocity!$B:$B,$C105)/Assumptions!$B$4*Assumptions!$B$6</f>
        <v>18.9833333333333</v>
      </c>
      <c r="AK105" s="7" t="n">
        <f aca="false">SUMIFS(Doors!AW:AW,Doors!$A:$A,$D105,Doors!$B:$B,$B105,Doors!$C:$C,$C105)*SUMIFS(Velocity!$I:$I,Velocity!$A:$A,$A105,Velocity!$B:$B,$C105)/Assumptions!$B$4*Assumptions!$B$6</f>
        <v>18.9833333333333</v>
      </c>
      <c r="AL105" s="7" t="n">
        <f aca="false">SUMIFS(Doors!AX:AX,Doors!$A:$A,$D105,Doors!$B:$B,$B105,Doors!$C:$C,$C105)*SUMIFS(Velocity!$I:$I,Velocity!$A:$A,$A105,Velocity!$B:$B,$C105)/Assumptions!$B$4*Assumptions!$B$6</f>
        <v>18.9833333333333</v>
      </c>
      <c r="AM105" s="7" t="n">
        <f aca="false">SUMIFS(Doors!AY:AY,Doors!$A:$A,$D105,Doors!$B:$B,$B105,Doors!$C:$C,$C105)*SUMIFS(Velocity!$I:$I,Velocity!$A:$A,$A105,Velocity!$B:$B,$C105)/Assumptions!$B$4*Assumptions!$B$6</f>
        <v>18.9833333333333</v>
      </c>
      <c r="AN105" s="7" t="n">
        <f aca="false">SUMIFS(Doors!AZ:AZ,Doors!$A:$A,$D105,Doors!$B:$B,$B105,Doors!$C:$C,$C105)*SUMIFS(Velocity!$I:$I,Velocity!$A:$A,$A105,Velocity!$B:$B,$C105)/Assumptions!$B$4*Assumptions!$B$6</f>
        <v>20.9375</v>
      </c>
      <c r="AO105" s="7" t="n">
        <f aca="false">SUMIFS(Doors!BA:BA,Doors!$A:$A,$D105,Doors!$B:$B,$B105,Doors!$C:$C,$C105)*SUMIFS(Velocity!$I:$I,Velocity!$A:$A,$A105,Velocity!$B:$B,$C105)/Assumptions!$B$4*Assumptions!$B$6</f>
        <v>20.9375</v>
      </c>
      <c r="AP105" s="7" t="n">
        <f aca="false">SUMIFS(Doors!BB:BB,Doors!$A:$A,$D105,Doors!$B:$B,$B105,Doors!$C:$C,$C105)*SUMIFS(Velocity!$I:$I,Velocity!$A:$A,$A105,Velocity!$B:$B,$C105)/Assumptions!$B$4*Assumptions!$B$6</f>
        <v>20.9375</v>
      </c>
      <c r="AQ105" s="7" t="n">
        <f aca="false">SUMIFS(Doors!BC:BC,Doors!$A:$A,$D105,Doors!$B:$B,$B105,Doors!$C:$C,$C105)*SUMIFS(Velocity!$I:$I,Velocity!$A:$A,$A105,Velocity!$B:$B,$C105)/Assumptions!$B$4*Assumptions!$B$6</f>
        <v>20.9375</v>
      </c>
      <c r="AR105" s="7" t="n">
        <f aca="false">SUMIFS(Doors!BD:BD,Doors!$A:$A,$D105,Doors!$B:$B,$B105,Doors!$C:$C,$C105)*SUMIFS(Velocity!$I:$I,Velocity!$A:$A,$A105,Velocity!$B:$B,$C105)/Assumptions!$B$4*Assumptions!$B$6</f>
        <v>22.8916666666667</v>
      </c>
      <c r="AS105" s="7" t="n">
        <f aca="false">SUMIFS(Doors!BE:BE,Doors!$A:$A,$D105,Doors!$B:$B,$B105,Doors!$C:$C,$C105)*SUMIFS(Velocity!$I:$I,Velocity!$A:$A,$A105,Velocity!$B:$B,$C105)/Assumptions!$B$4*Assumptions!$B$6</f>
        <v>22.8916666666667</v>
      </c>
      <c r="AT105" s="7" t="n">
        <f aca="false">SUMIFS(Doors!BF:BF,Doors!$A:$A,$D105,Doors!$B:$B,$B105,Doors!$C:$C,$C105)*SUMIFS(Velocity!$I:$I,Velocity!$A:$A,$A105,Velocity!$B:$B,$C105)/Assumptions!$B$4*Assumptions!$B$6</f>
        <v>22.8916666666667</v>
      </c>
      <c r="AU105" s="7" t="n">
        <f aca="false">SUMIFS(Doors!BG:BG,Doors!$A:$A,$D105,Doors!$B:$B,$B105,Doors!$C:$C,$C105)*SUMIFS(Velocity!$I:$I,Velocity!$A:$A,$A105,Velocity!$B:$B,$C105)/Assumptions!$B$4*Assumptions!$B$6</f>
        <v>22.8916666666667</v>
      </c>
      <c r="AV105" s="7" t="n">
        <f aca="false">SUMIFS(Doors!BH:BH,Doors!$A:$A,$D105,Doors!$B:$B,$B105,Doors!$C:$C,$C105)*SUMIFS(Velocity!$I:$I,Velocity!$A:$A,$A105,Velocity!$B:$B,$C105)/Assumptions!$B$4*Assumptions!$B$6</f>
        <v>22.8916666666667</v>
      </c>
      <c r="AW105" s="7" t="n">
        <f aca="false">SUMIFS(Doors!BI:BI,Doors!$A:$A,$D105,Doors!$B:$B,$B105,Doors!$C:$C,$C105)*SUMIFS(Velocity!$I:$I,Velocity!$A:$A,$A105,Velocity!$B:$B,$C105)/Assumptions!$B$4*Assumptions!$B$6</f>
        <v>24.2875</v>
      </c>
      <c r="AX105" s="7" t="n">
        <f aca="false">SUMIFS(Doors!BJ:BJ,Doors!$A:$A,$D105,Doors!$B:$B,$B105,Doors!$C:$C,$C105)*SUMIFS(Velocity!$I:$I,Velocity!$A:$A,$A105,Velocity!$B:$B,$C105)/Assumptions!$B$4*Assumptions!$B$6</f>
        <v>24.2875</v>
      </c>
      <c r="AY105" s="7" t="n">
        <f aca="false">SUMIFS(Doors!BK:BK,Doors!$A:$A,$D105,Doors!$B:$B,$B105,Doors!$C:$C,$C105)*SUMIFS(Velocity!$I:$I,Velocity!$A:$A,$A105,Velocity!$B:$B,$C105)/Assumptions!$B$4*Assumptions!$B$6</f>
        <v>24.2875</v>
      </c>
      <c r="AZ105" s="7" t="n">
        <f aca="false">SUMIFS(Doors!BL:BL,Doors!$A:$A,$D105,Doors!$B:$B,$B105,Doors!$C:$C,$C105)*SUMIFS(Velocity!$I:$I,Velocity!$A:$A,$A105,Velocity!$B:$B,$C105)/Assumptions!$B$4*Assumptions!$B$6</f>
        <v>24.2875</v>
      </c>
      <c r="BA105" s="7" t="n">
        <f aca="false">SUMIFS(Doors!BM:BM,Doors!$A:$A,$D105,Doors!$B:$B,$B105,Doors!$C:$C,$C105)*SUMIFS(Velocity!$I:$I,Velocity!$A:$A,$A105,Velocity!$B:$B,$C105)/Assumptions!$B$4*Assumptions!$B$6</f>
        <v>25.125</v>
      </c>
      <c r="BB105" s="7" t="n">
        <f aca="false">SUMIFS(Doors!BN:BN,Doors!$A:$A,$D105,Doors!$B:$B,$B105,Doors!$C:$C,$C105)*SUMIFS(Velocity!$I:$I,Velocity!$A:$A,$A105,Velocity!$B:$B,$C105)/Assumptions!$B$4*Assumptions!$B$6</f>
        <v>25.125</v>
      </c>
      <c r="BC105" s="7" t="n">
        <f aca="false">SUMIFS(Doors!BO:BO,Doors!$A:$A,$D105,Doors!$B:$B,$B105,Doors!$C:$C,$C105)*SUMIFS(Velocity!$I:$I,Velocity!$A:$A,$A105,Velocity!$B:$B,$C105)/Assumptions!$B$4*Assumptions!$B$6</f>
        <v>25.125</v>
      </c>
      <c r="BD105" s="7" t="n">
        <f aca="false">SUMIFS(Doors!BP:BP,Doors!$A:$A,$D105,Doors!$B:$B,$B105,Doors!$C:$C,$C105)*SUMIFS(Velocity!$I:$I,Velocity!$A:$A,$A105,Velocity!$B:$B,$C105)/Assumptions!$B$4*Assumptions!$B$6</f>
        <v>25.125</v>
      </c>
    </row>
    <row r="106" customFormat="false" ht="15" hidden="false" customHeight="false" outlineLevel="0" collapsed="false">
      <c r="A106" s="0" t="s">
        <v>109</v>
      </c>
      <c r="B106" s="0" t="s">
        <v>127</v>
      </c>
      <c r="C106" s="0" t="s">
        <v>116</v>
      </c>
      <c r="D106" s="0" t="s">
        <v>235</v>
      </c>
      <c r="E106" s="7" t="n">
        <f aca="false">SUMIFS(Doors!Q:Q,Doors!$A:$A,$D106,Doors!$B:$B,$B106,Doors!$C:$C,$C106)*SUMIFS(Velocity!$I:$I,Velocity!$A:$A,$A106,Velocity!$B:$B,$C106)/Assumptions!$B$4*Assumptions!$B$6</f>
        <v>0.8125</v>
      </c>
      <c r="F106" s="7" t="n">
        <f aca="false">SUMIFS(Doors!R:R,Doors!$A:$A,$D106,Doors!$B:$B,$B106,Doors!$C:$C,$C106)*SUMIFS(Velocity!$I:$I,Velocity!$A:$A,$A106,Velocity!$B:$B,$C106)/Assumptions!$B$4*Assumptions!$B$6</f>
        <v>0.8125</v>
      </c>
      <c r="G106" s="7" t="n">
        <f aca="false">SUMIFS(Doors!S:S,Doors!$A:$A,$D106,Doors!$B:$B,$B106,Doors!$C:$C,$C106)*SUMIFS(Velocity!$I:$I,Velocity!$A:$A,$A106,Velocity!$B:$B,$C106)/Assumptions!$B$4*Assumptions!$B$6</f>
        <v>0.8125</v>
      </c>
      <c r="H106" s="7" t="n">
        <f aca="false">SUMIFS(Doors!T:T,Doors!$A:$A,$D106,Doors!$B:$B,$B106,Doors!$C:$C,$C106)*SUMIFS(Velocity!$I:$I,Velocity!$A:$A,$A106,Velocity!$B:$B,$C106)/Assumptions!$B$4*Assumptions!$B$6</f>
        <v>0.8125</v>
      </c>
      <c r="I106" s="7" t="n">
        <f aca="false">SUMIFS(Doors!U:U,Doors!$A:$A,$D106,Doors!$B:$B,$B106,Doors!$C:$C,$C106)*SUMIFS(Velocity!$I:$I,Velocity!$A:$A,$A106,Velocity!$B:$B,$C106)/Assumptions!$B$4*Assumptions!$B$6</f>
        <v>0.8125</v>
      </c>
      <c r="J106" s="7" t="n">
        <f aca="false">SUMIFS(Doors!V:V,Doors!$A:$A,$D106,Doors!$B:$B,$B106,Doors!$C:$C,$C106)*SUMIFS(Velocity!$I:$I,Velocity!$A:$A,$A106,Velocity!$B:$B,$C106)/Assumptions!$B$4*Assumptions!$B$6</f>
        <v>1.35416666666667</v>
      </c>
      <c r="K106" s="7" t="n">
        <f aca="false">SUMIFS(Doors!W:W,Doors!$A:$A,$D106,Doors!$B:$B,$B106,Doors!$C:$C,$C106)*SUMIFS(Velocity!$I:$I,Velocity!$A:$A,$A106,Velocity!$B:$B,$C106)/Assumptions!$B$4*Assumptions!$B$6</f>
        <v>1.35416666666667</v>
      </c>
      <c r="L106" s="7" t="n">
        <f aca="false">SUMIFS(Doors!X:X,Doors!$A:$A,$D106,Doors!$B:$B,$B106,Doors!$C:$C,$C106)*SUMIFS(Velocity!$I:$I,Velocity!$A:$A,$A106,Velocity!$B:$B,$C106)/Assumptions!$B$4*Assumptions!$B$6</f>
        <v>1.35416666666667</v>
      </c>
      <c r="M106" s="7" t="n">
        <f aca="false">SUMIFS(Doors!Y:Y,Doors!$A:$A,$D106,Doors!$B:$B,$B106,Doors!$C:$C,$C106)*SUMIFS(Velocity!$I:$I,Velocity!$A:$A,$A106,Velocity!$B:$B,$C106)/Assumptions!$B$4*Assumptions!$B$6</f>
        <v>1.35416666666667</v>
      </c>
      <c r="N106" s="7" t="n">
        <f aca="false">SUMIFS(Doors!Z:Z,Doors!$A:$A,$D106,Doors!$B:$B,$B106,Doors!$C:$C,$C106)*SUMIFS(Velocity!$I:$I,Velocity!$A:$A,$A106,Velocity!$B:$B,$C106)/Assumptions!$B$4*Assumptions!$B$6</f>
        <v>2.16666666666667</v>
      </c>
      <c r="O106" s="7" t="n">
        <f aca="false">SUMIFS(Doors!AA:AA,Doors!$A:$A,$D106,Doors!$B:$B,$B106,Doors!$C:$C,$C106)*SUMIFS(Velocity!$I:$I,Velocity!$A:$A,$A106,Velocity!$B:$B,$C106)/Assumptions!$B$4*Assumptions!$B$6</f>
        <v>2.16666666666667</v>
      </c>
      <c r="P106" s="7" t="n">
        <f aca="false">SUMIFS(Doors!AB:AB,Doors!$A:$A,$D106,Doors!$B:$B,$B106,Doors!$C:$C,$C106)*SUMIFS(Velocity!$I:$I,Velocity!$A:$A,$A106,Velocity!$B:$B,$C106)/Assumptions!$B$4*Assumptions!$B$6</f>
        <v>2.16666666666667</v>
      </c>
      <c r="Q106" s="7" t="n">
        <f aca="false">SUMIFS(Doors!AC:AC,Doors!$A:$A,$D106,Doors!$B:$B,$B106,Doors!$C:$C,$C106)*SUMIFS(Velocity!$I:$I,Velocity!$A:$A,$A106,Velocity!$B:$B,$C106)/Assumptions!$B$4*Assumptions!$B$6</f>
        <v>2.16666666666667</v>
      </c>
      <c r="R106" s="7" t="n">
        <f aca="false">SUMIFS(Doors!AD:AD,Doors!$A:$A,$D106,Doors!$B:$B,$B106,Doors!$C:$C,$C106)*SUMIFS(Velocity!$I:$I,Velocity!$A:$A,$A106,Velocity!$B:$B,$C106)/Assumptions!$B$4*Assumptions!$B$6</f>
        <v>3.25</v>
      </c>
      <c r="S106" s="7" t="n">
        <f aca="false">SUMIFS(Doors!AE:AE,Doors!$A:$A,$D106,Doors!$B:$B,$B106,Doors!$C:$C,$C106)*SUMIFS(Velocity!$I:$I,Velocity!$A:$A,$A106,Velocity!$B:$B,$C106)/Assumptions!$B$4*Assumptions!$B$6</f>
        <v>3.25</v>
      </c>
      <c r="T106" s="7" t="n">
        <f aca="false">SUMIFS(Doors!AF:AF,Doors!$A:$A,$D106,Doors!$B:$B,$B106,Doors!$C:$C,$C106)*SUMIFS(Velocity!$I:$I,Velocity!$A:$A,$A106,Velocity!$B:$B,$C106)/Assumptions!$B$4*Assumptions!$B$6</f>
        <v>3.25</v>
      </c>
      <c r="U106" s="7" t="n">
        <f aca="false">SUMIFS(Doors!AG:AG,Doors!$A:$A,$D106,Doors!$B:$B,$B106,Doors!$C:$C,$C106)*SUMIFS(Velocity!$I:$I,Velocity!$A:$A,$A106,Velocity!$B:$B,$C106)/Assumptions!$B$4*Assumptions!$B$6</f>
        <v>3.25</v>
      </c>
      <c r="V106" s="7" t="n">
        <f aca="false">SUMIFS(Doors!AH:AH,Doors!$A:$A,$D106,Doors!$B:$B,$B106,Doors!$C:$C,$C106)*SUMIFS(Velocity!$I:$I,Velocity!$A:$A,$A106,Velocity!$B:$B,$C106)/Assumptions!$B$4*Assumptions!$B$6</f>
        <v>3.25</v>
      </c>
      <c r="W106" s="7" t="n">
        <f aca="false">SUMIFS(Doors!AI:AI,Doors!$A:$A,$D106,Doors!$B:$B,$B106,Doors!$C:$C,$C106)*SUMIFS(Velocity!$I:$I,Velocity!$A:$A,$A106,Velocity!$B:$B,$C106)/Assumptions!$B$4*Assumptions!$B$6</f>
        <v>4.33333333333333</v>
      </c>
      <c r="X106" s="7" t="n">
        <f aca="false">SUMIFS(Doors!AJ:AJ,Doors!$A:$A,$D106,Doors!$B:$B,$B106,Doors!$C:$C,$C106)*SUMIFS(Velocity!$I:$I,Velocity!$A:$A,$A106,Velocity!$B:$B,$C106)/Assumptions!$B$4*Assumptions!$B$6</f>
        <v>4.33333333333333</v>
      </c>
      <c r="Y106" s="7" t="n">
        <f aca="false">SUMIFS(Doors!AK:AK,Doors!$A:$A,$D106,Doors!$B:$B,$B106,Doors!$C:$C,$C106)*SUMIFS(Velocity!$I:$I,Velocity!$A:$A,$A106,Velocity!$B:$B,$C106)/Assumptions!$B$4*Assumptions!$B$6</f>
        <v>4.33333333333333</v>
      </c>
      <c r="Z106" s="7" t="n">
        <f aca="false">SUMIFS(Doors!AL:AL,Doors!$A:$A,$D106,Doors!$B:$B,$B106,Doors!$C:$C,$C106)*SUMIFS(Velocity!$I:$I,Velocity!$A:$A,$A106,Velocity!$B:$B,$C106)/Assumptions!$B$4*Assumptions!$B$6</f>
        <v>4.33333333333333</v>
      </c>
      <c r="AA106" s="7" t="n">
        <f aca="false">SUMIFS(Doors!AM:AM,Doors!$A:$A,$D106,Doors!$B:$B,$B106,Doors!$C:$C,$C106)*SUMIFS(Velocity!$I:$I,Velocity!$A:$A,$A106,Velocity!$B:$B,$C106)/Assumptions!$B$4*Assumptions!$B$6</f>
        <v>5.41666666666667</v>
      </c>
      <c r="AB106" s="7" t="n">
        <f aca="false">SUMIFS(Doors!AN:AN,Doors!$A:$A,$D106,Doors!$B:$B,$B106,Doors!$C:$C,$C106)*SUMIFS(Velocity!$I:$I,Velocity!$A:$A,$A106,Velocity!$B:$B,$C106)/Assumptions!$B$4*Assumptions!$B$6</f>
        <v>5.41666666666667</v>
      </c>
      <c r="AC106" s="7" t="n">
        <f aca="false">SUMIFS(Doors!AO:AO,Doors!$A:$A,$D106,Doors!$B:$B,$B106,Doors!$C:$C,$C106)*SUMIFS(Velocity!$I:$I,Velocity!$A:$A,$A106,Velocity!$B:$B,$C106)/Assumptions!$B$4*Assumptions!$B$6</f>
        <v>5.41666666666667</v>
      </c>
      <c r="AD106" s="7" t="n">
        <f aca="false">SUMIFS(Doors!AP:AP,Doors!$A:$A,$D106,Doors!$B:$B,$B106,Doors!$C:$C,$C106)*SUMIFS(Velocity!$I:$I,Velocity!$A:$A,$A106,Velocity!$B:$B,$C106)/Assumptions!$B$4*Assumptions!$B$6</f>
        <v>5.41666666666667</v>
      </c>
      <c r="AE106" s="7" t="n">
        <f aca="false">SUMIFS(Doors!AQ:AQ,Doors!$A:$A,$D106,Doors!$B:$B,$B106,Doors!$C:$C,$C106)*SUMIFS(Velocity!$I:$I,Velocity!$A:$A,$A106,Velocity!$B:$B,$C106)/Assumptions!$B$4*Assumptions!$B$6</f>
        <v>6.5</v>
      </c>
      <c r="AF106" s="7" t="n">
        <f aca="false">SUMIFS(Doors!AR:AR,Doors!$A:$A,$D106,Doors!$B:$B,$B106,Doors!$C:$C,$C106)*SUMIFS(Velocity!$I:$I,Velocity!$A:$A,$A106,Velocity!$B:$B,$C106)/Assumptions!$B$4*Assumptions!$B$6</f>
        <v>6.5</v>
      </c>
      <c r="AG106" s="7" t="n">
        <f aca="false">SUMIFS(Doors!AS:AS,Doors!$A:$A,$D106,Doors!$B:$B,$B106,Doors!$C:$C,$C106)*SUMIFS(Velocity!$I:$I,Velocity!$A:$A,$A106,Velocity!$B:$B,$C106)/Assumptions!$B$4*Assumptions!$B$6</f>
        <v>6.5</v>
      </c>
      <c r="AH106" s="7" t="n">
        <f aca="false">SUMIFS(Doors!AT:AT,Doors!$A:$A,$D106,Doors!$B:$B,$B106,Doors!$C:$C,$C106)*SUMIFS(Velocity!$I:$I,Velocity!$A:$A,$A106,Velocity!$B:$B,$C106)/Assumptions!$B$4*Assumptions!$B$6</f>
        <v>6.5</v>
      </c>
      <c r="AI106" s="7" t="n">
        <f aca="false">SUMIFS(Doors!AU:AU,Doors!$A:$A,$D106,Doors!$B:$B,$B106,Doors!$C:$C,$C106)*SUMIFS(Velocity!$I:$I,Velocity!$A:$A,$A106,Velocity!$B:$B,$C106)/Assumptions!$B$4*Assumptions!$B$6</f>
        <v>6.5</v>
      </c>
      <c r="AJ106" s="7" t="n">
        <f aca="false">SUMIFS(Doors!AV:AV,Doors!$A:$A,$D106,Doors!$B:$B,$B106,Doors!$C:$C,$C106)*SUMIFS(Velocity!$I:$I,Velocity!$A:$A,$A106,Velocity!$B:$B,$C106)/Assumptions!$B$4*Assumptions!$B$6</f>
        <v>7.3125</v>
      </c>
      <c r="AK106" s="7" t="n">
        <f aca="false">SUMIFS(Doors!AW:AW,Doors!$A:$A,$D106,Doors!$B:$B,$B106,Doors!$C:$C,$C106)*SUMIFS(Velocity!$I:$I,Velocity!$A:$A,$A106,Velocity!$B:$B,$C106)/Assumptions!$B$4*Assumptions!$B$6</f>
        <v>7.3125</v>
      </c>
      <c r="AL106" s="7" t="n">
        <f aca="false">SUMIFS(Doors!AX:AX,Doors!$A:$A,$D106,Doors!$B:$B,$B106,Doors!$C:$C,$C106)*SUMIFS(Velocity!$I:$I,Velocity!$A:$A,$A106,Velocity!$B:$B,$C106)/Assumptions!$B$4*Assumptions!$B$6</f>
        <v>7.3125</v>
      </c>
      <c r="AM106" s="7" t="n">
        <f aca="false">SUMIFS(Doors!AY:AY,Doors!$A:$A,$D106,Doors!$B:$B,$B106,Doors!$C:$C,$C106)*SUMIFS(Velocity!$I:$I,Velocity!$A:$A,$A106,Velocity!$B:$B,$C106)/Assumptions!$B$4*Assumptions!$B$6</f>
        <v>7.3125</v>
      </c>
      <c r="AN106" s="7" t="n">
        <f aca="false">SUMIFS(Doors!AZ:AZ,Doors!$A:$A,$D106,Doors!$B:$B,$B106,Doors!$C:$C,$C106)*SUMIFS(Velocity!$I:$I,Velocity!$A:$A,$A106,Velocity!$B:$B,$C106)/Assumptions!$B$4*Assumptions!$B$6</f>
        <v>8.125</v>
      </c>
      <c r="AO106" s="7" t="n">
        <f aca="false">SUMIFS(Doors!BA:BA,Doors!$A:$A,$D106,Doors!$B:$B,$B106,Doors!$C:$C,$C106)*SUMIFS(Velocity!$I:$I,Velocity!$A:$A,$A106,Velocity!$B:$B,$C106)/Assumptions!$B$4*Assumptions!$B$6</f>
        <v>8.125</v>
      </c>
      <c r="AP106" s="7" t="n">
        <f aca="false">SUMIFS(Doors!BB:BB,Doors!$A:$A,$D106,Doors!$B:$B,$B106,Doors!$C:$C,$C106)*SUMIFS(Velocity!$I:$I,Velocity!$A:$A,$A106,Velocity!$B:$B,$C106)/Assumptions!$B$4*Assumptions!$B$6</f>
        <v>8.125</v>
      </c>
      <c r="AQ106" s="7" t="n">
        <f aca="false">SUMIFS(Doors!BC:BC,Doors!$A:$A,$D106,Doors!$B:$B,$B106,Doors!$C:$C,$C106)*SUMIFS(Velocity!$I:$I,Velocity!$A:$A,$A106,Velocity!$B:$B,$C106)/Assumptions!$B$4*Assumptions!$B$6</f>
        <v>8.125</v>
      </c>
      <c r="AR106" s="7" t="n">
        <f aca="false">SUMIFS(Doors!BD:BD,Doors!$A:$A,$D106,Doors!$B:$B,$B106,Doors!$C:$C,$C106)*SUMIFS(Velocity!$I:$I,Velocity!$A:$A,$A106,Velocity!$B:$B,$C106)/Assumptions!$B$4*Assumptions!$B$6</f>
        <v>8.66666666666667</v>
      </c>
      <c r="AS106" s="7" t="n">
        <f aca="false">SUMIFS(Doors!BE:BE,Doors!$A:$A,$D106,Doors!$B:$B,$B106,Doors!$C:$C,$C106)*SUMIFS(Velocity!$I:$I,Velocity!$A:$A,$A106,Velocity!$B:$B,$C106)/Assumptions!$B$4*Assumptions!$B$6</f>
        <v>8.66666666666667</v>
      </c>
      <c r="AT106" s="7" t="n">
        <f aca="false">SUMIFS(Doors!BF:BF,Doors!$A:$A,$D106,Doors!$B:$B,$B106,Doors!$C:$C,$C106)*SUMIFS(Velocity!$I:$I,Velocity!$A:$A,$A106,Velocity!$B:$B,$C106)/Assumptions!$B$4*Assumptions!$B$6</f>
        <v>8.66666666666667</v>
      </c>
      <c r="AU106" s="7" t="n">
        <f aca="false">SUMIFS(Doors!BG:BG,Doors!$A:$A,$D106,Doors!$B:$B,$B106,Doors!$C:$C,$C106)*SUMIFS(Velocity!$I:$I,Velocity!$A:$A,$A106,Velocity!$B:$B,$C106)/Assumptions!$B$4*Assumptions!$B$6</f>
        <v>8.66666666666667</v>
      </c>
      <c r="AV106" s="7" t="n">
        <f aca="false">SUMIFS(Doors!BH:BH,Doors!$A:$A,$D106,Doors!$B:$B,$B106,Doors!$C:$C,$C106)*SUMIFS(Velocity!$I:$I,Velocity!$A:$A,$A106,Velocity!$B:$B,$C106)/Assumptions!$B$4*Assumptions!$B$6</f>
        <v>8.66666666666667</v>
      </c>
      <c r="AW106" s="7" t="n">
        <f aca="false">SUMIFS(Doors!BI:BI,Doors!$A:$A,$D106,Doors!$B:$B,$B106,Doors!$C:$C,$C106)*SUMIFS(Velocity!$I:$I,Velocity!$A:$A,$A106,Velocity!$B:$B,$C106)/Assumptions!$B$4*Assumptions!$B$6</f>
        <v>8.9375</v>
      </c>
      <c r="AX106" s="7" t="n">
        <f aca="false">SUMIFS(Doors!BJ:BJ,Doors!$A:$A,$D106,Doors!$B:$B,$B106,Doors!$C:$C,$C106)*SUMIFS(Velocity!$I:$I,Velocity!$A:$A,$A106,Velocity!$B:$B,$C106)/Assumptions!$B$4*Assumptions!$B$6</f>
        <v>8.9375</v>
      </c>
      <c r="AY106" s="7" t="n">
        <f aca="false">SUMIFS(Doors!BK:BK,Doors!$A:$A,$D106,Doors!$B:$B,$B106,Doors!$C:$C,$C106)*SUMIFS(Velocity!$I:$I,Velocity!$A:$A,$A106,Velocity!$B:$B,$C106)/Assumptions!$B$4*Assumptions!$B$6</f>
        <v>8.9375</v>
      </c>
      <c r="AZ106" s="7" t="n">
        <f aca="false">SUMIFS(Doors!BL:BL,Doors!$A:$A,$D106,Doors!$B:$B,$B106,Doors!$C:$C,$C106)*SUMIFS(Velocity!$I:$I,Velocity!$A:$A,$A106,Velocity!$B:$B,$C106)/Assumptions!$B$4*Assumptions!$B$6</f>
        <v>8.9375</v>
      </c>
      <c r="BA106" s="7" t="n">
        <f aca="false">SUMIFS(Doors!BM:BM,Doors!$A:$A,$D106,Doors!$B:$B,$B106,Doors!$C:$C,$C106)*SUMIFS(Velocity!$I:$I,Velocity!$A:$A,$A106,Velocity!$B:$B,$C106)/Assumptions!$B$4*Assumptions!$B$6</f>
        <v>9.47916666666667</v>
      </c>
      <c r="BB106" s="7" t="n">
        <f aca="false">SUMIFS(Doors!BN:BN,Doors!$A:$A,$D106,Doors!$B:$B,$B106,Doors!$C:$C,$C106)*SUMIFS(Velocity!$I:$I,Velocity!$A:$A,$A106,Velocity!$B:$B,$C106)/Assumptions!$B$4*Assumptions!$B$6</f>
        <v>9.47916666666667</v>
      </c>
      <c r="BC106" s="7" t="n">
        <f aca="false">SUMIFS(Doors!BO:BO,Doors!$A:$A,$D106,Doors!$B:$B,$B106,Doors!$C:$C,$C106)*SUMIFS(Velocity!$I:$I,Velocity!$A:$A,$A106,Velocity!$B:$B,$C106)/Assumptions!$B$4*Assumptions!$B$6</f>
        <v>9.47916666666667</v>
      </c>
      <c r="BD106" s="7" t="n">
        <f aca="false">SUMIFS(Doors!BP:BP,Doors!$A:$A,$D106,Doors!$B:$B,$B106,Doors!$C:$C,$C106)*SUMIFS(Velocity!$I:$I,Velocity!$A:$A,$A106,Velocity!$B:$B,$C106)/Assumptions!$B$4*Assumptions!$B$6</f>
        <v>9.47916666666667</v>
      </c>
    </row>
    <row r="107" customFormat="false" ht="15" hidden="false" customHeight="false" outlineLevel="0" collapsed="false">
      <c r="A107" s="0" t="s">
        <v>109</v>
      </c>
      <c r="B107" s="0" t="s">
        <v>127</v>
      </c>
      <c r="C107" s="0" t="s">
        <v>117</v>
      </c>
      <c r="D107" s="0" t="s">
        <v>235</v>
      </c>
      <c r="E107" s="7" t="n">
        <f aca="false">SUMIFS(Doors!Q:Q,Doors!$A:$A,$D107,Doors!$B:$B,$B107,Doors!$C:$C,$C107)*SUMIFS(Velocity!$I:$I,Velocity!$A:$A,$A107,Velocity!$B:$B,$C107)/Assumptions!$B$4*Assumptions!$B$6</f>
        <v>0</v>
      </c>
      <c r="F107" s="7" t="n">
        <f aca="false">SUMIFS(Doors!R:R,Doors!$A:$A,$D107,Doors!$B:$B,$B107,Doors!$C:$C,$C107)*SUMIFS(Velocity!$I:$I,Velocity!$A:$A,$A107,Velocity!$B:$B,$C107)/Assumptions!$B$4*Assumptions!$B$6</f>
        <v>0</v>
      </c>
      <c r="G107" s="7" t="n">
        <f aca="false">SUMIFS(Doors!S:S,Doors!$A:$A,$D107,Doors!$B:$B,$B107,Doors!$C:$C,$C107)*SUMIFS(Velocity!$I:$I,Velocity!$A:$A,$A107,Velocity!$B:$B,$C107)/Assumptions!$B$4*Assumptions!$B$6</f>
        <v>0</v>
      </c>
      <c r="H107" s="7" t="n">
        <f aca="false">SUMIFS(Doors!T:T,Doors!$A:$A,$D107,Doors!$B:$B,$B107,Doors!$C:$C,$C107)*SUMIFS(Velocity!$I:$I,Velocity!$A:$A,$A107,Velocity!$B:$B,$C107)/Assumptions!$B$4*Assumptions!$B$6</f>
        <v>0</v>
      </c>
      <c r="I107" s="7" t="n">
        <f aca="false">SUMIFS(Doors!U:U,Doors!$A:$A,$D107,Doors!$B:$B,$B107,Doors!$C:$C,$C107)*SUMIFS(Velocity!$I:$I,Velocity!$A:$A,$A107,Velocity!$B:$B,$C107)/Assumptions!$B$4*Assumptions!$B$6</f>
        <v>0</v>
      </c>
      <c r="J107" s="7" t="n">
        <f aca="false">SUMIFS(Doors!V:V,Doors!$A:$A,$D107,Doors!$B:$B,$B107,Doors!$C:$C,$C107)*SUMIFS(Velocity!$I:$I,Velocity!$A:$A,$A107,Velocity!$B:$B,$C107)/Assumptions!$B$4*Assumptions!$B$6</f>
        <v>0</v>
      </c>
      <c r="K107" s="7" t="n">
        <f aca="false">SUMIFS(Doors!W:W,Doors!$A:$A,$D107,Doors!$B:$B,$B107,Doors!$C:$C,$C107)*SUMIFS(Velocity!$I:$I,Velocity!$A:$A,$A107,Velocity!$B:$B,$C107)/Assumptions!$B$4*Assumptions!$B$6</f>
        <v>0</v>
      </c>
      <c r="L107" s="7" t="n">
        <f aca="false">SUMIFS(Doors!X:X,Doors!$A:$A,$D107,Doors!$B:$B,$B107,Doors!$C:$C,$C107)*SUMIFS(Velocity!$I:$I,Velocity!$A:$A,$A107,Velocity!$B:$B,$C107)/Assumptions!$B$4*Assumptions!$B$6</f>
        <v>0</v>
      </c>
      <c r="M107" s="7" t="n">
        <f aca="false">SUMIFS(Doors!Y:Y,Doors!$A:$A,$D107,Doors!$B:$B,$B107,Doors!$C:$C,$C107)*SUMIFS(Velocity!$I:$I,Velocity!$A:$A,$A107,Velocity!$B:$B,$C107)/Assumptions!$B$4*Assumptions!$B$6</f>
        <v>0</v>
      </c>
      <c r="N107" s="7" t="n">
        <f aca="false">SUMIFS(Doors!Z:Z,Doors!$A:$A,$D107,Doors!$B:$B,$B107,Doors!$C:$C,$C107)*SUMIFS(Velocity!$I:$I,Velocity!$A:$A,$A107,Velocity!$B:$B,$C107)/Assumptions!$B$4*Assumptions!$B$6</f>
        <v>0</v>
      </c>
      <c r="O107" s="7" t="n">
        <f aca="false">SUMIFS(Doors!AA:AA,Doors!$A:$A,$D107,Doors!$B:$B,$B107,Doors!$C:$C,$C107)*SUMIFS(Velocity!$I:$I,Velocity!$A:$A,$A107,Velocity!$B:$B,$C107)/Assumptions!$B$4*Assumptions!$B$6</f>
        <v>0</v>
      </c>
      <c r="P107" s="7" t="n">
        <f aca="false">SUMIFS(Doors!AB:AB,Doors!$A:$A,$D107,Doors!$B:$B,$B107,Doors!$C:$C,$C107)*SUMIFS(Velocity!$I:$I,Velocity!$A:$A,$A107,Velocity!$B:$B,$C107)/Assumptions!$B$4*Assumptions!$B$6</f>
        <v>0</v>
      </c>
      <c r="Q107" s="7" t="n">
        <f aca="false">SUMIFS(Doors!AC:AC,Doors!$A:$A,$D107,Doors!$B:$B,$B107,Doors!$C:$C,$C107)*SUMIFS(Velocity!$I:$I,Velocity!$A:$A,$A107,Velocity!$B:$B,$C107)/Assumptions!$B$4*Assumptions!$B$6</f>
        <v>0</v>
      </c>
      <c r="R107" s="7" t="n">
        <f aca="false">SUMIFS(Doors!AD:AD,Doors!$A:$A,$D107,Doors!$B:$B,$B107,Doors!$C:$C,$C107)*SUMIFS(Velocity!$I:$I,Velocity!$A:$A,$A107,Velocity!$B:$B,$C107)/Assumptions!$B$4*Assumptions!$B$6</f>
        <v>2.83333333333333</v>
      </c>
      <c r="S107" s="7" t="n">
        <f aca="false">SUMIFS(Doors!AE:AE,Doors!$A:$A,$D107,Doors!$B:$B,$B107,Doors!$C:$C,$C107)*SUMIFS(Velocity!$I:$I,Velocity!$A:$A,$A107,Velocity!$B:$B,$C107)/Assumptions!$B$4*Assumptions!$B$6</f>
        <v>2.83333333333333</v>
      </c>
      <c r="T107" s="7" t="n">
        <f aca="false">SUMIFS(Doors!AF:AF,Doors!$A:$A,$D107,Doors!$B:$B,$B107,Doors!$C:$C,$C107)*SUMIFS(Velocity!$I:$I,Velocity!$A:$A,$A107,Velocity!$B:$B,$C107)/Assumptions!$B$4*Assumptions!$B$6</f>
        <v>2.83333333333333</v>
      </c>
      <c r="U107" s="7" t="n">
        <f aca="false">SUMIFS(Doors!AG:AG,Doors!$A:$A,$D107,Doors!$B:$B,$B107,Doors!$C:$C,$C107)*SUMIFS(Velocity!$I:$I,Velocity!$A:$A,$A107,Velocity!$B:$B,$C107)/Assumptions!$B$4*Assumptions!$B$6</f>
        <v>2.83333333333333</v>
      </c>
      <c r="V107" s="7" t="n">
        <f aca="false">SUMIFS(Doors!AH:AH,Doors!$A:$A,$D107,Doors!$B:$B,$B107,Doors!$C:$C,$C107)*SUMIFS(Velocity!$I:$I,Velocity!$A:$A,$A107,Velocity!$B:$B,$C107)/Assumptions!$B$4*Assumptions!$B$6</f>
        <v>2.83333333333333</v>
      </c>
      <c r="W107" s="7" t="n">
        <f aca="false">SUMIFS(Doors!AI:AI,Doors!$A:$A,$D107,Doors!$B:$B,$B107,Doors!$C:$C,$C107)*SUMIFS(Velocity!$I:$I,Velocity!$A:$A,$A107,Velocity!$B:$B,$C107)/Assumptions!$B$4*Assumptions!$B$6</f>
        <v>5.66666666666667</v>
      </c>
      <c r="X107" s="7" t="n">
        <f aca="false">SUMIFS(Doors!AJ:AJ,Doors!$A:$A,$D107,Doors!$B:$B,$B107,Doors!$C:$C,$C107)*SUMIFS(Velocity!$I:$I,Velocity!$A:$A,$A107,Velocity!$B:$B,$C107)/Assumptions!$B$4*Assumptions!$B$6</f>
        <v>5.66666666666667</v>
      </c>
      <c r="Y107" s="7" t="n">
        <f aca="false">SUMIFS(Doors!AK:AK,Doors!$A:$A,$D107,Doors!$B:$B,$B107,Doors!$C:$C,$C107)*SUMIFS(Velocity!$I:$I,Velocity!$A:$A,$A107,Velocity!$B:$B,$C107)/Assumptions!$B$4*Assumptions!$B$6</f>
        <v>5.66666666666667</v>
      </c>
      <c r="Z107" s="7" t="n">
        <f aca="false">SUMIFS(Doors!AL:AL,Doors!$A:$A,$D107,Doors!$B:$B,$B107,Doors!$C:$C,$C107)*SUMIFS(Velocity!$I:$I,Velocity!$A:$A,$A107,Velocity!$B:$B,$C107)/Assumptions!$B$4*Assumptions!$B$6</f>
        <v>5.66666666666667</v>
      </c>
      <c r="AA107" s="7" t="n">
        <f aca="false">SUMIFS(Doors!AM:AM,Doors!$A:$A,$D107,Doors!$B:$B,$B107,Doors!$C:$C,$C107)*SUMIFS(Velocity!$I:$I,Velocity!$A:$A,$A107,Velocity!$B:$B,$C107)/Assumptions!$B$4*Assumptions!$B$6</f>
        <v>8.5</v>
      </c>
      <c r="AB107" s="7" t="n">
        <f aca="false">SUMIFS(Doors!AN:AN,Doors!$A:$A,$D107,Doors!$B:$B,$B107,Doors!$C:$C,$C107)*SUMIFS(Velocity!$I:$I,Velocity!$A:$A,$A107,Velocity!$B:$B,$C107)/Assumptions!$B$4*Assumptions!$B$6</f>
        <v>8.5</v>
      </c>
      <c r="AC107" s="7" t="n">
        <f aca="false">SUMIFS(Doors!AO:AO,Doors!$A:$A,$D107,Doors!$B:$B,$B107,Doors!$C:$C,$C107)*SUMIFS(Velocity!$I:$I,Velocity!$A:$A,$A107,Velocity!$B:$B,$C107)/Assumptions!$B$4*Assumptions!$B$6</f>
        <v>8.5</v>
      </c>
      <c r="AD107" s="7" t="n">
        <f aca="false">SUMIFS(Doors!AP:AP,Doors!$A:$A,$D107,Doors!$B:$B,$B107,Doors!$C:$C,$C107)*SUMIFS(Velocity!$I:$I,Velocity!$A:$A,$A107,Velocity!$B:$B,$C107)/Assumptions!$B$4*Assumptions!$B$6</f>
        <v>8.5</v>
      </c>
      <c r="AE107" s="7" t="n">
        <f aca="false">SUMIFS(Doors!AQ:AQ,Doors!$A:$A,$D107,Doors!$B:$B,$B107,Doors!$C:$C,$C107)*SUMIFS(Velocity!$I:$I,Velocity!$A:$A,$A107,Velocity!$B:$B,$C107)/Assumptions!$B$4*Assumptions!$B$6</f>
        <v>10.2</v>
      </c>
      <c r="AF107" s="7" t="n">
        <f aca="false">SUMIFS(Doors!AR:AR,Doors!$A:$A,$D107,Doors!$B:$B,$B107,Doors!$C:$C,$C107)*SUMIFS(Velocity!$I:$I,Velocity!$A:$A,$A107,Velocity!$B:$B,$C107)/Assumptions!$B$4*Assumptions!$B$6</f>
        <v>10.2</v>
      </c>
      <c r="AG107" s="7" t="n">
        <f aca="false">SUMIFS(Doors!AS:AS,Doors!$A:$A,$D107,Doors!$B:$B,$B107,Doors!$C:$C,$C107)*SUMIFS(Velocity!$I:$I,Velocity!$A:$A,$A107,Velocity!$B:$B,$C107)/Assumptions!$B$4*Assumptions!$B$6</f>
        <v>10.2</v>
      </c>
      <c r="AH107" s="7" t="n">
        <f aca="false">SUMIFS(Doors!AT:AT,Doors!$A:$A,$D107,Doors!$B:$B,$B107,Doors!$C:$C,$C107)*SUMIFS(Velocity!$I:$I,Velocity!$A:$A,$A107,Velocity!$B:$B,$C107)/Assumptions!$B$4*Assumptions!$B$6</f>
        <v>10.2</v>
      </c>
      <c r="AI107" s="7" t="n">
        <f aca="false">SUMIFS(Doors!AU:AU,Doors!$A:$A,$D107,Doors!$B:$B,$B107,Doors!$C:$C,$C107)*SUMIFS(Velocity!$I:$I,Velocity!$A:$A,$A107,Velocity!$B:$B,$C107)/Assumptions!$B$4*Assumptions!$B$6</f>
        <v>10.2</v>
      </c>
      <c r="AJ107" s="7" t="n">
        <f aca="false">SUMIFS(Doors!AV:AV,Doors!$A:$A,$D107,Doors!$B:$B,$B107,Doors!$C:$C,$C107)*SUMIFS(Velocity!$I:$I,Velocity!$A:$A,$A107,Velocity!$B:$B,$C107)/Assumptions!$B$4*Assumptions!$B$6</f>
        <v>12.4666666666667</v>
      </c>
      <c r="AK107" s="7" t="n">
        <f aca="false">SUMIFS(Doors!AW:AW,Doors!$A:$A,$D107,Doors!$B:$B,$B107,Doors!$C:$C,$C107)*SUMIFS(Velocity!$I:$I,Velocity!$A:$A,$A107,Velocity!$B:$B,$C107)/Assumptions!$B$4*Assumptions!$B$6</f>
        <v>12.4666666666667</v>
      </c>
      <c r="AL107" s="7" t="n">
        <f aca="false">SUMIFS(Doors!AX:AX,Doors!$A:$A,$D107,Doors!$B:$B,$B107,Doors!$C:$C,$C107)*SUMIFS(Velocity!$I:$I,Velocity!$A:$A,$A107,Velocity!$B:$B,$C107)/Assumptions!$B$4*Assumptions!$B$6</f>
        <v>12.4666666666667</v>
      </c>
      <c r="AM107" s="7" t="n">
        <f aca="false">SUMIFS(Doors!AY:AY,Doors!$A:$A,$D107,Doors!$B:$B,$B107,Doors!$C:$C,$C107)*SUMIFS(Velocity!$I:$I,Velocity!$A:$A,$A107,Velocity!$B:$B,$C107)/Assumptions!$B$4*Assumptions!$B$6</f>
        <v>12.4666666666667</v>
      </c>
      <c r="AN107" s="7" t="n">
        <f aca="false">SUMIFS(Doors!AZ:AZ,Doors!$A:$A,$D107,Doors!$B:$B,$B107,Doors!$C:$C,$C107)*SUMIFS(Velocity!$I:$I,Velocity!$A:$A,$A107,Velocity!$B:$B,$C107)/Assumptions!$B$4*Assumptions!$B$6</f>
        <v>14.1666666666667</v>
      </c>
      <c r="AO107" s="7" t="n">
        <f aca="false">SUMIFS(Doors!BA:BA,Doors!$A:$A,$D107,Doors!$B:$B,$B107,Doors!$C:$C,$C107)*SUMIFS(Velocity!$I:$I,Velocity!$A:$A,$A107,Velocity!$B:$B,$C107)/Assumptions!$B$4*Assumptions!$B$6</f>
        <v>14.1666666666667</v>
      </c>
      <c r="AP107" s="7" t="n">
        <f aca="false">SUMIFS(Doors!BB:BB,Doors!$A:$A,$D107,Doors!$B:$B,$B107,Doors!$C:$C,$C107)*SUMIFS(Velocity!$I:$I,Velocity!$A:$A,$A107,Velocity!$B:$B,$C107)/Assumptions!$B$4*Assumptions!$B$6</f>
        <v>14.1666666666667</v>
      </c>
      <c r="AQ107" s="7" t="n">
        <f aca="false">SUMIFS(Doors!BC:BC,Doors!$A:$A,$D107,Doors!$B:$B,$B107,Doors!$C:$C,$C107)*SUMIFS(Velocity!$I:$I,Velocity!$A:$A,$A107,Velocity!$B:$B,$C107)/Assumptions!$B$4*Assumptions!$B$6</f>
        <v>14.1666666666667</v>
      </c>
      <c r="AR107" s="7" t="n">
        <f aca="false">SUMIFS(Doors!BD:BD,Doors!$A:$A,$D107,Doors!$B:$B,$B107,Doors!$C:$C,$C107)*SUMIFS(Velocity!$I:$I,Velocity!$A:$A,$A107,Velocity!$B:$B,$C107)/Assumptions!$B$4*Assumptions!$B$6</f>
        <v>15.3</v>
      </c>
      <c r="AS107" s="7" t="n">
        <f aca="false">SUMIFS(Doors!BE:BE,Doors!$A:$A,$D107,Doors!$B:$B,$B107,Doors!$C:$C,$C107)*SUMIFS(Velocity!$I:$I,Velocity!$A:$A,$A107,Velocity!$B:$B,$C107)/Assumptions!$B$4*Assumptions!$B$6</f>
        <v>15.3</v>
      </c>
      <c r="AT107" s="7" t="n">
        <f aca="false">SUMIFS(Doors!BF:BF,Doors!$A:$A,$D107,Doors!$B:$B,$B107,Doors!$C:$C,$C107)*SUMIFS(Velocity!$I:$I,Velocity!$A:$A,$A107,Velocity!$B:$B,$C107)/Assumptions!$B$4*Assumptions!$B$6</f>
        <v>15.3</v>
      </c>
      <c r="AU107" s="7" t="n">
        <f aca="false">SUMIFS(Doors!BG:BG,Doors!$A:$A,$D107,Doors!$B:$B,$B107,Doors!$C:$C,$C107)*SUMIFS(Velocity!$I:$I,Velocity!$A:$A,$A107,Velocity!$B:$B,$C107)/Assumptions!$B$4*Assumptions!$B$6</f>
        <v>15.3</v>
      </c>
      <c r="AV107" s="7" t="n">
        <f aca="false">SUMIFS(Doors!BH:BH,Doors!$A:$A,$D107,Doors!$B:$B,$B107,Doors!$C:$C,$C107)*SUMIFS(Velocity!$I:$I,Velocity!$A:$A,$A107,Velocity!$B:$B,$C107)/Assumptions!$B$4*Assumptions!$B$6</f>
        <v>15.3</v>
      </c>
      <c r="AW107" s="7" t="n">
        <f aca="false">SUMIFS(Doors!BI:BI,Doors!$A:$A,$D107,Doors!$B:$B,$B107,Doors!$C:$C,$C107)*SUMIFS(Velocity!$I:$I,Velocity!$A:$A,$A107,Velocity!$B:$B,$C107)/Assumptions!$B$4*Assumptions!$B$6</f>
        <v>15.8666666666667</v>
      </c>
      <c r="AX107" s="7" t="n">
        <f aca="false">SUMIFS(Doors!BJ:BJ,Doors!$A:$A,$D107,Doors!$B:$B,$B107,Doors!$C:$C,$C107)*SUMIFS(Velocity!$I:$I,Velocity!$A:$A,$A107,Velocity!$B:$B,$C107)/Assumptions!$B$4*Assumptions!$B$6</f>
        <v>15.8666666666667</v>
      </c>
      <c r="AY107" s="7" t="n">
        <f aca="false">SUMIFS(Doors!BK:BK,Doors!$A:$A,$D107,Doors!$B:$B,$B107,Doors!$C:$C,$C107)*SUMIFS(Velocity!$I:$I,Velocity!$A:$A,$A107,Velocity!$B:$B,$C107)/Assumptions!$B$4*Assumptions!$B$6</f>
        <v>15.8666666666667</v>
      </c>
      <c r="AZ107" s="7" t="n">
        <f aca="false">SUMIFS(Doors!BL:BL,Doors!$A:$A,$D107,Doors!$B:$B,$B107,Doors!$C:$C,$C107)*SUMIFS(Velocity!$I:$I,Velocity!$A:$A,$A107,Velocity!$B:$B,$C107)/Assumptions!$B$4*Assumptions!$B$6</f>
        <v>15.8666666666667</v>
      </c>
      <c r="BA107" s="7" t="n">
        <f aca="false">SUMIFS(Doors!BM:BM,Doors!$A:$A,$D107,Doors!$B:$B,$B107,Doors!$C:$C,$C107)*SUMIFS(Velocity!$I:$I,Velocity!$A:$A,$A107,Velocity!$B:$B,$C107)/Assumptions!$B$4*Assumptions!$B$6</f>
        <v>17</v>
      </c>
      <c r="BB107" s="7" t="n">
        <f aca="false">SUMIFS(Doors!BN:BN,Doors!$A:$A,$D107,Doors!$B:$B,$B107,Doors!$C:$C,$C107)*SUMIFS(Velocity!$I:$I,Velocity!$A:$A,$A107,Velocity!$B:$B,$C107)/Assumptions!$B$4*Assumptions!$B$6</f>
        <v>17</v>
      </c>
      <c r="BC107" s="7" t="n">
        <f aca="false">SUMIFS(Doors!BO:BO,Doors!$A:$A,$D107,Doors!$B:$B,$B107,Doors!$C:$C,$C107)*SUMIFS(Velocity!$I:$I,Velocity!$A:$A,$A107,Velocity!$B:$B,$C107)/Assumptions!$B$4*Assumptions!$B$6</f>
        <v>17</v>
      </c>
      <c r="BD107" s="7" t="n">
        <f aca="false">SUMIFS(Doors!BP:BP,Doors!$A:$A,$D107,Doors!$B:$B,$B107,Doors!$C:$C,$C107)*SUMIFS(Velocity!$I:$I,Velocity!$A:$A,$A107,Velocity!$B:$B,$C107)/Assumptions!$B$4*Assumptions!$B$6</f>
        <v>17</v>
      </c>
    </row>
    <row r="108" customFormat="false" ht="15" hidden="false" customHeight="false" outlineLevel="0" collapsed="false">
      <c r="A108" s="0" t="s">
        <v>109</v>
      </c>
      <c r="B108" s="0" t="s">
        <v>127</v>
      </c>
      <c r="C108" s="0" t="s">
        <v>118</v>
      </c>
      <c r="D108" s="0" t="s">
        <v>235</v>
      </c>
      <c r="E108" s="7" t="n">
        <f aca="false">SUMIFS(Doors!Q:Q,Doors!$A:$A,$D108,Doors!$B:$B,$B108,Doors!$C:$C,$C108)*SUMIFS(Velocity!$I:$I,Velocity!$A:$A,$A108,Velocity!$B:$B,$C108)/Assumptions!$B$4*Assumptions!$B$6</f>
        <v>0</v>
      </c>
      <c r="F108" s="7" t="n">
        <f aca="false">SUMIFS(Doors!R:R,Doors!$A:$A,$D108,Doors!$B:$B,$B108,Doors!$C:$C,$C108)*SUMIFS(Velocity!$I:$I,Velocity!$A:$A,$A108,Velocity!$B:$B,$C108)/Assumptions!$B$4*Assumptions!$B$6</f>
        <v>0</v>
      </c>
      <c r="G108" s="7" t="n">
        <f aca="false">SUMIFS(Doors!S:S,Doors!$A:$A,$D108,Doors!$B:$B,$B108,Doors!$C:$C,$C108)*SUMIFS(Velocity!$I:$I,Velocity!$A:$A,$A108,Velocity!$B:$B,$C108)/Assumptions!$B$4*Assumptions!$B$6</f>
        <v>0</v>
      </c>
      <c r="H108" s="7" t="n">
        <f aca="false">SUMIFS(Doors!T:T,Doors!$A:$A,$D108,Doors!$B:$B,$B108,Doors!$C:$C,$C108)*SUMIFS(Velocity!$I:$I,Velocity!$A:$A,$A108,Velocity!$B:$B,$C108)/Assumptions!$B$4*Assumptions!$B$6</f>
        <v>0</v>
      </c>
      <c r="I108" s="7" t="n">
        <f aca="false">SUMIFS(Doors!U:U,Doors!$A:$A,$D108,Doors!$B:$B,$B108,Doors!$C:$C,$C108)*SUMIFS(Velocity!$I:$I,Velocity!$A:$A,$A108,Velocity!$B:$B,$C108)/Assumptions!$B$4*Assumptions!$B$6</f>
        <v>0</v>
      </c>
      <c r="J108" s="7" t="n">
        <f aca="false">SUMIFS(Doors!V:V,Doors!$A:$A,$D108,Doors!$B:$B,$B108,Doors!$C:$C,$C108)*SUMIFS(Velocity!$I:$I,Velocity!$A:$A,$A108,Velocity!$B:$B,$C108)/Assumptions!$B$4*Assumptions!$B$6</f>
        <v>0</v>
      </c>
      <c r="K108" s="7" t="n">
        <f aca="false">SUMIFS(Doors!W:W,Doors!$A:$A,$D108,Doors!$B:$B,$B108,Doors!$C:$C,$C108)*SUMIFS(Velocity!$I:$I,Velocity!$A:$A,$A108,Velocity!$B:$B,$C108)/Assumptions!$B$4*Assumptions!$B$6</f>
        <v>0</v>
      </c>
      <c r="L108" s="7" t="n">
        <f aca="false">SUMIFS(Doors!X:X,Doors!$A:$A,$D108,Doors!$B:$B,$B108,Doors!$C:$C,$C108)*SUMIFS(Velocity!$I:$I,Velocity!$A:$A,$A108,Velocity!$B:$B,$C108)/Assumptions!$B$4*Assumptions!$B$6</f>
        <v>0</v>
      </c>
      <c r="M108" s="7" t="n">
        <f aca="false">SUMIFS(Doors!Y:Y,Doors!$A:$A,$D108,Doors!$B:$B,$B108,Doors!$C:$C,$C108)*SUMIFS(Velocity!$I:$I,Velocity!$A:$A,$A108,Velocity!$B:$B,$C108)/Assumptions!$B$4*Assumptions!$B$6</f>
        <v>0</v>
      </c>
      <c r="N108" s="7" t="n">
        <f aca="false">SUMIFS(Doors!Z:Z,Doors!$A:$A,$D108,Doors!$B:$B,$B108,Doors!$C:$C,$C108)*SUMIFS(Velocity!$I:$I,Velocity!$A:$A,$A108,Velocity!$B:$B,$C108)/Assumptions!$B$4*Assumptions!$B$6</f>
        <v>0</v>
      </c>
      <c r="O108" s="7" t="n">
        <f aca="false">SUMIFS(Doors!AA:AA,Doors!$A:$A,$D108,Doors!$B:$B,$B108,Doors!$C:$C,$C108)*SUMIFS(Velocity!$I:$I,Velocity!$A:$A,$A108,Velocity!$B:$B,$C108)/Assumptions!$B$4*Assumptions!$B$6</f>
        <v>0</v>
      </c>
      <c r="P108" s="7" t="n">
        <f aca="false">SUMIFS(Doors!AB:AB,Doors!$A:$A,$D108,Doors!$B:$B,$B108,Doors!$C:$C,$C108)*SUMIFS(Velocity!$I:$I,Velocity!$A:$A,$A108,Velocity!$B:$B,$C108)/Assumptions!$B$4*Assumptions!$B$6</f>
        <v>0</v>
      </c>
      <c r="Q108" s="7" t="n">
        <f aca="false">SUMIFS(Doors!AC:AC,Doors!$A:$A,$D108,Doors!$B:$B,$B108,Doors!$C:$C,$C108)*SUMIFS(Velocity!$I:$I,Velocity!$A:$A,$A108,Velocity!$B:$B,$C108)/Assumptions!$B$4*Assumptions!$B$6</f>
        <v>0</v>
      </c>
      <c r="R108" s="7" t="n">
        <f aca="false">SUMIFS(Doors!AD:AD,Doors!$A:$A,$D108,Doors!$B:$B,$B108,Doors!$C:$C,$C108)*SUMIFS(Velocity!$I:$I,Velocity!$A:$A,$A108,Velocity!$B:$B,$C108)/Assumptions!$B$4*Assumptions!$B$6</f>
        <v>0</v>
      </c>
      <c r="S108" s="7" t="n">
        <f aca="false">SUMIFS(Doors!AE:AE,Doors!$A:$A,$D108,Doors!$B:$B,$B108,Doors!$C:$C,$C108)*SUMIFS(Velocity!$I:$I,Velocity!$A:$A,$A108,Velocity!$B:$B,$C108)/Assumptions!$B$4*Assumptions!$B$6</f>
        <v>0</v>
      </c>
      <c r="T108" s="7" t="n">
        <f aca="false">SUMIFS(Doors!AF:AF,Doors!$A:$A,$D108,Doors!$B:$B,$B108,Doors!$C:$C,$C108)*SUMIFS(Velocity!$I:$I,Velocity!$A:$A,$A108,Velocity!$B:$B,$C108)/Assumptions!$B$4*Assumptions!$B$6</f>
        <v>0</v>
      </c>
      <c r="U108" s="7" t="n">
        <f aca="false">SUMIFS(Doors!AG:AG,Doors!$A:$A,$D108,Doors!$B:$B,$B108,Doors!$C:$C,$C108)*SUMIFS(Velocity!$I:$I,Velocity!$A:$A,$A108,Velocity!$B:$B,$C108)/Assumptions!$B$4*Assumptions!$B$6</f>
        <v>0</v>
      </c>
      <c r="V108" s="7" t="n">
        <f aca="false">SUMIFS(Doors!AH:AH,Doors!$A:$A,$D108,Doors!$B:$B,$B108,Doors!$C:$C,$C108)*SUMIFS(Velocity!$I:$I,Velocity!$A:$A,$A108,Velocity!$B:$B,$C108)/Assumptions!$B$4*Assumptions!$B$6</f>
        <v>0</v>
      </c>
      <c r="W108" s="7" t="n">
        <f aca="false">SUMIFS(Doors!AI:AI,Doors!$A:$A,$D108,Doors!$B:$B,$B108,Doors!$C:$C,$C108)*SUMIFS(Velocity!$I:$I,Velocity!$A:$A,$A108,Velocity!$B:$B,$C108)/Assumptions!$B$4*Assumptions!$B$6</f>
        <v>0</v>
      </c>
      <c r="X108" s="7" t="n">
        <f aca="false">SUMIFS(Doors!AJ:AJ,Doors!$A:$A,$D108,Doors!$B:$B,$B108,Doors!$C:$C,$C108)*SUMIFS(Velocity!$I:$I,Velocity!$A:$A,$A108,Velocity!$B:$B,$C108)/Assumptions!$B$4*Assumptions!$B$6</f>
        <v>0</v>
      </c>
      <c r="Y108" s="7" t="n">
        <f aca="false">SUMIFS(Doors!AK:AK,Doors!$A:$A,$D108,Doors!$B:$B,$B108,Doors!$C:$C,$C108)*SUMIFS(Velocity!$I:$I,Velocity!$A:$A,$A108,Velocity!$B:$B,$C108)/Assumptions!$B$4*Assumptions!$B$6</f>
        <v>0</v>
      </c>
      <c r="Z108" s="7" t="n">
        <f aca="false">SUMIFS(Doors!AL:AL,Doors!$A:$A,$D108,Doors!$B:$B,$B108,Doors!$C:$C,$C108)*SUMIFS(Velocity!$I:$I,Velocity!$A:$A,$A108,Velocity!$B:$B,$C108)/Assumptions!$B$4*Assumptions!$B$6</f>
        <v>0</v>
      </c>
      <c r="AA108" s="7" t="n">
        <f aca="false">SUMIFS(Doors!AM:AM,Doors!$A:$A,$D108,Doors!$B:$B,$B108,Doors!$C:$C,$C108)*SUMIFS(Velocity!$I:$I,Velocity!$A:$A,$A108,Velocity!$B:$B,$C108)/Assumptions!$B$4*Assumptions!$B$6</f>
        <v>0</v>
      </c>
      <c r="AB108" s="7" t="n">
        <f aca="false">SUMIFS(Doors!AN:AN,Doors!$A:$A,$D108,Doors!$B:$B,$B108,Doors!$C:$C,$C108)*SUMIFS(Velocity!$I:$I,Velocity!$A:$A,$A108,Velocity!$B:$B,$C108)/Assumptions!$B$4*Assumptions!$B$6</f>
        <v>0</v>
      </c>
      <c r="AC108" s="7" t="n">
        <f aca="false">SUMIFS(Doors!AO:AO,Doors!$A:$A,$D108,Doors!$B:$B,$B108,Doors!$C:$C,$C108)*SUMIFS(Velocity!$I:$I,Velocity!$A:$A,$A108,Velocity!$B:$B,$C108)/Assumptions!$B$4*Assumptions!$B$6</f>
        <v>0</v>
      </c>
      <c r="AD108" s="7" t="n">
        <f aca="false">SUMIFS(Doors!AP:AP,Doors!$A:$A,$D108,Doors!$B:$B,$B108,Doors!$C:$C,$C108)*SUMIFS(Velocity!$I:$I,Velocity!$A:$A,$A108,Velocity!$B:$B,$C108)/Assumptions!$B$4*Assumptions!$B$6</f>
        <v>0</v>
      </c>
      <c r="AE108" s="7" t="n">
        <f aca="false">SUMIFS(Doors!AQ:AQ,Doors!$A:$A,$D108,Doors!$B:$B,$B108,Doors!$C:$C,$C108)*SUMIFS(Velocity!$I:$I,Velocity!$A:$A,$A108,Velocity!$B:$B,$C108)/Assumptions!$B$4*Assumptions!$B$6</f>
        <v>276.666666666667</v>
      </c>
      <c r="AF108" s="7" t="n">
        <f aca="false">SUMIFS(Doors!AR:AR,Doors!$A:$A,$D108,Doors!$B:$B,$B108,Doors!$C:$C,$C108)*SUMIFS(Velocity!$I:$I,Velocity!$A:$A,$A108,Velocity!$B:$B,$C108)/Assumptions!$B$4*Assumptions!$B$6</f>
        <v>276.666666666667</v>
      </c>
      <c r="AG108" s="7" t="n">
        <f aca="false">SUMIFS(Doors!AS:AS,Doors!$A:$A,$D108,Doors!$B:$B,$B108,Doors!$C:$C,$C108)*SUMIFS(Velocity!$I:$I,Velocity!$A:$A,$A108,Velocity!$B:$B,$C108)/Assumptions!$B$4*Assumptions!$B$6</f>
        <v>276.666666666667</v>
      </c>
      <c r="AH108" s="7" t="n">
        <f aca="false">SUMIFS(Doors!AT:AT,Doors!$A:$A,$D108,Doors!$B:$B,$B108,Doors!$C:$C,$C108)*SUMIFS(Velocity!$I:$I,Velocity!$A:$A,$A108,Velocity!$B:$B,$C108)/Assumptions!$B$4*Assumptions!$B$6</f>
        <v>276.666666666667</v>
      </c>
      <c r="AI108" s="7" t="n">
        <f aca="false">SUMIFS(Doors!AU:AU,Doors!$A:$A,$D108,Doors!$B:$B,$B108,Doors!$C:$C,$C108)*SUMIFS(Velocity!$I:$I,Velocity!$A:$A,$A108,Velocity!$B:$B,$C108)/Assumptions!$B$4*Assumptions!$B$6</f>
        <v>276.666666666667</v>
      </c>
      <c r="AJ108" s="7" t="n">
        <f aca="false">SUMIFS(Doors!AV:AV,Doors!$A:$A,$D108,Doors!$B:$B,$B108,Doors!$C:$C,$C108)*SUMIFS(Velocity!$I:$I,Velocity!$A:$A,$A108,Velocity!$B:$B,$C108)/Assumptions!$B$4*Assumptions!$B$6</f>
        <v>0</v>
      </c>
      <c r="AK108" s="7" t="n">
        <f aca="false">SUMIFS(Doors!AW:AW,Doors!$A:$A,$D108,Doors!$B:$B,$B108,Doors!$C:$C,$C108)*SUMIFS(Velocity!$I:$I,Velocity!$A:$A,$A108,Velocity!$B:$B,$C108)/Assumptions!$B$4*Assumptions!$B$6</f>
        <v>0</v>
      </c>
      <c r="AL108" s="7" t="n">
        <f aca="false">SUMIFS(Doors!AX:AX,Doors!$A:$A,$D108,Doors!$B:$B,$B108,Doors!$C:$C,$C108)*SUMIFS(Velocity!$I:$I,Velocity!$A:$A,$A108,Velocity!$B:$B,$C108)/Assumptions!$B$4*Assumptions!$B$6</f>
        <v>0</v>
      </c>
      <c r="AM108" s="7" t="n">
        <f aca="false">SUMIFS(Doors!AY:AY,Doors!$A:$A,$D108,Doors!$B:$B,$B108,Doors!$C:$C,$C108)*SUMIFS(Velocity!$I:$I,Velocity!$A:$A,$A108,Velocity!$B:$B,$C108)/Assumptions!$B$4*Assumptions!$B$6</f>
        <v>0</v>
      </c>
      <c r="AN108" s="7" t="n">
        <f aca="false">SUMIFS(Doors!AZ:AZ,Doors!$A:$A,$D108,Doors!$B:$B,$B108,Doors!$C:$C,$C108)*SUMIFS(Velocity!$I:$I,Velocity!$A:$A,$A108,Velocity!$B:$B,$C108)/Assumptions!$B$4*Assumptions!$B$6</f>
        <v>0</v>
      </c>
      <c r="AO108" s="7" t="n">
        <f aca="false">SUMIFS(Doors!BA:BA,Doors!$A:$A,$D108,Doors!$B:$B,$B108,Doors!$C:$C,$C108)*SUMIFS(Velocity!$I:$I,Velocity!$A:$A,$A108,Velocity!$B:$B,$C108)/Assumptions!$B$4*Assumptions!$B$6</f>
        <v>0</v>
      </c>
      <c r="AP108" s="7" t="n">
        <f aca="false">SUMIFS(Doors!BB:BB,Doors!$A:$A,$D108,Doors!$B:$B,$B108,Doors!$C:$C,$C108)*SUMIFS(Velocity!$I:$I,Velocity!$A:$A,$A108,Velocity!$B:$B,$C108)/Assumptions!$B$4*Assumptions!$B$6</f>
        <v>0</v>
      </c>
      <c r="AQ108" s="7" t="n">
        <f aca="false">SUMIFS(Doors!BC:BC,Doors!$A:$A,$D108,Doors!$B:$B,$B108,Doors!$C:$C,$C108)*SUMIFS(Velocity!$I:$I,Velocity!$A:$A,$A108,Velocity!$B:$B,$C108)/Assumptions!$B$4*Assumptions!$B$6</f>
        <v>0</v>
      </c>
      <c r="AR108" s="7" t="n">
        <f aca="false">SUMIFS(Doors!BD:BD,Doors!$A:$A,$D108,Doors!$B:$B,$B108,Doors!$C:$C,$C108)*SUMIFS(Velocity!$I:$I,Velocity!$A:$A,$A108,Velocity!$B:$B,$C108)/Assumptions!$B$4*Assumptions!$B$6</f>
        <v>138.333333333333</v>
      </c>
      <c r="AS108" s="7" t="n">
        <f aca="false">SUMIFS(Doors!BE:BE,Doors!$A:$A,$D108,Doors!$B:$B,$B108,Doors!$C:$C,$C108)*SUMIFS(Velocity!$I:$I,Velocity!$A:$A,$A108,Velocity!$B:$B,$C108)/Assumptions!$B$4*Assumptions!$B$6</f>
        <v>138.333333333333</v>
      </c>
      <c r="AT108" s="7" t="n">
        <f aca="false">SUMIFS(Doors!BF:BF,Doors!$A:$A,$D108,Doors!$B:$B,$B108,Doors!$C:$C,$C108)*SUMIFS(Velocity!$I:$I,Velocity!$A:$A,$A108,Velocity!$B:$B,$C108)/Assumptions!$B$4*Assumptions!$B$6</f>
        <v>138.333333333333</v>
      </c>
      <c r="AU108" s="7" t="n">
        <f aca="false">SUMIFS(Doors!BG:BG,Doors!$A:$A,$D108,Doors!$B:$B,$B108,Doors!$C:$C,$C108)*SUMIFS(Velocity!$I:$I,Velocity!$A:$A,$A108,Velocity!$B:$B,$C108)/Assumptions!$B$4*Assumptions!$B$6</f>
        <v>138.333333333333</v>
      </c>
      <c r="AV108" s="7" t="n">
        <f aca="false">SUMIFS(Doors!BH:BH,Doors!$A:$A,$D108,Doors!$B:$B,$B108,Doors!$C:$C,$C108)*SUMIFS(Velocity!$I:$I,Velocity!$A:$A,$A108,Velocity!$B:$B,$C108)/Assumptions!$B$4*Assumptions!$B$6</f>
        <v>138.333333333333</v>
      </c>
      <c r="AW108" s="7" t="n">
        <f aca="false">SUMIFS(Doors!BI:BI,Doors!$A:$A,$D108,Doors!$B:$B,$B108,Doors!$C:$C,$C108)*SUMIFS(Velocity!$I:$I,Velocity!$A:$A,$A108,Velocity!$B:$B,$C108)/Assumptions!$B$4*Assumptions!$B$6</f>
        <v>152.166666666667</v>
      </c>
      <c r="AX108" s="7" t="n">
        <f aca="false">SUMIFS(Doors!BJ:BJ,Doors!$A:$A,$D108,Doors!$B:$B,$B108,Doors!$C:$C,$C108)*SUMIFS(Velocity!$I:$I,Velocity!$A:$A,$A108,Velocity!$B:$B,$C108)/Assumptions!$B$4*Assumptions!$B$6</f>
        <v>152.166666666667</v>
      </c>
      <c r="AY108" s="7" t="n">
        <f aca="false">SUMIFS(Doors!BK:BK,Doors!$A:$A,$D108,Doors!$B:$B,$B108,Doors!$C:$C,$C108)*SUMIFS(Velocity!$I:$I,Velocity!$A:$A,$A108,Velocity!$B:$B,$C108)/Assumptions!$B$4*Assumptions!$B$6</f>
        <v>152.166666666667</v>
      </c>
      <c r="AZ108" s="7" t="n">
        <f aca="false">SUMIFS(Doors!BL:BL,Doors!$A:$A,$D108,Doors!$B:$B,$B108,Doors!$C:$C,$C108)*SUMIFS(Velocity!$I:$I,Velocity!$A:$A,$A108,Velocity!$B:$B,$C108)/Assumptions!$B$4*Assumptions!$B$6</f>
        <v>152.166666666667</v>
      </c>
      <c r="BA108" s="7" t="n">
        <f aca="false">SUMIFS(Doors!BM:BM,Doors!$A:$A,$D108,Doors!$B:$B,$B108,Doors!$C:$C,$C108)*SUMIFS(Velocity!$I:$I,Velocity!$A:$A,$A108,Velocity!$B:$B,$C108)/Assumptions!$B$4*Assumptions!$B$6</f>
        <v>152.166666666667</v>
      </c>
      <c r="BB108" s="7" t="n">
        <f aca="false">SUMIFS(Doors!BN:BN,Doors!$A:$A,$D108,Doors!$B:$B,$B108,Doors!$C:$C,$C108)*SUMIFS(Velocity!$I:$I,Velocity!$A:$A,$A108,Velocity!$B:$B,$C108)/Assumptions!$B$4*Assumptions!$B$6</f>
        <v>152.166666666667</v>
      </c>
      <c r="BC108" s="7" t="n">
        <f aca="false">SUMIFS(Doors!BO:BO,Doors!$A:$A,$D108,Doors!$B:$B,$B108,Doors!$C:$C,$C108)*SUMIFS(Velocity!$I:$I,Velocity!$A:$A,$A108,Velocity!$B:$B,$C108)/Assumptions!$B$4*Assumptions!$B$6</f>
        <v>152.166666666667</v>
      </c>
      <c r="BD108" s="7" t="n">
        <f aca="false">SUMIFS(Doors!BP:BP,Doors!$A:$A,$D108,Doors!$B:$B,$B108,Doors!$C:$C,$C108)*SUMIFS(Velocity!$I:$I,Velocity!$A:$A,$A108,Velocity!$B:$B,$C108)/Assumptions!$B$4*Assumptions!$B$6</f>
        <v>152.166666666667</v>
      </c>
    </row>
    <row r="109" customFormat="false" ht="15" hidden="false" customHeight="false" outlineLevel="0" collapsed="false">
      <c r="A109" s="0" t="s">
        <v>109</v>
      </c>
      <c r="B109" s="0" t="s">
        <v>127</v>
      </c>
      <c r="C109" s="0" t="s">
        <v>119</v>
      </c>
      <c r="D109" s="0" t="s">
        <v>235</v>
      </c>
      <c r="E109" s="7" t="n">
        <f aca="false">SUMIFS(Doors!Q:Q,Doors!$A:$A,$D109,Doors!$B:$B,$B109,Doors!$C:$C,$C109)*SUMIFS(Velocity!$I:$I,Velocity!$A:$A,$A109,Velocity!$B:$B,$C109)/Assumptions!$B$4*Assumptions!$B$6</f>
        <v>3.33333333333333</v>
      </c>
      <c r="F109" s="7" t="n">
        <f aca="false">SUMIFS(Doors!R:R,Doors!$A:$A,$D109,Doors!$B:$B,$B109,Doors!$C:$C,$C109)*SUMIFS(Velocity!$I:$I,Velocity!$A:$A,$A109,Velocity!$B:$B,$C109)/Assumptions!$B$4*Assumptions!$B$6</f>
        <v>3.33333333333333</v>
      </c>
      <c r="G109" s="7" t="n">
        <f aca="false">SUMIFS(Doors!S:S,Doors!$A:$A,$D109,Doors!$B:$B,$B109,Doors!$C:$C,$C109)*SUMIFS(Velocity!$I:$I,Velocity!$A:$A,$A109,Velocity!$B:$B,$C109)/Assumptions!$B$4*Assumptions!$B$6</f>
        <v>3.33333333333333</v>
      </c>
      <c r="H109" s="7" t="n">
        <f aca="false">SUMIFS(Doors!T:T,Doors!$A:$A,$D109,Doors!$B:$B,$B109,Doors!$C:$C,$C109)*SUMIFS(Velocity!$I:$I,Velocity!$A:$A,$A109,Velocity!$B:$B,$C109)/Assumptions!$B$4*Assumptions!$B$6</f>
        <v>3.33333333333333</v>
      </c>
      <c r="I109" s="7" t="n">
        <f aca="false">SUMIFS(Doors!U:U,Doors!$A:$A,$D109,Doors!$B:$B,$B109,Doors!$C:$C,$C109)*SUMIFS(Velocity!$I:$I,Velocity!$A:$A,$A109,Velocity!$B:$B,$C109)/Assumptions!$B$4*Assumptions!$B$6</f>
        <v>3.33333333333333</v>
      </c>
      <c r="J109" s="7" t="n">
        <f aca="false">SUMIFS(Doors!V:V,Doors!$A:$A,$D109,Doors!$B:$B,$B109,Doors!$C:$C,$C109)*SUMIFS(Velocity!$I:$I,Velocity!$A:$A,$A109,Velocity!$B:$B,$C109)/Assumptions!$B$4*Assumptions!$B$6</f>
        <v>4.66666666666667</v>
      </c>
      <c r="K109" s="7" t="n">
        <f aca="false">SUMIFS(Doors!W:W,Doors!$A:$A,$D109,Doors!$B:$B,$B109,Doors!$C:$C,$C109)*SUMIFS(Velocity!$I:$I,Velocity!$A:$A,$A109,Velocity!$B:$B,$C109)/Assumptions!$B$4*Assumptions!$B$6</f>
        <v>4.66666666666667</v>
      </c>
      <c r="L109" s="7" t="n">
        <f aca="false">SUMIFS(Doors!X:X,Doors!$A:$A,$D109,Doors!$B:$B,$B109,Doors!$C:$C,$C109)*SUMIFS(Velocity!$I:$I,Velocity!$A:$A,$A109,Velocity!$B:$B,$C109)/Assumptions!$B$4*Assumptions!$B$6</f>
        <v>4.66666666666667</v>
      </c>
      <c r="M109" s="7" t="n">
        <f aca="false">SUMIFS(Doors!Y:Y,Doors!$A:$A,$D109,Doors!$B:$B,$B109,Doors!$C:$C,$C109)*SUMIFS(Velocity!$I:$I,Velocity!$A:$A,$A109,Velocity!$B:$B,$C109)/Assumptions!$B$4*Assumptions!$B$6</f>
        <v>4.66666666666667</v>
      </c>
      <c r="N109" s="7" t="n">
        <f aca="false">SUMIFS(Doors!Z:Z,Doors!$A:$A,$D109,Doors!$B:$B,$B109,Doors!$C:$C,$C109)*SUMIFS(Velocity!$I:$I,Velocity!$A:$A,$A109,Velocity!$B:$B,$C109)/Assumptions!$B$4*Assumptions!$B$6</f>
        <v>6.33333333333333</v>
      </c>
      <c r="O109" s="7" t="n">
        <f aca="false">SUMIFS(Doors!AA:AA,Doors!$A:$A,$D109,Doors!$B:$B,$B109,Doors!$C:$C,$C109)*SUMIFS(Velocity!$I:$I,Velocity!$A:$A,$A109,Velocity!$B:$B,$C109)/Assumptions!$B$4*Assumptions!$B$6</f>
        <v>6.33333333333333</v>
      </c>
      <c r="P109" s="7" t="n">
        <f aca="false">SUMIFS(Doors!AB:AB,Doors!$A:$A,$D109,Doors!$B:$B,$B109,Doors!$C:$C,$C109)*SUMIFS(Velocity!$I:$I,Velocity!$A:$A,$A109,Velocity!$B:$B,$C109)/Assumptions!$B$4*Assumptions!$B$6</f>
        <v>6.33333333333333</v>
      </c>
      <c r="Q109" s="7" t="n">
        <f aca="false">SUMIFS(Doors!AC:AC,Doors!$A:$A,$D109,Doors!$B:$B,$B109,Doors!$C:$C,$C109)*SUMIFS(Velocity!$I:$I,Velocity!$A:$A,$A109,Velocity!$B:$B,$C109)/Assumptions!$B$4*Assumptions!$B$6</f>
        <v>6.33333333333333</v>
      </c>
      <c r="R109" s="7" t="n">
        <f aca="false">SUMIFS(Doors!AD:AD,Doors!$A:$A,$D109,Doors!$B:$B,$B109,Doors!$C:$C,$C109)*SUMIFS(Velocity!$I:$I,Velocity!$A:$A,$A109,Velocity!$B:$B,$C109)/Assumptions!$B$4*Assumptions!$B$6</f>
        <v>8</v>
      </c>
      <c r="S109" s="7" t="n">
        <f aca="false">SUMIFS(Doors!AE:AE,Doors!$A:$A,$D109,Doors!$B:$B,$B109,Doors!$C:$C,$C109)*SUMIFS(Velocity!$I:$I,Velocity!$A:$A,$A109,Velocity!$B:$B,$C109)/Assumptions!$B$4*Assumptions!$B$6</f>
        <v>8</v>
      </c>
      <c r="T109" s="7" t="n">
        <f aca="false">SUMIFS(Doors!AF:AF,Doors!$A:$A,$D109,Doors!$B:$B,$B109,Doors!$C:$C,$C109)*SUMIFS(Velocity!$I:$I,Velocity!$A:$A,$A109,Velocity!$B:$B,$C109)/Assumptions!$B$4*Assumptions!$B$6</f>
        <v>8</v>
      </c>
      <c r="U109" s="7" t="n">
        <f aca="false">SUMIFS(Doors!AG:AG,Doors!$A:$A,$D109,Doors!$B:$B,$B109,Doors!$C:$C,$C109)*SUMIFS(Velocity!$I:$I,Velocity!$A:$A,$A109,Velocity!$B:$B,$C109)/Assumptions!$B$4*Assumptions!$B$6</f>
        <v>8</v>
      </c>
      <c r="V109" s="7" t="n">
        <f aca="false">SUMIFS(Doors!AH:AH,Doors!$A:$A,$D109,Doors!$B:$B,$B109,Doors!$C:$C,$C109)*SUMIFS(Velocity!$I:$I,Velocity!$A:$A,$A109,Velocity!$B:$B,$C109)/Assumptions!$B$4*Assumptions!$B$6</f>
        <v>8</v>
      </c>
      <c r="W109" s="7" t="n">
        <f aca="false">SUMIFS(Doors!AI:AI,Doors!$A:$A,$D109,Doors!$B:$B,$B109,Doors!$C:$C,$C109)*SUMIFS(Velocity!$I:$I,Velocity!$A:$A,$A109,Velocity!$B:$B,$C109)/Assumptions!$B$4*Assumptions!$B$6</f>
        <v>9.33333333333333</v>
      </c>
      <c r="X109" s="7" t="n">
        <f aca="false">SUMIFS(Doors!AJ:AJ,Doors!$A:$A,$D109,Doors!$B:$B,$B109,Doors!$C:$C,$C109)*SUMIFS(Velocity!$I:$I,Velocity!$A:$A,$A109,Velocity!$B:$B,$C109)/Assumptions!$B$4*Assumptions!$B$6</f>
        <v>9.33333333333333</v>
      </c>
      <c r="Y109" s="7" t="n">
        <f aca="false">SUMIFS(Doors!AK:AK,Doors!$A:$A,$D109,Doors!$B:$B,$B109,Doors!$C:$C,$C109)*SUMIFS(Velocity!$I:$I,Velocity!$A:$A,$A109,Velocity!$B:$B,$C109)/Assumptions!$B$4*Assumptions!$B$6</f>
        <v>9.33333333333333</v>
      </c>
      <c r="Z109" s="7" t="n">
        <f aca="false">SUMIFS(Doors!AL:AL,Doors!$A:$A,$D109,Doors!$B:$B,$B109,Doors!$C:$C,$C109)*SUMIFS(Velocity!$I:$I,Velocity!$A:$A,$A109,Velocity!$B:$B,$C109)/Assumptions!$B$4*Assumptions!$B$6</f>
        <v>9.33333333333333</v>
      </c>
      <c r="AA109" s="7" t="n">
        <f aca="false">SUMIFS(Doors!AM:AM,Doors!$A:$A,$D109,Doors!$B:$B,$B109,Doors!$C:$C,$C109)*SUMIFS(Velocity!$I:$I,Velocity!$A:$A,$A109,Velocity!$B:$B,$C109)/Assumptions!$B$4*Assumptions!$B$6</f>
        <v>10.3333333333333</v>
      </c>
      <c r="AB109" s="7" t="n">
        <f aca="false">SUMIFS(Doors!AN:AN,Doors!$A:$A,$D109,Doors!$B:$B,$B109,Doors!$C:$C,$C109)*SUMIFS(Velocity!$I:$I,Velocity!$A:$A,$A109,Velocity!$B:$B,$C109)/Assumptions!$B$4*Assumptions!$B$6</f>
        <v>10.3333333333333</v>
      </c>
      <c r="AC109" s="7" t="n">
        <f aca="false">SUMIFS(Doors!AO:AO,Doors!$A:$A,$D109,Doors!$B:$B,$B109,Doors!$C:$C,$C109)*SUMIFS(Velocity!$I:$I,Velocity!$A:$A,$A109,Velocity!$B:$B,$C109)/Assumptions!$B$4*Assumptions!$B$6</f>
        <v>10.3333333333333</v>
      </c>
      <c r="AD109" s="7" t="n">
        <f aca="false">SUMIFS(Doors!AP:AP,Doors!$A:$A,$D109,Doors!$B:$B,$B109,Doors!$C:$C,$C109)*SUMIFS(Velocity!$I:$I,Velocity!$A:$A,$A109,Velocity!$B:$B,$C109)/Assumptions!$B$4*Assumptions!$B$6</f>
        <v>10.3333333333333</v>
      </c>
      <c r="AE109" s="7" t="n">
        <f aca="false">SUMIFS(Doors!AQ:AQ,Doors!$A:$A,$D109,Doors!$B:$B,$B109,Doors!$C:$C,$C109)*SUMIFS(Velocity!$I:$I,Velocity!$A:$A,$A109,Velocity!$B:$B,$C109)/Assumptions!$B$4*Assumptions!$B$6</f>
        <v>11.3333333333333</v>
      </c>
      <c r="AF109" s="7" t="n">
        <f aca="false">SUMIFS(Doors!AR:AR,Doors!$A:$A,$D109,Doors!$B:$B,$B109,Doors!$C:$C,$C109)*SUMIFS(Velocity!$I:$I,Velocity!$A:$A,$A109,Velocity!$B:$B,$C109)/Assumptions!$B$4*Assumptions!$B$6</f>
        <v>11.3333333333333</v>
      </c>
      <c r="AG109" s="7" t="n">
        <f aca="false">SUMIFS(Doors!AS:AS,Doors!$A:$A,$D109,Doors!$B:$B,$B109,Doors!$C:$C,$C109)*SUMIFS(Velocity!$I:$I,Velocity!$A:$A,$A109,Velocity!$B:$B,$C109)/Assumptions!$B$4*Assumptions!$B$6</f>
        <v>11.3333333333333</v>
      </c>
      <c r="AH109" s="7" t="n">
        <f aca="false">SUMIFS(Doors!AT:AT,Doors!$A:$A,$D109,Doors!$B:$B,$B109,Doors!$C:$C,$C109)*SUMIFS(Velocity!$I:$I,Velocity!$A:$A,$A109,Velocity!$B:$B,$C109)/Assumptions!$B$4*Assumptions!$B$6</f>
        <v>11.3333333333333</v>
      </c>
      <c r="AI109" s="7" t="n">
        <f aca="false">SUMIFS(Doors!AU:AU,Doors!$A:$A,$D109,Doors!$B:$B,$B109,Doors!$C:$C,$C109)*SUMIFS(Velocity!$I:$I,Velocity!$A:$A,$A109,Velocity!$B:$B,$C109)/Assumptions!$B$4*Assumptions!$B$6</f>
        <v>11.3333333333333</v>
      </c>
      <c r="AJ109" s="7" t="n">
        <f aca="false">SUMIFS(Doors!AV:AV,Doors!$A:$A,$D109,Doors!$B:$B,$B109,Doors!$C:$C,$C109)*SUMIFS(Velocity!$I:$I,Velocity!$A:$A,$A109,Velocity!$B:$B,$C109)/Assumptions!$B$4*Assumptions!$B$6</f>
        <v>12</v>
      </c>
      <c r="AK109" s="7" t="n">
        <f aca="false">SUMIFS(Doors!AW:AW,Doors!$A:$A,$D109,Doors!$B:$B,$B109,Doors!$C:$C,$C109)*SUMIFS(Velocity!$I:$I,Velocity!$A:$A,$A109,Velocity!$B:$B,$C109)/Assumptions!$B$4*Assumptions!$B$6</f>
        <v>12</v>
      </c>
      <c r="AL109" s="7" t="n">
        <f aca="false">SUMIFS(Doors!AX:AX,Doors!$A:$A,$D109,Doors!$B:$B,$B109,Doors!$C:$C,$C109)*SUMIFS(Velocity!$I:$I,Velocity!$A:$A,$A109,Velocity!$B:$B,$C109)/Assumptions!$B$4*Assumptions!$B$6</f>
        <v>12</v>
      </c>
      <c r="AM109" s="7" t="n">
        <f aca="false">SUMIFS(Doors!AY:AY,Doors!$A:$A,$D109,Doors!$B:$B,$B109,Doors!$C:$C,$C109)*SUMIFS(Velocity!$I:$I,Velocity!$A:$A,$A109,Velocity!$B:$B,$C109)/Assumptions!$B$4*Assumptions!$B$6</f>
        <v>12</v>
      </c>
      <c r="AN109" s="7" t="n">
        <f aca="false">SUMIFS(Doors!AZ:AZ,Doors!$A:$A,$D109,Doors!$B:$B,$B109,Doors!$C:$C,$C109)*SUMIFS(Velocity!$I:$I,Velocity!$A:$A,$A109,Velocity!$B:$B,$C109)/Assumptions!$B$4*Assumptions!$B$6</f>
        <v>12.5</v>
      </c>
      <c r="AO109" s="7" t="n">
        <f aca="false">SUMIFS(Doors!BA:BA,Doors!$A:$A,$D109,Doors!$B:$B,$B109,Doors!$C:$C,$C109)*SUMIFS(Velocity!$I:$I,Velocity!$A:$A,$A109,Velocity!$B:$B,$C109)/Assumptions!$B$4*Assumptions!$B$6</f>
        <v>12.5</v>
      </c>
      <c r="AP109" s="7" t="n">
        <f aca="false">SUMIFS(Doors!BB:BB,Doors!$A:$A,$D109,Doors!$B:$B,$B109,Doors!$C:$C,$C109)*SUMIFS(Velocity!$I:$I,Velocity!$A:$A,$A109,Velocity!$B:$B,$C109)/Assumptions!$B$4*Assumptions!$B$6</f>
        <v>12.5</v>
      </c>
      <c r="AQ109" s="7" t="n">
        <f aca="false">SUMIFS(Doors!BC:BC,Doors!$A:$A,$D109,Doors!$B:$B,$B109,Doors!$C:$C,$C109)*SUMIFS(Velocity!$I:$I,Velocity!$A:$A,$A109,Velocity!$B:$B,$C109)/Assumptions!$B$4*Assumptions!$B$6</f>
        <v>12.5</v>
      </c>
      <c r="AR109" s="7" t="n">
        <f aca="false">SUMIFS(Doors!BD:BD,Doors!$A:$A,$D109,Doors!$B:$B,$B109,Doors!$C:$C,$C109)*SUMIFS(Velocity!$I:$I,Velocity!$A:$A,$A109,Velocity!$B:$B,$C109)/Assumptions!$B$4*Assumptions!$B$6</f>
        <v>13</v>
      </c>
      <c r="AS109" s="7" t="n">
        <f aca="false">SUMIFS(Doors!BE:BE,Doors!$A:$A,$D109,Doors!$B:$B,$B109,Doors!$C:$C,$C109)*SUMIFS(Velocity!$I:$I,Velocity!$A:$A,$A109,Velocity!$B:$B,$C109)/Assumptions!$B$4*Assumptions!$B$6</f>
        <v>13</v>
      </c>
      <c r="AT109" s="7" t="n">
        <f aca="false">SUMIFS(Doors!BF:BF,Doors!$A:$A,$D109,Doors!$B:$B,$B109,Doors!$C:$C,$C109)*SUMIFS(Velocity!$I:$I,Velocity!$A:$A,$A109,Velocity!$B:$B,$C109)/Assumptions!$B$4*Assumptions!$B$6</f>
        <v>13</v>
      </c>
      <c r="AU109" s="7" t="n">
        <f aca="false">SUMIFS(Doors!BG:BG,Doors!$A:$A,$D109,Doors!$B:$B,$B109,Doors!$C:$C,$C109)*SUMIFS(Velocity!$I:$I,Velocity!$A:$A,$A109,Velocity!$B:$B,$C109)/Assumptions!$B$4*Assumptions!$B$6</f>
        <v>13</v>
      </c>
      <c r="AV109" s="7" t="n">
        <f aca="false">SUMIFS(Doors!BH:BH,Doors!$A:$A,$D109,Doors!$B:$B,$B109,Doors!$C:$C,$C109)*SUMIFS(Velocity!$I:$I,Velocity!$A:$A,$A109,Velocity!$B:$B,$C109)/Assumptions!$B$4*Assumptions!$B$6</f>
        <v>13</v>
      </c>
      <c r="AW109" s="7" t="n">
        <f aca="false">SUMIFS(Doors!BI:BI,Doors!$A:$A,$D109,Doors!$B:$B,$B109,Doors!$C:$C,$C109)*SUMIFS(Velocity!$I:$I,Velocity!$A:$A,$A109,Velocity!$B:$B,$C109)/Assumptions!$B$4*Assumptions!$B$6</f>
        <v>13.3333333333333</v>
      </c>
      <c r="AX109" s="7" t="n">
        <f aca="false">SUMIFS(Doors!BJ:BJ,Doors!$A:$A,$D109,Doors!$B:$B,$B109,Doors!$C:$C,$C109)*SUMIFS(Velocity!$I:$I,Velocity!$A:$A,$A109,Velocity!$B:$B,$C109)/Assumptions!$B$4*Assumptions!$B$6</f>
        <v>13.3333333333333</v>
      </c>
      <c r="AY109" s="7" t="n">
        <f aca="false">SUMIFS(Doors!BK:BK,Doors!$A:$A,$D109,Doors!$B:$B,$B109,Doors!$C:$C,$C109)*SUMIFS(Velocity!$I:$I,Velocity!$A:$A,$A109,Velocity!$B:$B,$C109)/Assumptions!$B$4*Assumptions!$B$6</f>
        <v>13.3333333333333</v>
      </c>
      <c r="AZ109" s="7" t="n">
        <f aca="false">SUMIFS(Doors!BL:BL,Doors!$A:$A,$D109,Doors!$B:$B,$B109,Doors!$C:$C,$C109)*SUMIFS(Velocity!$I:$I,Velocity!$A:$A,$A109,Velocity!$B:$B,$C109)/Assumptions!$B$4*Assumptions!$B$6</f>
        <v>13.3333333333333</v>
      </c>
      <c r="BA109" s="7" t="n">
        <f aca="false">SUMIFS(Doors!BM:BM,Doors!$A:$A,$D109,Doors!$B:$B,$B109,Doors!$C:$C,$C109)*SUMIFS(Velocity!$I:$I,Velocity!$A:$A,$A109,Velocity!$B:$B,$C109)/Assumptions!$B$4*Assumptions!$B$6</f>
        <v>13.6666666666667</v>
      </c>
      <c r="BB109" s="7" t="n">
        <f aca="false">SUMIFS(Doors!BN:BN,Doors!$A:$A,$D109,Doors!$B:$B,$B109,Doors!$C:$C,$C109)*SUMIFS(Velocity!$I:$I,Velocity!$A:$A,$A109,Velocity!$B:$B,$C109)/Assumptions!$B$4*Assumptions!$B$6</f>
        <v>13.6666666666667</v>
      </c>
      <c r="BC109" s="7" t="n">
        <f aca="false">SUMIFS(Doors!BO:BO,Doors!$A:$A,$D109,Doors!$B:$B,$B109,Doors!$C:$C,$C109)*SUMIFS(Velocity!$I:$I,Velocity!$A:$A,$A109,Velocity!$B:$B,$C109)/Assumptions!$B$4*Assumptions!$B$6</f>
        <v>13.6666666666667</v>
      </c>
      <c r="BD109" s="7" t="n">
        <f aca="false">SUMIFS(Doors!BP:BP,Doors!$A:$A,$D109,Doors!$B:$B,$B109,Doors!$C:$C,$C109)*SUMIFS(Velocity!$I:$I,Velocity!$A:$A,$A109,Velocity!$B:$B,$C109)/Assumptions!$B$4*Assumptions!$B$6</f>
        <v>13.6666666666667</v>
      </c>
    </row>
    <row r="110" customFormat="false" ht="15" hidden="false" customHeight="false" outlineLevel="0" collapsed="false">
      <c r="A110" s="0" t="s">
        <v>109</v>
      </c>
      <c r="B110" s="0" t="s">
        <v>127</v>
      </c>
      <c r="C110" s="0" t="s">
        <v>120</v>
      </c>
      <c r="D110" s="0" t="s">
        <v>235</v>
      </c>
      <c r="E110" s="7" t="n">
        <f aca="false">SUMIFS(Doors!Q:Q,Doors!$A:$A,$D110,Doors!$B:$B,$B110,Doors!$C:$C,$C110)*SUMIFS(Velocity!$I:$I,Velocity!$A:$A,$A110,Velocity!$B:$B,$C110)/Assumptions!$B$4*Assumptions!$B$6</f>
        <v>2.96875</v>
      </c>
      <c r="F110" s="7" t="n">
        <f aca="false">SUMIFS(Doors!R:R,Doors!$A:$A,$D110,Doors!$B:$B,$B110,Doors!$C:$C,$C110)*SUMIFS(Velocity!$I:$I,Velocity!$A:$A,$A110,Velocity!$B:$B,$C110)/Assumptions!$B$4*Assumptions!$B$6</f>
        <v>2.96875</v>
      </c>
      <c r="G110" s="7" t="n">
        <f aca="false">SUMIFS(Doors!S:S,Doors!$A:$A,$D110,Doors!$B:$B,$B110,Doors!$C:$C,$C110)*SUMIFS(Velocity!$I:$I,Velocity!$A:$A,$A110,Velocity!$B:$B,$C110)/Assumptions!$B$4*Assumptions!$B$6</f>
        <v>2.96875</v>
      </c>
      <c r="H110" s="7" t="n">
        <f aca="false">SUMIFS(Doors!T:T,Doors!$A:$A,$D110,Doors!$B:$B,$B110,Doors!$C:$C,$C110)*SUMIFS(Velocity!$I:$I,Velocity!$A:$A,$A110,Velocity!$B:$B,$C110)/Assumptions!$B$4*Assumptions!$B$6</f>
        <v>2.96875</v>
      </c>
      <c r="I110" s="7" t="n">
        <f aca="false">SUMIFS(Doors!U:U,Doors!$A:$A,$D110,Doors!$B:$B,$B110,Doors!$C:$C,$C110)*SUMIFS(Velocity!$I:$I,Velocity!$A:$A,$A110,Velocity!$B:$B,$C110)/Assumptions!$B$4*Assumptions!$B$6</f>
        <v>2.96875</v>
      </c>
      <c r="J110" s="7" t="n">
        <f aca="false">SUMIFS(Doors!V:V,Doors!$A:$A,$D110,Doors!$B:$B,$B110,Doors!$C:$C,$C110)*SUMIFS(Velocity!$I:$I,Velocity!$A:$A,$A110,Velocity!$B:$B,$C110)/Assumptions!$B$4*Assumptions!$B$6</f>
        <v>4.35416666666667</v>
      </c>
      <c r="K110" s="7" t="n">
        <f aca="false">SUMIFS(Doors!W:W,Doors!$A:$A,$D110,Doors!$B:$B,$B110,Doors!$C:$C,$C110)*SUMIFS(Velocity!$I:$I,Velocity!$A:$A,$A110,Velocity!$B:$B,$C110)/Assumptions!$B$4*Assumptions!$B$6</f>
        <v>4.35416666666667</v>
      </c>
      <c r="L110" s="7" t="n">
        <f aca="false">SUMIFS(Doors!X:X,Doors!$A:$A,$D110,Doors!$B:$B,$B110,Doors!$C:$C,$C110)*SUMIFS(Velocity!$I:$I,Velocity!$A:$A,$A110,Velocity!$B:$B,$C110)/Assumptions!$B$4*Assumptions!$B$6</f>
        <v>4.35416666666667</v>
      </c>
      <c r="M110" s="7" t="n">
        <f aca="false">SUMIFS(Doors!Y:Y,Doors!$A:$A,$D110,Doors!$B:$B,$B110,Doors!$C:$C,$C110)*SUMIFS(Velocity!$I:$I,Velocity!$A:$A,$A110,Velocity!$B:$B,$C110)/Assumptions!$B$4*Assumptions!$B$6</f>
        <v>4.35416666666667</v>
      </c>
      <c r="N110" s="7" t="n">
        <f aca="false">SUMIFS(Doors!Z:Z,Doors!$A:$A,$D110,Doors!$B:$B,$B110,Doors!$C:$C,$C110)*SUMIFS(Velocity!$I:$I,Velocity!$A:$A,$A110,Velocity!$B:$B,$C110)/Assumptions!$B$4*Assumptions!$B$6</f>
        <v>6.33333333333333</v>
      </c>
      <c r="O110" s="7" t="n">
        <f aca="false">SUMIFS(Doors!AA:AA,Doors!$A:$A,$D110,Doors!$B:$B,$B110,Doors!$C:$C,$C110)*SUMIFS(Velocity!$I:$I,Velocity!$A:$A,$A110,Velocity!$B:$B,$C110)/Assumptions!$B$4*Assumptions!$B$6</f>
        <v>6.33333333333333</v>
      </c>
      <c r="P110" s="7" t="n">
        <f aca="false">SUMIFS(Doors!AB:AB,Doors!$A:$A,$D110,Doors!$B:$B,$B110,Doors!$C:$C,$C110)*SUMIFS(Velocity!$I:$I,Velocity!$A:$A,$A110,Velocity!$B:$B,$C110)/Assumptions!$B$4*Assumptions!$B$6</f>
        <v>6.33333333333333</v>
      </c>
      <c r="Q110" s="7" t="n">
        <f aca="false">SUMIFS(Doors!AC:AC,Doors!$A:$A,$D110,Doors!$B:$B,$B110,Doors!$C:$C,$C110)*SUMIFS(Velocity!$I:$I,Velocity!$A:$A,$A110,Velocity!$B:$B,$C110)/Assumptions!$B$4*Assumptions!$B$6</f>
        <v>6.33333333333333</v>
      </c>
      <c r="R110" s="7" t="n">
        <f aca="false">SUMIFS(Doors!AD:AD,Doors!$A:$A,$D110,Doors!$B:$B,$B110,Doors!$C:$C,$C110)*SUMIFS(Velocity!$I:$I,Velocity!$A:$A,$A110,Velocity!$B:$B,$C110)/Assumptions!$B$4*Assumptions!$B$6</f>
        <v>8.90625</v>
      </c>
      <c r="S110" s="7" t="n">
        <f aca="false">SUMIFS(Doors!AE:AE,Doors!$A:$A,$D110,Doors!$B:$B,$B110,Doors!$C:$C,$C110)*SUMIFS(Velocity!$I:$I,Velocity!$A:$A,$A110,Velocity!$B:$B,$C110)/Assumptions!$B$4*Assumptions!$B$6</f>
        <v>8.90625</v>
      </c>
      <c r="T110" s="7" t="n">
        <f aca="false">SUMIFS(Doors!AF:AF,Doors!$A:$A,$D110,Doors!$B:$B,$B110,Doors!$C:$C,$C110)*SUMIFS(Velocity!$I:$I,Velocity!$A:$A,$A110,Velocity!$B:$B,$C110)/Assumptions!$B$4*Assumptions!$B$6</f>
        <v>8.90625</v>
      </c>
      <c r="U110" s="7" t="n">
        <f aca="false">SUMIFS(Doors!AG:AG,Doors!$A:$A,$D110,Doors!$B:$B,$B110,Doors!$C:$C,$C110)*SUMIFS(Velocity!$I:$I,Velocity!$A:$A,$A110,Velocity!$B:$B,$C110)/Assumptions!$B$4*Assumptions!$B$6</f>
        <v>8.90625</v>
      </c>
      <c r="V110" s="7" t="n">
        <f aca="false">SUMIFS(Doors!AH:AH,Doors!$A:$A,$D110,Doors!$B:$B,$B110,Doors!$C:$C,$C110)*SUMIFS(Velocity!$I:$I,Velocity!$A:$A,$A110,Velocity!$B:$B,$C110)/Assumptions!$B$4*Assumptions!$B$6</f>
        <v>8.90625</v>
      </c>
      <c r="W110" s="7" t="n">
        <f aca="false">SUMIFS(Doors!AI:AI,Doors!$A:$A,$D110,Doors!$B:$B,$B110,Doors!$C:$C,$C110)*SUMIFS(Velocity!$I:$I,Velocity!$A:$A,$A110,Velocity!$B:$B,$C110)/Assumptions!$B$4*Assumptions!$B$6</f>
        <v>10.8854166666667</v>
      </c>
      <c r="X110" s="7" t="n">
        <f aca="false">SUMIFS(Doors!AJ:AJ,Doors!$A:$A,$D110,Doors!$B:$B,$B110,Doors!$C:$C,$C110)*SUMIFS(Velocity!$I:$I,Velocity!$A:$A,$A110,Velocity!$B:$B,$C110)/Assumptions!$B$4*Assumptions!$B$6</f>
        <v>10.8854166666667</v>
      </c>
      <c r="Y110" s="7" t="n">
        <f aca="false">SUMIFS(Doors!AK:AK,Doors!$A:$A,$D110,Doors!$B:$B,$B110,Doors!$C:$C,$C110)*SUMIFS(Velocity!$I:$I,Velocity!$A:$A,$A110,Velocity!$B:$B,$C110)/Assumptions!$B$4*Assumptions!$B$6</f>
        <v>10.8854166666667</v>
      </c>
      <c r="Z110" s="7" t="n">
        <f aca="false">SUMIFS(Doors!AL:AL,Doors!$A:$A,$D110,Doors!$B:$B,$B110,Doors!$C:$C,$C110)*SUMIFS(Velocity!$I:$I,Velocity!$A:$A,$A110,Velocity!$B:$B,$C110)/Assumptions!$B$4*Assumptions!$B$6</f>
        <v>10.8854166666667</v>
      </c>
      <c r="AA110" s="7" t="n">
        <f aca="false">SUMIFS(Doors!AM:AM,Doors!$A:$A,$D110,Doors!$B:$B,$B110,Doors!$C:$C,$C110)*SUMIFS(Velocity!$I:$I,Velocity!$A:$A,$A110,Velocity!$B:$B,$C110)/Assumptions!$B$4*Assumptions!$B$6</f>
        <v>12.2708333333333</v>
      </c>
      <c r="AB110" s="7" t="n">
        <f aca="false">SUMIFS(Doors!AN:AN,Doors!$A:$A,$D110,Doors!$B:$B,$B110,Doors!$C:$C,$C110)*SUMIFS(Velocity!$I:$I,Velocity!$A:$A,$A110,Velocity!$B:$B,$C110)/Assumptions!$B$4*Assumptions!$B$6</f>
        <v>12.2708333333333</v>
      </c>
      <c r="AC110" s="7" t="n">
        <f aca="false">SUMIFS(Doors!AO:AO,Doors!$A:$A,$D110,Doors!$B:$B,$B110,Doors!$C:$C,$C110)*SUMIFS(Velocity!$I:$I,Velocity!$A:$A,$A110,Velocity!$B:$B,$C110)/Assumptions!$B$4*Assumptions!$B$6</f>
        <v>12.2708333333333</v>
      </c>
      <c r="AD110" s="7" t="n">
        <f aca="false">SUMIFS(Doors!AP:AP,Doors!$A:$A,$D110,Doors!$B:$B,$B110,Doors!$C:$C,$C110)*SUMIFS(Velocity!$I:$I,Velocity!$A:$A,$A110,Velocity!$B:$B,$C110)/Assumptions!$B$4*Assumptions!$B$6</f>
        <v>12.2708333333333</v>
      </c>
      <c r="AE110" s="7" t="n">
        <f aca="false">SUMIFS(Doors!AQ:AQ,Doors!$A:$A,$D110,Doors!$B:$B,$B110,Doors!$C:$C,$C110)*SUMIFS(Velocity!$I:$I,Velocity!$A:$A,$A110,Velocity!$B:$B,$C110)/Assumptions!$B$4*Assumptions!$B$6</f>
        <v>13.4583333333333</v>
      </c>
      <c r="AF110" s="7" t="n">
        <f aca="false">SUMIFS(Doors!AR:AR,Doors!$A:$A,$D110,Doors!$B:$B,$B110,Doors!$C:$C,$C110)*SUMIFS(Velocity!$I:$I,Velocity!$A:$A,$A110,Velocity!$B:$B,$C110)/Assumptions!$B$4*Assumptions!$B$6</f>
        <v>13.4583333333333</v>
      </c>
      <c r="AG110" s="7" t="n">
        <f aca="false">SUMIFS(Doors!AS:AS,Doors!$A:$A,$D110,Doors!$B:$B,$B110,Doors!$C:$C,$C110)*SUMIFS(Velocity!$I:$I,Velocity!$A:$A,$A110,Velocity!$B:$B,$C110)/Assumptions!$B$4*Assumptions!$B$6</f>
        <v>13.4583333333333</v>
      </c>
      <c r="AH110" s="7" t="n">
        <f aca="false">SUMIFS(Doors!AT:AT,Doors!$A:$A,$D110,Doors!$B:$B,$B110,Doors!$C:$C,$C110)*SUMIFS(Velocity!$I:$I,Velocity!$A:$A,$A110,Velocity!$B:$B,$C110)/Assumptions!$B$4*Assumptions!$B$6</f>
        <v>13.4583333333333</v>
      </c>
      <c r="AI110" s="7" t="n">
        <f aca="false">SUMIFS(Doors!AU:AU,Doors!$A:$A,$D110,Doors!$B:$B,$B110,Doors!$C:$C,$C110)*SUMIFS(Velocity!$I:$I,Velocity!$A:$A,$A110,Velocity!$B:$B,$C110)/Assumptions!$B$4*Assumptions!$B$6</f>
        <v>13.4583333333333</v>
      </c>
      <c r="AJ110" s="7" t="n">
        <f aca="false">SUMIFS(Doors!AV:AV,Doors!$A:$A,$D110,Doors!$B:$B,$B110,Doors!$C:$C,$C110)*SUMIFS(Velocity!$I:$I,Velocity!$A:$A,$A110,Velocity!$B:$B,$C110)/Assumptions!$B$4*Assumptions!$B$6</f>
        <v>14.25</v>
      </c>
      <c r="AK110" s="7" t="n">
        <f aca="false">SUMIFS(Doors!AW:AW,Doors!$A:$A,$D110,Doors!$B:$B,$B110,Doors!$C:$C,$C110)*SUMIFS(Velocity!$I:$I,Velocity!$A:$A,$A110,Velocity!$B:$B,$C110)/Assumptions!$B$4*Assumptions!$B$6</f>
        <v>14.25</v>
      </c>
      <c r="AL110" s="7" t="n">
        <f aca="false">SUMIFS(Doors!AX:AX,Doors!$A:$A,$D110,Doors!$B:$B,$B110,Doors!$C:$C,$C110)*SUMIFS(Velocity!$I:$I,Velocity!$A:$A,$A110,Velocity!$B:$B,$C110)/Assumptions!$B$4*Assumptions!$B$6</f>
        <v>14.25</v>
      </c>
      <c r="AM110" s="7" t="n">
        <f aca="false">SUMIFS(Doors!AY:AY,Doors!$A:$A,$D110,Doors!$B:$B,$B110,Doors!$C:$C,$C110)*SUMIFS(Velocity!$I:$I,Velocity!$A:$A,$A110,Velocity!$B:$B,$C110)/Assumptions!$B$4*Assumptions!$B$6</f>
        <v>14.25</v>
      </c>
      <c r="AN110" s="7" t="n">
        <f aca="false">SUMIFS(Doors!AZ:AZ,Doors!$A:$A,$D110,Doors!$B:$B,$B110,Doors!$C:$C,$C110)*SUMIFS(Velocity!$I:$I,Velocity!$A:$A,$A110,Velocity!$B:$B,$C110)/Assumptions!$B$4*Assumptions!$B$6</f>
        <v>14.84375</v>
      </c>
      <c r="AO110" s="7" t="n">
        <f aca="false">SUMIFS(Doors!BA:BA,Doors!$A:$A,$D110,Doors!$B:$B,$B110,Doors!$C:$C,$C110)*SUMIFS(Velocity!$I:$I,Velocity!$A:$A,$A110,Velocity!$B:$B,$C110)/Assumptions!$B$4*Assumptions!$B$6</f>
        <v>14.84375</v>
      </c>
      <c r="AP110" s="7" t="n">
        <f aca="false">SUMIFS(Doors!BB:BB,Doors!$A:$A,$D110,Doors!$B:$B,$B110,Doors!$C:$C,$C110)*SUMIFS(Velocity!$I:$I,Velocity!$A:$A,$A110,Velocity!$B:$B,$C110)/Assumptions!$B$4*Assumptions!$B$6</f>
        <v>14.84375</v>
      </c>
      <c r="AQ110" s="7" t="n">
        <f aca="false">SUMIFS(Doors!BC:BC,Doors!$A:$A,$D110,Doors!$B:$B,$B110,Doors!$C:$C,$C110)*SUMIFS(Velocity!$I:$I,Velocity!$A:$A,$A110,Velocity!$B:$B,$C110)/Assumptions!$B$4*Assumptions!$B$6</f>
        <v>14.84375</v>
      </c>
      <c r="AR110" s="7" t="n">
        <f aca="false">SUMIFS(Doors!BD:BD,Doors!$A:$A,$D110,Doors!$B:$B,$B110,Doors!$C:$C,$C110)*SUMIFS(Velocity!$I:$I,Velocity!$A:$A,$A110,Velocity!$B:$B,$C110)/Assumptions!$B$4*Assumptions!$B$6</f>
        <v>15.4375</v>
      </c>
      <c r="AS110" s="7" t="n">
        <f aca="false">SUMIFS(Doors!BE:BE,Doors!$A:$A,$D110,Doors!$B:$B,$B110,Doors!$C:$C,$C110)*SUMIFS(Velocity!$I:$I,Velocity!$A:$A,$A110,Velocity!$B:$B,$C110)/Assumptions!$B$4*Assumptions!$B$6</f>
        <v>15.4375</v>
      </c>
      <c r="AT110" s="7" t="n">
        <f aca="false">SUMIFS(Doors!BF:BF,Doors!$A:$A,$D110,Doors!$B:$B,$B110,Doors!$C:$C,$C110)*SUMIFS(Velocity!$I:$I,Velocity!$A:$A,$A110,Velocity!$B:$B,$C110)/Assumptions!$B$4*Assumptions!$B$6</f>
        <v>15.4375</v>
      </c>
      <c r="AU110" s="7" t="n">
        <f aca="false">SUMIFS(Doors!BG:BG,Doors!$A:$A,$D110,Doors!$B:$B,$B110,Doors!$C:$C,$C110)*SUMIFS(Velocity!$I:$I,Velocity!$A:$A,$A110,Velocity!$B:$B,$C110)/Assumptions!$B$4*Assumptions!$B$6</f>
        <v>15.4375</v>
      </c>
      <c r="AV110" s="7" t="n">
        <f aca="false">SUMIFS(Doors!BH:BH,Doors!$A:$A,$D110,Doors!$B:$B,$B110,Doors!$C:$C,$C110)*SUMIFS(Velocity!$I:$I,Velocity!$A:$A,$A110,Velocity!$B:$B,$C110)/Assumptions!$B$4*Assumptions!$B$6</f>
        <v>15.4375</v>
      </c>
      <c r="AW110" s="7" t="n">
        <f aca="false">SUMIFS(Doors!BI:BI,Doors!$A:$A,$D110,Doors!$B:$B,$B110,Doors!$C:$C,$C110)*SUMIFS(Velocity!$I:$I,Velocity!$A:$A,$A110,Velocity!$B:$B,$C110)/Assumptions!$B$4*Assumptions!$B$6</f>
        <v>15.8333333333333</v>
      </c>
      <c r="AX110" s="7" t="n">
        <f aca="false">SUMIFS(Doors!BJ:BJ,Doors!$A:$A,$D110,Doors!$B:$B,$B110,Doors!$C:$C,$C110)*SUMIFS(Velocity!$I:$I,Velocity!$A:$A,$A110,Velocity!$B:$B,$C110)/Assumptions!$B$4*Assumptions!$B$6</f>
        <v>15.8333333333333</v>
      </c>
      <c r="AY110" s="7" t="n">
        <f aca="false">SUMIFS(Doors!BK:BK,Doors!$A:$A,$D110,Doors!$B:$B,$B110,Doors!$C:$C,$C110)*SUMIFS(Velocity!$I:$I,Velocity!$A:$A,$A110,Velocity!$B:$B,$C110)/Assumptions!$B$4*Assumptions!$B$6</f>
        <v>15.8333333333333</v>
      </c>
      <c r="AZ110" s="7" t="n">
        <f aca="false">SUMIFS(Doors!BL:BL,Doors!$A:$A,$D110,Doors!$B:$B,$B110,Doors!$C:$C,$C110)*SUMIFS(Velocity!$I:$I,Velocity!$A:$A,$A110,Velocity!$B:$B,$C110)/Assumptions!$B$4*Assumptions!$B$6</f>
        <v>15.8333333333333</v>
      </c>
      <c r="BA110" s="7" t="n">
        <f aca="false">SUMIFS(Doors!BM:BM,Doors!$A:$A,$D110,Doors!$B:$B,$B110,Doors!$C:$C,$C110)*SUMIFS(Velocity!$I:$I,Velocity!$A:$A,$A110,Velocity!$B:$B,$C110)/Assumptions!$B$4*Assumptions!$B$6</f>
        <v>15.8333333333333</v>
      </c>
      <c r="BB110" s="7" t="n">
        <f aca="false">SUMIFS(Doors!BN:BN,Doors!$A:$A,$D110,Doors!$B:$B,$B110,Doors!$C:$C,$C110)*SUMIFS(Velocity!$I:$I,Velocity!$A:$A,$A110,Velocity!$B:$B,$C110)/Assumptions!$B$4*Assumptions!$B$6</f>
        <v>15.8333333333333</v>
      </c>
      <c r="BC110" s="7" t="n">
        <f aca="false">SUMIFS(Doors!BO:BO,Doors!$A:$A,$D110,Doors!$B:$B,$B110,Doors!$C:$C,$C110)*SUMIFS(Velocity!$I:$I,Velocity!$A:$A,$A110,Velocity!$B:$B,$C110)/Assumptions!$B$4*Assumptions!$B$6</f>
        <v>15.8333333333333</v>
      </c>
      <c r="BD110" s="7" t="n">
        <f aca="false">SUMIFS(Doors!BP:BP,Doors!$A:$A,$D110,Doors!$B:$B,$B110,Doors!$C:$C,$C110)*SUMIFS(Velocity!$I:$I,Velocity!$A:$A,$A110,Velocity!$B:$B,$C110)/Assumptions!$B$4*Assumptions!$B$6</f>
        <v>15.8333333333333</v>
      </c>
    </row>
    <row r="111" customFormat="false" ht="15" hidden="false" customHeight="false" outlineLevel="0" collapsed="false">
      <c r="A111" s="0" t="s">
        <v>109</v>
      </c>
      <c r="B111" s="0" t="s">
        <v>127</v>
      </c>
      <c r="C111" s="0" t="s">
        <v>121</v>
      </c>
      <c r="D111" s="0" t="s">
        <v>235</v>
      </c>
      <c r="E111" s="7" t="n">
        <f aca="false">SUMIFS(Doors!Q:Q,Doors!$A:$A,$D111,Doors!$B:$B,$B111,Doors!$C:$C,$C111)*SUMIFS(Velocity!$I:$I,Velocity!$A:$A,$A111,Velocity!$B:$B,$C111)/Assumptions!$B$4*Assumptions!$B$6</f>
        <v>3.04166666666667</v>
      </c>
      <c r="F111" s="7" t="n">
        <f aca="false">SUMIFS(Doors!R:R,Doors!$A:$A,$D111,Doors!$B:$B,$B111,Doors!$C:$C,$C111)*SUMIFS(Velocity!$I:$I,Velocity!$A:$A,$A111,Velocity!$B:$B,$C111)/Assumptions!$B$4*Assumptions!$B$6</f>
        <v>3.04166666666667</v>
      </c>
      <c r="G111" s="7" t="n">
        <f aca="false">SUMIFS(Doors!S:S,Doors!$A:$A,$D111,Doors!$B:$B,$B111,Doors!$C:$C,$C111)*SUMIFS(Velocity!$I:$I,Velocity!$A:$A,$A111,Velocity!$B:$B,$C111)/Assumptions!$B$4*Assumptions!$B$6</f>
        <v>3.04166666666667</v>
      </c>
      <c r="H111" s="7" t="n">
        <f aca="false">SUMIFS(Doors!T:T,Doors!$A:$A,$D111,Doors!$B:$B,$B111,Doors!$C:$C,$C111)*SUMIFS(Velocity!$I:$I,Velocity!$A:$A,$A111,Velocity!$B:$B,$C111)/Assumptions!$B$4*Assumptions!$B$6</f>
        <v>3.04166666666667</v>
      </c>
      <c r="I111" s="7" t="n">
        <f aca="false">SUMIFS(Doors!U:U,Doors!$A:$A,$D111,Doors!$B:$B,$B111,Doors!$C:$C,$C111)*SUMIFS(Velocity!$I:$I,Velocity!$A:$A,$A111,Velocity!$B:$B,$C111)/Assumptions!$B$4*Assumptions!$B$6</f>
        <v>3.04166666666667</v>
      </c>
      <c r="J111" s="7" t="n">
        <f aca="false">SUMIFS(Doors!V:V,Doors!$A:$A,$D111,Doors!$B:$B,$B111,Doors!$C:$C,$C111)*SUMIFS(Velocity!$I:$I,Velocity!$A:$A,$A111,Velocity!$B:$B,$C111)/Assumptions!$B$4*Assumptions!$B$6</f>
        <v>4.86666666666667</v>
      </c>
      <c r="K111" s="7" t="n">
        <f aca="false">SUMIFS(Doors!W:W,Doors!$A:$A,$D111,Doors!$B:$B,$B111,Doors!$C:$C,$C111)*SUMIFS(Velocity!$I:$I,Velocity!$A:$A,$A111,Velocity!$B:$B,$C111)/Assumptions!$B$4*Assumptions!$B$6</f>
        <v>4.86666666666667</v>
      </c>
      <c r="L111" s="7" t="n">
        <f aca="false">SUMIFS(Doors!X:X,Doors!$A:$A,$D111,Doors!$B:$B,$B111,Doors!$C:$C,$C111)*SUMIFS(Velocity!$I:$I,Velocity!$A:$A,$A111,Velocity!$B:$B,$C111)/Assumptions!$B$4*Assumptions!$B$6</f>
        <v>4.86666666666667</v>
      </c>
      <c r="M111" s="7" t="n">
        <f aca="false">SUMIFS(Doors!Y:Y,Doors!$A:$A,$D111,Doors!$B:$B,$B111,Doors!$C:$C,$C111)*SUMIFS(Velocity!$I:$I,Velocity!$A:$A,$A111,Velocity!$B:$B,$C111)/Assumptions!$B$4*Assumptions!$B$6</f>
        <v>4.86666666666667</v>
      </c>
      <c r="N111" s="7" t="n">
        <f aca="false">SUMIFS(Doors!Z:Z,Doors!$A:$A,$D111,Doors!$B:$B,$B111,Doors!$C:$C,$C111)*SUMIFS(Velocity!$I:$I,Velocity!$A:$A,$A111,Velocity!$B:$B,$C111)/Assumptions!$B$4*Assumptions!$B$6</f>
        <v>7.3</v>
      </c>
      <c r="O111" s="7" t="n">
        <f aca="false">SUMIFS(Doors!AA:AA,Doors!$A:$A,$D111,Doors!$B:$B,$B111,Doors!$C:$C,$C111)*SUMIFS(Velocity!$I:$I,Velocity!$A:$A,$A111,Velocity!$B:$B,$C111)/Assumptions!$B$4*Assumptions!$B$6</f>
        <v>7.3</v>
      </c>
      <c r="P111" s="7" t="n">
        <f aca="false">SUMIFS(Doors!AB:AB,Doors!$A:$A,$D111,Doors!$B:$B,$B111,Doors!$C:$C,$C111)*SUMIFS(Velocity!$I:$I,Velocity!$A:$A,$A111,Velocity!$B:$B,$C111)/Assumptions!$B$4*Assumptions!$B$6</f>
        <v>7.3</v>
      </c>
      <c r="Q111" s="7" t="n">
        <f aca="false">SUMIFS(Doors!AC:AC,Doors!$A:$A,$D111,Doors!$B:$B,$B111,Doors!$C:$C,$C111)*SUMIFS(Velocity!$I:$I,Velocity!$A:$A,$A111,Velocity!$B:$B,$C111)/Assumptions!$B$4*Assumptions!$B$6</f>
        <v>7.3</v>
      </c>
      <c r="R111" s="7" t="n">
        <f aca="false">SUMIFS(Doors!AD:AD,Doors!$A:$A,$D111,Doors!$B:$B,$B111,Doors!$C:$C,$C111)*SUMIFS(Velocity!$I:$I,Velocity!$A:$A,$A111,Velocity!$B:$B,$C111)/Assumptions!$B$4*Assumptions!$B$6</f>
        <v>9.73333333333333</v>
      </c>
      <c r="S111" s="7" t="n">
        <f aca="false">SUMIFS(Doors!AE:AE,Doors!$A:$A,$D111,Doors!$B:$B,$B111,Doors!$C:$C,$C111)*SUMIFS(Velocity!$I:$I,Velocity!$A:$A,$A111,Velocity!$B:$B,$C111)/Assumptions!$B$4*Assumptions!$B$6</f>
        <v>9.73333333333333</v>
      </c>
      <c r="T111" s="7" t="n">
        <f aca="false">SUMIFS(Doors!AF:AF,Doors!$A:$A,$D111,Doors!$B:$B,$B111,Doors!$C:$C,$C111)*SUMIFS(Velocity!$I:$I,Velocity!$A:$A,$A111,Velocity!$B:$B,$C111)/Assumptions!$B$4*Assumptions!$B$6</f>
        <v>9.73333333333333</v>
      </c>
      <c r="U111" s="7" t="n">
        <f aca="false">SUMIFS(Doors!AG:AG,Doors!$A:$A,$D111,Doors!$B:$B,$B111,Doors!$C:$C,$C111)*SUMIFS(Velocity!$I:$I,Velocity!$A:$A,$A111,Velocity!$B:$B,$C111)/Assumptions!$B$4*Assumptions!$B$6</f>
        <v>9.73333333333333</v>
      </c>
      <c r="V111" s="7" t="n">
        <f aca="false">SUMIFS(Doors!AH:AH,Doors!$A:$A,$D111,Doors!$B:$B,$B111,Doors!$C:$C,$C111)*SUMIFS(Velocity!$I:$I,Velocity!$A:$A,$A111,Velocity!$B:$B,$C111)/Assumptions!$B$4*Assumptions!$B$6</f>
        <v>9.73333333333333</v>
      </c>
      <c r="W111" s="7" t="n">
        <f aca="false">SUMIFS(Doors!AI:AI,Doors!$A:$A,$D111,Doors!$B:$B,$B111,Doors!$C:$C,$C111)*SUMIFS(Velocity!$I:$I,Velocity!$A:$A,$A111,Velocity!$B:$B,$C111)/Assumptions!$B$4*Assumptions!$B$6</f>
        <v>11.5583333333333</v>
      </c>
      <c r="X111" s="7" t="n">
        <f aca="false">SUMIFS(Doors!AJ:AJ,Doors!$A:$A,$D111,Doors!$B:$B,$B111,Doors!$C:$C,$C111)*SUMIFS(Velocity!$I:$I,Velocity!$A:$A,$A111,Velocity!$B:$B,$C111)/Assumptions!$B$4*Assumptions!$B$6</f>
        <v>11.5583333333333</v>
      </c>
      <c r="Y111" s="7" t="n">
        <f aca="false">SUMIFS(Doors!AK:AK,Doors!$A:$A,$D111,Doors!$B:$B,$B111,Doors!$C:$C,$C111)*SUMIFS(Velocity!$I:$I,Velocity!$A:$A,$A111,Velocity!$B:$B,$C111)/Assumptions!$B$4*Assumptions!$B$6</f>
        <v>11.5583333333333</v>
      </c>
      <c r="Z111" s="7" t="n">
        <f aca="false">SUMIFS(Doors!AL:AL,Doors!$A:$A,$D111,Doors!$B:$B,$B111,Doors!$C:$C,$C111)*SUMIFS(Velocity!$I:$I,Velocity!$A:$A,$A111,Velocity!$B:$B,$C111)/Assumptions!$B$4*Assumptions!$B$6</f>
        <v>11.5583333333333</v>
      </c>
      <c r="AA111" s="7" t="n">
        <f aca="false">SUMIFS(Doors!AM:AM,Doors!$A:$A,$D111,Doors!$B:$B,$B111,Doors!$C:$C,$C111)*SUMIFS(Velocity!$I:$I,Velocity!$A:$A,$A111,Velocity!$B:$B,$C111)/Assumptions!$B$4*Assumptions!$B$6</f>
        <v>12.775</v>
      </c>
      <c r="AB111" s="7" t="n">
        <f aca="false">SUMIFS(Doors!AN:AN,Doors!$A:$A,$D111,Doors!$B:$B,$B111,Doors!$C:$C,$C111)*SUMIFS(Velocity!$I:$I,Velocity!$A:$A,$A111,Velocity!$B:$B,$C111)/Assumptions!$B$4*Assumptions!$B$6</f>
        <v>12.775</v>
      </c>
      <c r="AC111" s="7" t="n">
        <f aca="false">SUMIFS(Doors!AO:AO,Doors!$A:$A,$D111,Doors!$B:$B,$B111,Doors!$C:$C,$C111)*SUMIFS(Velocity!$I:$I,Velocity!$A:$A,$A111,Velocity!$B:$B,$C111)/Assumptions!$B$4*Assumptions!$B$6</f>
        <v>12.775</v>
      </c>
      <c r="AD111" s="7" t="n">
        <f aca="false">SUMIFS(Doors!AP:AP,Doors!$A:$A,$D111,Doors!$B:$B,$B111,Doors!$C:$C,$C111)*SUMIFS(Velocity!$I:$I,Velocity!$A:$A,$A111,Velocity!$B:$B,$C111)/Assumptions!$B$4*Assumptions!$B$6</f>
        <v>12.775</v>
      </c>
      <c r="AE111" s="7" t="n">
        <f aca="false">SUMIFS(Doors!AQ:AQ,Doors!$A:$A,$D111,Doors!$B:$B,$B111,Doors!$C:$C,$C111)*SUMIFS(Velocity!$I:$I,Velocity!$A:$A,$A111,Velocity!$B:$B,$C111)/Assumptions!$B$4*Assumptions!$B$6</f>
        <v>13.6875</v>
      </c>
      <c r="AF111" s="7" t="n">
        <f aca="false">SUMIFS(Doors!AR:AR,Doors!$A:$A,$D111,Doors!$B:$B,$B111,Doors!$C:$C,$C111)*SUMIFS(Velocity!$I:$I,Velocity!$A:$A,$A111,Velocity!$B:$B,$C111)/Assumptions!$B$4*Assumptions!$B$6</f>
        <v>13.6875</v>
      </c>
      <c r="AG111" s="7" t="n">
        <f aca="false">SUMIFS(Doors!AS:AS,Doors!$A:$A,$D111,Doors!$B:$B,$B111,Doors!$C:$C,$C111)*SUMIFS(Velocity!$I:$I,Velocity!$A:$A,$A111,Velocity!$B:$B,$C111)/Assumptions!$B$4*Assumptions!$B$6</f>
        <v>13.6875</v>
      </c>
      <c r="AH111" s="7" t="n">
        <f aca="false">SUMIFS(Doors!AT:AT,Doors!$A:$A,$D111,Doors!$B:$B,$B111,Doors!$C:$C,$C111)*SUMIFS(Velocity!$I:$I,Velocity!$A:$A,$A111,Velocity!$B:$B,$C111)/Assumptions!$B$4*Assumptions!$B$6</f>
        <v>13.6875</v>
      </c>
      <c r="AI111" s="7" t="n">
        <f aca="false">SUMIFS(Doors!AU:AU,Doors!$A:$A,$D111,Doors!$B:$B,$B111,Doors!$C:$C,$C111)*SUMIFS(Velocity!$I:$I,Velocity!$A:$A,$A111,Velocity!$B:$B,$C111)/Assumptions!$B$4*Assumptions!$B$6</f>
        <v>13.6875</v>
      </c>
      <c r="AJ111" s="7" t="n">
        <f aca="false">SUMIFS(Doors!AV:AV,Doors!$A:$A,$D111,Doors!$B:$B,$B111,Doors!$C:$C,$C111)*SUMIFS(Velocity!$I:$I,Velocity!$A:$A,$A111,Velocity!$B:$B,$C111)/Assumptions!$B$4*Assumptions!$B$6</f>
        <v>14.2958333333333</v>
      </c>
      <c r="AK111" s="7" t="n">
        <f aca="false">SUMIFS(Doors!AW:AW,Doors!$A:$A,$D111,Doors!$B:$B,$B111,Doors!$C:$C,$C111)*SUMIFS(Velocity!$I:$I,Velocity!$A:$A,$A111,Velocity!$B:$B,$C111)/Assumptions!$B$4*Assumptions!$B$6</f>
        <v>14.2958333333333</v>
      </c>
      <c r="AL111" s="7" t="n">
        <f aca="false">SUMIFS(Doors!AX:AX,Doors!$A:$A,$D111,Doors!$B:$B,$B111,Doors!$C:$C,$C111)*SUMIFS(Velocity!$I:$I,Velocity!$A:$A,$A111,Velocity!$B:$B,$C111)/Assumptions!$B$4*Assumptions!$B$6</f>
        <v>14.2958333333333</v>
      </c>
      <c r="AM111" s="7" t="n">
        <f aca="false">SUMIFS(Doors!AY:AY,Doors!$A:$A,$D111,Doors!$B:$B,$B111,Doors!$C:$C,$C111)*SUMIFS(Velocity!$I:$I,Velocity!$A:$A,$A111,Velocity!$B:$B,$C111)/Assumptions!$B$4*Assumptions!$B$6</f>
        <v>14.2958333333333</v>
      </c>
      <c r="AN111" s="7" t="n">
        <f aca="false">SUMIFS(Doors!AZ:AZ,Doors!$A:$A,$D111,Doors!$B:$B,$B111,Doors!$C:$C,$C111)*SUMIFS(Velocity!$I:$I,Velocity!$A:$A,$A111,Velocity!$B:$B,$C111)/Assumptions!$B$4*Assumptions!$B$6</f>
        <v>14.9041666666667</v>
      </c>
      <c r="AO111" s="7" t="n">
        <f aca="false">SUMIFS(Doors!BA:BA,Doors!$A:$A,$D111,Doors!$B:$B,$B111,Doors!$C:$C,$C111)*SUMIFS(Velocity!$I:$I,Velocity!$A:$A,$A111,Velocity!$B:$B,$C111)/Assumptions!$B$4*Assumptions!$B$6</f>
        <v>14.9041666666667</v>
      </c>
      <c r="AP111" s="7" t="n">
        <f aca="false">SUMIFS(Doors!BB:BB,Doors!$A:$A,$D111,Doors!$B:$B,$B111,Doors!$C:$C,$C111)*SUMIFS(Velocity!$I:$I,Velocity!$A:$A,$A111,Velocity!$B:$B,$C111)/Assumptions!$B$4*Assumptions!$B$6</f>
        <v>14.9041666666667</v>
      </c>
      <c r="AQ111" s="7" t="n">
        <f aca="false">SUMIFS(Doors!BC:BC,Doors!$A:$A,$D111,Doors!$B:$B,$B111,Doors!$C:$C,$C111)*SUMIFS(Velocity!$I:$I,Velocity!$A:$A,$A111,Velocity!$B:$B,$C111)/Assumptions!$B$4*Assumptions!$B$6</f>
        <v>14.9041666666667</v>
      </c>
      <c r="AR111" s="7" t="n">
        <f aca="false">SUMIFS(Doors!BD:BD,Doors!$A:$A,$D111,Doors!$B:$B,$B111,Doors!$C:$C,$C111)*SUMIFS(Velocity!$I:$I,Velocity!$A:$A,$A111,Velocity!$B:$B,$C111)/Assumptions!$B$4*Assumptions!$B$6</f>
        <v>15.2083333333333</v>
      </c>
      <c r="AS111" s="7" t="n">
        <f aca="false">SUMIFS(Doors!BE:BE,Doors!$A:$A,$D111,Doors!$B:$B,$B111,Doors!$C:$C,$C111)*SUMIFS(Velocity!$I:$I,Velocity!$A:$A,$A111,Velocity!$B:$B,$C111)/Assumptions!$B$4*Assumptions!$B$6</f>
        <v>15.2083333333333</v>
      </c>
      <c r="AT111" s="7" t="n">
        <f aca="false">SUMIFS(Doors!BF:BF,Doors!$A:$A,$D111,Doors!$B:$B,$B111,Doors!$C:$C,$C111)*SUMIFS(Velocity!$I:$I,Velocity!$A:$A,$A111,Velocity!$B:$B,$C111)/Assumptions!$B$4*Assumptions!$B$6</f>
        <v>15.2083333333333</v>
      </c>
      <c r="AU111" s="7" t="n">
        <f aca="false">SUMIFS(Doors!BG:BG,Doors!$A:$A,$D111,Doors!$B:$B,$B111,Doors!$C:$C,$C111)*SUMIFS(Velocity!$I:$I,Velocity!$A:$A,$A111,Velocity!$B:$B,$C111)/Assumptions!$B$4*Assumptions!$B$6</f>
        <v>15.2083333333333</v>
      </c>
      <c r="AV111" s="7" t="n">
        <f aca="false">SUMIFS(Doors!BH:BH,Doors!$A:$A,$D111,Doors!$B:$B,$B111,Doors!$C:$C,$C111)*SUMIFS(Velocity!$I:$I,Velocity!$A:$A,$A111,Velocity!$B:$B,$C111)/Assumptions!$B$4*Assumptions!$B$6</f>
        <v>15.2083333333333</v>
      </c>
      <c r="AW111" s="7" t="n">
        <f aca="false">SUMIFS(Doors!BI:BI,Doors!$A:$A,$D111,Doors!$B:$B,$B111,Doors!$C:$C,$C111)*SUMIFS(Velocity!$I:$I,Velocity!$A:$A,$A111,Velocity!$B:$B,$C111)/Assumptions!$B$4*Assumptions!$B$6</f>
        <v>15.2083333333333</v>
      </c>
      <c r="AX111" s="7" t="n">
        <f aca="false">SUMIFS(Doors!BJ:BJ,Doors!$A:$A,$D111,Doors!$B:$B,$B111,Doors!$C:$C,$C111)*SUMIFS(Velocity!$I:$I,Velocity!$A:$A,$A111,Velocity!$B:$B,$C111)/Assumptions!$B$4*Assumptions!$B$6</f>
        <v>15.2083333333333</v>
      </c>
      <c r="AY111" s="7" t="n">
        <f aca="false">SUMIFS(Doors!BK:BK,Doors!$A:$A,$D111,Doors!$B:$B,$B111,Doors!$C:$C,$C111)*SUMIFS(Velocity!$I:$I,Velocity!$A:$A,$A111,Velocity!$B:$B,$C111)/Assumptions!$B$4*Assumptions!$B$6</f>
        <v>15.2083333333333</v>
      </c>
      <c r="AZ111" s="7" t="n">
        <f aca="false">SUMIFS(Doors!BL:BL,Doors!$A:$A,$D111,Doors!$B:$B,$B111,Doors!$C:$C,$C111)*SUMIFS(Velocity!$I:$I,Velocity!$A:$A,$A111,Velocity!$B:$B,$C111)/Assumptions!$B$4*Assumptions!$B$6</f>
        <v>15.2083333333333</v>
      </c>
      <c r="BA111" s="7" t="n">
        <f aca="false">SUMIFS(Doors!BM:BM,Doors!$A:$A,$D111,Doors!$B:$B,$B111,Doors!$C:$C,$C111)*SUMIFS(Velocity!$I:$I,Velocity!$A:$A,$A111,Velocity!$B:$B,$C111)/Assumptions!$B$4*Assumptions!$B$6</f>
        <v>15.2083333333333</v>
      </c>
      <c r="BB111" s="7" t="n">
        <f aca="false">SUMIFS(Doors!BN:BN,Doors!$A:$A,$D111,Doors!$B:$B,$B111,Doors!$C:$C,$C111)*SUMIFS(Velocity!$I:$I,Velocity!$A:$A,$A111,Velocity!$B:$B,$C111)/Assumptions!$B$4*Assumptions!$B$6</f>
        <v>15.2083333333333</v>
      </c>
      <c r="BC111" s="7" t="n">
        <f aca="false">SUMIFS(Doors!BO:BO,Doors!$A:$A,$D111,Doors!$B:$B,$B111,Doors!$C:$C,$C111)*SUMIFS(Velocity!$I:$I,Velocity!$A:$A,$A111,Velocity!$B:$B,$C111)/Assumptions!$B$4*Assumptions!$B$6</f>
        <v>15.2083333333333</v>
      </c>
      <c r="BD111" s="7" t="n">
        <f aca="false">SUMIFS(Doors!BP:BP,Doors!$A:$A,$D111,Doors!$B:$B,$B111,Doors!$C:$C,$C111)*SUMIFS(Velocity!$I:$I,Velocity!$A:$A,$A111,Velocity!$B:$B,$C111)/Assumptions!$B$4*Assumptions!$B$6</f>
        <v>15.2083333333333</v>
      </c>
    </row>
    <row r="112" customFormat="false" ht="15" hidden="false" customHeight="false" outlineLevel="0" collapsed="false">
      <c r="A112" s="0" t="s">
        <v>109</v>
      </c>
      <c r="B112" s="0" t="s">
        <v>127</v>
      </c>
      <c r="C112" s="0" t="s">
        <v>122</v>
      </c>
      <c r="D112" s="0" t="s">
        <v>235</v>
      </c>
      <c r="E112" s="7" t="n">
        <f aca="false">SUMIFS(Doors!Q:Q,Doors!$A:$A,$D112,Doors!$B:$B,$B112,Doors!$C:$C,$C112)*SUMIFS(Velocity!$I:$I,Velocity!$A:$A,$A112,Velocity!$B:$B,$C112)/Assumptions!$B$4*Assumptions!$B$6</f>
        <v>1.1</v>
      </c>
      <c r="F112" s="7" t="n">
        <f aca="false">SUMIFS(Doors!R:R,Doors!$A:$A,$D112,Doors!$B:$B,$B112,Doors!$C:$C,$C112)*SUMIFS(Velocity!$I:$I,Velocity!$A:$A,$A112,Velocity!$B:$B,$C112)/Assumptions!$B$4*Assumptions!$B$6</f>
        <v>1.1</v>
      </c>
      <c r="G112" s="7" t="n">
        <f aca="false">SUMIFS(Doors!S:S,Doors!$A:$A,$D112,Doors!$B:$B,$B112,Doors!$C:$C,$C112)*SUMIFS(Velocity!$I:$I,Velocity!$A:$A,$A112,Velocity!$B:$B,$C112)/Assumptions!$B$4*Assumptions!$B$6</f>
        <v>1.1</v>
      </c>
      <c r="H112" s="7" t="n">
        <f aca="false">SUMIFS(Doors!T:T,Doors!$A:$A,$D112,Doors!$B:$B,$B112,Doors!$C:$C,$C112)*SUMIFS(Velocity!$I:$I,Velocity!$A:$A,$A112,Velocity!$B:$B,$C112)/Assumptions!$B$4*Assumptions!$B$6</f>
        <v>1.1</v>
      </c>
      <c r="I112" s="7" t="n">
        <f aca="false">SUMIFS(Doors!U:U,Doors!$A:$A,$D112,Doors!$B:$B,$B112,Doors!$C:$C,$C112)*SUMIFS(Velocity!$I:$I,Velocity!$A:$A,$A112,Velocity!$B:$B,$C112)/Assumptions!$B$4*Assumptions!$B$6</f>
        <v>1.1</v>
      </c>
      <c r="J112" s="7" t="n">
        <f aca="false">SUMIFS(Doors!V:V,Doors!$A:$A,$D112,Doors!$B:$B,$B112,Doors!$C:$C,$C112)*SUMIFS(Velocity!$I:$I,Velocity!$A:$A,$A112,Velocity!$B:$B,$C112)/Assumptions!$B$4*Assumptions!$B$6</f>
        <v>1.65</v>
      </c>
      <c r="K112" s="7" t="n">
        <f aca="false">SUMIFS(Doors!W:W,Doors!$A:$A,$D112,Doors!$B:$B,$B112,Doors!$C:$C,$C112)*SUMIFS(Velocity!$I:$I,Velocity!$A:$A,$A112,Velocity!$B:$B,$C112)/Assumptions!$B$4*Assumptions!$B$6</f>
        <v>1.65</v>
      </c>
      <c r="L112" s="7" t="n">
        <f aca="false">SUMIFS(Doors!X:X,Doors!$A:$A,$D112,Doors!$B:$B,$B112,Doors!$C:$C,$C112)*SUMIFS(Velocity!$I:$I,Velocity!$A:$A,$A112,Velocity!$B:$B,$C112)/Assumptions!$B$4*Assumptions!$B$6</f>
        <v>1.65</v>
      </c>
      <c r="M112" s="7" t="n">
        <f aca="false">SUMIFS(Doors!Y:Y,Doors!$A:$A,$D112,Doors!$B:$B,$B112,Doors!$C:$C,$C112)*SUMIFS(Velocity!$I:$I,Velocity!$A:$A,$A112,Velocity!$B:$B,$C112)/Assumptions!$B$4*Assumptions!$B$6</f>
        <v>1.65</v>
      </c>
      <c r="N112" s="7" t="n">
        <f aca="false">SUMIFS(Doors!Z:Z,Doors!$A:$A,$D112,Doors!$B:$B,$B112,Doors!$C:$C,$C112)*SUMIFS(Velocity!$I:$I,Velocity!$A:$A,$A112,Velocity!$B:$B,$C112)/Assumptions!$B$4*Assumptions!$B$6</f>
        <v>2.475</v>
      </c>
      <c r="O112" s="7" t="n">
        <f aca="false">SUMIFS(Doors!AA:AA,Doors!$A:$A,$D112,Doors!$B:$B,$B112,Doors!$C:$C,$C112)*SUMIFS(Velocity!$I:$I,Velocity!$A:$A,$A112,Velocity!$B:$B,$C112)/Assumptions!$B$4*Assumptions!$B$6</f>
        <v>2.475</v>
      </c>
      <c r="P112" s="7" t="n">
        <f aca="false">SUMIFS(Doors!AB:AB,Doors!$A:$A,$D112,Doors!$B:$B,$B112,Doors!$C:$C,$C112)*SUMIFS(Velocity!$I:$I,Velocity!$A:$A,$A112,Velocity!$B:$B,$C112)/Assumptions!$B$4*Assumptions!$B$6</f>
        <v>2.475</v>
      </c>
      <c r="Q112" s="7" t="n">
        <f aca="false">SUMIFS(Doors!AC:AC,Doors!$A:$A,$D112,Doors!$B:$B,$B112,Doors!$C:$C,$C112)*SUMIFS(Velocity!$I:$I,Velocity!$A:$A,$A112,Velocity!$B:$B,$C112)/Assumptions!$B$4*Assumptions!$B$6</f>
        <v>2.475</v>
      </c>
      <c r="R112" s="7" t="n">
        <f aca="false">SUMIFS(Doors!AD:AD,Doors!$A:$A,$D112,Doors!$B:$B,$B112,Doors!$C:$C,$C112)*SUMIFS(Velocity!$I:$I,Velocity!$A:$A,$A112,Velocity!$B:$B,$C112)/Assumptions!$B$4*Assumptions!$B$6</f>
        <v>3.3</v>
      </c>
      <c r="S112" s="7" t="n">
        <f aca="false">SUMIFS(Doors!AE:AE,Doors!$A:$A,$D112,Doors!$B:$B,$B112,Doors!$C:$C,$C112)*SUMIFS(Velocity!$I:$I,Velocity!$A:$A,$A112,Velocity!$B:$B,$C112)/Assumptions!$B$4*Assumptions!$B$6</f>
        <v>3.3</v>
      </c>
      <c r="T112" s="7" t="n">
        <f aca="false">SUMIFS(Doors!AF:AF,Doors!$A:$A,$D112,Doors!$B:$B,$B112,Doors!$C:$C,$C112)*SUMIFS(Velocity!$I:$I,Velocity!$A:$A,$A112,Velocity!$B:$B,$C112)/Assumptions!$B$4*Assumptions!$B$6</f>
        <v>3.3</v>
      </c>
      <c r="U112" s="7" t="n">
        <f aca="false">SUMIFS(Doors!AG:AG,Doors!$A:$A,$D112,Doors!$B:$B,$B112,Doors!$C:$C,$C112)*SUMIFS(Velocity!$I:$I,Velocity!$A:$A,$A112,Velocity!$B:$B,$C112)/Assumptions!$B$4*Assumptions!$B$6</f>
        <v>3.3</v>
      </c>
      <c r="V112" s="7" t="n">
        <f aca="false">SUMIFS(Doors!AH:AH,Doors!$A:$A,$D112,Doors!$B:$B,$B112,Doors!$C:$C,$C112)*SUMIFS(Velocity!$I:$I,Velocity!$A:$A,$A112,Velocity!$B:$B,$C112)/Assumptions!$B$4*Assumptions!$B$6</f>
        <v>3.3</v>
      </c>
      <c r="W112" s="7" t="n">
        <f aca="false">SUMIFS(Doors!AI:AI,Doors!$A:$A,$D112,Doors!$B:$B,$B112,Doors!$C:$C,$C112)*SUMIFS(Velocity!$I:$I,Velocity!$A:$A,$A112,Velocity!$B:$B,$C112)/Assumptions!$B$4*Assumptions!$B$6</f>
        <v>4.125</v>
      </c>
      <c r="X112" s="7" t="n">
        <f aca="false">SUMIFS(Doors!AJ:AJ,Doors!$A:$A,$D112,Doors!$B:$B,$B112,Doors!$C:$C,$C112)*SUMIFS(Velocity!$I:$I,Velocity!$A:$A,$A112,Velocity!$B:$B,$C112)/Assumptions!$B$4*Assumptions!$B$6</f>
        <v>4.125</v>
      </c>
      <c r="Y112" s="7" t="n">
        <f aca="false">SUMIFS(Doors!AK:AK,Doors!$A:$A,$D112,Doors!$B:$B,$B112,Doors!$C:$C,$C112)*SUMIFS(Velocity!$I:$I,Velocity!$A:$A,$A112,Velocity!$B:$B,$C112)/Assumptions!$B$4*Assumptions!$B$6</f>
        <v>4.125</v>
      </c>
      <c r="Z112" s="7" t="n">
        <f aca="false">SUMIFS(Doors!AL:AL,Doors!$A:$A,$D112,Doors!$B:$B,$B112,Doors!$C:$C,$C112)*SUMIFS(Velocity!$I:$I,Velocity!$A:$A,$A112,Velocity!$B:$B,$C112)/Assumptions!$B$4*Assumptions!$B$6</f>
        <v>4.125</v>
      </c>
      <c r="AA112" s="7" t="n">
        <f aca="false">SUMIFS(Doors!AM:AM,Doors!$A:$A,$D112,Doors!$B:$B,$B112,Doors!$C:$C,$C112)*SUMIFS(Velocity!$I:$I,Velocity!$A:$A,$A112,Velocity!$B:$B,$C112)/Assumptions!$B$4*Assumptions!$B$6</f>
        <v>4.675</v>
      </c>
      <c r="AB112" s="7" t="n">
        <f aca="false">SUMIFS(Doors!AN:AN,Doors!$A:$A,$D112,Doors!$B:$B,$B112,Doors!$C:$C,$C112)*SUMIFS(Velocity!$I:$I,Velocity!$A:$A,$A112,Velocity!$B:$B,$C112)/Assumptions!$B$4*Assumptions!$B$6</f>
        <v>4.675</v>
      </c>
      <c r="AC112" s="7" t="n">
        <f aca="false">SUMIFS(Doors!AO:AO,Doors!$A:$A,$D112,Doors!$B:$B,$B112,Doors!$C:$C,$C112)*SUMIFS(Velocity!$I:$I,Velocity!$A:$A,$A112,Velocity!$B:$B,$C112)/Assumptions!$B$4*Assumptions!$B$6</f>
        <v>4.675</v>
      </c>
      <c r="AD112" s="7" t="n">
        <f aca="false">SUMIFS(Doors!AP:AP,Doors!$A:$A,$D112,Doors!$B:$B,$B112,Doors!$C:$C,$C112)*SUMIFS(Velocity!$I:$I,Velocity!$A:$A,$A112,Velocity!$B:$B,$C112)/Assumptions!$B$4*Assumptions!$B$6</f>
        <v>4.675</v>
      </c>
      <c r="AE112" s="7" t="n">
        <f aca="false">SUMIFS(Doors!AQ:AQ,Doors!$A:$A,$D112,Doors!$B:$B,$B112,Doors!$C:$C,$C112)*SUMIFS(Velocity!$I:$I,Velocity!$A:$A,$A112,Velocity!$B:$B,$C112)/Assumptions!$B$4*Assumptions!$B$6</f>
        <v>5.0875</v>
      </c>
      <c r="AF112" s="7" t="n">
        <f aca="false">SUMIFS(Doors!AR:AR,Doors!$A:$A,$D112,Doors!$B:$B,$B112,Doors!$C:$C,$C112)*SUMIFS(Velocity!$I:$I,Velocity!$A:$A,$A112,Velocity!$B:$B,$C112)/Assumptions!$B$4*Assumptions!$B$6</f>
        <v>5.0875</v>
      </c>
      <c r="AG112" s="7" t="n">
        <f aca="false">SUMIFS(Doors!AS:AS,Doors!$A:$A,$D112,Doors!$B:$B,$B112,Doors!$C:$C,$C112)*SUMIFS(Velocity!$I:$I,Velocity!$A:$A,$A112,Velocity!$B:$B,$C112)/Assumptions!$B$4*Assumptions!$B$6</f>
        <v>5.0875</v>
      </c>
      <c r="AH112" s="7" t="n">
        <f aca="false">SUMIFS(Doors!AT:AT,Doors!$A:$A,$D112,Doors!$B:$B,$B112,Doors!$C:$C,$C112)*SUMIFS(Velocity!$I:$I,Velocity!$A:$A,$A112,Velocity!$B:$B,$C112)/Assumptions!$B$4*Assumptions!$B$6</f>
        <v>5.0875</v>
      </c>
      <c r="AI112" s="7" t="n">
        <f aca="false">SUMIFS(Doors!AU:AU,Doors!$A:$A,$D112,Doors!$B:$B,$B112,Doors!$C:$C,$C112)*SUMIFS(Velocity!$I:$I,Velocity!$A:$A,$A112,Velocity!$B:$B,$C112)/Assumptions!$B$4*Assumptions!$B$6</f>
        <v>5.0875</v>
      </c>
      <c r="AJ112" s="7" t="n">
        <f aca="false">SUMIFS(Doors!AV:AV,Doors!$A:$A,$D112,Doors!$B:$B,$B112,Doors!$C:$C,$C112)*SUMIFS(Velocity!$I:$I,Velocity!$A:$A,$A112,Velocity!$B:$B,$C112)/Assumptions!$B$4*Assumptions!$B$6</f>
        <v>5.3625</v>
      </c>
      <c r="AK112" s="7" t="n">
        <f aca="false">SUMIFS(Doors!AW:AW,Doors!$A:$A,$D112,Doors!$B:$B,$B112,Doors!$C:$C,$C112)*SUMIFS(Velocity!$I:$I,Velocity!$A:$A,$A112,Velocity!$B:$B,$C112)/Assumptions!$B$4*Assumptions!$B$6</f>
        <v>5.3625</v>
      </c>
      <c r="AL112" s="7" t="n">
        <f aca="false">SUMIFS(Doors!AX:AX,Doors!$A:$A,$D112,Doors!$B:$B,$B112,Doors!$C:$C,$C112)*SUMIFS(Velocity!$I:$I,Velocity!$A:$A,$A112,Velocity!$B:$B,$C112)/Assumptions!$B$4*Assumptions!$B$6</f>
        <v>5.3625</v>
      </c>
      <c r="AM112" s="7" t="n">
        <f aca="false">SUMIFS(Doors!AY:AY,Doors!$A:$A,$D112,Doors!$B:$B,$B112,Doors!$C:$C,$C112)*SUMIFS(Velocity!$I:$I,Velocity!$A:$A,$A112,Velocity!$B:$B,$C112)/Assumptions!$B$4*Assumptions!$B$6</f>
        <v>5.3625</v>
      </c>
      <c r="AN112" s="7" t="n">
        <f aca="false">SUMIFS(Doors!AZ:AZ,Doors!$A:$A,$D112,Doors!$B:$B,$B112,Doors!$C:$C,$C112)*SUMIFS(Velocity!$I:$I,Velocity!$A:$A,$A112,Velocity!$B:$B,$C112)/Assumptions!$B$4*Assumptions!$B$6</f>
        <v>5.5</v>
      </c>
      <c r="AO112" s="7" t="n">
        <f aca="false">SUMIFS(Doors!BA:BA,Doors!$A:$A,$D112,Doors!$B:$B,$B112,Doors!$C:$C,$C112)*SUMIFS(Velocity!$I:$I,Velocity!$A:$A,$A112,Velocity!$B:$B,$C112)/Assumptions!$B$4*Assumptions!$B$6</f>
        <v>5.5</v>
      </c>
      <c r="AP112" s="7" t="n">
        <f aca="false">SUMIFS(Doors!BB:BB,Doors!$A:$A,$D112,Doors!$B:$B,$B112,Doors!$C:$C,$C112)*SUMIFS(Velocity!$I:$I,Velocity!$A:$A,$A112,Velocity!$B:$B,$C112)/Assumptions!$B$4*Assumptions!$B$6</f>
        <v>5.5</v>
      </c>
      <c r="AQ112" s="7" t="n">
        <f aca="false">SUMIFS(Doors!BC:BC,Doors!$A:$A,$D112,Doors!$B:$B,$B112,Doors!$C:$C,$C112)*SUMIFS(Velocity!$I:$I,Velocity!$A:$A,$A112,Velocity!$B:$B,$C112)/Assumptions!$B$4*Assumptions!$B$6</f>
        <v>5.5</v>
      </c>
      <c r="AR112" s="7" t="n">
        <f aca="false">SUMIFS(Doors!BD:BD,Doors!$A:$A,$D112,Doors!$B:$B,$B112,Doors!$C:$C,$C112)*SUMIFS(Velocity!$I:$I,Velocity!$A:$A,$A112,Velocity!$B:$B,$C112)/Assumptions!$B$4*Assumptions!$B$6</f>
        <v>5.5</v>
      </c>
      <c r="AS112" s="7" t="n">
        <f aca="false">SUMIFS(Doors!BE:BE,Doors!$A:$A,$D112,Doors!$B:$B,$B112,Doors!$C:$C,$C112)*SUMIFS(Velocity!$I:$I,Velocity!$A:$A,$A112,Velocity!$B:$B,$C112)/Assumptions!$B$4*Assumptions!$B$6</f>
        <v>5.5</v>
      </c>
      <c r="AT112" s="7" t="n">
        <f aca="false">SUMIFS(Doors!BF:BF,Doors!$A:$A,$D112,Doors!$B:$B,$B112,Doors!$C:$C,$C112)*SUMIFS(Velocity!$I:$I,Velocity!$A:$A,$A112,Velocity!$B:$B,$C112)/Assumptions!$B$4*Assumptions!$B$6</f>
        <v>5.5</v>
      </c>
      <c r="AU112" s="7" t="n">
        <f aca="false">SUMIFS(Doors!BG:BG,Doors!$A:$A,$D112,Doors!$B:$B,$B112,Doors!$C:$C,$C112)*SUMIFS(Velocity!$I:$I,Velocity!$A:$A,$A112,Velocity!$B:$B,$C112)/Assumptions!$B$4*Assumptions!$B$6</f>
        <v>5.5</v>
      </c>
      <c r="AV112" s="7" t="n">
        <f aca="false">SUMIFS(Doors!BH:BH,Doors!$A:$A,$D112,Doors!$B:$B,$B112,Doors!$C:$C,$C112)*SUMIFS(Velocity!$I:$I,Velocity!$A:$A,$A112,Velocity!$B:$B,$C112)/Assumptions!$B$4*Assumptions!$B$6</f>
        <v>5.5</v>
      </c>
      <c r="AW112" s="7" t="n">
        <f aca="false">SUMIFS(Doors!BI:BI,Doors!$A:$A,$D112,Doors!$B:$B,$B112,Doors!$C:$C,$C112)*SUMIFS(Velocity!$I:$I,Velocity!$A:$A,$A112,Velocity!$B:$B,$C112)/Assumptions!$B$4*Assumptions!$B$6</f>
        <v>5.5</v>
      </c>
      <c r="AX112" s="7" t="n">
        <f aca="false">SUMIFS(Doors!BJ:BJ,Doors!$A:$A,$D112,Doors!$B:$B,$B112,Doors!$C:$C,$C112)*SUMIFS(Velocity!$I:$I,Velocity!$A:$A,$A112,Velocity!$B:$B,$C112)/Assumptions!$B$4*Assumptions!$B$6</f>
        <v>5.5</v>
      </c>
      <c r="AY112" s="7" t="n">
        <f aca="false">SUMIFS(Doors!BK:BK,Doors!$A:$A,$D112,Doors!$B:$B,$B112,Doors!$C:$C,$C112)*SUMIFS(Velocity!$I:$I,Velocity!$A:$A,$A112,Velocity!$B:$B,$C112)/Assumptions!$B$4*Assumptions!$B$6</f>
        <v>5.5</v>
      </c>
      <c r="AZ112" s="7" t="n">
        <f aca="false">SUMIFS(Doors!BL:BL,Doors!$A:$A,$D112,Doors!$B:$B,$B112,Doors!$C:$C,$C112)*SUMIFS(Velocity!$I:$I,Velocity!$A:$A,$A112,Velocity!$B:$B,$C112)/Assumptions!$B$4*Assumptions!$B$6</f>
        <v>5.5</v>
      </c>
      <c r="BA112" s="7" t="n">
        <f aca="false">SUMIFS(Doors!BM:BM,Doors!$A:$A,$D112,Doors!$B:$B,$B112,Doors!$C:$C,$C112)*SUMIFS(Velocity!$I:$I,Velocity!$A:$A,$A112,Velocity!$B:$B,$C112)/Assumptions!$B$4*Assumptions!$B$6</f>
        <v>5.5</v>
      </c>
      <c r="BB112" s="7" t="n">
        <f aca="false">SUMIFS(Doors!BN:BN,Doors!$A:$A,$D112,Doors!$B:$B,$B112,Doors!$C:$C,$C112)*SUMIFS(Velocity!$I:$I,Velocity!$A:$A,$A112,Velocity!$B:$B,$C112)/Assumptions!$B$4*Assumptions!$B$6</f>
        <v>5.5</v>
      </c>
      <c r="BC112" s="7" t="n">
        <f aca="false">SUMIFS(Doors!BO:BO,Doors!$A:$A,$D112,Doors!$B:$B,$B112,Doors!$C:$C,$C112)*SUMIFS(Velocity!$I:$I,Velocity!$A:$A,$A112,Velocity!$B:$B,$C112)/Assumptions!$B$4*Assumptions!$B$6</f>
        <v>5.5</v>
      </c>
      <c r="BD112" s="7" t="n">
        <f aca="false">SUMIFS(Doors!BP:BP,Doors!$A:$A,$D112,Doors!$B:$B,$B112,Doors!$C:$C,$C112)*SUMIFS(Velocity!$I:$I,Velocity!$A:$A,$A112,Velocity!$B:$B,$C112)/Assumptions!$B$4*Assumptions!$B$6</f>
        <v>5.5</v>
      </c>
    </row>
    <row r="113" customFormat="false" ht="15" hidden="false" customHeight="false" outlineLevel="0" collapsed="false">
      <c r="A113" s="0" t="s">
        <v>109</v>
      </c>
      <c r="B113" s="0" t="s">
        <v>127</v>
      </c>
      <c r="C113" s="0" t="s">
        <v>123</v>
      </c>
      <c r="D113" s="0" t="s">
        <v>235</v>
      </c>
      <c r="E113" s="7" t="n">
        <f aca="false">SUMIFS(Doors!Q:Q,Doors!$A:$A,$D113,Doors!$B:$B,$B113,Doors!$C:$C,$C113)*SUMIFS(Velocity!$I:$I,Velocity!$A:$A,$A113,Velocity!$B:$B,$C113)/Assumptions!$B$4*Assumptions!$B$6</f>
        <v>0</v>
      </c>
      <c r="F113" s="7" t="n">
        <f aca="false">SUMIFS(Doors!R:R,Doors!$A:$A,$D113,Doors!$B:$B,$B113,Doors!$C:$C,$C113)*SUMIFS(Velocity!$I:$I,Velocity!$A:$A,$A113,Velocity!$B:$B,$C113)/Assumptions!$B$4*Assumptions!$B$6</f>
        <v>0</v>
      </c>
      <c r="G113" s="7" t="n">
        <f aca="false">SUMIFS(Doors!S:S,Doors!$A:$A,$D113,Doors!$B:$B,$B113,Doors!$C:$C,$C113)*SUMIFS(Velocity!$I:$I,Velocity!$A:$A,$A113,Velocity!$B:$B,$C113)/Assumptions!$B$4*Assumptions!$B$6</f>
        <v>0</v>
      </c>
      <c r="H113" s="7" t="n">
        <f aca="false">SUMIFS(Doors!T:T,Doors!$A:$A,$D113,Doors!$B:$B,$B113,Doors!$C:$C,$C113)*SUMIFS(Velocity!$I:$I,Velocity!$A:$A,$A113,Velocity!$B:$B,$C113)/Assumptions!$B$4*Assumptions!$B$6</f>
        <v>0</v>
      </c>
      <c r="I113" s="7" t="n">
        <f aca="false">SUMIFS(Doors!U:U,Doors!$A:$A,$D113,Doors!$B:$B,$B113,Doors!$C:$C,$C113)*SUMIFS(Velocity!$I:$I,Velocity!$A:$A,$A113,Velocity!$B:$B,$C113)/Assumptions!$B$4*Assumptions!$B$6</f>
        <v>0</v>
      </c>
      <c r="J113" s="7" t="n">
        <f aca="false">SUMIFS(Doors!V:V,Doors!$A:$A,$D113,Doors!$B:$B,$B113,Doors!$C:$C,$C113)*SUMIFS(Velocity!$I:$I,Velocity!$A:$A,$A113,Velocity!$B:$B,$C113)/Assumptions!$B$4*Assumptions!$B$6</f>
        <v>0</v>
      </c>
      <c r="K113" s="7" t="n">
        <f aca="false">SUMIFS(Doors!W:W,Doors!$A:$A,$D113,Doors!$B:$B,$B113,Doors!$C:$C,$C113)*SUMIFS(Velocity!$I:$I,Velocity!$A:$A,$A113,Velocity!$B:$B,$C113)/Assumptions!$B$4*Assumptions!$B$6</f>
        <v>0</v>
      </c>
      <c r="L113" s="7" t="n">
        <f aca="false">SUMIFS(Doors!X:X,Doors!$A:$A,$D113,Doors!$B:$B,$B113,Doors!$C:$C,$C113)*SUMIFS(Velocity!$I:$I,Velocity!$A:$A,$A113,Velocity!$B:$B,$C113)/Assumptions!$B$4*Assumptions!$B$6</f>
        <v>0</v>
      </c>
      <c r="M113" s="7" t="n">
        <f aca="false">SUMIFS(Doors!Y:Y,Doors!$A:$A,$D113,Doors!$B:$B,$B113,Doors!$C:$C,$C113)*SUMIFS(Velocity!$I:$I,Velocity!$A:$A,$A113,Velocity!$B:$B,$C113)/Assumptions!$B$4*Assumptions!$B$6</f>
        <v>0</v>
      </c>
      <c r="N113" s="7" t="n">
        <f aca="false">SUMIFS(Doors!Z:Z,Doors!$A:$A,$D113,Doors!$B:$B,$B113,Doors!$C:$C,$C113)*SUMIFS(Velocity!$I:$I,Velocity!$A:$A,$A113,Velocity!$B:$B,$C113)/Assumptions!$B$4*Assumptions!$B$6</f>
        <v>0</v>
      </c>
      <c r="O113" s="7" t="n">
        <f aca="false">SUMIFS(Doors!AA:AA,Doors!$A:$A,$D113,Doors!$B:$B,$B113,Doors!$C:$C,$C113)*SUMIFS(Velocity!$I:$I,Velocity!$A:$A,$A113,Velocity!$B:$B,$C113)/Assumptions!$B$4*Assumptions!$B$6</f>
        <v>0</v>
      </c>
      <c r="P113" s="7" t="n">
        <f aca="false">SUMIFS(Doors!AB:AB,Doors!$A:$A,$D113,Doors!$B:$B,$B113,Doors!$C:$C,$C113)*SUMIFS(Velocity!$I:$I,Velocity!$A:$A,$A113,Velocity!$B:$B,$C113)/Assumptions!$B$4*Assumptions!$B$6</f>
        <v>0</v>
      </c>
      <c r="Q113" s="7" t="n">
        <f aca="false">SUMIFS(Doors!AC:AC,Doors!$A:$A,$D113,Doors!$B:$B,$B113,Doors!$C:$C,$C113)*SUMIFS(Velocity!$I:$I,Velocity!$A:$A,$A113,Velocity!$B:$B,$C113)/Assumptions!$B$4*Assumptions!$B$6</f>
        <v>0</v>
      </c>
      <c r="R113" s="7" t="n">
        <f aca="false">SUMIFS(Doors!AD:AD,Doors!$A:$A,$D113,Doors!$B:$B,$B113,Doors!$C:$C,$C113)*SUMIFS(Velocity!$I:$I,Velocity!$A:$A,$A113,Velocity!$B:$B,$C113)/Assumptions!$B$4*Assumptions!$B$6</f>
        <v>0</v>
      </c>
      <c r="S113" s="7" t="n">
        <f aca="false">SUMIFS(Doors!AE:AE,Doors!$A:$A,$D113,Doors!$B:$B,$B113,Doors!$C:$C,$C113)*SUMIFS(Velocity!$I:$I,Velocity!$A:$A,$A113,Velocity!$B:$B,$C113)/Assumptions!$B$4*Assumptions!$B$6</f>
        <v>0</v>
      </c>
      <c r="T113" s="7" t="n">
        <f aca="false">SUMIFS(Doors!AF:AF,Doors!$A:$A,$D113,Doors!$B:$B,$B113,Doors!$C:$C,$C113)*SUMIFS(Velocity!$I:$I,Velocity!$A:$A,$A113,Velocity!$B:$B,$C113)/Assumptions!$B$4*Assumptions!$B$6</f>
        <v>0</v>
      </c>
      <c r="U113" s="7" t="n">
        <f aca="false">SUMIFS(Doors!AG:AG,Doors!$A:$A,$D113,Doors!$B:$B,$B113,Doors!$C:$C,$C113)*SUMIFS(Velocity!$I:$I,Velocity!$A:$A,$A113,Velocity!$B:$B,$C113)/Assumptions!$B$4*Assumptions!$B$6</f>
        <v>0</v>
      </c>
      <c r="V113" s="7" t="n">
        <f aca="false">SUMIFS(Doors!AH:AH,Doors!$A:$A,$D113,Doors!$B:$B,$B113,Doors!$C:$C,$C113)*SUMIFS(Velocity!$I:$I,Velocity!$A:$A,$A113,Velocity!$B:$B,$C113)/Assumptions!$B$4*Assumptions!$B$6</f>
        <v>0</v>
      </c>
      <c r="W113" s="7" t="n">
        <f aca="false">SUMIFS(Doors!AI:AI,Doors!$A:$A,$D113,Doors!$B:$B,$B113,Doors!$C:$C,$C113)*SUMIFS(Velocity!$I:$I,Velocity!$A:$A,$A113,Velocity!$B:$B,$C113)/Assumptions!$B$4*Assumptions!$B$6</f>
        <v>0</v>
      </c>
      <c r="X113" s="7" t="n">
        <f aca="false">SUMIFS(Doors!AJ:AJ,Doors!$A:$A,$D113,Doors!$B:$B,$B113,Doors!$C:$C,$C113)*SUMIFS(Velocity!$I:$I,Velocity!$A:$A,$A113,Velocity!$B:$B,$C113)/Assumptions!$B$4*Assumptions!$B$6</f>
        <v>0</v>
      </c>
      <c r="Y113" s="7" t="n">
        <f aca="false">SUMIFS(Doors!AK:AK,Doors!$A:$A,$D113,Doors!$B:$B,$B113,Doors!$C:$C,$C113)*SUMIFS(Velocity!$I:$I,Velocity!$A:$A,$A113,Velocity!$B:$B,$C113)/Assumptions!$B$4*Assumptions!$B$6</f>
        <v>0</v>
      </c>
      <c r="Z113" s="7" t="n">
        <f aca="false">SUMIFS(Doors!AL:AL,Doors!$A:$A,$D113,Doors!$B:$B,$B113,Doors!$C:$C,$C113)*SUMIFS(Velocity!$I:$I,Velocity!$A:$A,$A113,Velocity!$B:$B,$C113)/Assumptions!$B$4*Assumptions!$B$6</f>
        <v>0</v>
      </c>
      <c r="AA113" s="7" t="n">
        <f aca="false">SUMIFS(Doors!AM:AM,Doors!$A:$A,$D113,Doors!$B:$B,$B113,Doors!$C:$C,$C113)*SUMIFS(Velocity!$I:$I,Velocity!$A:$A,$A113,Velocity!$B:$B,$C113)/Assumptions!$B$4*Assumptions!$B$6</f>
        <v>0</v>
      </c>
      <c r="AB113" s="7" t="n">
        <f aca="false">SUMIFS(Doors!AN:AN,Doors!$A:$A,$D113,Doors!$B:$B,$B113,Doors!$C:$C,$C113)*SUMIFS(Velocity!$I:$I,Velocity!$A:$A,$A113,Velocity!$B:$B,$C113)/Assumptions!$B$4*Assumptions!$B$6</f>
        <v>0</v>
      </c>
      <c r="AC113" s="7" t="n">
        <f aca="false">SUMIFS(Doors!AO:AO,Doors!$A:$A,$D113,Doors!$B:$B,$B113,Doors!$C:$C,$C113)*SUMIFS(Velocity!$I:$I,Velocity!$A:$A,$A113,Velocity!$B:$B,$C113)/Assumptions!$B$4*Assumptions!$B$6</f>
        <v>0</v>
      </c>
      <c r="AD113" s="7" t="n">
        <f aca="false">SUMIFS(Doors!AP:AP,Doors!$A:$A,$D113,Doors!$B:$B,$B113,Doors!$C:$C,$C113)*SUMIFS(Velocity!$I:$I,Velocity!$A:$A,$A113,Velocity!$B:$B,$C113)/Assumptions!$B$4*Assumptions!$B$6</f>
        <v>0</v>
      </c>
      <c r="AE113" s="7" t="n">
        <f aca="false">SUMIFS(Doors!AQ:AQ,Doors!$A:$A,$D113,Doors!$B:$B,$B113,Doors!$C:$C,$C113)*SUMIFS(Velocity!$I:$I,Velocity!$A:$A,$A113,Velocity!$B:$B,$C113)/Assumptions!$B$4*Assumptions!$B$6</f>
        <v>0</v>
      </c>
      <c r="AF113" s="7" t="n">
        <f aca="false">SUMIFS(Doors!AR:AR,Doors!$A:$A,$D113,Doors!$B:$B,$B113,Doors!$C:$C,$C113)*SUMIFS(Velocity!$I:$I,Velocity!$A:$A,$A113,Velocity!$B:$B,$C113)/Assumptions!$B$4*Assumptions!$B$6</f>
        <v>0</v>
      </c>
      <c r="AG113" s="7" t="n">
        <f aca="false">SUMIFS(Doors!AS:AS,Doors!$A:$A,$D113,Doors!$B:$B,$B113,Doors!$C:$C,$C113)*SUMIFS(Velocity!$I:$I,Velocity!$A:$A,$A113,Velocity!$B:$B,$C113)/Assumptions!$B$4*Assumptions!$B$6</f>
        <v>0</v>
      </c>
      <c r="AH113" s="7" t="n">
        <f aca="false">SUMIFS(Doors!AT:AT,Doors!$A:$A,$D113,Doors!$B:$B,$B113,Doors!$C:$C,$C113)*SUMIFS(Velocity!$I:$I,Velocity!$A:$A,$A113,Velocity!$B:$B,$C113)/Assumptions!$B$4*Assumptions!$B$6</f>
        <v>0</v>
      </c>
      <c r="AI113" s="7" t="n">
        <f aca="false">SUMIFS(Doors!AU:AU,Doors!$A:$A,$D113,Doors!$B:$B,$B113,Doors!$C:$C,$C113)*SUMIFS(Velocity!$I:$I,Velocity!$A:$A,$A113,Velocity!$B:$B,$C113)/Assumptions!$B$4*Assumptions!$B$6</f>
        <v>0</v>
      </c>
      <c r="AJ113" s="7" t="n">
        <f aca="false">SUMIFS(Doors!AV:AV,Doors!$A:$A,$D113,Doors!$B:$B,$B113,Doors!$C:$C,$C113)*SUMIFS(Velocity!$I:$I,Velocity!$A:$A,$A113,Velocity!$B:$B,$C113)/Assumptions!$B$4*Assumptions!$B$6</f>
        <v>0</v>
      </c>
      <c r="AK113" s="7" t="n">
        <f aca="false">SUMIFS(Doors!AW:AW,Doors!$A:$A,$D113,Doors!$B:$B,$B113,Doors!$C:$C,$C113)*SUMIFS(Velocity!$I:$I,Velocity!$A:$A,$A113,Velocity!$B:$B,$C113)/Assumptions!$B$4*Assumptions!$B$6</f>
        <v>0</v>
      </c>
      <c r="AL113" s="7" t="n">
        <f aca="false">SUMIFS(Doors!AX:AX,Doors!$A:$A,$D113,Doors!$B:$B,$B113,Doors!$C:$C,$C113)*SUMIFS(Velocity!$I:$I,Velocity!$A:$A,$A113,Velocity!$B:$B,$C113)/Assumptions!$B$4*Assumptions!$B$6</f>
        <v>0</v>
      </c>
      <c r="AM113" s="7" t="n">
        <f aca="false">SUMIFS(Doors!AY:AY,Doors!$A:$A,$D113,Doors!$B:$B,$B113,Doors!$C:$C,$C113)*SUMIFS(Velocity!$I:$I,Velocity!$A:$A,$A113,Velocity!$B:$B,$C113)/Assumptions!$B$4*Assumptions!$B$6</f>
        <v>0</v>
      </c>
      <c r="AN113" s="7" t="n">
        <f aca="false">SUMIFS(Doors!AZ:AZ,Doors!$A:$A,$D113,Doors!$B:$B,$B113,Doors!$C:$C,$C113)*SUMIFS(Velocity!$I:$I,Velocity!$A:$A,$A113,Velocity!$B:$B,$C113)/Assumptions!$B$4*Assumptions!$B$6</f>
        <v>0</v>
      </c>
      <c r="AO113" s="7" t="n">
        <f aca="false">SUMIFS(Doors!BA:BA,Doors!$A:$A,$D113,Doors!$B:$B,$B113,Doors!$C:$C,$C113)*SUMIFS(Velocity!$I:$I,Velocity!$A:$A,$A113,Velocity!$B:$B,$C113)/Assumptions!$B$4*Assumptions!$B$6</f>
        <v>0</v>
      </c>
      <c r="AP113" s="7" t="n">
        <f aca="false">SUMIFS(Doors!BB:BB,Doors!$A:$A,$D113,Doors!$B:$B,$B113,Doors!$C:$C,$C113)*SUMIFS(Velocity!$I:$I,Velocity!$A:$A,$A113,Velocity!$B:$B,$C113)/Assumptions!$B$4*Assumptions!$B$6</f>
        <v>0</v>
      </c>
      <c r="AQ113" s="7" t="n">
        <f aca="false">SUMIFS(Doors!BC:BC,Doors!$A:$A,$D113,Doors!$B:$B,$B113,Doors!$C:$C,$C113)*SUMIFS(Velocity!$I:$I,Velocity!$A:$A,$A113,Velocity!$B:$B,$C113)/Assumptions!$B$4*Assumptions!$B$6</f>
        <v>0</v>
      </c>
      <c r="AR113" s="7" t="n">
        <f aca="false">SUMIFS(Doors!BD:BD,Doors!$A:$A,$D113,Doors!$B:$B,$B113,Doors!$C:$C,$C113)*SUMIFS(Velocity!$I:$I,Velocity!$A:$A,$A113,Velocity!$B:$B,$C113)/Assumptions!$B$4*Assumptions!$B$6</f>
        <v>0</v>
      </c>
      <c r="AS113" s="7" t="n">
        <f aca="false">SUMIFS(Doors!BE:BE,Doors!$A:$A,$D113,Doors!$B:$B,$B113,Doors!$C:$C,$C113)*SUMIFS(Velocity!$I:$I,Velocity!$A:$A,$A113,Velocity!$B:$B,$C113)/Assumptions!$B$4*Assumptions!$B$6</f>
        <v>0</v>
      </c>
      <c r="AT113" s="7" t="n">
        <f aca="false">SUMIFS(Doors!BF:BF,Doors!$A:$A,$D113,Doors!$B:$B,$B113,Doors!$C:$C,$C113)*SUMIFS(Velocity!$I:$I,Velocity!$A:$A,$A113,Velocity!$B:$B,$C113)/Assumptions!$B$4*Assumptions!$B$6</f>
        <v>0</v>
      </c>
      <c r="AU113" s="7" t="n">
        <f aca="false">SUMIFS(Doors!BG:BG,Doors!$A:$A,$D113,Doors!$B:$B,$B113,Doors!$C:$C,$C113)*SUMIFS(Velocity!$I:$I,Velocity!$A:$A,$A113,Velocity!$B:$B,$C113)/Assumptions!$B$4*Assumptions!$B$6</f>
        <v>0</v>
      </c>
      <c r="AV113" s="7" t="n">
        <f aca="false">SUMIFS(Doors!BH:BH,Doors!$A:$A,$D113,Doors!$B:$B,$B113,Doors!$C:$C,$C113)*SUMIFS(Velocity!$I:$I,Velocity!$A:$A,$A113,Velocity!$B:$B,$C113)/Assumptions!$B$4*Assumptions!$B$6</f>
        <v>0</v>
      </c>
      <c r="AW113" s="7" t="n">
        <f aca="false">SUMIFS(Doors!BI:BI,Doors!$A:$A,$D113,Doors!$B:$B,$B113,Doors!$C:$C,$C113)*SUMIFS(Velocity!$I:$I,Velocity!$A:$A,$A113,Velocity!$B:$B,$C113)/Assumptions!$B$4*Assumptions!$B$6</f>
        <v>0</v>
      </c>
      <c r="AX113" s="7" t="n">
        <f aca="false">SUMIFS(Doors!BJ:BJ,Doors!$A:$A,$D113,Doors!$B:$B,$B113,Doors!$C:$C,$C113)*SUMIFS(Velocity!$I:$I,Velocity!$A:$A,$A113,Velocity!$B:$B,$C113)/Assumptions!$B$4*Assumptions!$B$6</f>
        <v>0</v>
      </c>
      <c r="AY113" s="7" t="n">
        <f aca="false">SUMIFS(Doors!BK:BK,Doors!$A:$A,$D113,Doors!$B:$B,$B113,Doors!$C:$C,$C113)*SUMIFS(Velocity!$I:$I,Velocity!$A:$A,$A113,Velocity!$B:$B,$C113)/Assumptions!$B$4*Assumptions!$B$6</f>
        <v>0</v>
      </c>
      <c r="AZ113" s="7" t="n">
        <f aca="false">SUMIFS(Doors!BL:BL,Doors!$A:$A,$D113,Doors!$B:$B,$B113,Doors!$C:$C,$C113)*SUMIFS(Velocity!$I:$I,Velocity!$A:$A,$A113,Velocity!$B:$B,$C113)/Assumptions!$B$4*Assumptions!$B$6</f>
        <v>0</v>
      </c>
      <c r="BA113" s="7" t="n">
        <f aca="false">SUMIFS(Doors!BM:BM,Doors!$A:$A,$D113,Doors!$B:$B,$B113,Doors!$C:$C,$C113)*SUMIFS(Velocity!$I:$I,Velocity!$A:$A,$A113,Velocity!$B:$B,$C113)/Assumptions!$B$4*Assumptions!$B$6</f>
        <v>0</v>
      </c>
      <c r="BB113" s="7" t="n">
        <f aca="false">SUMIFS(Doors!BN:BN,Doors!$A:$A,$D113,Doors!$B:$B,$B113,Doors!$C:$C,$C113)*SUMIFS(Velocity!$I:$I,Velocity!$A:$A,$A113,Velocity!$B:$B,$C113)/Assumptions!$B$4*Assumptions!$B$6</f>
        <v>0</v>
      </c>
      <c r="BC113" s="7" t="n">
        <f aca="false">SUMIFS(Doors!BO:BO,Doors!$A:$A,$D113,Doors!$B:$B,$B113,Doors!$C:$C,$C113)*SUMIFS(Velocity!$I:$I,Velocity!$A:$A,$A113,Velocity!$B:$B,$C113)/Assumptions!$B$4*Assumptions!$B$6</f>
        <v>0</v>
      </c>
      <c r="BD113" s="7" t="n">
        <f aca="false">SUMIFS(Doors!BP:BP,Doors!$A:$A,$D113,Doors!$B:$B,$B113,Doors!$C:$C,$C113)*SUMIFS(Velocity!$I:$I,Velocity!$A:$A,$A113,Velocity!$B:$B,$C113)/Assumptions!$B$4*Assumptions!$B$6</f>
        <v>0</v>
      </c>
    </row>
    <row r="114" customFormat="false" ht="15" hidden="false" customHeight="false" outlineLevel="0" collapsed="false">
      <c r="A114" s="0" t="s">
        <v>109</v>
      </c>
      <c r="B114" s="0" t="s">
        <v>128</v>
      </c>
      <c r="C114" s="0" t="s">
        <v>115</v>
      </c>
      <c r="D114" s="0" t="s">
        <v>235</v>
      </c>
      <c r="E114" s="7" t="n">
        <f aca="false">SUMIFS(Doors!Q:Q,Doors!$A:$A,$D114,Doors!$B:$B,$B114,Doors!$C:$C,$C114)*SUMIFS(Velocity!$I:$I,Velocity!$A:$A,$A114,Velocity!$B:$B,$C114)/Assumptions!$B$4*Assumptions!$B$6</f>
        <v>0</v>
      </c>
      <c r="F114" s="7" t="n">
        <f aca="false">SUMIFS(Doors!R:R,Doors!$A:$A,$D114,Doors!$B:$B,$B114,Doors!$C:$C,$C114)*SUMIFS(Velocity!$I:$I,Velocity!$A:$A,$A114,Velocity!$B:$B,$C114)/Assumptions!$B$4*Assumptions!$B$6</f>
        <v>0</v>
      </c>
      <c r="G114" s="7" t="n">
        <f aca="false">SUMIFS(Doors!S:S,Doors!$A:$A,$D114,Doors!$B:$B,$B114,Doors!$C:$C,$C114)*SUMIFS(Velocity!$I:$I,Velocity!$A:$A,$A114,Velocity!$B:$B,$C114)/Assumptions!$B$4*Assumptions!$B$6</f>
        <v>0</v>
      </c>
      <c r="H114" s="7" t="n">
        <f aca="false">SUMIFS(Doors!T:T,Doors!$A:$A,$D114,Doors!$B:$B,$B114,Doors!$C:$C,$C114)*SUMIFS(Velocity!$I:$I,Velocity!$A:$A,$A114,Velocity!$B:$B,$C114)/Assumptions!$B$4*Assumptions!$B$6</f>
        <v>0</v>
      </c>
      <c r="I114" s="7" t="n">
        <f aca="false">SUMIFS(Doors!U:U,Doors!$A:$A,$D114,Doors!$B:$B,$B114,Doors!$C:$C,$C114)*SUMIFS(Velocity!$I:$I,Velocity!$A:$A,$A114,Velocity!$B:$B,$C114)/Assumptions!$B$4*Assumptions!$B$6</f>
        <v>0</v>
      </c>
      <c r="J114" s="7" t="n">
        <f aca="false">SUMIFS(Doors!V:V,Doors!$A:$A,$D114,Doors!$B:$B,$B114,Doors!$C:$C,$C114)*SUMIFS(Velocity!$I:$I,Velocity!$A:$A,$A114,Velocity!$B:$B,$C114)/Assumptions!$B$4*Assumptions!$B$6</f>
        <v>0</v>
      </c>
      <c r="K114" s="7" t="n">
        <f aca="false">SUMIFS(Doors!W:W,Doors!$A:$A,$D114,Doors!$B:$B,$B114,Doors!$C:$C,$C114)*SUMIFS(Velocity!$I:$I,Velocity!$A:$A,$A114,Velocity!$B:$B,$C114)/Assumptions!$B$4*Assumptions!$B$6</f>
        <v>0</v>
      </c>
      <c r="L114" s="7" t="n">
        <f aca="false">SUMIFS(Doors!X:X,Doors!$A:$A,$D114,Doors!$B:$B,$B114,Doors!$C:$C,$C114)*SUMIFS(Velocity!$I:$I,Velocity!$A:$A,$A114,Velocity!$B:$B,$C114)/Assumptions!$B$4*Assumptions!$B$6</f>
        <v>0</v>
      </c>
      <c r="M114" s="7" t="n">
        <f aca="false">SUMIFS(Doors!Y:Y,Doors!$A:$A,$D114,Doors!$B:$B,$B114,Doors!$C:$C,$C114)*SUMIFS(Velocity!$I:$I,Velocity!$A:$A,$A114,Velocity!$B:$B,$C114)/Assumptions!$B$4*Assumptions!$B$6</f>
        <v>0</v>
      </c>
      <c r="N114" s="7" t="n">
        <f aca="false">SUMIFS(Doors!Z:Z,Doors!$A:$A,$D114,Doors!$B:$B,$B114,Doors!$C:$C,$C114)*SUMIFS(Velocity!$I:$I,Velocity!$A:$A,$A114,Velocity!$B:$B,$C114)/Assumptions!$B$4*Assumptions!$B$6</f>
        <v>0.558333333333333</v>
      </c>
      <c r="O114" s="7" t="n">
        <f aca="false">SUMIFS(Doors!AA:AA,Doors!$A:$A,$D114,Doors!$B:$B,$B114,Doors!$C:$C,$C114)*SUMIFS(Velocity!$I:$I,Velocity!$A:$A,$A114,Velocity!$B:$B,$C114)/Assumptions!$B$4*Assumptions!$B$6</f>
        <v>0.558333333333333</v>
      </c>
      <c r="P114" s="7" t="n">
        <f aca="false">SUMIFS(Doors!AB:AB,Doors!$A:$A,$D114,Doors!$B:$B,$B114,Doors!$C:$C,$C114)*SUMIFS(Velocity!$I:$I,Velocity!$A:$A,$A114,Velocity!$B:$B,$C114)/Assumptions!$B$4*Assumptions!$B$6</f>
        <v>0.558333333333333</v>
      </c>
      <c r="Q114" s="7" t="n">
        <f aca="false">SUMIFS(Doors!AC:AC,Doors!$A:$A,$D114,Doors!$B:$B,$B114,Doors!$C:$C,$C114)*SUMIFS(Velocity!$I:$I,Velocity!$A:$A,$A114,Velocity!$B:$B,$C114)/Assumptions!$B$4*Assumptions!$B$6</f>
        <v>0.558333333333333</v>
      </c>
      <c r="R114" s="7" t="n">
        <f aca="false">SUMIFS(Doors!AD:AD,Doors!$A:$A,$D114,Doors!$B:$B,$B114,Doors!$C:$C,$C114)*SUMIFS(Velocity!$I:$I,Velocity!$A:$A,$A114,Velocity!$B:$B,$C114)/Assumptions!$B$4*Assumptions!$B$6</f>
        <v>1.39583333333333</v>
      </c>
      <c r="S114" s="7" t="n">
        <f aca="false">SUMIFS(Doors!AE:AE,Doors!$A:$A,$D114,Doors!$B:$B,$B114,Doors!$C:$C,$C114)*SUMIFS(Velocity!$I:$I,Velocity!$A:$A,$A114,Velocity!$B:$B,$C114)/Assumptions!$B$4*Assumptions!$B$6</f>
        <v>1.39583333333333</v>
      </c>
      <c r="T114" s="7" t="n">
        <f aca="false">SUMIFS(Doors!AF:AF,Doors!$A:$A,$D114,Doors!$B:$B,$B114,Doors!$C:$C,$C114)*SUMIFS(Velocity!$I:$I,Velocity!$A:$A,$A114,Velocity!$B:$B,$C114)/Assumptions!$B$4*Assumptions!$B$6</f>
        <v>1.39583333333333</v>
      </c>
      <c r="U114" s="7" t="n">
        <f aca="false">SUMIFS(Doors!AG:AG,Doors!$A:$A,$D114,Doors!$B:$B,$B114,Doors!$C:$C,$C114)*SUMIFS(Velocity!$I:$I,Velocity!$A:$A,$A114,Velocity!$B:$B,$C114)/Assumptions!$B$4*Assumptions!$B$6</f>
        <v>1.39583333333333</v>
      </c>
      <c r="V114" s="7" t="n">
        <f aca="false">SUMIFS(Doors!AH:AH,Doors!$A:$A,$D114,Doors!$B:$B,$B114,Doors!$C:$C,$C114)*SUMIFS(Velocity!$I:$I,Velocity!$A:$A,$A114,Velocity!$B:$B,$C114)/Assumptions!$B$4*Assumptions!$B$6</f>
        <v>1.39583333333333</v>
      </c>
      <c r="W114" s="7" t="n">
        <f aca="false">SUMIFS(Doors!AI:AI,Doors!$A:$A,$D114,Doors!$B:$B,$B114,Doors!$C:$C,$C114)*SUMIFS(Velocity!$I:$I,Velocity!$A:$A,$A114,Velocity!$B:$B,$C114)/Assumptions!$B$4*Assumptions!$B$6</f>
        <v>2.23333333333333</v>
      </c>
      <c r="X114" s="7" t="n">
        <f aca="false">SUMIFS(Doors!AJ:AJ,Doors!$A:$A,$D114,Doors!$B:$B,$B114,Doors!$C:$C,$C114)*SUMIFS(Velocity!$I:$I,Velocity!$A:$A,$A114,Velocity!$B:$B,$C114)/Assumptions!$B$4*Assumptions!$B$6</f>
        <v>2.23333333333333</v>
      </c>
      <c r="Y114" s="7" t="n">
        <f aca="false">SUMIFS(Doors!AK:AK,Doors!$A:$A,$D114,Doors!$B:$B,$B114,Doors!$C:$C,$C114)*SUMIFS(Velocity!$I:$I,Velocity!$A:$A,$A114,Velocity!$B:$B,$C114)/Assumptions!$B$4*Assumptions!$B$6</f>
        <v>2.23333333333333</v>
      </c>
      <c r="Z114" s="7" t="n">
        <f aca="false">SUMIFS(Doors!AL:AL,Doors!$A:$A,$D114,Doors!$B:$B,$B114,Doors!$C:$C,$C114)*SUMIFS(Velocity!$I:$I,Velocity!$A:$A,$A114,Velocity!$B:$B,$C114)/Assumptions!$B$4*Assumptions!$B$6</f>
        <v>2.23333333333333</v>
      </c>
      <c r="AA114" s="7" t="n">
        <f aca="false">SUMIFS(Doors!AM:AM,Doors!$A:$A,$D114,Doors!$B:$B,$B114,Doors!$C:$C,$C114)*SUMIFS(Velocity!$I:$I,Velocity!$A:$A,$A114,Velocity!$B:$B,$C114)/Assumptions!$B$4*Assumptions!$B$6</f>
        <v>3.35</v>
      </c>
      <c r="AB114" s="7" t="n">
        <f aca="false">SUMIFS(Doors!AN:AN,Doors!$A:$A,$D114,Doors!$B:$B,$B114,Doors!$C:$C,$C114)*SUMIFS(Velocity!$I:$I,Velocity!$A:$A,$A114,Velocity!$B:$B,$C114)/Assumptions!$B$4*Assumptions!$B$6</f>
        <v>3.35</v>
      </c>
      <c r="AC114" s="7" t="n">
        <f aca="false">SUMIFS(Doors!AO:AO,Doors!$A:$A,$D114,Doors!$B:$B,$B114,Doors!$C:$C,$C114)*SUMIFS(Velocity!$I:$I,Velocity!$A:$A,$A114,Velocity!$B:$B,$C114)/Assumptions!$B$4*Assumptions!$B$6</f>
        <v>3.35</v>
      </c>
      <c r="AD114" s="7" t="n">
        <f aca="false">SUMIFS(Doors!AP:AP,Doors!$A:$A,$D114,Doors!$B:$B,$B114,Doors!$C:$C,$C114)*SUMIFS(Velocity!$I:$I,Velocity!$A:$A,$A114,Velocity!$B:$B,$C114)/Assumptions!$B$4*Assumptions!$B$6</f>
        <v>3.35</v>
      </c>
      <c r="AE114" s="7" t="n">
        <f aca="false">SUMIFS(Doors!AQ:AQ,Doors!$A:$A,$D114,Doors!$B:$B,$B114,Doors!$C:$C,$C114)*SUMIFS(Velocity!$I:$I,Velocity!$A:$A,$A114,Velocity!$B:$B,$C114)/Assumptions!$B$4*Assumptions!$B$6</f>
        <v>4.1875</v>
      </c>
      <c r="AF114" s="7" t="n">
        <f aca="false">SUMIFS(Doors!AR:AR,Doors!$A:$A,$D114,Doors!$B:$B,$B114,Doors!$C:$C,$C114)*SUMIFS(Velocity!$I:$I,Velocity!$A:$A,$A114,Velocity!$B:$B,$C114)/Assumptions!$B$4*Assumptions!$B$6</f>
        <v>4.1875</v>
      </c>
      <c r="AG114" s="7" t="n">
        <f aca="false">SUMIFS(Doors!AS:AS,Doors!$A:$A,$D114,Doors!$B:$B,$B114,Doors!$C:$C,$C114)*SUMIFS(Velocity!$I:$I,Velocity!$A:$A,$A114,Velocity!$B:$B,$C114)/Assumptions!$B$4*Assumptions!$B$6</f>
        <v>4.1875</v>
      </c>
      <c r="AH114" s="7" t="n">
        <f aca="false">SUMIFS(Doors!AT:AT,Doors!$A:$A,$D114,Doors!$B:$B,$B114,Doors!$C:$C,$C114)*SUMIFS(Velocity!$I:$I,Velocity!$A:$A,$A114,Velocity!$B:$B,$C114)/Assumptions!$B$4*Assumptions!$B$6</f>
        <v>4.1875</v>
      </c>
      <c r="AI114" s="7" t="n">
        <f aca="false">SUMIFS(Doors!AU:AU,Doors!$A:$A,$D114,Doors!$B:$B,$B114,Doors!$C:$C,$C114)*SUMIFS(Velocity!$I:$I,Velocity!$A:$A,$A114,Velocity!$B:$B,$C114)/Assumptions!$B$4*Assumptions!$B$6</f>
        <v>4.1875</v>
      </c>
      <c r="AJ114" s="7" t="n">
        <f aca="false">SUMIFS(Doors!AV:AV,Doors!$A:$A,$D114,Doors!$B:$B,$B114,Doors!$C:$C,$C114)*SUMIFS(Velocity!$I:$I,Velocity!$A:$A,$A114,Velocity!$B:$B,$C114)/Assumptions!$B$4*Assumptions!$B$6</f>
        <v>5.025</v>
      </c>
      <c r="AK114" s="7" t="n">
        <f aca="false">SUMIFS(Doors!AW:AW,Doors!$A:$A,$D114,Doors!$B:$B,$B114,Doors!$C:$C,$C114)*SUMIFS(Velocity!$I:$I,Velocity!$A:$A,$A114,Velocity!$B:$B,$C114)/Assumptions!$B$4*Assumptions!$B$6</f>
        <v>5.025</v>
      </c>
      <c r="AL114" s="7" t="n">
        <f aca="false">SUMIFS(Doors!AX:AX,Doors!$A:$A,$D114,Doors!$B:$B,$B114,Doors!$C:$C,$C114)*SUMIFS(Velocity!$I:$I,Velocity!$A:$A,$A114,Velocity!$B:$B,$C114)/Assumptions!$B$4*Assumptions!$B$6</f>
        <v>5.025</v>
      </c>
      <c r="AM114" s="7" t="n">
        <f aca="false">SUMIFS(Doors!AY:AY,Doors!$A:$A,$D114,Doors!$B:$B,$B114,Doors!$C:$C,$C114)*SUMIFS(Velocity!$I:$I,Velocity!$A:$A,$A114,Velocity!$B:$B,$C114)/Assumptions!$B$4*Assumptions!$B$6</f>
        <v>5.025</v>
      </c>
      <c r="AN114" s="7" t="n">
        <f aca="false">SUMIFS(Doors!AZ:AZ,Doors!$A:$A,$D114,Doors!$B:$B,$B114,Doors!$C:$C,$C114)*SUMIFS(Velocity!$I:$I,Velocity!$A:$A,$A114,Velocity!$B:$B,$C114)/Assumptions!$B$4*Assumptions!$B$6</f>
        <v>5.58333333333333</v>
      </c>
      <c r="AO114" s="7" t="n">
        <f aca="false">SUMIFS(Doors!BA:BA,Doors!$A:$A,$D114,Doors!$B:$B,$B114,Doors!$C:$C,$C114)*SUMIFS(Velocity!$I:$I,Velocity!$A:$A,$A114,Velocity!$B:$B,$C114)/Assumptions!$B$4*Assumptions!$B$6</f>
        <v>5.58333333333333</v>
      </c>
      <c r="AP114" s="7" t="n">
        <f aca="false">SUMIFS(Doors!BB:BB,Doors!$A:$A,$D114,Doors!$B:$B,$B114,Doors!$C:$C,$C114)*SUMIFS(Velocity!$I:$I,Velocity!$A:$A,$A114,Velocity!$B:$B,$C114)/Assumptions!$B$4*Assumptions!$B$6</f>
        <v>5.58333333333333</v>
      </c>
      <c r="AQ114" s="7" t="n">
        <f aca="false">SUMIFS(Doors!BC:BC,Doors!$A:$A,$D114,Doors!$B:$B,$B114,Doors!$C:$C,$C114)*SUMIFS(Velocity!$I:$I,Velocity!$A:$A,$A114,Velocity!$B:$B,$C114)/Assumptions!$B$4*Assumptions!$B$6</f>
        <v>5.58333333333333</v>
      </c>
      <c r="AR114" s="7" t="n">
        <f aca="false">SUMIFS(Doors!BD:BD,Doors!$A:$A,$D114,Doors!$B:$B,$B114,Doors!$C:$C,$C114)*SUMIFS(Velocity!$I:$I,Velocity!$A:$A,$A114,Velocity!$B:$B,$C114)/Assumptions!$B$4*Assumptions!$B$6</f>
        <v>6.14166666666667</v>
      </c>
      <c r="AS114" s="7" t="n">
        <f aca="false">SUMIFS(Doors!BE:BE,Doors!$A:$A,$D114,Doors!$B:$B,$B114,Doors!$C:$C,$C114)*SUMIFS(Velocity!$I:$I,Velocity!$A:$A,$A114,Velocity!$B:$B,$C114)/Assumptions!$B$4*Assumptions!$B$6</f>
        <v>6.14166666666667</v>
      </c>
      <c r="AT114" s="7" t="n">
        <f aca="false">SUMIFS(Doors!BF:BF,Doors!$A:$A,$D114,Doors!$B:$B,$B114,Doors!$C:$C,$C114)*SUMIFS(Velocity!$I:$I,Velocity!$A:$A,$A114,Velocity!$B:$B,$C114)/Assumptions!$B$4*Assumptions!$B$6</f>
        <v>6.14166666666667</v>
      </c>
      <c r="AU114" s="7" t="n">
        <f aca="false">SUMIFS(Doors!BG:BG,Doors!$A:$A,$D114,Doors!$B:$B,$B114,Doors!$C:$C,$C114)*SUMIFS(Velocity!$I:$I,Velocity!$A:$A,$A114,Velocity!$B:$B,$C114)/Assumptions!$B$4*Assumptions!$B$6</f>
        <v>6.14166666666667</v>
      </c>
      <c r="AV114" s="7" t="n">
        <f aca="false">SUMIFS(Doors!BH:BH,Doors!$A:$A,$D114,Doors!$B:$B,$B114,Doors!$C:$C,$C114)*SUMIFS(Velocity!$I:$I,Velocity!$A:$A,$A114,Velocity!$B:$B,$C114)/Assumptions!$B$4*Assumptions!$B$6</f>
        <v>6.14166666666667</v>
      </c>
      <c r="AW114" s="7" t="n">
        <f aca="false">SUMIFS(Doors!BI:BI,Doors!$A:$A,$D114,Doors!$B:$B,$B114,Doors!$C:$C,$C114)*SUMIFS(Velocity!$I:$I,Velocity!$A:$A,$A114,Velocity!$B:$B,$C114)/Assumptions!$B$4*Assumptions!$B$6</f>
        <v>6.7</v>
      </c>
      <c r="AX114" s="7" t="n">
        <f aca="false">SUMIFS(Doors!BJ:BJ,Doors!$A:$A,$D114,Doors!$B:$B,$B114,Doors!$C:$C,$C114)*SUMIFS(Velocity!$I:$I,Velocity!$A:$A,$A114,Velocity!$B:$B,$C114)/Assumptions!$B$4*Assumptions!$B$6</f>
        <v>6.7</v>
      </c>
      <c r="AY114" s="7" t="n">
        <f aca="false">SUMIFS(Doors!BK:BK,Doors!$A:$A,$D114,Doors!$B:$B,$B114,Doors!$C:$C,$C114)*SUMIFS(Velocity!$I:$I,Velocity!$A:$A,$A114,Velocity!$B:$B,$C114)/Assumptions!$B$4*Assumptions!$B$6</f>
        <v>6.7</v>
      </c>
      <c r="AZ114" s="7" t="n">
        <f aca="false">SUMIFS(Doors!BL:BL,Doors!$A:$A,$D114,Doors!$B:$B,$B114,Doors!$C:$C,$C114)*SUMIFS(Velocity!$I:$I,Velocity!$A:$A,$A114,Velocity!$B:$B,$C114)/Assumptions!$B$4*Assumptions!$B$6</f>
        <v>6.7</v>
      </c>
      <c r="BA114" s="7" t="n">
        <f aca="false">SUMIFS(Doors!BM:BM,Doors!$A:$A,$D114,Doors!$B:$B,$B114,Doors!$C:$C,$C114)*SUMIFS(Velocity!$I:$I,Velocity!$A:$A,$A114,Velocity!$B:$B,$C114)/Assumptions!$B$4*Assumptions!$B$6</f>
        <v>6.97916666666667</v>
      </c>
      <c r="BB114" s="7" t="n">
        <f aca="false">SUMIFS(Doors!BN:BN,Doors!$A:$A,$D114,Doors!$B:$B,$B114,Doors!$C:$C,$C114)*SUMIFS(Velocity!$I:$I,Velocity!$A:$A,$A114,Velocity!$B:$B,$C114)/Assumptions!$B$4*Assumptions!$B$6</f>
        <v>6.97916666666667</v>
      </c>
      <c r="BC114" s="7" t="n">
        <f aca="false">SUMIFS(Doors!BO:BO,Doors!$A:$A,$D114,Doors!$B:$B,$B114,Doors!$C:$C,$C114)*SUMIFS(Velocity!$I:$I,Velocity!$A:$A,$A114,Velocity!$B:$B,$C114)/Assumptions!$B$4*Assumptions!$B$6</f>
        <v>6.97916666666667</v>
      </c>
      <c r="BD114" s="7" t="n">
        <f aca="false">SUMIFS(Doors!BP:BP,Doors!$A:$A,$D114,Doors!$B:$B,$B114,Doors!$C:$C,$C114)*SUMIFS(Velocity!$I:$I,Velocity!$A:$A,$A114,Velocity!$B:$B,$C114)/Assumptions!$B$4*Assumptions!$B$6</f>
        <v>6.97916666666667</v>
      </c>
    </row>
    <row r="115" customFormat="false" ht="15" hidden="false" customHeight="false" outlineLevel="0" collapsed="false">
      <c r="A115" s="0" t="s">
        <v>109</v>
      </c>
      <c r="B115" s="0" t="s">
        <v>128</v>
      </c>
      <c r="C115" s="0" t="s">
        <v>116</v>
      </c>
      <c r="D115" s="0" t="s">
        <v>235</v>
      </c>
      <c r="E115" s="7" t="n">
        <f aca="false">SUMIFS(Doors!Q:Q,Doors!$A:$A,$D115,Doors!$B:$B,$B115,Doors!$C:$C,$C115)*SUMIFS(Velocity!$I:$I,Velocity!$A:$A,$A115,Velocity!$B:$B,$C115)/Assumptions!$B$4*Assumptions!$B$6</f>
        <v>0</v>
      </c>
      <c r="F115" s="7" t="n">
        <f aca="false">SUMIFS(Doors!R:R,Doors!$A:$A,$D115,Doors!$B:$B,$B115,Doors!$C:$C,$C115)*SUMIFS(Velocity!$I:$I,Velocity!$A:$A,$A115,Velocity!$B:$B,$C115)/Assumptions!$B$4*Assumptions!$B$6</f>
        <v>0</v>
      </c>
      <c r="G115" s="7" t="n">
        <f aca="false">SUMIFS(Doors!S:S,Doors!$A:$A,$D115,Doors!$B:$B,$B115,Doors!$C:$C,$C115)*SUMIFS(Velocity!$I:$I,Velocity!$A:$A,$A115,Velocity!$B:$B,$C115)/Assumptions!$B$4*Assumptions!$B$6</f>
        <v>0</v>
      </c>
      <c r="H115" s="7" t="n">
        <f aca="false">SUMIFS(Doors!T:T,Doors!$A:$A,$D115,Doors!$B:$B,$B115,Doors!$C:$C,$C115)*SUMIFS(Velocity!$I:$I,Velocity!$A:$A,$A115,Velocity!$B:$B,$C115)/Assumptions!$B$4*Assumptions!$B$6</f>
        <v>0</v>
      </c>
      <c r="I115" s="7" t="n">
        <f aca="false">SUMIFS(Doors!U:U,Doors!$A:$A,$D115,Doors!$B:$B,$B115,Doors!$C:$C,$C115)*SUMIFS(Velocity!$I:$I,Velocity!$A:$A,$A115,Velocity!$B:$B,$C115)/Assumptions!$B$4*Assumptions!$B$6</f>
        <v>0</v>
      </c>
      <c r="J115" s="7" t="n">
        <f aca="false">SUMIFS(Doors!V:V,Doors!$A:$A,$D115,Doors!$B:$B,$B115,Doors!$C:$C,$C115)*SUMIFS(Velocity!$I:$I,Velocity!$A:$A,$A115,Velocity!$B:$B,$C115)/Assumptions!$B$4*Assumptions!$B$6</f>
        <v>0</v>
      </c>
      <c r="K115" s="7" t="n">
        <f aca="false">SUMIFS(Doors!W:W,Doors!$A:$A,$D115,Doors!$B:$B,$B115,Doors!$C:$C,$C115)*SUMIFS(Velocity!$I:$I,Velocity!$A:$A,$A115,Velocity!$B:$B,$C115)/Assumptions!$B$4*Assumptions!$B$6</f>
        <v>0</v>
      </c>
      <c r="L115" s="7" t="n">
        <f aca="false">SUMIFS(Doors!X:X,Doors!$A:$A,$D115,Doors!$B:$B,$B115,Doors!$C:$C,$C115)*SUMIFS(Velocity!$I:$I,Velocity!$A:$A,$A115,Velocity!$B:$B,$C115)/Assumptions!$B$4*Assumptions!$B$6</f>
        <v>0</v>
      </c>
      <c r="M115" s="7" t="n">
        <f aca="false">SUMIFS(Doors!Y:Y,Doors!$A:$A,$D115,Doors!$B:$B,$B115,Doors!$C:$C,$C115)*SUMIFS(Velocity!$I:$I,Velocity!$A:$A,$A115,Velocity!$B:$B,$C115)/Assumptions!$B$4*Assumptions!$B$6</f>
        <v>0</v>
      </c>
      <c r="N115" s="7" t="n">
        <f aca="false">SUMIFS(Doors!Z:Z,Doors!$A:$A,$D115,Doors!$B:$B,$B115,Doors!$C:$C,$C115)*SUMIFS(Velocity!$I:$I,Velocity!$A:$A,$A115,Velocity!$B:$B,$C115)/Assumptions!$B$4*Assumptions!$B$6</f>
        <v>0.270833333333333</v>
      </c>
      <c r="O115" s="7" t="n">
        <f aca="false">SUMIFS(Doors!AA:AA,Doors!$A:$A,$D115,Doors!$B:$B,$B115,Doors!$C:$C,$C115)*SUMIFS(Velocity!$I:$I,Velocity!$A:$A,$A115,Velocity!$B:$B,$C115)/Assumptions!$B$4*Assumptions!$B$6</f>
        <v>0.270833333333333</v>
      </c>
      <c r="P115" s="7" t="n">
        <f aca="false">SUMIFS(Doors!AB:AB,Doors!$A:$A,$D115,Doors!$B:$B,$B115,Doors!$C:$C,$C115)*SUMIFS(Velocity!$I:$I,Velocity!$A:$A,$A115,Velocity!$B:$B,$C115)/Assumptions!$B$4*Assumptions!$B$6</f>
        <v>0.270833333333333</v>
      </c>
      <c r="Q115" s="7" t="n">
        <f aca="false">SUMIFS(Doors!AC:AC,Doors!$A:$A,$D115,Doors!$B:$B,$B115,Doors!$C:$C,$C115)*SUMIFS(Velocity!$I:$I,Velocity!$A:$A,$A115,Velocity!$B:$B,$C115)/Assumptions!$B$4*Assumptions!$B$6</f>
        <v>0.270833333333333</v>
      </c>
      <c r="R115" s="7" t="n">
        <f aca="false">SUMIFS(Doors!AD:AD,Doors!$A:$A,$D115,Doors!$B:$B,$B115,Doors!$C:$C,$C115)*SUMIFS(Velocity!$I:$I,Velocity!$A:$A,$A115,Velocity!$B:$B,$C115)/Assumptions!$B$4*Assumptions!$B$6</f>
        <v>0.541666666666667</v>
      </c>
      <c r="S115" s="7" t="n">
        <f aca="false">SUMIFS(Doors!AE:AE,Doors!$A:$A,$D115,Doors!$B:$B,$B115,Doors!$C:$C,$C115)*SUMIFS(Velocity!$I:$I,Velocity!$A:$A,$A115,Velocity!$B:$B,$C115)/Assumptions!$B$4*Assumptions!$B$6</f>
        <v>0.541666666666667</v>
      </c>
      <c r="T115" s="7" t="n">
        <f aca="false">SUMIFS(Doors!AF:AF,Doors!$A:$A,$D115,Doors!$B:$B,$B115,Doors!$C:$C,$C115)*SUMIFS(Velocity!$I:$I,Velocity!$A:$A,$A115,Velocity!$B:$B,$C115)/Assumptions!$B$4*Assumptions!$B$6</f>
        <v>0.541666666666667</v>
      </c>
      <c r="U115" s="7" t="n">
        <f aca="false">SUMIFS(Doors!AG:AG,Doors!$A:$A,$D115,Doors!$B:$B,$B115,Doors!$C:$C,$C115)*SUMIFS(Velocity!$I:$I,Velocity!$A:$A,$A115,Velocity!$B:$B,$C115)/Assumptions!$B$4*Assumptions!$B$6</f>
        <v>0.541666666666667</v>
      </c>
      <c r="V115" s="7" t="n">
        <f aca="false">SUMIFS(Doors!AH:AH,Doors!$A:$A,$D115,Doors!$B:$B,$B115,Doors!$C:$C,$C115)*SUMIFS(Velocity!$I:$I,Velocity!$A:$A,$A115,Velocity!$B:$B,$C115)/Assumptions!$B$4*Assumptions!$B$6</f>
        <v>0.541666666666667</v>
      </c>
      <c r="W115" s="7" t="n">
        <f aca="false">SUMIFS(Doors!AI:AI,Doors!$A:$A,$D115,Doors!$B:$B,$B115,Doors!$C:$C,$C115)*SUMIFS(Velocity!$I:$I,Velocity!$A:$A,$A115,Velocity!$B:$B,$C115)/Assumptions!$B$4*Assumptions!$B$6</f>
        <v>1.08333333333333</v>
      </c>
      <c r="X115" s="7" t="n">
        <f aca="false">SUMIFS(Doors!AJ:AJ,Doors!$A:$A,$D115,Doors!$B:$B,$B115,Doors!$C:$C,$C115)*SUMIFS(Velocity!$I:$I,Velocity!$A:$A,$A115,Velocity!$B:$B,$C115)/Assumptions!$B$4*Assumptions!$B$6</f>
        <v>1.08333333333333</v>
      </c>
      <c r="Y115" s="7" t="n">
        <f aca="false">SUMIFS(Doors!AK:AK,Doors!$A:$A,$D115,Doors!$B:$B,$B115,Doors!$C:$C,$C115)*SUMIFS(Velocity!$I:$I,Velocity!$A:$A,$A115,Velocity!$B:$B,$C115)/Assumptions!$B$4*Assumptions!$B$6</f>
        <v>1.08333333333333</v>
      </c>
      <c r="Z115" s="7" t="n">
        <f aca="false">SUMIFS(Doors!AL:AL,Doors!$A:$A,$D115,Doors!$B:$B,$B115,Doors!$C:$C,$C115)*SUMIFS(Velocity!$I:$I,Velocity!$A:$A,$A115,Velocity!$B:$B,$C115)/Assumptions!$B$4*Assumptions!$B$6</f>
        <v>1.08333333333333</v>
      </c>
      <c r="AA115" s="7" t="n">
        <f aca="false">SUMIFS(Doors!AM:AM,Doors!$A:$A,$D115,Doors!$B:$B,$B115,Doors!$C:$C,$C115)*SUMIFS(Velocity!$I:$I,Velocity!$A:$A,$A115,Velocity!$B:$B,$C115)/Assumptions!$B$4*Assumptions!$B$6</f>
        <v>1.625</v>
      </c>
      <c r="AB115" s="7" t="n">
        <f aca="false">SUMIFS(Doors!AN:AN,Doors!$A:$A,$D115,Doors!$B:$B,$B115,Doors!$C:$C,$C115)*SUMIFS(Velocity!$I:$I,Velocity!$A:$A,$A115,Velocity!$B:$B,$C115)/Assumptions!$B$4*Assumptions!$B$6</f>
        <v>1.625</v>
      </c>
      <c r="AC115" s="7" t="n">
        <f aca="false">SUMIFS(Doors!AO:AO,Doors!$A:$A,$D115,Doors!$B:$B,$B115,Doors!$C:$C,$C115)*SUMIFS(Velocity!$I:$I,Velocity!$A:$A,$A115,Velocity!$B:$B,$C115)/Assumptions!$B$4*Assumptions!$B$6</f>
        <v>1.625</v>
      </c>
      <c r="AD115" s="7" t="n">
        <f aca="false">SUMIFS(Doors!AP:AP,Doors!$A:$A,$D115,Doors!$B:$B,$B115,Doors!$C:$C,$C115)*SUMIFS(Velocity!$I:$I,Velocity!$A:$A,$A115,Velocity!$B:$B,$C115)/Assumptions!$B$4*Assumptions!$B$6</f>
        <v>1.625</v>
      </c>
      <c r="AE115" s="7" t="n">
        <f aca="false">SUMIFS(Doors!AQ:AQ,Doors!$A:$A,$D115,Doors!$B:$B,$B115,Doors!$C:$C,$C115)*SUMIFS(Velocity!$I:$I,Velocity!$A:$A,$A115,Velocity!$B:$B,$C115)/Assumptions!$B$4*Assumptions!$B$6</f>
        <v>2.16666666666667</v>
      </c>
      <c r="AF115" s="7" t="n">
        <f aca="false">SUMIFS(Doors!AR:AR,Doors!$A:$A,$D115,Doors!$B:$B,$B115,Doors!$C:$C,$C115)*SUMIFS(Velocity!$I:$I,Velocity!$A:$A,$A115,Velocity!$B:$B,$C115)/Assumptions!$B$4*Assumptions!$B$6</f>
        <v>2.16666666666667</v>
      </c>
      <c r="AG115" s="7" t="n">
        <f aca="false">SUMIFS(Doors!AS:AS,Doors!$A:$A,$D115,Doors!$B:$B,$B115,Doors!$C:$C,$C115)*SUMIFS(Velocity!$I:$I,Velocity!$A:$A,$A115,Velocity!$B:$B,$C115)/Assumptions!$B$4*Assumptions!$B$6</f>
        <v>2.16666666666667</v>
      </c>
      <c r="AH115" s="7" t="n">
        <f aca="false">SUMIFS(Doors!AT:AT,Doors!$A:$A,$D115,Doors!$B:$B,$B115,Doors!$C:$C,$C115)*SUMIFS(Velocity!$I:$I,Velocity!$A:$A,$A115,Velocity!$B:$B,$C115)/Assumptions!$B$4*Assumptions!$B$6</f>
        <v>2.16666666666667</v>
      </c>
      <c r="AI115" s="7" t="n">
        <f aca="false">SUMIFS(Doors!AU:AU,Doors!$A:$A,$D115,Doors!$B:$B,$B115,Doors!$C:$C,$C115)*SUMIFS(Velocity!$I:$I,Velocity!$A:$A,$A115,Velocity!$B:$B,$C115)/Assumptions!$B$4*Assumptions!$B$6</f>
        <v>2.16666666666667</v>
      </c>
      <c r="AJ115" s="7" t="n">
        <f aca="false">SUMIFS(Doors!AV:AV,Doors!$A:$A,$D115,Doors!$B:$B,$B115,Doors!$C:$C,$C115)*SUMIFS(Velocity!$I:$I,Velocity!$A:$A,$A115,Velocity!$B:$B,$C115)/Assumptions!$B$4*Assumptions!$B$6</f>
        <v>2.70833333333333</v>
      </c>
      <c r="AK115" s="7" t="n">
        <f aca="false">SUMIFS(Doors!AW:AW,Doors!$A:$A,$D115,Doors!$B:$B,$B115,Doors!$C:$C,$C115)*SUMIFS(Velocity!$I:$I,Velocity!$A:$A,$A115,Velocity!$B:$B,$C115)/Assumptions!$B$4*Assumptions!$B$6</f>
        <v>2.70833333333333</v>
      </c>
      <c r="AL115" s="7" t="n">
        <f aca="false">SUMIFS(Doors!AX:AX,Doors!$A:$A,$D115,Doors!$B:$B,$B115,Doors!$C:$C,$C115)*SUMIFS(Velocity!$I:$I,Velocity!$A:$A,$A115,Velocity!$B:$B,$C115)/Assumptions!$B$4*Assumptions!$B$6</f>
        <v>2.70833333333333</v>
      </c>
      <c r="AM115" s="7" t="n">
        <f aca="false">SUMIFS(Doors!AY:AY,Doors!$A:$A,$D115,Doors!$B:$B,$B115,Doors!$C:$C,$C115)*SUMIFS(Velocity!$I:$I,Velocity!$A:$A,$A115,Velocity!$B:$B,$C115)/Assumptions!$B$4*Assumptions!$B$6</f>
        <v>2.70833333333333</v>
      </c>
      <c r="AN115" s="7" t="n">
        <f aca="false">SUMIFS(Doors!AZ:AZ,Doors!$A:$A,$D115,Doors!$B:$B,$B115,Doors!$C:$C,$C115)*SUMIFS(Velocity!$I:$I,Velocity!$A:$A,$A115,Velocity!$B:$B,$C115)/Assumptions!$B$4*Assumptions!$B$6</f>
        <v>3.25</v>
      </c>
      <c r="AO115" s="7" t="n">
        <f aca="false">SUMIFS(Doors!BA:BA,Doors!$A:$A,$D115,Doors!$B:$B,$B115,Doors!$C:$C,$C115)*SUMIFS(Velocity!$I:$I,Velocity!$A:$A,$A115,Velocity!$B:$B,$C115)/Assumptions!$B$4*Assumptions!$B$6</f>
        <v>3.25</v>
      </c>
      <c r="AP115" s="7" t="n">
        <f aca="false">SUMIFS(Doors!BB:BB,Doors!$A:$A,$D115,Doors!$B:$B,$B115,Doors!$C:$C,$C115)*SUMIFS(Velocity!$I:$I,Velocity!$A:$A,$A115,Velocity!$B:$B,$C115)/Assumptions!$B$4*Assumptions!$B$6</f>
        <v>3.25</v>
      </c>
      <c r="AQ115" s="7" t="n">
        <f aca="false">SUMIFS(Doors!BC:BC,Doors!$A:$A,$D115,Doors!$B:$B,$B115,Doors!$C:$C,$C115)*SUMIFS(Velocity!$I:$I,Velocity!$A:$A,$A115,Velocity!$B:$B,$C115)/Assumptions!$B$4*Assumptions!$B$6</f>
        <v>3.25</v>
      </c>
      <c r="AR115" s="7" t="n">
        <f aca="false">SUMIFS(Doors!BD:BD,Doors!$A:$A,$D115,Doors!$B:$B,$B115,Doors!$C:$C,$C115)*SUMIFS(Velocity!$I:$I,Velocity!$A:$A,$A115,Velocity!$B:$B,$C115)/Assumptions!$B$4*Assumptions!$B$6</f>
        <v>3.52083333333333</v>
      </c>
      <c r="AS115" s="7" t="n">
        <f aca="false">SUMIFS(Doors!BE:BE,Doors!$A:$A,$D115,Doors!$B:$B,$B115,Doors!$C:$C,$C115)*SUMIFS(Velocity!$I:$I,Velocity!$A:$A,$A115,Velocity!$B:$B,$C115)/Assumptions!$B$4*Assumptions!$B$6</f>
        <v>3.52083333333333</v>
      </c>
      <c r="AT115" s="7" t="n">
        <f aca="false">SUMIFS(Doors!BF:BF,Doors!$A:$A,$D115,Doors!$B:$B,$B115,Doors!$C:$C,$C115)*SUMIFS(Velocity!$I:$I,Velocity!$A:$A,$A115,Velocity!$B:$B,$C115)/Assumptions!$B$4*Assumptions!$B$6</f>
        <v>3.52083333333333</v>
      </c>
      <c r="AU115" s="7" t="n">
        <f aca="false">SUMIFS(Doors!BG:BG,Doors!$A:$A,$D115,Doors!$B:$B,$B115,Doors!$C:$C,$C115)*SUMIFS(Velocity!$I:$I,Velocity!$A:$A,$A115,Velocity!$B:$B,$C115)/Assumptions!$B$4*Assumptions!$B$6</f>
        <v>3.52083333333333</v>
      </c>
      <c r="AV115" s="7" t="n">
        <f aca="false">SUMIFS(Doors!BH:BH,Doors!$A:$A,$D115,Doors!$B:$B,$B115,Doors!$C:$C,$C115)*SUMIFS(Velocity!$I:$I,Velocity!$A:$A,$A115,Velocity!$B:$B,$C115)/Assumptions!$B$4*Assumptions!$B$6</f>
        <v>3.52083333333333</v>
      </c>
      <c r="AW115" s="7" t="n">
        <f aca="false">SUMIFS(Doors!BI:BI,Doors!$A:$A,$D115,Doors!$B:$B,$B115,Doors!$C:$C,$C115)*SUMIFS(Velocity!$I:$I,Velocity!$A:$A,$A115,Velocity!$B:$B,$C115)/Assumptions!$B$4*Assumptions!$B$6</f>
        <v>3.79166666666667</v>
      </c>
      <c r="AX115" s="7" t="n">
        <f aca="false">SUMIFS(Doors!BJ:BJ,Doors!$A:$A,$D115,Doors!$B:$B,$B115,Doors!$C:$C,$C115)*SUMIFS(Velocity!$I:$I,Velocity!$A:$A,$A115,Velocity!$B:$B,$C115)/Assumptions!$B$4*Assumptions!$B$6</f>
        <v>3.79166666666667</v>
      </c>
      <c r="AY115" s="7" t="n">
        <f aca="false">SUMIFS(Doors!BK:BK,Doors!$A:$A,$D115,Doors!$B:$B,$B115,Doors!$C:$C,$C115)*SUMIFS(Velocity!$I:$I,Velocity!$A:$A,$A115,Velocity!$B:$B,$C115)/Assumptions!$B$4*Assumptions!$B$6</f>
        <v>3.79166666666667</v>
      </c>
      <c r="AZ115" s="7" t="n">
        <f aca="false">SUMIFS(Doors!BL:BL,Doors!$A:$A,$D115,Doors!$B:$B,$B115,Doors!$C:$C,$C115)*SUMIFS(Velocity!$I:$I,Velocity!$A:$A,$A115,Velocity!$B:$B,$C115)/Assumptions!$B$4*Assumptions!$B$6</f>
        <v>3.79166666666667</v>
      </c>
      <c r="BA115" s="7" t="n">
        <f aca="false">SUMIFS(Doors!BM:BM,Doors!$A:$A,$D115,Doors!$B:$B,$B115,Doors!$C:$C,$C115)*SUMIFS(Velocity!$I:$I,Velocity!$A:$A,$A115,Velocity!$B:$B,$C115)/Assumptions!$B$4*Assumptions!$B$6</f>
        <v>4.0625</v>
      </c>
      <c r="BB115" s="7" t="n">
        <f aca="false">SUMIFS(Doors!BN:BN,Doors!$A:$A,$D115,Doors!$B:$B,$B115,Doors!$C:$C,$C115)*SUMIFS(Velocity!$I:$I,Velocity!$A:$A,$A115,Velocity!$B:$B,$C115)/Assumptions!$B$4*Assumptions!$B$6</f>
        <v>4.0625</v>
      </c>
      <c r="BC115" s="7" t="n">
        <f aca="false">SUMIFS(Doors!BO:BO,Doors!$A:$A,$D115,Doors!$B:$B,$B115,Doors!$C:$C,$C115)*SUMIFS(Velocity!$I:$I,Velocity!$A:$A,$A115,Velocity!$B:$B,$C115)/Assumptions!$B$4*Assumptions!$B$6</f>
        <v>4.0625</v>
      </c>
      <c r="BD115" s="7" t="n">
        <f aca="false">SUMIFS(Doors!BP:BP,Doors!$A:$A,$D115,Doors!$B:$B,$B115,Doors!$C:$C,$C115)*SUMIFS(Velocity!$I:$I,Velocity!$A:$A,$A115,Velocity!$B:$B,$C115)/Assumptions!$B$4*Assumptions!$B$6</f>
        <v>4.0625</v>
      </c>
    </row>
    <row r="116" customFormat="false" ht="15" hidden="false" customHeight="false" outlineLevel="0" collapsed="false">
      <c r="A116" s="0" t="s">
        <v>109</v>
      </c>
      <c r="B116" s="0" t="s">
        <v>128</v>
      </c>
      <c r="C116" s="0" t="s">
        <v>117</v>
      </c>
      <c r="D116" s="0" t="s">
        <v>235</v>
      </c>
      <c r="E116" s="7" t="n">
        <f aca="false">SUMIFS(Doors!Q:Q,Doors!$A:$A,$D116,Doors!$B:$B,$B116,Doors!$C:$C,$C116)*SUMIFS(Velocity!$I:$I,Velocity!$A:$A,$A116,Velocity!$B:$B,$C116)/Assumptions!$B$4*Assumptions!$B$6</f>
        <v>0</v>
      </c>
      <c r="F116" s="7" t="n">
        <f aca="false">SUMIFS(Doors!R:R,Doors!$A:$A,$D116,Doors!$B:$B,$B116,Doors!$C:$C,$C116)*SUMIFS(Velocity!$I:$I,Velocity!$A:$A,$A116,Velocity!$B:$B,$C116)/Assumptions!$B$4*Assumptions!$B$6</f>
        <v>0</v>
      </c>
      <c r="G116" s="7" t="n">
        <f aca="false">SUMIFS(Doors!S:S,Doors!$A:$A,$D116,Doors!$B:$B,$B116,Doors!$C:$C,$C116)*SUMIFS(Velocity!$I:$I,Velocity!$A:$A,$A116,Velocity!$B:$B,$C116)/Assumptions!$B$4*Assumptions!$B$6</f>
        <v>0</v>
      </c>
      <c r="H116" s="7" t="n">
        <f aca="false">SUMIFS(Doors!T:T,Doors!$A:$A,$D116,Doors!$B:$B,$B116,Doors!$C:$C,$C116)*SUMIFS(Velocity!$I:$I,Velocity!$A:$A,$A116,Velocity!$B:$B,$C116)/Assumptions!$B$4*Assumptions!$B$6</f>
        <v>0</v>
      </c>
      <c r="I116" s="7" t="n">
        <f aca="false">SUMIFS(Doors!U:U,Doors!$A:$A,$D116,Doors!$B:$B,$B116,Doors!$C:$C,$C116)*SUMIFS(Velocity!$I:$I,Velocity!$A:$A,$A116,Velocity!$B:$B,$C116)/Assumptions!$B$4*Assumptions!$B$6</f>
        <v>0</v>
      </c>
      <c r="J116" s="7" t="n">
        <f aca="false">SUMIFS(Doors!V:V,Doors!$A:$A,$D116,Doors!$B:$B,$B116,Doors!$C:$C,$C116)*SUMIFS(Velocity!$I:$I,Velocity!$A:$A,$A116,Velocity!$B:$B,$C116)/Assumptions!$B$4*Assumptions!$B$6</f>
        <v>0</v>
      </c>
      <c r="K116" s="7" t="n">
        <f aca="false">SUMIFS(Doors!W:W,Doors!$A:$A,$D116,Doors!$B:$B,$B116,Doors!$C:$C,$C116)*SUMIFS(Velocity!$I:$I,Velocity!$A:$A,$A116,Velocity!$B:$B,$C116)/Assumptions!$B$4*Assumptions!$B$6</f>
        <v>0</v>
      </c>
      <c r="L116" s="7" t="n">
        <f aca="false">SUMIFS(Doors!X:X,Doors!$A:$A,$D116,Doors!$B:$B,$B116,Doors!$C:$C,$C116)*SUMIFS(Velocity!$I:$I,Velocity!$A:$A,$A116,Velocity!$B:$B,$C116)/Assumptions!$B$4*Assumptions!$B$6</f>
        <v>0</v>
      </c>
      <c r="M116" s="7" t="n">
        <f aca="false">SUMIFS(Doors!Y:Y,Doors!$A:$A,$D116,Doors!$B:$B,$B116,Doors!$C:$C,$C116)*SUMIFS(Velocity!$I:$I,Velocity!$A:$A,$A116,Velocity!$B:$B,$C116)/Assumptions!$B$4*Assumptions!$B$6</f>
        <v>0</v>
      </c>
      <c r="N116" s="7" t="n">
        <f aca="false">SUMIFS(Doors!Z:Z,Doors!$A:$A,$D116,Doors!$B:$B,$B116,Doors!$C:$C,$C116)*SUMIFS(Velocity!$I:$I,Velocity!$A:$A,$A116,Velocity!$B:$B,$C116)/Assumptions!$B$4*Assumptions!$B$6</f>
        <v>0</v>
      </c>
      <c r="O116" s="7" t="n">
        <f aca="false">SUMIFS(Doors!AA:AA,Doors!$A:$A,$D116,Doors!$B:$B,$B116,Doors!$C:$C,$C116)*SUMIFS(Velocity!$I:$I,Velocity!$A:$A,$A116,Velocity!$B:$B,$C116)/Assumptions!$B$4*Assumptions!$B$6</f>
        <v>0</v>
      </c>
      <c r="P116" s="7" t="n">
        <f aca="false">SUMIFS(Doors!AB:AB,Doors!$A:$A,$D116,Doors!$B:$B,$B116,Doors!$C:$C,$C116)*SUMIFS(Velocity!$I:$I,Velocity!$A:$A,$A116,Velocity!$B:$B,$C116)/Assumptions!$B$4*Assumptions!$B$6</f>
        <v>0</v>
      </c>
      <c r="Q116" s="7" t="n">
        <f aca="false">SUMIFS(Doors!AC:AC,Doors!$A:$A,$D116,Doors!$B:$B,$B116,Doors!$C:$C,$C116)*SUMIFS(Velocity!$I:$I,Velocity!$A:$A,$A116,Velocity!$B:$B,$C116)/Assumptions!$B$4*Assumptions!$B$6</f>
        <v>0</v>
      </c>
      <c r="R116" s="7" t="n">
        <f aca="false">SUMIFS(Doors!AD:AD,Doors!$A:$A,$D116,Doors!$B:$B,$B116,Doors!$C:$C,$C116)*SUMIFS(Velocity!$I:$I,Velocity!$A:$A,$A116,Velocity!$B:$B,$C116)/Assumptions!$B$4*Assumptions!$B$6</f>
        <v>0</v>
      </c>
      <c r="S116" s="7" t="n">
        <f aca="false">SUMIFS(Doors!AE:AE,Doors!$A:$A,$D116,Doors!$B:$B,$B116,Doors!$C:$C,$C116)*SUMIFS(Velocity!$I:$I,Velocity!$A:$A,$A116,Velocity!$B:$B,$C116)/Assumptions!$B$4*Assumptions!$B$6</f>
        <v>0</v>
      </c>
      <c r="T116" s="7" t="n">
        <f aca="false">SUMIFS(Doors!AF:AF,Doors!$A:$A,$D116,Doors!$B:$B,$B116,Doors!$C:$C,$C116)*SUMIFS(Velocity!$I:$I,Velocity!$A:$A,$A116,Velocity!$B:$B,$C116)/Assumptions!$B$4*Assumptions!$B$6</f>
        <v>0</v>
      </c>
      <c r="U116" s="7" t="n">
        <f aca="false">SUMIFS(Doors!AG:AG,Doors!$A:$A,$D116,Doors!$B:$B,$B116,Doors!$C:$C,$C116)*SUMIFS(Velocity!$I:$I,Velocity!$A:$A,$A116,Velocity!$B:$B,$C116)/Assumptions!$B$4*Assumptions!$B$6</f>
        <v>0</v>
      </c>
      <c r="V116" s="7" t="n">
        <f aca="false">SUMIFS(Doors!AH:AH,Doors!$A:$A,$D116,Doors!$B:$B,$B116,Doors!$C:$C,$C116)*SUMIFS(Velocity!$I:$I,Velocity!$A:$A,$A116,Velocity!$B:$B,$C116)/Assumptions!$B$4*Assumptions!$B$6</f>
        <v>0</v>
      </c>
      <c r="W116" s="7" t="n">
        <f aca="false">SUMIFS(Doors!AI:AI,Doors!$A:$A,$D116,Doors!$B:$B,$B116,Doors!$C:$C,$C116)*SUMIFS(Velocity!$I:$I,Velocity!$A:$A,$A116,Velocity!$B:$B,$C116)/Assumptions!$B$4*Assumptions!$B$6</f>
        <v>1.13333333333333</v>
      </c>
      <c r="X116" s="7" t="n">
        <f aca="false">SUMIFS(Doors!AJ:AJ,Doors!$A:$A,$D116,Doors!$B:$B,$B116,Doors!$C:$C,$C116)*SUMIFS(Velocity!$I:$I,Velocity!$A:$A,$A116,Velocity!$B:$B,$C116)/Assumptions!$B$4*Assumptions!$B$6</f>
        <v>1.13333333333333</v>
      </c>
      <c r="Y116" s="7" t="n">
        <f aca="false">SUMIFS(Doors!AK:AK,Doors!$A:$A,$D116,Doors!$B:$B,$B116,Doors!$C:$C,$C116)*SUMIFS(Velocity!$I:$I,Velocity!$A:$A,$A116,Velocity!$B:$B,$C116)/Assumptions!$B$4*Assumptions!$B$6</f>
        <v>1.13333333333333</v>
      </c>
      <c r="Z116" s="7" t="n">
        <f aca="false">SUMIFS(Doors!AL:AL,Doors!$A:$A,$D116,Doors!$B:$B,$B116,Doors!$C:$C,$C116)*SUMIFS(Velocity!$I:$I,Velocity!$A:$A,$A116,Velocity!$B:$B,$C116)/Assumptions!$B$4*Assumptions!$B$6</f>
        <v>1.13333333333333</v>
      </c>
      <c r="AA116" s="7" t="n">
        <f aca="false">SUMIFS(Doors!AM:AM,Doors!$A:$A,$D116,Doors!$B:$B,$B116,Doors!$C:$C,$C116)*SUMIFS(Velocity!$I:$I,Velocity!$A:$A,$A116,Velocity!$B:$B,$C116)/Assumptions!$B$4*Assumptions!$B$6</f>
        <v>2.83333333333333</v>
      </c>
      <c r="AB116" s="7" t="n">
        <f aca="false">SUMIFS(Doors!AN:AN,Doors!$A:$A,$D116,Doors!$B:$B,$B116,Doors!$C:$C,$C116)*SUMIFS(Velocity!$I:$I,Velocity!$A:$A,$A116,Velocity!$B:$B,$C116)/Assumptions!$B$4*Assumptions!$B$6</f>
        <v>2.83333333333333</v>
      </c>
      <c r="AC116" s="7" t="n">
        <f aca="false">SUMIFS(Doors!AO:AO,Doors!$A:$A,$D116,Doors!$B:$B,$B116,Doors!$C:$C,$C116)*SUMIFS(Velocity!$I:$I,Velocity!$A:$A,$A116,Velocity!$B:$B,$C116)/Assumptions!$B$4*Assumptions!$B$6</f>
        <v>2.83333333333333</v>
      </c>
      <c r="AD116" s="7" t="n">
        <f aca="false">SUMIFS(Doors!AP:AP,Doors!$A:$A,$D116,Doors!$B:$B,$B116,Doors!$C:$C,$C116)*SUMIFS(Velocity!$I:$I,Velocity!$A:$A,$A116,Velocity!$B:$B,$C116)/Assumptions!$B$4*Assumptions!$B$6</f>
        <v>2.83333333333333</v>
      </c>
      <c r="AE116" s="7" t="n">
        <f aca="false">SUMIFS(Doors!AQ:AQ,Doors!$A:$A,$D116,Doors!$B:$B,$B116,Doors!$C:$C,$C116)*SUMIFS(Velocity!$I:$I,Velocity!$A:$A,$A116,Velocity!$B:$B,$C116)/Assumptions!$B$4*Assumptions!$B$6</f>
        <v>3.96666666666667</v>
      </c>
      <c r="AF116" s="7" t="n">
        <f aca="false">SUMIFS(Doors!AR:AR,Doors!$A:$A,$D116,Doors!$B:$B,$B116,Doors!$C:$C,$C116)*SUMIFS(Velocity!$I:$I,Velocity!$A:$A,$A116,Velocity!$B:$B,$C116)/Assumptions!$B$4*Assumptions!$B$6</f>
        <v>3.96666666666667</v>
      </c>
      <c r="AG116" s="7" t="n">
        <f aca="false">SUMIFS(Doors!AS:AS,Doors!$A:$A,$D116,Doors!$B:$B,$B116,Doors!$C:$C,$C116)*SUMIFS(Velocity!$I:$I,Velocity!$A:$A,$A116,Velocity!$B:$B,$C116)/Assumptions!$B$4*Assumptions!$B$6</f>
        <v>3.96666666666667</v>
      </c>
      <c r="AH116" s="7" t="n">
        <f aca="false">SUMIFS(Doors!AT:AT,Doors!$A:$A,$D116,Doors!$B:$B,$B116,Doors!$C:$C,$C116)*SUMIFS(Velocity!$I:$I,Velocity!$A:$A,$A116,Velocity!$B:$B,$C116)/Assumptions!$B$4*Assumptions!$B$6</f>
        <v>3.96666666666667</v>
      </c>
      <c r="AI116" s="7" t="n">
        <f aca="false">SUMIFS(Doors!AU:AU,Doors!$A:$A,$D116,Doors!$B:$B,$B116,Doors!$C:$C,$C116)*SUMIFS(Velocity!$I:$I,Velocity!$A:$A,$A116,Velocity!$B:$B,$C116)/Assumptions!$B$4*Assumptions!$B$6</f>
        <v>3.96666666666667</v>
      </c>
      <c r="AJ116" s="7" t="n">
        <f aca="false">SUMIFS(Doors!AV:AV,Doors!$A:$A,$D116,Doors!$B:$B,$B116,Doors!$C:$C,$C116)*SUMIFS(Velocity!$I:$I,Velocity!$A:$A,$A116,Velocity!$B:$B,$C116)/Assumptions!$B$4*Assumptions!$B$6</f>
        <v>5.66666666666667</v>
      </c>
      <c r="AK116" s="7" t="n">
        <f aca="false">SUMIFS(Doors!AW:AW,Doors!$A:$A,$D116,Doors!$B:$B,$B116,Doors!$C:$C,$C116)*SUMIFS(Velocity!$I:$I,Velocity!$A:$A,$A116,Velocity!$B:$B,$C116)/Assumptions!$B$4*Assumptions!$B$6</f>
        <v>5.66666666666667</v>
      </c>
      <c r="AL116" s="7" t="n">
        <f aca="false">SUMIFS(Doors!AX:AX,Doors!$A:$A,$D116,Doors!$B:$B,$B116,Doors!$C:$C,$C116)*SUMIFS(Velocity!$I:$I,Velocity!$A:$A,$A116,Velocity!$B:$B,$C116)/Assumptions!$B$4*Assumptions!$B$6</f>
        <v>5.66666666666667</v>
      </c>
      <c r="AM116" s="7" t="n">
        <f aca="false">SUMIFS(Doors!AY:AY,Doors!$A:$A,$D116,Doors!$B:$B,$B116,Doors!$C:$C,$C116)*SUMIFS(Velocity!$I:$I,Velocity!$A:$A,$A116,Velocity!$B:$B,$C116)/Assumptions!$B$4*Assumptions!$B$6</f>
        <v>5.66666666666667</v>
      </c>
      <c r="AN116" s="7" t="n">
        <f aca="false">SUMIFS(Doors!AZ:AZ,Doors!$A:$A,$D116,Doors!$B:$B,$B116,Doors!$C:$C,$C116)*SUMIFS(Velocity!$I:$I,Velocity!$A:$A,$A116,Velocity!$B:$B,$C116)/Assumptions!$B$4*Assumptions!$B$6</f>
        <v>6.8</v>
      </c>
      <c r="AO116" s="7" t="n">
        <f aca="false">SUMIFS(Doors!BA:BA,Doors!$A:$A,$D116,Doors!$B:$B,$B116,Doors!$C:$C,$C116)*SUMIFS(Velocity!$I:$I,Velocity!$A:$A,$A116,Velocity!$B:$B,$C116)/Assumptions!$B$4*Assumptions!$B$6</f>
        <v>6.8</v>
      </c>
      <c r="AP116" s="7" t="n">
        <f aca="false">SUMIFS(Doors!BB:BB,Doors!$A:$A,$D116,Doors!$B:$B,$B116,Doors!$C:$C,$C116)*SUMIFS(Velocity!$I:$I,Velocity!$A:$A,$A116,Velocity!$B:$B,$C116)/Assumptions!$B$4*Assumptions!$B$6</f>
        <v>6.8</v>
      </c>
      <c r="AQ116" s="7" t="n">
        <f aca="false">SUMIFS(Doors!BC:BC,Doors!$A:$A,$D116,Doors!$B:$B,$B116,Doors!$C:$C,$C116)*SUMIFS(Velocity!$I:$I,Velocity!$A:$A,$A116,Velocity!$B:$B,$C116)/Assumptions!$B$4*Assumptions!$B$6</f>
        <v>6.8</v>
      </c>
      <c r="AR116" s="7" t="n">
        <f aca="false">SUMIFS(Doors!BD:BD,Doors!$A:$A,$D116,Doors!$B:$B,$B116,Doors!$C:$C,$C116)*SUMIFS(Velocity!$I:$I,Velocity!$A:$A,$A116,Velocity!$B:$B,$C116)/Assumptions!$B$4*Assumptions!$B$6</f>
        <v>7.36666666666667</v>
      </c>
      <c r="AS116" s="7" t="n">
        <f aca="false">SUMIFS(Doors!BE:BE,Doors!$A:$A,$D116,Doors!$B:$B,$B116,Doors!$C:$C,$C116)*SUMIFS(Velocity!$I:$I,Velocity!$A:$A,$A116,Velocity!$B:$B,$C116)/Assumptions!$B$4*Assumptions!$B$6</f>
        <v>7.36666666666667</v>
      </c>
      <c r="AT116" s="7" t="n">
        <f aca="false">SUMIFS(Doors!BF:BF,Doors!$A:$A,$D116,Doors!$B:$B,$B116,Doors!$C:$C,$C116)*SUMIFS(Velocity!$I:$I,Velocity!$A:$A,$A116,Velocity!$B:$B,$C116)/Assumptions!$B$4*Assumptions!$B$6</f>
        <v>7.36666666666667</v>
      </c>
      <c r="AU116" s="7" t="n">
        <f aca="false">SUMIFS(Doors!BG:BG,Doors!$A:$A,$D116,Doors!$B:$B,$B116,Doors!$C:$C,$C116)*SUMIFS(Velocity!$I:$I,Velocity!$A:$A,$A116,Velocity!$B:$B,$C116)/Assumptions!$B$4*Assumptions!$B$6</f>
        <v>7.36666666666667</v>
      </c>
      <c r="AV116" s="7" t="n">
        <f aca="false">SUMIFS(Doors!BH:BH,Doors!$A:$A,$D116,Doors!$B:$B,$B116,Doors!$C:$C,$C116)*SUMIFS(Velocity!$I:$I,Velocity!$A:$A,$A116,Velocity!$B:$B,$C116)/Assumptions!$B$4*Assumptions!$B$6</f>
        <v>7.36666666666667</v>
      </c>
      <c r="AW116" s="7" t="n">
        <f aca="false">SUMIFS(Doors!BI:BI,Doors!$A:$A,$D116,Doors!$B:$B,$B116,Doors!$C:$C,$C116)*SUMIFS(Velocity!$I:$I,Velocity!$A:$A,$A116,Velocity!$B:$B,$C116)/Assumptions!$B$4*Assumptions!$B$6</f>
        <v>7.93333333333333</v>
      </c>
      <c r="AX116" s="7" t="n">
        <f aca="false">SUMIFS(Doors!BJ:BJ,Doors!$A:$A,$D116,Doors!$B:$B,$B116,Doors!$C:$C,$C116)*SUMIFS(Velocity!$I:$I,Velocity!$A:$A,$A116,Velocity!$B:$B,$C116)/Assumptions!$B$4*Assumptions!$B$6</f>
        <v>7.93333333333333</v>
      </c>
      <c r="AY116" s="7" t="n">
        <f aca="false">SUMIFS(Doors!BK:BK,Doors!$A:$A,$D116,Doors!$B:$B,$B116,Doors!$C:$C,$C116)*SUMIFS(Velocity!$I:$I,Velocity!$A:$A,$A116,Velocity!$B:$B,$C116)/Assumptions!$B$4*Assumptions!$B$6</f>
        <v>7.93333333333333</v>
      </c>
      <c r="AZ116" s="7" t="n">
        <f aca="false">SUMIFS(Doors!BL:BL,Doors!$A:$A,$D116,Doors!$B:$B,$B116,Doors!$C:$C,$C116)*SUMIFS(Velocity!$I:$I,Velocity!$A:$A,$A116,Velocity!$B:$B,$C116)/Assumptions!$B$4*Assumptions!$B$6</f>
        <v>7.93333333333333</v>
      </c>
      <c r="BA116" s="7" t="n">
        <f aca="false">SUMIFS(Doors!BM:BM,Doors!$A:$A,$D116,Doors!$B:$B,$B116,Doors!$C:$C,$C116)*SUMIFS(Velocity!$I:$I,Velocity!$A:$A,$A116,Velocity!$B:$B,$C116)/Assumptions!$B$4*Assumptions!$B$6</f>
        <v>8.5</v>
      </c>
      <c r="BB116" s="7" t="n">
        <f aca="false">SUMIFS(Doors!BN:BN,Doors!$A:$A,$D116,Doors!$B:$B,$B116,Doors!$C:$C,$C116)*SUMIFS(Velocity!$I:$I,Velocity!$A:$A,$A116,Velocity!$B:$B,$C116)/Assumptions!$B$4*Assumptions!$B$6</f>
        <v>8.5</v>
      </c>
      <c r="BC116" s="7" t="n">
        <f aca="false">SUMIFS(Doors!BO:BO,Doors!$A:$A,$D116,Doors!$B:$B,$B116,Doors!$C:$C,$C116)*SUMIFS(Velocity!$I:$I,Velocity!$A:$A,$A116,Velocity!$B:$B,$C116)/Assumptions!$B$4*Assumptions!$B$6</f>
        <v>8.5</v>
      </c>
      <c r="BD116" s="7" t="n">
        <f aca="false">SUMIFS(Doors!BP:BP,Doors!$A:$A,$D116,Doors!$B:$B,$B116,Doors!$C:$C,$C116)*SUMIFS(Velocity!$I:$I,Velocity!$A:$A,$A116,Velocity!$B:$B,$C116)/Assumptions!$B$4*Assumptions!$B$6</f>
        <v>8.5</v>
      </c>
    </row>
    <row r="117" customFormat="false" ht="15" hidden="false" customHeight="false" outlineLevel="0" collapsed="false">
      <c r="A117" s="0" t="s">
        <v>109</v>
      </c>
      <c r="B117" s="0" t="s">
        <v>128</v>
      </c>
      <c r="C117" s="0" t="s">
        <v>118</v>
      </c>
      <c r="D117" s="0" t="s">
        <v>235</v>
      </c>
      <c r="E117" s="7" t="n">
        <f aca="false">SUMIFS(Doors!Q:Q,Doors!$A:$A,$D117,Doors!$B:$B,$B117,Doors!$C:$C,$C117)*SUMIFS(Velocity!$I:$I,Velocity!$A:$A,$A117,Velocity!$B:$B,$C117)/Assumptions!$B$4*Assumptions!$B$6</f>
        <v>0</v>
      </c>
      <c r="F117" s="7" t="n">
        <f aca="false">SUMIFS(Doors!R:R,Doors!$A:$A,$D117,Doors!$B:$B,$B117,Doors!$C:$C,$C117)*SUMIFS(Velocity!$I:$I,Velocity!$A:$A,$A117,Velocity!$B:$B,$C117)/Assumptions!$B$4*Assumptions!$B$6</f>
        <v>0</v>
      </c>
      <c r="G117" s="7" t="n">
        <f aca="false">SUMIFS(Doors!S:S,Doors!$A:$A,$D117,Doors!$B:$B,$B117,Doors!$C:$C,$C117)*SUMIFS(Velocity!$I:$I,Velocity!$A:$A,$A117,Velocity!$B:$B,$C117)/Assumptions!$B$4*Assumptions!$B$6</f>
        <v>0</v>
      </c>
      <c r="H117" s="7" t="n">
        <f aca="false">SUMIFS(Doors!T:T,Doors!$A:$A,$D117,Doors!$B:$B,$B117,Doors!$C:$C,$C117)*SUMIFS(Velocity!$I:$I,Velocity!$A:$A,$A117,Velocity!$B:$B,$C117)/Assumptions!$B$4*Assumptions!$B$6</f>
        <v>0</v>
      </c>
      <c r="I117" s="7" t="n">
        <f aca="false">SUMIFS(Doors!U:U,Doors!$A:$A,$D117,Doors!$B:$B,$B117,Doors!$C:$C,$C117)*SUMIFS(Velocity!$I:$I,Velocity!$A:$A,$A117,Velocity!$B:$B,$C117)/Assumptions!$B$4*Assumptions!$B$6</f>
        <v>0</v>
      </c>
      <c r="J117" s="7" t="n">
        <f aca="false">SUMIFS(Doors!V:V,Doors!$A:$A,$D117,Doors!$B:$B,$B117,Doors!$C:$C,$C117)*SUMIFS(Velocity!$I:$I,Velocity!$A:$A,$A117,Velocity!$B:$B,$C117)/Assumptions!$B$4*Assumptions!$B$6</f>
        <v>0</v>
      </c>
      <c r="K117" s="7" t="n">
        <f aca="false">SUMIFS(Doors!W:W,Doors!$A:$A,$D117,Doors!$B:$B,$B117,Doors!$C:$C,$C117)*SUMIFS(Velocity!$I:$I,Velocity!$A:$A,$A117,Velocity!$B:$B,$C117)/Assumptions!$B$4*Assumptions!$B$6</f>
        <v>0</v>
      </c>
      <c r="L117" s="7" t="n">
        <f aca="false">SUMIFS(Doors!X:X,Doors!$A:$A,$D117,Doors!$B:$B,$B117,Doors!$C:$C,$C117)*SUMIFS(Velocity!$I:$I,Velocity!$A:$A,$A117,Velocity!$B:$B,$C117)/Assumptions!$B$4*Assumptions!$B$6</f>
        <v>0</v>
      </c>
      <c r="M117" s="7" t="n">
        <f aca="false">SUMIFS(Doors!Y:Y,Doors!$A:$A,$D117,Doors!$B:$B,$B117,Doors!$C:$C,$C117)*SUMIFS(Velocity!$I:$I,Velocity!$A:$A,$A117,Velocity!$B:$B,$C117)/Assumptions!$B$4*Assumptions!$B$6</f>
        <v>0</v>
      </c>
      <c r="N117" s="7" t="n">
        <f aca="false">SUMIFS(Doors!Z:Z,Doors!$A:$A,$D117,Doors!$B:$B,$B117,Doors!$C:$C,$C117)*SUMIFS(Velocity!$I:$I,Velocity!$A:$A,$A117,Velocity!$B:$B,$C117)/Assumptions!$B$4*Assumptions!$B$6</f>
        <v>0</v>
      </c>
      <c r="O117" s="7" t="n">
        <f aca="false">SUMIFS(Doors!AA:AA,Doors!$A:$A,$D117,Doors!$B:$B,$B117,Doors!$C:$C,$C117)*SUMIFS(Velocity!$I:$I,Velocity!$A:$A,$A117,Velocity!$B:$B,$C117)/Assumptions!$B$4*Assumptions!$B$6</f>
        <v>0</v>
      </c>
      <c r="P117" s="7" t="n">
        <f aca="false">SUMIFS(Doors!AB:AB,Doors!$A:$A,$D117,Doors!$B:$B,$B117,Doors!$C:$C,$C117)*SUMIFS(Velocity!$I:$I,Velocity!$A:$A,$A117,Velocity!$B:$B,$C117)/Assumptions!$B$4*Assumptions!$B$6</f>
        <v>0</v>
      </c>
      <c r="Q117" s="7" t="n">
        <f aca="false">SUMIFS(Doors!AC:AC,Doors!$A:$A,$D117,Doors!$B:$B,$B117,Doors!$C:$C,$C117)*SUMIFS(Velocity!$I:$I,Velocity!$A:$A,$A117,Velocity!$B:$B,$C117)/Assumptions!$B$4*Assumptions!$B$6</f>
        <v>0</v>
      </c>
      <c r="R117" s="7" t="n">
        <f aca="false">SUMIFS(Doors!AD:AD,Doors!$A:$A,$D117,Doors!$B:$B,$B117,Doors!$C:$C,$C117)*SUMIFS(Velocity!$I:$I,Velocity!$A:$A,$A117,Velocity!$B:$B,$C117)/Assumptions!$B$4*Assumptions!$B$6</f>
        <v>0</v>
      </c>
      <c r="S117" s="7" t="n">
        <f aca="false">SUMIFS(Doors!AE:AE,Doors!$A:$A,$D117,Doors!$B:$B,$B117,Doors!$C:$C,$C117)*SUMIFS(Velocity!$I:$I,Velocity!$A:$A,$A117,Velocity!$B:$B,$C117)/Assumptions!$B$4*Assumptions!$B$6</f>
        <v>0</v>
      </c>
      <c r="T117" s="7" t="n">
        <f aca="false">SUMIFS(Doors!AF:AF,Doors!$A:$A,$D117,Doors!$B:$B,$B117,Doors!$C:$C,$C117)*SUMIFS(Velocity!$I:$I,Velocity!$A:$A,$A117,Velocity!$B:$B,$C117)/Assumptions!$B$4*Assumptions!$B$6</f>
        <v>0</v>
      </c>
      <c r="U117" s="7" t="n">
        <f aca="false">SUMIFS(Doors!AG:AG,Doors!$A:$A,$D117,Doors!$B:$B,$B117,Doors!$C:$C,$C117)*SUMIFS(Velocity!$I:$I,Velocity!$A:$A,$A117,Velocity!$B:$B,$C117)/Assumptions!$B$4*Assumptions!$B$6</f>
        <v>0</v>
      </c>
      <c r="V117" s="7" t="n">
        <f aca="false">SUMIFS(Doors!AH:AH,Doors!$A:$A,$D117,Doors!$B:$B,$B117,Doors!$C:$C,$C117)*SUMIFS(Velocity!$I:$I,Velocity!$A:$A,$A117,Velocity!$B:$B,$C117)/Assumptions!$B$4*Assumptions!$B$6</f>
        <v>0</v>
      </c>
      <c r="W117" s="7" t="n">
        <f aca="false">SUMIFS(Doors!AI:AI,Doors!$A:$A,$D117,Doors!$B:$B,$B117,Doors!$C:$C,$C117)*SUMIFS(Velocity!$I:$I,Velocity!$A:$A,$A117,Velocity!$B:$B,$C117)/Assumptions!$B$4*Assumptions!$B$6</f>
        <v>0</v>
      </c>
      <c r="X117" s="7" t="n">
        <f aca="false">SUMIFS(Doors!AJ:AJ,Doors!$A:$A,$D117,Doors!$B:$B,$B117,Doors!$C:$C,$C117)*SUMIFS(Velocity!$I:$I,Velocity!$A:$A,$A117,Velocity!$B:$B,$C117)/Assumptions!$B$4*Assumptions!$B$6</f>
        <v>0</v>
      </c>
      <c r="Y117" s="7" t="n">
        <f aca="false">SUMIFS(Doors!AK:AK,Doors!$A:$A,$D117,Doors!$B:$B,$B117,Doors!$C:$C,$C117)*SUMIFS(Velocity!$I:$I,Velocity!$A:$A,$A117,Velocity!$B:$B,$C117)/Assumptions!$B$4*Assumptions!$B$6</f>
        <v>0</v>
      </c>
      <c r="Z117" s="7" t="n">
        <f aca="false">SUMIFS(Doors!AL:AL,Doors!$A:$A,$D117,Doors!$B:$B,$B117,Doors!$C:$C,$C117)*SUMIFS(Velocity!$I:$I,Velocity!$A:$A,$A117,Velocity!$B:$B,$C117)/Assumptions!$B$4*Assumptions!$B$6</f>
        <v>0</v>
      </c>
      <c r="AA117" s="7" t="n">
        <f aca="false">SUMIFS(Doors!AM:AM,Doors!$A:$A,$D117,Doors!$B:$B,$B117,Doors!$C:$C,$C117)*SUMIFS(Velocity!$I:$I,Velocity!$A:$A,$A117,Velocity!$B:$B,$C117)/Assumptions!$B$4*Assumptions!$B$6</f>
        <v>0</v>
      </c>
      <c r="AB117" s="7" t="n">
        <f aca="false">SUMIFS(Doors!AN:AN,Doors!$A:$A,$D117,Doors!$B:$B,$B117,Doors!$C:$C,$C117)*SUMIFS(Velocity!$I:$I,Velocity!$A:$A,$A117,Velocity!$B:$B,$C117)/Assumptions!$B$4*Assumptions!$B$6</f>
        <v>0</v>
      </c>
      <c r="AC117" s="7" t="n">
        <f aca="false">SUMIFS(Doors!AO:AO,Doors!$A:$A,$D117,Doors!$B:$B,$B117,Doors!$C:$C,$C117)*SUMIFS(Velocity!$I:$I,Velocity!$A:$A,$A117,Velocity!$B:$B,$C117)/Assumptions!$B$4*Assumptions!$B$6</f>
        <v>0</v>
      </c>
      <c r="AD117" s="7" t="n">
        <f aca="false">SUMIFS(Doors!AP:AP,Doors!$A:$A,$D117,Doors!$B:$B,$B117,Doors!$C:$C,$C117)*SUMIFS(Velocity!$I:$I,Velocity!$A:$A,$A117,Velocity!$B:$B,$C117)/Assumptions!$B$4*Assumptions!$B$6</f>
        <v>0</v>
      </c>
      <c r="AE117" s="7" t="n">
        <f aca="false">SUMIFS(Doors!AQ:AQ,Doors!$A:$A,$D117,Doors!$B:$B,$B117,Doors!$C:$C,$C117)*SUMIFS(Velocity!$I:$I,Velocity!$A:$A,$A117,Velocity!$B:$B,$C117)/Assumptions!$B$4*Assumptions!$B$6</f>
        <v>0</v>
      </c>
      <c r="AF117" s="7" t="n">
        <f aca="false">SUMIFS(Doors!AR:AR,Doors!$A:$A,$D117,Doors!$B:$B,$B117,Doors!$C:$C,$C117)*SUMIFS(Velocity!$I:$I,Velocity!$A:$A,$A117,Velocity!$B:$B,$C117)/Assumptions!$B$4*Assumptions!$B$6</f>
        <v>0</v>
      </c>
      <c r="AG117" s="7" t="n">
        <f aca="false">SUMIFS(Doors!AS:AS,Doors!$A:$A,$D117,Doors!$B:$B,$B117,Doors!$C:$C,$C117)*SUMIFS(Velocity!$I:$I,Velocity!$A:$A,$A117,Velocity!$B:$B,$C117)/Assumptions!$B$4*Assumptions!$B$6</f>
        <v>0</v>
      </c>
      <c r="AH117" s="7" t="n">
        <f aca="false">SUMIFS(Doors!AT:AT,Doors!$A:$A,$D117,Doors!$B:$B,$B117,Doors!$C:$C,$C117)*SUMIFS(Velocity!$I:$I,Velocity!$A:$A,$A117,Velocity!$B:$B,$C117)/Assumptions!$B$4*Assumptions!$B$6</f>
        <v>0</v>
      </c>
      <c r="AI117" s="7" t="n">
        <f aca="false">SUMIFS(Doors!AU:AU,Doors!$A:$A,$D117,Doors!$B:$B,$B117,Doors!$C:$C,$C117)*SUMIFS(Velocity!$I:$I,Velocity!$A:$A,$A117,Velocity!$B:$B,$C117)/Assumptions!$B$4*Assumptions!$B$6</f>
        <v>0</v>
      </c>
      <c r="AJ117" s="7" t="n">
        <f aca="false">SUMIFS(Doors!AV:AV,Doors!$A:$A,$D117,Doors!$B:$B,$B117,Doors!$C:$C,$C117)*SUMIFS(Velocity!$I:$I,Velocity!$A:$A,$A117,Velocity!$B:$B,$C117)/Assumptions!$B$4*Assumptions!$B$6</f>
        <v>0</v>
      </c>
      <c r="AK117" s="7" t="n">
        <f aca="false">SUMIFS(Doors!AW:AW,Doors!$A:$A,$D117,Doors!$B:$B,$B117,Doors!$C:$C,$C117)*SUMIFS(Velocity!$I:$I,Velocity!$A:$A,$A117,Velocity!$B:$B,$C117)/Assumptions!$B$4*Assumptions!$B$6</f>
        <v>0</v>
      </c>
      <c r="AL117" s="7" t="n">
        <f aca="false">SUMIFS(Doors!AX:AX,Doors!$A:$A,$D117,Doors!$B:$B,$B117,Doors!$C:$C,$C117)*SUMIFS(Velocity!$I:$I,Velocity!$A:$A,$A117,Velocity!$B:$B,$C117)/Assumptions!$B$4*Assumptions!$B$6</f>
        <v>0</v>
      </c>
      <c r="AM117" s="7" t="n">
        <f aca="false">SUMIFS(Doors!AY:AY,Doors!$A:$A,$D117,Doors!$B:$B,$B117,Doors!$C:$C,$C117)*SUMIFS(Velocity!$I:$I,Velocity!$A:$A,$A117,Velocity!$B:$B,$C117)/Assumptions!$B$4*Assumptions!$B$6</f>
        <v>0</v>
      </c>
      <c r="AN117" s="7" t="n">
        <f aca="false">SUMIFS(Doors!AZ:AZ,Doors!$A:$A,$D117,Doors!$B:$B,$B117,Doors!$C:$C,$C117)*SUMIFS(Velocity!$I:$I,Velocity!$A:$A,$A117,Velocity!$B:$B,$C117)/Assumptions!$B$4*Assumptions!$B$6</f>
        <v>0</v>
      </c>
      <c r="AO117" s="7" t="n">
        <f aca="false">SUMIFS(Doors!BA:BA,Doors!$A:$A,$D117,Doors!$B:$B,$B117,Doors!$C:$C,$C117)*SUMIFS(Velocity!$I:$I,Velocity!$A:$A,$A117,Velocity!$B:$B,$C117)/Assumptions!$B$4*Assumptions!$B$6</f>
        <v>0</v>
      </c>
      <c r="AP117" s="7" t="n">
        <f aca="false">SUMIFS(Doors!BB:BB,Doors!$A:$A,$D117,Doors!$B:$B,$B117,Doors!$C:$C,$C117)*SUMIFS(Velocity!$I:$I,Velocity!$A:$A,$A117,Velocity!$B:$B,$C117)/Assumptions!$B$4*Assumptions!$B$6</f>
        <v>0</v>
      </c>
      <c r="AQ117" s="7" t="n">
        <f aca="false">SUMIFS(Doors!BC:BC,Doors!$A:$A,$D117,Doors!$B:$B,$B117,Doors!$C:$C,$C117)*SUMIFS(Velocity!$I:$I,Velocity!$A:$A,$A117,Velocity!$B:$B,$C117)/Assumptions!$B$4*Assumptions!$B$6</f>
        <v>0</v>
      </c>
      <c r="AR117" s="7" t="n">
        <f aca="false">SUMIFS(Doors!BD:BD,Doors!$A:$A,$D117,Doors!$B:$B,$B117,Doors!$C:$C,$C117)*SUMIFS(Velocity!$I:$I,Velocity!$A:$A,$A117,Velocity!$B:$B,$C117)/Assumptions!$B$4*Assumptions!$B$6</f>
        <v>34.5833333333333</v>
      </c>
      <c r="AS117" s="7" t="n">
        <f aca="false">SUMIFS(Doors!BE:BE,Doors!$A:$A,$D117,Doors!$B:$B,$B117,Doors!$C:$C,$C117)*SUMIFS(Velocity!$I:$I,Velocity!$A:$A,$A117,Velocity!$B:$B,$C117)/Assumptions!$B$4*Assumptions!$B$6</f>
        <v>34.5833333333333</v>
      </c>
      <c r="AT117" s="7" t="n">
        <f aca="false">SUMIFS(Doors!BF:BF,Doors!$A:$A,$D117,Doors!$B:$B,$B117,Doors!$C:$C,$C117)*SUMIFS(Velocity!$I:$I,Velocity!$A:$A,$A117,Velocity!$B:$B,$C117)/Assumptions!$B$4*Assumptions!$B$6</f>
        <v>34.5833333333333</v>
      </c>
      <c r="AU117" s="7" t="n">
        <f aca="false">SUMIFS(Doors!BG:BG,Doors!$A:$A,$D117,Doors!$B:$B,$B117,Doors!$C:$C,$C117)*SUMIFS(Velocity!$I:$I,Velocity!$A:$A,$A117,Velocity!$B:$B,$C117)/Assumptions!$B$4*Assumptions!$B$6</f>
        <v>34.5833333333333</v>
      </c>
      <c r="AV117" s="7" t="n">
        <f aca="false">SUMIFS(Doors!BH:BH,Doors!$A:$A,$D117,Doors!$B:$B,$B117,Doors!$C:$C,$C117)*SUMIFS(Velocity!$I:$I,Velocity!$A:$A,$A117,Velocity!$B:$B,$C117)/Assumptions!$B$4*Assumptions!$B$6</f>
        <v>34.5833333333333</v>
      </c>
      <c r="AW117" s="7" t="n">
        <f aca="false">SUMIFS(Doors!BI:BI,Doors!$A:$A,$D117,Doors!$B:$B,$B117,Doors!$C:$C,$C117)*SUMIFS(Velocity!$I:$I,Velocity!$A:$A,$A117,Velocity!$B:$B,$C117)/Assumptions!$B$4*Assumptions!$B$6</f>
        <v>41.5</v>
      </c>
      <c r="AX117" s="7" t="n">
        <f aca="false">SUMIFS(Doors!BJ:BJ,Doors!$A:$A,$D117,Doors!$B:$B,$B117,Doors!$C:$C,$C117)*SUMIFS(Velocity!$I:$I,Velocity!$A:$A,$A117,Velocity!$B:$B,$C117)/Assumptions!$B$4*Assumptions!$B$6</f>
        <v>41.5</v>
      </c>
      <c r="AY117" s="7" t="n">
        <f aca="false">SUMIFS(Doors!BK:BK,Doors!$A:$A,$D117,Doors!$B:$B,$B117,Doors!$C:$C,$C117)*SUMIFS(Velocity!$I:$I,Velocity!$A:$A,$A117,Velocity!$B:$B,$C117)/Assumptions!$B$4*Assumptions!$B$6</f>
        <v>41.5</v>
      </c>
      <c r="AZ117" s="7" t="n">
        <f aca="false">SUMIFS(Doors!BL:BL,Doors!$A:$A,$D117,Doors!$B:$B,$B117,Doors!$C:$C,$C117)*SUMIFS(Velocity!$I:$I,Velocity!$A:$A,$A117,Velocity!$B:$B,$C117)/Assumptions!$B$4*Assumptions!$B$6</f>
        <v>41.5</v>
      </c>
      <c r="BA117" s="7" t="n">
        <f aca="false">SUMIFS(Doors!BM:BM,Doors!$A:$A,$D117,Doors!$B:$B,$B117,Doors!$C:$C,$C117)*SUMIFS(Velocity!$I:$I,Velocity!$A:$A,$A117,Velocity!$B:$B,$C117)/Assumptions!$B$4*Assumptions!$B$6</f>
        <v>48.4166666666667</v>
      </c>
      <c r="BB117" s="7" t="n">
        <f aca="false">SUMIFS(Doors!BN:BN,Doors!$A:$A,$D117,Doors!$B:$B,$B117,Doors!$C:$C,$C117)*SUMIFS(Velocity!$I:$I,Velocity!$A:$A,$A117,Velocity!$B:$B,$C117)/Assumptions!$B$4*Assumptions!$B$6</f>
        <v>48.4166666666667</v>
      </c>
      <c r="BC117" s="7" t="n">
        <f aca="false">SUMIFS(Doors!BO:BO,Doors!$A:$A,$D117,Doors!$B:$B,$B117,Doors!$C:$C,$C117)*SUMIFS(Velocity!$I:$I,Velocity!$A:$A,$A117,Velocity!$B:$B,$C117)/Assumptions!$B$4*Assumptions!$B$6</f>
        <v>48.4166666666667</v>
      </c>
      <c r="BD117" s="7" t="n">
        <f aca="false">SUMIFS(Doors!BP:BP,Doors!$A:$A,$D117,Doors!$B:$B,$B117,Doors!$C:$C,$C117)*SUMIFS(Velocity!$I:$I,Velocity!$A:$A,$A117,Velocity!$B:$B,$C117)/Assumptions!$B$4*Assumptions!$B$6</f>
        <v>48.4166666666667</v>
      </c>
    </row>
    <row r="118" customFormat="false" ht="15" hidden="false" customHeight="false" outlineLevel="0" collapsed="false">
      <c r="A118" s="0" t="s">
        <v>109</v>
      </c>
      <c r="B118" s="0" t="s">
        <v>128</v>
      </c>
      <c r="C118" s="0" t="s">
        <v>119</v>
      </c>
      <c r="D118" s="0" t="s">
        <v>235</v>
      </c>
      <c r="E118" s="7" t="n">
        <f aca="false">SUMIFS(Doors!Q:Q,Doors!$A:$A,$D118,Doors!$B:$B,$B118,Doors!$C:$C,$C118)*SUMIFS(Velocity!$I:$I,Velocity!$A:$A,$A118,Velocity!$B:$B,$C118)/Assumptions!$B$4*Assumptions!$B$6</f>
        <v>0.833333333333333</v>
      </c>
      <c r="F118" s="7" t="n">
        <f aca="false">SUMIFS(Doors!R:R,Doors!$A:$A,$D118,Doors!$B:$B,$B118,Doors!$C:$C,$C118)*SUMIFS(Velocity!$I:$I,Velocity!$A:$A,$A118,Velocity!$B:$B,$C118)/Assumptions!$B$4*Assumptions!$B$6</f>
        <v>0.833333333333333</v>
      </c>
      <c r="G118" s="7" t="n">
        <f aca="false">SUMIFS(Doors!S:S,Doors!$A:$A,$D118,Doors!$B:$B,$B118,Doors!$C:$C,$C118)*SUMIFS(Velocity!$I:$I,Velocity!$A:$A,$A118,Velocity!$B:$B,$C118)/Assumptions!$B$4*Assumptions!$B$6</f>
        <v>0.833333333333333</v>
      </c>
      <c r="H118" s="7" t="n">
        <f aca="false">SUMIFS(Doors!T:T,Doors!$A:$A,$D118,Doors!$B:$B,$B118,Doors!$C:$C,$C118)*SUMIFS(Velocity!$I:$I,Velocity!$A:$A,$A118,Velocity!$B:$B,$C118)/Assumptions!$B$4*Assumptions!$B$6</f>
        <v>0.833333333333333</v>
      </c>
      <c r="I118" s="7" t="n">
        <f aca="false">SUMIFS(Doors!U:U,Doors!$A:$A,$D118,Doors!$B:$B,$B118,Doors!$C:$C,$C118)*SUMIFS(Velocity!$I:$I,Velocity!$A:$A,$A118,Velocity!$B:$B,$C118)/Assumptions!$B$4*Assumptions!$B$6</f>
        <v>0.833333333333333</v>
      </c>
      <c r="J118" s="7" t="n">
        <f aca="false">SUMIFS(Doors!V:V,Doors!$A:$A,$D118,Doors!$B:$B,$B118,Doors!$C:$C,$C118)*SUMIFS(Velocity!$I:$I,Velocity!$A:$A,$A118,Velocity!$B:$B,$C118)/Assumptions!$B$4*Assumptions!$B$6</f>
        <v>1.33333333333333</v>
      </c>
      <c r="K118" s="7" t="n">
        <f aca="false">SUMIFS(Doors!W:W,Doors!$A:$A,$D118,Doors!$B:$B,$B118,Doors!$C:$C,$C118)*SUMIFS(Velocity!$I:$I,Velocity!$A:$A,$A118,Velocity!$B:$B,$C118)/Assumptions!$B$4*Assumptions!$B$6</f>
        <v>1.33333333333333</v>
      </c>
      <c r="L118" s="7" t="n">
        <f aca="false">SUMIFS(Doors!X:X,Doors!$A:$A,$D118,Doors!$B:$B,$B118,Doors!$C:$C,$C118)*SUMIFS(Velocity!$I:$I,Velocity!$A:$A,$A118,Velocity!$B:$B,$C118)/Assumptions!$B$4*Assumptions!$B$6</f>
        <v>1.33333333333333</v>
      </c>
      <c r="M118" s="7" t="n">
        <f aca="false">SUMIFS(Doors!Y:Y,Doors!$A:$A,$D118,Doors!$B:$B,$B118,Doors!$C:$C,$C118)*SUMIFS(Velocity!$I:$I,Velocity!$A:$A,$A118,Velocity!$B:$B,$C118)/Assumptions!$B$4*Assumptions!$B$6</f>
        <v>1.33333333333333</v>
      </c>
      <c r="N118" s="7" t="n">
        <f aca="false">SUMIFS(Doors!Z:Z,Doors!$A:$A,$D118,Doors!$B:$B,$B118,Doors!$C:$C,$C118)*SUMIFS(Velocity!$I:$I,Velocity!$A:$A,$A118,Velocity!$B:$B,$C118)/Assumptions!$B$4*Assumptions!$B$6</f>
        <v>2</v>
      </c>
      <c r="O118" s="7" t="n">
        <f aca="false">SUMIFS(Doors!AA:AA,Doors!$A:$A,$D118,Doors!$B:$B,$B118,Doors!$C:$C,$C118)*SUMIFS(Velocity!$I:$I,Velocity!$A:$A,$A118,Velocity!$B:$B,$C118)/Assumptions!$B$4*Assumptions!$B$6</f>
        <v>2</v>
      </c>
      <c r="P118" s="7" t="n">
        <f aca="false">SUMIFS(Doors!AB:AB,Doors!$A:$A,$D118,Doors!$B:$B,$B118,Doors!$C:$C,$C118)*SUMIFS(Velocity!$I:$I,Velocity!$A:$A,$A118,Velocity!$B:$B,$C118)/Assumptions!$B$4*Assumptions!$B$6</f>
        <v>2</v>
      </c>
      <c r="Q118" s="7" t="n">
        <f aca="false">SUMIFS(Doors!AC:AC,Doors!$A:$A,$D118,Doors!$B:$B,$B118,Doors!$C:$C,$C118)*SUMIFS(Velocity!$I:$I,Velocity!$A:$A,$A118,Velocity!$B:$B,$C118)/Assumptions!$B$4*Assumptions!$B$6</f>
        <v>2</v>
      </c>
      <c r="R118" s="7" t="n">
        <f aca="false">SUMIFS(Doors!AD:AD,Doors!$A:$A,$D118,Doors!$B:$B,$B118,Doors!$C:$C,$C118)*SUMIFS(Velocity!$I:$I,Velocity!$A:$A,$A118,Velocity!$B:$B,$C118)/Assumptions!$B$4*Assumptions!$B$6</f>
        <v>2.5</v>
      </c>
      <c r="S118" s="7" t="n">
        <f aca="false">SUMIFS(Doors!AE:AE,Doors!$A:$A,$D118,Doors!$B:$B,$B118,Doors!$C:$C,$C118)*SUMIFS(Velocity!$I:$I,Velocity!$A:$A,$A118,Velocity!$B:$B,$C118)/Assumptions!$B$4*Assumptions!$B$6</f>
        <v>2.5</v>
      </c>
      <c r="T118" s="7" t="n">
        <f aca="false">SUMIFS(Doors!AF:AF,Doors!$A:$A,$D118,Doors!$B:$B,$B118,Doors!$C:$C,$C118)*SUMIFS(Velocity!$I:$I,Velocity!$A:$A,$A118,Velocity!$B:$B,$C118)/Assumptions!$B$4*Assumptions!$B$6</f>
        <v>2.5</v>
      </c>
      <c r="U118" s="7" t="n">
        <f aca="false">SUMIFS(Doors!AG:AG,Doors!$A:$A,$D118,Doors!$B:$B,$B118,Doors!$C:$C,$C118)*SUMIFS(Velocity!$I:$I,Velocity!$A:$A,$A118,Velocity!$B:$B,$C118)/Assumptions!$B$4*Assumptions!$B$6</f>
        <v>2.5</v>
      </c>
      <c r="V118" s="7" t="n">
        <f aca="false">SUMIFS(Doors!AH:AH,Doors!$A:$A,$D118,Doors!$B:$B,$B118,Doors!$C:$C,$C118)*SUMIFS(Velocity!$I:$I,Velocity!$A:$A,$A118,Velocity!$B:$B,$C118)/Assumptions!$B$4*Assumptions!$B$6</f>
        <v>2.5</v>
      </c>
      <c r="W118" s="7" t="n">
        <f aca="false">SUMIFS(Doors!AI:AI,Doors!$A:$A,$D118,Doors!$B:$B,$B118,Doors!$C:$C,$C118)*SUMIFS(Velocity!$I:$I,Velocity!$A:$A,$A118,Velocity!$B:$B,$C118)/Assumptions!$B$4*Assumptions!$B$6</f>
        <v>3</v>
      </c>
      <c r="X118" s="7" t="n">
        <f aca="false">SUMIFS(Doors!AJ:AJ,Doors!$A:$A,$D118,Doors!$B:$B,$B118,Doors!$C:$C,$C118)*SUMIFS(Velocity!$I:$I,Velocity!$A:$A,$A118,Velocity!$B:$B,$C118)/Assumptions!$B$4*Assumptions!$B$6</f>
        <v>3</v>
      </c>
      <c r="Y118" s="7" t="n">
        <f aca="false">SUMIFS(Doors!AK:AK,Doors!$A:$A,$D118,Doors!$B:$B,$B118,Doors!$C:$C,$C118)*SUMIFS(Velocity!$I:$I,Velocity!$A:$A,$A118,Velocity!$B:$B,$C118)/Assumptions!$B$4*Assumptions!$B$6</f>
        <v>3</v>
      </c>
      <c r="Z118" s="7" t="n">
        <f aca="false">SUMIFS(Doors!AL:AL,Doors!$A:$A,$D118,Doors!$B:$B,$B118,Doors!$C:$C,$C118)*SUMIFS(Velocity!$I:$I,Velocity!$A:$A,$A118,Velocity!$B:$B,$C118)/Assumptions!$B$4*Assumptions!$B$6</f>
        <v>3</v>
      </c>
      <c r="AA118" s="7" t="n">
        <f aca="false">SUMIFS(Doors!AM:AM,Doors!$A:$A,$D118,Doors!$B:$B,$B118,Doors!$C:$C,$C118)*SUMIFS(Velocity!$I:$I,Velocity!$A:$A,$A118,Velocity!$B:$B,$C118)/Assumptions!$B$4*Assumptions!$B$6</f>
        <v>3.5</v>
      </c>
      <c r="AB118" s="7" t="n">
        <f aca="false">SUMIFS(Doors!AN:AN,Doors!$A:$A,$D118,Doors!$B:$B,$B118,Doors!$C:$C,$C118)*SUMIFS(Velocity!$I:$I,Velocity!$A:$A,$A118,Velocity!$B:$B,$C118)/Assumptions!$B$4*Assumptions!$B$6</f>
        <v>3.5</v>
      </c>
      <c r="AC118" s="7" t="n">
        <f aca="false">SUMIFS(Doors!AO:AO,Doors!$A:$A,$D118,Doors!$B:$B,$B118,Doors!$C:$C,$C118)*SUMIFS(Velocity!$I:$I,Velocity!$A:$A,$A118,Velocity!$B:$B,$C118)/Assumptions!$B$4*Assumptions!$B$6</f>
        <v>3.5</v>
      </c>
      <c r="AD118" s="7" t="n">
        <f aca="false">SUMIFS(Doors!AP:AP,Doors!$A:$A,$D118,Doors!$B:$B,$B118,Doors!$C:$C,$C118)*SUMIFS(Velocity!$I:$I,Velocity!$A:$A,$A118,Velocity!$B:$B,$C118)/Assumptions!$B$4*Assumptions!$B$6</f>
        <v>3.5</v>
      </c>
      <c r="AE118" s="7" t="n">
        <f aca="false">SUMIFS(Doors!AQ:AQ,Doors!$A:$A,$D118,Doors!$B:$B,$B118,Doors!$C:$C,$C118)*SUMIFS(Velocity!$I:$I,Velocity!$A:$A,$A118,Velocity!$B:$B,$C118)/Assumptions!$B$4*Assumptions!$B$6</f>
        <v>4</v>
      </c>
      <c r="AF118" s="7" t="n">
        <f aca="false">SUMIFS(Doors!AR:AR,Doors!$A:$A,$D118,Doors!$B:$B,$B118,Doors!$C:$C,$C118)*SUMIFS(Velocity!$I:$I,Velocity!$A:$A,$A118,Velocity!$B:$B,$C118)/Assumptions!$B$4*Assumptions!$B$6</f>
        <v>4</v>
      </c>
      <c r="AG118" s="7" t="n">
        <f aca="false">SUMIFS(Doors!AS:AS,Doors!$A:$A,$D118,Doors!$B:$B,$B118,Doors!$C:$C,$C118)*SUMIFS(Velocity!$I:$I,Velocity!$A:$A,$A118,Velocity!$B:$B,$C118)/Assumptions!$B$4*Assumptions!$B$6</f>
        <v>4</v>
      </c>
      <c r="AH118" s="7" t="n">
        <f aca="false">SUMIFS(Doors!AT:AT,Doors!$A:$A,$D118,Doors!$B:$B,$B118,Doors!$C:$C,$C118)*SUMIFS(Velocity!$I:$I,Velocity!$A:$A,$A118,Velocity!$B:$B,$C118)/Assumptions!$B$4*Assumptions!$B$6</f>
        <v>4</v>
      </c>
      <c r="AI118" s="7" t="n">
        <f aca="false">SUMIFS(Doors!AU:AU,Doors!$A:$A,$D118,Doors!$B:$B,$B118,Doors!$C:$C,$C118)*SUMIFS(Velocity!$I:$I,Velocity!$A:$A,$A118,Velocity!$B:$B,$C118)/Assumptions!$B$4*Assumptions!$B$6</f>
        <v>4</v>
      </c>
      <c r="AJ118" s="7" t="n">
        <f aca="false">SUMIFS(Doors!AV:AV,Doors!$A:$A,$D118,Doors!$B:$B,$B118,Doors!$C:$C,$C118)*SUMIFS(Velocity!$I:$I,Velocity!$A:$A,$A118,Velocity!$B:$B,$C118)/Assumptions!$B$4*Assumptions!$B$6</f>
        <v>4.33333333333333</v>
      </c>
      <c r="AK118" s="7" t="n">
        <f aca="false">SUMIFS(Doors!AW:AW,Doors!$A:$A,$D118,Doors!$B:$B,$B118,Doors!$C:$C,$C118)*SUMIFS(Velocity!$I:$I,Velocity!$A:$A,$A118,Velocity!$B:$B,$C118)/Assumptions!$B$4*Assumptions!$B$6</f>
        <v>4.33333333333333</v>
      </c>
      <c r="AL118" s="7" t="n">
        <f aca="false">SUMIFS(Doors!AX:AX,Doors!$A:$A,$D118,Doors!$B:$B,$B118,Doors!$C:$C,$C118)*SUMIFS(Velocity!$I:$I,Velocity!$A:$A,$A118,Velocity!$B:$B,$C118)/Assumptions!$B$4*Assumptions!$B$6</f>
        <v>4.33333333333333</v>
      </c>
      <c r="AM118" s="7" t="n">
        <f aca="false">SUMIFS(Doors!AY:AY,Doors!$A:$A,$D118,Doors!$B:$B,$B118,Doors!$C:$C,$C118)*SUMIFS(Velocity!$I:$I,Velocity!$A:$A,$A118,Velocity!$B:$B,$C118)/Assumptions!$B$4*Assumptions!$B$6</f>
        <v>4.33333333333333</v>
      </c>
      <c r="AN118" s="7" t="n">
        <f aca="false">SUMIFS(Doors!AZ:AZ,Doors!$A:$A,$D118,Doors!$B:$B,$B118,Doors!$C:$C,$C118)*SUMIFS(Velocity!$I:$I,Velocity!$A:$A,$A118,Velocity!$B:$B,$C118)/Assumptions!$B$4*Assumptions!$B$6</f>
        <v>4.66666666666667</v>
      </c>
      <c r="AO118" s="7" t="n">
        <f aca="false">SUMIFS(Doors!BA:BA,Doors!$A:$A,$D118,Doors!$B:$B,$B118,Doors!$C:$C,$C118)*SUMIFS(Velocity!$I:$I,Velocity!$A:$A,$A118,Velocity!$B:$B,$C118)/Assumptions!$B$4*Assumptions!$B$6</f>
        <v>4.66666666666667</v>
      </c>
      <c r="AP118" s="7" t="n">
        <f aca="false">SUMIFS(Doors!BB:BB,Doors!$A:$A,$D118,Doors!$B:$B,$B118,Doors!$C:$C,$C118)*SUMIFS(Velocity!$I:$I,Velocity!$A:$A,$A118,Velocity!$B:$B,$C118)/Assumptions!$B$4*Assumptions!$B$6</f>
        <v>4.66666666666667</v>
      </c>
      <c r="AQ118" s="7" t="n">
        <f aca="false">SUMIFS(Doors!BC:BC,Doors!$A:$A,$D118,Doors!$B:$B,$B118,Doors!$C:$C,$C118)*SUMIFS(Velocity!$I:$I,Velocity!$A:$A,$A118,Velocity!$B:$B,$C118)/Assumptions!$B$4*Assumptions!$B$6</f>
        <v>4.66666666666667</v>
      </c>
      <c r="AR118" s="7" t="n">
        <f aca="false">SUMIFS(Doors!BD:BD,Doors!$A:$A,$D118,Doors!$B:$B,$B118,Doors!$C:$C,$C118)*SUMIFS(Velocity!$I:$I,Velocity!$A:$A,$A118,Velocity!$B:$B,$C118)/Assumptions!$B$4*Assumptions!$B$6</f>
        <v>4.83333333333333</v>
      </c>
      <c r="AS118" s="7" t="n">
        <f aca="false">SUMIFS(Doors!BE:BE,Doors!$A:$A,$D118,Doors!$B:$B,$B118,Doors!$C:$C,$C118)*SUMIFS(Velocity!$I:$I,Velocity!$A:$A,$A118,Velocity!$B:$B,$C118)/Assumptions!$B$4*Assumptions!$B$6</f>
        <v>4.83333333333333</v>
      </c>
      <c r="AT118" s="7" t="n">
        <f aca="false">SUMIFS(Doors!BF:BF,Doors!$A:$A,$D118,Doors!$B:$B,$B118,Doors!$C:$C,$C118)*SUMIFS(Velocity!$I:$I,Velocity!$A:$A,$A118,Velocity!$B:$B,$C118)/Assumptions!$B$4*Assumptions!$B$6</f>
        <v>4.83333333333333</v>
      </c>
      <c r="AU118" s="7" t="n">
        <f aca="false">SUMIFS(Doors!BG:BG,Doors!$A:$A,$D118,Doors!$B:$B,$B118,Doors!$C:$C,$C118)*SUMIFS(Velocity!$I:$I,Velocity!$A:$A,$A118,Velocity!$B:$B,$C118)/Assumptions!$B$4*Assumptions!$B$6</f>
        <v>4.83333333333333</v>
      </c>
      <c r="AV118" s="7" t="n">
        <f aca="false">SUMIFS(Doors!BH:BH,Doors!$A:$A,$D118,Doors!$B:$B,$B118,Doors!$C:$C,$C118)*SUMIFS(Velocity!$I:$I,Velocity!$A:$A,$A118,Velocity!$B:$B,$C118)/Assumptions!$B$4*Assumptions!$B$6</f>
        <v>4.83333333333333</v>
      </c>
      <c r="AW118" s="7" t="n">
        <f aca="false">SUMIFS(Doors!BI:BI,Doors!$A:$A,$D118,Doors!$B:$B,$B118,Doors!$C:$C,$C118)*SUMIFS(Velocity!$I:$I,Velocity!$A:$A,$A118,Velocity!$B:$B,$C118)/Assumptions!$B$4*Assumptions!$B$6</f>
        <v>5</v>
      </c>
      <c r="AX118" s="7" t="n">
        <f aca="false">SUMIFS(Doors!BJ:BJ,Doors!$A:$A,$D118,Doors!$B:$B,$B118,Doors!$C:$C,$C118)*SUMIFS(Velocity!$I:$I,Velocity!$A:$A,$A118,Velocity!$B:$B,$C118)/Assumptions!$B$4*Assumptions!$B$6</f>
        <v>5</v>
      </c>
      <c r="AY118" s="7" t="n">
        <f aca="false">SUMIFS(Doors!BK:BK,Doors!$A:$A,$D118,Doors!$B:$B,$B118,Doors!$C:$C,$C118)*SUMIFS(Velocity!$I:$I,Velocity!$A:$A,$A118,Velocity!$B:$B,$C118)/Assumptions!$B$4*Assumptions!$B$6</f>
        <v>5</v>
      </c>
      <c r="AZ118" s="7" t="n">
        <f aca="false">SUMIFS(Doors!BL:BL,Doors!$A:$A,$D118,Doors!$B:$B,$B118,Doors!$C:$C,$C118)*SUMIFS(Velocity!$I:$I,Velocity!$A:$A,$A118,Velocity!$B:$B,$C118)/Assumptions!$B$4*Assumptions!$B$6</f>
        <v>5</v>
      </c>
      <c r="BA118" s="7" t="n">
        <f aca="false">SUMIFS(Doors!BM:BM,Doors!$A:$A,$D118,Doors!$B:$B,$B118,Doors!$C:$C,$C118)*SUMIFS(Velocity!$I:$I,Velocity!$A:$A,$A118,Velocity!$B:$B,$C118)/Assumptions!$B$4*Assumptions!$B$6</f>
        <v>5</v>
      </c>
      <c r="BB118" s="7" t="n">
        <f aca="false">SUMIFS(Doors!BN:BN,Doors!$A:$A,$D118,Doors!$B:$B,$B118,Doors!$C:$C,$C118)*SUMIFS(Velocity!$I:$I,Velocity!$A:$A,$A118,Velocity!$B:$B,$C118)/Assumptions!$B$4*Assumptions!$B$6</f>
        <v>5</v>
      </c>
      <c r="BC118" s="7" t="n">
        <f aca="false">SUMIFS(Doors!BO:BO,Doors!$A:$A,$D118,Doors!$B:$B,$B118,Doors!$C:$C,$C118)*SUMIFS(Velocity!$I:$I,Velocity!$A:$A,$A118,Velocity!$B:$B,$C118)/Assumptions!$B$4*Assumptions!$B$6</f>
        <v>5</v>
      </c>
      <c r="BD118" s="7" t="n">
        <f aca="false">SUMIFS(Doors!BP:BP,Doors!$A:$A,$D118,Doors!$B:$B,$B118,Doors!$C:$C,$C118)*SUMIFS(Velocity!$I:$I,Velocity!$A:$A,$A118,Velocity!$B:$B,$C118)/Assumptions!$B$4*Assumptions!$B$6</f>
        <v>5</v>
      </c>
    </row>
    <row r="119" customFormat="false" ht="15" hidden="false" customHeight="false" outlineLevel="0" collapsed="false">
      <c r="A119" s="0" t="s">
        <v>109</v>
      </c>
      <c r="B119" s="0" t="s">
        <v>128</v>
      </c>
      <c r="C119" s="0" t="s">
        <v>120</v>
      </c>
      <c r="D119" s="0" t="s">
        <v>235</v>
      </c>
      <c r="E119" s="7" t="n">
        <f aca="false">SUMIFS(Doors!Q:Q,Doors!$A:$A,$D119,Doors!$B:$B,$B119,Doors!$C:$C,$C119)*SUMIFS(Velocity!$I:$I,Velocity!$A:$A,$A119,Velocity!$B:$B,$C119)/Assumptions!$B$4*Assumptions!$B$6</f>
        <v>0.989583333333333</v>
      </c>
      <c r="F119" s="7" t="n">
        <f aca="false">SUMIFS(Doors!R:R,Doors!$A:$A,$D119,Doors!$B:$B,$B119,Doors!$C:$C,$C119)*SUMIFS(Velocity!$I:$I,Velocity!$A:$A,$A119,Velocity!$B:$B,$C119)/Assumptions!$B$4*Assumptions!$B$6</f>
        <v>0.989583333333333</v>
      </c>
      <c r="G119" s="7" t="n">
        <f aca="false">SUMIFS(Doors!S:S,Doors!$A:$A,$D119,Doors!$B:$B,$B119,Doors!$C:$C,$C119)*SUMIFS(Velocity!$I:$I,Velocity!$A:$A,$A119,Velocity!$B:$B,$C119)/Assumptions!$B$4*Assumptions!$B$6</f>
        <v>0.989583333333333</v>
      </c>
      <c r="H119" s="7" t="n">
        <f aca="false">SUMIFS(Doors!T:T,Doors!$A:$A,$D119,Doors!$B:$B,$B119,Doors!$C:$C,$C119)*SUMIFS(Velocity!$I:$I,Velocity!$A:$A,$A119,Velocity!$B:$B,$C119)/Assumptions!$B$4*Assumptions!$B$6</f>
        <v>0.989583333333333</v>
      </c>
      <c r="I119" s="7" t="n">
        <f aca="false">SUMIFS(Doors!U:U,Doors!$A:$A,$D119,Doors!$B:$B,$B119,Doors!$C:$C,$C119)*SUMIFS(Velocity!$I:$I,Velocity!$A:$A,$A119,Velocity!$B:$B,$C119)/Assumptions!$B$4*Assumptions!$B$6</f>
        <v>0.989583333333333</v>
      </c>
      <c r="J119" s="7" t="n">
        <f aca="false">SUMIFS(Doors!V:V,Doors!$A:$A,$D119,Doors!$B:$B,$B119,Doors!$C:$C,$C119)*SUMIFS(Velocity!$I:$I,Velocity!$A:$A,$A119,Velocity!$B:$B,$C119)/Assumptions!$B$4*Assumptions!$B$6</f>
        <v>1.58333333333333</v>
      </c>
      <c r="K119" s="7" t="n">
        <f aca="false">SUMIFS(Doors!W:W,Doors!$A:$A,$D119,Doors!$B:$B,$B119,Doors!$C:$C,$C119)*SUMIFS(Velocity!$I:$I,Velocity!$A:$A,$A119,Velocity!$B:$B,$C119)/Assumptions!$B$4*Assumptions!$B$6</f>
        <v>1.58333333333333</v>
      </c>
      <c r="L119" s="7" t="n">
        <f aca="false">SUMIFS(Doors!X:X,Doors!$A:$A,$D119,Doors!$B:$B,$B119,Doors!$C:$C,$C119)*SUMIFS(Velocity!$I:$I,Velocity!$A:$A,$A119,Velocity!$B:$B,$C119)/Assumptions!$B$4*Assumptions!$B$6</f>
        <v>1.58333333333333</v>
      </c>
      <c r="M119" s="7" t="n">
        <f aca="false">SUMIFS(Doors!Y:Y,Doors!$A:$A,$D119,Doors!$B:$B,$B119,Doors!$C:$C,$C119)*SUMIFS(Velocity!$I:$I,Velocity!$A:$A,$A119,Velocity!$B:$B,$C119)/Assumptions!$B$4*Assumptions!$B$6</f>
        <v>1.58333333333333</v>
      </c>
      <c r="N119" s="7" t="n">
        <f aca="false">SUMIFS(Doors!Z:Z,Doors!$A:$A,$D119,Doors!$B:$B,$B119,Doors!$C:$C,$C119)*SUMIFS(Velocity!$I:$I,Velocity!$A:$A,$A119,Velocity!$B:$B,$C119)/Assumptions!$B$4*Assumptions!$B$6</f>
        <v>2.375</v>
      </c>
      <c r="O119" s="7" t="n">
        <f aca="false">SUMIFS(Doors!AA:AA,Doors!$A:$A,$D119,Doors!$B:$B,$B119,Doors!$C:$C,$C119)*SUMIFS(Velocity!$I:$I,Velocity!$A:$A,$A119,Velocity!$B:$B,$C119)/Assumptions!$B$4*Assumptions!$B$6</f>
        <v>2.375</v>
      </c>
      <c r="P119" s="7" t="n">
        <f aca="false">SUMIFS(Doors!AB:AB,Doors!$A:$A,$D119,Doors!$B:$B,$B119,Doors!$C:$C,$C119)*SUMIFS(Velocity!$I:$I,Velocity!$A:$A,$A119,Velocity!$B:$B,$C119)/Assumptions!$B$4*Assumptions!$B$6</f>
        <v>2.375</v>
      </c>
      <c r="Q119" s="7" t="n">
        <f aca="false">SUMIFS(Doors!AC:AC,Doors!$A:$A,$D119,Doors!$B:$B,$B119,Doors!$C:$C,$C119)*SUMIFS(Velocity!$I:$I,Velocity!$A:$A,$A119,Velocity!$B:$B,$C119)/Assumptions!$B$4*Assumptions!$B$6</f>
        <v>2.375</v>
      </c>
      <c r="R119" s="7" t="n">
        <f aca="false">SUMIFS(Doors!AD:AD,Doors!$A:$A,$D119,Doors!$B:$B,$B119,Doors!$C:$C,$C119)*SUMIFS(Velocity!$I:$I,Velocity!$A:$A,$A119,Velocity!$B:$B,$C119)/Assumptions!$B$4*Assumptions!$B$6</f>
        <v>3.16666666666667</v>
      </c>
      <c r="S119" s="7" t="n">
        <f aca="false">SUMIFS(Doors!AE:AE,Doors!$A:$A,$D119,Doors!$B:$B,$B119,Doors!$C:$C,$C119)*SUMIFS(Velocity!$I:$I,Velocity!$A:$A,$A119,Velocity!$B:$B,$C119)/Assumptions!$B$4*Assumptions!$B$6</f>
        <v>3.16666666666667</v>
      </c>
      <c r="T119" s="7" t="n">
        <f aca="false">SUMIFS(Doors!AF:AF,Doors!$A:$A,$D119,Doors!$B:$B,$B119,Doors!$C:$C,$C119)*SUMIFS(Velocity!$I:$I,Velocity!$A:$A,$A119,Velocity!$B:$B,$C119)/Assumptions!$B$4*Assumptions!$B$6</f>
        <v>3.16666666666667</v>
      </c>
      <c r="U119" s="7" t="n">
        <f aca="false">SUMIFS(Doors!AG:AG,Doors!$A:$A,$D119,Doors!$B:$B,$B119,Doors!$C:$C,$C119)*SUMIFS(Velocity!$I:$I,Velocity!$A:$A,$A119,Velocity!$B:$B,$C119)/Assumptions!$B$4*Assumptions!$B$6</f>
        <v>3.16666666666667</v>
      </c>
      <c r="V119" s="7" t="n">
        <f aca="false">SUMIFS(Doors!AH:AH,Doors!$A:$A,$D119,Doors!$B:$B,$B119,Doors!$C:$C,$C119)*SUMIFS(Velocity!$I:$I,Velocity!$A:$A,$A119,Velocity!$B:$B,$C119)/Assumptions!$B$4*Assumptions!$B$6</f>
        <v>3.16666666666667</v>
      </c>
      <c r="W119" s="7" t="n">
        <f aca="false">SUMIFS(Doors!AI:AI,Doors!$A:$A,$D119,Doors!$B:$B,$B119,Doors!$C:$C,$C119)*SUMIFS(Velocity!$I:$I,Velocity!$A:$A,$A119,Velocity!$B:$B,$C119)/Assumptions!$B$4*Assumptions!$B$6</f>
        <v>3.95833333333333</v>
      </c>
      <c r="X119" s="7" t="n">
        <f aca="false">SUMIFS(Doors!AJ:AJ,Doors!$A:$A,$D119,Doors!$B:$B,$B119,Doors!$C:$C,$C119)*SUMIFS(Velocity!$I:$I,Velocity!$A:$A,$A119,Velocity!$B:$B,$C119)/Assumptions!$B$4*Assumptions!$B$6</f>
        <v>3.95833333333333</v>
      </c>
      <c r="Y119" s="7" t="n">
        <f aca="false">SUMIFS(Doors!AK:AK,Doors!$A:$A,$D119,Doors!$B:$B,$B119,Doors!$C:$C,$C119)*SUMIFS(Velocity!$I:$I,Velocity!$A:$A,$A119,Velocity!$B:$B,$C119)/Assumptions!$B$4*Assumptions!$B$6</f>
        <v>3.95833333333333</v>
      </c>
      <c r="Z119" s="7" t="n">
        <f aca="false">SUMIFS(Doors!AL:AL,Doors!$A:$A,$D119,Doors!$B:$B,$B119,Doors!$C:$C,$C119)*SUMIFS(Velocity!$I:$I,Velocity!$A:$A,$A119,Velocity!$B:$B,$C119)/Assumptions!$B$4*Assumptions!$B$6</f>
        <v>3.95833333333333</v>
      </c>
      <c r="AA119" s="7" t="n">
        <f aca="false">SUMIFS(Doors!AM:AM,Doors!$A:$A,$D119,Doors!$B:$B,$B119,Doors!$C:$C,$C119)*SUMIFS(Velocity!$I:$I,Velocity!$A:$A,$A119,Velocity!$B:$B,$C119)/Assumptions!$B$4*Assumptions!$B$6</f>
        <v>4.55208333333333</v>
      </c>
      <c r="AB119" s="7" t="n">
        <f aca="false">SUMIFS(Doors!AN:AN,Doors!$A:$A,$D119,Doors!$B:$B,$B119,Doors!$C:$C,$C119)*SUMIFS(Velocity!$I:$I,Velocity!$A:$A,$A119,Velocity!$B:$B,$C119)/Assumptions!$B$4*Assumptions!$B$6</f>
        <v>4.55208333333333</v>
      </c>
      <c r="AC119" s="7" t="n">
        <f aca="false">SUMIFS(Doors!AO:AO,Doors!$A:$A,$D119,Doors!$B:$B,$B119,Doors!$C:$C,$C119)*SUMIFS(Velocity!$I:$I,Velocity!$A:$A,$A119,Velocity!$B:$B,$C119)/Assumptions!$B$4*Assumptions!$B$6</f>
        <v>4.55208333333333</v>
      </c>
      <c r="AD119" s="7" t="n">
        <f aca="false">SUMIFS(Doors!AP:AP,Doors!$A:$A,$D119,Doors!$B:$B,$B119,Doors!$C:$C,$C119)*SUMIFS(Velocity!$I:$I,Velocity!$A:$A,$A119,Velocity!$B:$B,$C119)/Assumptions!$B$4*Assumptions!$B$6</f>
        <v>4.55208333333333</v>
      </c>
      <c r="AE119" s="7" t="n">
        <f aca="false">SUMIFS(Doors!AQ:AQ,Doors!$A:$A,$D119,Doors!$B:$B,$B119,Doors!$C:$C,$C119)*SUMIFS(Velocity!$I:$I,Velocity!$A:$A,$A119,Velocity!$B:$B,$C119)/Assumptions!$B$4*Assumptions!$B$6</f>
        <v>4.94791666666667</v>
      </c>
      <c r="AF119" s="7" t="n">
        <f aca="false">SUMIFS(Doors!AR:AR,Doors!$A:$A,$D119,Doors!$B:$B,$B119,Doors!$C:$C,$C119)*SUMIFS(Velocity!$I:$I,Velocity!$A:$A,$A119,Velocity!$B:$B,$C119)/Assumptions!$B$4*Assumptions!$B$6</f>
        <v>4.94791666666667</v>
      </c>
      <c r="AG119" s="7" t="n">
        <f aca="false">SUMIFS(Doors!AS:AS,Doors!$A:$A,$D119,Doors!$B:$B,$B119,Doors!$C:$C,$C119)*SUMIFS(Velocity!$I:$I,Velocity!$A:$A,$A119,Velocity!$B:$B,$C119)/Assumptions!$B$4*Assumptions!$B$6</f>
        <v>4.94791666666667</v>
      </c>
      <c r="AH119" s="7" t="n">
        <f aca="false">SUMIFS(Doors!AT:AT,Doors!$A:$A,$D119,Doors!$B:$B,$B119,Doors!$C:$C,$C119)*SUMIFS(Velocity!$I:$I,Velocity!$A:$A,$A119,Velocity!$B:$B,$C119)/Assumptions!$B$4*Assumptions!$B$6</f>
        <v>4.94791666666667</v>
      </c>
      <c r="AI119" s="7" t="n">
        <f aca="false">SUMIFS(Doors!AU:AU,Doors!$A:$A,$D119,Doors!$B:$B,$B119,Doors!$C:$C,$C119)*SUMIFS(Velocity!$I:$I,Velocity!$A:$A,$A119,Velocity!$B:$B,$C119)/Assumptions!$B$4*Assumptions!$B$6</f>
        <v>4.94791666666667</v>
      </c>
      <c r="AJ119" s="7" t="n">
        <f aca="false">SUMIFS(Doors!AV:AV,Doors!$A:$A,$D119,Doors!$B:$B,$B119,Doors!$C:$C,$C119)*SUMIFS(Velocity!$I:$I,Velocity!$A:$A,$A119,Velocity!$B:$B,$C119)/Assumptions!$B$4*Assumptions!$B$6</f>
        <v>5.34375</v>
      </c>
      <c r="AK119" s="7" t="n">
        <f aca="false">SUMIFS(Doors!AW:AW,Doors!$A:$A,$D119,Doors!$B:$B,$B119,Doors!$C:$C,$C119)*SUMIFS(Velocity!$I:$I,Velocity!$A:$A,$A119,Velocity!$B:$B,$C119)/Assumptions!$B$4*Assumptions!$B$6</f>
        <v>5.34375</v>
      </c>
      <c r="AL119" s="7" t="n">
        <f aca="false">SUMIFS(Doors!AX:AX,Doors!$A:$A,$D119,Doors!$B:$B,$B119,Doors!$C:$C,$C119)*SUMIFS(Velocity!$I:$I,Velocity!$A:$A,$A119,Velocity!$B:$B,$C119)/Assumptions!$B$4*Assumptions!$B$6</f>
        <v>5.34375</v>
      </c>
      <c r="AM119" s="7" t="n">
        <f aca="false">SUMIFS(Doors!AY:AY,Doors!$A:$A,$D119,Doors!$B:$B,$B119,Doors!$C:$C,$C119)*SUMIFS(Velocity!$I:$I,Velocity!$A:$A,$A119,Velocity!$B:$B,$C119)/Assumptions!$B$4*Assumptions!$B$6</f>
        <v>5.34375</v>
      </c>
      <c r="AN119" s="7" t="n">
        <f aca="false">SUMIFS(Doors!AZ:AZ,Doors!$A:$A,$D119,Doors!$B:$B,$B119,Doors!$C:$C,$C119)*SUMIFS(Velocity!$I:$I,Velocity!$A:$A,$A119,Velocity!$B:$B,$C119)/Assumptions!$B$4*Assumptions!$B$6</f>
        <v>5.54166666666667</v>
      </c>
      <c r="AO119" s="7" t="n">
        <f aca="false">SUMIFS(Doors!BA:BA,Doors!$A:$A,$D119,Doors!$B:$B,$B119,Doors!$C:$C,$C119)*SUMIFS(Velocity!$I:$I,Velocity!$A:$A,$A119,Velocity!$B:$B,$C119)/Assumptions!$B$4*Assumptions!$B$6</f>
        <v>5.54166666666667</v>
      </c>
      <c r="AP119" s="7" t="n">
        <f aca="false">SUMIFS(Doors!BB:BB,Doors!$A:$A,$D119,Doors!$B:$B,$B119,Doors!$C:$C,$C119)*SUMIFS(Velocity!$I:$I,Velocity!$A:$A,$A119,Velocity!$B:$B,$C119)/Assumptions!$B$4*Assumptions!$B$6</f>
        <v>5.54166666666667</v>
      </c>
      <c r="AQ119" s="7" t="n">
        <f aca="false">SUMIFS(Doors!BC:BC,Doors!$A:$A,$D119,Doors!$B:$B,$B119,Doors!$C:$C,$C119)*SUMIFS(Velocity!$I:$I,Velocity!$A:$A,$A119,Velocity!$B:$B,$C119)/Assumptions!$B$4*Assumptions!$B$6</f>
        <v>5.54166666666667</v>
      </c>
      <c r="AR119" s="7" t="n">
        <f aca="false">SUMIFS(Doors!BD:BD,Doors!$A:$A,$D119,Doors!$B:$B,$B119,Doors!$C:$C,$C119)*SUMIFS(Velocity!$I:$I,Velocity!$A:$A,$A119,Velocity!$B:$B,$C119)/Assumptions!$B$4*Assumptions!$B$6</f>
        <v>5.73958333333333</v>
      </c>
      <c r="AS119" s="7" t="n">
        <f aca="false">SUMIFS(Doors!BE:BE,Doors!$A:$A,$D119,Doors!$B:$B,$B119,Doors!$C:$C,$C119)*SUMIFS(Velocity!$I:$I,Velocity!$A:$A,$A119,Velocity!$B:$B,$C119)/Assumptions!$B$4*Assumptions!$B$6</f>
        <v>5.73958333333333</v>
      </c>
      <c r="AT119" s="7" t="n">
        <f aca="false">SUMIFS(Doors!BF:BF,Doors!$A:$A,$D119,Doors!$B:$B,$B119,Doors!$C:$C,$C119)*SUMIFS(Velocity!$I:$I,Velocity!$A:$A,$A119,Velocity!$B:$B,$C119)/Assumptions!$B$4*Assumptions!$B$6</f>
        <v>5.73958333333333</v>
      </c>
      <c r="AU119" s="7" t="n">
        <f aca="false">SUMIFS(Doors!BG:BG,Doors!$A:$A,$D119,Doors!$B:$B,$B119,Doors!$C:$C,$C119)*SUMIFS(Velocity!$I:$I,Velocity!$A:$A,$A119,Velocity!$B:$B,$C119)/Assumptions!$B$4*Assumptions!$B$6</f>
        <v>5.73958333333333</v>
      </c>
      <c r="AV119" s="7" t="n">
        <f aca="false">SUMIFS(Doors!BH:BH,Doors!$A:$A,$D119,Doors!$B:$B,$B119,Doors!$C:$C,$C119)*SUMIFS(Velocity!$I:$I,Velocity!$A:$A,$A119,Velocity!$B:$B,$C119)/Assumptions!$B$4*Assumptions!$B$6</f>
        <v>5.73958333333333</v>
      </c>
      <c r="AW119" s="7" t="n">
        <f aca="false">SUMIFS(Doors!BI:BI,Doors!$A:$A,$D119,Doors!$B:$B,$B119,Doors!$C:$C,$C119)*SUMIFS(Velocity!$I:$I,Velocity!$A:$A,$A119,Velocity!$B:$B,$C119)/Assumptions!$B$4*Assumptions!$B$6</f>
        <v>5.9375</v>
      </c>
      <c r="AX119" s="7" t="n">
        <f aca="false">SUMIFS(Doors!BJ:BJ,Doors!$A:$A,$D119,Doors!$B:$B,$B119,Doors!$C:$C,$C119)*SUMIFS(Velocity!$I:$I,Velocity!$A:$A,$A119,Velocity!$B:$B,$C119)/Assumptions!$B$4*Assumptions!$B$6</f>
        <v>5.9375</v>
      </c>
      <c r="AY119" s="7" t="n">
        <f aca="false">SUMIFS(Doors!BK:BK,Doors!$A:$A,$D119,Doors!$B:$B,$B119,Doors!$C:$C,$C119)*SUMIFS(Velocity!$I:$I,Velocity!$A:$A,$A119,Velocity!$B:$B,$C119)/Assumptions!$B$4*Assumptions!$B$6</f>
        <v>5.9375</v>
      </c>
      <c r="AZ119" s="7" t="n">
        <f aca="false">SUMIFS(Doors!BL:BL,Doors!$A:$A,$D119,Doors!$B:$B,$B119,Doors!$C:$C,$C119)*SUMIFS(Velocity!$I:$I,Velocity!$A:$A,$A119,Velocity!$B:$B,$C119)/Assumptions!$B$4*Assumptions!$B$6</f>
        <v>5.9375</v>
      </c>
      <c r="BA119" s="7" t="n">
        <f aca="false">SUMIFS(Doors!BM:BM,Doors!$A:$A,$D119,Doors!$B:$B,$B119,Doors!$C:$C,$C119)*SUMIFS(Velocity!$I:$I,Velocity!$A:$A,$A119,Velocity!$B:$B,$C119)/Assumptions!$B$4*Assumptions!$B$6</f>
        <v>5.9375</v>
      </c>
      <c r="BB119" s="7" t="n">
        <f aca="false">SUMIFS(Doors!BN:BN,Doors!$A:$A,$D119,Doors!$B:$B,$B119,Doors!$C:$C,$C119)*SUMIFS(Velocity!$I:$I,Velocity!$A:$A,$A119,Velocity!$B:$B,$C119)/Assumptions!$B$4*Assumptions!$B$6</f>
        <v>5.9375</v>
      </c>
      <c r="BC119" s="7" t="n">
        <f aca="false">SUMIFS(Doors!BO:BO,Doors!$A:$A,$D119,Doors!$B:$B,$B119,Doors!$C:$C,$C119)*SUMIFS(Velocity!$I:$I,Velocity!$A:$A,$A119,Velocity!$B:$B,$C119)/Assumptions!$B$4*Assumptions!$B$6</f>
        <v>5.9375</v>
      </c>
      <c r="BD119" s="7" t="n">
        <f aca="false">SUMIFS(Doors!BP:BP,Doors!$A:$A,$D119,Doors!$B:$B,$B119,Doors!$C:$C,$C119)*SUMIFS(Velocity!$I:$I,Velocity!$A:$A,$A119,Velocity!$B:$B,$C119)/Assumptions!$B$4*Assumptions!$B$6</f>
        <v>5.9375</v>
      </c>
    </row>
    <row r="120" customFormat="false" ht="15" hidden="false" customHeight="false" outlineLevel="0" collapsed="false">
      <c r="A120" s="0" t="s">
        <v>109</v>
      </c>
      <c r="B120" s="0" t="s">
        <v>128</v>
      </c>
      <c r="C120" s="0" t="s">
        <v>121</v>
      </c>
      <c r="D120" s="0" t="s">
        <v>235</v>
      </c>
      <c r="E120" s="7" t="n">
        <f aca="false">SUMIFS(Doors!Q:Q,Doors!$A:$A,$D120,Doors!$B:$B,$B120,Doors!$C:$C,$C120)*SUMIFS(Velocity!$I:$I,Velocity!$A:$A,$A120,Velocity!$B:$B,$C120)/Assumptions!$B$4*Assumptions!$B$6</f>
        <v>0.9125</v>
      </c>
      <c r="F120" s="7" t="n">
        <f aca="false">SUMIFS(Doors!R:R,Doors!$A:$A,$D120,Doors!$B:$B,$B120,Doors!$C:$C,$C120)*SUMIFS(Velocity!$I:$I,Velocity!$A:$A,$A120,Velocity!$B:$B,$C120)/Assumptions!$B$4*Assumptions!$B$6</f>
        <v>0.9125</v>
      </c>
      <c r="G120" s="7" t="n">
        <f aca="false">SUMIFS(Doors!S:S,Doors!$A:$A,$D120,Doors!$B:$B,$B120,Doors!$C:$C,$C120)*SUMIFS(Velocity!$I:$I,Velocity!$A:$A,$A120,Velocity!$B:$B,$C120)/Assumptions!$B$4*Assumptions!$B$6</f>
        <v>0.9125</v>
      </c>
      <c r="H120" s="7" t="n">
        <f aca="false">SUMIFS(Doors!T:T,Doors!$A:$A,$D120,Doors!$B:$B,$B120,Doors!$C:$C,$C120)*SUMIFS(Velocity!$I:$I,Velocity!$A:$A,$A120,Velocity!$B:$B,$C120)/Assumptions!$B$4*Assumptions!$B$6</f>
        <v>0.9125</v>
      </c>
      <c r="I120" s="7" t="n">
        <f aca="false">SUMIFS(Doors!U:U,Doors!$A:$A,$D120,Doors!$B:$B,$B120,Doors!$C:$C,$C120)*SUMIFS(Velocity!$I:$I,Velocity!$A:$A,$A120,Velocity!$B:$B,$C120)/Assumptions!$B$4*Assumptions!$B$6</f>
        <v>0.9125</v>
      </c>
      <c r="J120" s="7" t="n">
        <f aca="false">SUMIFS(Doors!V:V,Doors!$A:$A,$D120,Doors!$B:$B,$B120,Doors!$C:$C,$C120)*SUMIFS(Velocity!$I:$I,Velocity!$A:$A,$A120,Velocity!$B:$B,$C120)/Assumptions!$B$4*Assumptions!$B$6</f>
        <v>1.52083333333333</v>
      </c>
      <c r="K120" s="7" t="n">
        <f aca="false">SUMIFS(Doors!W:W,Doors!$A:$A,$D120,Doors!$B:$B,$B120,Doors!$C:$C,$C120)*SUMIFS(Velocity!$I:$I,Velocity!$A:$A,$A120,Velocity!$B:$B,$C120)/Assumptions!$B$4*Assumptions!$B$6</f>
        <v>1.52083333333333</v>
      </c>
      <c r="L120" s="7" t="n">
        <f aca="false">SUMIFS(Doors!X:X,Doors!$A:$A,$D120,Doors!$B:$B,$B120,Doors!$C:$C,$C120)*SUMIFS(Velocity!$I:$I,Velocity!$A:$A,$A120,Velocity!$B:$B,$C120)/Assumptions!$B$4*Assumptions!$B$6</f>
        <v>1.52083333333333</v>
      </c>
      <c r="M120" s="7" t="n">
        <f aca="false">SUMIFS(Doors!Y:Y,Doors!$A:$A,$D120,Doors!$B:$B,$B120,Doors!$C:$C,$C120)*SUMIFS(Velocity!$I:$I,Velocity!$A:$A,$A120,Velocity!$B:$B,$C120)/Assumptions!$B$4*Assumptions!$B$6</f>
        <v>1.52083333333333</v>
      </c>
      <c r="N120" s="7" t="n">
        <f aca="false">SUMIFS(Doors!Z:Z,Doors!$A:$A,$D120,Doors!$B:$B,$B120,Doors!$C:$C,$C120)*SUMIFS(Velocity!$I:$I,Velocity!$A:$A,$A120,Velocity!$B:$B,$C120)/Assumptions!$B$4*Assumptions!$B$6</f>
        <v>2.12916666666667</v>
      </c>
      <c r="O120" s="7" t="n">
        <f aca="false">SUMIFS(Doors!AA:AA,Doors!$A:$A,$D120,Doors!$B:$B,$B120,Doors!$C:$C,$C120)*SUMIFS(Velocity!$I:$I,Velocity!$A:$A,$A120,Velocity!$B:$B,$C120)/Assumptions!$B$4*Assumptions!$B$6</f>
        <v>2.12916666666667</v>
      </c>
      <c r="P120" s="7" t="n">
        <f aca="false">SUMIFS(Doors!AB:AB,Doors!$A:$A,$D120,Doors!$B:$B,$B120,Doors!$C:$C,$C120)*SUMIFS(Velocity!$I:$I,Velocity!$A:$A,$A120,Velocity!$B:$B,$C120)/Assumptions!$B$4*Assumptions!$B$6</f>
        <v>2.12916666666667</v>
      </c>
      <c r="Q120" s="7" t="n">
        <f aca="false">SUMIFS(Doors!AC:AC,Doors!$A:$A,$D120,Doors!$B:$B,$B120,Doors!$C:$C,$C120)*SUMIFS(Velocity!$I:$I,Velocity!$A:$A,$A120,Velocity!$B:$B,$C120)/Assumptions!$B$4*Assumptions!$B$6</f>
        <v>2.12916666666667</v>
      </c>
      <c r="R120" s="7" t="n">
        <f aca="false">SUMIFS(Doors!AD:AD,Doors!$A:$A,$D120,Doors!$B:$B,$B120,Doors!$C:$C,$C120)*SUMIFS(Velocity!$I:$I,Velocity!$A:$A,$A120,Velocity!$B:$B,$C120)/Assumptions!$B$4*Assumptions!$B$6</f>
        <v>2.7375</v>
      </c>
      <c r="S120" s="7" t="n">
        <f aca="false">SUMIFS(Doors!AE:AE,Doors!$A:$A,$D120,Doors!$B:$B,$B120,Doors!$C:$C,$C120)*SUMIFS(Velocity!$I:$I,Velocity!$A:$A,$A120,Velocity!$B:$B,$C120)/Assumptions!$B$4*Assumptions!$B$6</f>
        <v>2.7375</v>
      </c>
      <c r="T120" s="7" t="n">
        <f aca="false">SUMIFS(Doors!AF:AF,Doors!$A:$A,$D120,Doors!$B:$B,$B120,Doors!$C:$C,$C120)*SUMIFS(Velocity!$I:$I,Velocity!$A:$A,$A120,Velocity!$B:$B,$C120)/Assumptions!$B$4*Assumptions!$B$6</f>
        <v>2.7375</v>
      </c>
      <c r="U120" s="7" t="n">
        <f aca="false">SUMIFS(Doors!AG:AG,Doors!$A:$A,$D120,Doors!$B:$B,$B120,Doors!$C:$C,$C120)*SUMIFS(Velocity!$I:$I,Velocity!$A:$A,$A120,Velocity!$B:$B,$C120)/Assumptions!$B$4*Assumptions!$B$6</f>
        <v>2.7375</v>
      </c>
      <c r="V120" s="7" t="n">
        <f aca="false">SUMIFS(Doors!AH:AH,Doors!$A:$A,$D120,Doors!$B:$B,$B120,Doors!$C:$C,$C120)*SUMIFS(Velocity!$I:$I,Velocity!$A:$A,$A120,Velocity!$B:$B,$C120)/Assumptions!$B$4*Assumptions!$B$6</f>
        <v>2.7375</v>
      </c>
      <c r="W120" s="7" t="n">
        <f aca="false">SUMIFS(Doors!AI:AI,Doors!$A:$A,$D120,Doors!$B:$B,$B120,Doors!$C:$C,$C120)*SUMIFS(Velocity!$I:$I,Velocity!$A:$A,$A120,Velocity!$B:$B,$C120)/Assumptions!$B$4*Assumptions!$B$6</f>
        <v>3.34583333333333</v>
      </c>
      <c r="X120" s="7" t="n">
        <f aca="false">SUMIFS(Doors!AJ:AJ,Doors!$A:$A,$D120,Doors!$B:$B,$B120,Doors!$C:$C,$C120)*SUMIFS(Velocity!$I:$I,Velocity!$A:$A,$A120,Velocity!$B:$B,$C120)/Assumptions!$B$4*Assumptions!$B$6</f>
        <v>3.34583333333333</v>
      </c>
      <c r="Y120" s="7" t="n">
        <f aca="false">SUMIFS(Doors!AK:AK,Doors!$A:$A,$D120,Doors!$B:$B,$B120,Doors!$C:$C,$C120)*SUMIFS(Velocity!$I:$I,Velocity!$A:$A,$A120,Velocity!$B:$B,$C120)/Assumptions!$B$4*Assumptions!$B$6</f>
        <v>3.34583333333333</v>
      </c>
      <c r="Z120" s="7" t="n">
        <f aca="false">SUMIFS(Doors!AL:AL,Doors!$A:$A,$D120,Doors!$B:$B,$B120,Doors!$C:$C,$C120)*SUMIFS(Velocity!$I:$I,Velocity!$A:$A,$A120,Velocity!$B:$B,$C120)/Assumptions!$B$4*Assumptions!$B$6</f>
        <v>3.34583333333333</v>
      </c>
      <c r="AA120" s="7" t="n">
        <f aca="false">SUMIFS(Doors!AM:AM,Doors!$A:$A,$D120,Doors!$B:$B,$B120,Doors!$C:$C,$C120)*SUMIFS(Velocity!$I:$I,Velocity!$A:$A,$A120,Velocity!$B:$B,$C120)/Assumptions!$B$4*Assumptions!$B$6</f>
        <v>3.65</v>
      </c>
      <c r="AB120" s="7" t="n">
        <f aca="false">SUMIFS(Doors!AN:AN,Doors!$A:$A,$D120,Doors!$B:$B,$B120,Doors!$C:$C,$C120)*SUMIFS(Velocity!$I:$I,Velocity!$A:$A,$A120,Velocity!$B:$B,$C120)/Assumptions!$B$4*Assumptions!$B$6</f>
        <v>3.65</v>
      </c>
      <c r="AC120" s="7" t="n">
        <f aca="false">SUMIFS(Doors!AO:AO,Doors!$A:$A,$D120,Doors!$B:$B,$B120,Doors!$C:$C,$C120)*SUMIFS(Velocity!$I:$I,Velocity!$A:$A,$A120,Velocity!$B:$B,$C120)/Assumptions!$B$4*Assumptions!$B$6</f>
        <v>3.65</v>
      </c>
      <c r="AD120" s="7" t="n">
        <f aca="false">SUMIFS(Doors!AP:AP,Doors!$A:$A,$D120,Doors!$B:$B,$B120,Doors!$C:$C,$C120)*SUMIFS(Velocity!$I:$I,Velocity!$A:$A,$A120,Velocity!$B:$B,$C120)/Assumptions!$B$4*Assumptions!$B$6</f>
        <v>3.65</v>
      </c>
      <c r="AE120" s="7" t="n">
        <f aca="false">SUMIFS(Doors!AQ:AQ,Doors!$A:$A,$D120,Doors!$B:$B,$B120,Doors!$C:$C,$C120)*SUMIFS(Velocity!$I:$I,Velocity!$A:$A,$A120,Velocity!$B:$B,$C120)/Assumptions!$B$4*Assumptions!$B$6</f>
        <v>3.95416666666667</v>
      </c>
      <c r="AF120" s="7" t="n">
        <f aca="false">SUMIFS(Doors!AR:AR,Doors!$A:$A,$D120,Doors!$B:$B,$B120,Doors!$C:$C,$C120)*SUMIFS(Velocity!$I:$I,Velocity!$A:$A,$A120,Velocity!$B:$B,$C120)/Assumptions!$B$4*Assumptions!$B$6</f>
        <v>3.95416666666667</v>
      </c>
      <c r="AG120" s="7" t="n">
        <f aca="false">SUMIFS(Doors!AS:AS,Doors!$A:$A,$D120,Doors!$B:$B,$B120,Doors!$C:$C,$C120)*SUMIFS(Velocity!$I:$I,Velocity!$A:$A,$A120,Velocity!$B:$B,$C120)/Assumptions!$B$4*Assumptions!$B$6</f>
        <v>3.95416666666667</v>
      </c>
      <c r="AH120" s="7" t="n">
        <f aca="false">SUMIFS(Doors!AT:AT,Doors!$A:$A,$D120,Doors!$B:$B,$B120,Doors!$C:$C,$C120)*SUMIFS(Velocity!$I:$I,Velocity!$A:$A,$A120,Velocity!$B:$B,$C120)/Assumptions!$B$4*Assumptions!$B$6</f>
        <v>3.95416666666667</v>
      </c>
      <c r="AI120" s="7" t="n">
        <f aca="false">SUMIFS(Doors!AU:AU,Doors!$A:$A,$D120,Doors!$B:$B,$B120,Doors!$C:$C,$C120)*SUMIFS(Velocity!$I:$I,Velocity!$A:$A,$A120,Velocity!$B:$B,$C120)/Assumptions!$B$4*Assumptions!$B$6</f>
        <v>3.95416666666667</v>
      </c>
      <c r="AJ120" s="7" t="n">
        <f aca="false">SUMIFS(Doors!AV:AV,Doors!$A:$A,$D120,Doors!$B:$B,$B120,Doors!$C:$C,$C120)*SUMIFS(Velocity!$I:$I,Velocity!$A:$A,$A120,Velocity!$B:$B,$C120)/Assumptions!$B$4*Assumptions!$B$6</f>
        <v>4.25833333333333</v>
      </c>
      <c r="AK120" s="7" t="n">
        <f aca="false">SUMIFS(Doors!AW:AW,Doors!$A:$A,$D120,Doors!$B:$B,$B120,Doors!$C:$C,$C120)*SUMIFS(Velocity!$I:$I,Velocity!$A:$A,$A120,Velocity!$B:$B,$C120)/Assumptions!$B$4*Assumptions!$B$6</f>
        <v>4.25833333333333</v>
      </c>
      <c r="AL120" s="7" t="n">
        <f aca="false">SUMIFS(Doors!AX:AX,Doors!$A:$A,$D120,Doors!$B:$B,$B120,Doors!$C:$C,$C120)*SUMIFS(Velocity!$I:$I,Velocity!$A:$A,$A120,Velocity!$B:$B,$C120)/Assumptions!$B$4*Assumptions!$B$6</f>
        <v>4.25833333333333</v>
      </c>
      <c r="AM120" s="7" t="n">
        <f aca="false">SUMIFS(Doors!AY:AY,Doors!$A:$A,$D120,Doors!$B:$B,$B120,Doors!$C:$C,$C120)*SUMIFS(Velocity!$I:$I,Velocity!$A:$A,$A120,Velocity!$B:$B,$C120)/Assumptions!$B$4*Assumptions!$B$6</f>
        <v>4.25833333333333</v>
      </c>
      <c r="AN120" s="7" t="n">
        <f aca="false">SUMIFS(Doors!AZ:AZ,Doors!$A:$A,$D120,Doors!$B:$B,$B120,Doors!$C:$C,$C120)*SUMIFS(Velocity!$I:$I,Velocity!$A:$A,$A120,Velocity!$B:$B,$C120)/Assumptions!$B$4*Assumptions!$B$6</f>
        <v>4.25833333333333</v>
      </c>
      <c r="AO120" s="7" t="n">
        <f aca="false">SUMIFS(Doors!BA:BA,Doors!$A:$A,$D120,Doors!$B:$B,$B120,Doors!$C:$C,$C120)*SUMIFS(Velocity!$I:$I,Velocity!$A:$A,$A120,Velocity!$B:$B,$C120)/Assumptions!$B$4*Assumptions!$B$6</f>
        <v>4.25833333333333</v>
      </c>
      <c r="AP120" s="7" t="n">
        <f aca="false">SUMIFS(Doors!BB:BB,Doors!$A:$A,$D120,Doors!$B:$B,$B120,Doors!$C:$C,$C120)*SUMIFS(Velocity!$I:$I,Velocity!$A:$A,$A120,Velocity!$B:$B,$C120)/Assumptions!$B$4*Assumptions!$B$6</f>
        <v>4.25833333333333</v>
      </c>
      <c r="AQ120" s="7" t="n">
        <f aca="false">SUMIFS(Doors!BC:BC,Doors!$A:$A,$D120,Doors!$B:$B,$B120,Doors!$C:$C,$C120)*SUMIFS(Velocity!$I:$I,Velocity!$A:$A,$A120,Velocity!$B:$B,$C120)/Assumptions!$B$4*Assumptions!$B$6</f>
        <v>4.25833333333333</v>
      </c>
      <c r="AR120" s="7" t="n">
        <f aca="false">SUMIFS(Doors!BD:BD,Doors!$A:$A,$D120,Doors!$B:$B,$B120,Doors!$C:$C,$C120)*SUMIFS(Velocity!$I:$I,Velocity!$A:$A,$A120,Velocity!$B:$B,$C120)/Assumptions!$B$4*Assumptions!$B$6</f>
        <v>4.5625</v>
      </c>
      <c r="AS120" s="7" t="n">
        <f aca="false">SUMIFS(Doors!BE:BE,Doors!$A:$A,$D120,Doors!$B:$B,$B120,Doors!$C:$C,$C120)*SUMIFS(Velocity!$I:$I,Velocity!$A:$A,$A120,Velocity!$B:$B,$C120)/Assumptions!$B$4*Assumptions!$B$6</f>
        <v>4.5625</v>
      </c>
      <c r="AT120" s="7" t="n">
        <f aca="false">SUMIFS(Doors!BF:BF,Doors!$A:$A,$D120,Doors!$B:$B,$B120,Doors!$C:$C,$C120)*SUMIFS(Velocity!$I:$I,Velocity!$A:$A,$A120,Velocity!$B:$B,$C120)/Assumptions!$B$4*Assumptions!$B$6</f>
        <v>4.5625</v>
      </c>
      <c r="AU120" s="7" t="n">
        <f aca="false">SUMIFS(Doors!BG:BG,Doors!$A:$A,$D120,Doors!$B:$B,$B120,Doors!$C:$C,$C120)*SUMIFS(Velocity!$I:$I,Velocity!$A:$A,$A120,Velocity!$B:$B,$C120)/Assumptions!$B$4*Assumptions!$B$6</f>
        <v>4.5625</v>
      </c>
      <c r="AV120" s="7" t="n">
        <f aca="false">SUMIFS(Doors!BH:BH,Doors!$A:$A,$D120,Doors!$B:$B,$B120,Doors!$C:$C,$C120)*SUMIFS(Velocity!$I:$I,Velocity!$A:$A,$A120,Velocity!$B:$B,$C120)/Assumptions!$B$4*Assumptions!$B$6</f>
        <v>4.5625</v>
      </c>
      <c r="AW120" s="7" t="n">
        <f aca="false">SUMIFS(Doors!BI:BI,Doors!$A:$A,$D120,Doors!$B:$B,$B120,Doors!$C:$C,$C120)*SUMIFS(Velocity!$I:$I,Velocity!$A:$A,$A120,Velocity!$B:$B,$C120)/Assumptions!$B$4*Assumptions!$B$6</f>
        <v>4.5625</v>
      </c>
      <c r="AX120" s="7" t="n">
        <f aca="false">SUMIFS(Doors!BJ:BJ,Doors!$A:$A,$D120,Doors!$B:$B,$B120,Doors!$C:$C,$C120)*SUMIFS(Velocity!$I:$I,Velocity!$A:$A,$A120,Velocity!$B:$B,$C120)/Assumptions!$B$4*Assumptions!$B$6</f>
        <v>4.5625</v>
      </c>
      <c r="AY120" s="7" t="n">
        <f aca="false">SUMIFS(Doors!BK:BK,Doors!$A:$A,$D120,Doors!$B:$B,$B120,Doors!$C:$C,$C120)*SUMIFS(Velocity!$I:$I,Velocity!$A:$A,$A120,Velocity!$B:$B,$C120)/Assumptions!$B$4*Assumptions!$B$6</f>
        <v>4.5625</v>
      </c>
      <c r="AZ120" s="7" t="n">
        <f aca="false">SUMIFS(Doors!BL:BL,Doors!$A:$A,$D120,Doors!$B:$B,$B120,Doors!$C:$C,$C120)*SUMIFS(Velocity!$I:$I,Velocity!$A:$A,$A120,Velocity!$B:$B,$C120)/Assumptions!$B$4*Assumptions!$B$6</f>
        <v>4.5625</v>
      </c>
      <c r="BA120" s="7" t="n">
        <f aca="false">SUMIFS(Doors!BM:BM,Doors!$A:$A,$D120,Doors!$B:$B,$B120,Doors!$C:$C,$C120)*SUMIFS(Velocity!$I:$I,Velocity!$A:$A,$A120,Velocity!$B:$B,$C120)/Assumptions!$B$4*Assumptions!$B$6</f>
        <v>4.5625</v>
      </c>
      <c r="BB120" s="7" t="n">
        <f aca="false">SUMIFS(Doors!BN:BN,Doors!$A:$A,$D120,Doors!$B:$B,$B120,Doors!$C:$C,$C120)*SUMIFS(Velocity!$I:$I,Velocity!$A:$A,$A120,Velocity!$B:$B,$C120)/Assumptions!$B$4*Assumptions!$B$6</f>
        <v>4.5625</v>
      </c>
      <c r="BC120" s="7" t="n">
        <f aca="false">SUMIFS(Doors!BO:BO,Doors!$A:$A,$D120,Doors!$B:$B,$B120,Doors!$C:$C,$C120)*SUMIFS(Velocity!$I:$I,Velocity!$A:$A,$A120,Velocity!$B:$B,$C120)/Assumptions!$B$4*Assumptions!$B$6</f>
        <v>4.5625</v>
      </c>
      <c r="BD120" s="7" t="n">
        <f aca="false">SUMIFS(Doors!BP:BP,Doors!$A:$A,$D120,Doors!$B:$B,$B120,Doors!$C:$C,$C120)*SUMIFS(Velocity!$I:$I,Velocity!$A:$A,$A120,Velocity!$B:$B,$C120)/Assumptions!$B$4*Assumptions!$B$6</f>
        <v>4.5625</v>
      </c>
    </row>
    <row r="121" customFormat="false" ht="15" hidden="false" customHeight="false" outlineLevel="0" collapsed="false">
      <c r="A121" s="0" t="s">
        <v>109</v>
      </c>
      <c r="B121" s="0" t="s">
        <v>128</v>
      </c>
      <c r="C121" s="0" t="s">
        <v>122</v>
      </c>
      <c r="D121" s="0" t="s">
        <v>235</v>
      </c>
      <c r="E121" s="7" t="n">
        <f aca="false">SUMIFS(Doors!Q:Q,Doors!$A:$A,$D121,Doors!$B:$B,$B121,Doors!$C:$C,$C121)*SUMIFS(Velocity!$I:$I,Velocity!$A:$A,$A121,Velocity!$B:$B,$C121)/Assumptions!$B$4*Assumptions!$B$6</f>
        <v>0</v>
      </c>
      <c r="F121" s="7" t="n">
        <f aca="false">SUMIFS(Doors!R:R,Doors!$A:$A,$D121,Doors!$B:$B,$B121,Doors!$C:$C,$C121)*SUMIFS(Velocity!$I:$I,Velocity!$A:$A,$A121,Velocity!$B:$B,$C121)/Assumptions!$B$4*Assumptions!$B$6</f>
        <v>0</v>
      </c>
      <c r="G121" s="7" t="n">
        <f aca="false">SUMIFS(Doors!S:S,Doors!$A:$A,$D121,Doors!$B:$B,$B121,Doors!$C:$C,$C121)*SUMIFS(Velocity!$I:$I,Velocity!$A:$A,$A121,Velocity!$B:$B,$C121)/Assumptions!$B$4*Assumptions!$B$6</f>
        <v>0</v>
      </c>
      <c r="H121" s="7" t="n">
        <f aca="false">SUMIFS(Doors!T:T,Doors!$A:$A,$D121,Doors!$B:$B,$B121,Doors!$C:$C,$C121)*SUMIFS(Velocity!$I:$I,Velocity!$A:$A,$A121,Velocity!$B:$B,$C121)/Assumptions!$B$4*Assumptions!$B$6</f>
        <v>0</v>
      </c>
      <c r="I121" s="7" t="n">
        <f aca="false">SUMIFS(Doors!U:U,Doors!$A:$A,$D121,Doors!$B:$B,$B121,Doors!$C:$C,$C121)*SUMIFS(Velocity!$I:$I,Velocity!$A:$A,$A121,Velocity!$B:$B,$C121)/Assumptions!$B$4*Assumptions!$B$6</f>
        <v>0</v>
      </c>
      <c r="J121" s="7" t="n">
        <f aca="false">SUMIFS(Doors!V:V,Doors!$A:$A,$D121,Doors!$B:$B,$B121,Doors!$C:$C,$C121)*SUMIFS(Velocity!$I:$I,Velocity!$A:$A,$A121,Velocity!$B:$B,$C121)/Assumptions!$B$4*Assumptions!$B$6</f>
        <v>0</v>
      </c>
      <c r="K121" s="7" t="n">
        <f aca="false">SUMIFS(Doors!W:W,Doors!$A:$A,$D121,Doors!$B:$B,$B121,Doors!$C:$C,$C121)*SUMIFS(Velocity!$I:$I,Velocity!$A:$A,$A121,Velocity!$B:$B,$C121)/Assumptions!$B$4*Assumptions!$B$6</f>
        <v>0</v>
      </c>
      <c r="L121" s="7" t="n">
        <f aca="false">SUMIFS(Doors!X:X,Doors!$A:$A,$D121,Doors!$B:$B,$B121,Doors!$C:$C,$C121)*SUMIFS(Velocity!$I:$I,Velocity!$A:$A,$A121,Velocity!$B:$B,$C121)/Assumptions!$B$4*Assumptions!$B$6</f>
        <v>0</v>
      </c>
      <c r="M121" s="7" t="n">
        <f aca="false">SUMIFS(Doors!Y:Y,Doors!$A:$A,$D121,Doors!$B:$B,$B121,Doors!$C:$C,$C121)*SUMIFS(Velocity!$I:$I,Velocity!$A:$A,$A121,Velocity!$B:$B,$C121)/Assumptions!$B$4*Assumptions!$B$6</f>
        <v>0</v>
      </c>
      <c r="N121" s="7" t="n">
        <f aca="false">SUMIFS(Doors!Z:Z,Doors!$A:$A,$D121,Doors!$B:$B,$B121,Doors!$C:$C,$C121)*SUMIFS(Velocity!$I:$I,Velocity!$A:$A,$A121,Velocity!$B:$B,$C121)/Assumptions!$B$4*Assumptions!$B$6</f>
        <v>0.275</v>
      </c>
      <c r="O121" s="7" t="n">
        <f aca="false">SUMIFS(Doors!AA:AA,Doors!$A:$A,$D121,Doors!$B:$B,$B121,Doors!$C:$C,$C121)*SUMIFS(Velocity!$I:$I,Velocity!$A:$A,$A121,Velocity!$B:$B,$C121)/Assumptions!$B$4*Assumptions!$B$6</f>
        <v>0.275</v>
      </c>
      <c r="P121" s="7" t="n">
        <f aca="false">SUMIFS(Doors!AB:AB,Doors!$A:$A,$D121,Doors!$B:$B,$B121,Doors!$C:$C,$C121)*SUMIFS(Velocity!$I:$I,Velocity!$A:$A,$A121,Velocity!$B:$B,$C121)/Assumptions!$B$4*Assumptions!$B$6</f>
        <v>0.275</v>
      </c>
      <c r="Q121" s="7" t="n">
        <f aca="false">SUMIFS(Doors!AC:AC,Doors!$A:$A,$D121,Doors!$B:$B,$B121,Doors!$C:$C,$C121)*SUMIFS(Velocity!$I:$I,Velocity!$A:$A,$A121,Velocity!$B:$B,$C121)/Assumptions!$B$4*Assumptions!$B$6</f>
        <v>0.275</v>
      </c>
      <c r="R121" s="7" t="n">
        <f aca="false">SUMIFS(Doors!AD:AD,Doors!$A:$A,$D121,Doors!$B:$B,$B121,Doors!$C:$C,$C121)*SUMIFS(Velocity!$I:$I,Velocity!$A:$A,$A121,Velocity!$B:$B,$C121)/Assumptions!$B$4*Assumptions!$B$6</f>
        <v>0.55</v>
      </c>
      <c r="S121" s="7" t="n">
        <f aca="false">SUMIFS(Doors!AE:AE,Doors!$A:$A,$D121,Doors!$B:$B,$B121,Doors!$C:$C,$C121)*SUMIFS(Velocity!$I:$I,Velocity!$A:$A,$A121,Velocity!$B:$B,$C121)/Assumptions!$B$4*Assumptions!$B$6</f>
        <v>0.55</v>
      </c>
      <c r="T121" s="7" t="n">
        <f aca="false">SUMIFS(Doors!AF:AF,Doors!$A:$A,$D121,Doors!$B:$B,$B121,Doors!$C:$C,$C121)*SUMIFS(Velocity!$I:$I,Velocity!$A:$A,$A121,Velocity!$B:$B,$C121)/Assumptions!$B$4*Assumptions!$B$6</f>
        <v>0.55</v>
      </c>
      <c r="U121" s="7" t="n">
        <f aca="false">SUMIFS(Doors!AG:AG,Doors!$A:$A,$D121,Doors!$B:$B,$B121,Doors!$C:$C,$C121)*SUMIFS(Velocity!$I:$I,Velocity!$A:$A,$A121,Velocity!$B:$B,$C121)/Assumptions!$B$4*Assumptions!$B$6</f>
        <v>0.55</v>
      </c>
      <c r="V121" s="7" t="n">
        <f aca="false">SUMIFS(Doors!AH:AH,Doors!$A:$A,$D121,Doors!$B:$B,$B121,Doors!$C:$C,$C121)*SUMIFS(Velocity!$I:$I,Velocity!$A:$A,$A121,Velocity!$B:$B,$C121)/Assumptions!$B$4*Assumptions!$B$6</f>
        <v>0.55</v>
      </c>
      <c r="W121" s="7" t="n">
        <f aca="false">SUMIFS(Doors!AI:AI,Doors!$A:$A,$D121,Doors!$B:$B,$B121,Doors!$C:$C,$C121)*SUMIFS(Velocity!$I:$I,Velocity!$A:$A,$A121,Velocity!$B:$B,$C121)/Assumptions!$B$4*Assumptions!$B$6</f>
        <v>0.825</v>
      </c>
      <c r="X121" s="7" t="n">
        <f aca="false">SUMIFS(Doors!AJ:AJ,Doors!$A:$A,$D121,Doors!$B:$B,$B121,Doors!$C:$C,$C121)*SUMIFS(Velocity!$I:$I,Velocity!$A:$A,$A121,Velocity!$B:$B,$C121)/Assumptions!$B$4*Assumptions!$B$6</f>
        <v>0.825</v>
      </c>
      <c r="Y121" s="7" t="n">
        <f aca="false">SUMIFS(Doors!AK:AK,Doors!$A:$A,$D121,Doors!$B:$B,$B121,Doors!$C:$C,$C121)*SUMIFS(Velocity!$I:$I,Velocity!$A:$A,$A121,Velocity!$B:$B,$C121)/Assumptions!$B$4*Assumptions!$B$6</f>
        <v>0.825</v>
      </c>
      <c r="Z121" s="7" t="n">
        <f aca="false">SUMIFS(Doors!AL:AL,Doors!$A:$A,$D121,Doors!$B:$B,$B121,Doors!$C:$C,$C121)*SUMIFS(Velocity!$I:$I,Velocity!$A:$A,$A121,Velocity!$B:$B,$C121)/Assumptions!$B$4*Assumptions!$B$6</f>
        <v>0.825</v>
      </c>
      <c r="AA121" s="7" t="n">
        <f aca="false">SUMIFS(Doors!AM:AM,Doors!$A:$A,$D121,Doors!$B:$B,$B121,Doors!$C:$C,$C121)*SUMIFS(Velocity!$I:$I,Velocity!$A:$A,$A121,Velocity!$B:$B,$C121)/Assumptions!$B$4*Assumptions!$B$6</f>
        <v>1.1</v>
      </c>
      <c r="AB121" s="7" t="n">
        <f aca="false">SUMIFS(Doors!AN:AN,Doors!$A:$A,$D121,Doors!$B:$B,$B121,Doors!$C:$C,$C121)*SUMIFS(Velocity!$I:$I,Velocity!$A:$A,$A121,Velocity!$B:$B,$C121)/Assumptions!$B$4*Assumptions!$B$6</f>
        <v>1.1</v>
      </c>
      <c r="AC121" s="7" t="n">
        <f aca="false">SUMIFS(Doors!AO:AO,Doors!$A:$A,$D121,Doors!$B:$B,$B121,Doors!$C:$C,$C121)*SUMIFS(Velocity!$I:$I,Velocity!$A:$A,$A121,Velocity!$B:$B,$C121)/Assumptions!$B$4*Assumptions!$B$6</f>
        <v>1.1</v>
      </c>
      <c r="AD121" s="7" t="n">
        <f aca="false">SUMIFS(Doors!AP:AP,Doors!$A:$A,$D121,Doors!$B:$B,$B121,Doors!$C:$C,$C121)*SUMIFS(Velocity!$I:$I,Velocity!$A:$A,$A121,Velocity!$B:$B,$C121)/Assumptions!$B$4*Assumptions!$B$6</f>
        <v>1.1</v>
      </c>
      <c r="AE121" s="7" t="n">
        <f aca="false">SUMIFS(Doors!AQ:AQ,Doors!$A:$A,$D121,Doors!$B:$B,$B121,Doors!$C:$C,$C121)*SUMIFS(Velocity!$I:$I,Velocity!$A:$A,$A121,Velocity!$B:$B,$C121)/Assumptions!$B$4*Assumptions!$B$6</f>
        <v>1.375</v>
      </c>
      <c r="AF121" s="7" t="n">
        <f aca="false">SUMIFS(Doors!AR:AR,Doors!$A:$A,$D121,Doors!$B:$B,$B121,Doors!$C:$C,$C121)*SUMIFS(Velocity!$I:$I,Velocity!$A:$A,$A121,Velocity!$B:$B,$C121)/Assumptions!$B$4*Assumptions!$B$6</f>
        <v>1.375</v>
      </c>
      <c r="AG121" s="7" t="n">
        <f aca="false">SUMIFS(Doors!AS:AS,Doors!$A:$A,$D121,Doors!$B:$B,$B121,Doors!$C:$C,$C121)*SUMIFS(Velocity!$I:$I,Velocity!$A:$A,$A121,Velocity!$B:$B,$C121)/Assumptions!$B$4*Assumptions!$B$6</f>
        <v>1.375</v>
      </c>
      <c r="AH121" s="7" t="n">
        <f aca="false">SUMIFS(Doors!AT:AT,Doors!$A:$A,$D121,Doors!$B:$B,$B121,Doors!$C:$C,$C121)*SUMIFS(Velocity!$I:$I,Velocity!$A:$A,$A121,Velocity!$B:$B,$C121)/Assumptions!$B$4*Assumptions!$B$6</f>
        <v>1.375</v>
      </c>
      <c r="AI121" s="7" t="n">
        <f aca="false">SUMIFS(Doors!AU:AU,Doors!$A:$A,$D121,Doors!$B:$B,$B121,Doors!$C:$C,$C121)*SUMIFS(Velocity!$I:$I,Velocity!$A:$A,$A121,Velocity!$B:$B,$C121)/Assumptions!$B$4*Assumptions!$B$6</f>
        <v>1.375</v>
      </c>
      <c r="AJ121" s="7" t="n">
        <f aca="false">SUMIFS(Doors!AV:AV,Doors!$A:$A,$D121,Doors!$B:$B,$B121,Doors!$C:$C,$C121)*SUMIFS(Velocity!$I:$I,Velocity!$A:$A,$A121,Velocity!$B:$B,$C121)/Assumptions!$B$4*Assumptions!$B$6</f>
        <v>1.65</v>
      </c>
      <c r="AK121" s="7" t="n">
        <f aca="false">SUMIFS(Doors!AW:AW,Doors!$A:$A,$D121,Doors!$B:$B,$B121,Doors!$C:$C,$C121)*SUMIFS(Velocity!$I:$I,Velocity!$A:$A,$A121,Velocity!$B:$B,$C121)/Assumptions!$B$4*Assumptions!$B$6</f>
        <v>1.65</v>
      </c>
      <c r="AL121" s="7" t="n">
        <f aca="false">SUMIFS(Doors!AX:AX,Doors!$A:$A,$D121,Doors!$B:$B,$B121,Doors!$C:$C,$C121)*SUMIFS(Velocity!$I:$I,Velocity!$A:$A,$A121,Velocity!$B:$B,$C121)/Assumptions!$B$4*Assumptions!$B$6</f>
        <v>1.65</v>
      </c>
      <c r="AM121" s="7" t="n">
        <f aca="false">SUMIFS(Doors!AY:AY,Doors!$A:$A,$D121,Doors!$B:$B,$B121,Doors!$C:$C,$C121)*SUMIFS(Velocity!$I:$I,Velocity!$A:$A,$A121,Velocity!$B:$B,$C121)/Assumptions!$B$4*Assumptions!$B$6</f>
        <v>1.65</v>
      </c>
      <c r="AN121" s="7" t="n">
        <f aca="false">SUMIFS(Doors!AZ:AZ,Doors!$A:$A,$D121,Doors!$B:$B,$B121,Doors!$C:$C,$C121)*SUMIFS(Velocity!$I:$I,Velocity!$A:$A,$A121,Velocity!$B:$B,$C121)/Assumptions!$B$4*Assumptions!$B$6</f>
        <v>1.925</v>
      </c>
      <c r="AO121" s="7" t="n">
        <f aca="false">SUMIFS(Doors!BA:BA,Doors!$A:$A,$D121,Doors!$B:$B,$B121,Doors!$C:$C,$C121)*SUMIFS(Velocity!$I:$I,Velocity!$A:$A,$A121,Velocity!$B:$B,$C121)/Assumptions!$B$4*Assumptions!$B$6</f>
        <v>1.925</v>
      </c>
      <c r="AP121" s="7" t="n">
        <f aca="false">SUMIFS(Doors!BB:BB,Doors!$A:$A,$D121,Doors!$B:$B,$B121,Doors!$C:$C,$C121)*SUMIFS(Velocity!$I:$I,Velocity!$A:$A,$A121,Velocity!$B:$B,$C121)/Assumptions!$B$4*Assumptions!$B$6</f>
        <v>1.925</v>
      </c>
      <c r="AQ121" s="7" t="n">
        <f aca="false">SUMIFS(Doors!BC:BC,Doors!$A:$A,$D121,Doors!$B:$B,$B121,Doors!$C:$C,$C121)*SUMIFS(Velocity!$I:$I,Velocity!$A:$A,$A121,Velocity!$B:$B,$C121)/Assumptions!$B$4*Assumptions!$B$6</f>
        <v>1.925</v>
      </c>
      <c r="AR121" s="7" t="n">
        <f aca="false">SUMIFS(Doors!BD:BD,Doors!$A:$A,$D121,Doors!$B:$B,$B121,Doors!$C:$C,$C121)*SUMIFS(Velocity!$I:$I,Velocity!$A:$A,$A121,Velocity!$B:$B,$C121)/Assumptions!$B$4*Assumptions!$B$6</f>
        <v>2.0625</v>
      </c>
      <c r="AS121" s="7" t="n">
        <f aca="false">SUMIFS(Doors!BE:BE,Doors!$A:$A,$D121,Doors!$B:$B,$B121,Doors!$C:$C,$C121)*SUMIFS(Velocity!$I:$I,Velocity!$A:$A,$A121,Velocity!$B:$B,$C121)/Assumptions!$B$4*Assumptions!$B$6</f>
        <v>2.0625</v>
      </c>
      <c r="AT121" s="7" t="n">
        <f aca="false">SUMIFS(Doors!BF:BF,Doors!$A:$A,$D121,Doors!$B:$B,$B121,Doors!$C:$C,$C121)*SUMIFS(Velocity!$I:$I,Velocity!$A:$A,$A121,Velocity!$B:$B,$C121)/Assumptions!$B$4*Assumptions!$B$6</f>
        <v>2.0625</v>
      </c>
      <c r="AU121" s="7" t="n">
        <f aca="false">SUMIFS(Doors!BG:BG,Doors!$A:$A,$D121,Doors!$B:$B,$B121,Doors!$C:$C,$C121)*SUMIFS(Velocity!$I:$I,Velocity!$A:$A,$A121,Velocity!$B:$B,$C121)/Assumptions!$B$4*Assumptions!$B$6</f>
        <v>2.0625</v>
      </c>
      <c r="AV121" s="7" t="n">
        <f aca="false">SUMIFS(Doors!BH:BH,Doors!$A:$A,$D121,Doors!$B:$B,$B121,Doors!$C:$C,$C121)*SUMIFS(Velocity!$I:$I,Velocity!$A:$A,$A121,Velocity!$B:$B,$C121)/Assumptions!$B$4*Assumptions!$B$6</f>
        <v>2.0625</v>
      </c>
      <c r="AW121" s="7" t="n">
        <f aca="false">SUMIFS(Doors!BI:BI,Doors!$A:$A,$D121,Doors!$B:$B,$B121,Doors!$C:$C,$C121)*SUMIFS(Velocity!$I:$I,Velocity!$A:$A,$A121,Velocity!$B:$B,$C121)/Assumptions!$B$4*Assumptions!$B$6</f>
        <v>2.0625</v>
      </c>
      <c r="AX121" s="7" t="n">
        <f aca="false">SUMIFS(Doors!BJ:BJ,Doors!$A:$A,$D121,Doors!$B:$B,$B121,Doors!$C:$C,$C121)*SUMIFS(Velocity!$I:$I,Velocity!$A:$A,$A121,Velocity!$B:$B,$C121)/Assumptions!$B$4*Assumptions!$B$6</f>
        <v>2.0625</v>
      </c>
      <c r="AY121" s="7" t="n">
        <f aca="false">SUMIFS(Doors!BK:BK,Doors!$A:$A,$D121,Doors!$B:$B,$B121,Doors!$C:$C,$C121)*SUMIFS(Velocity!$I:$I,Velocity!$A:$A,$A121,Velocity!$B:$B,$C121)/Assumptions!$B$4*Assumptions!$B$6</f>
        <v>2.0625</v>
      </c>
      <c r="AZ121" s="7" t="n">
        <f aca="false">SUMIFS(Doors!BL:BL,Doors!$A:$A,$D121,Doors!$B:$B,$B121,Doors!$C:$C,$C121)*SUMIFS(Velocity!$I:$I,Velocity!$A:$A,$A121,Velocity!$B:$B,$C121)/Assumptions!$B$4*Assumptions!$B$6</f>
        <v>2.0625</v>
      </c>
      <c r="BA121" s="7" t="n">
        <f aca="false">SUMIFS(Doors!BM:BM,Doors!$A:$A,$D121,Doors!$B:$B,$B121,Doors!$C:$C,$C121)*SUMIFS(Velocity!$I:$I,Velocity!$A:$A,$A121,Velocity!$B:$B,$C121)/Assumptions!$B$4*Assumptions!$B$6</f>
        <v>2.0625</v>
      </c>
      <c r="BB121" s="7" t="n">
        <f aca="false">SUMIFS(Doors!BN:BN,Doors!$A:$A,$D121,Doors!$B:$B,$B121,Doors!$C:$C,$C121)*SUMIFS(Velocity!$I:$I,Velocity!$A:$A,$A121,Velocity!$B:$B,$C121)/Assumptions!$B$4*Assumptions!$B$6</f>
        <v>2.0625</v>
      </c>
      <c r="BC121" s="7" t="n">
        <f aca="false">SUMIFS(Doors!BO:BO,Doors!$A:$A,$D121,Doors!$B:$B,$B121,Doors!$C:$C,$C121)*SUMIFS(Velocity!$I:$I,Velocity!$A:$A,$A121,Velocity!$B:$B,$C121)/Assumptions!$B$4*Assumptions!$B$6</f>
        <v>2.0625</v>
      </c>
      <c r="BD121" s="7" t="n">
        <f aca="false">SUMIFS(Doors!BP:BP,Doors!$A:$A,$D121,Doors!$B:$B,$B121,Doors!$C:$C,$C121)*SUMIFS(Velocity!$I:$I,Velocity!$A:$A,$A121,Velocity!$B:$B,$C121)/Assumptions!$B$4*Assumptions!$B$6</f>
        <v>2.0625</v>
      </c>
    </row>
    <row r="122" customFormat="false" ht="15" hidden="false" customHeight="false" outlineLevel="0" collapsed="false">
      <c r="A122" s="0" t="s">
        <v>109</v>
      </c>
      <c r="B122" s="0" t="s">
        <v>128</v>
      </c>
      <c r="C122" s="0" t="s">
        <v>123</v>
      </c>
      <c r="D122" s="0" t="s">
        <v>235</v>
      </c>
      <c r="E122" s="7" t="n">
        <f aca="false">SUMIFS(Doors!Q:Q,Doors!$A:$A,$D122,Doors!$B:$B,$B122,Doors!$C:$C,$C122)*SUMIFS(Velocity!$I:$I,Velocity!$A:$A,$A122,Velocity!$B:$B,$C122)/Assumptions!$B$4*Assumptions!$B$6</f>
        <v>0</v>
      </c>
      <c r="F122" s="7" t="n">
        <f aca="false">SUMIFS(Doors!R:R,Doors!$A:$A,$D122,Doors!$B:$B,$B122,Doors!$C:$C,$C122)*SUMIFS(Velocity!$I:$I,Velocity!$A:$A,$A122,Velocity!$B:$B,$C122)/Assumptions!$B$4*Assumptions!$B$6</f>
        <v>0</v>
      </c>
      <c r="G122" s="7" t="n">
        <f aca="false">SUMIFS(Doors!S:S,Doors!$A:$A,$D122,Doors!$B:$B,$B122,Doors!$C:$C,$C122)*SUMIFS(Velocity!$I:$I,Velocity!$A:$A,$A122,Velocity!$B:$B,$C122)/Assumptions!$B$4*Assumptions!$B$6</f>
        <v>0</v>
      </c>
      <c r="H122" s="7" t="n">
        <f aca="false">SUMIFS(Doors!T:T,Doors!$A:$A,$D122,Doors!$B:$B,$B122,Doors!$C:$C,$C122)*SUMIFS(Velocity!$I:$I,Velocity!$A:$A,$A122,Velocity!$B:$B,$C122)/Assumptions!$B$4*Assumptions!$B$6</f>
        <v>0</v>
      </c>
      <c r="I122" s="7" t="n">
        <f aca="false">SUMIFS(Doors!U:U,Doors!$A:$A,$D122,Doors!$B:$B,$B122,Doors!$C:$C,$C122)*SUMIFS(Velocity!$I:$I,Velocity!$A:$A,$A122,Velocity!$B:$B,$C122)/Assumptions!$B$4*Assumptions!$B$6</f>
        <v>0</v>
      </c>
      <c r="J122" s="7" t="n">
        <f aca="false">SUMIFS(Doors!V:V,Doors!$A:$A,$D122,Doors!$B:$B,$B122,Doors!$C:$C,$C122)*SUMIFS(Velocity!$I:$I,Velocity!$A:$A,$A122,Velocity!$B:$B,$C122)/Assumptions!$B$4*Assumptions!$B$6</f>
        <v>0</v>
      </c>
      <c r="K122" s="7" t="n">
        <f aca="false">SUMIFS(Doors!W:W,Doors!$A:$A,$D122,Doors!$B:$B,$B122,Doors!$C:$C,$C122)*SUMIFS(Velocity!$I:$I,Velocity!$A:$A,$A122,Velocity!$B:$B,$C122)/Assumptions!$B$4*Assumptions!$B$6</f>
        <v>0</v>
      </c>
      <c r="L122" s="7" t="n">
        <f aca="false">SUMIFS(Doors!X:X,Doors!$A:$A,$D122,Doors!$B:$B,$B122,Doors!$C:$C,$C122)*SUMIFS(Velocity!$I:$I,Velocity!$A:$A,$A122,Velocity!$B:$B,$C122)/Assumptions!$B$4*Assumptions!$B$6</f>
        <v>0</v>
      </c>
      <c r="M122" s="7" t="n">
        <f aca="false">SUMIFS(Doors!Y:Y,Doors!$A:$A,$D122,Doors!$B:$B,$B122,Doors!$C:$C,$C122)*SUMIFS(Velocity!$I:$I,Velocity!$A:$A,$A122,Velocity!$B:$B,$C122)/Assumptions!$B$4*Assumptions!$B$6</f>
        <v>0</v>
      </c>
      <c r="N122" s="7" t="n">
        <f aca="false">SUMIFS(Doors!Z:Z,Doors!$A:$A,$D122,Doors!$B:$B,$B122,Doors!$C:$C,$C122)*SUMIFS(Velocity!$I:$I,Velocity!$A:$A,$A122,Velocity!$B:$B,$C122)/Assumptions!$B$4*Assumptions!$B$6</f>
        <v>0</v>
      </c>
      <c r="O122" s="7" t="n">
        <f aca="false">SUMIFS(Doors!AA:AA,Doors!$A:$A,$D122,Doors!$B:$B,$B122,Doors!$C:$C,$C122)*SUMIFS(Velocity!$I:$I,Velocity!$A:$A,$A122,Velocity!$B:$B,$C122)/Assumptions!$B$4*Assumptions!$B$6</f>
        <v>0</v>
      </c>
      <c r="P122" s="7" t="n">
        <f aca="false">SUMIFS(Doors!AB:AB,Doors!$A:$A,$D122,Doors!$B:$B,$B122,Doors!$C:$C,$C122)*SUMIFS(Velocity!$I:$I,Velocity!$A:$A,$A122,Velocity!$B:$B,$C122)/Assumptions!$B$4*Assumptions!$B$6</f>
        <v>0</v>
      </c>
      <c r="Q122" s="7" t="n">
        <f aca="false">SUMIFS(Doors!AC:AC,Doors!$A:$A,$D122,Doors!$B:$B,$B122,Doors!$C:$C,$C122)*SUMIFS(Velocity!$I:$I,Velocity!$A:$A,$A122,Velocity!$B:$B,$C122)/Assumptions!$B$4*Assumptions!$B$6</f>
        <v>0</v>
      </c>
      <c r="R122" s="7" t="n">
        <f aca="false">SUMIFS(Doors!AD:AD,Doors!$A:$A,$D122,Doors!$B:$B,$B122,Doors!$C:$C,$C122)*SUMIFS(Velocity!$I:$I,Velocity!$A:$A,$A122,Velocity!$B:$B,$C122)/Assumptions!$B$4*Assumptions!$B$6</f>
        <v>0</v>
      </c>
      <c r="S122" s="7" t="n">
        <f aca="false">SUMIFS(Doors!AE:AE,Doors!$A:$A,$D122,Doors!$B:$B,$B122,Doors!$C:$C,$C122)*SUMIFS(Velocity!$I:$I,Velocity!$A:$A,$A122,Velocity!$B:$B,$C122)/Assumptions!$B$4*Assumptions!$B$6</f>
        <v>0</v>
      </c>
      <c r="T122" s="7" t="n">
        <f aca="false">SUMIFS(Doors!AF:AF,Doors!$A:$A,$D122,Doors!$B:$B,$B122,Doors!$C:$C,$C122)*SUMIFS(Velocity!$I:$I,Velocity!$A:$A,$A122,Velocity!$B:$B,$C122)/Assumptions!$B$4*Assumptions!$B$6</f>
        <v>0</v>
      </c>
      <c r="U122" s="7" t="n">
        <f aca="false">SUMIFS(Doors!AG:AG,Doors!$A:$A,$D122,Doors!$B:$B,$B122,Doors!$C:$C,$C122)*SUMIFS(Velocity!$I:$I,Velocity!$A:$A,$A122,Velocity!$B:$B,$C122)/Assumptions!$B$4*Assumptions!$B$6</f>
        <v>0</v>
      </c>
      <c r="V122" s="7" t="n">
        <f aca="false">SUMIFS(Doors!AH:AH,Doors!$A:$A,$D122,Doors!$B:$B,$B122,Doors!$C:$C,$C122)*SUMIFS(Velocity!$I:$I,Velocity!$A:$A,$A122,Velocity!$B:$B,$C122)/Assumptions!$B$4*Assumptions!$B$6</f>
        <v>0</v>
      </c>
      <c r="W122" s="7" t="n">
        <f aca="false">SUMIFS(Doors!AI:AI,Doors!$A:$A,$D122,Doors!$B:$B,$B122,Doors!$C:$C,$C122)*SUMIFS(Velocity!$I:$I,Velocity!$A:$A,$A122,Velocity!$B:$B,$C122)/Assumptions!$B$4*Assumptions!$B$6</f>
        <v>0</v>
      </c>
      <c r="X122" s="7" t="n">
        <f aca="false">SUMIFS(Doors!AJ:AJ,Doors!$A:$A,$D122,Doors!$B:$B,$B122,Doors!$C:$C,$C122)*SUMIFS(Velocity!$I:$I,Velocity!$A:$A,$A122,Velocity!$B:$B,$C122)/Assumptions!$B$4*Assumptions!$B$6</f>
        <v>0</v>
      </c>
      <c r="Y122" s="7" t="n">
        <f aca="false">SUMIFS(Doors!AK:AK,Doors!$A:$A,$D122,Doors!$B:$B,$B122,Doors!$C:$C,$C122)*SUMIFS(Velocity!$I:$I,Velocity!$A:$A,$A122,Velocity!$B:$B,$C122)/Assumptions!$B$4*Assumptions!$B$6</f>
        <v>0</v>
      </c>
      <c r="Z122" s="7" t="n">
        <f aca="false">SUMIFS(Doors!AL:AL,Doors!$A:$A,$D122,Doors!$B:$B,$B122,Doors!$C:$C,$C122)*SUMIFS(Velocity!$I:$I,Velocity!$A:$A,$A122,Velocity!$B:$B,$C122)/Assumptions!$B$4*Assumptions!$B$6</f>
        <v>0</v>
      </c>
      <c r="AA122" s="7" t="n">
        <f aca="false">SUMIFS(Doors!AM:AM,Doors!$A:$A,$D122,Doors!$B:$B,$B122,Doors!$C:$C,$C122)*SUMIFS(Velocity!$I:$I,Velocity!$A:$A,$A122,Velocity!$B:$B,$C122)/Assumptions!$B$4*Assumptions!$B$6</f>
        <v>0</v>
      </c>
      <c r="AB122" s="7" t="n">
        <f aca="false">SUMIFS(Doors!AN:AN,Doors!$A:$A,$D122,Doors!$B:$B,$B122,Doors!$C:$C,$C122)*SUMIFS(Velocity!$I:$I,Velocity!$A:$A,$A122,Velocity!$B:$B,$C122)/Assumptions!$B$4*Assumptions!$B$6</f>
        <v>0</v>
      </c>
      <c r="AC122" s="7" t="n">
        <f aca="false">SUMIFS(Doors!AO:AO,Doors!$A:$A,$D122,Doors!$B:$B,$B122,Doors!$C:$C,$C122)*SUMIFS(Velocity!$I:$I,Velocity!$A:$A,$A122,Velocity!$B:$B,$C122)/Assumptions!$B$4*Assumptions!$B$6</f>
        <v>0</v>
      </c>
      <c r="AD122" s="7" t="n">
        <f aca="false">SUMIFS(Doors!AP:AP,Doors!$A:$A,$D122,Doors!$B:$B,$B122,Doors!$C:$C,$C122)*SUMIFS(Velocity!$I:$I,Velocity!$A:$A,$A122,Velocity!$B:$B,$C122)/Assumptions!$B$4*Assumptions!$B$6</f>
        <v>0</v>
      </c>
      <c r="AE122" s="7" t="n">
        <f aca="false">SUMIFS(Doors!AQ:AQ,Doors!$A:$A,$D122,Doors!$B:$B,$B122,Doors!$C:$C,$C122)*SUMIFS(Velocity!$I:$I,Velocity!$A:$A,$A122,Velocity!$B:$B,$C122)/Assumptions!$B$4*Assumptions!$B$6</f>
        <v>0</v>
      </c>
      <c r="AF122" s="7" t="n">
        <f aca="false">SUMIFS(Doors!AR:AR,Doors!$A:$A,$D122,Doors!$B:$B,$B122,Doors!$C:$C,$C122)*SUMIFS(Velocity!$I:$I,Velocity!$A:$A,$A122,Velocity!$B:$B,$C122)/Assumptions!$B$4*Assumptions!$B$6</f>
        <v>0</v>
      </c>
      <c r="AG122" s="7" t="n">
        <f aca="false">SUMIFS(Doors!AS:AS,Doors!$A:$A,$D122,Doors!$B:$B,$B122,Doors!$C:$C,$C122)*SUMIFS(Velocity!$I:$I,Velocity!$A:$A,$A122,Velocity!$B:$B,$C122)/Assumptions!$B$4*Assumptions!$B$6</f>
        <v>0</v>
      </c>
      <c r="AH122" s="7" t="n">
        <f aca="false">SUMIFS(Doors!AT:AT,Doors!$A:$A,$D122,Doors!$B:$B,$B122,Doors!$C:$C,$C122)*SUMIFS(Velocity!$I:$I,Velocity!$A:$A,$A122,Velocity!$B:$B,$C122)/Assumptions!$B$4*Assumptions!$B$6</f>
        <v>0</v>
      </c>
      <c r="AI122" s="7" t="n">
        <f aca="false">SUMIFS(Doors!AU:AU,Doors!$A:$A,$D122,Doors!$B:$B,$B122,Doors!$C:$C,$C122)*SUMIFS(Velocity!$I:$I,Velocity!$A:$A,$A122,Velocity!$B:$B,$C122)/Assumptions!$B$4*Assumptions!$B$6</f>
        <v>0</v>
      </c>
      <c r="AJ122" s="7" t="n">
        <f aca="false">SUMIFS(Doors!AV:AV,Doors!$A:$A,$D122,Doors!$B:$B,$B122,Doors!$C:$C,$C122)*SUMIFS(Velocity!$I:$I,Velocity!$A:$A,$A122,Velocity!$B:$B,$C122)/Assumptions!$B$4*Assumptions!$B$6</f>
        <v>0</v>
      </c>
      <c r="AK122" s="7" t="n">
        <f aca="false">SUMIFS(Doors!AW:AW,Doors!$A:$A,$D122,Doors!$B:$B,$B122,Doors!$C:$C,$C122)*SUMIFS(Velocity!$I:$I,Velocity!$A:$A,$A122,Velocity!$B:$B,$C122)/Assumptions!$B$4*Assumptions!$B$6</f>
        <v>0</v>
      </c>
      <c r="AL122" s="7" t="n">
        <f aca="false">SUMIFS(Doors!AX:AX,Doors!$A:$A,$D122,Doors!$B:$B,$B122,Doors!$C:$C,$C122)*SUMIFS(Velocity!$I:$I,Velocity!$A:$A,$A122,Velocity!$B:$B,$C122)/Assumptions!$B$4*Assumptions!$B$6</f>
        <v>0</v>
      </c>
      <c r="AM122" s="7" t="n">
        <f aca="false">SUMIFS(Doors!AY:AY,Doors!$A:$A,$D122,Doors!$B:$B,$B122,Doors!$C:$C,$C122)*SUMIFS(Velocity!$I:$I,Velocity!$A:$A,$A122,Velocity!$B:$B,$C122)/Assumptions!$B$4*Assumptions!$B$6</f>
        <v>0</v>
      </c>
      <c r="AN122" s="7" t="n">
        <f aca="false">SUMIFS(Doors!AZ:AZ,Doors!$A:$A,$D122,Doors!$B:$B,$B122,Doors!$C:$C,$C122)*SUMIFS(Velocity!$I:$I,Velocity!$A:$A,$A122,Velocity!$B:$B,$C122)/Assumptions!$B$4*Assumptions!$B$6</f>
        <v>0</v>
      </c>
      <c r="AO122" s="7" t="n">
        <f aca="false">SUMIFS(Doors!BA:BA,Doors!$A:$A,$D122,Doors!$B:$B,$B122,Doors!$C:$C,$C122)*SUMIFS(Velocity!$I:$I,Velocity!$A:$A,$A122,Velocity!$B:$B,$C122)/Assumptions!$B$4*Assumptions!$B$6</f>
        <v>0</v>
      </c>
      <c r="AP122" s="7" t="n">
        <f aca="false">SUMIFS(Doors!BB:BB,Doors!$A:$A,$D122,Doors!$B:$B,$B122,Doors!$C:$C,$C122)*SUMIFS(Velocity!$I:$I,Velocity!$A:$A,$A122,Velocity!$B:$B,$C122)/Assumptions!$B$4*Assumptions!$B$6</f>
        <v>0</v>
      </c>
      <c r="AQ122" s="7" t="n">
        <f aca="false">SUMIFS(Doors!BC:BC,Doors!$A:$A,$D122,Doors!$B:$B,$B122,Doors!$C:$C,$C122)*SUMIFS(Velocity!$I:$I,Velocity!$A:$A,$A122,Velocity!$B:$B,$C122)/Assumptions!$B$4*Assumptions!$B$6</f>
        <v>0</v>
      </c>
      <c r="AR122" s="7" t="n">
        <f aca="false">SUMIFS(Doors!BD:BD,Doors!$A:$A,$D122,Doors!$B:$B,$B122,Doors!$C:$C,$C122)*SUMIFS(Velocity!$I:$I,Velocity!$A:$A,$A122,Velocity!$B:$B,$C122)/Assumptions!$B$4*Assumptions!$B$6</f>
        <v>0</v>
      </c>
      <c r="AS122" s="7" t="n">
        <f aca="false">SUMIFS(Doors!BE:BE,Doors!$A:$A,$D122,Doors!$B:$B,$B122,Doors!$C:$C,$C122)*SUMIFS(Velocity!$I:$I,Velocity!$A:$A,$A122,Velocity!$B:$B,$C122)/Assumptions!$B$4*Assumptions!$B$6</f>
        <v>0</v>
      </c>
      <c r="AT122" s="7" t="n">
        <f aca="false">SUMIFS(Doors!BF:BF,Doors!$A:$A,$D122,Doors!$B:$B,$B122,Doors!$C:$C,$C122)*SUMIFS(Velocity!$I:$I,Velocity!$A:$A,$A122,Velocity!$B:$B,$C122)/Assumptions!$B$4*Assumptions!$B$6</f>
        <v>0</v>
      </c>
      <c r="AU122" s="7" t="n">
        <f aca="false">SUMIFS(Doors!BG:BG,Doors!$A:$A,$D122,Doors!$B:$B,$B122,Doors!$C:$C,$C122)*SUMIFS(Velocity!$I:$I,Velocity!$A:$A,$A122,Velocity!$B:$B,$C122)/Assumptions!$B$4*Assumptions!$B$6</f>
        <v>0</v>
      </c>
      <c r="AV122" s="7" t="n">
        <f aca="false">SUMIFS(Doors!BH:BH,Doors!$A:$A,$D122,Doors!$B:$B,$B122,Doors!$C:$C,$C122)*SUMIFS(Velocity!$I:$I,Velocity!$A:$A,$A122,Velocity!$B:$B,$C122)/Assumptions!$B$4*Assumptions!$B$6</f>
        <v>0</v>
      </c>
      <c r="AW122" s="7" t="n">
        <f aca="false">SUMIFS(Doors!BI:BI,Doors!$A:$A,$D122,Doors!$B:$B,$B122,Doors!$C:$C,$C122)*SUMIFS(Velocity!$I:$I,Velocity!$A:$A,$A122,Velocity!$B:$B,$C122)/Assumptions!$B$4*Assumptions!$B$6</f>
        <v>0</v>
      </c>
      <c r="AX122" s="7" t="n">
        <f aca="false">SUMIFS(Doors!BJ:BJ,Doors!$A:$A,$D122,Doors!$B:$B,$B122,Doors!$C:$C,$C122)*SUMIFS(Velocity!$I:$I,Velocity!$A:$A,$A122,Velocity!$B:$B,$C122)/Assumptions!$B$4*Assumptions!$B$6</f>
        <v>0</v>
      </c>
      <c r="AY122" s="7" t="n">
        <f aca="false">SUMIFS(Doors!BK:BK,Doors!$A:$A,$D122,Doors!$B:$B,$B122,Doors!$C:$C,$C122)*SUMIFS(Velocity!$I:$I,Velocity!$A:$A,$A122,Velocity!$B:$B,$C122)/Assumptions!$B$4*Assumptions!$B$6</f>
        <v>0</v>
      </c>
      <c r="AZ122" s="7" t="n">
        <f aca="false">SUMIFS(Doors!BL:BL,Doors!$A:$A,$D122,Doors!$B:$B,$B122,Doors!$C:$C,$C122)*SUMIFS(Velocity!$I:$I,Velocity!$A:$A,$A122,Velocity!$B:$B,$C122)/Assumptions!$B$4*Assumptions!$B$6</f>
        <v>0</v>
      </c>
      <c r="BA122" s="7" t="n">
        <f aca="false">SUMIFS(Doors!BM:BM,Doors!$A:$A,$D122,Doors!$B:$B,$B122,Doors!$C:$C,$C122)*SUMIFS(Velocity!$I:$I,Velocity!$A:$A,$A122,Velocity!$B:$B,$C122)/Assumptions!$B$4*Assumptions!$B$6</f>
        <v>0</v>
      </c>
      <c r="BB122" s="7" t="n">
        <f aca="false">SUMIFS(Doors!BN:BN,Doors!$A:$A,$D122,Doors!$B:$B,$B122,Doors!$C:$C,$C122)*SUMIFS(Velocity!$I:$I,Velocity!$A:$A,$A122,Velocity!$B:$B,$C122)/Assumptions!$B$4*Assumptions!$B$6</f>
        <v>0</v>
      </c>
      <c r="BC122" s="7" t="n">
        <f aca="false">SUMIFS(Doors!BO:BO,Doors!$A:$A,$D122,Doors!$B:$B,$B122,Doors!$C:$C,$C122)*SUMIFS(Velocity!$I:$I,Velocity!$A:$A,$A122,Velocity!$B:$B,$C122)/Assumptions!$B$4*Assumptions!$B$6</f>
        <v>0</v>
      </c>
      <c r="BD122" s="7" t="n">
        <f aca="false">SUMIFS(Doors!BP:BP,Doors!$A:$A,$D122,Doors!$B:$B,$B122,Doors!$C:$C,$C122)*SUMIFS(Velocity!$I:$I,Velocity!$A:$A,$A122,Velocity!$B:$B,$C122)/Assumptions!$B$4*Assumptions!$B$6</f>
        <v>0</v>
      </c>
    </row>
    <row r="123" customFormat="false" ht="15" hidden="false" customHeight="false" outlineLevel="0" collapsed="false">
      <c r="A123" s="0" t="s">
        <v>109</v>
      </c>
      <c r="B123" s="0" t="s">
        <v>129</v>
      </c>
      <c r="C123" s="0" t="s">
        <v>115</v>
      </c>
      <c r="D123" s="0" t="s">
        <v>235</v>
      </c>
      <c r="E123" s="7" t="n">
        <f aca="false">SUMIFS(Doors!Q:Q,Doors!$A:$A,$D123,Doors!$B:$B,$B123,Doors!$C:$C,$C123)*SUMIFS(Velocity!$I:$I,Velocity!$A:$A,$A123,Velocity!$B:$B,$C123)/Assumptions!$B$4*Assumptions!$B$6</f>
        <v>0</v>
      </c>
      <c r="F123" s="7" t="n">
        <f aca="false">SUMIFS(Doors!R:R,Doors!$A:$A,$D123,Doors!$B:$B,$B123,Doors!$C:$C,$C123)*SUMIFS(Velocity!$I:$I,Velocity!$A:$A,$A123,Velocity!$B:$B,$C123)/Assumptions!$B$4*Assumptions!$B$6</f>
        <v>0</v>
      </c>
      <c r="G123" s="7" t="n">
        <f aca="false">SUMIFS(Doors!S:S,Doors!$A:$A,$D123,Doors!$B:$B,$B123,Doors!$C:$C,$C123)*SUMIFS(Velocity!$I:$I,Velocity!$A:$A,$A123,Velocity!$B:$B,$C123)/Assumptions!$B$4*Assumptions!$B$6</f>
        <v>0</v>
      </c>
      <c r="H123" s="7" t="n">
        <f aca="false">SUMIFS(Doors!T:T,Doors!$A:$A,$D123,Doors!$B:$B,$B123,Doors!$C:$C,$C123)*SUMIFS(Velocity!$I:$I,Velocity!$A:$A,$A123,Velocity!$B:$B,$C123)/Assumptions!$B$4*Assumptions!$B$6</f>
        <v>0</v>
      </c>
      <c r="I123" s="7" t="n">
        <f aca="false">SUMIFS(Doors!U:U,Doors!$A:$A,$D123,Doors!$B:$B,$B123,Doors!$C:$C,$C123)*SUMIFS(Velocity!$I:$I,Velocity!$A:$A,$A123,Velocity!$B:$B,$C123)/Assumptions!$B$4*Assumptions!$B$6</f>
        <v>0</v>
      </c>
      <c r="J123" s="7" t="n">
        <f aca="false">SUMIFS(Doors!V:V,Doors!$A:$A,$D123,Doors!$B:$B,$B123,Doors!$C:$C,$C123)*SUMIFS(Velocity!$I:$I,Velocity!$A:$A,$A123,Velocity!$B:$B,$C123)/Assumptions!$B$4*Assumptions!$B$6</f>
        <v>0</v>
      </c>
      <c r="K123" s="7" t="n">
        <f aca="false">SUMIFS(Doors!W:W,Doors!$A:$A,$D123,Doors!$B:$B,$B123,Doors!$C:$C,$C123)*SUMIFS(Velocity!$I:$I,Velocity!$A:$A,$A123,Velocity!$B:$B,$C123)/Assumptions!$B$4*Assumptions!$B$6</f>
        <v>0</v>
      </c>
      <c r="L123" s="7" t="n">
        <f aca="false">SUMIFS(Doors!X:X,Doors!$A:$A,$D123,Doors!$B:$B,$B123,Doors!$C:$C,$C123)*SUMIFS(Velocity!$I:$I,Velocity!$A:$A,$A123,Velocity!$B:$B,$C123)/Assumptions!$B$4*Assumptions!$B$6</f>
        <v>0</v>
      </c>
      <c r="M123" s="7" t="n">
        <f aca="false">SUMIFS(Doors!Y:Y,Doors!$A:$A,$D123,Doors!$B:$B,$B123,Doors!$C:$C,$C123)*SUMIFS(Velocity!$I:$I,Velocity!$A:$A,$A123,Velocity!$B:$B,$C123)/Assumptions!$B$4*Assumptions!$B$6</f>
        <v>0</v>
      </c>
      <c r="N123" s="7" t="n">
        <f aca="false">SUMIFS(Doors!Z:Z,Doors!$A:$A,$D123,Doors!$B:$B,$B123,Doors!$C:$C,$C123)*SUMIFS(Velocity!$I:$I,Velocity!$A:$A,$A123,Velocity!$B:$B,$C123)/Assumptions!$B$4*Assumptions!$B$6</f>
        <v>0.558333333333333</v>
      </c>
      <c r="O123" s="7" t="n">
        <f aca="false">SUMIFS(Doors!AA:AA,Doors!$A:$A,$D123,Doors!$B:$B,$B123,Doors!$C:$C,$C123)*SUMIFS(Velocity!$I:$I,Velocity!$A:$A,$A123,Velocity!$B:$B,$C123)/Assumptions!$B$4*Assumptions!$B$6</f>
        <v>0.558333333333333</v>
      </c>
      <c r="P123" s="7" t="n">
        <f aca="false">SUMIFS(Doors!AB:AB,Doors!$A:$A,$D123,Doors!$B:$B,$B123,Doors!$C:$C,$C123)*SUMIFS(Velocity!$I:$I,Velocity!$A:$A,$A123,Velocity!$B:$B,$C123)/Assumptions!$B$4*Assumptions!$B$6</f>
        <v>0.558333333333333</v>
      </c>
      <c r="Q123" s="7" t="n">
        <f aca="false">SUMIFS(Doors!AC:AC,Doors!$A:$A,$D123,Doors!$B:$B,$B123,Doors!$C:$C,$C123)*SUMIFS(Velocity!$I:$I,Velocity!$A:$A,$A123,Velocity!$B:$B,$C123)/Assumptions!$B$4*Assumptions!$B$6</f>
        <v>0.558333333333333</v>
      </c>
      <c r="R123" s="7" t="n">
        <f aca="false">SUMIFS(Doors!AD:AD,Doors!$A:$A,$D123,Doors!$B:$B,$B123,Doors!$C:$C,$C123)*SUMIFS(Velocity!$I:$I,Velocity!$A:$A,$A123,Velocity!$B:$B,$C123)/Assumptions!$B$4*Assumptions!$B$6</f>
        <v>1.11666666666667</v>
      </c>
      <c r="S123" s="7" t="n">
        <f aca="false">SUMIFS(Doors!AE:AE,Doors!$A:$A,$D123,Doors!$B:$B,$B123,Doors!$C:$C,$C123)*SUMIFS(Velocity!$I:$I,Velocity!$A:$A,$A123,Velocity!$B:$B,$C123)/Assumptions!$B$4*Assumptions!$B$6</f>
        <v>1.11666666666667</v>
      </c>
      <c r="T123" s="7" t="n">
        <f aca="false">SUMIFS(Doors!AF:AF,Doors!$A:$A,$D123,Doors!$B:$B,$B123,Doors!$C:$C,$C123)*SUMIFS(Velocity!$I:$I,Velocity!$A:$A,$A123,Velocity!$B:$B,$C123)/Assumptions!$B$4*Assumptions!$B$6</f>
        <v>1.11666666666667</v>
      </c>
      <c r="U123" s="7" t="n">
        <f aca="false">SUMIFS(Doors!AG:AG,Doors!$A:$A,$D123,Doors!$B:$B,$B123,Doors!$C:$C,$C123)*SUMIFS(Velocity!$I:$I,Velocity!$A:$A,$A123,Velocity!$B:$B,$C123)/Assumptions!$B$4*Assumptions!$B$6</f>
        <v>1.11666666666667</v>
      </c>
      <c r="V123" s="7" t="n">
        <f aca="false">SUMIFS(Doors!AH:AH,Doors!$A:$A,$D123,Doors!$B:$B,$B123,Doors!$C:$C,$C123)*SUMIFS(Velocity!$I:$I,Velocity!$A:$A,$A123,Velocity!$B:$B,$C123)/Assumptions!$B$4*Assumptions!$B$6</f>
        <v>1.11666666666667</v>
      </c>
      <c r="W123" s="7" t="n">
        <f aca="false">SUMIFS(Doors!AI:AI,Doors!$A:$A,$D123,Doors!$B:$B,$B123,Doors!$C:$C,$C123)*SUMIFS(Velocity!$I:$I,Velocity!$A:$A,$A123,Velocity!$B:$B,$C123)/Assumptions!$B$4*Assumptions!$B$6</f>
        <v>1.95416666666667</v>
      </c>
      <c r="X123" s="7" t="n">
        <f aca="false">SUMIFS(Doors!AJ:AJ,Doors!$A:$A,$D123,Doors!$B:$B,$B123,Doors!$C:$C,$C123)*SUMIFS(Velocity!$I:$I,Velocity!$A:$A,$A123,Velocity!$B:$B,$C123)/Assumptions!$B$4*Assumptions!$B$6</f>
        <v>1.95416666666667</v>
      </c>
      <c r="Y123" s="7" t="n">
        <f aca="false">SUMIFS(Doors!AK:AK,Doors!$A:$A,$D123,Doors!$B:$B,$B123,Doors!$C:$C,$C123)*SUMIFS(Velocity!$I:$I,Velocity!$A:$A,$A123,Velocity!$B:$B,$C123)/Assumptions!$B$4*Assumptions!$B$6</f>
        <v>1.95416666666667</v>
      </c>
      <c r="Z123" s="7" t="n">
        <f aca="false">SUMIFS(Doors!AL:AL,Doors!$A:$A,$D123,Doors!$B:$B,$B123,Doors!$C:$C,$C123)*SUMIFS(Velocity!$I:$I,Velocity!$A:$A,$A123,Velocity!$B:$B,$C123)/Assumptions!$B$4*Assumptions!$B$6</f>
        <v>1.95416666666667</v>
      </c>
      <c r="AA123" s="7" t="n">
        <f aca="false">SUMIFS(Doors!AM:AM,Doors!$A:$A,$D123,Doors!$B:$B,$B123,Doors!$C:$C,$C123)*SUMIFS(Velocity!$I:$I,Velocity!$A:$A,$A123,Velocity!$B:$B,$C123)/Assumptions!$B$4*Assumptions!$B$6</f>
        <v>2.79166666666667</v>
      </c>
      <c r="AB123" s="7" t="n">
        <f aca="false">SUMIFS(Doors!AN:AN,Doors!$A:$A,$D123,Doors!$B:$B,$B123,Doors!$C:$C,$C123)*SUMIFS(Velocity!$I:$I,Velocity!$A:$A,$A123,Velocity!$B:$B,$C123)/Assumptions!$B$4*Assumptions!$B$6</f>
        <v>2.79166666666667</v>
      </c>
      <c r="AC123" s="7" t="n">
        <f aca="false">SUMIFS(Doors!AO:AO,Doors!$A:$A,$D123,Doors!$B:$B,$B123,Doors!$C:$C,$C123)*SUMIFS(Velocity!$I:$I,Velocity!$A:$A,$A123,Velocity!$B:$B,$C123)/Assumptions!$B$4*Assumptions!$B$6</f>
        <v>2.79166666666667</v>
      </c>
      <c r="AD123" s="7" t="n">
        <f aca="false">SUMIFS(Doors!AP:AP,Doors!$A:$A,$D123,Doors!$B:$B,$B123,Doors!$C:$C,$C123)*SUMIFS(Velocity!$I:$I,Velocity!$A:$A,$A123,Velocity!$B:$B,$C123)/Assumptions!$B$4*Assumptions!$B$6</f>
        <v>2.79166666666667</v>
      </c>
      <c r="AE123" s="7" t="n">
        <f aca="false">SUMIFS(Doors!AQ:AQ,Doors!$A:$A,$D123,Doors!$B:$B,$B123,Doors!$C:$C,$C123)*SUMIFS(Velocity!$I:$I,Velocity!$A:$A,$A123,Velocity!$B:$B,$C123)/Assumptions!$B$4*Assumptions!$B$6</f>
        <v>3.62916666666667</v>
      </c>
      <c r="AF123" s="7" t="n">
        <f aca="false">SUMIFS(Doors!AR:AR,Doors!$A:$A,$D123,Doors!$B:$B,$B123,Doors!$C:$C,$C123)*SUMIFS(Velocity!$I:$I,Velocity!$A:$A,$A123,Velocity!$B:$B,$C123)/Assumptions!$B$4*Assumptions!$B$6</f>
        <v>3.62916666666667</v>
      </c>
      <c r="AG123" s="7" t="n">
        <f aca="false">SUMIFS(Doors!AS:AS,Doors!$A:$A,$D123,Doors!$B:$B,$B123,Doors!$C:$C,$C123)*SUMIFS(Velocity!$I:$I,Velocity!$A:$A,$A123,Velocity!$B:$B,$C123)/Assumptions!$B$4*Assumptions!$B$6</f>
        <v>3.62916666666667</v>
      </c>
      <c r="AH123" s="7" t="n">
        <f aca="false">SUMIFS(Doors!AT:AT,Doors!$A:$A,$D123,Doors!$B:$B,$B123,Doors!$C:$C,$C123)*SUMIFS(Velocity!$I:$I,Velocity!$A:$A,$A123,Velocity!$B:$B,$C123)/Assumptions!$B$4*Assumptions!$B$6</f>
        <v>3.62916666666667</v>
      </c>
      <c r="AI123" s="7" t="n">
        <f aca="false">SUMIFS(Doors!AU:AU,Doors!$A:$A,$D123,Doors!$B:$B,$B123,Doors!$C:$C,$C123)*SUMIFS(Velocity!$I:$I,Velocity!$A:$A,$A123,Velocity!$B:$B,$C123)/Assumptions!$B$4*Assumptions!$B$6</f>
        <v>3.62916666666667</v>
      </c>
      <c r="AJ123" s="7" t="n">
        <f aca="false">SUMIFS(Doors!AV:AV,Doors!$A:$A,$D123,Doors!$B:$B,$B123,Doors!$C:$C,$C123)*SUMIFS(Velocity!$I:$I,Velocity!$A:$A,$A123,Velocity!$B:$B,$C123)/Assumptions!$B$4*Assumptions!$B$6</f>
        <v>4.1875</v>
      </c>
      <c r="AK123" s="7" t="n">
        <f aca="false">SUMIFS(Doors!AW:AW,Doors!$A:$A,$D123,Doors!$B:$B,$B123,Doors!$C:$C,$C123)*SUMIFS(Velocity!$I:$I,Velocity!$A:$A,$A123,Velocity!$B:$B,$C123)/Assumptions!$B$4*Assumptions!$B$6</f>
        <v>4.1875</v>
      </c>
      <c r="AL123" s="7" t="n">
        <f aca="false">SUMIFS(Doors!AX:AX,Doors!$A:$A,$D123,Doors!$B:$B,$B123,Doors!$C:$C,$C123)*SUMIFS(Velocity!$I:$I,Velocity!$A:$A,$A123,Velocity!$B:$B,$C123)/Assumptions!$B$4*Assumptions!$B$6</f>
        <v>4.1875</v>
      </c>
      <c r="AM123" s="7" t="n">
        <f aca="false">SUMIFS(Doors!AY:AY,Doors!$A:$A,$D123,Doors!$B:$B,$B123,Doors!$C:$C,$C123)*SUMIFS(Velocity!$I:$I,Velocity!$A:$A,$A123,Velocity!$B:$B,$C123)/Assumptions!$B$4*Assumptions!$B$6</f>
        <v>4.1875</v>
      </c>
      <c r="AN123" s="7" t="n">
        <f aca="false">SUMIFS(Doors!AZ:AZ,Doors!$A:$A,$D123,Doors!$B:$B,$B123,Doors!$C:$C,$C123)*SUMIFS(Velocity!$I:$I,Velocity!$A:$A,$A123,Velocity!$B:$B,$C123)/Assumptions!$B$4*Assumptions!$B$6</f>
        <v>4.74583333333333</v>
      </c>
      <c r="AO123" s="7" t="n">
        <f aca="false">SUMIFS(Doors!BA:BA,Doors!$A:$A,$D123,Doors!$B:$B,$B123,Doors!$C:$C,$C123)*SUMIFS(Velocity!$I:$I,Velocity!$A:$A,$A123,Velocity!$B:$B,$C123)/Assumptions!$B$4*Assumptions!$B$6</f>
        <v>4.74583333333333</v>
      </c>
      <c r="AP123" s="7" t="n">
        <f aca="false">SUMIFS(Doors!BB:BB,Doors!$A:$A,$D123,Doors!$B:$B,$B123,Doors!$C:$C,$C123)*SUMIFS(Velocity!$I:$I,Velocity!$A:$A,$A123,Velocity!$B:$B,$C123)/Assumptions!$B$4*Assumptions!$B$6</f>
        <v>4.74583333333333</v>
      </c>
      <c r="AQ123" s="7" t="n">
        <f aca="false">SUMIFS(Doors!BC:BC,Doors!$A:$A,$D123,Doors!$B:$B,$B123,Doors!$C:$C,$C123)*SUMIFS(Velocity!$I:$I,Velocity!$A:$A,$A123,Velocity!$B:$B,$C123)/Assumptions!$B$4*Assumptions!$B$6</f>
        <v>4.74583333333333</v>
      </c>
      <c r="AR123" s="7" t="n">
        <f aca="false">SUMIFS(Doors!BD:BD,Doors!$A:$A,$D123,Doors!$B:$B,$B123,Doors!$C:$C,$C123)*SUMIFS(Velocity!$I:$I,Velocity!$A:$A,$A123,Velocity!$B:$B,$C123)/Assumptions!$B$4*Assumptions!$B$6</f>
        <v>5.30416666666667</v>
      </c>
      <c r="AS123" s="7" t="n">
        <f aca="false">SUMIFS(Doors!BE:BE,Doors!$A:$A,$D123,Doors!$B:$B,$B123,Doors!$C:$C,$C123)*SUMIFS(Velocity!$I:$I,Velocity!$A:$A,$A123,Velocity!$B:$B,$C123)/Assumptions!$B$4*Assumptions!$B$6</f>
        <v>5.30416666666667</v>
      </c>
      <c r="AT123" s="7" t="n">
        <f aca="false">SUMIFS(Doors!BF:BF,Doors!$A:$A,$D123,Doors!$B:$B,$B123,Doors!$C:$C,$C123)*SUMIFS(Velocity!$I:$I,Velocity!$A:$A,$A123,Velocity!$B:$B,$C123)/Assumptions!$B$4*Assumptions!$B$6</f>
        <v>5.30416666666667</v>
      </c>
      <c r="AU123" s="7" t="n">
        <f aca="false">SUMIFS(Doors!BG:BG,Doors!$A:$A,$D123,Doors!$B:$B,$B123,Doors!$C:$C,$C123)*SUMIFS(Velocity!$I:$I,Velocity!$A:$A,$A123,Velocity!$B:$B,$C123)/Assumptions!$B$4*Assumptions!$B$6</f>
        <v>5.30416666666667</v>
      </c>
      <c r="AV123" s="7" t="n">
        <f aca="false">SUMIFS(Doors!BH:BH,Doors!$A:$A,$D123,Doors!$B:$B,$B123,Doors!$C:$C,$C123)*SUMIFS(Velocity!$I:$I,Velocity!$A:$A,$A123,Velocity!$B:$B,$C123)/Assumptions!$B$4*Assumptions!$B$6</f>
        <v>5.30416666666667</v>
      </c>
      <c r="AW123" s="7" t="n">
        <f aca="false">SUMIFS(Doors!BI:BI,Doors!$A:$A,$D123,Doors!$B:$B,$B123,Doors!$C:$C,$C123)*SUMIFS(Velocity!$I:$I,Velocity!$A:$A,$A123,Velocity!$B:$B,$C123)/Assumptions!$B$4*Assumptions!$B$6</f>
        <v>5.8625</v>
      </c>
      <c r="AX123" s="7" t="n">
        <f aca="false">SUMIFS(Doors!BJ:BJ,Doors!$A:$A,$D123,Doors!$B:$B,$B123,Doors!$C:$C,$C123)*SUMIFS(Velocity!$I:$I,Velocity!$A:$A,$A123,Velocity!$B:$B,$C123)/Assumptions!$B$4*Assumptions!$B$6</f>
        <v>5.8625</v>
      </c>
      <c r="AY123" s="7" t="n">
        <f aca="false">SUMIFS(Doors!BK:BK,Doors!$A:$A,$D123,Doors!$B:$B,$B123,Doors!$C:$C,$C123)*SUMIFS(Velocity!$I:$I,Velocity!$A:$A,$A123,Velocity!$B:$B,$C123)/Assumptions!$B$4*Assumptions!$B$6</f>
        <v>5.8625</v>
      </c>
      <c r="AZ123" s="7" t="n">
        <f aca="false">SUMIFS(Doors!BL:BL,Doors!$A:$A,$D123,Doors!$B:$B,$B123,Doors!$C:$C,$C123)*SUMIFS(Velocity!$I:$I,Velocity!$A:$A,$A123,Velocity!$B:$B,$C123)/Assumptions!$B$4*Assumptions!$B$6</f>
        <v>5.8625</v>
      </c>
      <c r="BA123" s="7" t="n">
        <f aca="false">SUMIFS(Doors!BM:BM,Doors!$A:$A,$D123,Doors!$B:$B,$B123,Doors!$C:$C,$C123)*SUMIFS(Velocity!$I:$I,Velocity!$A:$A,$A123,Velocity!$B:$B,$C123)/Assumptions!$B$4*Assumptions!$B$6</f>
        <v>6.14166666666667</v>
      </c>
      <c r="BB123" s="7" t="n">
        <f aca="false">SUMIFS(Doors!BN:BN,Doors!$A:$A,$D123,Doors!$B:$B,$B123,Doors!$C:$C,$C123)*SUMIFS(Velocity!$I:$I,Velocity!$A:$A,$A123,Velocity!$B:$B,$C123)/Assumptions!$B$4*Assumptions!$B$6</f>
        <v>6.14166666666667</v>
      </c>
      <c r="BC123" s="7" t="n">
        <f aca="false">SUMIFS(Doors!BO:BO,Doors!$A:$A,$D123,Doors!$B:$B,$B123,Doors!$C:$C,$C123)*SUMIFS(Velocity!$I:$I,Velocity!$A:$A,$A123,Velocity!$B:$B,$C123)/Assumptions!$B$4*Assumptions!$B$6</f>
        <v>6.14166666666667</v>
      </c>
      <c r="BD123" s="7" t="n">
        <f aca="false">SUMIFS(Doors!BP:BP,Doors!$A:$A,$D123,Doors!$B:$B,$B123,Doors!$C:$C,$C123)*SUMIFS(Velocity!$I:$I,Velocity!$A:$A,$A123,Velocity!$B:$B,$C123)/Assumptions!$B$4*Assumptions!$B$6</f>
        <v>6.14166666666667</v>
      </c>
    </row>
    <row r="124" customFormat="false" ht="15" hidden="false" customHeight="false" outlineLevel="0" collapsed="false">
      <c r="A124" s="0" t="s">
        <v>109</v>
      </c>
      <c r="B124" s="0" t="s">
        <v>129</v>
      </c>
      <c r="C124" s="0" t="s">
        <v>116</v>
      </c>
      <c r="D124" s="0" t="s">
        <v>235</v>
      </c>
      <c r="E124" s="7" t="n">
        <f aca="false">SUMIFS(Doors!Q:Q,Doors!$A:$A,$D124,Doors!$B:$B,$B124,Doors!$C:$C,$C124)*SUMIFS(Velocity!$I:$I,Velocity!$A:$A,$A124,Velocity!$B:$B,$C124)/Assumptions!$B$4*Assumptions!$B$6</f>
        <v>0</v>
      </c>
      <c r="F124" s="7" t="n">
        <f aca="false">SUMIFS(Doors!R:R,Doors!$A:$A,$D124,Doors!$B:$B,$B124,Doors!$C:$C,$C124)*SUMIFS(Velocity!$I:$I,Velocity!$A:$A,$A124,Velocity!$B:$B,$C124)/Assumptions!$B$4*Assumptions!$B$6</f>
        <v>0</v>
      </c>
      <c r="G124" s="7" t="n">
        <f aca="false">SUMIFS(Doors!S:S,Doors!$A:$A,$D124,Doors!$B:$B,$B124,Doors!$C:$C,$C124)*SUMIFS(Velocity!$I:$I,Velocity!$A:$A,$A124,Velocity!$B:$B,$C124)/Assumptions!$B$4*Assumptions!$B$6</f>
        <v>0</v>
      </c>
      <c r="H124" s="7" t="n">
        <f aca="false">SUMIFS(Doors!T:T,Doors!$A:$A,$D124,Doors!$B:$B,$B124,Doors!$C:$C,$C124)*SUMIFS(Velocity!$I:$I,Velocity!$A:$A,$A124,Velocity!$B:$B,$C124)/Assumptions!$B$4*Assumptions!$B$6</f>
        <v>0</v>
      </c>
      <c r="I124" s="7" t="n">
        <f aca="false">SUMIFS(Doors!U:U,Doors!$A:$A,$D124,Doors!$B:$B,$B124,Doors!$C:$C,$C124)*SUMIFS(Velocity!$I:$I,Velocity!$A:$A,$A124,Velocity!$B:$B,$C124)/Assumptions!$B$4*Assumptions!$B$6</f>
        <v>0</v>
      </c>
      <c r="J124" s="7" t="n">
        <f aca="false">SUMIFS(Doors!V:V,Doors!$A:$A,$D124,Doors!$B:$B,$B124,Doors!$C:$C,$C124)*SUMIFS(Velocity!$I:$I,Velocity!$A:$A,$A124,Velocity!$B:$B,$C124)/Assumptions!$B$4*Assumptions!$B$6</f>
        <v>0</v>
      </c>
      <c r="K124" s="7" t="n">
        <f aca="false">SUMIFS(Doors!W:W,Doors!$A:$A,$D124,Doors!$B:$B,$B124,Doors!$C:$C,$C124)*SUMIFS(Velocity!$I:$I,Velocity!$A:$A,$A124,Velocity!$B:$B,$C124)/Assumptions!$B$4*Assumptions!$B$6</f>
        <v>0</v>
      </c>
      <c r="L124" s="7" t="n">
        <f aca="false">SUMIFS(Doors!X:X,Doors!$A:$A,$D124,Doors!$B:$B,$B124,Doors!$C:$C,$C124)*SUMIFS(Velocity!$I:$I,Velocity!$A:$A,$A124,Velocity!$B:$B,$C124)/Assumptions!$B$4*Assumptions!$B$6</f>
        <v>0</v>
      </c>
      <c r="M124" s="7" t="n">
        <f aca="false">SUMIFS(Doors!Y:Y,Doors!$A:$A,$D124,Doors!$B:$B,$B124,Doors!$C:$C,$C124)*SUMIFS(Velocity!$I:$I,Velocity!$A:$A,$A124,Velocity!$B:$B,$C124)/Assumptions!$B$4*Assumptions!$B$6</f>
        <v>0</v>
      </c>
      <c r="N124" s="7" t="n">
        <f aca="false">SUMIFS(Doors!Z:Z,Doors!$A:$A,$D124,Doors!$B:$B,$B124,Doors!$C:$C,$C124)*SUMIFS(Velocity!$I:$I,Velocity!$A:$A,$A124,Velocity!$B:$B,$C124)/Assumptions!$B$4*Assumptions!$B$6</f>
        <v>0.270833333333333</v>
      </c>
      <c r="O124" s="7" t="n">
        <f aca="false">SUMIFS(Doors!AA:AA,Doors!$A:$A,$D124,Doors!$B:$B,$B124,Doors!$C:$C,$C124)*SUMIFS(Velocity!$I:$I,Velocity!$A:$A,$A124,Velocity!$B:$B,$C124)/Assumptions!$B$4*Assumptions!$B$6</f>
        <v>0.270833333333333</v>
      </c>
      <c r="P124" s="7" t="n">
        <f aca="false">SUMIFS(Doors!AB:AB,Doors!$A:$A,$D124,Doors!$B:$B,$B124,Doors!$C:$C,$C124)*SUMIFS(Velocity!$I:$I,Velocity!$A:$A,$A124,Velocity!$B:$B,$C124)/Assumptions!$B$4*Assumptions!$B$6</f>
        <v>0.270833333333333</v>
      </c>
      <c r="Q124" s="7" t="n">
        <f aca="false">SUMIFS(Doors!AC:AC,Doors!$A:$A,$D124,Doors!$B:$B,$B124,Doors!$C:$C,$C124)*SUMIFS(Velocity!$I:$I,Velocity!$A:$A,$A124,Velocity!$B:$B,$C124)/Assumptions!$B$4*Assumptions!$B$6</f>
        <v>0.270833333333333</v>
      </c>
      <c r="R124" s="7" t="n">
        <f aca="false">SUMIFS(Doors!AD:AD,Doors!$A:$A,$D124,Doors!$B:$B,$B124,Doors!$C:$C,$C124)*SUMIFS(Velocity!$I:$I,Velocity!$A:$A,$A124,Velocity!$B:$B,$C124)/Assumptions!$B$4*Assumptions!$B$6</f>
        <v>0.541666666666667</v>
      </c>
      <c r="S124" s="7" t="n">
        <f aca="false">SUMIFS(Doors!AE:AE,Doors!$A:$A,$D124,Doors!$B:$B,$B124,Doors!$C:$C,$C124)*SUMIFS(Velocity!$I:$I,Velocity!$A:$A,$A124,Velocity!$B:$B,$C124)/Assumptions!$B$4*Assumptions!$B$6</f>
        <v>0.541666666666667</v>
      </c>
      <c r="T124" s="7" t="n">
        <f aca="false">SUMIFS(Doors!AF:AF,Doors!$A:$A,$D124,Doors!$B:$B,$B124,Doors!$C:$C,$C124)*SUMIFS(Velocity!$I:$I,Velocity!$A:$A,$A124,Velocity!$B:$B,$C124)/Assumptions!$B$4*Assumptions!$B$6</f>
        <v>0.541666666666667</v>
      </c>
      <c r="U124" s="7" t="n">
        <f aca="false">SUMIFS(Doors!AG:AG,Doors!$A:$A,$D124,Doors!$B:$B,$B124,Doors!$C:$C,$C124)*SUMIFS(Velocity!$I:$I,Velocity!$A:$A,$A124,Velocity!$B:$B,$C124)/Assumptions!$B$4*Assumptions!$B$6</f>
        <v>0.541666666666667</v>
      </c>
      <c r="V124" s="7" t="n">
        <f aca="false">SUMIFS(Doors!AH:AH,Doors!$A:$A,$D124,Doors!$B:$B,$B124,Doors!$C:$C,$C124)*SUMIFS(Velocity!$I:$I,Velocity!$A:$A,$A124,Velocity!$B:$B,$C124)/Assumptions!$B$4*Assumptions!$B$6</f>
        <v>0.541666666666667</v>
      </c>
      <c r="W124" s="7" t="n">
        <f aca="false">SUMIFS(Doors!AI:AI,Doors!$A:$A,$D124,Doors!$B:$B,$B124,Doors!$C:$C,$C124)*SUMIFS(Velocity!$I:$I,Velocity!$A:$A,$A124,Velocity!$B:$B,$C124)/Assumptions!$B$4*Assumptions!$B$6</f>
        <v>0.8125</v>
      </c>
      <c r="X124" s="7" t="n">
        <f aca="false">SUMIFS(Doors!AJ:AJ,Doors!$A:$A,$D124,Doors!$B:$B,$B124,Doors!$C:$C,$C124)*SUMIFS(Velocity!$I:$I,Velocity!$A:$A,$A124,Velocity!$B:$B,$C124)/Assumptions!$B$4*Assumptions!$B$6</f>
        <v>0.8125</v>
      </c>
      <c r="Y124" s="7" t="n">
        <f aca="false">SUMIFS(Doors!AK:AK,Doors!$A:$A,$D124,Doors!$B:$B,$B124,Doors!$C:$C,$C124)*SUMIFS(Velocity!$I:$I,Velocity!$A:$A,$A124,Velocity!$B:$B,$C124)/Assumptions!$B$4*Assumptions!$B$6</f>
        <v>0.8125</v>
      </c>
      <c r="Z124" s="7" t="n">
        <f aca="false">SUMIFS(Doors!AL:AL,Doors!$A:$A,$D124,Doors!$B:$B,$B124,Doors!$C:$C,$C124)*SUMIFS(Velocity!$I:$I,Velocity!$A:$A,$A124,Velocity!$B:$B,$C124)/Assumptions!$B$4*Assumptions!$B$6</f>
        <v>0.8125</v>
      </c>
      <c r="AA124" s="7" t="n">
        <f aca="false">SUMIFS(Doors!AM:AM,Doors!$A:$A,$D124,Doors!$B:$B,$B124,Doors!$C:$C,$C124)*SUMIFS(Velocity!$I:$I,Velocity!$A:$A,$A124,Velocity!$B:$B,$C124)/Assumptions!$B$4*Assumptions!$B$6</f>
        <v>1.35416666666667</v>
      </c>
      <c r="AB124" s="7" t="n">
        <f aca="false">SUMIFS(Doors!AN:AN,Doors!$A:$A,$D124,Doors!$B:$B,$B124,Doors!$C:$C,$C124)*SUMIFS(Velocity!$I:$I,Velocity!$A:$A,$A124,Velocity!$B:$B,$C124)/Assumptions!$B$4*Assumptions!$B$6</f>
        <v>1.35416666666667</v>
      </c>
      <c r="AC124" s="7" t="n">
        <f aca="false">SUMIFS(Doors!AO:AO,Doors!$A:$A,$D124,Doors!$B:$B,$B124,Doors!$C:$C,$C124)*SUMIFS(Velocity!$I:$I,Velocity!$A:$A,$A124,Velocity!$B:$B,$C124)/Assumptions!$B$4*Assumptions!$B$6</f>
        <v>1.35416666666667</v>
      </c>
      <c r="AD124" s="7" t="n">
        <f aca="false">SUMIFS(Doors!AP:AP,Doors!$A:$A,$D124,Doors!$B:$B,$B124,Doors!$C:$C,$C124)*SUMIFS(Velocity!$I:$I,Velocity!$A:$A,$A124,Velocity!$B:$B,$C124)/Assumptions!$B$4*Assumptions!$B$6</f>
        <v>1.35416666666667</v>
      </c>
      <c r="AE124" s="7" t="n">
        <f aca="false">SUMIFS(Doors!AQ:AQ,Doors!$A:$A,$D124,Doors!$B:$B,$B124,Doors!$C:$C,$C124)*SUMIFS(Velocity!$I:$I,Velocity!$A:$A,$A124,Velocity!$B:$B,$C124)/Assumptions!$B$4*Assumptions!$B$6</f>
        <v>1.89583333333333</v>
      </c>
      <c r="AF124" s="7" t="n">
        <f aca="false">SUMIFS(Doors!AR:AR,Doors!$A:$A,$D124,Doors!$B:$B,$B124,Doors!$C:$C,$C124)*SUMIFS(Velocity!$I:$I,Velocity!$A:$A,$A124,Velocity!$B:$B,$C124)/Assumptions!$B$4*Assumptions!$B$6</f>
        <v>1.89583333333333</v>
      </c>
      <c r="AG124" s="7" t="n">
        <f aca="false">SUMIFS(Doors!AS:AS,Doors!$A:$A,$D124,Doors!$B:$B,$B124,Doors!$C:$C,$C124)*SUMIFS(Velocity!$I:$I,Velocity!$A:$A,$A124,Velocity!$B:$B,$C124)/Assumptions!$B$4*Assumptions!$B$6</f>
        <v>1.89583333333333</v>
      </c>
      <c r="AH124" s="7" t="n">
        <f aca="false">SUMIFS(Doors!AT:AT,Doors!$A:$A,$D124,Doors!$B:$B,$B124,Doors!$C:$C,$C124)*SUMIFS(Velocity!$I:$I,Velocity!$A:$A,$A124,Velocity!$B:$B,$C124)/Assumptions!$B$4*Assumptions!$B$6</f>
        <v>1.89583333333333</v>
      </c>
      <c r="AI124" s="7" t="n">
        <f aca="false">SUMIFS(Doors!AU:AU,Doors!$A:$A,$D124,Doors!$B:$B,$B124,Doors!$C:$C,$C124)*SUMIFS(Velocity!$I:$I,Velocity!$A:$A,$A124,Velocity!$B:$B,$C124)/Assumptions!$B$4*Assumptions!$B$6</f>
        <v>1.89583333333333</v>
      </c>
      <c r="AJ124" s="7" t="n">
        <f aca="false">SUMIFS(Doors!AV:AV,Doors!$A:$A,$D124,Doors!$B:$B,$B124,Doors!$C:$C,$C124)*SUMIFS(Velocity!$I:$I,Velocity!$A:$A,$A124,Velocity!$B:$B,$C124)/Assumptions!$B$4*Assumptions!$B$6</f>
        <v>2.16666666666667</v>
      </c>
      <c r="AK124" s="7" t="n">
        <f aca="false">SUMIFS(Doors!AW:AW,Doors!$A:$A,$D124,Doors!$B:$B,$B124,Doors!$C:$C,$C124)*SUMIFS(Velocity!$I:$I,Velocity!$A:$A,$A124,Velocity!$B:$B,$C124)/Assumptions!$B$4*Assumptions!$B$6</f>
        <v>2.16666666666667</v>
      </c>
      <c r="AL124" s="7" t="n">
        <f aca="false">SUMIFS(Doors!AX:AX,Doors!$A:$A,$D124,Doors!$B:$B,$B124,Doors!$C:$C,$C124)*SUMIFS(Velocity!$I:$I,Velocity!$A:$A,$A124,Velocity!$B:$B,$C124)/Assumptions!$B$4*Assumptions!$B$6</f>
        <v>2.16666666666667</v>
      </c>
      <c r="AM124" s="7" t="n">
        <f aca="false">SUMIFS(Doors!AY:AY,Doors!$A:$A,$D124,Doors!$B:$B,$B124,Doors!$C:$C,$C124)*SUMIFS(Velocity!$I:$I,Velocity!$A:$A,$A124,Velocity!$B:$B,$C124)/Assumptions!$B$4*Assumptions!$B$6</f>
        <v>2.16666666666667</v>
      </c>
      <c r="AN124" s="7" t="n">
        <f aca="false">SUMIFS(Doors!AZ:AZ,Doors!$A:$A,$D124,Doors!$B:$B,$B124,Doors!$C:$C,$C124)*SUMIFS(Velocity!$I:$I,Velocity!$A:$A,$A124,Velocity!$B:$B,$C124)/Assumptions!$B$4*Assumptions!$B$6</f>
        <v>2.70833333333333</v>
      </c>
      <c r="AO124" s="7" t="n">
        <f aca="false">SUMIFS(Doors!BA:BA,Doors!$A:$A,$D124,Doors!$B:$B,$B124,Doors!$C:$C,$C124)*SUMIFS(Velocity!$I:$I,Velocity!$A:$A,$A124,Velocity!$B:$B,$C124)/Assumptions!$B$4*Assumptions!$B$6</f>
        <v>2.70833333333333</v>
      </c>
      <c r="AP124" s="7" t="n">
        <f aca="false">SUMIFS(Doors!BB:BB,Doors!$A:$A,$D124,Doors!$B:$B,$B124,Doors!$C:$C,$C124)*SUMIFS(Velocity!$I:$I,Velocity!$A:$A,$A124,Velocity!$B:$B,$C124)/Assumptions!$B$4*Assumptions!$B$6</f>
        <v>2.70833333333333</v>
      </c>
      <c r="AQ124" s="7" t="n">
        <f aca="false">SUMIFS(Doors!BC:BC,Doors!$A:$A,$D124,Doors!$B:$B,$B124,Doors!$C:$C,$C124)*SUMIFS(Velocity!$I:$I,Velocity!$A:$A,$A124,Velocity!$B:$B,$C124)/Assumptions!$B$4*Assumptions!$B$6</f>
        <v>2.70833333333333</v>
      </c>
      <c r="AR124" s="7" t="n">
        <f aca="false">SUMIFS(Doors!BD:BD,Doors!$A:$A,$D124,Doors!$B:$B,$B124,Doors!$C:$C,$C124)*SUMIFS(Velocity!$I:$I,Velocity!$A:$A,$A124,Velocity!$B:$B,$C124)/Assumptions!$B$4*Assumptions!$B$6</f>
        <v>2.97916666666667</v>
      </c>
      <c r="AS124" s="7" t="n">
        <f aca="false">SUMIFS(Doors!BE:BE,Doors!$A:$A,$D124,Doors!$B:$B,$B124,Doors!$C:$C,$C124)*SUMIFS(Velocity!$I:$I,Velocity!$A:$A,$A124,Velocity!$B:$B,$C124)/Assumptions!$B$4*Assumptions!$B$6</f>
        <v>2.97916666666667</v>
      </c>
      <c r="AT124" s="7" t="n">
        <f aca="false">SUMIFS(Doors!BF:BF,Doors!$A:$A,$D124,Doors!$B:$B,$B124,Doors!$C:$C,$C124)*SUMIFS(Velocity!$I:$I,Velocity!$A:$A,$A124,Velocity!$B:$B,$C124)/Assumptions!$B$4*Assumptions!$B$6</f>
        <v>2.97916666666667</v>
      </c>
      <c r="AU124" s="7" t="n">
        <f aca="false">SUMIFS(Doors!BG:BG,Doors!$A:$A,$D124,Doors!$B:$B,$B124,Doors!$C:$C,$C124)*SUMIFS(Velocity!$I:$I,Velocity!$A:$A,$A124,Velocity!$B:$B,$C124)/Assumptions!$B$4*Assumptions!$B$6</f>
        <v>2.97916666666667</v>
      </c>
      <c r="AV124" s="7" t="n">
        <f aca="false">SUMIFS(Doors!BH:BH,Doors!$A:$A,$D124,Doors!$B:$B,$B124,Doors!$C:$C,$C124)*SUMIFS(Velocity!$I:$I,Velocity!$A:$A,$A124,Velocity!$B:$B,$C124)/Assumptions!$B$4*Assumptions!$B$6</f>
        <v>2.97916666666667</v>
      </c>
      <c r="AW124" s="7" t="n">
        <f aca="false">SUMIFS(Doors!BI:BI,Doors!$A:$A,$D124,Doors!$B:$B,$B124,Doors!$C:$C,$C124)*SUMIFS(Velocity!$I:$I,Velocity!$A:$A,$A124,Velocity!$B:$B,$C124)/Assumptions!$B$4*Assumptions!$B$6</f>
        <v>3.25</v>
      </c>
      <c r="AX124" s="7" t="n">
        <f aca="false">SUMIFS(Doors!BJ:BJ,Doors!$A:$A,$D124,Doors!$B:$B,$B124,Doors!$C:$C,$C124)*SUMIFS(Velocity!$I:$I,Velocity!$A:$A,$A124,Velocity!$B:$B,$C124)/Assumptions!$B$4*Assumptions!$B$6</f>
        <v>3.25</v>
      </c>
      <c r="AY124" s="7" t="n">
        <f aca="false">SUMIFS(Doors!BK:BK,Doors!$A:$A,$D124,Doors!$B:$B,$B124,Doors!$C:$C,$C124)*SUMIFS(Velocity!$I:$I,Velocity!$A:$A,$A124,Velocity!$B:$B,$C124)/Assumptions!$B$4*Assumptions!$B$6</f>
        <v>3.25</v>
      </c>
      <c r="AZ124" s="7" t="n">
        <f aca="false">SUMIFS(Doors!BL:BL,Doors!$A:$A,$D124,Doors!$B:$B,$B124,Doors!$C:$C,$C124)*SUMIFS(Velocity!$I:$I,Velocity!$A:$A,$A124,Velocity!$B:$B,$C124)/Assumptions!$B$4*Assumptions!$B$6</f>
        <v>3.25</v>
      </c>
      <c r="BA124" s="7" t="n">
        <f aca="false">SUMIFS(Doors!BM:BM,Doors!$A:$A,$D124,Doors!$B:$B,$B124,Doors!$C:$C,$C124)*SUMIFS(Velocity!$I:$I,Velocity!$A:$A,$A124,Velocity!$B:$B,$C124)/Assumptions!$B$4*Assumptions!$B$6</f>
        <v>3.52083333333333</v>
      </c>
      <c r="BB124" s="7" t="n">
        <f aca="false">SUMIFS(Doors!BN:BN,Doors!$A:$A,$D124,Doors!$B:$B,$B124,Doors!$C:$C,$C124)*SUMIFS(Velocity!$I:$I,Velocity!$A:$A,$A124,Velocity!$B:$B,$C124)/Assumptions!$B$4*Assumptions!$B$6</f>
        <v>3.52083333333333</v>
      </c>
      <c r="BC124" s="7" t="n">
        <f aca="false">SUMIFS(Doors!BO:BO,Doors!$A:$A,$D124,Doors!$B:$B,$B124,Doors!$C:$C,$C124)*SUMIFS(Velocity!$I:$I,Velocity!$A:$A,$A124,Velocity!$B:$B,$C124)/Assumptions!$B$4*Assumptions!$B$6</f>
        <v>3.52083333333333</v>
      </c>
      <c r="BD124" s="7" t="n">
        <f aca="false">SUMIFS(Doors!BP:BP,Doors!$A:$A,$D124,Doors!$B:$B,$B124,Doors!$C:$C,$C124)*SUMIFS(Velocity!$I:$I,Velocity!$A:$A,$A124,Velocity!$B:$B,$C124)/Assumptions!$B$4*Assumptions!$B$6</f>
        <v>3.52083333333333</v>
      </c>
    </row>
    <row r="125" customFormat="false" ht="15" hidden="false" customHeight="false" outlineLevel="0" collapsed="false">
      <c r="A125" s="0" t="s">
        <v>109</v>
      </c>
      <c r="B125" s="0" t="s">
        <v>129</v>
      </c>
      <c r="C125" s="0" t="s">
        <v>117</v>
      </c>
      <c r="D125" s="0" t="s">
        <v>235</v>
      </c>
      <c r="E125" s="7" t="n">
        <f aca="false">SUMIFS(Doors!Q:Q,Doors!$A:$A,$D125,Doors!$B:$B,$B125,Doors!$C:$C,$C125)*SUMIFS(Velocity!$I:$I,Velocity!$A:$A,$A125,Velocity!$B:$B,$C125)/Assumptions!$B$4*Assumptions!$B$6</f>
        <v>0</v>
      </c>
      <c r="F125" s="7" t="n">
        <f aca="false">SUMIFS(Doors!R:R,Doors!$A:$A,$D125,Doors!$B:$B,$B125,Doors!$C:$C,$C125)*SUMIFS(Velocity!$I:$I,Velocity!$A:$A,$A125,Velocity!$B:$B,$C125)/Assumptions!$B$4*Assumptions!$B$6</f>
        <v>0</v>
      </c>
      <c r="G125" s="7" t="n">
        <f aca="false">SUMIFS(Doors!S:S,Doors!$A:$A,$D125,Doors!$B:$B,$B125,Doors!$C:$C,$C125)*SUMIFS(Velocity!$I:$I,Velocity!$A:$A,$A125,Velocity!$B:$B,$C125)/Assumptions!$B$4*Assumptions!$B$6</f>
        <v>0</v>
      </c>
      <c r="H125" s="7" t="n">
        <f aca="false">SUMIFS(Doors!T:T,Doors!$A:$A,$D125,Doors!$B:$B,$B125,Doors!$C:$C,$C125)*SUMIFS(Velocity!$I:$I,Velocity!$A:$A,$A125,Velocity!$B:$B,$C125)/Assumptions!$B$4*Assumptions!$B$6</f>
        <v>0</v>
      </c>
      <c r="I125" s="7" t="n">
        <f aca="false">SUMIFS(Doors!U:U,Doors!$A:$A,$D125,Doors!$B:$B,$B125,Doors!$C:$C,$C125)*SUMIFS(Velocity!$I:$I,Velocity!$A:$A,$A125,Velocity!$B:$B,$C125)/Assumptions!$B$4*Assumptions!$B$6</f>
        <v>0</v>
      </c>
      <c r="J125" s="7" t="n">
        <f aca="false">SUMIFS(Doors!V:V,Doors!$A:$A,$D125,Doors!$B:$B,$B125,Doors!$C:$C,$C125)*SUMIFS(Velocity!$I:$I,Velocity!$A:$A,$A125,Velocity!$B:$B,$C125)/Assumptions!$B$4*Assumptions!$B$6</f>
        <v>0</v>
      </c>
      <c r="K125" s="7" t="n">
        <f aca="false">SUMIFS(Doors!W:W,Doors!$A:$A,$D125,Doors!$B:$B,$B125,Doors!$C:$C,$C125)*SUMIFS(Velocity!$I:$I,Velocity!$A:$A,$A125,Velocity!$B:$B,$C125)/Assumptions!$B$4*Assumptions!$B$6</f>
        <v>0</v>
      </c>
      <c r="L125" s="7" t="n">
        <f aca="false">SUMIFS(Doors!X:X,Doors!$A:$A,$D125,Doors!$B:$B,$B125,Doors!$C:$C,$C125)*SUMIFS(Velocity!$I:$I,Velocity!$A:$A,$A125,Velocity!$B:$B,$C125)/Assumptions!$B$4*Assumptions!$B$6</f>
        <v>0</v>
      </c>
      <c r="M125" s="7" t="n">
        <f aca="false">SUMIFS(Doors!Y:Y,Doors!$A:$A,$D125,Doors!$B:$B,$B125,Doors!$C:$C,$C125)*SUMIFS(Velocity!$I:$I,Velocity!$A:$A,$A125,Velocity!$B:$B,$C125)/Assumptions!$B$4*Assumptions!$B$6</f>
        <v>0</v>
      </c>
      <c r="N125" s="7" t="n">
        <f aca="false">SUMIFS(Doors!Z:Z,Doors!$A:$A,$D125,Doors!$B:$B,$B125,Doors!$C:$C,$C125)*SUMIFS(Velocity!$I:$I,Velocity!$A:$A,$A125,Velocity!$B:$B,$C125)/Assumptions!$B$4*Assumptions!$B$6</f>
        <v>0</v>
      </c>
      <c r="O125" s="7" t="n">
        <f aca="false">SUMIFS(Doors!AA:AA,Doors!$A:$A,$D125,Doors!$B:$B,$B125,Doors!$C:$C,$C125)*SUMIFS(Velocity!$I:$I,Velocity!$A:$A,$A125,Velocity!$B:$B,$C125)/Assumptions!$B$4*Assumptions!$B$6</f>
        <v>0</v>
      </c>
      <c r="P125" s="7" t="n">
        <f aca="false">SUMIFS(Doors!AB:AB,Doors!$A:$A,$D125,Doors!$B:$B,$B125,Doors!$C:$C,$C125)*SUMIFS(Velocity!$I:$I,Velocity!$A:$A,$A125,Velocity!$B:$B,$C125)/Assumptions!$B$4*Assumptions!$B$6</f>
        <v>0</v>
      </c>
      <c r="Q125" s="7" t="n">
        <f aca="false">SUMIFS(Doors!AC:AC,Doors!$A:$A,$D125,Doors!$B:$B,$B125,Doors!$C:$C,$C125)*SUMIFS(Velocity!$I:$I,Velocity!$A:$A,$A125,Velocity!$B:$B,$C125)/Assumptions!$B$4*Assumptions!$B$6</f>
        <v>0</v>
      </c>
      <c r="R125" s="7" t="n">
        <f aca="false">SUMIFS(Doors!AD:AD,Doors!$A:$A,$D125,Doors!$B:$B,$B125,Doors!$C:$C,$C125)*SUMIFS(Velocity!$I:$I,Velocity!$A:$A,$A125,Velocity!$B:$B,$C125)/Assumptions!$B$4*Assumptions!$B$6</f>
        <v>0</v>
      </c>
      <c r="S125" s="7" t="n">
        <f aca="false">SUMIFS(Doors!AE:AE,Doors!$A:$A,$D125,Doors!$B:$B,$B125,Doors!$C:$C,$C125)*SUMIFS(Velocity!$I:$I,Velocity!$A:$A,$A125,Velocity!$B:$B,$C125)/Assumptions!$B$4*Assumptions!$B$6</f>
        <v>0</v>
      </c>
      <c r="T125" s="7" t="n">
        <f aca="false">SUMIFS(Doors!AF:AF,Doors!$A:$A,$D125,Doors!$B:$B,$B125,Doors!$C:$C,$C125)*SUMIFS(Velocity!$I:$I,Velocity!$A:$A,$A125,Velocity!$B:$B,$C125)/Assumptions!$B$4*Assumptions!$B$6</f>
        <v>0</v>
      </c>
      <c r="U125" s="7" t="n">
        <f aca="false">SUMIFS(Doors!AG:AG,Doors!$A:$A,$D125,Doors!$B:$B,$B125,Doors!$C:$C,$C125)*SUMIFS(Velocity!$I:$I,Velocity!$A:$A,$A125,Velocity!$B:$B,$C125)/Assumptions!$B$4*Assumptions!$B$6</f>
        <v>0</v>
      </c>
      <c r="V125" s="7" t="n">
        <f aca="false">SUMIFS(Doors!AH:AH,Doors!$A:$A,$D125,Doors!$B:$B,$B125,Doors!$C:$C,$C125)*SUMIFS(Velocity!$I:$I,Velocity!$A:$A,$A125,Velocity!$B:$B,$C125)/Assumptions!$B$4*Assumptions!$B$6</f>
        <v>0</v>
      </c>
      <c r="W125" s="7" t="n">
        <f aca="false">SUMIFS(Doors!AI:AI,Doors!$A:$A,$D125,Doors!$B:$B,$B125,Doors!$C:$C,$C125)*SUMIFS(Velocity!$I:$I,Velocity!$A:$A,$A125,Velocity!$B:$B,$C125)/Assumptions!$B$4*Assumptions!$B$6</f>
        <v>1.13333333333333</v>
      </c>
      <c r="X125" s="7" t="n">
        <f aca="false">SUMIFS(Doors!AJ:AJ,Doors!$A:$A,$D125,Doors!$B:$B,$B125,Doors!$C:$C,$C125)*SUMIFS(Velocity!$I:$I,Velocity!$A:$A,$A125,Velocity!$B:$B,$C125)/Assumptions!$B$4*Assumptions!$B$6</f>
        <v>1.13333333333333</v>
      </c>
      <c r="Y125" s="7" t="n">
        <f aca="false">SUMIFS(Doors!AK:AK,Doors!$A:$A,$D125,Doors!$B:$B,$B125,Doors!$C:$C,$C125)*SUMIFS(Velocity!$I:$I,Velocity!$A:$A,$A125,Velocity!$B:$B,$C125)/Assumptions!$B$4*Assumptions!$B$6</f>
        <v>1.13333333333333</v>
      </c>
      <c r="Z125" s="7" t="n">
        <f aca="false">SUMIFS(Doors!AL:AL,Doors!$A:$A,$D125,Doors!$B:$B,$B125,Doors!$C:$C,$C125)*SUMIFS(Velocity!$I:$I,Velocity!$A:$A,$A125,Velocity!$B:$B,$C125)/Assumptions!$B$4*Assumptions!$B$6</f>
        <v>1.13333333333333</v>
      </c>
      <c r="AA125" s="7" t="n">
        <f aca="false">SUMIFS(Doors!AM:AM,Doors!$A:$A,$D125,Doors!$B:$B,$B125,Doors!$C:$C,$C125)*SUMIFS(Velocity!$I:$I,Velocity!$A:$A,$A125,Velocity!$B:$B,$C125)/Assumptions!$B$4*Assumptions!$B$6</f>
        <v>2.26666666666667</v>
      </c>
      <c r="AB125" s="7" t="n">
        <f aca="false">SUMIFS(Doors!AN:AN,Doors!$A:$A,$D125,Doors!$B:$B,$B125,Doors!$C:$C,$C125)*SUMIFS(Velocity!$I:$I,Velocity!$A:$A,$A125,Velocity!$B:$B,$C125)/Assumptions!$B$4*Assumptions!$B$6</f>
        <v>2.26666666666667</v>
      </c>
      <c r="AC125" s="7" t="n">
        <f aca="false">SUMIFS(Doors!AO:AO,Doors!$A:$A,$D125,Doors!$B:$B,$B125,Doors!$C:$C,$C125)*SUMIFS(Velocity!$I:$I,Velocity!$A:$A,$A125,Velocity!$B:$B,$C125)/Assumptions!$B$4*Assumptions!$B$6</f>
        <v>2.26666666666667</v>
      </c>
      <c r="AD125" s="7" t="n">
        <f aca="false">SUMIFS(Doors!AP:AP,Doors!$A:$A,$D125,Doors!$B:$B,$B125,Doors!$C:$C,$C125)*SUMIFS(Velocity!$I:$I,Velocity!$A:$A,$A125,Velocity!$B:$B,$C125)/Assumptions!$B$4*Assumptions!$B$6</f>
        <v>2.26666666666667</v>
      </c>
      <c r="AE125" s="7" t="n">
        <f aca="false">SUMIFS(Doors!AQ:AQ,Doors!$A:$A,$D125,Doors!$B:$B,$B125,Doors!$C:$C,$C125)*SUMIFS(Velocity!$I:$I,Velocity!$A:$A,$A125,Velocity!$B:$B,$C125)/Assumptions!$B$4*Assumptions!$B$6</f>
        <v>3.4</v>
      </c>
      <c r="AF125" s="7" t="n">
        <f aca="false">SUMIFS(Doors!AR:AR,Doors!$A:$A,$D125,Doors!$B:$B,$B125,Doors!$C:$C,$C125)*SUMIFS(Velocity!$I:$I,Velocity!$A:$A,$A125,Velocity!$B:$B,$C125)/Assumptions!$B$4*Assumptions!$B$6</f>
        <v>3.4</v>
      </c>
      <c r="AG125" s="7" t="n">
        <f aca="false">SUMIFS(Doors!AS:AS,Doors!$A:$A,$D125,Doors!$B:$B,$B125,Doors!$C:$C,$C125)*SUMIFS(Velocity!$I:$I,Velocity!$A:$A,$A125,Velocity!$B:$B,$C125)/Assumptions!$B$4*Assumptions!$B$6</f>
        <v>3.4</v>
      </c>
      <c r="AH125" s="7" t="n">
        <f aca="false">SUMIFS(Doors!AT:AT,Doors!$A:$A,$D125,Doors!$B:$B,$B125,Doors!$C:$C,$C125)*SUMIFS(Velocity!$I:$I,Velocity!$A:$A,$A125,Velocity!$B:$B,$C125)/Assumptions!$B$4*Assumptions!$B$6</f>
        <v>3.4</v>
      </c>
      <c r="AI125" s="7" t="n">
        <f aca="false">SUMIFS(Doors!AU:AU,Doors!$A:$A,$D125,Doors!$B:$B,$B125,Doors!$C:$C,$C125)*SUMIFS(Velocity!$I:$I,Velocity!$A:$A,$A125,Velocity!$B:$B,$C125)/Assumptions!$B$4*Assumptions!$B$6</f>
        <v>3.4</v>
      </c>
      <c r="AJ125" s="7" t="n">
        <f aca="false">SUMIFS(Doors!AV:AV,Doors!$A:$A,$D125,Doors!$B:$B,$B125,Doors!$C:$C,$C125)*SUMIFS(Velocity!$I:$I,Velocity!$A:$A,$A125,Velocity!$B:$B,$C125)/Assumptions!$B$4*Assumptions!$B$6</f>
        <v>4.53333333333333</v>
      </c>
      <c r="AK125" s="7" t="n">
        <f aca="false">SUMIFS(Doors!AW:AW,Doors!$A:$A,$D125,Doors!$B:$B,$B125,Doors!$C:$C,$C125)*SUMIFS(Velocity!$I:$I,Velocity!$A:$A,$A125,Velocity!$B:$B,$C125)/Assumptions!$B$4*Assumptions!$B$6</f>
        <v>4.53333333333333</v>
      </c>
      <c r="AL125" s="7" t="n">
        <f aca="false">SUMIFS(Doors!AX:AX,Doors!$A:$A,$D125,Doors!$B:$B,$B125,Doors!$C:$C,$C125)*SUMIFS(Velocity!$I:$I,Velocity!$A:$A,$A125,Velocity!$B:$B,$C125)/Assumptions!$B$4*Assumptions!$B$6</f>
        <v>4.53333333333333</v>
      </c>
      <c r="AM125" s="7" t="n">
        <f aca="false">SUMIFS(Doors!AY:AY,Doors!$A:$A,$D125,Doors!$B:$B,$B125,Doors!$C:$C,$C125)*SUMIFS(Velocity!$I:$I,Velocity!$A:$A,$A125,Velocity!$B:$B,$C125)/Assumptions!$B$4*Assumptions!$B$6</f>
        <v>4.53333333333333</v>
      </c>
      <c r="AN125" s="7" t="n">
        <f aca="false">SUMIFS(Doors!AZ:AZ,Doors!$A:$A,$D125,Doors!$B:$B,$B125,Doors!$C:$C,$C125)*SUMIFS(Velocity!$I:$I,Velocity!$A:$A,$A125,Velocity!$B:$B,$C125)/Assumptions!$B$4*Assumptions!$B$6</f>
        <v>5.66666666666667</v>
      </c>
      <c r="AO125" s="7" t="n">
        <f aca="false">SUMIFS(Doors!BA:BA,Doors!$A:$A,$D125,Doors!$B:$B,$B125,Doors!$C:$C,$C125)*SUMIFS(Velocity!$I:$I,Velocity!$A:$A,$A125,Velocity!$B:$B,$C125)/Assumptions!$B$4*Assumptions!$B$6</f>
        <v>5.66666666666667</v>
      </c>
      <c r="AP125" s="7" t="n">
        <f aca="false">SUMIFS(Doors!BB:BB,Doors!$A:$A,$D125,Doors!$B:$B,$B125,Doors!$C:$C,$C125)*SUMIFS(Velocity!$I:$I,Velocity!$A:$A,$A125,Velocity!$B:$B,$C125)/Assumptions!$B$4*Assumptions!$B$6</f>
        <v>5.66666666666667</v>
      </c>
      <c r="AQ125" s="7" t="n">
        <f aca="false">SUMIFS(Doors!BC:BC,Doors!$A:$A,$D125,Doors!$B:$B,$B125,Doors!$C:$C,$C125)*SUMIFS(Velocity!$I:$I,Velocity!$A:$A,$A125,Velocity!$B:$B,$C125)/Assumptions!$B$4*Assumptions!$B$6</f>
        <v>5.66666666666667</v>
      </c>
      <c r="AR125" s="7" t="n">
        <f aca="false">SUMIFS(Doors!BD:BD,Doors!$A:$A,$D125,Doors!$B:$B,$B125,Doors!$C:$C,$C125)*SUMIFS(Velocity!$I:$I,Velocity!$A:$A,$A125,Velocity!$B:$B,$C125)/Assumptions!$B$4*Assumptions!$B$6</f>
        <v>6.8</v>
      </c>
      <c r="AS125" s="7" t="n">
        <f aca="false">SUMIFS(Doors!BE:BE,Doors!$A:$A,$D125,Doors!$B:$B,$B125,Doors!$C:$C,$C125)*SUMIFS(Velocity!$I:$I,Velocity!$A:$A,$A125,Velocity!$B:$B,$C125)/Assumptions!$B$4*Assumptions!$B$6</f>
        <v>6.8</v>
      </c>
      <c r="AT125" s="7" t="n">
        <f aca="false">SUMIFS(Doors!BF:BF,Doors!$A:$A,$D125,Doors!$B:$B,$B125,Doors!$C:$C,$C125)*SUMIFS(Velocity!$I:$I,Velocity!$A:$A,$A125,Velocity!$B:$B,$C125)/Assumptions!$B$4*Assumptions!$B$6</f>
        <v>6.8</v>
      </c>
      <c r="AU125" s="7" t="n">
        <f aca="false">SUMIFS(Doors!BG:BG,Doors!$A:$A,$D125,Doors!$B:$B,$B125,Doors!$C:$C,$C125)*SUMIFS(Velocity!$I:$I,Velocity!$A:$A,$A125,Velocity!$B:$B,$C125)/Assumptions!$B$4*Assumptions!$B$6</f>
        <v>6.8</v>
      </c>
      <c r="AV125" s="7" t="n">
        <f aca="false">SUMIFS(Doors!BH:BH,Doors!$A:$A,$D125,Doors!$B:$B,$B125,Doors!$C:$C,$C125)*SUMIFS(Velocity!$I:$I,Velocity!$A:$A,$A125,Velocity!$B:$B,$C125)/Assumptions!$B$4*Assumptions!$B$6</f>
        <v>6.8</v>
      </c>
      <c r="AW125" s="7" t="n">
        <f aca="false">SUMIFS(Doors!BI:BI,Doors!$A:$A,$D125,Doors!$B:$B,$B125,Doors!$C:$C,$C125)*SUMIFS(Velocity!$I:$I,Velocity!$A:$A,$A125,Velocity!$B:$B,$C125)/Assumptions!$B$4*Assumptions!$B$6</f>
        <v>7.36666666666667</v>
      </c>
      <c r="AX125" s="7" t="n">
        <f aca="false">SUMIFS(Doors!BJ:BJ,Doors!$A:$A,$D125,Doors!$B:$B,$B125,Doors!$C:$C,$C125)*SUMIFS(Velocity!$I:$I,Velocity!$A:$A,$A125,Velocity!$B:$B,$C125)/Assumptions!$B$4*Assumptions!$B$6</f>
        <v>7.36666666666667</v>
      </c>
      <c r="AY125" s="7" t="n">
        <f aca="false">SUMIFS(Doors!BK:BK,Doors!$A:$A,$D125,Doors!$B:$B,$B125,Doors!$C:$C,$C125)*SUMIFS(Velocity!$I:$I,Velocity!$A:$A,$A125,Velocity!$B:$B,$C125)/Assumptions!$B$4*Assumptions!$B$6</f>
        <v>7.36666666666667</v>
      </c>
      <c r="AZ125" s="7" t="n">
        <f aca="false">SUMIFS(Doors!BL:BL,Doors!$A:$A,$D125,Doors!$B:$B,$B125,Doors!$C:$C,$C125)*SUMIFS(Velocity!$I:$I,Velocity!$A:$A,$A125,Velocity!$B:$B,$C125)/Assumptions!$B$4*Assumptions!$B$6</f>
        <v>7.36666666666667</v>
      </c>
      <c r="BA125" s="7" t="n">
        <f aca="false">SUMIFS(Doors!BM:BM,Doors!$A:$A,$D125,Doors!$B:$B,$B125,Doors!$C:$C,$C125)*SUMIFS(Velocity!$I:$I,Velocity!$A:$A,$A125,Velocity!$B:$B,$C125)/Assumptions!$B$4*Assumptions!$B$6</f>
        <v>7.93333333333333</v>
      </c>
      <c r="BB125" s="7" t="n">
        <f aca="false">SUMIFS(Doors!BN:BN,Doors!$A:$A,$D125,Doors!$B:$B,$B125,Doors!$C:$C,$C125)*SUMIFS(Velocity!$I:$I,Velocity!$A:$A,$A125,Velocity!$B:$B,$C125)/Assumptions!$B$4*Assumptions!$B$6</f>
        <v>7.93333333333333</v>
      </c>
      <c r="BC125" s="7" t="n">
        <f aca="false">SUMIFS(Doors!BO:BO,Doors!$A:$A,$D125,Doors!$B:$B,$B125,Doors!$C:$C,$C125)*SUMIFS(Velocity!$I:$I,Velocity!$A:$A,$A125,Velocity!$B:$B,$C125)/Assumptions!$B$4*Assumptions!$B$6</f>
        <v>7.93333333333333</v>
      </c>
      <c r="BD125" s="7" t="n">
        <f aca="false">SUMIFS(Doors!BP:BP,Doors!$A:$A,$D125,Doors!$B:$B,$B125,Doors!$C:$C,$C125)*SUMIFS(Velocity!$I:$I,Velocity!$A:$A,$A125,Velocity!$B:$B,$C125)/Assumptions!$B$4*Assumptions!$B$6</f>
        <v>7.93333333333333</v>
      </c>
    </row>
    <row r="126" customFormat="false" ht="15" hidden="false" customHeight="false" outlineLevel="0" collapsed="false">
      <c r="A126" s="0" t="s">
        <v>109</v>
      </c>
      <c r="B126" s="0" t="s">
        <v>129</v>
      </c>
      <c r="C126" s="0" t="s">
        <v>118</v>
      </c>
      <c r="D126" s="0" t="s">
        <v>235</v>
      </c>
      <c r="E126" s="7" t="n">
        <f aca="false">SUMIFS(Doors!Q:Q,Doors!$A:$A,$D126,Doors!$B:$B,$B126,Doors!$C:$C,$C126)*SUMIFS(Velocity!$I:$I,Velocity!$A:$A,$A126,Velocity!$B:$B,$C126)/Assumptions!$B$4*Assumptions!$B$6</f>
        <v>0</v>
      </c>
      <c r="F126" s="7" t="n">
        <f aca="false">SUMIFS(Doors!R:R,Doors!$A:$A,$D126,Doors!$B:$B,$B126,Doors!$C:$C,$C126)*SUMIFS(Velocity!$I:$I,Velocity!$A:$A,$A126,Velocity!$B:$B,$C126)/Assumptions!$B$4*Assumptions!$B$6</f>
        <v>0</v>
      </c>
      <c r="G126" s="7" t="n">
        <f aca="false">SUMIFS(Doors!S:S,Doors!$A:$A,$D126,Doors!$B:$B,$B126,Doors!$C:$C,$C126)*SUMIFS(Velocity!$I:$I,Velocity!$A:$A,$A126,Velocity!$B:$B,$C126)/Assumptions!$B$4*Assumptions!$B$6</f>
        <v>0</v>
      </c>
      <c r="H126" s="7" t="n">
        <f aca="false">SUMIFS(Doors!T:T,Doors!$A:$A,$D126,Doors!$B:$B,$B126,Doors!$C:$C,$C126)*SUMIFS(Velocity!$I:$I,Velocity!$A:$A,$A126,Velocity!$B:$B,$C126)/Assumptions!$B$4*Assumptions!$B$6</f>
        <v>0</v>
      </c>
      <c r="I126" s="7" t="n">
        <f aca="false">SUMIFS(Doors!U:U,Doors!$A:$A,$D126,Doors!$B:$B,$B126,Doors!$C:$C,$C126)*SUMIFS(Velocity!$I:$I,Velocity!$A:$A,$A126,Velocity!$B:$B,$C126)/Assumptions!$B$4*Assumptions!$B$6</f>
        <v>0</v>
      </c>
      <c r="J126" s="7" t="n">
        <f aca="false">SUMIFS(Doors!V:V,Doors!$A:$A,$D126,Doors!$B:$B,$B126,Doors!$C:$C,$C126)*SUMIFS(Velocity!$I:$I,Velocity!$A:$A,$A126,Velocity!$B:$B,$C126)/Assumptions!$B$4*Assumptions!$B$6</f>
        <v>0</v>
      </c>
      <c r="K126" s="7" t="n">
        <f aca="false">SUMIFS(Doors!W:W,Doors!$A:$A,$D126,Doors!$B:$B,$B126,Doors!$C:$C,$C126)*SUMIFS(Velocity!$I:$I,Velocity!$A:$A,$A126,Velocity!$B:$B,$C126)/Assumptions!$B$4*Assumptions!$B$6</f>
        <v>0</v>
      </c>
      <c r="L126" s="7" t="n">
        <f aca="false">SUMIFS(Doors!X:X,Doors!$A:$A,$D126,Doors!$B:$B,$B126,Doors!$C:$C,$C126)*SUMIFS(Velocity!$I:$I,Velocity!$A:$A,$A126,Velocity!$B:$B,$C126)/Assumptions!$B$4*Assumptions!$B$6</f>
        <v>0</v>
      </c>
      <c r="M126" s="7" t="n">
        <f aca="false">SUMIFS(Doors!Y:Y,Doors!$A:$A,$D126,Doors!$B:$B,$B126,Doors!$C:$C,$C126)*SUMIFS(Velocity!$I:$I,Velocity!$A:$A,$A126,Velocity!$B:$B,$C126)/Assumptions!$B$4*Assumptions!$B$6</f>
        <v>0</v>
      </c>
      <c r="N126" s="7" t="n">
        <f aca="false">SUMIFS(Doors!Z:Z,Doors!$A:$A,$D126,Doors!$B:$B,$B126,Doors!$C:$C,$C126)*SUMIFS(Velocity!$I:$I,Velocity!$A:$A,$A126,Velocity!$B:$B,$C126)/Assumptions!$B$4*Assumptions!$B$6</f>
        <v>0</v>
      </c>
      <c r="O126" s="7" t="n">
        <f aca="false">SUMIFS(Doors!AA:AA,Doors!$A:$A,$D126,Doors!$B:$B,$B126,Doors!$C:$C,$C126)*SUMIFS(Velocity!$I:$I,Velocity!$A:$A,$A126,Velocity!$B:$B,$C126)/Assumptions!$B$4*Assumptions!$B$6</f>
        <v>0</v>
      </c>
      <c r="P126" s="7" t="n">
        <f aca="false">SUMIFS(Doors!AB:AB,Doors!$A:$A,$D126,Doors!$B:$B,$B126,Doors!$C:$C,$C126)*SUMIFS(Velocity!$I:$I,Velocity!$A:$A,$A126,Velocity!$B:$B,$C126)/Assumptions!$B$4*Assumptions!$B$6</f>
        <v>0</v>
      </c>
      <c r="Q126" s="7" t="n">
        <f aca="false">SUMIFS(Doors!AC:AC,Doors!$A:$A,$D126,Doors!$B:$B,$B126,Doors!$C:$C,$C126)*SUMIFS(Velocity!$I:$I,Velocity!$A:$A,$A126,Velocity!$B:$B,$C126)/Assumptions!$B$4*Assumptions!$B$6</f>
        <v>0</v>
      </c>
      <c r="R126" s="7" t="n">
        <f aca="false">SUMIFS(Doors!AD:AD,Doors!$A:$A,$D126,Doors!$B:$B,$B126,Doors!$C:$C,$C126)*SUMIFS(Velocity!$I:$I,Velocity!$A:$A,$A126,Velocity!$B:$B,$C126)/Assumptions!$B$4*Assumptions!$B$6</f>
        <v>0</v>
      </c>
      <c r="S126" s="7" t="n">
        <f aca="false">SUMIFS(Doors!AE:AE,Doors!$A:$A,$D126,Doors!$B:$B,$B126,Doors!$C:$C,$C126)*SUMIFS(Velocity!$I:$I,Velocity!$A:$A,$A126,Velocity!$B:$B,$C126)/Assumptions!$B$4*Assumptions!$B$6</f>
        <v>0</v>
      </c>
      <c r="T126" s="7" t="n">
        <f aca="false">SUMIFS(Doors!AF:AF,Doors!$A:$A,$D126,Doors!$B:$B,$B126,Doors!$C:$C,$C126)*SUMIFS(Velocity!$I:$I,Velocity!$A:$A,$A126,Velocity!$B:$B,$C126)/Assumptions!$B$4*Assumptions!$B$6</f>
        <v>0</v>
      </c>
      <c r="U126" s="7" t="n">
        <f aca="false">SUMIFS(Doors!AG:AG,Doors!$A:$A,$D126,Doors!$B:$B,$B126,Doors!$C:$C,$C126)*SUMIFS(Velocity!$I:$I,Velocity!$A:$A,$A126,Velocity!$B:$B,$C126)/Assumptions!$B$4*Assumptions!$B$6</f>
        <v>0</v>
      </c>
      <c r="V126" s="7" t="n">
        <f aca="false">SUMIFS(Doors!AH:AH,Doors!$A:$A,$D126,Doors!$B:$B,$B126,Doors!$C:$C,$C126)*SUMIFS(Velocity!$I:$I,Velocity!$A:$A,$A126,Velocity!$B:$B,$C126)/Assumptions!$B$4*Assumptions!$B$6</f>
        <v>0</v>
      </c>
      <c r="W126" s="7" t="n">
        <f aca="false">SUMIFS(Doors!AI:AI,Doors!$A:$A,$D126,Doors!$B:$B,$B126,Doors!$C:$C,$C126)*SUMIFS(Velocity!$I:$I,Velocity!$A:$A,$A126,Velocity!$B:$B,$C126)/Assumptions!$B$4*Assumptions!$B$6</f>
        <v>0</v>
      </c>
      <c r="X126" s="7" t="n">
        <f aca="false">SUMIFS(Doors!AJ:AJ,Doors!$A:$A,$D126,Doors!$B:$B,$B126,Doors!$C:$C,$C126)*SUMIFS(Velocity!$I:$I,Velocity!$A:$A,$A126,Velocity!$B:$B,$C126)/Assumptions!$B$4*Assumptions!$B$6</f>
        <v>0</v>
      </c>
      <c r="Y126" s="7" t="n">
        <f aca="false">SUMIFS(Doors!AK:AK,Doors!$A:$A,$D126,Doors!$B:$B,$B126,Doors!$C:$C,$C126)*SUMIFS(Velocity!$I:$I,Velocity!$A:$A,$A126,Velocity!$B:$B,$C126)/Assumptions!$B$4*Assumptions!$B$6</f>
        <v>0</v>
      </c>
      <c r="Z126" s="7" t="n">
        <f aca="false">SUMIFS(Doors!AL:AL,Doors!$A:$A,$D126,Doors!$B:$B,$B126,Doors!$C:$C,$C126)*SUMIFS(Velocity!$I:$I,Velocity!$A:$A,$A126,Velocity!$B:$B,$C126)/Assumptions!$B$4*Assumptions!$B$6</f>
        <v>0</v>
      </c>
      <c r="AA126" s="7" t="n">
        <f aca="false">SUMIFS(Doors!AM:AM,Doors!$A:$A,$D126,Doors!$B:$B,$B126,Doors!$C:$C,$C126)*SUMIFS(Velocity!$I:$I,Velocity!$A:$A,$A126,Velocity!$B:$B,$C126)/Assumptions!$B$4*Assumptions!$B$6</f>
        <v>0</v>
      </c>
      <c r="AB126" s="7" t="n">
        <f aca="false">SUMIFS(Doors!AN:AN,Doors!$A:$A,$D126,Doors!$B:$B,$B126,Doors!$C:$C,$C126)*SUMIFS(Velocity!$I:$I,Velocity!$A:$A,$A126,Velocity!$B:$B,$C126)/Assumptions!$B$4*Assumptions!$B$6</f>
        <v>0</v>
      </c>
      <c r="AC126" s="7" t="n">
        <f aca="false">SUMIFS(Doors!AO:AO,Doors!$A:$A,$D126,Doors!$B:$B,$B126,Doors!$C:$C,$C126)*SUMIFS(Velocity!$I:$I,Velocity!$A:$A,$A126,Velocity!$B:$B,$C126)/Assumptions!$B$4*Assumptions!$B$6</f>
        <v>0</v>
      </c>
      <c r="AD126" s="7" t="n">
        <f aca="false">SUMIFS(Doors!AP:AP,Doors!$A:$A,$D126,Doors!$B:$B,$B126,Doors!$C:$C,$C126)*SUMIFS(Velocity!$I:$I,Velocity!$A:$A,$A126,Velocity!$B:$B,$C126)/Assumptions!$B$4*Assumptions!$B$6</f>
        <v>0</v>
      </c>
      <c r="AE126" s="7" t="n">
        <f aca="false">SUMIFS(Doors!AQ:AQ,Doors!$A:$A,$D126,Doors!$B:$B,$B126,Doors!$C:$C,$C126)*SUMIFS(Velocity!$I:$I,Velocity!$A:$A,$A126,Velocity!$B:$B,$C126)/Assumptions!$B$4*Assumptions!$B$6</f>
        <v>0</v>
      </c>
      <c r="AF126" s="7" t="n">
        <f aca="false">SUMIFS(Doors!AR:AR,Doors!$A:$A,$D126,Doors!$B:$B,$B126,Doors!$C:$C,$C126)*SUMIFS(Velocity!$I:$I,Velocity!$A:$A,$A126,Velocity!$B:$B,$C126)/Assumptions!$B$4*Assumptions!$B$6</f>
        <v>0</v>
      </c>
      <c r="AG126" s="7" t="n">
        <f aca="false">SUMIFS(Doors!AS:AS,Doors!$A:$A,$D126,Doors!$B:$B,$B126,Doors!$C:$C,$C126)*SUMIFS(Velocity!$I:$I,Velocity!$A:$A,$A126,Velocity!$B:$B,$C126)/Assumptions!$B$4*Assumptions!$B$6</f>
        <v>0</v>
      </c>
      <c r="AH126" s="7" t="n">
        <f aca="false">SUMIFS(Doors!AT:AT,Doors!$A:$A,$D126,Doors!$B:$B,$B126,Doors!$C:$C,$C126)*SUMIFS(Velocity!$I:$I,Velocity!$A:$A,$A126,Velocity!$B:$B,$C126)/Assumptions!$B$4*Assumptions!$B$6</f>
        <v>0</v>
      </c>
      <c r="AI126" s="7" t="n">
        <f aca="false">SUMIFS(Doors!AU:AU,Doors!$A:$A,$D126,Doors!$B:$B,$B126,Doors!$C:$C,$C126)*SUMIFS(Velocity!$I:$I,Velocity!$A:$A,$A126,Velocity!$B:$B,$C126)/Assumptions!$B$4*Assumptions!$B$6</f>
        <v>0</v>
      </c>
      <c r="AJ126" s="7" t="n">
        <f aca="false">SUMIFS(Doors!AV:AV,Doors!$A:$A,$D126,Doors!$B:$B,$B126,Doors!$C:$C,$C126)*SUMIFS(Velocity!$I:$I,Velocity!$A:$A,$A126,Velocity!$B:$B,$C126)/Assumptions!$B$4*Assumptions!$B$6</f>
        <v>0</v>
      </c>
      <c r="AK126" s="7" t="n">
        <f aca="false">SUMIFS(Doors!AW:AW,Doors!$A:$A,$D126,Doors!$B:$B,$B126,Doors!$C:$C,$C126)*SUMIFS(Velocity!$I:$I,Velocity!$A:$A,$A126,Velocity!$B:$B,$C126)/Assumptions!$B$4*Assumptions!$B$6</f>
        <v>0</v>
      </c>
      <c r="AL126" s="7" t="n">
        <f aca="false">SUMIFS(Doors!AX:AX,Doors!$A:$A,$D126,Doors!$B:$B,$B126,Doors!$C:$C,$C126)*SUMIFS(Velocity!$I:$I,Velocity!$A:$A,$A126,Velocity!$B:$B,$C126)/Assumptions!$B$4*Assumptions!$B$6</f>
        <v>0</v>
      </c>
      <c r="AM126" s="7" t="n">
        <f aca="false">SUMIFS(Doors!AY:AY,Doors!$A:$A,$D126,Doors!$B:$B,$B126,Doors!$C:$C,$C126)*SUMIFS(Velocity!$I:$I,Velocity!$A:$A,$A126,Velocity!$B:$B,$C126)/Assumptions!$B$4*Assumptions!$B$6</f>
        <v>0</v>
      </c>
      <c r="AN126" s="7" t="n">
        <f aca="false">SUMIFS(Doors!AZ:AZ,Doors!$A:$A,$D126,Doors!$B:$B,$B126,Doors!$C:$C,$C126)*SUMIFS(Velocity!$I:$I,Velocity!$A:$A,$A126,Velocity!$B:$B,$C126)/Assumptions!$B$4*Assumptions!$B$6</f>
        <v>0</v>
      </c>
      <c r="AO126" s="7" t="n">
        <f aca="false">SUMIFS(Doors!BA:BA,Doors!$A:$A,$D126,Doors!$B:$B,$B126,Doors!$C:$C,$C126)*SUMIFS(Velocity!$I:$I,Velocity!$A:$A,$A126,Velocity!$B:$B,$C126)/Assumptions!$B$4*Assumptions!$B$6</f>
        <v>0</v>
      </c>
      <c r="AP126" s="7" t="n">
        <f aca="false">SUMIFS(Doors!BB:BB,Doors!$A:$A,$D126,Doors!$B:$B,$B126,Doors!$C:$C,$C126)*SUMIFS(Velocity!$I:$I,Velocity!$A:$A,$A126,Velocity!$B:$B,$C126)/Assumptions!$B$4*Assumptions!$B$6</f>
        <v>0</v>
      </c>
      <c r="AQ126" s="7" t="n">
        <f aca="false">SUMIFS(Doors!BC:BC,Doors!$A:$A,$D126,Doors!$B:$B,$B126,Doors!$C:$C,$C126)*SUMIFS(Velocity!$I:$I,Velocity!$A:$A,$A126,Velocity!$B:$B,$C126)/Assumptions!$B$4*Assumptions!$B$6</f>
        <v>0</v>
      </c>
      <c r="AR126" s="7" t="n">
        <f aca="false">SUMIFS(Doors!BD:BD,Doors!$A:$A,$D126,Doors!$B:$B,$B126,Doors!$C:$C,$C126)*SUMIFS(Velocity!$I:$I,Velocity!$A:$A,$A126,Velocity!$B:$B,$C126)/Assumptions!$B$4*Assumptions!$B$6</f>
        <v>27.6666666666667</v>
      </c>
      <c r="AS126" s="7" t="n">
        <f aca="false">SUMIFS(Doors!BE:BE,Doors!$A:$A,$D126,Doors!$B:$B,$B126,Doors!$C:$C,$C126)*SUMIFS(Velocity!$I:$I,Velocity!$A:$A,$A126,Velocity!$B:$B,$C126)/Assumptions!$B$4*Assumptions!$B$6</f>
        <v>27.6666666666667</v>
      </c>
      <c r="AT126" s="7" t="n">
        <f aca="false">SUMIFS(Doors!BF:BF,Doors!$A:$A,$D126,Doors!$B:$B,$B126,Doors!$C:$C,$C126)*SUMIFS(Velocity!$I:$I,Velocity!$A:$A,$A126,Velocity!$B:$B,$C126)/Assumptions!$B$4*Assumptions!$B$6</f>
        <v>27.6666666666667</v>
      </c>
      <c r="AU126" s="7" t="n">
        <f aca="false">SUMIFS(Doors!BG:BG,Doors!$A:$A,$D126,Doors!$B:$B,$B126,Doors!$C:$C,$C126)*SUMIFS(Velocity!$I:$I,Velocity!$A:$A,$A126,Velocity!$B:$B,$C126)/Assumptions!$B$4*Assumptions!$B$6</f>
        <v>27.6666666666667</v>
      </c>
      <c r="AV126" s="7" t="n">
        <f aca="false">SUMIFS(Doors!BH:BH,Doors!$A:$A,$D126,Doors!$B:$B,$B126,Doors!$C:$C,$C126)*SUMIFS(Velocity!$I:$I,Velocity!$A:$A,$A126,Velocity!$B:$B,$C126)/Assumptions!$B$4*Assumptions!$B$6</f>
        <v>27.6666666666667</v>
      </c>
      <c r="AW126" s="7" t="n">
        <f aca="false">SUMIFS(Doors!BI:BI,Doors!$A:$A,$D126,Doors!$B:$B,$B126,Doors!$C:$C,$C126)*SUMIFS(Velocity!$I:$I,Velocity!$A:$A,$A126,Velocity!$B:$B,$C126)/Assumptions!$B$4*Assumptions!$B$6</f>
        <v>34.5833333333333</v>
      </c>
      <c r="AX126" s="7" t="n">
        <f aca="false">SUMIFS(Doors!BJ:BJ,Doors!$A:$A,$D126,Doors!$B:$B,$B126,Doors!$C:$C,$C126)*SUMIFS(Velocity!$I:$I,Velocity!$A:$A,$A126,Velocity!$B:$B,$C126)/Assumptions!$B$4*Assumptions!$B$6</f>
        <v>34.5833333333333</v>
      </c>
      <c r="AY126" s="7" t="n">
        <f aca="false">SUMIFS(Doors!BK:BK,Doors!$A:$A,$D126,Doors!$B:$B,$B126,Doors!$C:$C,$C126)*SUMIFS(Velocity!$I:$I,Velocity!$A:$A,$A126,Velocity!$B:$B,$C126)/Assumptions!$B$4*Assumptions!$B$6</f>
        <v>34.5833333333333</v>
      </c>
      <c r="AZ126" s="7" t="n">
        <f aca="false">SUMIFS(Doors!BL:BL,Doors!$A:$A,$D126,Doors!$B:$B,$B126,Doors!$C:$C,$C126)*SUMIFS(Velocity!$I:$I,Velocity!$A:$A,$A126,Velocity!$B:$B,$C126)/Assumptions!$B$4*Assumptions!$B$6</f>
        <v>34.5833333333333</v>
      </c>
      <c r="BA126" s="7" t="n">
        <f aca="false">SUMIFS(Doors!BM:BM,Doors!$A:$A,$D126,Doors!$B:$B,$B126,Doors!$C:$C,$C126)*SUMIFS(Velocity!$I:$I,Velocity!$A:$A,$A126,Velocity!$B:$B,$C126)/Assumptions!$B$4*Assumptions!$B$6</f>
        <v>41.5</v>
      </c>
      <c r="BB126" s="7" t="n">
        <f aca="false">SUMIFS(Doors!BN:BN,Doors!$A:$A,$D126,Doors!$B:$B,$B126,Doors!$C:$C,$C126)*SUMIFS(Velocity!$I:$I,Velocity!$A:$A,$A126,Velocity!$B:$B,$C126)/Assumptions!$B$4*Assumptions!$B$6</f>
        <v>41.5</v>
      </c>
      <c r="BC126" s="7" t="n">
        <f aca="false">SUMIFS(Doors!BO:BO,Doors!$A:$A,$D126,Doors!$B:$B,$B126,Doors!$C:$C,$C126)*SUMIFS(Velocity!$I:$I,Velocity!$A:$A,$A126,Velocity!$B:$B,$C126)/Assumptions!$B$4*Assumptions!$B$6</f>
        <v>41.5</v>
      </c>
      <c r="BD126" s="7" t="n">
        <f aca="false">SUMIFS(Doors!BP:BP,Doors!$A:$A,$D126,Doors!$B:$B,$B126,Doors!$C:$C,$C126)*SUMIFS(Velocity!$I:$I,Velocity!$A:$A,$A126,Velocity!$B:$B,$C126)/Assumptions!$B$4*Assumptions!$B$6</f>
        <v>41.5</v>
      </c>
    </row>
    <row r="127" customFormat="false" ht="15" hidden="false" customHeight="false" outlineLevel="0" collapsed="false">
      <c r="A127" s="0" t="s">
        <v>109</v>
      </c>
      <c r="B127" s="0" t="s">
        <v>129</v>
      </c>
      <c r="C127" s="0" t="s">
        <v>119</v>
      </c>
      <c r="D127" s="0" t="s">
        <v>235</v>
      </c>
      <c r="E127" s="7" t="n">
        <f aca="false">SUMIFS(Doors!Q:Q,Doors!$A:$A,$D127,Doors!$B:$B,$B127,Doors!$C:$C,$C127)*SUMIFS(Velocity!$I:$I,Velocity!$A:$A,$A127,Velocity!$B:$B,$C127)/Assumptions!$B$4*Assumptions!$B$6</f>
        <v>0.833333333333333</v>
      </c>
      <c r="F127" s="7" t="n">
        <f aca="false">SUMIFS(Doors!R:R,Doors!$A:$A,$D127,Doors!$B:$B,$B127,Doors!$C:$C,$C127)*SUMIFS(Velocity!$I:$I,Velocity!$A:$A,$A127,Velocity!$B:$B,$C127)/Assumptions!$B$4*Assumptions!$B$6</f>
        <v>0.833333333333333</v>
      </c>
      <c r="G127" s="7" t="n">
        <f aca="false">SUMIFS(Doors!S:S,Doors!$A:$A,$D127,Doors!$B:$B,$B127,Doors!$C:$C,$C127)*SUMIFS(Velocity!$I:$I,Velocity!$A:$A,$A127,Velocity!$B:$B,$C127)/Assumptions!$B$4*Assumptions!$B$6</f>
        <v>0.833333333333333</v>
      </c>
      <c r="H127" s="7" t="n">
        <f aca="false">SUMIFS(Doors!T:T,Doors!$A:$A,$D127,Doors!$B:$B,$B127,Doors!$C:$C,$C127)*SUMIFS(Velocity!$I:$I,Velocity!$A:$A,$A127,Velocity!$B:$B,$C127)/Assumptions!$B$4*Assumptions!$B$6</f>
        <v>0.833333333333333</v>
      </c>
      <c r="I127" s="7" t="n">
        <f aca="false">SUMIFS(Doors!U:U,Doors!$A:$A,$D127,Doors!$B:$B,$B127,Doors!$C:$C,$C127)*SUMIFS(Velocity!$I:$I,Velocity!$A:$A,$A127,Velocity!$B:$B,$C127)/Assumptions!$B$4*Assumptions!$B$6</f>
        <v>0.833333333333333</v>
      </c>
      <c r="J127" s="7" t="n">
        <f aca="false">SUMIFS(Doors!V:V,Doors!$A:$A,$D127,Doors!$B:$B,$B127,Doors!$C:$C,$C127)*SUMIFS(Velocity!$I:$I,Velocity!$A:$A,$A127,Velocity!$B:$B,$C127)/Assumptions!$B$4*Assumptions!$B$6</f>
        <v>1.33333333333333</v>
      </c>
      <c r="K127" s="7" t="n">
        <f aca="false">SUMIFS(Doors!W:W,Doors!$A:$A,$D127,Doors!$B:$B,$B127,Doors!$C:$C,$C127)*SUMIFS(Velocity!$I:$I,Velocity!$A:$A,$A127,Velocity!$B:$B,$C127)/Assumptions!$B$4*Assumptions!$B$6</f>
        <v>1.33333333333333</v>
      </c>
      <c r="L127" s="7" t="n">
        <f aca="false">SUMIFS(Doors!X:X,Doors!$A:$A,$D127,Doors!$B:$B,$B127,Doors!$C:$C,$C127)*SUMIFS(Velocity!$I:$I,Velocity!$A:$A,$A127,Velocity!$B:$B,$C127)/Assumptions!$B$4*Assumptions!$B$6</f>
        <v>1.33333333333333</v>
      </c>
      <c r="M127" s="7" t="n">
        <f aca="false">SUMIFS(Doors!Y:Y,Doors!$A:$A,$D127,Doors!$B:$B,$B127,Doors!$C:$C,$C127)*SUMIFS(Velocity!$I:$I,Velocity!$A:$A,$A127,Velocity!$B:$B,$C127)/Assumptions!$B$4*Assumptions!$B$6</f>
        <v>1.33333333333333</v>
      </c>
      <c r="N127" s="7" t="n">
        <f aca="false">SUMIFS(Doors!Z:Z,Doors!$A:$A,$D127,Doors!$B:$B,$B127,Doors!$C:$C,$C127)*SUMIFS(Velocity!$I:$I,Velocity!$A:$A,$A127,Velocity!$B:$B,$C127)/Assumptions!$B$4*Assumptions!$B$6</f>
        <v>2</v>
      </c>
      <c r="O127" s="7" t="n">
        <f aca="false">SUMIFS(Doors!AA:AA,Doors!$A:$A,$D127,Doors!$B:$B,$B127,Doors!$C:$C,$C127)*SUMIFS(Velocity!$I:$I,Velocity!$A:$A,$A127,Velocity!$B:$B,$C127)/Assumptions!$B$4*Assumptions!$B$6</f>
        <v>2</v>
      </c>
      <c r="P127" s="7" t="n">
        <f aca="false">SUMIFS(Doors!AB:AB,Doors!$A:$A,$D127,Doors!$B:$B,$B127,Doors!$C:$C,$C127)*SUMIFS(Velocity!$I:$I,Velocity!$A:$A,$A127,Velocity!$B:$B,$C127)/Assumptions!$B$4*Assumptions!$B$6</f>
        <v>2</v>
      </c>
      <c r="Q127" s="7" t="n">
        <f aca="false">SUMIFS(Doors!AC:AC,Doors!$A:$A,$D127,Doors!$B:$B,$B127,Doors!$C:$C,$C127)*SUMIFS(Velocity!$I:$I,Velocity!$A:$A,$A127,Velocity!$B:$B,$C127)/Assumptions!$B$4*Assumptions!$B$6</f>
        <v>2</v>
      </c>
      <c r="R127" s="7" t="n">
        <f aca="false">SUMIFS(Doors!AD:AD,Doors!$A:$A,$D127,Doors!$B:$B,$B127,Doors!$C:$C,$C127)*SUMIFS(Velocity!$I:$I,Velocity!$A:$A,$A127,Velocity!$B:$B,$C127)/Assumptions!$B$4*Assumptions!$B$6</f>
        <v>2.5</v>
      </c>
      <c r="S127" s="7" t="n">
        <f aca="false">SUMIFS(Doors!AE:AE,Doors!$A:$A,$D127,Doors!$B:$B,$B127,Doors!$C:$C,$C127)*SUMIFS(Velocity!$I:$I,Velocity!$A:$A,$A127,Velocity!$B:$B,$C127)/Assumptions!$B$4*Assumptions!$B$6</f>
        <v>2.5</v>
      </c>
      <c r="T127" s="7" t="n">
        <f aca="false">SUMIFS(Doors!AF:AF,Doors!$A:$A,$D127,Doors!$B:$B,$B127,Doors!$C:$C,$C127)*SUMIFS(Velocity!$I:$I,Velocity!$A:$A,$A127,Velocity!$B:$B,$C127)/Assumptions!$B$4*Assumptions!$B$6</f>
        <v>2.5</v>
      </c>
      <c r="U127" s="7" t="n">
        <f aca="false">SUMIFS(Doors!AG:AG,Doors!$A:$A,$D127,Doors!$B:$B,$B127,Doors!$C:$C,$C127)*SUMIFS(Velocity!$I:$I,Velocity!$A:$A,$A127,Velocity!$B:$B,$C127)/Assumptions!$B$4*Assumptions!$B$6</f>
        <v>2.5</v>
      </c>
      <c r="V127" s="7" t="n">
        <f aca="false">SUMIFS(Doors!AH:AH,Doors!$A:$A,$D127,Doors!$B:$B,$B127,Doors!$C:$C,$C127)*SUMIFS(Velocity!$I:$I,Velocity!$A:$A,$A127,Velocity!$B:$B,$C127)/Assumptions!$B$4*Assumptions!$B$6</f>
        <v>2.5</v>
      </c>
      <c r="W127" s="7" t="n">
        <f aca="false">SUMIFS(Doors!AI:AI,Doors!$A:$A,$D127,Doors!$B:$B,$B127,Doors!$C:$C,$C127)*SUMIFS(Velocity!$I:$I,Velocity!$A:$A,$A127,Velocity!$B:$B,$C127)/Assumptions!$B$4*Assumptions!$B$6</f>
        <v>3</v>
      </c>
      <c r="X127" s="7" t="n">
        <f aca="false">SUMIFS(Doors!AJ:AJ,Doors!$A:$A,$D127,Doors!$B:$B,$B127,Doors!$C:$C,$C127)*SUMIFS(Velocity!$I:$I,Velocity!$A:$A,$A127,Velocity!$B:$B,$C127)/Assumptions!$B$4*Assumptions!$B$6</f>
        <v>3</v>
      </c>
      <c r="Y127" s="7" t="n">
        <f aca="false">SUMIFS(Doors!AK:AK,Doors!$A:$A,$D127,Doors!$B:$B,$B127,Doors!$C:$C,$C127)*SUMIFS(Velocity!$I:$I,Velocity!$A:$A,$A127,Velocity!$B:$B,$C127)/Assumptions!$B$4*Assumptions!$B$6</f>
        <v>3</v>
      </c>
      <c r="Z127" s="7" t="n">
        <f aca="false">SUMIFS(Doors!AL:AL,Doors!$A:$A,$D127,Doors!$B:$B,$B127,Doors!$C:$C,$C127)*SUMIFS(Velocity!$I:$I,Velocity!$A:$A,$A127,Velocity!$B:$B,$C127)/Assumptions!$B$4*Assumptions!$B$6</f>
        <v>3</v>
      </c>
      <c r="AA127" s="7" t="n">
        <f aca="false">SUMIFS(Doors!AM:AM,Doors!$A:$A,$D127,Doors!$B:$B,$B127,Doors!$C:$C,$C127)*SUMIFS(Velocity!$I:$I,Velocity!$A:$A,$A127,Velocity!$B:$B,$C127)/Assumptions!$B$4*Assumptions!$B$6</f>
        <v>3.5</v>
      </c>
      <c r="AB127" s="7" t="n">
        <f aca="false">SUMIFS(Doors!AN:AN,Doors!$A:$A,$D127,Doors!$B:$B,$B127,Doors!$C:$C,$C127)*SUMIFS(Velocity!$I:$I,Velocity!$A:$A,$A127,Velocity!$B:$B,$C127)/Assumptions!$B$4*Assumptions!$B$6</f>
        <v>3.5</v>
      </c>
      <c r="AC127" s="7" t="n">
        <f aca="false">SUMIFS(Doors!AO:AO,Doors!$A:$A,$D127,Doors!$B:$B,$B127,Doors!$C:$C,$C127)*SUMIFS(Velocity!$I:$I,Velocity!$A:$A,$A127,Velocity!$B:$B,$C127)/Assumptions!$B$4*Assumptions!$B$6</f>
        <v>3.5</v>
      </c>
      <c r="AD127" s="7" t="n">
        <f aca="false">SUMIFS(Doors!AP:AP,Doors!$A:$A,$D127,Doors!$B:$B,$B127,Doors!$C:$C,$C127)*SUMIFS(Velocity!$I:$I,Velocity!$A:$A,$A127,Velocity!$B:$B,$C127)/Assumptions!$B$4*Assumptions!$B$6</f>
        <v>3.5</v>
      </c>
      <c r="AE127" s="7" t="n">
        <f aca="false">SUMIFS(Doors!AQ:AQ,Doors!$A:$A,$D127,Doors!$B:$B,$B127,Doors!$C:$C,$C127)*SUMIFS(Velocity!$I:$I,Velocity!$A:$A,$A127,Velocity!$B:$B,$C127)/Assumptions!$B$4*Assumptions!$B$6</f>
        <v>4</v>
      </c>
      <c r="AF127" s="7" t="n">
        <f aca="false">SUMIFS(Doors!AR:AR,Doors!$A:$A,$D127,Doors!$B:$B,$B127,Doors!$C:$C,$C127)*SUMIFS(Velocity!$I:$I,Velocity!$A:$A,$A127,Velocity!$B:$B,$C127)/Assumptions!$B$4*Assumptions!$B$6</f>
        <v>4</v>
      </c>
      <c r="AG127" s="7" t="n">
        <f aca="false">SUMIFS(Doors!AS:AS,Doors!$A:$A,$D127,Doors!$B:$B,$B127,Doors!$C:$C,$C127)*SUMIFS(Velocity!$I:$I,Velocity!$A:$A,$A127,Velocity!$B:$B,$C127)/Assumptions!$B$4*Assumptions!$B$6</f>
        <v>4</v>
      </c>
      <c r="AH127" s="7" t="n">
        <f aca="false">SUMIFS(Doors!AT:AT,Doors!$A:$A,$D127,Doors!$B:$B,$B127,Doors!$C:$C,$C127)*SUMIFS(Velocity!$I:$I,Velocity!$A:$A,$A127,Velocity!$B:$B,$C127)/Assumptions!$B$4*Assumptions!$B$6</f>
        <v>4</v>
      </c>
      <c r="AI127" s="7" t="n">
        <f aca="false">SUMIFS(Doors!AU:AU,Doors!$A:$A,$D127,Doors!$B:$B,$B127,Doors!$C:$C,$C127)*SUMIFS(Velocity!$I:$I,Velocity!$A:$A,$A127,Velocity!$B:$B,$C127)/Assumptions!$B$4*Assumptions!$B$6</f>
        <v>4</v>
      </c>
      <c r="AJ127" s="7" t="n">
        <f aca="false">SUMIFS(Doors!AV:AV,Doors!$A:$A,$D127,Doors!$B:$B,$B127,Doors!$C:$C,$C127)*SUMIFS(Velocity!$I:$I,Velocity!$A:$A,$A127,Velocity!$B:$B,$C127)/Assumptions!$B$4*Assumptions!$B$6</f>
        <v>4.33333333333333</v>
      </c>
      <c r="AK127" s="7" t="n">
        <f aca="false">SUMIFS(Doors!AW:AW,Doors!$A:$A,$D127,Doors!$B:$B,$B127,Doors!$C:$C,$C127)*SUMIFS(Velocity!$I:$I,Velocity!$A:$A,$A127,Velocity!$B:$B,$C127)/Assumptions!$B$4*Assumptions!$B$6</f>
        <v>4.33333333333333</v>
      </c>
      <c r="AL127" s="7" t="n">
        <f aca="false">SUMIFS(Doors!AX:AX,Doors!$A:$A,$D127,Doors!$B:$B,$B127,Doors!$C:$C,$C127)*SUMIFS(Velocity!$I:$I,Velocity!$A:$A,$A127,Velocity!$B:$B,$C127)/Assumptions!$B$4*Assumptions!$B$6</f>
        <v>4.33333333333333</v>
      </c>
      <c r="AM127" s="7" t="n">
        <f aca="false">SUMIFS(Doors!AY:AY,Doors!$A:$A,$D127,Doors!$B:$B,$B127,Doors!$C:$C,$C127)*SUMIFS(Velocity!$I:$I,Velocity!$A:$A,$A127,Velocity!$B:$B,$C127)/Assumptions!$B$4*Assumptions!$B$6</f>
        <v>4.33333333333333</v>
      </c>
      <c r="AN127" s="7" t="n">
        <f aca="false">SUMIFS(Doors!AZ:AZ,Doors!$A:$A,$D127,Doors!$B:$B,$B127,Doors!$C:$C,$C127)*SUMIFS(Velocity!$I:$I,Velocity!$A:$A,$A127,Velocity!$B:$B,$C127)/Assumptions!$B$4*Assumptions!$B$6</f>
        <v>4.66666666666667</v>
      </c>
      <c r="AO127" s="7" t="n">
        <f aca="false">SUMIFS(Doors!BA:BA,Doors!$A:$A,$D127,Doors!$B:$B,$B127,Doors!$C:$C,$C127)*SUMIFS(Velocity!$I:$I,Velocity!$A:$A,$A127,Velocity!$B:$B,$C127)/Assumptions!$B$4*Assumptions!$B$6</f>
        <v>4.66666666666667</v>
      </c>
      <c r="AP127" s="7" t="n">
        <f aca="false">SUMIFS(Doors!BB:BB,Doors!$A:$A,$D127,Doors!$B:$B,$B127,Doors!$C:$C,$C127)*SUMIFS(Velocity!$I:$I,Velocity!$A:$A,$A127,Velocity!$B:$B,$C127)/Assumptions!$B$4*Assumptions!$B$6</f>
        <v>4.66666666666667</v>
      </c>
      <c r="AQ127" s="7" t="n">
        <f aca="false">SUMIFS(Doors!BC:BC,Doors!$A:$A,$D127,Doors!$B:$B,$B127,Doors!$C:$C,$C127)*SUMIFS(Velocity!$I:$I,Velocity!$A:$A,$A127,Velocity!$B:$B,$C127)/Assumptions!$B$4*Assumptions!$B$6</f>
        <v>4.66666666666667</v>
      </c>
      <c r="AR127" s="7" t="n">
        <f aca="false">SUMIFS(Doors!BD:BD,Doors!$A:$A,$D127,Doors!$B:$B,$B127,Doors!$C:$C,$C127)*SUMIFS(Velocity!$I:$I,Velocity!$A:$A,$A127,Velocity!$B:$B,$C127)/Assumptions!$B$4*Assumptions!$B$6</f>
        <v>4.83333333333333</v>
      </c>
      <c r="AS127" s="7" t="n">
        <f aca="false">SUMIFS(Doors!BE:BE,Doors!$A:$A,$D127,Doors!$B:$B,$B127,Doors!$C:$C,$C127)*SUMIFS(Velocity!$I:$I,Velocity!$A:$A,$A127,Velocity!$B:$B,$C127)/Assumptions!$B$4*Assumptions!$B$6</f>
        <v>4.83333333333333</v>
      </c>
      <c r="AT127" s="7" t="n">
        <f aca="false">SUMIFS(Doors!BF:BF,Doors!$A:$A,$D127,Doors!$B:$B,$B127,Doors!$C:$C,$C127)*SUMIFS(Velocity!$I:$I,Velocity!$A:$A,$A127,Velocity!$B:$B,$C127)/Assumptions!$B$4*Assumptions!$B$6</f>
        <v>4.83333333333333</v>
      </c>
      <c r="AU127" s="7" t="n">
        <f aca="false">SUMIFS(Doors!BG:BG,Doors!$A:$A,$D127,Doors!$B:$B,$B127,Doors!$C:$C,$C127)*SUMIFS(Velocity!$I:$I,Velocity!$A:$A,$A127,Velocity!$B:$B,$C127)/Assumptions!$B$4*Assumptions!$B$6</f>
        <v>4.83333333333333</v>
      </c>
      <c r="AV127" s="7" t="n">
        <f aca="false">SUMIFS(Doors!BH:BH,Doors!$A:$A,$D127,Doors!$B:$B,$B127,Doors!$C:$C,$C127)*SUMIFS(Velocity!$I:$I,Velocity!$A:$A,$A127,Velocity!$B:$B,$C127)/Assumptions!$B$4*Assumptions!$B$6</f>
        <v>4.83333333333333</v>
      </c>
      <c r="AW127" s="7" t="n">
        <f aca="false">SUMIFS(Doors!BI:BI,Doors!$A:$A,$D127,Doors!$B:$B,$B127,Doors!$C:$C,$C127)*SUMIFS(Velocity!$I:$I,Velocity!$A:$A,$A127,Velocity!$B:$B,$C127)/Assumptions!$B$4*Assumptions!$B$6</f>
        <v>5</v>
      </c>
      <c r="AX127" s="7" t="n">
        <f aca="false">SUMIFS(Doors!BJ:BJ,Doors!$A:$A,$D127,Doors!$B:$B,$B127,Doors!$C:$C,$C127)*SUMIFS(Velocity!$I:$I,Velocity!$A:$A,$A127,Velocity!$B:$B,$C127)/Assumptions!$B$4*Assumptions!$B$6</f>
        <v>5</v>
      </c>
      <c r="AY127" s="7" t="n">
        <f aca="false">SUMIFS(Doors!BK:BK,Doors!$A:$A,$D127,Doors!$B:$B,$B127,Doors!$C:$C,$C127)*SUMIFS(Velocity!$I:$I,Velocity!$A:$A,$A127,Velocity!$B:$B,$C127)/Assumptions!$B$4*Assumptions!$B$6</f>
        <v>5</v>
      </c>
      <c r="AZ127" s="7" t="n">
        <f aca="false">SUMIFS(Doors!BL:BL,Doors!$A:$A,$D127,Doors!$B:$B,$B127,Doors!$C:$C,$C127)*SUMIFS(Velocity!$I:$I,Velocity!$A:$A,$A127,Velocity!$B:$B,$C127)/Assumptions!$B$4*Assumptions!$B$6</f>
        <v>5</v>
      </c>
      <c r="BA127" s="7" t="n">
        <f aca="false">SUMIFS(Doors!BM:BM,Doors!$A:$A,$D127,Doors!$B:$B,$B127,Doors!$C:$C,$C127)*SUMIFS(Velocity!$I:$I,Velocity!$A:$A,$A127,Velocity!$B:$B,$C127)/Assumptions!$B$4*Assumptions!$B$6</f>
        <v>5</v>
      </c>
      <c r="BB127" s="7" t="n">
        <f aca="false">SUMIFS(Doors!BN:BN,Doors!$A:$A,$D127,Doors!$B:$B,$B127,Doors!$C:$C,$C127)*SUMIFS(Velocity!$I:$I,Velocity!$A:$A,$A127,Velocity!$B:$B,$C127)/Assumptions!$B$4*Assumptions!$B$6</f>
        <v>5</v>
      </c>
      <c r="BC127" s="7" t="n">
        <f aca="false">SUMIFS(Doors!BO:BO,Doors!$A:$A,$D127,Doors!$B:$B,$B127,Doors!$C:$C,$C127)*SUMIFS(Velocity!$I:$I,Velocity!$A:$A,$A127,Velocity!$B:$B,$C127)/Assumptions!$B$4*Assumptions!$B$6</f>
        <v>5</v>
      </c>
      <c r="BD127" s="7" t="n">
        <f aca="false">SUMIFS(Doors!BP:BP,Doors!$A:$A,$D127,Doors!$B:$B,$B127,Doors!$C:$C,$C127)*SUMIFS(Velocity!$I:$I,Velocity!$A:$A,$A127,Velocity!$B:$B,$C127)/Assumptions!$B$4*Assumptions!$B$6</f>
        <v>5</v>
      </c>
    </row>
    <row r="128" customFormat="false" ht="15" hidden="false" customHeight="false" outlineLevel="0" collapsed="false">
      <c r="A128" s="0" t="s">
        <v>109</v>
      </c>
      <c r="B128" s="0" t="s">
        <v>129</v>
      </c>
      <c r="C128" s="0" t="s">
        <v>120</v>
      </c>
      <c r="D128" s="0" t="s">
        <v>235</v>
      </c>
      <c r="E128" s="7" t="n">
        <f aca="false">SUMIFS(Doors!Q:Q,Doors!$A:$A,$D128,Doors!$B:$B,$B128,Doors!$C:$C,$C128)*SUMIFS(Velocity!$I:$I,Velocity!$A:$A,$A128,Velocity!$B:$B,$C128)/Assumptions!$B$4*Assumptions!$B$6</f>
        <v>0.989583333333333</v>
      </c>
      <c r="F128" s="7" t="n">
        <f aca="false">SUMIFS(Doors!R:R,Doors!$A:$A,$D128,Doors!$B:$B,$B128,Doors!$C:$C,$C128)*SUMIFS(Velocity!$I:$I,Velocity!$A:$A,$A128,Velocity!$B:$B,$C128)/Assumptions!$B$4*Assumptions!$B$6</f>
        <v>0.989583333333333</v>
      </c>
      <c r="G128" s="7" t="n">
        <f aca="false">SUMIFS(Doors!S:S,Doors!$A:$A,$D128,Doors!$B:$B,$B128,Doors!$C:$C,$C128)*SUMIFS(Velocity!$I:$I,Velocity!$A:$A,$A128,Velocity!$B:$B,$C128)/Assumptions!$B$4*Assumptions!$B$6</f>
        <v>0.989583333333333</v>
      </c>
      <c r="H128" s="7" t="n">
        <f aca="false">SUMIFS(Doors!T:T,Doors!$A:$A,$D128,Doors!$B:$B,$B128,Doors!$C:$C,$C128)*SUMIFS(Velocity!$I:$I,Velocity!$A:$A,$A128,Velocity!$B:$B,$C128)/Assumptions!$B$4*Assumptions!$B$6</f>
        <v>0.989583333333333</v>
      </c>
      <c r="I128" s="7" t="n">
        <f aca="false">SUMIFS(Doors!U:U,Doors!$A:$A,$D128,Doors!$B:$B,$B128,Doors!$C:$C,$C128)*SUMIFS(Velocity!$I:$I,Velocity!$A:$A,$A128,Velocity!$B:$B,$C128)/Assumptions!$B$4*Assumptions!$B$6</f>
        <v>0.989583333333333</v>
      </c>
      <c r="J128" s="7" t="n">
        <f aca="false">SUMIFS(Doors!V:V,Doors!$A:$A,$D128,Doors!$B:$B,$B128,Doors!$C:$C,$C128)*SUMIFS(Velocity!$I:$I,Velocity!$A:$A,$A128,Velocity!$B:$B,$C128)/Assumptions!$B$4*Assumptions!$B$6</f>
        <v>1.58333333333333</v>
      </c>
      <c r="K128" s="7" t="n">
        <f aca="false">SUMIFS(Doors!W:W,Doors!$A:$A,$D128,Doors!$B:$B,$B128,Doors!$C:$C,$C128)*SUMIFS(Velocity!$I:$I,Velocity!$A:$A,$A128,Velocity!$B:$B,$C128)/Assumptions!$B$4*Assumptions!$B$6</f>
        <v>1.58333333333333</v>
      </c>
      <c r="L128" s="7" t="n">
        <f aca="false">SUMIFS(Doors!X:X,Doors!$A:$A,$D128,Doors!$B:$B,$B128,Doors!$C:$C,$C128)*SUMIFS(Velocity!$I:$I,Velocity!$A:$A,$A128,Velocity!$B:$B,$C128)/Assumptions!$B$4*Assumptions!$B$6</f>
        <v>1.58333333333333</v>
      </c>
      <c r="M128" s="7" t="n">
        <f aca="false">SUMIFS(Doors!Y:Y,Doors!$A:$A,$D128,Doors!$B:$B,$B128,Doors!$C:$C,$C128)*SUMIFS(Velocity!$I:$I,Velocity!$A:$A,$A128,Velocity!$B:$B,$C128)/Assumptions!$B$4*Assumptions!$B$6</f>
        <v>1.58333333333333</v>
      </c>
      <c r="N128" s="7" t="n">
        <f aca="false">SUMIFS(Doors!Z:Z,Doors!$A:$A,$D128,Doors!$B:$B,$B128,Doors!$C:$C,$C128)*SUMIFS(Velocity!$I:$I,Velocity!$A:$A,$A128,Velocity!$B:$B,$C128)/Assumptions!$B$4*Assumptions!$B$6</f>
        <v>2.375</v>
      </c>
      <c r="O128" s="7" t="n">
        <f aca="false">SUMIFS(Doors!AA:AA,Doors!$A:$A,$D128,Doors!$B:$B,$B128,Doors!$C:$C,$C128)*SUMIFS(Velocity!$I:$I,Velocity!$A:$A,$A128,Velocity!$B:$B,$C128)/Assumptions!$B$4*Assumptions!$B$6</f>
        <v>2.375</v>
      </c>
      <c r="P128" s="7" t="n">
        <f aca="false">SUMIFS(Doors!AB:AB,Doors!$A:$A,$D128,Doors!$B:$B,$B128,Doors!$C:$C,$C128)*SUMIFS(Velocity!$I:$I,Velocity!$A:$A,$A128,Velocity!$B:$B,$C128)/Assumptions!$B$4*Assumptions!$B$6</f>
        <v>2.375</v>
      </c>
      <c r="Q128" s="7" t="n">
        <f aca="false">SUMIFS(Doors!AC:AC,Doors!$A:$A,$D128,Doors!$B:$B,$B128,Doors!$C:$C,$C128)*SUMIFS(Velocity!$I:$I,Velocity!$A:$A,$A128,Velocity!$B:$B,$C128)/Assumptions!$B$4*Assumptions!$B$6</f>
        <v>2.375</v>
      </c>
      <c r="R128" s="7" t="n">
        <f aca="false">SUMIFS(Doors!AD:AD,Doors!$A:$A,$D128,Doors!$B:$B,$B128,Doors!$C:$C,$C128)*SUMIFS(Velocity!$I:$I,Velocity!$A:$A,$A128,Velocity!$B:$B,$C128)/Assumptions!$B$4*Assumptions!$B$6</f>
        <v>3.16666666666667</v>
      </c>
      <c r="S128" s="7" t="n">
        <f aca="false">SUMIFS(Doors!AE:AE,Doors!$A:$A,$D128,Doors!$B:$B,$B128,Doors!$C:$C,$C128)*SUMIFS(Velocity!$I:$I,Velocity!$A:$A,$A128,Velocity!$B:$B,$C128)/Assumptions!$B$4*Assumptions!$B$6</f>
        <v>3.16666666666667</v>
      </c>
      <c r="T128" s="7" t="n">
        <f aca="false">SUMIFS(Doors!AF:AF,Doors!$A:$A,$D128,Doors!$B:$B,$B128,Doors!$C:$C,$C128)*SUMIFS(Velocity!$I:$I,Velocity!$A:$A,$A128,Velocity!$B:$B,$C128)/Assumptions!$B$4*Assumptions!$B$6</f>
        <v>3.16666666666667</v>
      </c>
      <c r="U128" s="7" t="n">
        <f aca="false">SUMIFS(Doors!AG:AG,Doors!$A:$A,$D128,Doors!$B:$B,$B128,Doors!$C:$C,$C128)*SUMIFS(Velocity!$I:$I,Velocity!$A:$A,$A128,Velocity!$B:$B,$C128)/Assumptions!$B$4*Assumptions!$B$6</f>
        <v>3.16666666666667</v>
      </c>
      <c r="V128" s="7" t="n">
        <f aca="false">SUMIFS(Doors!AH:AH,Doors!$A:$A,$D128,Doors!$B:$B,$B128,Doors!$C:$C,$C128)*SUMIFS(Velocity!$I:$I,Velocity!$A:$A,$A128,Velocity!$B:$B,$C128)/Assumptions!$B$4*Assumptions!$B$6</f>
        <v>3.16666666666667</v>
      </c>
      <c r="W128" s="7" t="n">
        <f aca="false">SUMIFS(Doors!AI:AI,Doors!$A:$A,$D128,Doors!$B:$B,$B128,Doors!$C:$C,$C128)*SUMIFS(Velocity!$I:$I,Velocity!$A:$A,$A128,Velocity!$B:$B,$C128)/Assumptions!$B$4*Assumptions!$B$6</f>
        <v>3.95833333333333</v>
      </c>
      <c r="X128" s="7" t="n">
        <f aca="false">SUMIFS(Doors!AJ:AJ,Doors!$A:$A,$D128,Doors!$B:$B,$B128,Doors!$C:$C,$C128)*SUMIFS(Velocity!$I:$I,Velocity!$A:$A,$A128,Velocity!$B:$B,$C128)/Assumptions!$B$4*Assumptions!$B$6</f>
        <v>3.95833333333333</v>
      </c>
      <c r="Y128" s="7" t="n">
        <f aca="false">SUMIFS(Doors!AK:AK,Doors!$A:$A,$D128,Doors!$B:$B,$B128,Doors!$C:$C,$C128)*SUMIFS(Velocity!$I:$I,Velocity!$A:$A,$A128,Velocity!$B:$B,$C128)/Assumptions!$B$4*Assumptions!$B$6</f>
        <v>3.95833333333333</v>
      </c>
      <c r="Z128" s="7" t="n">
        <f aca="false">SUMIFS(Doors!AL:AL,Doors!$A:$A,$D128,Doors!$B:$B,$B128,Doors!$C:$C,$C128)*SUMIFS(Velocity!$I:$I,Velocity!$A:$A,$A128,Velocity!$B:$B,$C128)/Assumptions!$B$4*Assumptions!$B$6</f>
        <v>3.95833333333333</v>
      </c>
      <c r="AA128" s="7" t="n">
        <f aca="false">SUMIFS(Doors!AM:AM,Doors!$A:$A,$D128,Doors!$B:$B,$B128,Doors!$C:$C,$C128)*SUMIFS(Velocity!$I:$I,Velocity!$A:$A,$A128,Velocity!$B:$B,$C128)/Assumptions!$B$4*Assumptions!$B$6</f>
        <v>4.55208333333333</v>
      </c>
      <c r="AB128" s="7" t="n">
        <f aca="false">SUMIFS(Doors!AN:AN,Doors!$A:$A,$D128,Doors!$B:$B,$B128,Doors!$C:$C,$C128)*SUMIFS(Velocity!$I:$I,Velocity!$A:$A,$A128,Velocity!$B:$B,$C128)/Assumptions!$B$4*Assumptions!$B$6</f>
        <v>4.55208333333333</v>
      </c>
      <c r="AC128" s="7" t="n">
        <f aca="false">SUMIFS(Doors!AO:AO,Doors!$A:$A,$D128,Doors!$B:$B,$B128,Doors!$C:$C,$C128)*SUMIFS(Velocity!$I:$I,Velocity!$A:$A,$A128,Velocity!$B:$B,$C128)/Assumptions!$B$4*Assumptions!$B$6</f>
        <v>4.55208333333333</v>
      </c>
      <c r="AD128" s="7" t="n">
        <f aca="false">SUMIFS(Doors!AP:AP,Doors!$A:$A,$D128,Doors!$B:$B,$B128,Doors!$C:$C,$C128)*SUMIFS(Velocity!$I:$I,Velocity!$A:$A,$A128,Velocity!$B:$B,$C128)/Assumptions!$B$4*Assumptions!$B$6</f>
        <v>4.55208333333333</v>
      </c>
      <c r="AE128" s="7" t="n">
        <f aca="false">SUMIFS(Doors!AQ:AQ,Doors!$A:$A,$D128,Doors!$B:$B,$B128,Doors!$C:$C,$C128)*SUMIFS(Velocity!$I:$I,Velocity!$A:$A,$A128,Velocity!$B:$B,$C128)/Assumptions!$B$4*Assumptions!$B$6</f>
        <v>4.94791666666667</v>
      </c>
      <c r="AF128" s="7" t="n">
        <f aca="false">SUMIFS(Doors!AR:AR,Doors!$A:$A,$D128,Doors!$B:$B,$B128,Doors!$C:$C,$C128)*SUMIFS(Velocity!$I:$I,Velocity!$A:$A,$A128,Velocity!$B:$B,$C128)/Assumptions!$B$4*Assumptions!$B$6</f>
        <v>4.94791666666667</v>
      </c>
      <c r="AG128" s="7" t="n">
        <f aca="false">SUMIFS(Doors!AS:AS,Doors!$A:$A,$D128,Doors!$B:$B,$B128,Doors!$C:$C,$C128)*SUMIFS(Velocity!$I:$I,Velocity!$A:$A,$A128,Velocity!$B:$B,$C128)/Assumptions!$B$4*Assumptions!$B$6</f>
        <v>4.94791666666667</v>
      </c>
      <c r="AH128" s="7" t="n">
        <f aca="false">SUMIFS(Doors!AT:AT,Doors!$A:$A,$D128,Doors!$B:$B,$B128,Doors!$C:$C,$C128)*SUMIFS(Velocity!$I:$I,Velocity!$A:$A,$A128,Velocity!$B:$B,$C128)/Assumptions!$B$4*Assumptions!$B$6</f>
        <v>4.94791666666667</v>
      </c>
      <c r="AI128" s="7" t="n">
        <f aca="false">SUMIFS(Doors!AU:AU,Doors!$A:$A,$D128,Doors!$B:$B,$B128,Doors!$C:$C,$C128)*SUMIFS(Velocity!$I:$I,Velocity!$A:$A,$A128,Velocity!$B:$B,$C128)/Assumptions!$B$4*Assumptions!$B$6</f>
        <v>4.94791666666667</v>
      </c>
      <c r="AJ128" s="7" t="n">
        <f aca="false">SUMIFS(Doors!AV:AV,Doors!$A:$A,$D128,Doors!$B:$B,$B128,Doors!$C:$C,$C128)*SUMIFS(Velocity!$I:$I,Velocity!$A:$A,$A128,Velocity!$B:$B,$C128)/Assumptions!$B$4*Assumptions!$B$6</f>
        <v>5.34375</v>
      </c>
      <c r="AK128" s="7" t="n">
        <f aca="false">SUMIFS(Doors!AW:AW,Doors!$A:$A,$D128,Doors!$B:$B,$B128,Doors!$C:$C,$C128)*SUMIFS(Velocity!$I:$I,Velocity!$A:$A,$A128,Velocity!$B:$B,$C128)/Assumptions!$B$4*Assumptions!$B$6</f>
        <v>5.34375</v>
      </c>
      <c r="AL128" s="7" t="n">
        <f aca="false">SUMIFS(Doors!AX:AX,Doors!$A:$A,$D128,Doors!$B:$B,$B128,Doors!$C:$C,$C128)*SUMIFS(Velocity!$I:$I,Velocity!$A:$A,$A128,Velocity!$B:$B,$C128)/Assumptions!$B$4*Assumptions!$B$6</f>
        <v>5.34375</v>
      </c>
      <c r="AM128" s="7" t="n">
        <f aca="false">SUMIFS(Doors!AY:AY,Doors!$A:$A,$D128,Doors!$B:$B,$B128,Doors!$C:$C,$C128)*SUMIFS(Velocity!$I:$I,Velocity!$A:$A,$A128,Velocity!$B:$B,$C128)/Assumptions!$B$4*Assumptions!$B$6</f>
        <v>5.34375</v>
      </c>
      <c r="AN128" s="7" t="n">
        <f aca="false">SUMIFS(Doors!AZ:AZ,Doors!$A:$A,$D128,Doors!$B:$B,$B128,Doors!$C:$C,$C128)*SUMIFS(Velocity!$I:$I,Velocity!$A:$A,$A128,Velocity!$B:$B,$C128)/Assumptions!$B$4*Assumptions!$B$6</f>
        <v>5.54166666666667</v>
      </c>
      <c r="AO128" s="7" t="n">
        <f aca="false">SUMIFS(Doors!BA:BA,Doors!$A:$A,$D128,Doors!$B:$B,$B128,Doors!$C:$C,$C128)*SUMIFS(Velocity!$I:$I,Velocity!$A:$A,$A128,Velocity!$B:$B,$C128)/Assumptions!$B$4*Assumptions!$B$6</f>
        <v>5.54166666666667</v>
      </c>
      <c r="AP128" s="7" t="n">
        <f aca="false">SUMIFS(Doors!BB:BB,Doors!$A:$A,$D128,Doors!$B:$B,$B128,Doors!$C:$C,$C128)*SUMIFS(Velocity!$I:$I,Velocity!$A:$A,$A128,Velocity!$B:$B,$C128)/Assumptions!$B$4*Assumptions!$B$6</f>
        <v>5.54166666666667</v>
      </c>
      <c r="AQ128" s="7" t="n">
        <f aca="false">SUMIFS(Doors!BC:BC,Doors!$A:$A,$D128,Doors!$B:$B,$B128,Doors!$C:$C,$C128)*SUMIFS(Velocity!$I:$I,Velocity!$A:$A,$A128,Velocity!$B:$B,$C128)/Assumptions!$B$4*Assumptions!$B$6</f>
        <v>5.54166666666667</v>
      </c>
      <c r="AR128" s="7" t="n">
        <f aca="false">SUMIFS(Doors!BD:BD,Doors!$A:$A,$D128,Doors!$B:$B,$B128,Doors!$C:$C,$C128)*SUMIFS(Velocity!$I:$I,Velocity!$A:$A,$A128,Velocity!$B:$B,$C128)/Assumptions!$B$4*Assumptions!$B$6</f>
        <v>5.73958333333333</v>
      </c>
      <c r="AS128" s="7" t="n">
        <f aca="false">SUMIFS(Doors!BE:BE,Doors!$A:$A,$D128,Doors!$B:$B,$B128,Doors!$C:$C,$C128)*SUMIFS(Velocity!$I:$I,Velocity!$A:$A,$A128,Velocity!$B:$B,$C128)/Assumptions!$B$4*Assumptions!$B$6</f>
        <v>5.73958333333333</v>
      </c>
      <c r="AT128" s="7" t="n">
        <f aca="false">SUMIFS(Doors!BF:BF,Doors!$A:$A,$D128,Doors!$B:$B,$B128,Doors!$C:$C,$C128)*SUMIFS(Velocity!$I:$I,Velocity!$A:$A,$A128,Velocity!$B:$B,$C128)/Assumptions!$B$4*Assumptions!$B$6</f>
        <v>5.73958333333333</v>
      </c>
      <c r="AU128" s="7" t="n">
        <f aca="false">SUMIFS(Doors!BG:BG,Doors!$A:$A,$D128,Doors!$B:$B,$B128,Doors!$C:$C,$C128)*SUMIFS(Velocity!$I:$I,Velocity!$A:$A,$A128,Velocity!$B:$B,$C128)/Assumptions!$B$4*Assumptions!$B$6</f>
        <v>5.73958333333333</v>
      </c>
      <c r="AV128" s="7" t="n">
        <f aca="false">SUMIFS(Doors!BH:BH,Doors!$A:$A,$D128,Doors!$B:$B,$B128,Doors!$C:$C,$C128)*SUMIFS(Velocity!$I:$I,Velocity!$A:$A,$A128,Velocity!$B:$B,$C128)/Assumptions!$B$4*Assumptions!$B$6</f>
        <v>5.73958333333333</v>
      </c>
      <c r="AW128" s="7" t="n">
        <f aca="false">SUMIFS(Doors!BI:BI,Doors!$A:$A,$D128,Doors!$B:$B,$B128,Doors!$C:$C,$C128)*SUMIFS(Velocity!$I:$I,Velocity!$A:$A,$A128,Velocity!$B:$B,$C128)/Assumptions!$B$4*Assumptions!$B$6</f>
        <v>5.9375</v>
      </c>
      <c r="AX128" s="7" t="n">
        <f aca="false">SUMIFS(Doors!BJ:BJ,Doors!$A:$A,$D128,Doors!$B:$B,$B128,Doors!$C:$C,$C128)*SUMIFS(Velocity!$I:$I,Velocity!$A:$A,$A128,Velocity!$B:$B,$C128)/Assumptions!$B$4*Assumptions!$B$6</f>
        <v>5.9375</v>
      </c>
      <c r="AY128" s="7" t="n">
        <f aca="false">SUMIFS(Doors!BK:BK,Doors!$A:$A,$D128,Doors!$B:$B,$B128,Doors!$C:$C,$C128)*SUMIFS(Velocity!$I:$I,Velocity!$A:$A,$A128,Velocity!$B:$B,$C128)/Assumptions!$B$4*Assumptions!$B$6</f>
        <v>5.9375</v>
      </c>
      <c r="AZ128" s="7" t="n">
        <f aca="false">SUMIFS(Doors!BL:BL,Doors!$A:$A,$D128,Doors!$B:$B,$B128,Doors!$C:$C,$C128)*SUMIFS(Velocity!$I:$I,Velocity!$A:$A,$A128,Velocity!$B:$B,$C128)/Assumptions!$B$4*Assumptions!$B$6</f>
        <v>5.9375</v>
      </c>
      <c r="BA128" s="7" t="n">
        <f aca="false">SUMIFS(Doors!BM:BM,Doors!$A:$A,$D128,Doors!$B:$B,$B128,Doors!$C:$C,$C128)*SUMIFS(Velocity!$I:$I,Velocity!$A:$A,$A128,Velocity!$B:$B,$C128)/Assumptions!$B$4*Assumptions!$B$6</f>
        <v>5.9375</v>
      </c>
      <c r="BB128" s="7" t="n">
        <f aca="false">SUMIFS(Doors!BN:BN,Doors!$A:$A,$D128,Doors!$B:$B,$B128,Doors!$C:$C,$C128)*SUMIFS(Velocity!$I:$I,Velocity!$A:$A,$A128,Velocity!$B:$B,$C128)/Assumptions!$B$4*Assumptions!$B$6</f>
        <v>5.9375</v>
      </c>
      <c r="BC128" s="7" t="n">
        <f aca="false">SUMIFS(Doors!BO:BO,Doors!$A:$A,$D128,Doors!$B:$B,$B128,Doors!$C:$C,$C128)*SUMIFS(Velocity!$I:$I,Velocity!$A:$A,$A128,Velocity!$B:$B,$C128)/Assumptions!$B$4*Assumptions!$B$6</f>
        <v>5.9375</v>
      </c>
      <c r="BD128" s="7" t="n">
        <f aca="false">SUMIFS(Doors!BP:BP,Doors!$A:$A,$D128,Doors!$B:$B,$B128,Doors!$C:$C,$C128)*SUMIFS(Velocity!$I:$I,Velocity!$A:$A,$A128,Velocity!$B:$B,$C128)/Assumptions!$B$4*Assumptions!$B$6</f>
        <v>5.9375</v>
      </c>
    </row>
    <row r="129" customFormat="false" ht="15" hidden="false" customHeight="false" outlineLevel="0" collapsed="false">
      <c r="A129" s="0" t="s">
        <v>109</v>
      </c>
      <c r="B129" s="0" t="s">
        <v>129</v>
      </c>
      <c r="C129" s="0" t="s">
        <v>121</v>
      </c>
      <c r="D129" s="0" t="s">
        <v>235</v>
      </c>
      <c r="E129" s="7" t="n">
        <f aca="false">SUMIFS(Doors!Q:Q,Doors!$A:$A,$D129,Doors!$B:$B,$B129,Doors!$C:$C,$C129)*SUMIFS(Velocity!$I:$I,Velocity!$A:$A,$A129,Velocity!$B:$B,$C129)/Assumptions!$B$4*Assumptions!$B$6</f>
        <v>0.9125</v>
      </c>
      <c r="F129" s="7" t="n">
        <f aca="false">SUMIFS(Doors!R:R,Doors!$A:$A,$D129,Doors!$B:$B,$B129,Doors!$C:$C,$C129)*SUMIFS(Velocity!$I:$I,Velocity!$A:$A,$A129,Velocity!$B:$B,$C129)/Assumptions!$B$4*Assumptions!$B$6</f>
        <v>0.9125</v>
      </c>
      <c r="G129" s="7" t="n">
        <f aca="false">SUMIFS(Doors!S:S,Doors!$A:$A,$D129,Doors!$B:$B,$B129,Doors!$C:$C,$C129)*SUMIFS(Velocity!$I:$I,Velocity!$A:$A,$A129,Velocity!$B:$B,$C129)/Assumptions!$B$4*Assumptions!$B$6</f>
        <v>0.9125</v>
      </c>
      <c r="H129" s="7" t="n">
        <f aca="false">SUMIFS(Doors!T:T,Doors!$A:$A,$D129,Doors!$B:$B,$B129,Doors!$C:$C,$C129)*SUMIFS(Velocity!$I:$I,Velocity!$A:$A,$A129,Velocity!$B:$B,$C129)/Assumptions!$B$4*Assumptions!$B$6</f>
        <v>0.9125</v>
      </c>
      <c r="I129" s="7" t="n">
        <f aca="false">SUMIFS(Doors!U:U,Doors!$A:$A,$D129,Doors!$B:$B,$B129,Doors!$C:$C,$C129)*SUMIFS(Velocity!$I:$I,Velocity!$A:$A,$A129,Velocity!$B:$B,$C129)/Assumptions!$B$4*Assumptions!$B$6</f>
        <v>0.9125</v>
      </c>
      <c r="J129" s="7" t="n">
        <f aca="false">SUMIFS(Doors!V:V,Doors!$A:$A,$D129,Doors!$B:$B,$B129,Doors!$C:$C,$C129)*SUMIFS(Velocity!$I:$I,Velocity!$A:$A,$A129,Velocity!$B:$B,$C129)/Assumptions!$B$4*Assumptions!$B$6</f>
        <v>1.52083333333333</v>
      </c>
      <c r="K129" s="7" t="n">
        <f aca="false">SUMIFS(Doors!W:W,Doors!$A:$A,$D129,Doors!$B:$B,$B129,Doors!$C:$C,$C129)*SUMIFS(Velocity!$I:$I,Velocity!$A:$A,$A129,Velocity!$B:$B,$C129)/Assumptions!$B$4*Assumptions!$B$6</f>
        <v>1.52083333333333</v>
      </c>
      <c r="L129" s="7" t="n">
        <f aca="false">SUMIFS(Doors!X:X,Doors!$A:$A,$D129,Doors!$B:$B,$B129,Doors!$C:$C,$C129)*SUMIFS(Velocity!$I:$I,Velocity!$A:$A,$A129,Velocity!$B:$B,$C129)/Assumptions!$B$4*Assumptions!$B$6</f>
        <v>1.52083333333333</v>
      </c>
      <c r="M129" s="7" t="n">
        <f aca="false">SUMIFS(Doors!Y:Y,Doors!$A:$A,$D129,Doors!$B:$B,$B129,Doors!$C:$C,$C129)*SUMIFS(Velocity!$I:$I,Velocity!$A:$A,$A129,Velocity!$B:$B,$C129)/Assumptions!$B$4*Assumptions!$B$6</f>
        <v>1.52083333333333</v>
      </c>
      <c r="N129" s="7" t="n">
        <f aca="false">SUMIFS(Doors!Z:Z,Doors!$A:$A,$D129,Doors!$B:$B,$B129,Doors!$C:$C,$C129)*SUMIFS(Velocity!$I:$I,Velocity!$A:$A,$A129,Velocity!$B:$B,$C129)/Assumptions!$B$4*Assumptions!$B$6</f>
        <v>2.12916666666667</v>
      </c>
      <c r="O129" s="7" t="n">
        <f aca="false">SUMIFS(Doors!AA:AA,Doors!$A:$A,$D129,Doors!$B:$B,$B129,Doors!$C:$C,$C129)*SUMIFS(Velocity!$I:$I,Velocity!$A:$A,$A129,Velocity!$B:$B,$C129)/Assumptions!$B$4*Assumptions!$B$6</f>
        <v>2.12916666666667</v>
      </c>
      <c r="P129" s="7" t="n">
        <f aca="false">SUMIFS(Doors!AB:AB,Doors!$A:$A,$D129,Doors!$B:$B,$B129,Doors!$C:$C,$C129)*SUMIFS(Velocity!$I:$I,Velocity!$A:$A,$A129,Velocity!$B:$B,$C129)/Assumptions!$B$4*Assumptions!$B$6</f>
        <v>2.12916666666667</v>
      </c>
      <c r="Q129" s="7" t="n">
        <f aca="false">SUMIFS(Doors!AC:AC,Doors!$A:$A,$D129,Doors!$B:$B,$B129,Doors!$C:$C,$C129)*SUMIFS(Velocity!$I:$I,Velocity!$A:$A,$A129,Velocity!$B:$B,$C129)/Assumptions!$B$4*Assumptions!$B$6</f>
        <v>2.12916666666667</v>
      </c>
      <c r="R129" s="7" t="n">
        <f aca="false">SUMIFS(Doors!AD:AD,Doors!$A:$A,$D129,Doors!$B:$B,$B129,Doors!$C:$C,$C129)*SUMIFS(Velocity!$I:$I,Velocity!$A:$A,$A129,Velocity!$B:$B,$C129)/Assumptions!$B$4*Assumptions!$B$6</f>
        <v>2.7375</v>
      </c>
      <c r="S129" s="7" t="n">
        <f aca="false">SUMIFS(Doors!AE:AE,Doors!$A:$A,$D129,Doors!$B:$B,$B129,Doors!$C:$C,$C129)*SUMIFS(Velocity!$I:$I,Velocity!$A:$A,$A129,Velocity!$B:$B,$C129)/Assumptions!$B$4*Assumptions!$B$6</f>
        <v>2.7375</v>
      </c>
      <c r="T129" s="7" t="n">
        <f aca="false">SUMIFS(Doors!AF:AF,Doors!$A:$A,$D129,Doors!$B:$B,$B129,Doors!$C:$C,$C129)*SUMIFS(Velocity!$I:$I,Velocity!$A:$A,$A129,Velocity!$B:$B,$C129)/Assumptions!$B$4*Assumptions!$B$6</f>
        <v>2.7375</v>
      </c>
      <c r="U129" s="7" t="n">
        <f aca="false">SUMIFS(Doors!AG:AG,Doors!$A:$A,$D129,Doors!$B:$B,$B129,Doors!$C:$C,$C129)*SUMIFS(Velocity!$I:$I,Velocity!$A:$A,$A129,Velocity!$B:$B,$C129)/Assumptions!$B$4*Assumptions!$B$6</f>
        <v>2.7375</v>
      </c>
      <c r="V129" s="7" t="n">
        <f aca="false">SUMIFS(Doors!AH:AH,Doors!$A:$A,$D129,Doors!$B:$B,$B129,Doors!$C:$C,$C129)*SUMIFS(Velocity!$I:$I,Velocity!$A:$A,$A129,Velocity!$B:$B,$C129)/Assumptions!$B$4*Assumptions!$B$6</f>
        <v>2.7375</v>
      </c>
      <c r="W129" s="7" t="n">
        <f aca="false">SUMIFS(Doors!AI:AI,Doors!$A:$A,$D129,Doors!$B:$B,$B129,Doors!$C:$C,$C129)*SUMIFS(Velocity!$I:$I,Velocity!$A:$A,$A129,Velocity!$B:$B,$C129)/Assumptions!$B$4*Assumptions!$B$6</f>
        <v>3.34583333333333</v>
      </c>
      <c r="X129" s="7" t="n">
        <f aca="false">SUMIFS(Doors!AJ:AJ,Doors!$A:$A,$D129,Doors!$B:$B,$B129,Doors!$C:$C,$C129)*SUMIFS(Velocity!$I:$I,Velocity!$A:$A,$A129,Velocity!$B:$B,$C129)/Assumptions!$B$4*Assumptions!$B$6</f>
        <v>3.34583333333333</v>
      </c>
      <c r="Y129" s="7" t="n">
        <f aca="false">SUMIFS(Doors!AK:AK,Doors!$A:$A,$D129,Doors!$B:$B,$B129,Doors!$C:$C,$C129)*SUMIFS(Velocity!$I:$I,Velocity!$A:$A,$A129,Velocity!$B:$B,$C129)/Assumptions!$B$4*Assumptions!$B$6</f>
        <v>3.34583333333333</v>
      </c>
      <c r="Z129" s="7" t="n">
        <f aca="false">SUMIFS(Doors!AL:AL,Doors!$A:$A,$D129,Doors!$B:$B,$B129,Doors!$C:$C,$C129)*SUMIFS(Velocity!$I:$I,Velocity!$A:$A,$A129,Velocity!$B:$B,$C129)/Assumptions!$B$4*Assumptions!$B$6</f>
        <v>3.34583333333333</v>
      </c>
      <c r="AA129" s="7" t="n">
        <f aca="false">SUMIFS(Doors!AM:AM,Doors!$A:$A,$D129,Doors!$B:$B,$B129,Doors!$C:$C,$C129)*SUMIFS(Velocity!$I:$I,Velocity!$A:$A,$A129,Velocity!$B:$B,$C129)/Assumptions!$B$4*Assumptions!$B$6</f>
        <v>3.65</v>
      </c>
      <c r="AB129" s="7" t="n">
        <f aca="false">SUMIFS(Doors!AN:AN,Doors!$A:$A,$D129,Doors!$B:$B,$B129,Doors!$C:$C,$C129)*SUMIFS(Velocity!$I:$I,Velocity!$A:$A,$A129,Velocity!$B:$B,$C129)/Assumptions!$B$4*Assumptions!$B$6</f>
        <v>3.65</v>
      </c>
      <c r="AC129" s="7" t="n">
        <f aca="false">SUMIFS(Doors!AO:AO,Doors!$A:$A,$D129,Doors!$B:$B,$B129,Doors!$C:$C,$C129)*SUMIFS(Velocity!$I:$I,Velocity!$A:$A,$A129,Velocity!$B:$B,$C129)/Assumptions!$B$4*Assumptions!$B$6</f>
        <v>3.65</v>
      </c>
      <c r="AD129" s="7" t="n">
        <f aca="false">SUMIFS(Doors!AP:AP,Doors!$A:$A,$D129,Doors!$B:$B,$B129,Doors!$C:$C,$C129)*SUMIFS(Velocity!$I:$I,Velocity!$A:$A,$A129,Velocity!$B:$B,$C129)/Assumptions!$B$4*Assumptions!$B$6</f>
        <v>3.65</v>
      </c>
      <c r="AE129" s="7" t="n">
        <f aca="false">SUMIFS(Doors!AQ:AQ,Doors!$A:$A,$D129,Doors!$B:$B,$B129,Doors!$C:$C,$C129)*SUMIFS(Velocity!$I:$I,Velocity!$A:$A,$A129,Velocity!$B:$B,$C129)/Assumptions!$B$4*Assumptions!$B$6</f>
        <v>3.95416666666667</v>
      </c>
      <c r="AF129" s="7" t="n">
        <f aca="false">SUMIFS(Doors!AR:AR,Doors!$A:$A,$D129,Doors!$B:$B,$B129,Doors!$C:$C,$C129)*SUMIFS(Velocity!$I:$I,Velocity!$A:$A,$A129,Velocity!$B:$B,$C129)/Assumptions!$B$4*Assumptions!$B$6</f>
        <v>3.95416666666667</v>
      </c>
      <c r="AG129" s="7" t="n">
        <f aca="false">SUMIFS(Doors!AS:AS,Doors!$A:$A,$D129,Doors!$B:$B,$B129,Doors!$C:$C,$C129)*SUMIFS(Velocity!$I:$I,Velocity!$A:$A,$A129,Velocity!$B:$B,$C129)/Assumptions!$B$4*Assumptions!$B$6</f>
        <v>3.95416666666667</v>
      </c>
      <c r="AH129" s="7" t="n">
        <f aca="false">SUMIFS(Doors!AT:AT,Doors!$A:$A,$D129,Doors!$B:$B,$B129,Doors!$C:$C,$C129)*SUMIFS(Velocity!$I:$I,Velocity!$A:$A,$A129,Velocity!$B:$B,$C129)/Assumptions!$B$4*Assumptions!$B$6</f>
        <v>3.95416666666667</v>
      </c>
      <c r="AI129" s="7" t="n">
        <f aca="false">SUMIFS(Doors!AU:AU,Doors!$A:$A,$D129,Doors!$B:$B,$B129,Doors!$C:$C,$C129)*SUMIFS(Velocity!$I:$I,Velocity!$A:$A,$A129,Velocity!$B:$B,$C129)/Assumptions!$B$4*Assumptions!$B$6</f>
        <v>3.95416666666667</v>
      </c>
      <c r="AJ129" s="7" t="n">
        <f aca="false">SUMIFS(Doors!AV:AV,Doors!$A:$A,$D129,Doors!$B:$B,$B129,Doors!$C:$C,$C129)*SUMIFS(Velocity!$I:$I,Velocity!$A:$A,$A129,Velocity!$B:$B,$C129)/Assumptions!$B$4*Assumptions!$B$6</f>
        <v>4.25833333333333</v>
      </c>
      <c r="AK129" s="7" t="n">
        <f aca="false">SUMIFS(Doors!AW:AW,Doors!$A:$A,$D129,Doors!$B:$B,$B129,Doors!$C:$C,$C129)*SUMIFS(Velocity!$I:$I,Velocity!$A:$A,$A129,Velocity!$B:$B,$C129)/Assumptions!$B$4*Assumptions!$B$6</f>
        <v>4.25833333333333</v>
      </c>
      <c r="AL129" s="7" t="n">
        <f aca="false">SUMIFS(Doors!AX:AX,Doors!$A:$A,$D129,Doors!$B:$B,$B129,Doors!$C:$C,$C129)*SUMIFS(Velocity!$I:$I,Velocity!$A:$A,$A129,Velocity!$B:$B,$C129)/Assumptions!$B$4*Assumptions!$B$6</f>
        <v>4.25833333333333</v>
      </c>
      <c r="AM129" s="7" t="n">
        <f aca="false">SUMIFS(Doors!AY:AY,Doors!$A:$A,$D129,Doors!$B:$B,$B129,Doors!$C:$C,$C129)*SUMIFS(Velocity!$I:$I,Velocity!$A:$A,$A129,Velocity!$B:$B,$C129)/Assumptions!$B$4*Assumptions!$B$6</f>
        <v>4.25833333333333</v>
      </c>
      <c r="AN129" s="7" t="n">
        <f aca="false">SUMIFS(Doors!AZ:AZ,Doors!$A:$A,$D129,Doors!$B:$B,$B129,Doors!$C:$C,$C129)*SUMIFS(Velocity!$I:$I,Velocity!$A:$A,$A129,Velocity!$B:$B,$C129)/Assumptions!$B$4*Assumptions!$B$6</f>
        <v>4.25833333333333</v>
      </c>
      <c r="AO129" s="7" t="n">
        <f aca="false">SUMIFS(Doors!BA:BA,Doors!$A:$A,$D129,Doors!$B:$B,$B129,Doors!$C:$C,$C129)*SUMIFS(Velocity!$I:$I,Velocity!$A:$A,$A129,Velocity!$B:$B,$C129)/Assumptions!$B$4*Assumptions!$B$6</f>
        <v>4.25833333333333</v>
      </c>
      <c r="AP129" s="7" t="n">
        <f aca="false">SUMIFS(Doors!BB:BB,Doors!$A:$A,$D129,Doors!$B:$B,$B129,Doors!$C:$C,$C129)*SUMIFS(Velocity!$I:$I,Velocity!$A:$A,$A129,Velocity!$B:$B,$C129)/Assumptions!$B$4*Assumptions!$B$6</f>
        <v>4.25833333333333</v>
      </c>
      <c r="AQ129" s="7" t="n">
        <f aca="false">SUMIFS(Doors!BC:BC,Doors!$A:$A,$D129,Doors!$B:$B,$B129,Doors!$C:$C,$C129)*SUMIFS(Velocity!$I:$I,Velocity!$A:$A,$A129,Velocity!$B:$B,$C129)/Assumptions!$B$4*Assumptions!$B$6</f>
        <v>4.25833333333333</v>
      </c>
      <c r="AR129" s="7" t="n">
        <f aca="false">SUMIFS(Doors!BD:BD,Doors!$A:$A,$D129,Doors!$B:$B,$B129,Doors!$C:$C,$C129)*SUMIFS(Velocity!$I:$I,Velocity!$A:$A,$A129,Velocity!$B:$B,$C129)/Assumptions!$B$4*Assumptions!$B$6</f>
        <v>4.5625</v>
      </c>
      <c r="AS129" s="7" t="n">
        <f aca="false">SUMIFS(Doors!BE:BE,Doors!$A:$A,$D129,Doors!$B:$B,$B129,Doors!$C:$C,$C129)*SUMIFS(Velocity!$I:$I,Velocity!$A:$A,$A129,Velocity!$B:$B,$C129)/Assumptions!$B$4*Assumptions!$B$6</f>
        <v>4.5625</v>
      </c>
      <c r="AT129" s="7" t="n">
        <f aca="false">SUMIFS(Doors!BF:BF,Doors!$A:$A,$D129,Doors!$B:$B,$B129,Doors!$C:$C,$C129)*SUMIFS(Velocity!$I:$I,Velocity!$A:$A,$A129,Velocity!$B:$B,$C129)/Assumptions!$B$4*Assumptions!$B$6</f>
        <v>4.5625</v>
      </c>
      <c r="AU129" s="7" t="n">
        <f aca="false">SUMIFS(Doors!BG:BG,Doors!$A:$A,$D129,Doors!$B:$B,$B129,Doors!$C:$C,$C129)*SUMIFS(Velocity!$I:$I,Velocity!$A:$A,$A129,Velocity!$B:$B,$C129)/Assumptions!$B$4*Assumptions!$B$6</f>
        <v>4.5625</v>
      </c>
      <c r="AV129" s="7" t="n">
        <f aca="false">SUMIFS(Doors!BH:BH,Doors!$A:$A,$D129,Doors!$B:$B,$B129,Doors!$C:$C,$C129)*SUMIFS(Velocity!$I:$I,Velocity!$A:$A,$A129,Velocity!$B:$B,$C129)/Assumptions!$B$4*Assumptions!$B$6</f>
        <v>4.5625</v>
      </c>
      <c r="AW129" s="7" t="n">
        <f aca="false">SUMIFS(Doors!BI:BI,Doors!$A:$A,$D129,Doors!$B:$B,$B129,Doors!$C:$C,$C129)*SUMIFS(Velocity!$I:$I,Velocity!$A:$A,$A129,Velocity!$B:$B,$C129)/Assumptions!$B$4*Assumptions!$B$6</f>
        <v>4.5625</v>
      </c>
      <c r="AX129" s="7" t="n">
        <f aca="false">SUMIFS(Doors!BJ:BJ,Doors!$A:$A,$D129,Doors!$B:$B,$B129,Doors!$C:$C,$C129)*SUMIFS(Velocity!$I:$I,Velocity!$A:$A,$A129,Velocity!$B:$B,$C129)/Assumptions!$B$4*Assumptions!$B$6</f>
        <v>4.5625</v>
      </c>
      <c r="AY129" s="7" t="n">
        <f aca="false">SUMIFS(Doors!BK:BK,Doors!$A:$A,$D129,Doors!$B:$B,$B129,Doors!$C:$C,$C129)*SUMIFS(Velocity!$I:$I,Velocity!$A:$A,$A129,Velocity!$B:$B,$C129)/Assumptions!$B$4*Assumptions!$B$6</f>
        <v>4.5625</v>
      </c>
      <c r="AZ129" s="7" t="n">
        <f aca="false">SUMIFS(Doors!BL:BL,Doors!$A:$A,$D129,Doors!$B:$B,$B129,Doors!$C:$C,$C129)*SUMIFS(Velocity!$I:$I,Velocity!$A:$A,$A129,Velocity!$B:$B,$C129)/Assumptions!$B$4*Assumptions!$B$6</f>
        <v>4.5625</v>
      </c>
      <c r="BA129" s="7" t="n">
        <f aca="false">SUMIFS(Doors!BM:BM,Doors!$A:$A,$D129,Doors!$B:$B,$B129,Doors!$C:$C,$C129)*SUMIFS(Velocity!$I:$I,Velocity!$A:$A,$A129,Velocity!$B:$B,$C129)/Assumptions!$B$4*Assumptions!$B$6</f>
        <v>4.5625</v>
      </c>
      <c r="BB129" s="7" t="n">
        <f aca="false">SUMIFS(Doors!BN:BN,Doors!$A:$A,$D129,Doors!$B:$B,$B129,Doors!$C:$C,$C129)*SUMIFS(Velocity!$I:$I,Velocity!$A:$A,$A129,Velocity!$B:$B,$C129)/Assumptions!$B$4*Assumptions!$B$6</f>
        <v>4.5625</v>
      </c>
      <c r="BC129" s="7" t="n">
        <f aca="false">SUMIFS(Doors!BO:BO,Doors!$A:$A,$D129,Doors!$B:$B,$B129,Doors!$C:$C,$C129)*SUMIFS(Velocity!$I:$I,Velocity!$A:$A,$A129,Velocity!$B:$B,$C129)/Assumptions!$B$4*Assumptions!$B$6</f>
        <v>4.5625</v>
      </c>
      <c r="BD129" s="7" t="n">
        <f aca="false">SUMIFS(Doors!BP:BP,Doors!$A:$A,$D129,Doors!$B:$B,$B129,Doors!$C:$C,$C129)*SUMIFS(Velocity!$I:$I,Velocity!$A:$A,$A129,Velocity!$B:$B,$C129)/Assumptions!$B$4*Assumptions!$B$6</f>
        <v>4.5625</v>
      </c>
    </row>
    <row r="130" customFormat="false" ht="15" hidden="false" customHeight="false" outlineLevel="0" collapsed="false">
      <c r="A130" s="0" t="s">
        <v>109</v>
      </c>
      <c r="B130" s="0" t="s">
        <v>129</v>
      </c>
      <c r="C130" s="0" t="s">
        <v>122</v>
      </c>
      <c r="D130" s="0" t="s">
        <v>235</v>
      </c>
      <c r="E130" s="7" t="n">
        <f aca="false">SUMIFS(Doors!Q:Q,Doors!$A:$A,$D130,Doors!$B:$B,$B130,Doors!$C:$C,$C130)*SUMIFS(Velocity!$I:$I,Velocity!$A:$A,$A130,Velocity!$B:$B,$C130)/Assumptions!$B$4*Assumptions!$B$6</f>
        <v>0</v>
      </c>
      <c r="F130" s="7" t="n">
        <f aca="false">SUMIFS(Doors!R:R,Doors!$A:$A,$D130,Doors!$B:$B,$B130,Doors!$C:$C,$C130)*SUMIFS(Velocity!$I:$I,Velocity!$A:$A,$A130,Velocity!$B:$B,$C130)/Assumptions!$B$4*Assumptions!$B$6</f>
        <v>0</v>
      </c>
      <c r="G130" s="7" t="n">
        <f aca="false">SUMIFS(Doors!S:S,Doors!$A:$A,$D130,Doors!$B:$B,$B130,Doors!$C:$C,$C130)*SUMIFS(Velocity!$I:$I,Velocity!$A:$A,$A130,Velocity!$B:$B,$C130)/Assumptions!$B$4*Assumptions!$B$6</f>
        <v>0</v>
      </c>
      <c r="H130" s="7" t="n">
        <f aca="false">SUMIFS(Doors!T:T,Doors!$A:$A,$D130,Doors!$B:$B,$B130,Doors!$C:$C,$C130)*SUMIFS(Velocity!$I:$I,Velocity!$A:$A,$A130,Velocity!$B:$B,$C130)/Assumptions!$B$4*Assumptions!$B$6</f>
        <v>0</v>
      </c>
      <c r="I130" s="7" t="n">
        <f aca="false">SUMIFS(Doors!U:U,Doors!$A:$A,$D130,Doors!$B:$B,$B130,Doors!$C:$C,$C130)*SUMIFS(Velocity!$I:$I,Velocity!$A:$A,$A130,Velocity!$B:$B,$C130)/Assumptions!$B$4*Assumptions!$B$6</f>
        <v>0</v>
      </c>
      <c r="J130" s="7" t="n">
        <f aca="false">SUMIFS(Doors!V:V,Doors!$A:$A,$D130,Doors!$B:$B,$B130,Doors!$C:$C,$C130)*SUMIFS(Velocity!$I:$I,Velocity!$A:$A,$A130,Velocity!$B:$B,$C130)/Assumptions!$B$4*Assumptions!$B$6</f>
        <v>0</v>
      </c>
      <c r="K130" s="7" t="n">
        <f aca="false">SUMIFS(Doors!W:W,Doors!$A:$A,$D130,Doors!$B:$B,$B130,Doors!$C:$C,$C130)*SUMIFS(Velocity!$I:$I,Velocity!$A:$A,$A130,Velocity!$B:$B,$C130)/Assumptions!$B$4*Assumptions!$B$6</f>
        <v>0</v>
      </c>
      <c r="L130" s="7" t="n">
        <f aca="false">SUMIFS(Doors!X:X,Doors!$A:$A,$D130,Doors!$B:$B,$B130,Doors!$C:$C,$C130)*SUMIFS(Velocity!$I:$I,Velocity!$A:$A,$A130,Velocity!$B:$B,$C130)/Assumptions!$B$4*Assumptions!$B$6</f>
        <v>0</v>
      </c>
      <c r="M130" s="7" t="n">
        <f aca="false">SUMIFS(Doors!Y:Y,Doors!$A:$A,$D130,Doors!$B:$B,$B130,Doors!$C:$C,$C130)*SUMIFS(Velocity!$I:$I,Velocity!$A:$A,$A130,Velocity!$B:$B,$C130)/Assumptions!$B$4*Assumptions!$B$6</f>
        <v>0</v>
      </c>
      <c r="N130" s="7" t="n">
        <f aca="false">SUMIFS(Doors!Z:Z,Doors!$A:$A,$D130,Doors!$B:$B,$B130,Doors!$C:$C,$C130)*SUMIFS(Velocity!$I:$I,Velocity!$A:$A,$A130,Velocity!$B:$B,$C130)/Assumptions!$B$4*Assumptions!$B$6</f>
        <v>0.275</v>
      </c>
      <c r="O130" s="7" t="n">
        <f aca="false">SUMIFS(Doors!AA:AA,Doors!$A:$A,$D130,Doors!$B:$B,$B130,Doors!$C:$C,$C130)*SUMIFS(Velocity!$I:$I,Velocity!$A:$A,$A130,Velocity!$B:$B,$C130)/Assumptions!$B$4*Assumptions!$B$6</f>
        <v>0.275</v>
      </c>
      <c r="P130" s="7" t="n">
        <f aca="false">SUMIFS(Doors!AB:AB,Doors!$A:$A,$D130,Doors!$B:$B,$B130,Doors!$C:$C,$C130)*SUMIFS(Velocity!$I:$I,Velocity!$A:$A,$A130,Velocity!$B:$B,$C130)/Assumptions!$B$4*Assumptions!$B$6</f>
        <v>0.275</v>
      </c>
      <c r="Q130" s="7" t="n">
        <f aca="false">SUMIFS(Doors!AC:AC,Doors!$A:$A,$D130,Doors!$B:$B,$B130,Doors!$C:$C,$C130)*SUMIFS(Velocity!$I:$I,Velocity!$A:$A,$A130,Velocity!$B:$B,$C130)/Assumptions!$B$4*Assumptions!$B$6</f>
        <v>0.275</v>
      </c>
      <c r="R130" s="7" t="n">
        <f aca="false">SUMIFS(Doors!AD:AD,Doors!$A:$A,$D130,Doors!$B:$B,$B130,Doors!$C:$C,$C130)*SUMIFS(Velocity!$I:$I,Velocity!$A:$A,$A130,Velocity!$B:$B,$C130)/Assumptions!$B$4*Assumptions!$B$6</f>
        <v>0.55</v>
      </c>
      <c r="S130" s="7" t="n">
        <f aca="false">SUMIFS(Doors!AE:AE,Doors!$A:$A,$D130,Doors!$B:$B,$B130,Doors!$C:$C,$C130)*SUMIFS(Velocity!$I:$I,Velocity!$A:$A,$A130,Velocity!$B:$B,$C130)/Assumptions!$B$4*Assumptions!$B$6</f>
        <v>0.55</v>
      </c>
      <c r="T130" s="7" t="n">
        <f aca="false">SUMIFS(Doors!AF:AF,Doors!$A:$A,$D130,Doors!$B:$B,$B130,Doors!$C:$C,$C130)*SUMIFS(Velocity!$I:$I,Velocity!$A:$A,$A130,Velocity!$B:$B,$C130)/Assumptions!$B$4*Assumptions!$B$6</f>
        <v>0.55</v>
      </c>
      <c r="U130" s="7" t="n">
        <f aca="false">SUMIFS(Doors!AG:AG,Doors!$A:$A,$D130,Doors!$B:$B,$B130,Doors!$C:$C,$C130)*SUMIFS(Velocity!$I:$I,Velocity!$A:$A,$A130,Velocity!$B:$B,$C130)/Assumptions!$B$4*Assumptions!$B$6</f>
        <v>0.55</v>
      </c>
      <c r="V130" s="7" t="n">
        <f aca="false">SUMIFS(Doors!AH:AH,Doors!$A:$A,$D130,Doors!$B:$B,$B130,Doors!$C:$C,$C130)*SUMIFS(Velocity!$I:$I,Velocity!$A:$A,$A130,Velocity!$B:$B,$C130)/Assumptions!$B$4*Assumptions!$B$6</f>
        <v>0.55</v>
      </c>
      <c r="W130" s="7" t="n">
        <f aca="false">SUMIFS(Doors!AI:AI,Doors!$A:$A,$D130,Doors!$B:$B,$B130,Doors!$C:$C,$C130)*SUMIFS(Velocity!$I:$I,Velocity!$A:$A,$A130,Velocity!$B:$B,$C130)/Assumptions!$B$4*Assumptions!$B$6</f>
        <v>0.825</v>
      </c>
      <c r="X130" s="7" t="n">
        <f aca="false">SUMIFS(Doors!AJ:AJ,Doors!$A:$A,$D130,Doors!$B:$B,$B130,Doors!$C:$C,$C130)*SUMIFS(Velocity!$I:$I,Velocity!$A:$A,$A130,Velocity!$B:$B,$C130)/Assumptions!$B$4*Assumptions!$B$6</f>
        <v>0.825</v>
      </c>
      <c r="Y130" s="7" t="n">
        <f aca="false">SUMIFS(Doors!AK:AK,Doors!$A:$A,$D130,Doors!$B:$B,$B130,Doors!$C:$C,$C130)*SUMIFS(Velocity!$I:$I,Velocity!$A:$A,$A130,Velocity!$B:$B,$C130)/Assumptions!$B$4*Assumptions!$B$6</f>
        <v>0.825</v>
      </c>
      <c r="Z130" s="7" t="n">
        <f aca="false">SUMIFS(Doors!AL:AL,Doors!$A:$A,$D130,Doors!$B:$B,$B130,Doors!$C:$C,$C130)*SUMIFS(Velocity!$I:$I,Velocity!$A:$A,$A130,Velocity!$B:$B,$C130)/Assumptions!$B$4*Assumptions!$B$6</f>
        <v>0.825</v>
      </c>
      <c r="AA130" s="7" t="n">
        <f aca="false">SUMIFS(Doors!AM:AM,Doors!$A:$A,$D130,Doors!$B:$B,$B130,Doors!$C:$C,$C130)*SUMIFS(Velocity!$I:$I,Velocity!$A:$A,$A130,Velocity!$B:$B,$C130)/Assumptions!$B$4*Assumptions!$B$6</f>
        <v>1.1</v>
      </c>
      <c r="AB130" s="7" t="n">
        <f aca="false">SUMIFS(Doors!AN:AN,Doors!$A:$A,$D130,Doors!$B:$B,$B130,Doors!$C:$C,$C130)*SUMIFS(Velocity!$I:$I,Velocity!$A:$A,$A130,Velocity!$B:$B,$C130)/Assumptions!$B$4*Assumptions!$B$6</f>
        <v>1.1</v>
      </c>
      <c r="AC130" s="7" t="n">
        <f aca="false">SUMIFS(Doors!AO:AO,Doors!$A:$A,$D130,Doors!$B:$B,$B130,Doors!$C:$C,$C130)*SUMIFS(Velocity!$I:$I,Velocity!$A:$A,$A130,Velocity!$B:$B,$C130)/Assumptions!$B$4*Assumptions!$B$6</f>
        <v>1.1</v>
      </c>
      <c r="AD130" s="7" t="n">
        <f aca="false">SUMIFS(Doors!AP:AP,Doors!$A:$A,$D130,Doors!$B:$B,$B130,Doors!$C:$C,$C130)*SUMIFS(Velocity!$I:$I,Velocity!$A:$A,$A130,Velocity!$B:$B,$C130)/Assumptions!$B$4*Assumptions!$B$6</f>
        <v>1.1</v>
      </c>
      <c r="AE130" s="7" t="n">
        <f aca="false">SUMIFS(Doors!AQ:AQ,Doors!$A:$A,$D130,Doors!$B:$B,$B130,Doors!$C:$C,$C130)*SUMIFS(Velocity!$I:$I,Velocity!$A:$A,$A130,Velocity!$B:$B,$C130)/Assumptions!$B$4*Assumptions!$B$6</f>
        <v>1.375</v>
      </c>
      <c r="AF130" s="7" t="n">
        <f aca="false">SUMIFS(Doors!AR:AR,Doors!$A:$A,$D130,Doors!$B:$B,$B130,Doors!$C:$C,$C130)*SUMIFS(Velocity!$I:$I,Velocity!$A:$A,$A130,Velocity!$B:$B,$C130)/Assumptions!$B$4*Assumptions!$B$6</f>
        <v>1.375</v>
      </c>
      <c r="AG130" s="7" t="n">
        <f aca="false">SUMIFS(Doors!AS:AS,Doors!$A:$A,$D130,Doors!$B:$B,$B130,Doors!$C:$C,$C130)*SUMIFS(Velocity!$I:$I,Velocity!$A:$A,$A130,Velocity!$B:$B,$C130)/Assumptions!$B$4*Assumptions!$B$6</f>
        <v>1.375</v>
      </c>
      <c r="AH130" s="7" t="n">
        <f aca="false">SUMIFS(Doors!AT:AT,Doors!$A:$A,$D130,Doors!$B:$B,$B130,Doors!$C:$C,$C130)*SUMIFS(Velocity!$I:$I,Velocity!$A:$A,$A130,Velocity!$B:$B,$C130)/Assumptions!$B$4*Assumptions!$B$6</f>
        <v>1.375</v>
      </c>
      <c r="AI130" s="7" t="n">
        <f aca="false">SUMIFS(Doors!AU:AU,Doors!$A:$A,$D130,Doors!$B:$B,$B130,Doors!$C:$C,$C130)*SUMIFS(Velocity!$I:$I,Velocity!$A:$A,$A130,Velocity!$B:$B,$C130)/Assumptions!$B$4*Assumptions!$B$6</f>
        <v>1.375</v>
      </c>
      <c r="AJ130" s="7" t="n">
        <f aca="false">SUMIFS(Doors!AV:AV,Doors!$A:$A,$D130,Doors!$B:$B,$B130,Doors!$C:$C,$C130)*SUMIFS(Velocity!$I:$I,Velocity!$A:$A,$A130,Velocity!$B:$B,$C130)/Assumptions!$B$4*Assumptions!$B$6</f>
        <v>1.5125</v>
      </c>
      <c r="AK130" s="7" t="n">
        <f aca="false">SUMIFS(Doors!AW:AW,Doors!$A:$A,$D130,Doors!$B:$B,$B130,Doors!$C:$C,$C130)*SUMIFS(Velocity!$I:$I,Velocity!$A:$A,$A130,Velocity!$B:$B,$C130)/Assumptions!$B$4*Assumptions!$B$6</f>
        <v>1.5125</v>
      </c>
      <c r="AL130" s="7" t="n">
        <f aca="false">SUMIFS(Doors!AX:AX,Doors!$A:$A,$D130,Doors!$B:$B,$B130,Doors!$C:$C,$C130)*SUMIFS(Velocity!$I:$I,Velocity!$A:$A,$A130,Velocity!$B:$B,$C130)/Assumptions!$B$4*Assumptions!$B$6</f>
        <v>1.5125</v>
      </c>
      <c r="AM130" s="7" t="n">
        <f aca="false">SUMIFS(Doors!AY:AY,Doors!$A:$A,$D130,Doors!$B:$B,$B130,Doors!$C:$C,$C130)*SUMIFS(Velocity!$I:$I,Velocity!$A:$A,$A130,Velocity!$B:$B,$C130)/Assumptions!$B$4*Assumptions!$B$6</f>
        <v>1.5125</v>
      </c>
      <c r="AN130" s="7" t="n">
        <f aca="false">SUMIFS(Doors!AZ:AZ,Doors!$A:$A,$D130,Doors!$B:$B,$B130,Doors!$C:$C,$C130)*SUMIFS(Velocity!$I:$I,Velocity!$A:$A,$A130,Velocity!$B:$B,$C130)/Assumptions!$B$4*Assumptions!$B$6</f>
        <v>1.65</v>
      </c>
      <c r="AO130" s="7" t="n">
        <f aca="false">SUMIFS(Doors!BA:BA,Doors!$A:$A,$D130,Doors!$B:$B,$B130,Doors!$C:$C,$C130)*SUMIFS(Velocity!$I:$I,Velocity!$A:$A,$A130,Velocity!$B:$B,$C130)/Assumptions!$B$4*Assumptions!$B$6</f>
        <v>1.65</v>
      </c>
      <c r="AP130" s="7" t="n">
        <f aca="false">SUMIFS(Doors!BB:BB,Doors!$A:$A,$D130,Doors!$B:$B,$B130,Doors!$C:$C,$C130)*SUMIFS(Velocity!$I:$I,Velocity!$A:$A,$A130,Velocity!$B:$B,$C130)/Assumptions!$B$4*Assumptions!$B$6</f>
        <v>1.65</v>
      </c>
      <c r="AQ130" s="7" t="n">
        <f aca="false">SUMIFS(Doors!BC:BC,Doors!$A:$A,$D130,Doors!$B:$B,$B130,Doors!$C:$C,$C130)*SUMIFS(Velocity!$I:$I,Velocity!$A:$A,$A130,Velocity!$B:$B,$C130)/Assumptions!$B$4*Assumptions!$B$6</f>
        <v>1.65</v>
      </c>
      <c r="AR130" s="7" t="n">
        <f aca="false">SUMIFS(Doors!BD:BD,Doors!$A:$A,$D130,Doors!$B:$B,$B130,Doors!$C:$C,$C130)*SUMIFS(Velocity!$I:$I,Velocity!$A:$A,$A130,Velocity!$B:$B,$C130)/Assumptions!$B$4*Assumptions!$B$6</f>
        <v>1.7875</v>
      </c>
      <c r="AS130" s="7" t="n">
        <f aca="false">SUMIFS(Doors!BE:BE,Doors!$A:$A,$D130,Doors!$B:$B,$B130,Doors!$C:$C,$C130)*SUMIFS(Velocity!$I:$I,Velocity!$A:$A,$A130,Velocity!$B:$B,$C130)/Assumptions!$B$4*Assumptions!$B$6</f>
        <v>1.7875</v>
      </c>
      <c r="AT130" s="7" t="n">
        <f aca="false">SUMIFS(Doors!BF:BF,Doors!$A:$A,$D130,Doors!$B:$B,$B130,Doors!$C:$C,$C130)*SUMIFS(Velocity!$I:$I,Velocity!$A:$A,$A130,Velocity!$B:$B,$C130)/Assumptions!$B$4*Assumptions!$B$6</f>
        <v>1.7875</v>
      </c>
      <c r="AU130" s="7" t="n">
        <f aca="false">SUMIFS(Doors!BG:BG,Doors!$A:$A,$D130,Doors!$B:$B,$B130,Doors!$C:$C,$C130)*SUMIFS(Velocity!$I:$I,Velocity!$A:$A,$A130,Velocity!$B:$B,$C130)/Assumptions!$B$4*Assumptions!$B$6</f>
        <v>1.7875</v>
      </c>
      <c r="AV130" s="7" t="n">
        <f aca="false">SUMIFS(Doors!BH:BH,Doors!$A:$A,$D130,Doors!$B:$B,$B130,Doors!$C:$C,$C130)*SUMIFS(Velocity!$I:$I,Velocity!$A:$A,$A130,Velocity!$B:$B,$C130)/Assumptions!$B$4*Assumptions!$B$6</f>
        <v>1.7875</v>
      </c>
      <c r="AW130" s="7" t="n">
        <f aca="false">SUMIFS(Doors!BI:BI,Doors!$A:$A,$D130,Doors!$B:$B,$B130,Doors!$C:$C,$C130)*SUMIFS(Velocity!$I:$I,Velocity!$A:$A,$A130,Velocity!$B:$B,$C130)/Assumptions!$B$4*Assumptions!$B$6</f>
        <v>1.925</v>
      </c>
      <c r="AX130" s="7" t="n">
        <f aca="false">SUMIFS(Doors!BJ:BJ,Doors!$A:$A,$D130,Doors!$B:$B,$B130,Doors!$C:$C,$C130)*SUMIFS(Velocity!$I:$I,Velocity!$A:$A,$A130,Velocity!$B:$B,$C130)/Assumptions!$B$4*Assumptions!$B$6</f>
        <v>1.925</v>
      </c>
      <c r="AY130" s="7" t="n">
        <f aca="false">SUMIFS(Doors!BK:BK,Doors!$A:$A,$D130,Doors!$B:$B,$B130,Doors!$C:$C,$C130)*SUMIFS(Velocity!$I:$I,Velocity!$A:$A,$A130,Velocity!$B:$B,$C130)/Assumptions!$B$4*Assumptions!$B$6</f>
        <v>1.925</v>
      </c>
      <c r="AZ130" s="7" t="n">
        <f aca="false">SUMIFS(Doors!BL:BL,Doors!$A:$A,$D130,Doors!$B:$B,$B130,Doors!$C:$C,$C130)*SUMIFS(Velocity!$I:$I,Velocity!$A:$A,$A130,Velocity!$B:$B,$C130)/Assumptions!$B$4*Assumptions!$B$6</f>
        <v>1.925</v>
      </c>
      <c r="BA130" s="7" t="n">
        <f aca="false">SUMIFS(Doors!BM:BM,Doors!$A:$A,$D130,Doors!$B:$B,$B130,Doors!$C:$C,$C130)*SUMIFS(Velocity!$I:$I,Velocity!$A:$A,$A130,Velocity!$B:$B,$C130)/Assumptions!$B$4*Assumptions!$B$6</f>
        <v>2.0625</v>
      </c>
      <c r="BB130" s="7" t="n">
        <f aca="false">SUMIFS(Doors!BN:BN,Doors!$A:$A,$D130,Doors!$B:$B,$B130,Doors!$C:$C,$C130)*SUMIFS(Velocity!$I:$I,Velocity!$A:$A,$A130,Velocity!$B:$B,$C130)/Assumptions!$B$4*Assumptions!$B$6</f>
        <v>2.0625</v>
      </c>
      <c r="BC130" s="7" t="n">
        <f aca="false">SUMIFS(Doors!BO:BO,Doors!$A:$A,$D130,Doors!$B:$B,$B130,Doors!$C:$C,$C130)*SUMIFS(Velocity!$I:$I,Velocity!$A:$A,$A130,Velocity!$B:$B,$C130)/Assumptions!$B$4*Assumptions!$B$6</f>
        <v>2.0625</v>
      </c>
      <c r="BD130" s="7" t="n">
        <f aca="false">SUMIFS(Doors!BP:BP,Doors!$A:$A,$D130,Doors!$B:$B,$B130,Doors!$C:$C,$C130)*SUMIFS(Velocity!$I:$I,Velocity!$A:$A,$A130,Velocity!$B:$B,$C130)/Assumptions!$B$4*Assumptions!$B$6</f>
        <v>2.0625</v>
      </c>
    </row>
    <row r="131" customFormat="false" ht="15" hidden="false" customHeight="false" outlineLevel="0" collapsed="false">
      <c r="A131" s="0" t="s">
        <v>109</v>
      </c>
      <c r="B131" s="0" t="s">
        <v>129</v>
      </c>
      <c r="C131" s="0" t="s">
        <v>123</v>
      </c>
      <c r="D131" s="0" t="s">
        <v>235</v>
      </c>
      <c r="E131" s="7" t="n">
        <f aca="false">SUMIFS(Doors!Q:Q,Doors!$A:$A,$D131,Doors!$B:$B,$B131,Doors!$C:$C,$C131)*SUMIFS(Velocity!$I:$I,Velocity!$A:$A,$A131,Velocity!$B:$B,$C131)/Assumptions!$B$4*Assumptions!$B$6</f>
        <v>0</v>
      </c>
      <c r="F131" s="7" t="n">
        <f aca="false">SUMIFS(Doors!R:R,Doors!$A:$A,$D131,Doors!$B:$B,$B131,Doors!$C:$C,$C131)*SUMIFS(Velocity!$I:$I,Velocity!$A:$A,$A131,Velocity!$B:$B,$C131)/Assumptions!$B$4*Assumptions!$B$6</f>
        <v>0</v>
      </c>
      <c r="G131" s="7" t="n">
        <f aca="false">SUMIFS(Doors!S:S,Doors!$A:$A,$D131,Doors!$B:$B,$B131,Doors!$C:$C,$C131)*SUMIFS(Velocity!$I:$I,Velocity!$A:$A,$A131,Velocity!$B:$B,$C131)/Assumptions!$B$4*Assumptions!$B$6</f>
        <v>0</v>
      </c>
      <c r="H131" s="7" t="n">
        <f aca="false">SUMIFS(Doors!T:T,Doors!$A:$A,$D131,Doors!$B:$B,$B131,Doors!$C:$C,$C131)*SUMIFS(Velocity!$I:$I,Velocity!$A:$A,$A131,Velocity!$B:$B,$C131)/Assumptions!$B$4*Assumptions!$B$6</f>
        <v>0</v>
      </c>
      <c r="I131" s="7" t="n">
        <f aca="false">SUMIFS(Doors!U:U,Doors!$A:$A,$D131,Doors!$B:$B,$B131,Doors!$C:$C,$C131)*SUMIFS(Velocity!$I:$I,Velocity!$A:$A,$A131,Velocity!$B:$B,$C131)/Assumptions!$B$4*Assumptions!$B$6</f>
        <v>0</v>
      </c>
      <c r="J131" s="7" t="n">
        <f aca="false">SUMIFS(Doors!V:V,Doors!$A:$A,$D131,Doors!$B:$B,$B131,Doors!$C:$C,$C131)*SUMIFS(Velocity!$I:$I,Velocity!$A:$A,$A131,Velocity!$B:$B,$C131)/Assumptions!$B$4*Assumptions!$B$6</f>
        <v>0</v>
      </c>
      <c r="K131" s="7" t="n">
        <f aca="false">SUMIFS(Doors!W:W,Doors!$A:$A,$D131,Doors!$B:$B,$B131,Doors!$C:$C,$C131)*SUMIFS(Velocity!$I:$I,Velocity!$A:$A,$A131,Velocity!$B:$B,$C131)/Assumptions!$B$4*Assumptions!$B$6</f>
        <v>0</v>
      </c>
      <c r="L131" s="7" t="n">
        <f aca="false">SUMIFS(Doors!X:X,Doors!$A:$A,$D131,Doors!$B:$B,$B131,Doors!$C:$C,$C131)*SUMIFS(Velocity!$I:$I,Velocity!$A:$A,$A131,Velocity!$B:$B,$C131)/Assumptions!$B$4*Assumptions!$B$6</f>
        <v>0</v>
      </c>
      <c r="M131" s="7" t="n">
        <f aca="false">SUMIFS(Doors!Y:Y,Doors!$A:$A,$D131,Doors!$B:$B,$B131,Doors!$C:$C,$C131)*SUMIFS(Velocity!$I:$I,Velocity!$A:$A,$A131,Velocity!$B:$B,$C131)/Assumptions!$B$4*Assumptions!$B$6</f>
        <v>0</v>
      </c>
      <c r="N131" s="7" t="n">
        <f aca="false">SUMIFS(Doors!Z:Z,Doors!$A:$A,$D131,Doors!$B:$B,$B131,Doors!$C:$C,$C131)*SUMIFS(Velocity!$I:$I,Velocity!$A:$A,$A131,Velocity!$B:$B,$C131)/Assumptions!$B$4*Assumptions!$B$6</f>
        <v>0</v>
      </c>
      <c r="O131" s="7" t="n">
        <f aca="false">SUMIFS(Doors!AA:AA,Doors!$A:$A,$D131,Doors!$B:$B,$B131,Doors!$C:$C,$C131)*SUMIFS(Velocity!$I:$I,Velocity!$A:$A,$A131,Velocity!$B:$B,$C131)/Assumptions!$B$4*Assumptions!$B$6</f>
        <v>0</v>
      </c>
      <c r="P131" s="7" t="n">
        <f aca="false">SUMIFS(Doors!AB:AB,Doors!$A:$A,$D131,Doors!$B:$B,$B131,Doors!$C:$C,$C131)*SUMIFS(Velocity!$I:$I,Velocity!$A:$A,$A131,Velocity!$B:$B,$C131)/Assumptions!$B$4*Assumptions!$B$6</f>
        <v>0</v>
      </c>
      <c r="Q131" s="7" t="n">
        <f aca="false">SUMIFS(Doors!AC:AC,Doors!$A:$A,$D131,Doors!$B:$B,$B131,Doors!$C:$C,$C131)*SUMIFS(Velocity!$I:$I,Velocity!$A:$A,$A131,Velocity!$B:$B,$C131)/Assumptions!$B$4*Assumptions!$B$6</f>
        <v>0</v>
      </c>
      <c r="R131" s="7" t="n">
        <f aca="false">SUMIFS(Doors!AD:AD,Doors!$A:$A,$D131,Doors!$B:$B,$B131,Doors!$C:$C,$C131)*SUMIFS(Velocity!$I:$I,Velocity!$A:$A,$A131,Velocity!$B:$B,$C131)/Assumptions!$B$4*Assumptions!$B$6</f>
        <v>0</v>
      </c>
      <c r="S131" s="7" t="n">
        <f aca="false">SUMIFS(Doors!AE:AE,Doors!$A:$A,$D131,Doors!$B:$B,$B131,Doors!$C:$C,$C131)*SUMIFS(Velocity!$I:$I,Velocity!$A:$A,$A131,Velocity!$B:$B,$C131)/Assumptions!$B$4*Assumptions!$B$6</f>
        <v>0</v>
      </c>
      <c r="T131" s="7" t="n">
        <f aca="false">SUMIFS(Doors!AF:AF,Doors!$A:$A,$D131,Doors!$B:$B,$B131,Doors!$C:$C,$C131)*SUMIFS(Velocity!$I:$I,Velocity!$A:$A,$A131,Velocity!$B:$B,$C131)/Assumptions!$B$4*Assumptions!$B$6</f>
        <v>0</v>
      </c>
      <c r="U131" s="7" t="n">
        <f aca="false">SUMIFS(Doors!AG:AG,Doors!$A:$A,$D131,Doors!$B:$B,$B131,Doors!$C:$C,$C131)*SUMIFS(Velocity!$I:$I,Velocity!$A:$A,$A131,Velocity!$B:$B,$C131)/Assumptions!$B$4*Assumptions!$B$6</f>
        <v>0</v>
      </c>
      <c r="V131" s="7" t="n">
        <f aca="false">SUMIFS(Doors!AH:AH,Doors!$A:$A,$D131,Doors!$B:$B,$B131,Doors!$C:$C,$C131)*SUMIFS(Velocity!$I:$I,Velocity!$A:$A,$A131,Velocity!$B:$B,$C131)/Assumptions!$B$4*Assumptions!$B$6</f>
        <v>0</v>
      </c>
      <c r="W131" s="7" t="n">
        <f aca="false">SUMIFS(Doors!AI:AI,Doors!$A:$A,$D131,Doors!$B:$B,$B131,Doors!$C:$C,$C131)*SUMIFS(Velocity!$I:$I,Velocity!$A:$A,$A131,Velocity!$B:$B,$C131)/Assumptions!$B$4*Assumptions!$B$6</f>
        <v>0</v>
      </c>
      <c r="X131" s="7" t="n">
        <f aca="false">SUMIFS(Doors!AJ:AJ,Doors!$A:$A,$D131,Doors!$B:$B,$B131,Doors!$C:$C,$C131)*SUMIFS(Velocity!$I:$I,Velocity!$A:$A,$A131,Velocity!$B:$B,$C131)/Assumptions!$B$4*Assumptions!$B$6</f>
        <v>0</v>
      </c>
      <c r="Y131" s="7" t="n">
        <f aca="false">SUMIFS(Doors!AK:AK,Doors!$A:$A,$D131,Doors!$B:$B,$B131,Doors!$C:$C,$C131)*SUMIFS(Velocity!$I:$I,Velocity!$A:$A,$A131,Velocity!$B:$B,$C131)/Assumptions!$B$4*Assumptions!$B$6</f>
        <v>0</v>
      </c>
      <c r="Z131" s="7" t="n">
        <f aca="false">SUMIFS(Doors!AL:AL,Doors!$A:$A,$D131,Doors!$B:$B,$B131,Doors!$C:$C,$C131)*SUMIFS(Velocity!$I:$I,Velocity!$A:$A,$A131,Velocity!$B:$B,$C131)/Assumptions!$B$4*Assumptions!$B$6</f>
        <v>0</v>
      </c>
      <c r="AA131" s="7" t="n">
        <f aca="false">SUMIFS(Doors!AM:AM,Doors!$A:$A,$D131,Doors!$B:$B,$B131,Doors!$C:$C,$C131)*SUMIFS(Velocity!$I:$I,Velocity!$A:$A,$A131,Velocity!$B:$B,$C131)/Assumptions!$B$4*Assumptions!$B$6</f>
        <v>0</v>
      </c>
      <c r="AB131" s="7" t="n">
        <f aca="false">SUMIFS(Doors!AN:AN,Doors!$A:$A,$D131,Doors!$B:$B,$B131,Doors!$C:$C,$C131)*SUMIFS(Velocity!$I:$I,Velocity!$A:$A,$A131,Velocity!$B:$B,$C131)/Assumptions!$B$4*Assumptions!$B$6</f>
        <v>0</v>
      </c>
      <c r="AC131" s="7" t="n">
        <f aca="false">SUMIFS(Doors!AO:AO,Doors!$A:$A,$D131,Doors!$B:$B,$B131,Doors!$C:$C,$C131)*SUMIFS(Velocity!$I:$I,Velocity!$A:$A,$A131,Velocity!$B:$B,$C131)/Assumptions!$B$4*Assumptions!$B$6</f>
        <v>0</v>
      </c>
      <c r="AD131" s="7" t="n">
        <f aca="false">SUMIFS(Doors!AP:AP,Doors!$A:$A,$D131,Doors!$B:$B,$B131,Doors!$C:$C,$C131)*SUMIFS(Velocity!$I:$I,Velocity!$A:$A,$A131,Velocity!$B:$B,$C131)/Assumptions!$B$4*Assumptions!$B$6</f>
        <v>0</v>
      </c>
      <c r="AE131" s="7" t="n">
        <f aca="false">SUMIFS(Doors!AQ:AQ,Doors!$A:$A,$D131,Doors!$B:$B,$B131,Doors!$C:$C,$C131)*SUMIFS(Velocity!$I:$I,Velocity!$A:$A,$A131,Velocity!$B:$B,$C131)/Assumptions!$B$4*Assumptions!$B$6</f>
        <v>0</v>
      </c>
      <c r="AF131" s="7" t="n">
        <f aca="false">SUMIFS(Doors!AR:AR,Doors!$A:$A,$D131,Doors!$B:$B,$B131,Doors!$C:$C,$C131)*SUMIFS(Velocity!$I:$I,Velocity!$A:$A,$A131,Velocity!$B:$B,$C131)/Assumptions!$B$4*Assumptions!$B$6</f>
        <v>0</v>
      </c>
      <c r="AG131" s="7" t="n">
        <f aca="false">SUMIFS(Doors!AS:AS,Doors!$A:$A,$D131,Doors!$B:$B,$B131,Doors!$C:$C,$C131)*SUMIFS(Velocity!$I:$I,Velocity!$A:$A,$A131,Velocity!$B:$B,$C131)/Assumptions!$B$4*Assumptions!$B$6</f>
        <v>0</v>
      </c>
      <c r="AH131" s="7" t="n">
        <f aca="false">SUMIFS(Doors!AT:AT,Doors!$A:$A,$D131,Doors!$B:$B,$B131,Doors!$C:$C,$C131)*SUMIFS(Velocity!$I:$I,Velocity!$A:$A,$A131,Velocity!$B:$B,$C131)/Assumptions!$B$4*Assumptions!$B$6</f>
        <v>0</v>
      </c>
      <c r="AI131" s="7" t="n">
        <f aca="false">SUMIFS(Doors!AU:AU,Doors!$A:$A,$D131,Doors!$B:$B,$B131,Doors!$C:$C,$C131)*SUMIFS(Velocity!$I:$I,Velocity!$A:$A,$A131,Velocity!$B:$B,$C131)/Assumptions!$B$4*Assumptions!$B$6</f>
        <v>0</v>
      </c>
      <c r="AJ131" s="7" t="n">
        <f aca="false">SUMIFS(Doors!AV:AV,Doors!$A:$A,$D131,Doors!$B:$B,$B131,Doors!$C:$C,$C131)*SUMIFS(Velocity!$I:$I,Velocity!$A:$A,$A131,Velocity!$B:$B,$C131)/Assumptions!$B$4*Assumptions!$B$6</f>
        <v>0</v>
      </c>
      <c r="AK131" s="7" t="n">
        <f aca="false">SUMIFS(Doors!AW:AW,Doors!$A:$A,$D131,Doors!$B:$B,$B131,Doors!$C:$C,$C131)*SUMIFS(Velocity!$I:$I,Velocity!$A:$A,$A131,Velocity!$B:$B,$C131)/Assumptions!$B$4*Assumptions!$B$6</f>
        <v>0</v>
      </c>
      <c r="AL131" s="7" t="n">
        <f aca="false">SUMIFS(Doors!AX:AX,Doors!$A:$A,$D131,Doors!$B:$B,$B131,Doors!$C:$C,$C131)*SUMIFS(Velocity!$I:$I,Velocity!$A:$A,$A131,Velocity!$B:$B,$C131)/Assumptions!$B$4*Assumptions!$B$6</f>
        <v>0</v>
      </c>
      <c r="AM131" s="7" t="n">
        <f aca="false">SUMIFS(Doors!AY:AY,Doors!$A:$A,$D131,Doors!$B:$B,$B131,Doors!$C:$C,$C131)*SUMIFS(Velocity!$I:$I,Velocity!$A:$A,$A131,Velocity!$B:$B,$C131)/Assumptions!$B$4*Assumptions!$B$6</f>
        <v>0</v>
      </c>
      <c r="AN131" s="7" t="n">
        <f aca="false">SUMIFS(Doors!AZ:AZ,Doors!$A:$A,$D131,Doors!$B:$B,$B131,Doors!$C:$C,$C131)*SUMIFS(Velocity!$I:$I,Velocity!$A:$A,$A131,Velocity!$B:$B,$C131)/Assumptions!$B$4*Assumptions!$B$6</f>
        <v>0</v>
      </c>
      <c r="AO131" s="7" t="n">
        <f aca="false">SUMIFS(Doors!BA:BA,Doors!$A:$A,$D131,Doors!$B:$B,$B131,Doors!$C:$C,$C131)*SUMIFS(Velocity!$I:$I,Velocity!$A:$A,$A131,Velocity!$B:$B,$C131)/Assumptions!$B$4*Assumptions!$B$6</f>
        <v>0</v>
      </c>
      <c r="AP131" s="7" t="n">
        <f aca="false">SUMIFS(Doors!BB:BB,Doors!$A:$A,$D131,Doors!$B:$B,$B131,Doors!$C:$C,$C131)*SUMIFS(Velocity!$I:$I,Velocity!$A:$A,$A131,Velocity!$B:$B,$C131)/Assumptions!$B$4*Assumptions!$B$6</f>
        <v>0</v>
      </c>
      <c r="AQ131" s="7" t="n">
        <f aca="false">SUMIFS(Doors!BC:BC,Doors!$A:$A,$D131,Doors!$B:$B,$B131,Doors!$C:$C,$C131)*SUMIFS(Velocity!$I:$I,Velocity!$A:$A,$A131,Velocity!$B:$B,$C131)/Assumptions!$B$4*Assumptions!$B$6</f>
        <v>0</v>
      </c>
      <c r="AR131" s="7" t="n">
        <f aca="false">SUMIFS(Doors!BD:BD,Doors!$A:$A,$D131,Doors!$B:$B,$B131,Doors!$C:$C,$C131)*SUMIFS(Velocity!$I:$I,Velocity!$A:$A,$A131,Velocity!$B:$B,$C131)/Assumptions!$B$4*Assumptions!$B$6</f>
        <v>0</v>
      </c>
      <c r="AS131" s="7" t="n">
        <f aca="false">SUMIFS(Doors!BE:BE,Doors!$A:$A,$D131,Doors!$B:$B,$B131,Doors!$C:$C,$C131)*SUMIFS(Velocity!$I:$I,Velocity!$A:$A,$A131,Velocity!$B:$B,$C131)/Assumptions!$B$4*Assumptions!$B$6</f>
        <v>0</v>
      </c>
      <c r="AT131" s="7" t="n">
        <f aca="false">SUMIFS(Doors!BF:BF,Doors!$A:$A,$D131,Doors!$B:$B,$B131,Doors!$C:$C,$C131)*SUMIFS(Velocity!$I:$I,Velocity!$A:$A,$A131,Velocity!$B:$B,$C131)/Assumptions!$B$4*Assumptions!$B$6</f>
        <v>0</v>
      </c>
      <c r="AU131" s="7" t="n">
        <f aca="false">SUMIFS(Doors!BG:BG,Doors!$A:$A,$D131,Doors!$B:$B,$B131,Doors!$C:$C,$C131)*SUMIFS(Velocity!$I:$I,Velocity!$A:$A,$A131,Velocity!$B:$B,$C131)/Assumptions!$B$4*Assumptions!$B$6</f>
        <v>0</v>
      </c>
      <c r="AV131" s="7" t="n">
        <f aca="false">SUMIFS(Doors!BH:BH,Doors!$A:$A,$D131,Doors!$B:$B,$B131,Doors!$C:$C,$C131)*SUMIFS(Velocity!$I:$I,Velocity!$A:$A,$A131,Velocity!$B:$B,$C131)/Assumptions!$B$4*Assumptions!$B$6</f>
        <v>0</v>
      </c>
      <c r="AW131" s="7" t="n">
        <f aca="false">SUMIFS(Doors!BI:BI,Doors!$A:$A,$D131,Doors!$B:$B,$B131,Doors!$C:$C,$C131)*SUMIFS(Velocity!$I:$I,Velocity!$A:$A,$A131,Velocity!$B:$B,$C131)/Assumptions!$B$4*Assumptions!$B$6</f>
        <v>0</v>
      </c>
      <c r="AX131" s="7" t="n">
        <f aca="false">SUMIFS(Doors!BJ:BJ,Doors!$A:$A,$D131,Doors!$B:$B,$B131,Doors!$C:$C,$C131)*SUMIFS(Velocity!$I:$I,Velocity!$A:$A,$A131,Velocity!$B:$B,$C131)/Assumptions!$B$4*Assumptions!$B$6</f>
        <v>0</v>
      </c>
      <c r="AY131" s="7" t="n">
        <f aca="false">SUMIFS(Doors!BK:BK,Doors!$A:$A,$D131,Doors!$B:$B,$B131,Doors!$C:$C,$C131)*SUMIFS(Velocity!$I:$I,Velocity!$A:$A,$A131,Velocity!$B:$B,$C131)/Assumptions!$B$4*Assumptions!$B$6</f>
        <v>0</v>
      </c>
      <c r="AZ131" s="7" t="n">
        <f aca="false">SUMIFS(Doors!BL:BL,Doors!$A:$A,$D131,Doors!$B:$B,$B131,Doors!$C:$C,$C131)*SUMIFS(Velocity!$I:$I,Velocity!$A:$A,$A131,Velocity!$B:$B,$C131)/Assumptions!$B$4*Assumptions!$B$6</f>
        <v>0</v>
      </c>
      <c r="BA131" s="7" t="n">
        <f aca="false">SUMIFS(Doors!BM:BM,Doors!$A:$A,$D131,Doors!$B:$B,$B131,Doors!$C:$C,$C131)*SUMIFS(Velocity!$I:$I,Velocity!$A:$A,$A131,Velocity!$B:$B,$C131)/Assumptions!$B$4*Assumptions!$B$6</f>
        <v>0</v>
      </c>
      <c r="BB131" s="7" t="n">
        <f aca="false">SUMIFS(Doors!BN:BN,Doors!$A:$A,$D131,Doors!$B:$B,$B131,Doors!$C:$C,$C131)*SUMIFS(Velocity!$I:$I,Velocity!$A:$A,$A131,Velocity!$B:$B,$C131)/Assumptions!$B$4*Assumptions!$B$6</f>
        <v>0</v>
      </c>
      <c r="BC131" s="7" t="n">
        <f aca="false">SUMIFS(Doors!BO:BO,Doors!$A:$A,$D131,Doors!$B:$B,$B131,Doors!$C:$C,$C131)*SUMIFS(Velocity!$I:$I,Velocity!$A:$A,$A131,Velocity!$B:$B,$C131)/Assumptions!$B$4*Assumptions!$B$6</f>
        <v>0</v>
      </c>
      <c r="BD131" s="7" t="n">
        <f aca="false">SUMIFS(Doors!BP:BP,Doors!$A:$A,$D131,Doors!$B:$B,$B131,Doors!$C:$C,$C131)*SUMIFS(Velocity!$I:$I,Velocity!$A:$A,$A131,Velocity!$B:$B,$C131)/Assumptions!$B$4*Assumptions!$B$6</f>
        <v>0</v>
      </c>
    </row>
    <row r="132" customFormat="false" ht="15" hidden="false" customHeight="false" outlineLevel="0" collapsed="false">
      <c r="A132" s="0" t="s">
        <v>109</v>
      </c>
      <c r="B132" s="0" t="s">
        <v>130</v>
      </c>
      <c r="C132" s="0" t="s">
        <v>115</v>
      </c>
      <c r="D132" s="0" t="s">
        <v>235</v>
      </c>
      <c r="E132" s="7" t="n">
        <f aca="false">SUMIFS(Doors!Q:Q,Doors!$A:$A,$D132,Doors!$B:$B,$B132,Doors!$C:$C,$C132)*SUMIFS(Velocity!$I:$I,Velocity!$A:$A,$A132,Velocity!$B:$B,$C132)/Assumptions!$B$4*Assumptions!$B$6</f>
        <v>2.79166666666667</v>
      </c>
      <c r="F132" s="7" t="n">
        <f aca="false">SUMIFS(Doors!R:R,Doors!$A:$A,$D132,Doors!$B:$B,$B132,Doors!$C:$C,$C132)*SUMIFS(Velocity!$I:$I,Velocity!$A:$A,$A132,Velocity!$B:$B,$C132)/Assumptions!$B$4*Assumptions!$B$6</f>
        <v>2.79166666666667</v>
      </c>
      <c r="G132" s="7" t="n">
        <f aca="false">SUMIFS(Doors!S:S,Doors!$A:$A,$D132,Doors!$B:$B,$B132,Doors!$C:$C,$C132)*SUMIFS(Velocity!$I:$I,Velocity!$A:$A,$A132,Velocity!$B:$B,$C132)/Assumptions!$B$4*Assumptions!$B$6</f>
        <v>2.79166666666667</v>
      </c>
      <c r="H132" s="7" t="n">
        <f aca="false">SUMIFS(Doors!T:T,Doors!$A:$A,$D132,Doors!$B:$B,$B132,Doors!$C:$C,$C132)*SUMIFS(Velocity!$I:$I,Velocity!$A:$A,$A132,Velocity!$B:$B,$C132)/Assumptions!$B$4*Assumptions!$B$6</f>
        <v>2.79166666666667</v>
      </c>
      <c r="I132" s="7" t="n">
        <f aca="false">SUMIFS(Doors!U:U,Doors!$A:$A,$D132,Doors!$B:$B,$B132,Doors!$C:$C,$C132)*SUMIFS(Velocity!$I:$I,Velocity!$A:$A,$A132,Velocity!$B:$B,$C132)/Assumptions!$B$4*Assumptions!$B$6</f>
        <v>2.79166666666667</v>
      </c>
      <c r="J132" s="7" t="n">
        <f aca="false">SUMIFS(Doors!V:V,Doors!$A:$A,$D132,Doors!$B:$B,$B132,Doors!$C:$C,$C132)*SUMIFS(Velocity!$I:$I,Velocity!$A:$A,$A132,Velocity!$B:$B,$C132)/Assumptions!$B$4*Assumptions!$B$6</f>
        <v>5.025</v>
      </c>
      <c r="K132" s="7" t="n">
        <f aca="false">SUMIFS(Doors!W:W,Doors!$A:$A,$D132,Doors!$B:$B,$B132,Doors!$C:$C,$C132)*SUMIFS(Velocity!$I:$I,Velocity!$A:$A,$A132,Velocity!$B:$B,$C132)/Assumptions!$B$4*Assumptions!$B$6</f>
        <v>5.025</v>
      </c>
      <c r="L132" s="7" t="n">
        <f aca="false">SUMIFS(Doors!X:X,Doors!$A:$A,$D132,Doors!$B:$B,$B132,Doors!$C:$C,$C132)*SUMIFS(Velocity!$I:$I,Velocity!$A:$A,$A132,Velocity!$B:$B,$C132)/Assumptions!$B$4*Assumptions!$B$6</f>
        <v>5.025</v>
      </c>
      <c r="M132" s="7" t="n">
        <f aca="false">SUMIFS(Doors!Y:Y,Doors!$A:$A,$D132,Doors!$B:$B,$B132,Doors!$C:$C,$C132)*SUMIFS(Velocity!$I:$I,Velocity!$A:$A,$A132,Velocity!$B:$B,$C132)/Assumptions!$B$4*Assumptions!$B$6</f>
        <v>5.025</v>
      </c>
      <c r="N132" s="7" t="n">
        <f aca="false">SUMIFS(Doors!Z:Z,Doors!$A:$A,$D132,Doors!$B:$B,$B132,Doors!$C:$C,$C132)*SUMIFS(Velocity!$I:$I,Velocity!$A:$A,$A132,Velocity!$B:$B,$C132)/Assumptions!$B$4*Assumptions!$B$6</f>
        <v>7.81666666666667</v>
      </c>
      <c r="O132" s="7" t="n">
        <f aca="false">SUMIFS(Doors!AA:AA,Doors!$A:$A,$D132,Doors!$B:$B,$B132,Doors!$C:$C,$C132)*SUMIFS(Velocity!$I:$I,Velocity!$A:$A,$A132,Velocity!$B:$B,$C132)/Assumptions!$B$4*Assumptions!$B$6</f>
        <v>7.81666666666667</v>
      </c>
      <c r="P132" s="7" t="n">
        <f aca="false">SUMIFS(Doors!AB:AB,Doors!$A:$A,$D132,Doors!$B:$B,$B132,Doors!$C:$C,$C132)*SUMIFS(Velocity!$I:$I,Velocity!$A:$A,$A132,Velocity!$B:$B,$C132)/Assumptions!$B$4*Assumptions!$B$6</f>
        <v>7.81666666666667</v>
      </c>
      <c r="Q132" s="7" t="n">
        <f aca="false">SUMIFS(Doors!AC:AC,Doors!$A:$A,$D132,Doors!$B:$B,$B132,Doors!$C:$C,$C132)*SUMIFS(Velocity!$I:$I,Velocity!$A:$A,$A132,Velocity!$B:$B,$C132)/Assumptions!$B$4*Assumptions!$B$6</f>
        <v>7.81666666666667</v>
      </c>
      <c r="R132" s="7" t="n">
        <f aca="false">SUMIFS(Doors!AD:AD,Doors!$A:$A,$D132,Doors!$B:$B,$B132,Doors!$C:$C,$C132)*SUMIFS(Velocity!$I:$I,Velocity!$A:$A,$A132,Velocity!$B:$B,$C132)/Assumptions!$B$4*Assumptions!$B$6</f>
        <v>11.1666666666667</v>
      </c>
      <c r="S132" s="7" t="n">
        <f aca="false">SUMIFS(Doors!AE:AE,Doors!$A:$A,$D132,Doors!$B:$B,$B132,Doors!$C:$C,$C132)*SUMIFS(Velocity!$I:$I,Velocity!$A:$A,$A132,Velocity!$B:$B,$C132)/Assumptions!$B$4*Assumptions!$B$6</f>
        <v>11.1666666666667</v>
      </c>
      <c r="T132" s="7" t="n">
        <f aca="false">SUMIFS(Doors!AF:AF,Doors!$A:$A,$D132,Doors!$B:$B,$B132,Doors!$C:$C,$C132)*SUMIFS(Velocity!$I:$I,Velocity!$A:$A,$A132,Velocity!$B:$B,$C132)/Assumptions!$B$4*Assumptions!$B$6</f>
        <v>11.1666666666667</v>
      </c>
      <c r="U132" s="7" t="n">
        <f aca="false">SUMIFS(Doors!AG:AG,Doors!$A:$A,$D132,Doors!$B:$B,$B132,Doors!$C:$C,$C132)*SUMIFS(Velocity!$I:$I,Velocity!$A:$A,$A132,Velocity!$B:$B,$C132)/Assumptions!$B$4*Assumptions!$B$6</f>
        <v>11.1666666666667</v>
      </c>
      <c r="V132" s="7" t="n">
        <f aca="false">SUMIFS(Doors!AH:AH,Doors!$A:$A,$D132,Doors!$B:$B,$B132,Doors!$C:$C,$C132)*SUMIFS(Velocity!$I:$I,Velocity!$A:$A,$A132,Velocity!$B:$B,$C132)/Assumptions!$B$4*Assumptions!$B$6</f>
        <v>11.1666666666667</v>
      </c>
      <c r="W132" s="7" t="n">
        <f aca="false">SUMIFS(Doors!AI:AI,Doors!$A:$A,$D132,Doors!$B:$B,$B132,Doors!$C:$C,$C132)*SUMIFS(Velocity!$I:$I,Velocity!$A:$A,$A132,Velocity!$B:$B,$C132)/Assumptions!$B$4*Assumptions!$B$6</f>
        <v>15.3541666666667</v>
      </c>
      <c r="X132" s="7" t="n">
        <f aca="false">SUMIFS(Doors!AJ:AJ,Doors!$A:$A,$D132,Doors!$B:$B,$B132,Doors!$C:$C,$C132)*SUMIFS(Velocity!$I:$I,Velocity!$A:$A,$A132,Velocity!$B:$B,$C132)/Assumptions!$B$4*Assumptions!$B$6</f>
        <v>15.3541666666667</v>
      </c>
      <c r="Y132" s="7" t="n">
        <f aca="false">SUMIFS(Doors!AK:AK,Doors!$A:$A,$D132,Doors!$B:$B,$B132,Doors!$C:$C,$C132)*SUMIFS(Velocity!$I:$I,Velocity!$A:$A,$A132,Velocity!$B:$B,$C132)/Assumptions!$B$4*Assumptions!$B$6</f>
        <v>15.3541666666667</v>
      </c>
      <c r="Z132" s="7" t="n">
        <f aca="false">SUMIFS(Doors!AL:AL,Doors!$A:$A,$D132,Doors!$B:$B,$B132,Doors!$C:$C,$C132)*SUMIFS(Velocity!$I:$I,Velocity!$A:$A,$A132,Velocity!$B:$B,$C132)/Assumptions!$B$4*Assumptions!$B$6</f>
        <v>15.3541666666667</v>
      </c>
      <c r="AA132" s="7" t="n">
        <f aca="false">SUMIFS(Doors!AM:AM,Doors!$A:$A,$D132,Doors!$B:$B,$B132,Doors!$C:$C,$C132)*SUMIFS(Velocity!$I:$I,Velocity!$A:$A,$A132,Velocity!$B:$B,$C132)/Assumptions!$B$4*Assumptions!$B$6</f>
        <v>20.9375</v>
      </c>
      <c r="AB132" s="7" t="n">
        <f aca="false">SUMIFS(Doors!AN:AN,Doors!$A:$A,$D132,Doors!$B:$B,$B132,Doors!$C:$C,$C132)*SUMIFS(Velocity!$I:$I,Velocity!$A:$A,$A132,Velocity!$B:$B,$C132)/Assumptions!$B$4*Assumptions!$B$6</f>
        <v>20.9375</v>
      </c>
      <c r="AC132" s="7" t="n">
        <f aca="false">SUMIFS(Doors!AO:AO,Doors!$A:$A,$D132,Doors!$B:$B,$B132,Doors!$C:$C,$C132)*SUMIFS(Velocity!$I:$I,Velocity!$A:$A,$A132,Velocity!$B:$B,$C132)/Assumptions!$B$4*Assumptions!$B$6</f>
        <v>20.9375</v>
      </c>
      <c r="AD132" s="7" t="n">
        <f aca="false">SUMIFS(Doors!AP:AP,Doors!$A:$A,$D132,Doors!$B:$B,$B132,Doors!$C:$C,$C132)*SUMIFS(Velocity!$I:$I,Velocity!$A:$A,$A132,Velocity!$B:$B,$C132)/Assumptions!$B$4*Assumptions!$B$6</f>
        <v>20.9375</v>
      </c>
      <c r="AE132" s="7" t="n">
        <f aca="false">SUMIFS(Doors!AQ:AQ,Doors!$A:$A,$D132,Doors!$B:$B,$B132,Doors!$C:$C,$C132)*SUMIFS(Velocity!$I:$I,Velocity!$A:$A,$A132,Velocity!$B:$B,$C132)/Assumptions!$B$4*Assumptions!$B$6</f>
        <v>26.5208333333333</v>
      </c>
      <c r="AF132" s="7" t="n">
        <f aca="false">SUMIFS(Doors!AR:AR,Doors!$A:$A,$D132,Doors!$B:$B,$B132,Doors!$C:$C,$C132)*SUMIFS(Velocity!$I:$I,Velocity!$A:$A,$A132,Velocity!$B:$B,$C132)/Assumptions!$B$4*Assumptions!$B$6</f>
        <v>26.5208333333333</v>
      </c>
      <c r="AG132" s="7" t="n">
        <f aca="false">SUMIFS(Doors!AS:AS,Doors!$A:$A,$D132,Doors!$B:$B,$B132,Doors!$C:$C,$C132)*SUMIFS(Velocity!$I:$I,Velocity!$A:$A,$A132,Velocity!$B:$B,$C132)/Assumptions!$B$4*Assumptions!$B$6</f>
        <v>26.5208333333333</v>
      </c>
      <c r="AH132" s="7" t="n">
        <f aca="false">SUMIFS(Doors!AT:AT,Doors!$A:$A,$D132,Doors!$B:$B,$B132,Doors!$C:$C,$C132)*SUMIFS(Velocity!$I:$I,Velocity!$A:$A,$A132,Velocity!$B:$B,$C132)/Assumptions!$B$4*Assumptions!$B$6</f>
        <v>26.5208333333333</v>
      </c>
      <c r="AI132" s="7" t="n">
        <f aca="false">SUMIFS(Doors!AU:AU,Doors!$A:$A,$D132,Doors!$B:$B,$B132,Doors!$C:$C,$C132)*SUMIFS(Velocity!$I:$I,Velocity!$A:$A,$A132,Velocity!$B:$B,$C132)/Assumptions!$B$4*Assumptions!$B$6</f>
        <v>26.5208333333333</v>
      </c>
      <c r="AJ132" s="7" t="n">
        <f aca="false">SUMIFS(Doors!AV:AV,Doors!$A:$A,$D132,Doors!$B:$B,$B132,Doors!$C:$C,$C132)*SUMIFS(Velocity!$I:$I,Velocity!$A:$A,$A132,Velocity!$B:$B,$C132)/Assumptions!$B$4*Assumptions!$B$6</f>
        <v>30.7083333333333</v>
      </c>
      <c r="AK132" s="7" t="n">
        <f aca="false">SUMIFS(Doors!AW:AW,Doors!$A:$A,$D132,Doors!$B:$B,$B132,Doors!$C:$C,$C132)*SUMIFS(Velocity!$I:$I,Velocity!$A:$A,$A132,Velocity!$B:$B,$C132)/Assumptions!$B$4*Assumptions!$B$6</f>
        <v>30.7083333333333</v>
      </c>
      <c r="AL132" s="7" t="n">
        <f aca="false">SUMIFS(Doors!AX:AX,Doors!$A:$A,$D132,Doors!$B:$B,$B132,Doors!$C:$C,$C132)*SUMIFS(Velocity!$I:$I,Velocity!$A:$A,$A132,Velocity!$B:$B,$C132)/Assumptions!$B$4*Assumptions!$B$6</f>
        <v>30.7083333333333</v>
      </c>
      <c r="AM132" s="7" t="n">
        <f aca="false">SUMIFS(Doors!AY:AY,Doors!$A:$A,$D132,Doors!$B:$B,$B132,Doors!$C:$C,$C132)*SUMIFS(Velocity!$I:$I,Velocity!$A:$A,$A132,Velocity!$B:$B,$C132)/Assumptions!$B$4*Assumptions!$B$6</f>
        <v>30.7083333333333</v>
      </c>
      <c r="AN132" s="7" t="n">
        <f aca="false">SUMIFS(Doors!AZ:AZ,Doors!$A:$A,$D132,Doors!$B:$B,$B132,Doors!$C:$C,$C132)*SUMIFS(Velocity!$I:$I,Velocity!$A:$A,$A132,Velocity!$B:$B,$C132)/Assumptions!$B$4*Assumptions!$B$6</f>
        <v>34.8958333333333</v>
      </c>
      <c r="AO132" s="7" t="n">
        <f aca="false">SUMIFS(Doors!BA:BA,Doors!$A:$A,$D132,Doors!$B:$B,$B132,Doors!$C:$C,$C132)*SUMIFS(Velocity!$I:$I,Velocity!$A:$A,$A132,Velocity!$B:$B,$C132)/Assumptions!$B$4*Assumptions!$B$6</f>
        <v>34.8958333333333</v>
      </c>
      <c r="AP132" s="7" t="n">
        <f aca="false">SUMIFS(Doors!BB:BB,Doors!$A:$A,$D132,Doors!$B:$B,$B132,Doors!$C:$C,$C132)*SUMIFS(Velocity!$I:$I,Velocity!$A:$A,$A132,Velocity!$B:$B,$C132)/Assumptions!$B$4*Assumptions!$B$6</f>
        <v>34.8958333333333</v>
      </c>
      <c r="AQ132" s="7" t="n">
        <f aca="false">SUMIFS(Doors!BC:BC,Doors!$A:$A,$D132,Doors!$B:$B,$B132,Doors!$C:$C,$C132)*SUMIFS(Velocity!$I:$I,Velocity!$A:$A,$A132,Velocity!$B:$B,$C132)/Assumptions!$B$4*Assumptions!$B$6</f>
        <v>34.8958333333333</v>
      </c>
      <c r="AR132" s="7" t="n">
        <f aca="false">SUMIFS(Doors!BD:BD,Doors!$A:$A,$D132,Doors!$B:$B,$B132,Doors!$C:$C,$C132)*SUMIFS(Velocity!$I:$I,Velocity!$A:$A,$A132,Velocity!$B:$B,$C132)/Assumptions!$B$4*Assumptions!$B$6</f>
        <v>37.6875</v>
      </c>
      <c r="AS132" s="7" t="n">
        <f aca="false">SUMIFS(Doors!BE:BE,Doors!$A:$A,$D132,Doors!$B:$B,$B132,Doors!$C:$C,$C132)*SUMIFS(Velocity!$I:$I,Velocity!$A:$A,$A132,Velocity!$B:$B,$C132)/Assumptions!$B$4*Assumptions!$B$6</f>
        <v>37.6875</v>
      </c>
      <c r="AT132" s="7" t="n">
        <f aca="false">SUMIFS(Doors!BF:BF,Doors!$A:$A,$D132,Doors!$B:$B,$B132,Doors!$C:$C,$C132)*SUMIFS(Velocity!$I:$I,Velocity!$A:$A,$A132,Velocity!$B:$B,$C132)/Assumptions!$B$4*Assumptions!$B$6</f>
        <v>37.6875</v>
      </c>
      <c r="AU132" s="7" t="n">
        <f aca="false">SUMIFS(Doors!BG:BG,Doors!$A:$A,$D132,Doors!$B:$B,$B132,Doors!$C:$C,$C132)*SUMIFS(Velocity!$I:$I,Velocity!$A:$A,$A132,Velocity!$B:$B,$C132)/Assumptions!$B$4*Assumptions!$B$6</f>
        <v>37.6875</v>
      </c>
      <c r="AV132" s="7" t="n">
        <f aca="false">SUMIFS(Doors!BH:BH,Doors!$A:$A,$D132,Doors!$B:$B,$B132,Doors!$C:$C,$C132)*SUMIFS(Velocity!$I:$I,Velocity!$A:$A,$A132,Velocity!$B:$B,$C132)/Assumptions!$B$4*Assumptions!$B$6</f>
        <v>37.6875</v>
      </c>
      <c r="AW132" s="7" t="n">
        <f aca="false">SUMIFS(Doors!BI:BI,Doors!$A:$A,$D132,Doors!$B:$B,$B132,Doors!$C:$C,$C132)*SUMIFS(Velocity!$I:$I,Velocity!$A:$A,$A132,Velocity!$B:$B,$C132)/Assumptions!$B$4*Assumptions!$B$6</f>
        <v>40.4791666666667</v>
      </c>
      <c r="AX132" s="7" t="n">
        <f aca="false">SUMIFS(Doors!BJ:BJ,Doors!$A:$A,$D132,Doors!$B:$B,$B132,Doors!$C:$C,$C132)*SUMIFS(Velocity!$I:$I,Velocity!$A:$A,$A132,Velocity!$B:$B,$C132)/Assumptions!$B$4*Assumptions!$B$6</f>
        <v>40.4791666666667</v>
      </c>
      <c r="AY132" s="7" t="n">
        <f aca="false">SUMIFS(Doors!BK:BK,Doors!$A:$A,$D132,Doors!$B:$B,$B132,Doors!$C:$C,$C132)*SUMIFS(Velocity!$I:$I,Velocity!$A:$A,$A132,Velocity!$B:$B,$C132)/Assumptions!$B$4*Assumptions!$B$6</f>
        <v>40.4791666666667</v>
      </c>
      <c r="AZ132" s="7" t="n">
        <f aca="false">SUMIFS(Doors!BL:BL,Doors!$A:$A,$D132,Doors!$B:$B,$B132,Doors!$C:$C,$C132)*SUMIFS(Velocity!$I:$I,Velocity!$A:$A,$A132,Velocity!$B:$B,$C132)/Assumptions!$B$4*Assumptions!$B$6</f>
        <v>40.4791666666667</v>
      </c>
      <c r="BA132" s="7" t="n">
        <f aca="false">SUMIFS(Doors!BM:BM,Doors!$A:$A,$D132,Doors!$B:$B,$B132,Doors!$C:$C,$C132)*SUMIFS(Velocity!$I:$I,Velocity!$A:$A,$A132,Velocity!$B:$B,$C132)/Assumptions!$B$4*Assumptions!$B$6</f>
        <v>41.875</v>
      </c>
      <c r="BB132" s="7" t="n">
        <f aca="false">SUMIFS(Doors!BN:BN,Doors!$A:$A,$D132,Doors!$B:$B,$B132,Doors!$C:$C,$C132)*SUMIFS(Velocity!$I:$I,Velocity!$A:$A,$A132,Velocity!$B:$B,$C132)/Assumptions!$B$4*Assumptions!$B$6</f>
        <v>41.875</v>
      </c>
      <c r="BC132" s="7" t="n">
        <f aca="false">SUMIFS(Doors!BO:BO,Doors!$A:$A,$D132,Doors!$B:$B,$B132,Doors!$C:$C,$C132)*SUMIFS(Velocity!$I:$I,Velocity!$A:$A,$A132,Velocity!$B:$B,$C132)/Assumptions!$B$4*Assumptions!$B$6</f>
        <v>41.875</v>
      </c>
      <c r="BD132" s="7" t="n">
        <f aca="false">SUMIFS(Doors!BP:BP,Doors!$A:$A,$D132,Doors!$B:$B,$B132,Doors!$C:$C,$C132)*SUMIFS(Velocity!$I:$I,Velocity!$A:$A,$A132,Velocity!$B:$B,$C132)/Assumptions!$B$4*Assumptions!$B$6</f>
        <v>41.875</v>
      </c>
    </row>
    <row r="133" customFormat="false" ht="15" hidden="false" customHeight="false" outlineLevel="0" collapsed="false">
      <c r="A133" s="0" t="s">
        <v>109</v>
      </c>
      <c r="B133" s="0" t="s">
        <v>130</v>
      </c>
      <c r="C133" s="0" t="s">
        <v>116</v>
      </c>
      <c r="D133" s="0" t="s">
        <v>235</v>
      </c>
      <c r="E133" s="7" t="n">
        <f aca="false">SUMIFS(Doors!Q:Q,Doors!$A:$A,$D133,Doors!$B:$B,$B133,Doors!$C:$C,$C133)*SUMIFS(Velocity!$I:$I,Velocity!$A:$A,$A133,Velocity!$B:$B,$C133)/Assumptions!$B$4*Assumptions!$B$6</f>
        <v>1.35416666666667</v>
      </c>
      <c r="F133" s="7" t="n">
        <f aca="false">SUMIFS(Doors!R:R,Doors!$A:$A,$D133,Doors!$B:$B,$B133,Doors!$C:$C,$C133)*SUMIFS(Velocity!$I:$I,Velocity!$A:$A,$A133,Velocity!$B:$B,$C133)/Assumptions!$B$4*Assumptions!$B$6</f>
        <v>1.35416666666667</v>
      </c>
      <c r="G133" s="7" t="n">
        <f aca="false">SUMIFS(Doors!S:S,Doors!$A:$A,$D133,Doors!$B:$B,$B133,Doors!$C:$C,$C133)*SUMIFS(Velocity!$I:$I,Velocity!$A:$A,$A133,Velocity!$B:$B,$C133)/Assumptions!$B$4*Assumptions!$B$6</f>
        <v>1.35416666666667</v>
      </c>
      <c r="H133" s="7" t="n">
        <f aca="false">SUMIFS(Doors!T:T,Doors!$A:$A,$D133,Doors!$B:$B,$B133,Doors!$C:$C,$C133)*SUMIFS(Velocity!$I:$I,Velocity!$A:$A,$A133,Velocity!$B:$B,$C133)/Assumptions!$B$4*Assumptions!$B$6</f>
        <v>1.35416666666667</v>
      </c>
      <c r="I133" s="7" t="n">
        <f aca="false">SUMIFS(Doors!U:U,Doors!$A:$A,$D133,Doors!$B:$B,$B133,Doors!$C:$C,$C133)*SUMIFS(Velocity!$I:$I,Velocity!$A:$A,$A133,Velocity!$B:$B,$C133)/Assumptions!$B$4*Assumptions!$B$6</f>
        <v>1.35416666666667</v>
      </c>
      <c r="J133" s="7" t="n">
        <f aca="false">SUMIFS(Doors!V:V,Doors!$A:$A,$D133,Doors!$B:$B,$B133,Doors!$C:$C,$C133)*SUMIFS(Velocity!$I:$I,Velocity!$A:$A,$A133,Velocity!$B:$B,$C133)/Assumptions!$B$4*Assumptions!$B$6</f>
        <v>2.16666666666667</v>
      </c>
      <c r="K133" s="7" t="n">
        <f aca="false">SUMIFS(Doors!W:W,Doors!$A:$A,$D133,Doors!$B:$B,$B133,Doors!$C:$C,$C133)*SUMIFS(Velocity!$I:$I,Velocity!$A:$A,$A133,Velocity!$B:$B,$C133)/Assumptions!$B$4*Assumptions!$B$6</f>
        <v>2.16666666666667</v>
      </c>
      <c r="L133" s="7" t="n">
        <f aca="false">SUMIFS(Doors!X:X,Doors!$A:$A,$D133,Doors!$B:$B,$B133,Doors!$C:$C,$C133)*SUMIFS(Velocity!$I:$I,Velocity!$A:$A,$A133,Velocity!$B:$B,$C133)/Assumptions!$B$4*Assumptions!$B$6</f>
        <v>2.16666666666667</v>
      </c>
      <c r="M133" s="7" t="n">
        <f aca="false">SUMIFS(Doors!Y:Y,Doors!$A:$A,$D133,Doors!$B:$B,$B133,Doors!$C:$C,$C133)*SUMIFS(Velocity!$I:$I,Velocity!$A:$A,$A133,Velocity!$B:$B,$C133)/Assumptions!$B$4*Assumptions!$B$6</f>
        <v>2.16666666666667</v>
      </c>
      <c r="N133" s="7" t="n">
        <f aca="false">SUMIFS(Doors!Z:Z,Doors!$A:$A,$D133,Doors!$B:$B,$B133,Doors!$C:$C,$C133)*SUMIFS(Velocity!$I:$I,Velocity!$A:$A,$A133,Velocity!$B:$B,$C133)/Assumptions!$B$4*Assumptions!$B$6</f>
        <v>3.25</v>
      </c>
      <c r="O133" s="7" t="n">
        <f aca="false">SUMIFS(Doors!AA:AA,Doors!$A:$A,$D133,Doors!$B:$B,$B133,Doors!$C:$C,$C133)*SUMIFS(Velocity!$I:$I,Velocity!$A:$A,$A133,Velocity!$B:$B,$C133)/Assumptions!$B$4*Assumptions!$B$6</f>
        <v>3.25</v>
      </c>
      <c r="P133" s="7" t="n">
        <f aca="false">SUMIFS(Doors!AB:AB,Doors!$A:$A,$D133,Doors!$B:$B,$B133,Doors!$C:$C,$C133)*SUMIFS(Velocity!$I:$I,Velocity!$A:$A,$A133,Velocity!$B:$B,$C133)/Assumptions!$B$4*Assumptions!$B$6</f>
        <v>3.25</v>
      </c>
      <c r="Q133" s="7" t="n">
        <f aca="false">SUMIFS(Doors!AC:AC,Doors!$A:$A,$D133,Doors!$B:$B,$B133,Doors!$C:$C,$C133)*SUMIFS(Velocity!$I:$I,Velocity!$A:$A,$A133,Velocity!$B:$B,$C133)/Assumptions!$B$4*Assumptions!$B$6</f>
        <v>3.25</v>
      </c>
      <c r="R133" s="7" t="n">
        <f aca="false">SUMIFS(Doors!AD:AD,Doors!$A:$A,$D133,Doors!$B:$B,$B133,Doors!$C:$C,$C133)*SUMIFS(Velocity!$I:$I,Velocity!$A:$A,$A133,Velocity!$B:$B,$C133)/Assumptions!$B$4*Assumptions!$B$6</f>
        <v>4.60416666666667</v>
      </c>
      <c r="S133" s="7" t="n">
        <f aca="false">SUMIFS(Doors!AE:AE,Doors!$A:$A,$D133,Doors!$B:$B,$B133,Doors!$C:$C,$C133)*SUMIFS(Velocity!$I:$I,Velocity!$A:$A,$A133,Velocity!$B:$B,$C133)/Assumptions!$B$4*Assumptions!$B$6</f>
        <v>4.60416666666667</v>
      </c>
      <c r="T133" s="7" t="n">
        <f aca="false">SUMIFS(Doors!AF:AF,Doors!$A:$A,$D133,Doors!$B:$B,$B133,Doors!$C:$C,$C133)*SUMIFS(Velocity!$I:$I,Velocity!$A:$A,$A133,Velocity!$B:$B,$C133)/Assumptions!$B$4*Assumptions!$B$6</f>
        <v>4.60416666666667</v>
      </c>
      <c r="U133" s="7" t="n">
        <f aca="false">SUMIFS(Doors!AG:AG,Doors!$A:$A,$D133,Doors!$B:$B,$B133,Doors!$C:$C,$C133)*SUMIFS(Velocity!$I:$I,Velocity!$A:$A,$A133,Velocity!$B:$B,$C133)/Assumptions!$B$4*Assumptions!$B$6</f>
        <v>4.60416666666667</v>
      </c>
      <c r="V133" s="7" t="n">
        <f aca="false">SUMIFS(Doors!AH:AH,Doors!$A:$A,$D133,Doors!$B:$B,$B133,Doors!$C:$C,$C133)*SUMIFS(Velocity!$I:$I,Velocity!$A:$A,$A133,Velocity!$B:$B,$C133)/Assumptions!$B$4*Assumptions!$B$6</f>
        <v>4.60416666666667</v>
      </c>
      <c r="W133" s="7" t="n">
        <f aca="false">SUMIFS(Doors!AI:AI,Doors!$A:$A,$D133,Doors!$B:$B,$B133,Doors!$C:$C,$C133)*SUMIFS(Velocity!$I:$I,Velocity!$A:$A,$A133,Velocity!$B:$B,$C133)/Assumptions!$B$4*Assumptions!$B$6</f>
        <v>6.22916666666667</v>
      </c>
      <c r="X133" s="7" t="n">
        <f aca="false">SUMIFS(Doors!AJ:AJ,Doors!$A:$A,$D133,Doors!$B:$B,$B133,Doors!$C:$C,$C133)*SUMIFS(Velocity!$I:$I,Velocity!$A:$A,$A133,Velocity!$B:$B,$C133)/Assumptions!$B$4*Assumptions!$B$6</f>
        <v>6.22916666666667</v>
      </c>
      <c r="Y133" s="7" t="n">
        <f aca="false">SUMIFS(Doors!AK:AK,Doors!$A:$A,$D133,Doors!$B:$B,$B133,Doors!$C:$C,$C133)*SUMIFS(Velocity!$I:$I,Velocity!$A:$A,$A133,Velocity!$B:$B,$C133)/Assumptions!$B$4*Assumptions!$B$6</f>
        <v>6.22916666666667</v>
      </c>
      <c r="Z133" s="7" t="n">
        <f aca="false">SUMIFS(Doors!AL:AL,Doors!$A:$A,$D133,Doors!$B:$B,$B133,Doors!$C:$C,$C133)*SUMIFS(Velocity!$I:$I,Velocity!$A:$A,$A133,Velocity!$B:$B,$C133)/Assumptions!$B$4*Assumptions!$B$6</f>
        <v>6.22916666666667</v>
      </c>
      <c r="AA133" s="7" t="n">
        <f aca="false">SUMIFS(Doors!AM:AM,Doors!$A:$A,$D133,Doors!$B:$B,$B133,Doors!$C:$C,$C133)*SUMIFS(Velocity!$I:$I,Velocity!$A:$A,$A133,Velocity!$B:$B,$C133)/Assumptions!$B$4*Assumptions!$B$6</f>
        <v>7.58333333333333</v>
      </c>
      <c r="AB133" s="7" t="n">
        <f aca="false">SUMIFS(Doors!AN:AN,Doors!$A:$A,$D133,Doors!$B:$B,$B133,Doors!$C:$C,$C133)*SUMIFS(Velocity!$I:$I,Velocity!$A:$A,$A133,Velocity!$B:$B,$C133)/Assumptions!$B$4*Assumptions!$B$6</f>
        <v>7.58333333333333</v>
      </c>
      <c r="AC133" s="7" t="n">
        <f aca="false">SUMIFS(Doors!AO:AO,Doors!$A:$A,$D133,Doors!$B:$B,$B133,Doors!$C:$C,$C133)*SUMIFS(Velocity!$I:$I,Velocity!$A:$A,$A133,Velocity!$B:$B,$C133)/Assumptions!$B$4*Assumptions!$B$6</f>
        <v>7.58333333333333</v>
      </c>
      <c r="AD133" s="7" t="n">
        <f aca="false">SUMIFS(Doors!AP:AP,Doors!$A:$A,$D133,Doors!$B:$B,$B133,Doors!$C:$C,$C133)*SUMIFS(Velocity!$I:$I,Velocity!$A:$A,$A133,Velocity!$B:$B,$C133)/Assumptions!$B$4*Assumptions!$B$6</f>
        <v>7.58333333333333</v>
      </c>
      <c r="AE133" s="7" t="n">
        <f aca="false">SUMIFS(Doors!AQ:AQ,Doors!$A:$A,$D133,Doors!$B:$B,$B133,Doors!$C:$C,$C133)*SUMIFS(Velocity!$I:$I,Velocity!$A:$A,$A133,Velocity!$B:$B,$C133)/Assumptions!$B$4*Assumptions!$B$6</f>
        <v>8.9375</v>
      </c>
      <c r="AF133" s="7" t="n">
        <f aca="false">SUMIFS(Doors!AR:AR,Doors!$A:$A,$D133,Doors!$B:$B,$B133,Doors!$C:$C,$C133)*SUMIFS(Velocity!$I:$I,Velocity!$A:$A,$A133,Velocity!$B:$B,$C133)/Assumptions!$B$4*Assumptions!$B$6</f>
        <v>8.9375</v>
      </c>
      <c r="AG133" s="7" t="n">
        <f aca="false">SUMIFS(Doors!AS:AS,Doors!$A:$A,$D133,Doors!$B:$B,$B133,Doors!$C:$C,$C133)*SUMIFS(Velocity!$I:$I,Velocity!$A:$A,$A133,Velocity!$B:$B,$C133)/Assumptions!$B$4*Assumptions!$B$6</f>
        <v>8.9375</v>
      </c>
      <c r="AH133" s="7" t="n">
        <f aca="false">SUMIFS(Doors!AT:AT,Doors!$A:$A,$D133,Doors!$B:$B,$B133,Doors!$C:$C,$C133)*SUMIFS(Velocity!$I:$I,Velocity!$A:$A,$A133,Velocity!$B:$B,$C133)/Assumptions!$B$4*Assumptions!$B$6</f>
        <v>8.9375</v>
      </c>
      <c r="AI133" s="7" t="n">
        <f aca="false">SUMIFS(Doors!AU:AU,Doors!$A:$A,$D133,Doors!$B:$B,$B133,Doors!$C:$C,$C133)*SUMIFS(Velocity!$I:$I,Velocity!$A:$A,$A133,Velocity!$B:$B,$C133)/Assumptions!$B$4*Assumptions!$B$6</f>
        <v>8.9375</v>
      </c>
      <c r="AJ133" s="7" t="n">
        <f aca="false">SUMIFS(Doors!AV:AV,Doors!$A:$A,$D133,Doors!$B:$B,$B133,Doors!$C:$C,$C133)*SUMIFS(Velocity!$I:$I,Velocity!$A:$A,$A133,Velocity!$B:$B,$C133)/Assumptions!$B$4*Assumptions!$B$6</f>
        <v>10.2916666666667</v>
      </c>
      <c r="AK133" s="7" t="n">
        <f aca="false">SUMIFS(Doors!AW:AW,Doors!$A:$A,$D133,Doors!$B:$B,$B133,Doors!$C:$C,$C133)*SUMIFS(Velocity!$I:$I,Velocity!$A:$A,$A133,Velocity!$B:$B,$C133)/Assumptions!$B$4*Assumptions!$B$6</f>
        <v>10.2916666666667</v>
      </c>
      <c r="AL133" s="7" t="n">
        <f aca="false">SUMIFS(Doors!AX:AX,Doors!$A:$A,$D133,Doors!$B:$B,$B133,Doors!$C:$C,$C133)*SUMIFS(Velocity!$I:$I,Velocity!$A:$A,$A133,Velocity!$B:$B,$C133)/Assumptions!$B$4*Assumptions!$B$6</f>
        <v>10.2916666666667</v>
      </c>
      <c r="AM133" s="7" t="n">
        <f aca="false">SUMIFS(Doors!AY:AY,Doors!$A:$A,$D133,Doors!$B:$B,$B133,Doors!$C:$C,$C133)*SUMIFS(Velocity!$I:$I,Velocity!$A:$A,$A133,Velocity!$B:$B,$C133)/Assumptions!$B$4*Assumptions!$B$6</f>
        <v>10.2916666666667</v>
      </c>
      <c r="AN133" s="7" t="n">
        <f aca="false">SUMIFS(Doors!AZ:AZ,Doors!$A:$A,$D133,Doors!$B:$B,$B133,Doors!$C:$C,$C133)*SUMIFS(Velocity!$I:$I,Velocity!$A:$A,$A133,Velocity!$B:$B,$C133)/Assumptions!$B$4*Assumptions!$B$6</f>
        <v>11.375</v>
      </c>
      <c r="AO133" s="7" t="n">
        <f aca="false">SUMIFS(Doors!BA:BA,Doors!$A:$A,$D133,Doors!$B:$B,$B133,Doors!$C:$C,$C133)*SUMIFS(Velocity!$I:$I,Velocity!$A:$A,$A133,Velocity!$B:$B,$C133)/Assumptions!$B$4*Assumptions!$B$6</f>
        <v>11.375</v>
      </c>
      <c r="AP133" s="7" t="n">
        <f aca="false">SUMIFS(Doors!BB:BB,Doors!$A:$A,$D133,Doors!$B:$B,$B133,Doors!$C:$C,$C133)*SUMIFS(Velocity!$I:$I,Velocity!$A:$A,$A133,Velocity!$B:$B,$C133)/Assumptions!$B$4*Assumptions!$B$6</f>
        <v>11.375</v>
      </c>
      <c r="AQ133" s="7" t="n">
        <f aca="false">SUMIFS(Doors!BC:BC,Doors!$A:$A,$D133,Doors!$B:$B,$B133,Doors!$C:$C,$C133)*SUMIFS(Velocity!$I:$I,Velocity!$A:$A,$A133,Velocity!$B:$B,$C133)/Assumptions!$B$4*Assumptions!$B$6</f>
        <v>11.375</v>
      </c>
      <c r="AR133" s="7" t="n">
        <f aca="false">SUMIFS(Doors!BD:BD,Doors!$A:$A,$D133,Doors!$B:$B,$B133,Doors!$C:$C,$C133)*SUMIFS(Velocity!$I:$I,Velocity!$A:$A,$A133,Velocity!$B:$B,$C133)/Assumptions!$B$4*Assumptions!$B$6</f>
        <v>12.1875</v>
      </c>
      <c r="AS133" s="7" t="n">
        <f aca="false">SUMIFS(Doors!BE:BE,Doors!$A:$A,$D133,Doors!$B:$B,$B133,Doors!$C:$C,$C133)*SUMIFS(Velocity!$I:$I,Velocity!$A:$A,$A133,Velocity!$B:$B,$C133)/Assumptions!$B$4*Assumptions!$B$6</f>
        <v>12.1875</v>
      </c>
      <c r="AT133" s="7" t="n">
        <f aca="false">SUMIFS(Doors!BF:BF,Doors!$A:$A,$D133,Doors!$B:$B,$B133,Doors!$C:$C,$C133)*SUMIFS(Velocity!$I:$I,Velocity!$A:$A,$A133,Velocity!$B:$B,$C133)/Assumptions!$B$4*Assumptions!$B$6</f>
        <v>12.1875</v>
      </c>
      <c r="AU133" s="7" t="n">
        <f aca="false">SUMIFS(Doors!BG:BG,Doors!$A:$A,$D133,Doors!$B:$B,$B133,Doors!$C:$C,$C133)*SUMIFS(Velocity!$I:$I,Velocity!$A:$A,$A133,Velocity!$B:$B,$C133)/Assumptions!$B$4*Assumptions!$B$6</f>
        <v>12.1875</v>
      </c>
      <c r="AV133" s="7" t="n">
        <f aca="false">SUMIFS(Doors!BH:BH,Doors!$A:$A,$D133,Doors!$B:$B,$B133,Doors!$C:$C,$C133)*SUMIFS(Velocity!$I:$I,Velocity!$A:$A,$A133,Velocity!$B:$B,$C133)/Assumptions!$B$4*Assumptions!$B$6</f>
        <v>12.1875</v>
      </c>
      <c r="AW133" s="7" t="n">
        <f aca="false">SUMIFS(Doors!BI:BI,Doors!$A:$A,$D133,Doors!$B:$B,$B133,Doors!$C:$C,$C133)*SUMIFS(Velocity!$I:$I,Velocity!$A:$A,$A133,Velocity!$B:$B,$C133)/Assumptions!$B$4*Assumptions!$B$6</f>
        <v>13</v>
      </c>
      <c r="AX133" s="7" t="n">
        <f aca="false">SUMIFS(Doors!BJ:BJ,Doors!$A:$A,$D133,Doors!$B:$B,$B133,Doors!$C:$C,$C133)*SUMIFS(Velocity!$I:$I,Velocity!$A:$A,$A133,Velocity!$B:$B,$C133)/Assumptions!$B$4*Assumptions!$B$6</f>
        <v>13</v>
      </c>
      <c r="AY133" s="7" t="n">
        <f aca="false">SUMIFS(Doors!BK:BK,Doors!$A:$A,$D133,Doors!$B:$B,$B133,Doors!$C:$C,$C133)*SUMIFS(Velocity!$I:$I,Velocity!$A:$A,$A133,Velocity!$B:$B,$C133)/Assumptions!$B$4*Assumptions!$B$6</f>
        <v>13</v>
      </c>
      <c r="AZ133" s="7" t="n">
        <f aca="false">SUMIFS(Doors!BL:BL,Doors!$A:$A,$D133,Doors!$B:$B,$B133,Doors!$C:$C,$C133)*SUMIFS(Velocity!$I:$I,Velocity!$A:$A,$A133,Velocity!$B:$B,$C133)/Assumptions!$B$4*Assumptions!$B$6</f>
        <v>13</v>
      </c>
      <c r="BA133" s="7" t="n">
        <f aca="false">SUMIFS(Doors!BM:BM,Doors!$A:$A,$D133,Doors!$B:$B,$B133,Doors!$C:$C,$C133)*SUMIFS(Velocity!$I:$I,Velocity!$A:$A,$A133,Velocity!$B:$B,$C133)/Assumptions!$B$4*Assumptions!$B$6</f>
        <v>13.5416666666667</v>
      </c>
      <c r="BB133" s="7" t="n">
        <f aca="false">SUMIFS(Doors!BN:BN,Doors!$A:$A,$D133,Doors!$B:$B,$B133,Doors!$C:$C,$C133)*SUMIFS(Velocity!$I:$I,Velocity!$A:$A,$A133,Velocity!$B:$B,$C133)/Assumptions!$B$4*Assumptions!$B$6</f>
        <v>13.5416666666667</v>
      </c>
      <c r="BC133" s="7" t="n">
        <f aca="false">SUMIFS(Doors!BO:BO,Doors!$A:$A,$D133,Doors!$B:$B,$B133,Doors!$C:$C,$C133)*SUMIFS(Velocity!$I:$I,Velocity!$A:$A,$A133,Velocity!$B:$B,$C133)/Assumptions!$B$4*Assumptions!$B$6</f>
        <v>13.5416666666667</v>
      </c>
      <c r="BD133" s="7" t="n">
        <f aca="false">SUMIFS(Doors!BP:BP,Doors!$A:$A,$D133,Doors!$B:$B,$B133,Doors!$C:$C,$C133)*SUMIFS(Velocity!$I:$I,Velocity!$A:$A,$A133,Velocity!$B:$B,$C133)/Assumptions!$B$4*Assumptions!$B$6</f>
        <v>13.5416666666667</v>
      </c>
    </row>
    <row r="134" customFormat="false" ht="15" hidden="false" customHeight="false" outlineLevel="0" collapsed="false">
      <c r="A134" s="0" t="s">
        <v>109</v>
      </c>
      <c r="B134" s="0" t="s">
        <v>130</v>
      </c>
      <c r="C134" s="0" t="s">
        <v>117</v>
      </c>
      <c r="D134" s="0" t="s">
        <v>235</v>
      </c>
      <c r="E134" s="7" t="n">
        <f aca="false">SUMIFS(Doors!Q:Q,Doors!$A:$A,$D134,Doors!$B:$B,$B134,Doors!$C:$C,$C134)*SUMIFS(Velocity!$I:$I,Velocity!$A:$A,$A134,Velocity!$B:$B,$C134)/Assumptions!$B$4*Assumptions!$B$6</f>
        <v>0</v>
      </c>
      <c r="F134" s="7" t="n">
        <f aca="false">SUMIFS(Doors!R:R,Doors!$A:$A,$D134,Doors!$B:$B,$B134,Doors!$C:$C,$C134)*SUMIFS(Velocity!$I:$I,Velocity!$A:$A,$A134,Velocity!$B:$B,$C134)/Assumptions!$B$4*Assumptions!$B$6</f>
        <v>0</v>
      </c>
      <c r="G134" s="7" t="n">
        <f aca="false">SUMIFS(Doors!S:S,Doors!$A:$A,$D134,Doors!$B:$B,$B134,Doors!$C:$C,$C134)*SUMIFS(Velocity!$I:$I,Velocity!$A:$A,$A134,Velocity!$B:$B,$C134)/Assumptions!$B$4*Assumptions!$B$6</f>
        <v>0</v>
      </c>
      <c r="H134" s="7" t="n">
        <f aca="false">SUMIFS(Doors!T:T,Doors!$A:$A,$D134,Doors!$B:$B,$B134,Doors!$C:$C,$C134)*SUMIFS(Velocity!$I:$I,Velocity!$A:$A,$A134,Velocity!$B:$B,$C134)/Assumptions!$B$4*Assumptions!$B$6</f>
        <v>0</v>
      </c>
      <c r="I134" s="7" t="n">
        <f aca="false">SUMIFS(Doors!U:U,Doors!$A:$A,$D134,Doors!$B:$B,$B134,Doors!$C:$C,$C134)*SUMIFS(Velocity!$I:$I,Velocity!$A:$A,$A134,Velocity!$B:$B,$C134)/Assumptions!$B$4*Assumptions!$B$6</f>
        <v>0</v>
      </c>
      <c r="J134" s="7" t="n">
        <f aca="false">SUMIFS(Doors!V:V,Doors!$A:$A,$D134,Doors!$B:$B,$B134,Doors!$C:$C,$C134)*SUMIFS(Velocity!$I:$I,Velocity!$A:$A,$A134,Velocity!$B:$B,$C134)/Assumptions!$B$4*Assumptions!$B$6</f>
        <v>0</v>
      </c>
      <c r="K134" s="7" t="n">
        <f aca="false">SUMIFS(Doors!W:W,Doors!$A:$A,$D134,Doors!$B:$B,$B134,Doors!$C:$C,$C134)*SUMIFS(Velocity!$I:$I,Velocity!$A:$A,$A134,Velocity!$B:$B,$C134)/Assumptions!$B$4*Assumptions!$B$6</f>
        <v>0</v>
      </c>
      <c r="L134" s="7" t="n">
        <f aca="false">SUMIFS(Doors!X:X,Doors!$A:$A,$D134,Doors!$B:$B,$B134,Doors!$C:$C,$C134)*SUMIFS(Velocity!$I:$I,Velocity!$A:$A,$A134,Velocity!$B:$B,$C134)/Assumptions!$B$4*Assumptions!$B$6</f>
        <v>0</v>
      </c>
      <c r="M134" s="7" t="n">
        <f aca="false">SUMIFS(Doors!Y:Y,Doors!$A:$A,$D134,Doors!$B:$B,$B134,Doors!$C:$C,$C134)*SUMIFS(Velocity!$I:$I,Velocity!$A:$A,$A134,Velocity!$B:$B,$C134)/Assumptions!$B$4*Assumptions!$B$6</f>
        <v>0</v>
      </c>
      <c r="N134" s="7" t="n">
        <f aca="false">SUMIFS(Doors!Z:Z,Doors!$A:$A,$D134,Doors!$B:$B,$B134,Doors!$C:$C,$C134)*SUMIFS(Velocity!$I:$I,Velocity!$A:$A,$A134,Velocity!$B:$B,$C134)/Assumptions!$B$4*Assumptions!$B$6</f>
        <v>2.83333333333333</v>
      </c>
      <c r="O134" s="7" t="n">
        <f aca="false">SUMIFS(Doors!AA:AA,Doors!$A:$A,$D134,Doors!$B:$B,$B134,Doors!$C:$C,$C134)*SUMIFS(Velocity!$I:$I,Velocity!$A:$A,$A134,Velocity!$B:$B,$C134)/Assumptions!$B$4*Assumptions!$B$6</f>
        <v>2.83333333333333</v>
      </c>
      <c r="P134" s="7" t="n">
        <f aca="false">SUMIFS(Doors!AB:AB,Doors!$A:$A,$D134,Doors!$B:$B,$B134,Doors!$C:$C,$C134)*SUMIFS(Velocity!$I:$I,Velocity!$A:$A,$A134,Velocity!$B:$B,$C134)/Assumptions!$B$4*Assumptions!$B$6</f>
        <v>2.83333333333333</v>
      </c>
      <c r="Q134" s="7" t="n">
        <f aca="false">SUMIFS(Doors!AC:AC,Doors!$A:$A,$D134,Doors!$B:$B,$B134,Doors!$C:$C,$C134)*SUMIFS(Velocity!$I:$I,Velocity!$A:$A,$A134,Velocity!$B:$B,$C134)/Assumptions!$B$4*Assumptions!$B$6</f>
        <v>2.83333333333333</v>
      </c>
      <c r="R134" s="7" t="n">
        <f aca="false">SUMIFS(Doors!AD:AD,Doors!$A:$A,$D134,Doors!$B:$B,$B134,Doors!$C:$C,$C134)*SUMIFS(Velocity!$I:$I,Velocity!$A:$A,$A134,Velocity!$B:$B,$C134)/Assumptions!$B$4*Assumptions!$B$6</f>
        <v>6.8</v>
      </c>
      <c r="S134" s="7" t="n">
        <f aca="false">SUMIFS(Doors!AE:AE,Doors!$A:$A,$D134,Doors!$B:$B,$B134,Doors!$C:$C,$C134)*SUMIFS(Velocity!$I:$I,Velocity!$A:$A,$A134,Velocity!$B:$B,$C134)/Assumptions!$B$4*Assumptions!$B$6</f>
        <v>6.8</v>
      </c>
      <c r="T134" s="7" t="n">
        <f aca="false">SUMIFS(Doors!AF:AF,Doors!$A:$A,$D134,Doors!$B:$B,$B134,Doors!$C:$C,$C134)*SUMIFS(Velocity!$I:$I,Velocity!$A:$A,$A134,Velocity!$B:$B,$C134)/Assumptions!$B$4*Assumptions!$B$6</f>
        <v>6.8</v>
      </c>
      <c r="U134" s="7" t="n">
        <f aca="false">SUMIFS(Doors!AG:AG,Doors!$A:$A,$D134,Doors!$B:$B,$B134,Doors!$C:$C,$C134)*SUMIFS(Velocity!$I:$I,Velocity!$A:$A,$A134,Velocity!$B:$B,$C134)/Assumptions!$B$4*Assumptions!$B$6</f>
        <v>6.8</v>
      </c>
      <c r="V134" s="7" t="n">
        <f aca="false">SUMIFS(Doors!AH:AH,Doors!$A:$A,$D134,Doors!$B:$B,$B134,Doors!$C:$C,$C134)*SUMIFS(Velocity!$I:$I,Velocity!$A:$A,$A134,Velocity!$B:$B,$C134)/Assumptions!$B$4*Assumptions!$B$6</f>
        <v>6.8</v>
      </c>
      <c r="W134" s="7" t="n">
        <f aca="false">SUMIFS(Doors!AI:AI,Doors!$A:$A,$D134,Doors!$B:$B,$B134,Doors!$C:$C,$C134)*SUMIFS(Velocity!$I:$I,Velocity!$A:$A,$A134,Velocity!$B:$B,$C134)/Assumptions!$B$4*Assumptions!$B$6</f>
        <v>11.3333333333333</v>
      </c>
      <c r="X134" s="7" t="n">
        <f aca="false">SUMIFS(Doors!AJ:AJ,Doors!$A:$A,$D134,Doors!$B:$B,$B134,Doors!$C:$C,$C134)*SUMIFS(Velocity!$I:$I,Velocity!$A:$A,$A134,Velocity!$B:$B,$C134)/Assumptions!$B$4*Assumptions!$B$6</f>
        <v>11.3333333333333</v>
      </c>
      <c r="Y134" s="7" t="n">
        <f aca="false">SUMIFS(Doors!AK:AK,Doors!$A:$A,$D134,Doors!$B:$B,$B134,Doors!$C:$C,$C134)*SUMIFS(Velocity!$I:$I,Velocity!$A:$A,$A134,Velocity!$B:$B,$C134)/Assumptions!$B$4*Assumptions!$B$6</f>
        <v>11.3333333333333</v>
      </c>
      <c r="Z134" s="7" t="n">
        <f aca="false">SUMIFS(Doors!AL:AL,Doors!$A:$A,$D134,Doors!$B:$B,$B134,Doors!$C:$C,$C134)*SUMIFS(Velocity!$I:$I,Velocity!$A:$A,$A134,Velocity!$B:$B,$C134)/Assumptions!$B$4*Assumptions!$B$6</f>
        <v>11.3333333333333</v>
      </c>
      <c r="AA134" s="7" t="n">
        <f aca="false">SUMIFS(Doors!AM:AM,Doors!$A:$A,$D134,Doors!$B:$B,$B134,Doors!$C:$C,$C134)*SUMIFS(Velocity!$I:$I,Velocity!$A:$A,$A134,Velocity!$B:$B,$C134)/Assumptions!$B$4*Assumptions!$B$6</f>
        <v>15.8666666666667</v>
      </c>
      <c r="AB134" s="7" t="n">
        <f aca="false">SUMIFS(Doors!AN:AN,Doors!$A:$A,$D134,Doors!$B:$B,$B134,Doors!$C:$C,$C134)*SUMIFS(Velocity!$I:$I,Velocity!$A:$A,$A134,Velocity!$B:$B,$C134)/Assumptions!$B$4*Assumptions!$B$6</f>
        <v>15.8666666666667</v>
      </c>
      <c r="AC134" s="7" t="n">
        <f aca="false">SUMIFS(Doors!AO:AO,Doors!$A:$A,$D134,Doors!$B:$B,$B134,Doors!$C:$C,$C134)*SUMIFS(Velocity!$I:$I,Velocity!$A:$A,$A134,Velocity!$B:$B,$C134)/Assumptions!$B$4*Assumptions!$B$6</f>
        <v>15.8666666666667</v>
      </c>
      <c r="AD134" s="7" t="n">
        <f aca="false">SUMIFS(Doors!AP:AP,Doors!$A:$A,$D134,Doors!$B:$B,$B134,Doors!$C:$C,$C134)*SUMIFS(Velocity!$I:$I,Velocity!$A:$A,$A134,Velocity!$B:$B,$C134)/Assumptions!$B$4*Assumptions!$B$6</f>
        <v>15.8666666666667</v>
      </c>
      <c r="AE134" s="7" t="n">
        <f aca="false">SUMIFS(Doors!AQ:AQ,Doors!$A:$A,$D134,Doors!$B:$B,$B134,Doors!$C:$C,$C134)*SUMIFS(Velocity!$I:$I,Velocity!$A:$A,$A134,Velocity!$B:$B,$C134)/Assumptions!$B$4*Assumptions!$B$6</f>
        <v>19.8333333333333</v>
      </c>
      <c r="AF134" s="7" t="n">
        <f aca="false">SUMIFS(Doors!AR:AR,Doors!$A:$A,$D134,Doors!$B:$B,$B134,Doors!$C:$C,$C134)*SUMIFS(Velocity!$I:$I,Velocity!$A:$A,$A134,Velocity!$B:$B,$C134)/Assumptions!$B$4*Assumptions!$B$6</f>
        <v>19.8333333333333</v>
      </c>
      <c r="AG134" s="7" t="n">
        <f aca="false">SUMIFS(Doors!AS:AS,Doors!$A:$A,$D134,Doors!$B:$B,$B134,Doors!$C:$C,$C134)*SUMIFS(Velocity!$I:$I,Velocity!$A:$A,$A134,Velocity!$B:$B,$C134)/Assumptions!$B$4*Assumptions!$B$6</f>
        <v>19.8333333333333</v>
      </c>
      <c r="AH134" s="7" t="n">
        <f aca="false">SUMIFS(Doors!AT:AT,Doors!$A:$A,$D134,Doors!$B:$B,$B134,Doors!$C:$C,$C134)*SUMIFS(Velocity!$I:$I,Velocity!$A:$A,$A134,Velocity!$B:$B,$C134)/Assumptions!$B$4*Assumptions!$B$6</f>
        <v>19.8333333333333</v>
      </c>
      <c r="AI134" s="7" t="n">
        <f aca="false">SUMIFS(Doors!AU:AU,Doors!$A:$A,$D134,Doors!$B:$B,$B134,Doors!$C:$C,$C134)*SUMIFS(Velocity!$I:$I,Velocity!$A:$A,$A134,Velocity!$B:$B,$C134)/Assumptions!$B$4*Assumptions!$B$6</f>
        <v>19.8333333333333</v>
      </c>
      <c r="AJ134" s="7" t="n">
        <f aca="false">SUMIFS(Doors!AV:AV,Doors!$A:$A,$D134,Doors!$B:$B,$B134,Doors!$C:$C,$C134)*SUMIFS(Velocity!$I:$I,Velocity!$A:$A,$A134,Velocity!$B:$B,$C134)/Assumptions!$B$4*Assumptions!$B$6</f>
        <v>23.8</v>
      </c>
      <c r="AK134" s="7" t="n">
        <f aca="false">SUMIFS(Doors!AW:AW,Doors!$A:$A,$D134,Doors!$B:$B,$B134,Doors!$C:$C,$C134)*SUMIFS(Velocity!$I:$I,Velocity!$A:$A,$A134,Velocity!$B:$B,$C134)/Assumptions!$B$4*Assumptions!$B$6</f>
        <v>23.8</v>
      </c>
      <c r="AL134" s="7" t="n">
        <f aca="false">SUMIFS(Doors!AX:AX,Doors!$A:$A,$D134,Doors!$B:$B,$B134,Doors!$C:$C,$C134)*SUMIFS(Velocity!$I:$I,Velocity!$A:$A,$A134,Velocity!$B:$B,$C134)/Assumptions!$B$4*Assumptions!$B$6</f>
        <v>23.8</v>
      </c>
      <c r="AM134" s="7" t="n">
        <f aca="false">SUMIFS(Doors!AY:AY,Doors!$A:$A,$D134,Doors!$B:$B,$B134,Doors!$C:$C,$C134)*SUMIFS(Velocity!$I:$I,Velocity!$A:$A,$A134,Velocity!$B:$B,$C134)/Assumptions!$B$4*Assumptions!$B$6</f>
        <v>23.8</v>
      </c>
      <c r="AN134" s="7" t="n">
        <f aca="false">SUMIFS(Doors!AZ:AZ,Doors!$A:$A,$D134,Doors!$B:$B,$B134,Doors!$C:$C,$C134)*SUMIFS(Velocity!$I:$I,Velocity!$A:$A,$A134,Velocity!$B:$B,$C134)/Assumptions!$B$4*Assumptions!$B$6</f>
        <v>27.2</v>
      </c>
      <c r="AO134" s="7" t="n">
        <f aca="false">SUMIFS(Doors!BA:BA,Doors!$A:$A,$D134,Doors!$B:$B,$B134,Doors!$C:$C,$C134)*SUMIFS(Velocity!$I:$I,Velocity!$A:$A,$A134,Velocity!$B:$B,$C134)/Assumptions!$B$4*Assumptions!$B$6</f>
        <v>27.2</v>
      </c>
      <c r="AP134" s="7" t="n">
        <f aca="false">SUMIFS(Doors!BB:BB,Doors!$A:$A,$D134,Doors!$B:$B,$B134,Doors!$C:$C,$C134)*SUMIFS(Velocity!$I:$I,Velocity!$A:$A,$A134,Velocity!$B:$B,$C134)/Assumptions!$B$4*Assumptions!$B$6</f>
        <v>27.2</v>
      </c>
      <c r="AQ134" s="7" t="n">
        <f aca="false">SUMIFS(Doors!BC:BC,Doors!$A:$A,$D134,Doors!$B:$B,$B134,Doors!$C:$C,$C134)*SUMIFS(Velocity!$I:$I,Velocity!$A:$A,$A134,Velocity!$B:$B,$C134)/Assumptions!$B$4*Assumptions!$B$6</f>
        <v>27.2</v>
      </c>
      <c r="AR134" s="7" t="n">
        <f aca="false">SUMIFS(Doors!BD:BD,Doors!$A:$A,$D134,Doors!$B:$B,$B134,Doors!$C:$C,$C134)*SUMIFS(Velocity!$I:$I,Velocity!$A:$A,$A134,Velocity!$B:$B,$C134)/Assumptions!$B$4*Assumptions!$B$6</f>
        <v>30.0333333333333</v>
      </c>
      <c r="AS134" s="7" t="n">
        <f aca="false">SUMIFS(Doors!BE:BE,Doors!$A:$A,$D134,Doors!$B:$B,$B134,Doors!$C:$C,$C134)*SUMIFS(Velocity!$I:$I,Velocity!$A:$A,$A134,Velocity!$B:$B,$C134)/Assumptions!$B$4*Assumptions!$B$6</f>
        <v>30.0333333333333</v>
      </c>
      <c r="AT134" s="7" t="n">
        <f aca="false">SUMIFS(Doors!BF:BF,Doors!$A:$A,$D134,Doors!$B:$B,$B134,Doors!$C:$C,$C134)*SUMIFS(Velocity!$I:$I,Velocity!$A:$A,$A134,Velocity!$B:$B,$C134)/Assumptions!$B$4*Assumptions!$B$6</f>
        <v>30.0333333333333</v>
      </c>
      <c r="AU134" s="7" t="n">
        <f aca="false">SUMIFS(Doors!BG:BG,Doors!$A:$A,$D134,Doors!$B:$B,$B134,Doors!$C:$C,$C134)*SUMIFS(Velocity!$I:$I,Velocity!$A:$A,$A134,Velocity!$B:$B,$C134)/Assumptions!$B$4*Assumptions!$B$6</f>
        <v>30.0333333333333</v>
      </c>
      <c r="AV134" s="7" t="n">
        <f aca="false">SUMIFS(Doors!BH:BH,Doors!$A:$A,$D134,Doors!$B:$B,$B134,Doors!$C:$C,$C134)*SUMIFS(Velocity!$I:$I,Velocity!$A:$A,$A134,Velocity!$B:$B,$C134)/Assumptions!$B$4*Assumptions!$B$6</f>
        <v>30.0333333333333</v>
      </c>
      <c r="AW134" s="7" t="n">
        <f aca="false">SUMIFS(Doors!BI:BI,Doors!$A:$A,$D134,Doors!$B:$B,$B134,Doors!$C:$C,$C134)*SUMIFS(Velocity!$I:$I,Velocity!$A:$A,$A134,Velocity!$B:$B,$C134)/Assumptions!$B$4*Assumptions!$B$6</f>
        <v>32.3</v>
      </c>
      <c r="AX134" s="7" t="n">
        <f aca="false">SUMIFS(Doors!BJ:BJ,Doors!$A:$A,$D134,Doors!$B:$B,$B134,Doors!$C:$C,$C134)*SUMIFS(Velocity!$I:$I,Velocity!$A:$A,$A134,Velocity!$B:$B,$C134)/Assumptions!$B$4*Assumptions!$B$6</f>
        <v>32.3</v>
      </c>
      <c r="AY134" s="7" t="n">
        <f aca="false">SUMIFS(Doors!BK:BK,Doors!$A:$A,$D134,Doors!$B:$B,$B134,Doors!$C:$C,$C134)*SUMIFS(Velocity!$I:$I,Velocity!$A:$A,$A134,Velocity!$B:$B,$C134)/Assumptions!$B$4*Assumptions!$B$6</f>
        <v>32.3</v>
      </c>
      <c r="AZ134" s="7" t="n">
        <f aca="false">SUMIFS(Doors!BL:BL,Doors!$A:$A,$D134,Doors!$B:$B,$B134,Doors!$C:$C,$C134)*SUMIFS(Velocity!$I:$I,Velocity!$A:$A,$A134,Velocity!$B:$B,$C134)/Assumptions!$B$4*Assumptions!$B$6</f>
        <v>32.3</v>
      </c>
      <c r="BA134" s="7" t="n">
        <f aca="false">SUMIFS(Doors!BM:BM,Doors!$A:$A,$D134,Doors!$B:$B,$B134,Doors!$C:$C,$C134)*SUMIFS(Velocity!$I:$I,Velocity!$A:$A,$A134,Velocity!$B:$B,$C134)/Assumptions!$B$4*Assumptions!$B$6</f>
        <v>34</v>
      </c>
      <c r="BB134" s="7" t="n">
        <f aca="false">SUMIFS(Doors!BN:BN,Doors!$A:$A,$D134,Doors!$B:$B,$B134,Doors!$C:$C,$C134)*SUMIFS(Velocity!$I:$I,Velocity!$A:$A,$A134,Velocity!$B:$B,$C134)/Assumptions!$B$4*Assumptions!$B$6</f>
        <v>34</v>
      </c>
      <c r="BC134" s="7" t="n">
        <f aca="false">SUMIFS(Doors!BO:BO,Doors!$A:$A,$D134,Doors!$B:$B,$B134,Doors!$C:$C,$C134)*SUMIFS(Velocity!$I:$I,Velocity!$A:$A,$A134,Velocity!$B:$B,$C134)/Assumptions!$B$4*Assumptions!$B$6</f>
        <v>34</v>
      </c>
      <c r="BD134" s="7" t="n">
        <f aca="false">SUMIFS(Doors!BP:BP,Doors!$A:$A,$D134,Doors!$B:$B,$B134,Doors!$C:$C,$C134)*SUMIFS(Velocity!$I:$I,Velocity!$A:$A,$A134,Velocity!$B:$B,$C134)/Assumptions!$B$4*Assumptions!$B$6</f>
        <v>34</v>
      </c>
    </row>
    <row r="135" customFormat="false" ht="15" hidden="false" customHeight="false" outlineLevel="0" collapsed="false">
      <c r="A135" s="0" t="s">
        <v>109</v>
      </c>
      <c r="B135" s="0" t="s">
        <v>130</v>
      </c>
      <c r="C135" s="0" t="s">
        <v>118</v>
      </c>
      <c r="D135" s="0" t="s">
        <v>235</v>
      </c>
      <c r="E135" s="7" t="n">
        <f aca="false">SUMIFS(Doors!Q:Q,Doors!$A:$A,$D135,Doors!$B:$B,$B135,Doors!$C:$C,$C135)*SUMIFS(Velocity!$I:$I,Velocity!$A:$A,$A135,Velocity!$B:$B,$C135)/Assumptions!$B$4*Assumptions!$B$6</f>
        <v>0</v>
      </c>
      <c r="F135" s="7" t="n">
        <f aca="false">SUMIFS(Doors!R:R,Doors!$A:$A,$D135,Doors!$B:$B,$B135,Doors!$C:$C,$C135)*SUMIFS(Velocity!$I:$I,Velocity!$A:$A,$A135,Velocity!$B:$B,$C135)/Assumptions!$B$4*Assumptions!$B$6</f>
        <v>0</v>
      </c>
      <c r="G135" s="7" t="n">
        <f aca="false">SUMIFS(Doors!S:S,Doors!$A:$A,$D135,Doors!$B:$B,$B135,Doors!$C:$C,$C135)*SUMIFS(Velocity!$I:$I,Velocity!$A:$A,$A135,Velocity!$B:$B,$C135)/Assumptions!$B$4*Assumptions!$B$6</f>
        <v>0</v>
      </c>
      <c r="H135" s="7" t="n">
        <f aca="false">SUMIFS(Doors!T:T,Doors!$A:$A,$D135,Doors!$B:$B,$B135,Doors!$C:$C,$C135)*SUMIFS(Velocity!$I:$I,Velocity!$A:$A,$A135,Velocity!$B:$B,$C135)/Assumptions!$B$4*Assumptions!$B$6</f>
        <v>0</v>
      </c>
      <c r="I135" s="7" t="n">
        <f aca="false">SUMIFS(Doors!U:U,Doors!$A:$A,$D135,Doors!$B:$B,$B135,Doors!$C:$C,$C135)*SUMIFS(Velocity!$I:$I,Velocity!$A:$A,$A135,Velocity!$B:$B,$C135)/Assumptions!$B$4*Assumptions!$B$6</f>
        <v>0</v>
      </c>
      <c r="J135" s="7" t="n">
        <f aca="false">SUMIFS(Doors!V:V,Doors!$A:$A,$D135,Doors!$B:$B,$B135,Doors!$C:$C,$C135)*SUMIFS(Velocity!$I:$I,Velocity!$A:$A,$A135,Velocity!$B:$B,$C135)/Assumptions!$B$4*Assumptions!$B$6</f>
        <v>0</v>
      </c>
      <c r="K135" s="7" t="n">
        <f aca="false">SUMIFS(Doors!W:W,Doors!$A:$A,$D135,Doors!$B:$B,$B135,Doors!$C:$C,$C135)*SUMIFS(Velocity!$I:$I,Velocity!$A:$A,$A135,Velocity!$B:$B,$C135)/Assumptions!$B$4*Assumptions!$B$6</f>
        <v>0</v>
      </c>
      <c r="L135" s="7" t="n">
        <f aca="false">SUMIFS(Doors!X:X,Doors!$A:$A,$D135,Doors!$B:$B,$B135,Doors!$C:$C,$C135)*SUMIFS(Velocity!$I:$I,Velocity!$A:$A,$A135,Velocity!$B:$B,$C135)/Assumptions!$B$4*Assumptions!$B$6</f>
        <v>0</v>
      </c>
      <c r="M135" s="7" t="n">
        <f aca="false">SUMIFS(Doors!Y:Y,Doors!$A:$A,$D135,Doors!$B:$B,$B135,Doors!$C:$C,$C135)*SUMIFS(Velocity!$I:$I,Velocity!$A:$A,$A135,Velocity!$B:$B,$C135)/Assumptions!$B$4*Assumptions!$B$6</f>
        <v>0</v>
      </c>
      <c r="N135" s="7" t="n">
        <f aca="false">SUMIFS(Doors!Z:Z,Doors!$A:$A,$D135,Doors!$B:$B,$B135,Doors!$C:$C,$C135)*SUMIFS(Velocity!$I:$I,Velocity!$A:$A,$A135,Velocity!$B:$B,$C135)/Assumptions!$B$4*Assumptions!$B$6</f>
        <v>0</v>
      </c>
      <c r="O135" s="7" t="n">
        <f aca="false">SUMIFS(Doors!AA:AA,Doors!$A:$A,$D135,Doors!$B:$B,$B135,Doors!$C:$C,$C135)*SUMIFS(Velocity!$I:$I,Velocity!$A:$A,$A135,Velocity!$B:$B,$C135)/Assumptions!$B$4*Assumptions!$B$6</f>
        <v>0</v>
      </c>
      <c r="P135" s="7" t="n">
        <f aca="false">SUMIFS(Doors!AB:AB,Doors!$A:$A,$D135,Doors!$B:$B,$B135,Doors!$C:$C,$C135)*SUMIFS(Velocity!$I:$I,Velocity!$A:$A,$A135,Velocity!$B:$B,$C135)/Assumptions!$B$4*Assumptions!$B$6</f>
        <v>0</v>
      </c>
      <c r="Q135" s="7" t="n">
        <f aca="false">SUMIFS(Doors!AC:AC,Doors!$A:$A,$D135,Doors!$B:$B,$B135,Doors!$C:$C,$C135)*SUMIFS(Velocity!$I:$I,Velocity!$A:$A,$A135,Velocity!$B:$B,$C135)/Assumptions!$B$4*Assumptions!$B$6</f>
        <v>0</v>
      </c>
      <c r="R135" s="7" t="n">
        <f aca="false">SUMIFS(Doors!AD:AD,Doors!$A:$A,$D135,Doors!$B:$B,$B135,Doors!$C:$C,$C135)*SUMIFS(Velocity!$I:$I,Velocity!$A:$A,$A135,Velocity!$B:$B,$C135)/Assumptions!$B$4*Assumptions!$B$6</f>
        <v>0</v>
      </c>
      <c r="S135" s="7" t="n">
        <f aca="false">SUMIFS(Doors!AE:AE,Doors!$A:$A,$D135,Doors!$B:$B,$B135,Doors!$C:$C,$C135)*SUMIFS(Velocity!$I:$I,Velocity!$A:$A,$A135,Velocity!$B:$B,$C135)/Assumptions!$B$4*Assumptions!$B$6</f>
        <v>0</v>
      </c>
      <c r="T135" s="7" t="n">
        <f aca="false">SUMIFS(Doors!AF:AF,Doors!$A:$A,$D135,Doors!$B:$B,$B135,Doors!$C:$C,$C135)*SUMIFS(Velocity!$I:$I,Velocity!$A:$A,$A135,Velocity!$B:$B,$C135)/Assumptions!$B$4*Assumptions!$B$6</f>
        <v>0</v>
      </c>
      <c r="U135" s="7" t="n">
        <f aca="false">SUMIFS(Doors!AG:AG,Doors!$A:$A,$D135,Doors!$B:$B,$B135,Doors!$C:$C,$C135)*SUMIFS(Velocity!$I:$I,Velocity!$A:$A,$A135,Velocity!$B:$B,$C135)/Assumptions!$B$4*Assumptions!$B$6</f>
        <v>0</v>
      </c>
      <c r="V135" s="7" t="n">
        <f aca="false">SUMIFS(Doors!AH:AH,Doors!$A:$A,$D135,Doors!$B:$B,$B135,Doors!$C:$C,$C135)*SUMIFS(Velocity!$I:$I,Velocity!$A:$A,$A135,Velocity!$B:$B,$C135)/Assumptions!$B$4*Assumptions!$B$6</f>
        <v>0</v>
      </c>
      <c r="W135" s="7" t="n">
        <f aca="false">SUMIFS(Doors!AI:AI,Doors!$A:$A,$D135,Doors!$B:$B,$B135,Doors!$C:$C,$C135)*SUMIFS(Velocity!$I:$I,Velocity!$A:$A,$A135,Velocity!$B:$B,$C135)/Assumptions!$B$4*Assumptions!$B$6</f>
        <v>0</v>
      </c>
      <c r="X135" s="7" t="n">
        <f aca="false">SUMIFS(Doors!AJ:AJ,Doors!$A:$A,$D135,Doors!$B:$B,$B135,Doors!$C:$C,$C135)*SUMIFS(Velocity!$I:$I,Velocity!$A:$A,$A135,Velocity!$B:$B,$C135)/Assumptions!$B$4*Assumptions!$B$6</f>
        <v>0</v>
      </c>
      <c r="Y135" s="7" t="n">
        <f aca="false">SUMIFS(Doors!AK:AK,Doors!$A:$A,$D135,Doors!$B:$B,$B135,Doors!$C:$C,$C135)*SUMIFS(Velocity!$I:$I,Velocity!$A:$A,$A135,Velocity!$B:$B,$C135)/Assumptions!$B$4*Assumptions!$B$6</f>
        <v>0</v>
      </c>
      <c r="Z135" s="7" t="n">
        <f aca="false">SUMIFS(Doors!AL:AL,Doors!$A:$A,$D135,Doors!$B:$B,$B135,Doors!$C:$C,$C135)*SUMIFS(Velocity!$I:$I,Velocity!$A:$A,$A135,Velocity!$B:$B,$C135)/Assumptions!$B$4*Assumptions!$B$6</f>
        <v>0</v>
      </c>
      <c r="AA135" s="7" t="n">
        <f aca="false">SUMIFS(Doors!AM:AM,Doors!$A:$A,$D135,Doors!$B:$B,$B135,Doors!$C:$C,$C135)*SUMIFS(Velocity!$I:$I,Velocity!$A:$A,$A135,Velocity!$B:$B,$C135)/Assumptions!$B$4*Assumptions!$B$6</f>
        <v>0</v>
      </c>
      <c r="AB135" s="7" t="n">
        <f aca="false">SUMIFS(Doors!AN:AN,Doors!$A:$A,$D135,Doors!$B:$B,$B135,Doors!$C:$C,$C135)*SUMIFS(Velocity!$I:$I,Velocity!$A:$A,$A135,Velocity!$B:$B,$C135)/Assumptions!$B$4*Assumptions!$B$6</f>
        <v>0</v>
      </c>
      <c r="AC135" s="7" t="n">
        <f aca="false">SUMIFS(Doors!AO:AO,Doors!$A:$A,$D135,Doors!$B:$B,$B135,Doors!$C:$C,$C135)*SUMIFS(Velocity!$I:$I,Velocity!$A:$A,$A135,Velocity!$B:$B,$C135)/Assumptions!$B$4*Assumptions!$B$6</f>
        <v>0</v>
      </c>
      <c r="AD135" s="7" t="n">
        <f aca="false">SUMIFS(Doors!AP:AP,Doors!$A:$A,$D135,Doors!$B:$B,$B135,Doors!$C:$C,$C135)*SUMIFS(Velocity!$I:$I,Velocity!$A:$A,$A135,Velocity!$B:$B,$C135)/Assumptions!$B$4*Assumptions!$B$6</f>
        <v>0</v>
      </c>
      <c r="AE135" s="7" t="n">
        <f aca="false">SUMIFS(Doors!AQ:AQ,Doors!$A:$A,$D135,Doors!$B:$B,$B135,Doors!$C:$C,$C135)*SUMIFS(Velocity!$I:$I,Velocity!$A:$A,$A135,Velocity!$B:$B,$C135)/Assumptions!$B$4*Assumptions!$B$6</f>
        <v>0</v>
      </c>
      <c r="AF135" s="7" t="n">
        <f aca="false">SUMIFS(Doors!AR:AR,Doors!$A:$A,$D135,Doors!$B:$B,$B135,Doors!$C:$C,$C135)*SUMIFS(Velocity!$I:$I,Velocity!$A:$A,$A135,Velocity!$B:$B,$C135)/Assumptions!$B$4*Assumptions!$B$6</f>
        <v>0</v>
      </c>
      <c r="AG135" s="7" t="n">
        <f aca="false">SUMIFS(Doors!AS:AS,Doors!$A:$A,$D135,Doors!$B:$B,$B135,Doors!$C:$C,$C135)*SUMIFS(Velocity!$I:$I,Velocity!$A:$A,$A135,Velocity!$B:$B,$C135)/Assumptions!$B$4*Assumptions!$B$6</f>
        <v>0</v>
      </c>
      <c r="AH135" s="7" t="n">
        <f aca="false">SUMIFS(Doors!AT:AT,Doors!$A:$A,$D135,Doors!$B:$B,$B135,Doors!$C:$C,$C135)*SUMIFS(Velocity!$I:$I,Velocity!$A:$A,$A135,Velocity!$B:$B,$C135)/Assumptions!$B$4*Assumptions!$B$6</f>
        <v>0</v>
      </c>
      <c r="AI135" s="7" t="n">
        <f aca="false">SUMIFS(Doors!AU:AU,Doors!$A:$A,$D135,Doors!$B:$B,$B135,Doors!$C:$C,$C135)*SUMIFS(Velocity!$I:$I,Velocity!$A:$A,$A135,Velocity!$B:$B,$C135)/Assumptions!$B$4*Assumptions!$B$6</f>
        <v>0</v>
      </c>
      <c r="AJ135" s="7" t="n">
        <f aca="false">SUMIFS(Doors!AV:AV,Doors!$A:$A,$D135,Doors!$B:$B,$B135,Doors!$C:$C,$C135)*SUMIFS(Velocity!$I:$I,Velocity!$A:$A,$A135,Velocity!$B:$B,$C135)/Assumptions!$B$4*Assumptions!$B$6</f>
        <v>0</v>
      </c>
      <c r="AK135" s="7" t="n">
        <f aca="false">SUMIFS(Doors!AW:AW,Doors!$A:$A,$D135,Doors!$B:$B,$B135,Doors!$C:$C,$C135)*SUMIFS(Velocity!$I:$I,Velocity!$A:$A,$A135,Velocity!$B:$B,$C135)/Assumptions!$B$4*Assumptions!$B$6</f>
        <v>0</v>
      </c>
      <c r="AL135" s="7" t="n">
        <f aca="false">SUMIFS(Doors!AX:AX,Doors!$A:$A,$D135,Doors!$B:$B,$B135,Doors!$C:$C,$C135)*SUMIFS(Velocity!$I:$I,Velocity!$A:$A,$A135,Velocity!$B:$B,$C135)/Assumptions!$B$4*Assumptions!$B$6</f>
        <v>0</v>
      </c>
      <c r="AM135" s="7" t="n">
        <f aca="false">SUMIFS(Doors!AY:AY,Doors!$A:$A,$D135,Doors!$B:$B,$B135,Doors!$C:$C,$C135)*SUMIFS(Velocity!$I:$I,Velocity!$A:$A,$A135,Velocity!$B:$B,$C135)/Assumptions!$B$4*Assumptions!$B$6</f>
        <v>0</v>
      </c>
      <c r="AN135" s="7" t="n">
        <f aca="false">SUMIFS(Doors!AZ:AZ,Doors!$A:$A,$D135,Doors!$B:$B,$B135,Doors!$C:$C,$C135)*SUMIFS(Velocity!$I:$I,Velocity!$A:$A,$A135,Velocity!$B:$B,$C135)/Assumptions!$B$4*Assumptions!$B$6</f>
        <v>0</v>
      </c>
      <c r="AO135" s="7" t="n">
        <f aca="false">SUMIFS(Doors!BA:BA,Doors!$A:$A,$D135,Doors!$B:$B,$B135,Doors!$C:$C,$C135)*SUMIFS(Velocity!$I:$I,Velocity!$A:$A,$A135,Velocity!$B:$B,$C135)/Assumptions!$B$4*Assumptions!$B$6</f>
        <v>0</v>
      </c>
      <c r="AP135" s="7" t="n">
        <f aca="false">SUMIFS(Doors!BB:BB,Doors!$A:$A,$D135,Doors!$B:$B,$B135,Doors!$C:$C,$C135)*SUMIFS(Velocity!$I:$I,Velocity!$A:$A,$A135,Velocity!$B:$B,$C135)/Assumptions!$B$4*Assumptions!$B$6</f>
        <v>0</v>
      </c>
      <c r="AQ135" s="7" t="n">
        <f aca="false">SUMIFS(Doors!BC:BC,Doors!$A:$A,$D135,Doors!$B:$B,$B135,Doors!$C:$C,$C135)*SUMIFS(Velocity!$I:$I,Velocity!$A:$A,$A135,Velocity!$B:$B,$C135)/Assumptions!$B$4*Assumptions!$B$6</f>
        <v>0</v>
      </c>
      <c r="AR135" s="7" t="n">
        <f aca="false">SUMIFS(Doors!BD:BD,Doors!$A:$A,$D135,Doors!$B:$B,$B135,Doors!$C:$C,$C135)*SUMIFS(Velocity!$I:$I,Velocity!$A:$A,$A135,Velocity!$B:$B,$C135)/Assumptions!$B$4*Assumptions!$B$6</f>
        <v>207.5</v>
      </c>
      <c r="AS135" s="7" t="n">
        <f aca="false">SUMIFS(Doors!BE:BE,Doors!$A:$A,$D135,Doors!$B:$B,$B135,Doors!$C:$C,$C135)*SUMIFS(Velocity!$I:$I,Velocity!$A:$A,$A135,Velocity!$B:$B,$C135)/Assumptions!$B$4*Assumptions!$B$6</f>
        <v>207.5</v>
      </c>
      <c r="AT135" s="7" t="n">
        <f aca="false">SUMIFS(Doors!BF:BF,Doors!$A:$A,$D135,Doors!$B:$B,$B135,Doors!$C:$C,$C135)*SUMIFS(Velocity!$I:$I,Velocity!$A:$A,$A135,Velocity!$B:$B,$C135)/Assumptions!$B$4*Assumptions!$B$6</f>
        <v>207.5</v>
      </c>
      <c r="AU135" s="7" t="n">
        <f aca="false">SUMIFS(Doors!BG:BG,Doors!$A:$A,$D135,Doors!$B:$B,$B135,Doors!$C:$C,$C135)*SUMIFS(Velocity!$I:$I,Velocity!$A:$A,$A135,Velocity!$B:$B,$C135)/Assumptions!$B$4*Assumptions!$B$6</f>
        <v>207.5</v>
      </c>
      <c r="AV135" s="7" t="n">
        <f aca="false">SUMIFS(Doors!BH:BH,Doors!$A:$A,$D135,Doors!$B:$B,$B135,Doors!$C:$C,$C135)*SUMIFS(Velocity!$I:$I,Velocity!$A:$A,$A135,Velocity!$B:$B,$C135)/Assumptions!$B$4*Assumptions!$B$6</f>
        <v>207.5</v>
      </c>
      <c r="AW135" s="7" t="n">
        <f aca="false">SUMIFS(Doors!BI:BI,Doors!$A:$A,$D135,Doors!$B:$B,$B135,Doors!$C:$C,$C135)*SUMIFS(Velocity!$I:$I,Velocity!$A:$A,$A135,Velocity!$B:$B,$C135)/Assumptions!$B$4*Assumptions!$B$6</f>
        <v>221.333333333333</v>
      </c>
      <c r="AX135" s="7" t="n">
        <f aca="false">SUMIFS(Doors!BJ:BJ,Doors!$A:$A,$D135,Doors!$B:$B,$B135,Doors!$C:$C,$C135)*SUMIFS(Velocity!$I:$I,Velocity!$A:$A,$A135,Velocity!$B:$B,$C135)/Assumptions!$B$4*Assumptions!$B$6</f>
        <v>221.333333333333</v>
      </c>
      <c r="AY135" s="7" t="n">
        <f aca="false">SUMIFS(Doors!BK:BK,Doors!$A:$A,$D135,Doors!$B:$B,$B135,Doors!$C:$C,$C135)*SUMIFS(Velocity!$I:$I,Velocity!$A:$A,$A135,Velocity!$B:$B,$C135)/Assumptions!$B$4*Assumptions!$B$6</f>
        <v>221.333333333333</v>
      </c>
      <c r="AZ135" s="7" t="n">
        <f aca="false">SUMIFS(Doors!BL:BL,Doors!$A:$A,$D135,Doors!$B:$B,$B135,Doors!$C:$C,$C135)*SUMIFS(Velocity!$I:$I,Velocity!$A:$A,$A135,Velocity!$B:$B,$C135)/Assumptions!$B$4*Assumptions!$B$6</f>
        <v>221.333333333333</v>
      </c>
      <c r="BA135" s="7" t="n">
        <f aca="false">SUMIFS(Doors!BM:BM,Doors!$A:$A,$D135,Doors!$B:$B,$B135,Doors!$C:$C,$C135)*SUMIFS(Velocity!$I:$I,Velocity!$A:$A,$A135,Velocity!$B:$B,$C135)/Assumptions!$B$4*Assumptions!$B$6</f>
        <v>242.083333333333</v>
      </c>
      <c r="BB135" s="7" t="n">
        <f aca="false">SUMIFS(Doors!BN:BN,Doors!$A:$A,$D135,Doors!$B:$B,$B135,Doors!$C:$C,$C135)*SUMIFS(Velocity!$I:$I,Velocity!$A:$A,$A135,Velocity!$B:$B,$C135)/Assumptions!$B$4*Assumptions!$B$6</f>
        <v>242.083333333333</v>
      </c>
      <c r="BC135" s="7" t="n">
        <f aca="false">SUMIFS(Doors!BO:BO,Doors!$A:$A,$D135,Doors!$B:$B,$B135,Doors!$C:$C,$C135)*SUMIFS(Velocity!$I:$I,Velocity!$A:$A,$A135,Velocity!$B:$B,$C135)/Assumptions!$B$4*Assumptions!$B$6</f>
        <v>242.083333333333</v>
      </c>
      <c r="BD135" s="7" t="n">
        <f aca="false">SUMIFS(Doors!BP:BP,Doors!$A:$A,$D135,Doors!$B:$B,$B135,Doors!$C:$C,$C135)*SUMIFS(Velocity!$I:$I,Velocity!$A:$A,$A135,Velocity!$B:$B,$C135)/Assumptions!$B$4*Assumptions!$B$6</f>
        <v>242.083333333333</v>
      </c>
    </row>
    <row r="136" customFormat="false" ht="15" hidden="false" customHeight="false" outlineLevel="0" collapsed="false">
      <c r="A136" s="0" t="s">
        <v>109</v>
      </c>
      <c r="B136" s="0" t="s">
        <v>130</v>
      </c>
      <c r="C136" s="0" t="s">
        <v>119</v>
      </c>
      <c r="D136" s="0" t="s">
        <v>235</v>
      </c>
      <c r="E136" s="7" t="n">
        <f aca="false">SUMIFS(Doors!Q:Q,Doors!$A:$A,$D136,Doors!$B:$B,$B136,Doors!$C:$C,$C136)*SUMIFS(Velocity!$I:$I,Velocity!$A:$A,$A136,Velocity!$B:$B,$C136)/Assumptions!$B$4*Assumptions!$B$6</f>
        <v>6.66666666666667</v>
      </c>
      <c r="F136" s="7" t="n">
        <f aca="false">SUMIFS(Doors!R:R,Doors!$A:$A,$D136,Doors!$B:$B,$B136,Doors!$C:$C,$C136)*SUMIFS(Velocity!$I:$I,Velocity!$A:$A,$A136,Velocity!$B:$B,$C136)/Assumptions!$B$4*Assumptions!$B$6</f>
        <v>6.66666666666667</v>
      </c>
      <c r="G136" s="7" t="n">
        <f aca="false">SUMIFS(Doors!S:S,Doors!$A:$A,$D136,Doors!$B:$B,$B136,Doors!$C:$C,$C136)*SUMIFS(Velocity!$I:$I,Velocity!$A:$A,$A136,Velocity!$B:$B,$C136)/Assumptions!$B$4*Assumptions!$B$6</f>
        <v>6.66666666666667</v>
      </c>
      <c r="H136" s="7" t="n">
        <f aca="false">SUMIFS(Doors!T:T,Doors!$A:$A,$D136,Doors!$B:$B,$B136,Doors!$C:$C,$C136)*SUMIFS(Velocity!$I:$I,Velocity!$A:$A,$A136,Velocity!$B:$B,$C136)/Assumptions!$B$4*Assumptions!$B$6</f>
        <v>6.66666666666667</v>
      </c>
      <c r="I136" s="7" t="n">
        <f aca="false">SUMIFS(Doors!U:U,Doors!$A:$A,$D136,Doors!$B:$B,$B136,Doors!$C:$C,$C136)*SUMIFS(Velocity!$I:$I,Velocity!$A:$A,$A136,Velocity!$B:$B,$C136)/Assumptions!$B$4*Assumptions!$B$6</f>
        <v>6.66666666666667</v>
      </c>
      <c r="J136" s="7" t="n">
        <f aca="false">SUMIFS(Doors!V:V,Doors!$A:$A,$D136,Doors!$B:$B,$B136,Doors!$C:$C,$C136)*SUMIFS(Velocity!$I:$I,Velocity!$A:$A,$A136,Velocity!$B:$B,$C136)/Assumptions!$B$4*Assumptions!$B$6</f>
        <v>9.16666666666667</v>
      </c>
      <c r="K136" s="7" t="n">
        <f aca="false">SUMIFS(Doors!W:W,Doors!$A:$A,$D136,Doors!$B:$B,$B136,Doors!$C:$C,$C136)*SUMIFS(Velocity!$I:$I,Velocity!$A:$A,$A136,Velocity!$B:$B,$C136)/Assumptions!$B$4*Assumptions!$B$6</f>
        <v>9.16666666666667</v>
      </c>
      <c r="L136" s="7" t="n">
        <f aca="false">SUMIFS(Doors!X:X,Doors!$A:$A,$D136,Doors!$B:$B,$B136,Doors!$C:$C,$C136)*SUMIFS(Velocity!$I:$I,Velocity!$A:$A,$A136,Velocity!$B:$B,$C136)/Assumptions!$B$4*Assumptions!$B$6</f>
        <v>9.16666666666667</v>
      </c>
      <c r="M136" s="7" t="n">
        <f aca="false">SUMIFS(Doors!Y:Y,Doors!$A:$A,$D136,Doors!$B:$B,$B136,Doors!$C:$C,$C136)*SUMIFS(Velocity!$I:$I,Velocity!$A:$A,$A136,Velocity!$B:$B,$C136)/Assumptions!$B$4*Assumptions!$B$6</f>
        <v>9.16666666666667</v>
      </c>
      <c r="N136" s="7" t="n">
        <f aca="false">SUMIFS(Doors!Z:Z,Doors!$A:$A,$D136,Doors!$B:$B,$B136,Doors!$C:$C,$C136)*SUMIFS(Velocity!$I:$I,Velocity!$A:$A,$A136,Velocity!$B:$B,$C136)/Assumptions!$B$4*Assumptions!$B$6</f>
        <v>12.5</v>
      </c>
      <c r="O136" s="7" t="n">
        <f aca="false">SUMIFS(Doors!AA:AA,Doors!$A:$A,$D136,Doors!$B:$B,$B136,Doors!$C:$C,$C136)*SUMIFS(Velocity!$I:$I,Velocity!$A:$A,$A136,Velocity!$B:$B,$C136)/Assumptions!$B$4*Assumptions!$B$6</f>
        <v>12.5</v>
      </c>
      <c r="P136" s="7" t="n">
        <f aca="false">SUMIFS(Doors!AB:AB,Doors!$A:$A,$D136,Doors!$B:$B,$B136,Doors!$C:$C,$C136)*SUMIFS(Velocity!$I:$I,Velocity!$A:$A,$A136,Velocity!$B:$B,$C136)/Assumptions!$B$4*Assumptions!$B$6</f>
        <v>12.5</v>
      </c>
      <c r="Q136" s="7" t="n">
        <f aca="false">SUMIFS(Doors!AC:AC,Doors!$A:$A,$D136,Doors!$B:$B,$B136,Doors!$C:$C,$C136)*SUMIFS(Velocity!$I:$I,Velocity!$A:$A,$A136,Velocity!$B:$B,$C136)/Assumptions!$B$4*Assumptions!$B$6</f>
        <v>12.5</v>
      </c>
      <c r="R136" s="7" t="n">
        <f aca="false">SUMIFS(Doors!AD:AD,Doors!$A:$A,$D136,Doors!$B:$B,$B136,Doors!$C:$C,$C136)*SUMIFS(Velocity!$I:$I,Velocity!$A:$A,$A136,Velocity!$B:$B,$C136)/Assumptions!$B$4*Assumptions!$B$6</f>
        <v>15</v>
      </c>
      <c r="S136" s="7" t="n">
        <f aca="false">SUMIFS(Doors!AE:AE,Doors!$A:$A,$D136,Doors!$B:$B,$B136,Doors!$C:$C,$C136)*SUMIFS(Velocity!$I:$I,Velocity!$A:$A,$A136,Velocity!$B:$B,$C136)/Assumptions!$B$4*Assumptions!$B$6</f>
        <v>15</v>
      </c>
      <c r="T136" s="7" t="n">
        <f aca="false">SUMIFS(Doors!AF:AF,Doors!$A:$A,$D136,Doors!$B:$B,$B136,Doors!$C:$C,$C136)*SUMIFS(Velocity!$I:$I,Velocity!$A:$A,$A136,Velocity!$B:$B,$C136)/Assumptions!$B$4*Assumptions!$B$6</f>
        <v>15</v>
      </c>
      <c r="U136" s="7" t="n">
        <f aca="false">SUMIFS(Doors!AG:AG,Doors!$A:$A,$D136,Doors!$B:$B,$B136,Doors!$C:$C,$C136)*SUMIFS(Velocity!$I:$I,Velocity!$A:$A,$A136,Velocity!$B:$B,$C136)/Assumptions!$B$4*Assumptions!$B$6</f>
        <v>15</v>
      </c>
      <c r="V136" s="7" t="n">
        <f aca="false">SUMIFS(Doors!AH:AH,Doors!$A:$A,$D136,Doors!$B:$B,$B136,Doors!$C:$C,$C136)*SUMIFS(Velocity!$I:$I,Velocity!$A:$A,$A136,Velocity!$B:$B,$C136)/Assumptions!$B$4*Assumptions!$B$6</f>
        <v>15</v>
      </c>
      <c r="W136" s="7" t="n">
        <f aca="false">SUMIFS(Doors!AI:AI,Doors!$A:$A,$D136,Doors!$B:$B,$B136,Doors!$C:$C,$C136)*SUMIFS(Velocity!$I:$I,Velocity!$A:$A,$A136,Velocity!$B:$B,$C136)/Assumptions!$B$4*Assumptions!$B$6</f>
        <v>17.5</v>
      </c>
      <c r="X136" s="7" t="n">
        <f aca="false">SUMIFS(Doors!AJ:AJ,Doors!$A:$A,$D136,Doors!$B:$B,$B136,Doors!$C:$C,$C136)*SUMIFS(Velocity!$I:$I,Velocity!$A:$A,$A136,Velocity!$B:$B,$C136)/Assumptions!$B$4*Assumptions!$B$6</f>
        <v>17.5</v>
      </c>
      <c r="Y136" s="7" t="n">
        <f aca="false">SUMIFS(Doors!AK:AK,Doors!$A:$A,$D136,Doors!$B:$B,$B136,Doors!$C:$C,$C136)*SUMIFS(Velocity!$I:$I,Velocity!$A:$A,$A136,Velocity!$B:$B,$C136)/Assumptions!$B$4*Assumptions!$B$6</f>
        <v>17.5</v>
      </c>
      <c r="Z136" s="7" t="n">
        <f aca="false">SUMIFS(Doors!AL:AL,Doors!$A:$A,$D136,Doors!$B:$B,$B136,Doors!$C:$C,$C136)*SUMIFS(Velocity!$I:$I,Velocity!$A:$A,$A136,Velocity!$B:$B,$C136)/Assumptions!$B$4*Assumptions!$B$6</f>
        <v>17.5</v>
      </c>
      <c r="AA136" s="7" t="n">
        <f aca="false">SUMIFS(Doors!AM:AM,Doors!$A:$A,$D136,Doors!$B:$B,$B136,Doors!$C:$C,$C136)*SUMIFS(Velocity!$I:$I,Velocity!$A:$A,$A136,Velocity!$B:$B,$C136)/Assumptions!$B$4*Assumptions!$B$6</f>
        <v>20</v>
      </c>
      <c r="AB136" s="7" t="n">
        <f aca="false">SUMIFS(Doors!AN:AN,Doors!$A:$A,$D136,Doors!$B:$B,$B136,Doors!$C:$C,$C136)*SUMIFS(Velocity!$I:$I,Velocity!$A:$A,$A136,Velocity!$B:$B,$C136)/Assumptions!$B$4*Assumptions!$B$6</f>
        <v>20</v>
      </c>
      <c r="AC136" s="7" t="n">
        <f aca="false">SUMIFS(Doors!AO:AO,Doors!$A:$A,$D136,Doors!$B:$B,$B136,Doors!$C:$C,$C136)*SUMIFS(Velocity!$I:$I,Velocity!$A:$A,$A136,Velocity!$B:$B,$C136)/Assumptions!$B$4*Assumptions!$B$6</f>
        <v>20</v>
      </c>
      <c r="AD136" s="7" t="n">
        <f aca="false">SUMIFS(Doors!AP:AP,Doors!$A:$A,$D136,Doors!$B:$B,$B136,Doors!$C:$C,$C136)*SUMIFS(Velocity!$I:$I,Velocity!$A:$A,$A136,Velocity!$B:$B,$C136)/Assumptions!$B$4*Assumptions!$B$6</f>
        <v>20</v>
      </c>
      <c r="AE136" s="7" t="n">
        <f aca="false">SUMIFS(Doors!AQ:AQ,Doors!$A:$A,$D136,Doors!$B:$B,$B136,Doors!$C:$C,$C136)*SUMIFS(Velocity!$I:$I,Velocity!$A:$A,$A136,Velocity!$B:$B,$C136)/Assumptions!$B$4*Assumptions!$B$6</f>
        <v>21.6666666666667</v>
      </c>
      <c r="AF136" s="7" t="n">
        <f aca="false">SUMIFS(Doors!AR:AR,Doors!$A:$A,$D136,Doors!$B:$B,$B136,Doors!$C:$C,$C136)*SUMIFS(Velocity!$I:$I,Velocity!$A:$A,$A136,Velocity!$B:$B,$C136)/Assumptions!$B$4*Assumptions!$B$6</f>
        <v>21.6666666666667</v>
      </c>
      <c r="AG136" s="7" t="n">
        <f aca="false">SUMIFS(Doors!AS:AS,Doors!$A:$A,$D136,Doors!$B:$B,$B136,Doors!$C:$C,$C136)*SUMIFS(Velocity!$I:$I,Velocity!$A:$A,$A136,Velocity!$B:$B,$C136)/Assumptions!$B$4*Assumptions!$B$6</f>
        <v>21.6666666666667</v>
      </c>
      <c r="AH136" s="7" t="n">
        <f aca="false">SUMIFS(Doors!AT:AT,Doors!$A:$A,$D136,Doors!$B:$B,$B136,Doors!$C:$C,$C136)*SUMIFS(Velocity!$I:$I,Velocity!$A:$A,$A136,Velocity!$B:$B,$C136)/Assumptions!$B$4*Assumptions!$B$6</f>
        <v>21.6666666666667</v>
      </c>
      <c r="AI136" s="7" t="n">
        <f aca="false">SUMIFS(Doors!AU:AU,Doors!$A:$A,$D136,Doors!$B:$B,$B136,Doors!$C:$C,$C136)*SUMIFS(Velocity!$I:$I,Velocity!$A:$A,$A136,Velocity!$B:$B,$C136)/Assumptions!$B$4*Assumptions!$B$6</f>
        <v>21.6666666666667</v>
      </c>
      <c r="AJ136" s="7" t="n">
        <f aca="false">SUMIFS(Doors!AV:AV,Doors!$A:$A,$D136,Doors!$B:$B,$B136,Doors!$C:$C,$C136)*SUMIFS(Velocity!$I:$I,Velocity!$A:$A,$A136,Velocity!$B:$B,$C136)/Assumptions!$B$4*Assumptions!$B$6</f>
        <v>23.3333333333333</v>
      </c>
      <c r="AK136" s="7" t="n">
        <f aca="false">SUMIFS(Doors!AW:AW,Doors!$A:$A,$D136,Doors!$B:$B,$B136,Doors!$C:$C,$C136)*SUMIFS(Velocity!$I:$I,Velocity!$A:$A,$A136,Velocity!$B:$B,$C136)/Assumptions!$B$4*Assumptions!$B$6</f>
        <v>23.3333333333333</v>
      </c>
      <c r="AL136" s="7" t="n">
        <f aca="false">SUMIFS(Doors!AX:AX,Doors!$A:$A,$D136,Doors!$B:$B,$B136,Doors!$C:$C,$C136)*SUMIFS(Velocity!$I:$I,Velocity!$A:$A,$A136,Velocity!$B:$B,$C136)/Assumptions!$B$4*Assumptions!$B$6</f>
        <v>23.3333333333333</v>
      </c>
      <c r="AM136" s="7" t="n">
        <f aca="false">SUMIFS(Doors!AY:AY,Doors!$A:$A,$D136,Doors!$B:$B,$B136,Doors!$C:$C,$C136)*SUMIFS(Velocity!$I:$I,Velocity!$A:$A,$A136,Velocity!$B:$B,$C136)/Assumptions!$B$4*Assumptions!$B$6</f>
        <v>23.3333333333333</v>
      </c>
      <c r="AN136" s="7" t="n">
        <f aca="false">SUMIFS(Doors!AZ:AZ,Doors!$A:$A,$D136,Doors!$B:$B,$B136,Doors!$C:$C,$C136)*SUMIFS(Velocity!$I:$I,Velocity!$A:$A,$A136,Velocity!$B:$B,$C136)/Assumptions!$B$4*Assumptions!$B$6</f>
        <v>24.1666666666667</v>
      </c>
      <c r="AO136" s="7" t="n">
        <f aca="false">SUMIFS(Doors!BA:BA,Doors!$A:$A,$D136,Doors!$B:$B,$B136,Doors!$C:$C,$C136)*SUMIFS(Velocity!$I:$I,Velocity!$A:$A,$A136,Velocity!$B:$B,$C136)/Assumptions!$B$4*Assumptions!$B$6</f>
        <v>24.1666666666667</v>
      </c>
      <c r="AP136" s="7" t="n">
        <f aca="false">SUMIFS(Doors!BB:BB,Doors!$A:$A,$D136,Doors!$B:$B,$B136,Doors!$C:$C,$C136)*SUMIFS(Velocity!$I:$I,Velocity!$A:$A,$A136,Velocity!$B:$B,$C136)/Assumptions!$B$4*Assumptions!$B$6</f>
        <v>24.1666666666667</v>
      </c>
      <c r="AQ136" s="7" t="n">
        <f aca="false">SUMIFS(Doors!BC:BC,Doors!$A:$A,$D136,Doors!$B:$B,$B136,Doors!$C:$C,$C136)*SUMIFS(Velocity!$I:$I,Velocity!$A:$A,$A136,Velocity!$B:$B,$C136)/Assumptions!$B$4*Assumptions!$B$6</f>
        <v>24.1666666666667</v>
      </c>
      <c r="AR136" s="7" t="n">
        <f aca="false">SUMIFS(Doors!BD:BD,Doors!$A:$A,$D136,Doors!$B:$B,$B136,Doors!$C:$C,$C136)*SUMIFS(Velocity!$I:$I,Velocity!$A:$A,$A136,Velocity!$B:$B,$C136)/Assumptions!$B$4*Assumptions!$B$6</f>
        <v>25</v>
      </c>
      <c r="AS136" s="7" t="n">
        <f aca="false">SUMIFS(Doors!BE:BE,Doors!$A:$A,$D136,Doors!$B:$B,$B136,Doors!$C:$C,$C136)*SUMIFS(Velocity!$I:$I,Velocity!$A:$A,$A136,Velocity!$B:$B,$C136)/Assumptions!$B$4*Assumptions!$B$6</f>
        <v>25</v>
      </c>
      <c r="AT136" s="7" t="n">
        <f aca="false">SUMIFS(Doors!BF:BF,Doors!$A:$A,$D136,Doors!$B:$B,$B136,Doors!$C:$C,$C136)*SUMIFS(Velocity!$I:$I,Velocity!$A:$A,$A136,Velocity!$B:$B,$C136)/Assumptions!$B$4*Assumptions!$B$6</f>
        <v>25</v>
      </c>
      <c r="AU136" s="7" t="n">
        <f aca="false">SUMIFS(Doors!BG:BG,Doors!$A:$A,$D136,Doors!$B:$B,$B136,Doors!$C:$C,$C136)*SUMIFS(Velocity!$I:$I,Velocity!$A:$A,$A136,Velocity!$B:$B,$C136)/Assumptions!$B$4*Assumptions!$B$6</f>
        <v>25</v>
      </c>
      <c r="AV136" s="7" t="n">
        <f aca="false">SUMIFS(Doors!BH:BH,Doors!$A:$A,$D136,Doors!$B:$B,$B136,Doors!$C:$C,$C136)*SUMIFS(Velocity!$I:$I,Velocity!$A:$A,$A136,Velocity!$B:$B,$C136)/Assumptions!$B$4*Assumptions!$B$6</f>
        <v>25</v>
      </c>
      <c r="AW136" s="7" t="n">
        <f aca="false">SUMIFS(Doors!BI:BI,Doors!$A:$A,$D136,Doors!$B:$B,$B136,Doors!$C:$C,$C136)*SUMIFS(Velocity!$I:$I,Velocity!$A:$A,$A136,Velocity!$B:$B,$C136)/Assumptions!$B$4*Assumptions!$B$6</f>
        <v>25.3333333333333</v>
      </c>
      <c r="AX136" s="7" t="n">
        <f aca="false">SUMIFS(Doors!BJ:BJ,Doors!$A:$A,$D136,Doors!$B:$B,$B136,Doors!$C:$C,$C136)*SUMIFS(Velocity!$I:$I,Velocity!$A:$A,$A136,Velocity!$B:$B,$C136)/Assumptions!$B$4*Assumptions!$B$6</f>
        <v>25.3333333333333</v>
      </c>
      <c r="AY136" s="7" t="n">
        <f aca="false">SUMIFS(Doors!BK:BK,Doors!$A:$A,$D136,Doors!$B:$B,$B136,Doors!$C:$C,$C136)*SUMIFS(Velocity!$I:$I,Velocity!$A:$A,$A136,Velocity!$B:$B,$C136)/Assumptions!$B$4*Assumptions!$B$6</f>
        <v>25.3333333333333</v>
      </c>
      <c r="AZ136" s="7" t="n">
        <f aca="false">SUMIFS(Doors!BL:BL,Doors!$A:$A,$D136,Doors!$B:$B,$B136,Doors!$C:$C,$C136)*SUMIFS(Velocity!$I:$I,Velocity!$A:$A,$A136,Velocity!$B:$B,$C136)/Assumptions!$B$4*Assumptions!$B$6</f>
        <v>25.3333333333333</v>
      </c>
      <c r="BA136" s="7" t="n">
        <f aca="false">SUMIFS(Doors!BM:BM,Doors!$A:$A,$D136,Doors!$B:$B,$B136,Doors!$C:$C,$C136)*SUMIFS(Velocity!$I:$I,Velocity!$A:$A,$A136,Velocity!$B:$B,$C136)/Assumptions!$B$4*Assumptions!$B$6</f>
        <v>25.8333333333333</v>
      </c>
      <c r="BB136" s="7" t="n">
        <f aca="false">SUMIFS(Doors!BN:BN,Doors!$A:$A,$D136,Doors!$B:$B,$B136,Doors!$C:$C,$C136)*SUMIFS(Velocity!$I:$I,Velocity!$A:$A,$A136,Velocity!$B:$B,$C136)/Assumptions!$B$4*Assumptions!$B$6</f>
        <v>25.8333333333333</v>
      </c>
      <c r="BC136" s="7" t="n">
        <f aca="false">SUMIFS(Doors!BO:BO,Doors!$A:$A,$D136,Doors!$B:$B,$B136,Doors!$C:$C,$C136)*SUMIFS(Velocity!$I:$I,Velocity!$A:$A,$A136,Velocity!$B:$B,$C136)/Assumptions!$B$4*Assumptions!$B$6</f>
        <v>25.8333333333333</v>
      </c>
      <c r="BD136" s="7" t="n">
        <f aca="false">SUMIFS(Doors!BP:BP,Doors!$A:$A,$D136,Doors!$B:$B,$B136,Doors!$C:$C,$C136)*SUMIFS(Velocity!$I:$I,Velocity!$A:$A,$A136,Velocity!$B:$B,$C136)/Assumptions!$B$4*Assumptions!$B$6</f>
        <v>25.8333333333333</v>
      </c>
    </row>
    <row r="137" customFormat="false" ht="15" hidden="false" customHeight="false" outlineLevel="0" collapsed="false">
      <c r="A137" s="0" t="s">
        <v>109</v>
      </c>
      <c r="B137" s="0" t="s">
        <v>130</v>
      </c>
      <c r="C137" s="0" t="s">
        <v>120</v>
      </c>
      <c r="D137" s="0" t="s">
        <v>235</v>
      </c>
      <c r="E137" s="7" t="n">
        <f aca="false">SUMIFS(Doors!Q:Q,Doors!$A:$A,$D137,Doors!$B:$B,$B137,Doors!$C:$C,$C137)*SUMIFS(Velocity!$I:$I,Velocity!$A:$A,$A137,Velocity!$B:$B,$C137)/Assumptions!$B$4*Assumptions!$B$6</f>
        <v>9.89583333333333</v>
      </c>
      <c r="F137" s="7" t="n">
        <f aca="false">SUMIFS(Doors!R:R,Doors!$A:$A,$D137,Doors!$B:$B,$B137,Doors!$C:$C,$C137)*SUMIFS(Velocity!$I:$I,Velocity!$A:$A,$A137,Velocity!$B:$B,$C137)/Assumptions!$B$4*Assumptions!$B$6</f>
        <v>9.89583333333333</v>
      </c>
      <c r="G137" s="7" t="n">
        <f aca="false">SUMIFS(Doors!S:S,Doors!$A:$A,$D137,Doors!$B:$B,$B137,Doors!$C:$C,$C137)*SUMIFS(Velocity!$I:$I,Velocity!$A:$A,$A137,Velocity!$B:$B,$C137)/Assumptions!$B$4*Assumptions!$B$6</f>
        <v>9.89583333333333</v>
      </c>
      <c r="H137" s="7" t="n">
        <f aca="false">SUMIFS(Doors!T:T,Doors!$A:$A,$D137,Doors!$B:$B,$B137,Doors!$C:$C,$C137)*SUMIFS(Velocity!$I:$I,Velocity!$A:$A,$A137,Velocity!$B:$B,$C137)/Assumptions!$B$4*Assumptions!$B$6</f>
        <v>9.89583333333333</v>
      </c>
      <c r="I137" s="7" t="n">
        <f aca="false">SUMIFS(Doors!U:U,Doors!$A:$A,$D137,Doors!$B:$B,$B137,Doors!$C:$C,$C137)*SUMIFS(Velocity!$I:$I,Velocity!$A:$A,$A137,Velocity!$B:$B,$C137)/Assumptions!$B$4*Assumptions!$B$6</f>
        <v>9.89583333333333</v>
      </c>
      <c r="J137" s="7" t="n">
        <f aca="false">SUMIFS(Doors!V:V,Doors!$A:$A,$D137,Doors!$B:$B,$B137,Doors!$C:$C,$C137)*SUMIFS(Velocity!$I:$I,Velocity!$A:$A,$A137,Velocity!$B:$B,$C137)/Assumptions!$B$4*Assumptions!$B$6</f>
        <v>14.84375</v>
      </c>
      <c r="K137" s="7" t="n">
        <f aca="false">SUMIFS(Doors!W:W,Doors!$A:$A,$D137,Doors!$B:$B,$B137,Doors!$C:$C,$C137)*SUMIFS(Velocity!$I:$I,Velocity!$A:$A,$A137,Velocity!$B:$B,$C137)/Assumptions!$B$4*Assumptions!$B$6</f>
        <v>14.84375</v>
      </c>
      <c r="L137" s="7" t="n">
        <f aca="false">SUMIFS(Doors!X:X,Doors!$A:$A,$D137,Doors!$B:$B,$B137,Doors!$C:$C,$C137)*SUMIFS(Velocity!$I:$I,Velocity!$A:$A,$A137,Velocity!$B:$B,$C137)/Assumptions!$B$4*Assumptions!$B$6</f>
        <v>14.84375</v>
      </c>
      <c r="M137" s="7" t="n">
        <f aca="false">SUMIFS(Doors!Y:Y,Doors!$A:$A,$D137,Doors!$B:$B,$B137,Doors!$C:$C,$C137)*SUMIFS(Velocity!$I:$I,Velocity!$A:$A,$A137,Velocity!$B:$B,$C137)/Assumptions!$B$4*Assumptions!$B$6</f>
        <v>14.84375</v>
      </c>
      <c r="N137" s="7" t="n">
        <f aca="false">SUMIFS(Doors!Z:Z,Doors!$A:$A,$D137,Doors!$B:$B,$B137,Doors!$C:$C,$C137)*SUMIFS(Velocity!$I:$I,Velocity!$A:$A,$A137,Velocity!$B:$B,$C137)/Assumptions!$B$4*Assumptions!$B$6</f>
        <v>20.78125</v>
      </c>
      <c r="O137" s="7" t="n">
        <f aca="false">SUMIFS(Doors!AA:AA,Doors!$A:$A,$D137,Doors!$B:$B,$B137,Doors!$C:$C,$C137)*SUMIFS(Velocity!$I:$I,Velocity!$A:$A,$A137,Velocity!$B:$B,$C137)/Assumptions!$B$4*Assumptions!$B$6</f>
        <v>20.78125</v>
      </c>
      <c r="P137" s="7" t="n">
        <f aca="false">SUMIFS(Doors!AB:AB,Doors!$A:$A,$D137,Doors!$B:$B,$B137,Doors!$C:$C,$C137)*SUMIFS(Velocity!$I:$I,Velocity!$A:$A,$A137,Velocity!$B:$B,$C137)/Assumptions!$B$4*Assumptions!$B$6</f>
        <v>20.78125</v>
      </c>
      <c r="Q137" s="7" t="n">
        <f aca="false">SUMIFS(Doors!AC:AC,Doors!$A:$A,$D137,Doors!$B:$B,$B137,Doors!$C:$C,$C137)*SUMIFS(Velocity!$I:$I,Velocity!$A:$A,$A137,Velocity!$B:$B,$C137)/Assumptions!$B$4*Assumptions!$B$6</f>
        <v>20.78125</v>
      </c>
      <c r="R137" s="7" t="n">
        <f aca="false">SUMIFS(Doors!AD:AD,Doors!$A:$A,$D137,Doors!$B:$B,$B137,Doors!$C:$C,$C137)*SUMIFS(Velocity!$I:$I,Velocity!$A:$A,$A137,Velocity!$B:$B,$C137)/Assumptions!$B$4*Assumptions!$B$6</f>
        <v>25.7291666666667</v>
      </c>
      <c r="S137" s="7" t="n">
        <f aca="false">SUMIFS(Doors!AE:AE,Doors!$A:$A,$D137,Doors!$B:$B,$B137,Doors!$C:$C,$C137)*SUMIFS(Velocity!$I:$I,Velocity!$A:$A,$A137,Velocity!$B:$B,$C137)/Assumptions!$B$4*Assumptions!$B$6</f>
        <v>25.7291666666667</v>
      </c>
      <c r="T137" s="7" t="n">
        <f aca="false">SUMIFS(Doors!AF:AF,Doors!$A:$A,$D137,Doors!$B:$B,$B137,Doors!$C:$C,$C137)*SUMIFS(Velocity!$I:$I,Velocity!$A:$A,$A137,Velocity!$B:$B,$C137)/Assumptions!$B$4*Assumptions!$B$6</f>
        <v>25.7291666666667</v>
      </c>
      <c r="U137" s="7" t="n">
        <f aca="false">SUMIFS(Doors!AG:AG,Doors!$A:$A,$D137,Doors!$B:$B,$B137,Doors!$C:$C,$C137)*SUMIFS(Velocity!$I:$I,Velocity!$A:$A,$A137,Velocity!$B:$B,$C137)/Assumptions!$B$4*Assumptions!$B$6</f>
        <v>25.7291666666667</v>
      </c>
      <c r="V137" s="7" t="n">
        <f aca="false">SUMIFS(Doors!AH:AH,Doors!$A:$A,$D137,Doors!$B:$B,$B137,Doors!$C:$C,$C137)*SUMIFS(Velocity!$I:$I,Velocity!$A:$A,$A137,Velocity!$B:$B,$C137)/Assumptions!$B$4*Assumptions!$B$6</f>
        <v>25.7291666666667</v>
      </c>
      <c r="W137" s="7" t="n">
        <f aca="false">SUMIFS(Doors!AI:AI,Doors!$A:$A,$D137,Doors!$B:$B,$B137,Doors!$C:$C,$C137)*SUMIFS(Velocity!$I:$I,Velocity!$A:$A,$A137,Velocity!$B:$B,$C137)/Assumptions!$B$4*Assumptions!$B$6</f>
        <v>29.6875</v>
      </c>
      <c r="X137" s="7" t="n">
        <f aca="false">SUMIFS(Doors!AJ:AJ,Doors!$A:$A,$D137,Doors!$B:$B,$B137,Doors!$C:$C,$C137)*SUMIFS(Velocity!$I:$I,Velocity!$A:$A,$A137,Velocity!$B:$B,$C137)/Assumptions!$B$4*Assumptions!$B$6</f>
        <v>29.6875</v>
      </c>
      <c r="Y137" s="7" t="n">
        <f aca="false">SUMIFS(Doors!AK:AK,Doors!$A:$A,$D137,Doors!$B:$B,$B137,Doors!$C:$C,$C137)*SUMIFS(Velocity!$I:$I,Velocity!$A:$A,$A137,Velocity!$B:$B,$C137)/Assumptions!$B$4*Assumptions!$B$6</f>
        <v>29.6875</v>
      </c>
      <c r="Z137" s="7" t="n">
        <f aca="false">SUMIFS(Doors!AL:AL,Doors!$A:$A,$D137,Doors!$B:$B,$B137,Doors!$C:$C,$C137)*SUMIFS(Velocity!$I:$I,Velocity!$A:$A,$A137,Velocity!$B:$B,$C137)/Assumptions!$B$4*Assumptions!$B$6</f>
        <v>29.6875</v>
      </c>
      <c r="AA137" s="7" t="n">
        <f aca="false">SUMIFS(Doors!AM:AM,Doors!$A:$A,$D137,Doors!$B:$B,$B137,Doors!$C:$C,$C137)*SUMIFS(Velocity!$I:$I,Velocity!$A:$A,$A137,Velocity!$B:$B,$C137)/Assumptions!$B$4*Assumptions!$B$6</f>
        <v>33.6458333333333</v>
      </c>
      <c r="AB137" s="7" t="n">
        <f aca="false">SUMIFS(Doors!AN:AN,Doors!$A:$A,$D137,Doors!$B:$B,$B137,Doors!$C:$C,$C137)*SUMIFS(Velocity!$I:$I,Velocity!$A:$A,$A137,Velocity!$B:$B,$C137)/Assumptions!$B$4*Assumptions!$B$6</f>
        <v>33.6458333333333</v>
      </c>
      <c r="AC137" s="7" t="n">
        <f aca="false">SUMIFS(Doors!AO:AO,Doors!$A:$A,$D137,Doors!$B:$B,$B137,Doors!$C:$C,$C137)*SUMIFS(Velocity!$I:$I,Velocity!$A:$A,$A137,Velocity!$B:$B,$C137)/Assumptions!$B$4*Assumptions!$B$6</f>
        <v>33.6458333333333</v>
      </c>
      <c r="AD137" s="7" t="n">
        <f aca="false">SUMIFS(Doors!AP:AP,Doors!$A:$A,$D137,Doors!$B:$B,$B137,Doors!$C:$C,$C137)*SUMIFS(Velocity!$I:$I,Velocity!$A:$A,$A137,Velocity!$B:$B,$C137)/Assumptions!$B$4*Assumptions!$B$6</f>
        <v>33.6458333333333</v>
      </c>
      <c r="AE137" s="7" t="n">
        <f aca="false">SUMIFS(Doors!AQ:AQ,Doors!$A:$A,$D137,Doors!$B:$B,$B137,Doors!$C:$C,$C137)*SUMIFS(Velocity!$I:$I,Velocity!$A:$A,$A137,Velocity!$B:$B,$C137)/Assumptions!$B$4*Assumptions!$B$6</f>
        <v>35.625</v>
      </c>
      <c r="AF137" s="7" t="n">
        <f aca="false">SUMIFS(Doors!AR:AR,Doors!$A:$A,$D137,Doors!$B:$B,$B137,Doors!$C:$C,$C137)*SUMIFS(Velocity!$I:$I,Velocity!$A:$A,$A137,Velocity!$B:$B,$C137)/Assumptions!$B$4*Assumptions!$B$6</f>
        <v>35.625</v>
      </c>
      <c r="AG137" s="7" t="n">
        <f aca="false">SUMIFS(Doors!AS:AS,Doors!$A:$A,$D137,Doors!$B:$B,$B137,Doors!$C:$C,$C137)*SUMIFS(Velocity!$I:$I,Velocity!$A:$A,$A137,Velocity!$B:$B,$C137)/Assumptions!$B$4*Assumptions!$B$6</f>
        <v>35.625</v>
      </c>
      <c r="AH137" s="7" t="n">
        <f aca="false">SUMIFS(Doors!AT:AT,Doors!$A:$A,$D137,Doors!$B:$B,$B137,Doors!$C:$C,$C137)*SUMIFS(Velocity!$I:$I,Velocity!$A:$A,$A137,Velocity!$B:$B,$C137)/Assumptions!$B$4*Assumptions!$B$6</f>
        <v>35.625</v>
      </c>
      <c r="AI137" s="7" t="n">
        <f aca="false">SUMIFS(Doors!AU:AU,Doors!$A:$A,$D137,Doors!$B:$B,$B137,Doors!$C:$C,$C137)*SUMIFS(Velocity!$I:$I,Velocity!$A:$A,$A137,Velocity!$B:$B,$C137)/Assumptions!$B$4*Assumptions!$B$6</f>
        <v>35.625</v>
      </c>
      <c r="AJ137" s="7" t="n">
        <f aca="false">SUMIFS(Doors!AV:AV,Doors!$A:$A,$D137,Doors!$B:$B,$B137,Doors!$C:$C,$C137)*SUMIFS(Velocity!$I:$I,Velocity!$A:$A,$A137,Velocity!$B:$B,$C137)/Assumptions!$B$4*Assumptions!$B$6</f>
        <v>37.6041666666667</v>
      </c>
      <c r="AK137" s="7" t="n">
        <f aca="false">SUMIFS(Doors!AW:AW,Doors!$A:$A,$D137,Doors!$B:$B,$B137,Doors!$C:$C,$C137)*SUMIFS(Velocity!$I:$I,Velocity!$A:$A,$A137,Velocity!$B:$B,$C137)/Assumptions!$B$4*Assumptions!$B$6</f>
        <v>37.6041666666667</v>
      </c>
      <c r="AL137" s="7" t="n">
        <f aca="false">SUMIFS(Doors!AX:AX,Doors!$A:$A,$D137,Doors!$B:$B,$B137,Doors!$C:$C,$C137)*SUMIFS(Velocity!$I:$I,Velocity!$A:$A,$A137,Velocity!$B:$B,$C137)/Assumptions!$B$4*Assumptions!$B$6</f>
        <v>37.6041666666667</v>
      </c>
      <c r="AM137" s="7" t="n">
        <f aca="false">SUMIFS(Doors!AY:AY,Doors!$A:$A,$D137,Doors!$B:$B,$B137,Doors!$C:$C,$C137)*SUMIFS(Velocity!$I:$I,Velocity!$A:$A,$A137,Velocity!$B:$B,$C137)/Assumptions!$B$4*Assumptions!$B$6</f>
        <v>37.6041666666667</v>
      </c>
      <c r="AN137" s="7" t="n">
        <f aca="false">SUMIFS(Doors!AZ:AZ,Doors!$A:$A,$D137,Doors!$B:$B,$B137,Doors!$C:$C,$C137)*SUMIFS(Velocity!$I:$I,Velocity!$A:$A,$A137,Velocity!$B:$B,$C137)/Assumptions!$B$4*Assumptions!$B$6</f>
        <v>38.59375</v>
      </c>
      <c r="AO137" s="7" t="n">
        <f aca="false">SUMIFS(Doors!BA:BA,Doors!$A:$A,$D137,Doors!$B:$B,$B137,Doors!$C:$C,$C137)*SUMIFS(Velocity!$I:$I,Velocity!$A:$A,$A137,Velocity!$B:$B,$C137)/Assumptions!$B$4*Assumptions!$B$6</f>
        <v>38.59375</v>
      </c>
      <c r="AP137" s="7" t="n">
        <f aca="false">SUMIFS(Doors!BB:BB,Doors!$A:$A,$D137,Doors!$B:$B,$B137,Doors!$C:$C,$C137)*SUMIFS(Velocity!$I:$I,Velocity!$A:$A,$A137,Velocity!$B:$B,$C137)/Assumptions!$B$4*Assumptions!$B$6</f>
        <v>38.59375</v>
      </c>
      <c r="AQ137" s="7" t="n">
        <f aca="false">SUMIFS(Doors!BC:BC,Doors!$A:$A,$D137,Doors!$B:$B,$B137,Doors!$C:$C,$C137)*SUMIFS(Velocity!$I:$I,Velocity!$A:$A,$A137,Velocity!$B:$B,$C137)/Assumptions!$B$4*Assumptions!$B$6</f>
        <v>38.59375</v>
      </c>
      <c r="AR137" s="7" t="n">
        <f aca="false">SUMIFS(Doors!BD:BD,Doors!$A:$A,$D137,Doors!$B:$B,$B137,Doors!$C:$C,$C137)*SUMIFS(Velocity!$I:$I,Velocity!$A:$A,$A137,Velocity!$B:$B,$C137)/Assumptions!$B$4*Assumptions!$B$6</f>
        <v>39.1875</v>
      </c>
      <c r="AS137" s="7" t="n">
        <f aca="false">SUMIFS(Doors!BE:BE,Doors!$A:$A,$D137,Doors!$B:$B,$B137,Doors!$C:$C,$C137)*SUMIFS(Velocity!$I:$I,Velocity!$A:$A,$A137,Velocity!$B:$B,$C137)/Assumptions!$B$4*Assumptions!$B$6</f>
        <v>39.1875</v>
      </c>
      <c r="AT137" s="7" t="n">
        <f aca="false">SUMIFS(Doors!BF:BF,Doors!$A:$A,$D137,Doors!$B:$B,$B137,Doors!$C:$C,$C137)*SUMIFS(Velocity!$I:$I,Velocity!$A:$A,$A137,Velocity!$B:$B,$C137)/Assumptions!$B$4*Assumptions!$B$6</f>
        <v>39.1875</v>
      </c>
      <c r="AU137" s="7" t="n">
        <f aca="false">SUMIFS(Doors!BG:BG,Doors!$A:$A,$D137,Doors!$B:$B,$B137,Doors!$C:$C,$C137)*SUMIFS(Velocity!$I:$I,Velocity!$A:$A,$A137,Velocity!$B:$B,$C137)/Assumptions!$B$4*Assumptions!$B$6</f>
        <v>39.1875</v>
      </c>
      <c r="AV137" s="7" t="n">
        <f aca="false">SUMIFS(Doors!BH:BH,Doors!$A:$A,$D137,Doors!$B:$B,$B137,Doors!$C:$C,$C137)*SUMIFS(Velocity!$I:$I,Velocity!$A:$A,$A137,Velocity!$B:$B,$C137)/Assumptions!$B$4*Assumptions!$B$6</f>
        <v>39.1875</v>
      </c>
      <c r="AW137" s="7" t="n">
        <f aca="false">SUMIFS(Doors!BI:BI,Doors!$A:$A,$D137,Doors!$B:$B,$B137,Doors!$C:$C,$C137)*SUMIFS(Velocity!$I:$I,Velocity!$A:$A,$A137,Velocity!$B:$B,$C137)/Assumptions!$B$4*Assumptions!$B$6</f>
        <v>39.5833333333333</v>
      </c>
      <c r="AX137" s="7" t="n">
        <f aca="false">SUMIFS(Doors!BJ:BJ,Doors!$A:$A,$D137,Doors!$B:$B,$B137,Doors!$C:$C,$C137)*SUMIFS(Velocity!$I:$I,Velocity!$A:$A,$A137,Velocity!$B:$B,$C137)/Assumptions!$B$4*Assumptions!$B$6</f>
        <v>39.5833333333333</v>
      </c>
      <c r="AY137" s="7" t="n">
        <f aca="false">SUMIFS(Doors!BK:BK,Doors!$A:$A,$D137,Doors!$B:$B,$B137,Doors!$C:$C,$C137)*SUMIFS(Velocity!$I:$I,Velocity!$A:$A,$A137,Velocity!$B:$B,$C137)/Assumptions!$B$4*Assumptions!$B$6</f>
        <v>39.5833333333333</v>
      </c>
      <c r="AZ137" s="7" t="n">
        <f aca="false">SUMIFS(Doors!BL:BL,Doors!$A:$A,$D137,Doors!$B:$B,$B137,Doors!$C:$C,$C137)*SUMIFS(Velocity!$I:$I,Velocity!$A:$A,$A137,Velocity!$B:$B,$C137)/Assumptions!$B$4*Assumptions!$B$6</f>
        <v>39.5833333333333</v>
      </c>
      <c r="BA137" s="7" t="n">
        <f aca="false">SUMIFS(Doors!BM:BM,Doors!$A:$A,$D137,Doors!$B:$B,$B137,Doors!$C:$C,$C137)*SUMIFS(Velocity!$I:$I,Velocity!$A:$A,$A137,Velocity!$B:$B,$C137)/Assumptions!$B$4*Assumptions!$B$6</f>
        <v>39.5833333333333</v>
      </c>
      <c r="BB137" s="7" t="n">
        <f aca="false">SUMIFS(Doors!BN:BN,Doors!$A:$A,$D137,Doors!$B:$B,$B137,Doors!$C:$C,$C137)*SUMIFS(Velocity!$I:$I,Velocity!$A:$A,$A137,Velocity!$B:$B,$C137)/Assumptions!$B$4*Assumptions!$B$6</f>
        <v>39.5833333333333</v>
      </c>
      <c r="BC137" s="7" t="n">
        <f aca="false">SUMIFS(Doors!BO:BO,Doors!$A:$A,$D137,Doors!$B:$B,$B137,Doors!$C:$C,$C137)*SUMIFS(Velocity!$I:$I,Velocity!$A:$A,$A137,Velocity!$B:$B,$C137)/Assumptions!$B$4*Assumptions!$B$6</f>
        <v>39.5833333333333</v>
      </c>
      <c r="BD137" s="7" t="n">
        <f aca="false">SUMIFS(Doors!BP:BP,Doors!$A:$A,$D137,Doors!$B:$B,$B137,Doors!$C:$C,$C137)*SUMIFS(Velocity!$I:$I,Velocity!$A:$A,$A137,Velocity!$B:$B,$C137)/Assumptions!$B$4*Assumptions!$B$6</f>
        <v>39.5833333333333</v>
      </c>
    </row>
    <row r="138" customFormat="false" ht="15" hidden="false" customHeight="false" outlineLevel="0" collapsed="false">
      <c r="A138" s="0" t="s">
        <v>109</v>
      </c>
      <c r="B138" s="0" t="s">
        <v>130</v>
      </c>
      <c r="C138" s="0" t="s">
        <v>121</v>
      </c>
      <c r="D138" s="0" t="s">
        <v>235</v>
      </c>
      <c r="E138" s="7" t="n">
        <f aca="false">SUMIFS(Doors!Q:Q,Doors!$A:$A,$D138,Doors!$B:$B,$B138,Doors!$C:$C,$C138)*SUMIFS(Velocity!$I:$I,Velocity!$A:$A,$A138,Velocity!$B:$B,$C138)/Assumptions!$B$4*Assumptions!$B$6</f>
        <v>7.60416666666667</v>
      </c>
      <c r="F138" s="7" t="n">
        <f aca="false">SUMIFS(Doors!R:R,Doors!$A:$A,$D138,Doors!$B:$B,$B138,Doors!$C:$C,$C138)*SUMIFS(Velocity!$I:$I,Velocity!$A:$A,$A138,Velocity!$B:$B,$C138)/Assumptions!$B$4*Assumptions!$B$6</f>
        <v>7.60416666666667</v>
      </c>
      <c r="G138" s="7" t="n">
        <f aca="false">SUMIFS(Doors!S:S,Doors!$A:$A,$D138,Doors!$B:$B,$B138,Doors!$C:$C,$C138)*SUMIFS(Velocity!$I:$I,Velocity!$A:$A,$A138,Velocity!$B:$B,$C138)/Assumptions!$B$4*Assumptions!$B$6</f>
        <v>7.60416666666667</v>
      </c>
      <c r="H138" s="7" t="n">
        <f aca="false">SUMIFS(Doors!T:T,Doors!$A:$A,$D138,Doors!$B:$B,$B138,Doors!$C:$C,$C138)*SUMIFS(Velocity!$I:$I,Velocity!$A:$A,$A138,Velocity!$B:$B,$C138)/Assumptions!$B$4*Assumptions!$B$6</f>
        <v>7.60416666666667</v>
      </c>
      <c r="I138" s="7" t="n">
        <f aca="false">SUMIFS(Doors!U:U,Doors!$A:$A,$D138,Doors!$B:$B,$B138,Doors!$C:$C,$C138)*SUMIFS(Velocity!$I:$I,Velocity!$A:$A,$A138,Velocity!$B:$B,$C138)/Assumptions!$B$4*Assumptions!$B$6</f>
        <v>7.60416666666667</v>
      </c>
      <c r="J138" s="7" t="n">
        <f aca="false">SUMIFS(Doors!V:V,Doors!$A:$A,$D138,Doors!$B:$B,$B138,Doors!$C:$C,$C138)*SUMIFS(Velocity!$I:$I,Velocity!$A:$A,$A138,Velocity!$B:$B,$C138)/Assumptions!$B$4*Assumptions!$B$6</f>
        <v>11.5583333333333</v>
      </c>
      <c r="K138" s="7" t="n">
        <f aca="false">SUMIFS(Doors!W:W,Doors!$A:$A,$D138,Doors!$B:$B,$B138,Doors!$C:$C,$C138)*SUMIFS(Velocity!$I:$I,Velocity!$A:$A,$A138,Velocity!$B:$B,$C138)/Assumptions!$B$4*Assumptions!$B$6</f>
        <v>11.5583333333333</v>
      </c>
      <c r="L138" s="7" t="n">
        <f aca="false">SUMIFS(Doors!X:X,Doors!$A:$A,$D138,Doors!$B:$B,$B138,Doors!$C:$C,$C138)*SUMIFS(Velocity!$I:$I,Velocity!$A:$A,$A138,Velocity!$B:$B,$C138)/Assumptions!$B$4*Assumptions!$B$6</f>
        <v>11.5583333333333</v>
      </c>
      <c r="M138" s="7" t="n">
        <f aca="false">SUMIFS(Doors!Y:Y,Doors!$A:$A,$D138,Doors!$B:$B,$B138,Doors!$C:$C,$C138)*SUMIFS(Velocity!$I:$I,Velocity!$A:$A,$A138,Velocity!$B:$B,$C138)/Assumptions!$B$4*Assumptions!$B$6</f>
        <v>11.5583333333333</v>
      </c>
      <c r="N138" s="7" t="n">
        <f aca="false">SUMIFS(Doors!Z:Z,Doors!$A:$A,$D138,Doors!$B:$B,$B138,Doors!$C:$C,$C138)*SUMIFS(Velocity!$I:$I,Velocity!$A:$A,$A138,Velocity!$B:$B,$C138)/Assumptions!$B$4*Assumptions!$B$6</f>
        <v>16.7291666666667</v>
      </c>
      <c r="O138" s="7" t="n">
        <f aca="false">SUMIFS(Doors!AA:AA,Doors!$A:$A,$D138,Doors!$B:$B,$B138,Doors!$C:$C,$C138)*SUMIFS(Velocity!$I:$I,Velocity!$A:$A,$A138,Velocity!$B:$B,$C138)/Assumptions!$B$4*Assumptions!$B$6</f>
        <v>16.7291666666667</v>
      </c>
      <c r="P138" s="7" t="n">
        <f aca="false">SUMIFS(Doors!AB:AB,Doors!$A:$A,$D138,Doors!$B:$B,$B138,Doors!$C:$C,$C138)*SUMIFS(Velocity!$I:$I,Velocity!$A:$A,$A138,Velocity!$B:$B,$C138)/Assumptions!$B$4*Assumptions!$B$6</f>
        <v>16.7291666666667</v>
      </c>
      <c r="Q138" s="7" t="n">
        <f aca="false">SUMIFS(Doors!AC:AC,Doors!$A:$A,$D138,Doors!$B:$B,$B138,Doors!$C:$C,$C138)*SUMIFS(Velocity!$I:$I,Velocity!$A:$A,$A138,Velocity!$B:$B,$C138)/Assumptions!$B$4*Assumptions!$B$6</f>
        <v>16.7291666666667</v>
      </c>
      <c r="R138" s="7" t="n">
        <f aca="false">SUMIFS(Doors!AD:AD,Doors!$A:$A,$D138,Doors!$B:$B,$B138,Doors!$C:$C,$C138)*SUMIFS(Velocity!$I:$I,Velocity!$A:$A,$A138,Velocity!$B:$B,$C138)/Assumptions!$B$4*Assumptions!$B$6</f>
        <v>21.2916666666667</v>
      </c>
      <c r="S138" s="7" t="n">
        <f aca="false">SUMIFS(Doors!AE:AE,Doors!$A:$A,$D138,Doors!$B:$B,$B138,Doors!$C:$C,$C138)*SUMIFS(Velocity!$I:$I,Velocity!$A:$A,$A138,Velocity!$B:$B,$C138)/Assumptions!$B$4*Assumptions!$B$6</f>
        <v>21.2916666666667</v>
      </c>
      <c r="T138" s="7" t="n">
        <f aca="false">SUMIFS(Doors!AF:AF,Doors!$A:$A,$D138,Doors!$B:$B,$B138,Doors!$C:$C,$C138)*SUMIFS(Velocity!$I:$I,Velocity!$A:$A,$A138,Velocity!$B:$B,$C138)/Assumptions!$B$4*Assumptions!$B$6</f>
        <v>21.2916666666667</v>
      </c>
      <c r="U138" s="7" t="n">
        <f aca="false">SUMIFS(Doors!AG:AG,Doors!$A:$A,$D138,Doors!$B:$B,$B138,Doors!$C:$C,$C138)*SUMIFS(Velocity!$I:$I,Velocity!$A:$A,$A138,Velocity!$B:$B,$C138)/Assumptions!$B$4*Assumptions!$B$6</f>
        <v>21.2916666666667</v>
      </c>
      <c r="V138" s="7" t="n">
        <f aca="false">SUMIFS(Doors!AH:AH,Doors!$A:$A,$D138,Doors!$B:$B,$B138,Doors!$C:$C,$C138)*SUMIFS(Velocity!$I:$I,Velocity!$A:$A,$A138,Velocity!$B:$B,$C138)/Assumptions!$B$4*Assumptions!$B$6</f>
        <v>21.2916666666667</v>
      </c>
      <c r="W138" s="7" t="n">
        <f aca="false">SUMIFS(Doors!AI:AI,Doors!$A:$A,$D138,Doors!$B:$B,$B138,Doors!$C:$C,$C138)*SUMIFS(Velocity!$I:$I,Velocity!$A:$A,$A138,Velocity!$B:$B,$C138)/Assumptions!$B$4*Assumptions!$B$6</f>
        <v>24.9416666666667</v>
      </c>
      <c r="X138" s="7" t="n">
        <f aca="false">SUMIFS(Doors!AJ:AJ,Doors!$A:$A,$D138,Doors!$B:$B,$B138,Doors!$C:$C,$C138)*SUMIFS(Velocity!$I:$I,Velocity!$A:$A,$A138,Velocity!$B:$B,$C138)/Assumptions!$B$4*Assumptions!$B$6</f>
        <v>24.9416666666667</v>
      </c>
      <c r="Y138" s="7" t="n">
        <f aca="false">SUMIFS(Doors!AK:AK,Doors!$A:$A,$D138,Doors!$B:$B,$B138,Doors!$C:$C,$C138)*SUMIFS(Velocity!$I:$I,Velocity!$A:$A,$A138,Velocity!$B:$B,$C138)/Assumptions!$B$4*Assumptions!$B$6</f>
        <v>24.9416666666667</v>
      </c>
      <c r="Z138" s="7" t="n">
        <f aca="false">SUMIFS(Doors!AL:AL,Doors!$A:$A,$D138,Doors!$B:$B,$B138,Doors!$C:$C,$C138)*SUMIFS(Velocity!$I:$I,Velocity!$A:$A,$A138,Velocity!$B:$B,$C138)/Assumptions!$B$4*Assumptions!$B$6</f>
        <v>24.9416666666667</v>
      </c>
      <c r="AA138" s="7" t="n">
        <f aca="false">SUMIFS(Doors!AM:AM,Doors!$A:$A,$D138,Doors!$B:$B,$B138,Doors!$C:$C,$C138)*SUMIFS(Velocity!$I:$I,Velocity!$A:$A,$A138,Velocity!$B:$B,$C138)/Assumptions!$B$4*Assumptions!$B$6</f>
        <v>27.375</v>
      </c>
      <c r="AB138" s="7" t="n">
        <f aca="false">SUMIFS(Doors!AN:AN,Doors!$A:$A,$D138,Doors!$B:$B,$B138,Doors!$C:$C,$C138)*SUMIFS(Velocity!$I:$I,Velocity!$A:$A,$A138,Velocity!$B:$B,$C138)/Assumptions!$B$4*Assumptions!$B$6</f>
        <v>27.375</v>
      </c>
      <c r="AC138" s="7" t="n">
        <f aca="false">SUMIFS(Doors!AO:AO,Doors!$A:$A,$D138,Doors!$B:$B,$B138,Doors!$C:$C,$C138)*SUMIFS(Velocity!$I:$I,Velocity!$A:$A,$A138,Velocity!$B:$B,$C138)/Assumptions!$B$4*Assumptions!$B$6</f>
        <v>27.375</v>
      </c>
      <c r="AD138" s="7" t="n">
        <f aca="false">SUMIFS(Doors!AP:AP,Doors!$A:$A,$D138,Doors!$B:$B,$B138,Doors!$C:$C,$C138)*SUMIFS(Velocity!$I:$I,Velocity!$A:$A,$A138,Velocity!$B:$B,$C138)/Assumptions!$B$4*Assumptions!$B$6</f>
        <v>27.375</v>
      </c>
      <c r="AE138" s="7" t="n">
        <f aca="false">SUMIFS(Doors!AQ:AQ,Doors!$A:$A,$D138,Doors!$B:$B,$B138,Doors!$C:$C,$C138)*SUMIFS(Velocity!$I:$I,Velocity!$A:$A,$A138,Velocity!$B:$B,$C138)/Assumptions!$B$4*Assumptions!$B$6</f>
        <v>28.8958333333333</v>
      </c>
      <c r="AF138" s="7" t="n">
        <f aca="false">SUMIFS(Doors!AR:AR,Doors!$A:$A,$D138,Doors!$B:$B,$B138,Doors!$C:$C,$C138)*SUMIFS(Velocity!$I:$I,Velocity!$A:$A,$A138,Velocity!$B:$B,$C138)/Assumptions!$B$4*Assumptions!$B$6</f>
        <v>28.8958333333333</v>
      </c>
      <c r="AG138" s="7" t="n">
        <f aca="false">SUMIFS(Doors!AS:AS,Doors!$A:$A,$D138,Doors!$B:$B,$B138,Doors!$C:$C,$C138)*SUMIFS(Velocity!$I:$I,Velocity!$A:$A,$A138,Velocity!$B:$B,$C138)/Assumptions!$B$4*Assumptions!$B$6</f>
        <v>28.8958333333333</v>
      </c>
      <c r="AH138" s="7" t="n">
        <f aca="false">SUMIFS(Doors!AT:AT,Doors!$A:$A,$D138,Doors!$B:$B,$B138,Doors!$C:$C,$C138)*SUMIFS(Velocity!$I:$I,Velocity!$A:$A,$A138,Velocity!$B:$B,$C138)/Assumptions!$B$4*Assumptions!$B$6</f>
        <v>28.8958333333333</v>
      </c>
      <c r="AI138" s="7" t="n">
        <f aca="false">SUMIFS(Doors!AU:AU,Doors!$A:$A,$D138,Doors!$B:$B,$B138,Doors!$C:$C,$C138)*SUMIFS(Velocity!$I:$I,Velocity!$A:$A,$A138,Velocity!$B:$B,$C138)/Assumptions!$B$4*Assumptions!$B$6</f>
        <v>28.8958333333333</v>
      </c>
      <c r="AJ138" s="7" t="n">
        <f aca="false">SUMIFS(Doors!AV:AV,Doors!$A:$A,$D138,Doors!$B:$B,$B138,Doors!$C:$C,$C138)*SUMIFS(Velocity!$I:$I,Velocity!$A:$A,$A138,Velocity!$B:$B,$C138)/Assumptions!$B$4*Assumptions!$B$6</f>
        <v>29.8083333333333</v>
      </c>
      <c r="AK138" s="7" t="n">
        <f aca="false">SUMIFS(Doors!AW:AW,Doors!$A:$A,$D138,Doors!$B:$B,$B138,Doors!$C:$C,$C138)*SUMIFS(Velocity!$I:$I,Velocity!$A:$A,$A138,Velocity!$B:$B,$C138)/Assumptions!$B$4*Assumptions!$B$6</f>
        <v>29.8083333333333</v>
      </c>
      <c r="AL138" s="7" t="n">
        <f aca="false">SUMIFS(Doors!AX:AX,Doors!$A:$A,$D138,Doors!$B:$B,$B138,Doors!$C:$C,$C138)*SUMIFS(Velocity!$I:$I,Velocity!$A:$A,$A138,Velocity!$B:$B,$C138)/Assumptions!$B$4*Assumptions!$B$6</f>
        <v>29.8083333333333</v>
      </c>
      <c r="AM138" s="7" t="n">
        <f aca="false">SUMIFS(Doors!AY:AY,Doors!$A:$A,$D138,Doors!$B:$B,$B138,Doors!$C:$C,$C138)*SUMIFS(Velocity!$I:$I,Velocity!$A:$A,$A138,Velocity!$B:$B,$C138)/Assumptions!$B$4*Assumptions!$B$6</f>
        <v>29.8083333333333</v>
      </c>
      <c r="AN138" s="7" t="n">
        <f aca="false">SUMIFS(Doors!AZ:AZ,Doors!$A:$A,$D138,Doors!$B:$B,$B138,Doors!$C:$C,$C138)*SUMIFS(Velocity!$I:$I,Velocity!$A:$A,$A138,Velocity!$B:$B,$C138)/Assumptions!$B$4*Assumptions!$B$6</f>
        <v>30.1125</v>
      </c>
      <c r="AO138" s="7" t="n">
        <f aca="false">SUMIFS(Doors!BA:BA,Doors!$A:$A,$D138,Doors!$B:$B,$B138,Doors!$C:$C,$C138)*SUMIFS(Velocity!$I:$I,Velocity!$A:$A,$A138,Velocity!$B:$B,$C138)/Assumptions!$B$4*Assumptions!$B$6</f>
        <v>30.1125</v>
      </c>
      <c r="AP138" s="7" t="n">
        <f aca="false">SUMIFS(Doors!BB:BB,Doors!$A:$A,$D138,Doors!$B:$B,$B138,Doors!$C:$C,$C138)*SUMIFS(Velocity!$I:$I,Velocity!$A:$A,$A138,Velocity!$B:$B,$C138)/Assumptions!$B$4*Assumptions!$B$6</f>
        <v>30.1125</v>
      </c>
      <c r="AQ138" s="7" t="n">
        <f aca="false">SUMIFS(Doors!BC:BC,Doors!$A:$A,$D138,Doors!$B:$B,$B138,Doors!$C:$C,$C138)*SUMIFS(Velocity!$I:$I,Velocity!$A:$A,$A138,Velocity!$B:$B,$C138)/Assumptions!$B$4*Assumptions!$B$6</f>
        <v>30.1125</v>
      </c>
      <c r="AR138" s="7" t="n">
        <f aca="false">SUMIFS(Doors!BD:BD,Doors!$A:$A,$D138,Doors!$B:$B,$B138,Doors!$C:$C,$C138)*SUMIFS(Velocity!$I:$I,Velocity!$A:$A,$A138,Velocity!$B:$B,$C138)/Assumptions!$B$4*Assumptions!$B$6</f>
        <v>30.4166666666667</v>
      </c>
      <c r="AS138" s="7" t="n">
        <f aca="false">SUMIFS(Doors!BE:BE,Doors!$A:$A,$D138,Doors!$B:$B,$B138,Doors!$C:$C,$C138)*SUMIFS(Velocity!$I:$I,Velocity!$A:$A,$A138,Velocity!$B:$B,$C138)/Assumptions!$B$4*Assumptions!$B$6</f>
        <v>30.4166666666667</v>
      </c>
      <c r="AT138" s="7" t="n">
        <f aca="false">SUMIFS(Doors!BF:BF,Doors!$A:$A,$D138,Doors!$B:$B,$B138,Doors!$C:$C,$C138)*SUMIFS(Velocity!$I:$I,Velocity!$A:$A,$A138,Velocity!$B:$B,$C138)/Assumptions!$B$4*Assumptions!$B$6</f>
        <v>30.4166666666667</v>
      </c>
      <c r="AU138" s="7" t="n">
        <f aca="false">SUMIFS(Doors!BG:BG,Doors!$A:$A,$D138,Doors!$B:$B,$B138,Doors!$C:$C,$C138)*SUMIFS(Velocity!$I:$I,Velocity!$A:$A,$A138,Velocity!$B:$B,$C138)/Assumptions!$B$4*Assumptions!$B$6</f>
        <v>30.4166666666667</v>
      </c>
      <c r="AV138" s="7" t="n">
        <f aca="false">SUMIFS(Doors!BH:BH,Doors!$A:$A,$D138,Doors!$B:$B,$B138,Doors!$C:$C,$C138)*SUMIFS(Velocity!$I:$I,Velocity!$A:$A,$A138,Velocity!$B:$B,$C138)/Assumptions!$B$4*Assumptions!$B$6</f>
        <v>30.4166666666667</v>
      </c>
      <c r="AW138" s="7" t="n">
        <f aca="false">SUMIFS(Doors!BI:BI,Doors!$A:$A,$D138,Doors!$B:$B,$B138,Doors!$C:$C,$C138)*SUMIFS(Velocity!$I:$I,Velocity!$A:$A,$A138,Velocity!$B:$B,$C138)/Assumptions!$B$4*Assumptions!$B$6</f>
        <v>30.4166666666667</v>
      </c>
      <c r="AX138" s="7" t="n">
        <f aca="false">SUMIFS(Doors!BJ:BJ,Doors!$A:$A,$D138,Doors!$B:$B,$B138,Doors!$C:$C,$C138)*SUMIFS(Velocity!$I:$I,Velocity!$A:$A,$A138,Velocity!$B:$B,$C138)/Assumptions!$B$4*Assumptions!$B$6</f>
        <v>30.4166666666667</v>
      </c>
      <c r="AY138" s="7" t="n">
        <f aca="false">SUMIFS(Doors!BK:BK,Doors!$A:$A,$D138,Doors!$B:$B,$B138,Doors!$C:$C,$C138)*SUMIFS(Velocity!$I:$I,Velocity!$A:$A,$A138,Velocity!$B:$B,$C138)/Assumptions!$B$4*Assumptions!$B$6</f>
        <v>30.4166666666667</v>
      </c>
      <c r="AZ138" s="7" t="n">
        <f aca="false">SUMIFS(Doors!BL:BL,Doors!$A:$A,$D138,Doors!$B:$B,$B138,Doors!$C:$C,$C138)*SUMIFS(Velocity!$I:$I,Velocity!$A:$A,$A138,Velocity!$B:$B,$C138)/Assumptions!$B$4*Assumptions!$B$6</f>
        <v>30.4166666666667</v>
      </c>
      <c r="BA138" s="7" t="n">
        <f aca="false">SUMIFS(Doors!BM:BM,Doors!$A:$A,$D138,Doors!$B:$B,$B138,Doors!$C:$C,$C138)*SUMIFS(Velocity!$I:$I,Velocity!$A:$A,$A138,Velocity!$B:$B,$C138)/Assumptions!$B$4*Assumptions!$B$6</f>
        <v>30.4166666666667</v>
      </c>
      <c r="BB138" s="7" t="n">
        <f aca="false">SUMIFS(Doors!BN:BN,Doors!$A:$A,$D138,Doors!$B:$B,$B138,Doors!$C:$C,$C138)*SUMIFS(Velocity!$I:$I,Velocity!$A:$A,$A138,Velocity!$B:$B,$C138)/Assumptions!$B$4*Assumptions!$B$6</f>
        <v>30.4166666666667</v>
      </c>
      <c r="BC138" s="7" t="n">
        <f aca="false">SUMIFS(Doors!BO:BO,Doors!$A:$A,$D138,Doors!$B:$B,$B138,Doors!$C:$C,$C138)*SUMIFS(Velocity!$I:$I,Velocity!$A:$A,$A138,Velocity!$B:$B,$C138)/Assumptions!$B$4*Assumptions!$B$6</f>
        <v>30.4166666666667</v>
      </c>
      <c r="BD138" s="7" t="n">
        <f aca="false">SUMIFS(Doors!BP:BP,Doors!$A:$A,$D138,Doors!$B:$B,$B138,Doors!$C:$C,$C138)*SUMIFS(Velocity!$I:$I,Velocity!$A:$A,$A138,Velocity!$B:$B,$C138)/Assumptions!$B$4*Assumptions!$B$6</f>
        <v>30.4166666666667</v>
      </c>
    </row>
    <row r="139" customFormat="false" ht="15" hidden="false" customHeight="false" outlineLevel="0" collapsed="false">
      <c r="A139" s="0" t="s">
        <v>109</v>
      </c>
      <c r="B139" s="0" t="s">
        <v>130</v>
      </c>
      <c r="C139" s="0" t="s">
        <v>122</v>
      </c>
      <c r="D139" s="0" t="s">
        <v>235</v>
      </c>
      <c r="E139" s="7" t="n">
        <f aca="false">SUMIFS(Doors!Q:Q,Doors!$A:$A,$D139,Doors!$B:$B,$B139,Doors!$C:$C,$C139)*SUMIFS(Velocity!$I:$I,Velocity!$A:$A,$A139,Velocity!$B:$B,$C139)/Assumptions!$B$4*Assumptions!$B$6</f>
        <v>0</v>
      </c>
      <c r="F139" s="7" t="n">
        <f aca="false">SUMIFS(Doors!R:R,Doors!$A:$A,$D139,Doors!$B:$B,$B139,Doors!$C:$C,$C139)*SUMIFS(Velocity!$I:$I,Velocity!$A:$A,$A139,Velocity!$B:$B,$C139)/Assumptions!$B$4*Assumptions!$B$6</f>
        <v>0</v>
      </c>
      <c r="G139" s="7" t="n">
        <f aca="false">SUMIFS(Doors!S:S,Doors!$A:$A,$D139,Doors!$B:$B,$B139,Doors!$C:$C,$C139)*SUMIFS(Velocity!$I:$I,Velocity!$A:$A,$A139,Velocity!$B:$B,$C139)/Assumptions!$B$4*Assumptions!$B$6</f>
        <v>0</v>
      </c>
      <c r="H139" s="7" t="n">
        <f aca="false">SUMIFS(Doors!T:T,Doors!$A:$A,$D139,Doors!$B:$B,$B139,Doors!$C:$C,$C139)*SUMIFS(Velocity!$I:$I,Velocity!$A:$A,$A139,Velocity!$B:$B,$C139)/Assumptions!$B$4*Assumptions!$B$6</f>
        <v>0</v>
      </c>
      <c r="I139" s="7" t="n">
        <f aca="false">SUMIFS(Doors!U:U,Doors!$A:$A,$D139,Doors!$B:$B,$B139,Doors!$C:$C,$C139)*SUMIFS(Velocity!$I:$I,Velocity!$A:$A,$A139,Velocity!$B:$B,$C139)/Assumptions!$B$4*Assumptions!$B$6</f>
        <v>0</v>
      </c>
      <c r="J139" s="7" t="n">
        <f aca="false">SUMIFS(Doors!V:V,Doors!$A:$A,$D139,Doors!$B:$B,$B139,Doors!$C:$C,$C139)*SUMIFS(Velocity!$I:$I,Velocity!$A:$A,$A139,Velocity!$B:$B,$C139)/Assumptions!$B$4*Assumptions!$B$6</f>
        <v>0</v>
      </c>
      <c r="K139" s="7" t="n">
        <f aca="false">SUMIFS(Doors!W:W,Doors!$A:$A,$D139,Doors!$B:$B,$B139,Doors!$C:$C,$C139)*SUMIFS(Velocity!$I:$I,Velocity!$A:$A,$A139,Velocity!$B:$B,$C139)/Assumptions!$B$4*Assumptions!$B$6</f>
        <v>0</v>
      </c>
      <c r="L139" s="7" t="n">
        <f aca="false">SUMIFS(Doors!X:X,Doors!$A:$A,$D139,Doors!$B:$B,$B139,Doors!$C:$C,$C139)*SUMIFS(Velocity!$I:$I,Velocity!$A:$A,$A139,Velocity!$B:$B,$C139)/Assumptions!$B$4*Assumptions!$B$6</f>
        <v>0</v>
      </c>
      <c r="M139" s="7" t="n">
        <f aca="false">SUMIFS(Doors!Y:Y,Doors!$A:$A,$D139,Doors!$B:$B,$B139,Doors!$C:$C,$C139)*SUMIFS(Velocity!$I:$I,Velocity!$A:$A,$A139,Velocity!$B:$B,$C139)/Assumptions!$B$4*Assumptions!$B$6</f>
        <v>0</v>
      </c>
      <c r="N139" s="7" t="n">
        <f aca="false">SUMIFS(Doors!Z:Z,Doors!$A:$A,$D139,Doors!$B:$B,$B139,Doors!$C:$C,$C139)*SUMIFS(Velocity!$I:$I,Velocity!$A:$A,$A139,Velocity!$B:$B,$C139)/Assumptions!$B$4*Assumptions!$B$6</f>
        <v>0</v>
      </c>
      <c r="O139" s="7" t="n">
        <f aca="false">SUMIFS(Doors!AA:AA,Doors!$A:$A,$D139,Doors!$B:$B,$B139,Doors!$C:$C,$C139)*SUMIFS(Velocity!$I:$I,Velocity!$A:$A,$A139,Velocity!$B:$B,$C139)/Assumptions!$B$4*Assumptions!$B$6</f>
        <v>0</v>
      </c>
      <c r="P139" s="7" t="n">
        <f aca="false">SUMIFS(Doors!AB:AB,Doors!$A:$A,$D139,Doors!$B:$B,$B139,Doors!$C:$C,$C139)*SUMIFS(Velocity!$I:$I,Velocity!$A:$A,$A139,Velocity!$B:$B,$C139)/Assumptions!$B$4*Assumptions!$B$6</f>
        <v>0</v>
      </c>
      <c r="Q139" s="7" t="n">
        <f aca="false">SUMIFS(Doors!AC:AC,Doors!$A:$A,$D139,Doors!$B:$B,$B139,Doors!$C:$C,$C139)*SUMIFS(Velocity!$I:$I,Velocity!$A:$A,$A139,Velocity!$B:$B,$C139)/Assumptions!$B$4*Assumptions!$B$6</f>
        <v>0</v>
      </c>
      <c r="R139" s="7" t="n">
        <f aca="false">SUMIFS(Doors!AD:AD,Doors!$A:$A,$D139,Doors!$B:$B,$B139,Doors!$C:$C,$C139)*SUMIFS(Velocity!$I:$I,Velocity!$A:$A,$A139,Velocity!$B:$B,$C139)/Assumptions!$B$4*Assumptions!$B$6</f>
        <v>0</v>
      </c>
      <c r="S139" s="7" t="n">
        <f aca="false">SUMIFS(Doors!AE:AE,Doors!$A:$A,$D139,Doors!$B:$B,$B139,Doors!$C:$C,$C139)*SUMIFS(Velocity!$I:$I,Velocity!$A:$A,$A139,Velocity!$B:$B,$C139)/Assumptions!$B$4*Assumptions!$B$6</f>
        <v>0</v>
      </c>
      <c r="T139" s="7" t="n">
        <f aca="false">SUMIFS(Doors!AF:AF,Doors!$A:$A,$D139,Doors!$B:$B,$B139,Doors!$C:$C,$C139)*SUMIFS(Velocity!$I:$I,Velocity!$A:$A,$A139,Velocity!$B:$B,$C139)/Assumptions!$B$4*Assumptions!$B$6</f>
        <v>0</v>
      </c>
      <c r="U139" s="7" t="n">
        <f aca="false">SUMIFS(Doors!AG:AG,Doors!$A:$A,$D139,Doors!$B:$B,$B139,Doors!$C:$C,$C139)*SUMIFS(Velocity!$I:$I,Velocity!$A:$A,$A139,Velocity!$B:$B,$C139)/Assumptions!$B$4*Assumptions!$B$6</f>
        <v>0</v>
      </c>
      <c r="V139" s="7" t="n">
        <f aca="false">SUMIFS(Doors!AH:AH,Doors!$A:$A,$D139,Doors!$B:$B,$B139,Doors!$C:$C,$C139)*SUMIFS(Velocity!$I:$I,Velocity!$A:$A,$A139,Velocity!$B:$B,$C139)/Assumptions!$B$4*Assumptions!$B$6</f>
        <v>0</v>
      </c>
      <c r="W139" s="7" t="n">
        <f aca="false">SUMIFS(Doors!AI:AI,Doors!$A:$A,$D139,Doors!$B:$B,$B139,Doors!$C:$C,$C139)*SUMIFS(Velocity!$I:$I,Velocity!$A:$A,$A139,Velocity!$B:$B,$C139)/Assumptions!$B$4*Assumptions!$B$6</f>
        <v>0</v>
      </c>
      <c r="X139" s="7" t="n">
        <f aca="false">SUMIFS(Doors!AJ:AJ,Doors!$A:$A,$D139,Doors!$B:$B,$B139,Doors!$C:$C,$C139)*SUMIFS(Velocity!$I:$I,Velocity!$A:$A,$A139,Velocity!$B:$B,$C139)/Assumptions!$B$4*Assumptions!$B$6</f>
        <v>0</v>
      </c>
      <c r="Y139" s="7" t="n">
        <f aca="false">SUMIFS(Doors!AK:AK,Doors!$A:$A,$D139,Doors!$B:$B,$B139,Doors!$C:$C,$C139)*SUMIFS(Velocity!$I:$I,Velocity!$A:$A,$A139,Velocity!$B:$B,$C139)/Assumptions!$B$4*Assumptions!$B$6</f>
        <v>0</v>
      </c>
      <c r="Z139" s="7" t="n">
        <f aca="false">SUMIFS(Doors!AL:AL,Doors!$A:$A,$D139,Doors!$B:$B,$B139,Doors!$C:$C,$C139)*SUMIFS(Velocity!$I:$I,Velocity!$A:$A,$A139,Velocity!$B:$B,$C139)/Assumptions!$B$4*Assumptions!$B$6</f>
        <v>0</v>
      </c>
      <c r="AA139" s="7" t="n">
        <f aca="false">SUMIFS(Doors!AM:AM,Doors!$A:$A,$D139,Doors!$B:$B,$B139,Doors!$C:$C,$C139)*SUMIFS(Velocity!$I:$I,Velocity!$A:$A,$A139,Velocity!$B:$B,$C139)/Assumptions!$B$4*Assumptions!$B$6</f>
        <v>0</v>
      </c>
      <c r="AB139" s="7" t="n">
        <f aca="false">SUMIFS(Doors!AN:AN,Doors!$A:$A,$D139,Doors!$B:$B,$B139,Doors!$C:$C,$C139)*SUMIFS(Velocity!$I:$I,Velocity!$A:$A,$A139,Velocity!$B:$B,$C139)/Assumptions!$B$4*Assumptions!$B$6</f>
        <v>0</v>
      </c>
      <c r="AC139" s="7" t="n">
        <f aca="false">SUMIFS(Doors!AO:AO,Doors!$A:$A,$D139,Doors!$B:$B,$B139,Doors!$C:$C,$C139)*SUMIFS(Velocity!$I:$I,Velocity!$A:$A,$A139,Velocity!$B:$B,$C139)/Assumptions!$B$4*Assumptions!$B$6</f>
        <v>0</v>
      </c>
      <c r="AD139" s="7" t="n">
        <f aca="false">SUMIFS(Doors!AP:AP,Doors!$A:$A,$D139,Doors!$B:$B,$B139,Doors!$C:$C,$C139)*SUMIFS(Velocity!$I:$I,Velocity!$A:$A,$A139,Velocity!$B:$B,$C139)/Assumptions!$B$4*Assumptions!$B$6</f>
        <v>0</v>
      </c>
      <c r="AE139" s="7" t="n">
        <f aca="false">SUMIFS(Doors!AQ:AQ,Doors!$A:$A,$D139,Doors!$B:$B,$B139,Doors!$C:$C,$C139)*SUMIFS(Velocity!$I:$I,Velocity!$A:$A,$A139,Velocity!$B:$B,$C139)/Assumptions!$B$4*Assumptions!$B$6</f>
        <v>0</v>
      </c>
      <c r="AF139" s="7" t="n">
        <f aca="false">SUMIFS(Doors!AR:AR,Doors!$A:$A,$D139,Doors!$B:$B,$B139,Doors!$C:$C,$C139)*SUMIFS(Velocity!$I:$I,Velocity!$A:$A,$A139,Velocity!$B:$B,$C139)/Assumptions!$B$4*Assumptions!$B$6</f>
        <v>0</v>
      </c>
      <c r="AG139" s="7" t="n">
        <f aca="false">SUMIFS(Doors!AS:AS,Doors!$A:$A,$D139,Doors!$B:$B,$B139,Doors!$C:$C,$C139)*SUMIFS(Velocity!$I:$I,Velocity!$A:$A,$A139,Velocity!$B:$B,$C139)/Assumptions!$B$4*Assumptions!$B$6</f>
        <v>0</v>
      </c>
      <c r="AH139" s="7" t="n">
        <f aca="false">SUMIFS(Doors!AT:AT,Doors!$A:$A,$D139,Doors!$B:$B,$B139,Doors!$C:$C,$C139)*SUMIFS(Velocity!$I:$I,Velocity!$A:$A,$A139,Velocity!$B:$B,$C139)/Assumptions!$B$4*Assumptions!$B$6</f>
        <v>0</v>
      </c>
      <c r="AI139" s="7" t="n">
        <f aca="false">SUMIFS(Doors!AU:AU,Doors!$A:$A,$D139,Doors!$B:$B,$B139,Doors!$C:$C,$C139)*SUMIFS(Velocity!$I:$I,Velocity!$A:$A,$A139,Velocity!$B:$B,$C139)/Assumptions!$B$4*Assumptions!$B$6</f>
        <v>0</v>
      </c>
      <c r="AJ139" s="7" t="n">
        <f aca="false">SUMIFS(Doors!AV:AV,Doors!$A:$A,$D139,Doors!$B:$B,$B139,Doors!$C:$C,$C139)*SUMIFS(Velocity!$I:$I,Velocity!$A:$A,$A139,Velocity!$B:$B,$C139)/Assumptions!$B$4*Assumptions!$B$6</f>
        <v>0</v>
      </c>
      <c r="AK139" s="7" t="n">
        <f aca="false">SUMIFS(Doors!AW:AW,Doors!$A:$A,$D139,Doors!$B:$B,$B139,Doors!$C:$C,$C139)*SUMIFS(Velocity!$I:$I,Velocity!$A:$A,$A139,Velocity!$B:$B,$C139)/Assumptions!$B$4*Assumptions!$B$6</f>
        <v>0</v>
      </c>
      <c r="AL139" s="7" t="n">
        <f aca="false">SUMIFS(Doors!AX:AX,Doors!$A:$A,$D139,Doors!$B:$B,$B139,Doors!$C:$C,$C139)*SUMIFS(Velocity!$I:$I,Velocity!$A:$A,$A139,Velocity!$B:$B,$C139)/Assumptions!$B$4*Assumptions!$B$6</f>
        <v>0</v>
      </c>
      <c r="AM139" s="7" t="n">
        <f aca="false">SUMIFS(Doors!AY:AY,Doors!$A:$A,$D139,Doors!$B:$B,$B139,Doors!$C:$C,$C139)*SUMIFS(Velocity!$I:$I,Velocity!$A:$A,$A139,Velocity!$B:$B,$C139)/Assumptions!$B$4*Assumptions!$B$6</f>
        <v>0</v>
      </c>
      <c r="AN139" s="7" t="n">
        <f aca="false">SUMIFS(Doors!AZ:AZ,Doors!$A:$A,$D139,Doors!$B:$B,$B139,Doors!$C:$C,$C139)*SUMIFS(Velocity!$I:$I,Velocity!$A:$A,$A139,Velocity!$B:$B,$C139)/Assumptions!$B$4*Assumptions!$B$6</f>
        <v>0</v>
      </c>
      <c r="AO139" s="7" t="n">
        <f aca="false">SUMIFS(Doors!BA:BA,Doors!$A:$A,$D139,Doors!$B:$B,$B139,Doors!$C:$C,$C139)*SUMIFS(Velocity!$I:$I,Velocity!$A:$A,$A139,Velocity!$B:$B,$C139)/Assumptions!$B$4*Assumptions!$B$6</f>
        <v>0</v>
      </c>
      <c r="AP139" s="7" t="n">
        <f aca="false">SUMIFS(Doors!BB:BB,Doors!$A:$A,$D139,Doors!$B:$B,$B139,Doors!$C:$C,$C139)*SUMIFS(Velocity!$I:$I,Velocity!$A:$A,$A139,Velocity!$B:$B,$C139)/Assumptions!$B$4*Assumptions!$B$6</f>
        <v>0</v>
      </c>
      <c r="AQ139" s="7" t="n">
        <f aca="false">SUMIFS(Doors!BC:BC,Doors!$A:$A,$D139,Doors!$B:$B,$B139,Doors!$C:$C,$C139)*SUMIFS(Velocity!$I:$I,Velocity!$A:$A,$A139,Velocity!$B:$B,$C139)/Assumptions!$B$4*Assumptions!$B$6</f>
        <v>0</v>
      </c>
      <c r="AR139" s="7" t="n">
        <f aca="false">SUMIFS(Doors!BD:BD,Doors!$A:$A,$D139,Doors!$B:$B,$B139,Doors!$C:$C,$C139)*SUMIFS(Velocity!$I:$I,Velocity!$A:$A,$A139,Velocity!$B:$B,$C139)/Assumptions!$B$4*Assumptions!$B$6</f>
        <v>0</v>
      </c>
      <c r="AS139" s="7" t="n">
        <f aca="false">SUMIFS(Doors!BE:BE,Doors!$A:$A,$D139,Doors!$B:$B,$B139,Doors!$C:$C,$C139)*SUMIFS(Velocity!$I:$I,Velocity!$A:$A,$A139,Velocity!$B:$B,$C139)/Assumptions!$B$4*Assumptions!$B$6</f>
        <v>0</v>
      </c>
      <c r="AT139" s="7" t="n">
        <f aca="false">SUMIFS(Doors!BF:BF,Doors!$A:$A,$D139,Doors!$B:$B,$B139,Doors!$C:$C,$C139)*SUMIFS(Velocity!$I:$I,Velocity!$A:$A,$A139,Velocity!$B:$B,$C139)/Assumptions!$B$4*Assumptions!$B$6</f>
        <v>0</v>
      </c>
      <c r="AU139" s="7" t="n">
        <f aca="false">SUMIFS(Doors!BG:BG,Doors!$A:$A,$D139,Doors!$B:$B,$B139,Doors!$C:$C,$C139)*SUMIFS(Velocity!$I:$I,Velocity!$A:$A,$A139,Velocity!$B:$B,$C139)/Assumptions!$B$4*Assumptions!$B$6</f>
        <v>0</v>
      </c>
      <c r="AV139" s="7" t="n">
        <f aca="false">SUMIFS(Doors!BH:BH,Doors!$A:$A,$D139,Doors!$B:$B,$B139,Doors!$C:$C,$C139)*SUMIFS(Velocity!$I:$I,Velocity!$A:$A,$A139,Velocity!$B:$B,$C139)/Assumptions!$B$4*Assumptions!$B$6</f>
        <v>0</v>
      </c>
      <c r="AW139" s="7" t="n">
        <f aca="false">SUMIFS(Doors!BI:BI,Doors!$A:$A,$D139,Doors!$B:$B,$B139,Doors!$C:$C,$C139)*SUMIFS(Velocity!$I:$I,Velocity!$A:$A,$A139,Velocity!$B:$B,$C139)/Assumptions!$B$4*Assumptions!$B$6</f>
        <v>0</v>
      </c>
      <c r="AX139" s="7" t="n">
        <f aca="false">SUMIFS(Doors!BJ:BJ,Doors!$A:$A,$D139,Doors!$B:$B,$B139,Doors!$C:$C,$C139)*SUMIFS(Velocity!$I:$I,Velocity!$A:$A,$A139,Velocity!$B:$B,$C139)/Assumptions!$B$4*Assumptions!$B$6</f>
        <v>0</v>
      </c>
      <c r="AY139" s="7" t="n">
        <f aca="false">SUMIFS(Doors!BK:BK,Doors!$A:$A,$D139,Doors!$B:$B,$B139,Doors!$C:$C,$C139)*SUMIFS(Velocity!$I:$I,Velocity!$A:$A,$A139,Velocity!$B:$B,$C139)/Assumptions!$B$4*Assumptions!$B$6</f>
        <v>0</v>
      </c>
      <c r="AZ139" s="7" t="n">
        <f aca="false">SUMIFS(Doors!BL:BL,Doors!$A:$A,$D139,Doors!$B:$B,$B139,Doors!$C:$C,$C139)*SUMIFS(Velocity!$I:$I,Velocity!$A:$A,$A139,Velocity!$B:$B,$C139)/Assumptions!$B$4*Assumptions!$B$6</f>
        <v>0</v>
      </c>
      <c r="BA139" s="7" t="n">
        <f aca="false">SUMIFS(Doors!BM:BM,Doors!$A:$A,$D139,Doors!$B:$B,$B139,Doors!$C:$C,$C139)*SUMIFS(Velocity!$I:$I,Velocity!$A:$A,$A139,Velocity!$B:$B,$C139)/Assumptions!$B$4*Assumptions!$B$6</f>
        <v>0</v>
      </c>
      <c r="BB139" s="7" t="n">
        <f aca="false">SUMIFS(Doors!BN:BN,Doors!$A:$A,$D139,Doors!$B:$B,$B139,Doors!$C:$C,$C139)*SUMIFS(Velocity!$I:$I,Velocity!$A:$A,$A139,Velocity!$B:$B,$C139)/Assumptions!$B$4*Assumptions!$B$6</f>
        <v>0</v>
      </c>
      <c r="BC139" s="7" t="n">
        <f aca="false">SUMIFS(Doors!BO:BO,Doors!$A:$A,$D139,Doors!$B:$B,$B139,Doors!$C:$C,$C139)*SUMIFS(Velocity!$I:$I,Velocity!$A:$A,$A139,Velocity!$B:$B,$C139)/Assumptions!$B$4*Assumptions!$B$6</f>
        <v>0</v>
      </c>
      <c r="BD139" s="7" t="n">
        <f aca="false">SUMIFS(Doors!BP:BP,Doors!$A:$A,$D139,Doors!$B:$B,$B139,Doors!$C:$C,$C139)*SUMIFS(Velocity!$I:$I,Velocity!$A:$A,$A139,Velocity!$B:$B,$C139)/Assumptions!$B$4*Assumptions!$B$6</f>
        <v>0</v>
      </c>
    </row>
    <row r="140" customFormat="false" ht="15" hidden="false" customHeight="false" outlineLevel="0" collapsed="false">
      <c r="A140" s="0" t="s">
        <v>109</v>
      </c>
      <c r="B140" s="0" t="s">
        <v>130</v>
      </c>
      <c r="C140" s="0" t="s">
        <v>123</v>
      </c>
      <c r="D140" s="0" t="s">
        <v>235</v>
      </c>
      <c r="E140" s="7" t="n">
        <f aca="false">SUMIFS(Doors!Q:Q,Doors!$A:$A,$D140,Doors!$B:$B,$B140,Doors!$C:$C,$C140)*SUMIFS(Velocity!$I:$I,Velocity!$A:$A,$A140,Velocity!$B:$B,$C140)/Assumptions!$B$4*Assumptions!$B$6</f>
        <v>0.541666666666667</v>
      </c>
      <c r="F140" s="7" t="n">
        <f aca="false">SUMIFS(Doors!R:R,Doors!$A:$A,$D140,Doors!$B:$B,$B140,Doors!$C:$C,$C140)*SUMIFS(Velocity!$I:$I,Velocity!$A:$A,$A140,Velocity!$B:$B,$C140)/Assumptions!$B$4*Assumptions!$B$6</f>
        <v>0.541666666666667</v>
      </c>
      <c r="G140" s="7" t="n">
        <f aca="false">SUMIFS(Doors!S:S,Doors!$A:$A,$D140,Doors!$B:$B,$B140,Doors!$C:$C,$C140)*SUMIFS(Velocity!$I:$I,Velocity!$A:$A,$A140,Velocity!$B:$B,$C140)/Assumptions!$B$4*Assumptions!$B$6</f>
        <v>0.541666666666667</v>
      </c>
      <c r="H140" s="7" t="n">
        <f aca="false">SUMIFS(Doors!T:T,Doors!$A:$A,$D140,Doors!$B:$B,$B140,Doors!$C:$C,$C140)*SUMIFS(Velocity!$I:$I,Velocity!$A:$A,$A140,Velocity!$B:$B,$C140)/Assumptions!$B$4*Assumptions!$B$6</f>
        <v>0.541666666666667</v>
      </c>
      <c r="I140" s="7" t="n">
        <f aca="false">SUMIFS(Doors!U:U,Doors!$A:$A,$D140,Doors!$B:$B,$B140,Doors!$C:$C,$C140)*SUMIFS(Velocity!$I:$I,Velocity!$A:$A,$A140,Velocity!$B:$B,$C140)/Assumptions!$B$4*Assumptions!$B$6</f>
        <v>0.541666666666667</v>
      </c>
      <c r="J140" s="7" t="n">
        <f aca="false">SUMIFS(Doors!V:V,Doors!$A:$A,$D140,Doors!$B:$B,$B140,Doors!$C:$C,$C140)*SUMIFS(Velocity!$I:$I,Velocity!$A:$A,$A140,Velocity!$B:$B,$C140)/Assumptions!$B$4*Assumptions!$B$6</f>
        <v>0.866666666666667</v>
      </c>
      <c r="K140" s="7" t="n">
        <f aca="false">SUMIFS(Doors!W:W,Doors!$A:$A,$D140,Doors!$B:$B,$B140,Doors!$C:$C,$C140)*SUMIFS(Velocity!$I:$I,Velocity!$A:$A,$A140,Velocity!$B:$B,$C140)/Assumptions!$B$4*Assumptions!$B$6</f>
        <v>0.866666666666667</v>
      </c>
      <c r="L140" s="7" t="n">
        <f aca="false">SUMIFS(Doors!X:X,Doors!$A:$A,$D140,Doors!$B:$B,$B140,Doors!$C:$C,$C140)*SUMIFS(Velocity!$I:$I,Velocity!$A:$A,$A140,Velocity!$B:$B,$C140)/Assumptions!$B$4*Assumptions!$B$6</f>
        <v>0.866666666666667</v>
      </c>
      <c r="M140" s="7" t="n">
        <f aca="false">SUMIFS(Doors!Y:Y,Doors!$A:$A,$D140,Doors!$B:$B,$B140,Doors!$C:$C,$C140)*SUMIFS(Velocity!$I:$I,Velocity!$A:$A,$A140,Velocity!$B:$B,$C140)/Assumptions!$B$4*Assumptions!$B$6</f>
        <v>0.866666666666667</v>
      </c>
      <c r="N140" s="7" t="n">
        <f aca="false">SUMIFS(Doors!Z:Z,Doors!$A:$A,$D140,Doors!$B:$B,$B140,Doors!$C:$C,$C140)*SUMIFS(Velocity!$I:$I,Velocity!$A:$A,$A140,Velocity!$B:$B,$C140)/Assumptions!$B$4*Assumptions!$B$6</f>
        <v>1.3</v>
      </c>
      <c r="O140" s="7" t="n">
        <f aca="false">SUMIFS(Doors!AA:AA,Doors!$A:$A,$D140,Doors!$B:$B,$B140,Doors!$C:$C,$C140)*SUMIFS(Velocity!$I:$I,Velocity!$A:$A,$A140,Velocity!$B:$B,$C140)/Assumptions!$B$4*Assumptions!$B$6</f>
        <v>1.3</v>
      </c>
      <c r="P140" s="7" t="n">
        <f aca="false">SUMIFS(Doors!AB:AB,Doors!$A:$A,$D140,Doors!$B:$B,$B140,Doors!$C:$C,$C140)*SUMIFS(Velocity!$I:$I,Velocity!$A:$A,$A140,Velocity!$B:$B,$C140)/Assumptions!$B$4*Assumptions!$B$6</f>
        <v>1.3</v>
      </c>
      <c r="Q140" s="7" t="n">
        <f aca="false">SUMIFS(Doors!AC:AC,Doors!$A:$A,$D140,Doors!$B:$B,$B140,Doors!$C:$C,$C140)*SUMIFS(Velocity!$I:$I,Velocity!$A:$A,$A140,Velocity!$B:$B,$C140)/Assumptions!$B$4*Assumptions!$B$6</f>
        <v>1.3</v>
      </c>
      <c r="R140" s="7" t="n">
        <f aca="false">SUMIFS(Doors!AD:AD,Doors!$A:$A,$D140,Doors!$B:$B,$B140,Doors!$C:$C,$C140)*SUMIFS(Velocity!$I:$I,Velocity!$A:$A,$A140,Velocity!$B:$B,$C140)/Assumptions!$B$4*Assumptions!$B$6</f>
        <v>1.73333333333333</v>
      </c>
      <c r="S140" s="7" t="n">
        <f aca="false">SUMIFS(Doors!AE:AE,Doors!$A:$A,$D140,Doors!$B:$B,$B140,Doors!$C:$C,$C140)*SUMIFS(Velocity!$I:$I,Velocity!$A:$A,$A140,Velocity!$B:$B,$C140)/Assumptions!$B$4*Assumptions!$B$6</f>
        <v>1.73333333333333</v>
      </c>
      <c r="T140" s="7" t="n">
        <f aca="false">SUMIFS(Doors!AF:AF,Doors!$A:$A,$D140,Doors!$B:$B,$B140,Doors!$C:$C,$C140)*SUMIFS(Velocity!$I:$I,Velocity!$A:$A,$A140,Velocity!$B:$B,$C140)/Assumptions!$B$4*Assumptions!$B$6</f>
        <v>1.73333333333333</v>
      </c>
      <c r="U140" s="7" t="n">
        <f aca="false">SUMIFS(Doors!AG:AG,Doors!$A:$A,$D140,Doors!$B:$B,$B140,Doors!$C:$C,$C140)*SUMIFS(Velocity!$I:$I,Velocity!$A:$A,$A140,Velocity!$B:$B,$C140)/Assumptions!$B$4*Assumptions!$B$6</f>
        <v>1.73333333333333</v>
      </c>
      <c r="V140" s="7" t="n">
        <f aca="false">SUMIFS(Doors!AH:AH,Doors!$A:$A,$D140,Doors!$B:$B,$B140,Doors!$C:$C,$C140)*SUMIFS(Velocity!$I:$I,Velocity!$A:$A,$A140,Velocity!$B:$B,$C140)/Assumptions!$B$4*Assumptions!$B$6</f>
        <v>1.73333333333333</v>
      </c>
      <c r="W140" s="7" t="n">
        <f aca="false">SUMIFS(Doors!AI:AI,Doors!$A:$A,$D140,Doors!$B:$B,$B140,Doors!$C:$C,$C140)*SUMIFS(Velocity!$I:$I,Velocity!$A:$A,$A140,Velocity!$B:$B,$C140)/Assumptions!$B$4*Assumptions!$B$6</f>
        <v>2.16666666666667</v>
      </c>
      <c r="X140" s="7" t="n">
        <f aca="false">SUMIFS(Doors!AJ:AJ,Doors!$A:$A,$D140,Doors!$B:$B,$B140,Doors!$C:$C,$C140)*SUMIFS(Velocity!$I:$I,Velocity!$A:$A,$A140,Velocity!$B:$B,$C140)/Assumptions!$B$4*Assumptions!$B$6</f>
        <v>2.16666666666667</v>
      </c>
      <c r="Y140" s="7" t="n">
        <f aca="false">SUMIFS(Doors!AK:AK,Doors!$A:$A,$D140,Doors!$B:$B,$B140,Doors!$C:$C,$C140)*SUMIFS(Velocity!$I:$I,Velocity!$A:$A,$A140,Velocity!$B:$B,$C140)/Assumptions!$B$4*Assumptions!$B$6</f>
        <v>2.16666666666667</v>
      </c>
      <c r="Z140" s="7" t="n">
        <f aca="false">SUMIFS(Doors!AL:AL,Doors!$A:$A,$D140,Doors!$B:$B,$B140,Doors!$C:$C,$C140)*SUMIFS(Velocity!$I:$I,Velocity!$A:$A,$A140,Velocity!$B:$B,$C140)/Assumptions!$B$4*Assumptions!$B$6</f>
        <v>2.16666666666667</v>
      </c>
      <c r="AA140" s="7" t="n">
        <f aca="false">SUMIFS(Doors!AM:AM,Doors!$A:$A,$D140,Doors!$B:$B,$B140,Doors!$C:$C,$C140)*SUMIFS(Velocity!$I:$I,Velocity!$A:$A,$A140,Velocity!$B:$B,$C140)/Assumptions!$B$4*Assumptions!$B$6</f>
        <v>2.6</v>
      </c>
      <c r="AB140" s="7" t="n">
        <f aca="false">SUMIFS(Doors!AN:AN,Doors!$A:$A,$D140,Doors!$B:$B,$B140,Doors!$C:$C,$C140)*SUMIFS(Velocity!$I:$I,Velocity!$A:$A,$A140,Velocity!$B:$B,$C140)/Assumptions!$B$4*Assumptions!$B$6</f>
        <v>2.6</v>
      </c>
      <c r="AC140" s="7" t="n">
        <f aca="false">SUMIFS(Doors!AO:AO,Doors!$A:$A,$D140,Doors!$B:$B,$B140,Doors!$C:$C,$C140)*SUMIFS(Velocity!$I:$I,Velocity!$A:$A,$A140,Velocity!$B:$B,$C140)/Assumptions!$B$4*Assumptions!$B$6</f>
        <v>2.6</v>
      </c>
      <c r="AD140" s="7" t="n">
        <f aca="false">SUMIFS(Doors!AP:AP,Doors!$A:$A,$D140,Doors!$B:$B,$B140,Doors!$C:$C,$C140)*SUMIFS(Velocity!$I:$I,Velocity!$A:$A,$A140,Velocity!$B:$B,$C140)/Assumptions!$B$4*Assumptions!$B$6</f>
        <v>2.6</v>
      </c>
      <c r="AE140" s="7" t="n">
        <f aca="false">SUMIFS(Doors!AQ:AQ,Doors!$A:$A,$D140,Doors!$B:$B,$B140,Doors!$C:$C,$C140)*SUMIFS(Velocity!$I:$I,Velocity!$A:$A,$A140,Velocity!$B:$B,$C140)/Assumptions!$B$4*Assumptions!$B$6</f>
        <v>2.81666666666667</v>
      </c>
      <c r="AF140" s="7" t="n">
        <f aca="false">SUMIFS(Doors!AR:AR,Doors!$A:$A,$D140,Doors!$B:$B,$B140,Doors!$C:$C,$C140)*SUMIFS(Velocity!$I:$I,Velocity!$A:$A,$A140,Velocity!$B:$B,$C140)/Assumptions!$B$4*Assumptions!$B$6</f>
        <v>2.81666666666667</v>
      </c>
      <c r="AG140" s="7" t="n">
        <f aca="false">SUMIFS(Doors!AS:AS,Doors!$A:$A,$D140,Doors!$B:$B,$B140,Doors!$C:$C,$C140)*SUMIFS(Velocity!$I:$I,Velocity!$A:$A,$A140,Velocity!$B:$B,$C140)/Assumptions!$B$4*Assumptions!$B$6</f>
        <v>2.81666666666667</v>
      </c>
      <c r="AH140" s="7" t="n">
        <f aca="false">SUMIFS(Doors!AT:AT,Doors!$A:$A,$D140,Doors!$B:$B,$B140,Doors!$C:$C,$C140)*SUMIFS(Velocity!$I:$I,Velocity!$A:$A,$A140,Velocity!$B:$B,$C140)/Assumptions!$B$4*Assumptions!$B$6</f>
        <v>2.81666666666667</v>
      </c>
      <c r="AI140" s="7" t="n">
        <f aca="false">SUMIFS(Doors!AU:AU,Doors!$A:$A,$D140,Doors!$B:$B,$B140,Doors!$C:$C,$C140)*SUMIFS(Velocity!$I:$I,Velocity!$A:$A,$A140,Velocity!$B:$B,$C140)/Assumptions!$B$4*Assumptions!$B$6</f>
        <v>2.81666666666667</v>
      </c>
      <c r="AJ140" s="7" t="n">
        <f aca="false">SUMIFS(Doors!AV:AV,Doors!$A:$A,$D140,Doors!$B:$B,$B140,Doors!$C:$C,$C140)*SUMIFS(Velocity!$I:$I,Velocity!$A:$A,$A140,Velocity!$B:$B,$C140)/Assumptions!$B$4*Assumptions!$B$6</f>
        <v>3.03333333333333</v>
      </c>
      <c r="AK140" s="7" t="n">
        <f aca="false">SUMIFS(Doors!AW:AW,Doors!$A:$A,$D140,Doors!$B:$B,$B140,Doors!$C:$C,$C140)*SUMIFS(Velocity!$I:$I,Velocity!$A:$A,$A140,Velocity!$B:$B,$C140)/Assumptions!$B$4*Assumptions!$B$6</f>
        <v>3.03333333333333</v>
      </c>
      <c r="AL140" s="7" t="n">
        <f aca="false">SUMIFS(Doors!AX:AX,Doors!$A:$A,$D140,Doors!$B:$B,$B140,Doors!$C:$C,$C140)*SUMIFS(Velocity!$I:$I,Velocity!$A:$A,$A140,Velocity!$B:$B,$C140)/Assumptions!$B$4*Assumptions!$B$6</f>
        <v>3.03333333333333</v>
      </c>
      <c r="AM140" s="7" t="n">
        <f aca="false">SUMIFS(Doors!AY:AY,Doors!$A:$A,$D140,Doors!$B:$B,$B140,Doors!$C:$C,$C140)*SUMIFS(Velocity!$I:$I,Velocity!$A:$A,$A140,Velocity!$B:$B,$C140)/Assumptions!$B$4*Assumptions!$B$6</f>
        <v>3.03333333333333</v>
      </c>
      <c r="AN140" s="7" t="n">
        <f aca="false">SUMIFS(Doors!AZ:AZ,Doors!$A:$A,$D140,Doors!$B:$B,$B140,Doors!$C:$C,$C140)*SUMIFS(Velocity!$I:$I,Velocity!$A:$A,$A140,Velocity!$B:$B,$C140)/Assumptions!$B$4*Assumptions!$B$6</f>
        <v>3.14166666666667</v>
      </c>
      <c r="AO140" s="7" t="n">
        <f aca="false">SUMIFS(Doors!BA:BA,Doors!$A:$A,$D140,Doors!$B:$B,$B140,Doors!$C:$C,$C140)*SUMIFS(Velocity!$I:$I,Velocity!$A:$A,$A140,Velocity!$B:$B,$C140)/Assumptions!$B$4*Assumptions!$B$6</f>
        <v>3.14166666666667</v>
      </c>
      <c r="AP140" s="7" t="n">
        <f aca="false">SUMIFS(Doors!BB:BB,Doors!$A:$A,$D140,Doors!$B:$B,$B140,Doors!$C:$C,$C140)*SUMIFS(Velocity!$I:$I,Velocity!$A:$A,$A140,Velocity!$B:$B,$C140)/Assumptions!$B$4*Assumptions!$B$6</f>
        <v>3.14166666666667</v>
      </c>
      <c r="AQ140" s="7" t="n">
        <f aca="false">SUMIFS(Doors!BC:BC,Doors!$A:$A,$D140,Doors!$B:$B,$B140,Doors!$C:$C,$C140)*SUMIFS(Velocity!$I:$I,Velocity!$A:$A,$A140,Velocity!$B:$B,$C140)/Assumptions!$B$4*Assumptions!$B$6</f>
        <v>3.14166666666667</v>
      </c>
      <c r="AR140" s="7" t="n">
        <f aca="false">SUMIFS(Doors!BD:BD,Doors!$A:$A,$D140,Doors!$B:$B,$B140,Doors!$C:$C,$C140)*SUMIFS(Velocity!$I:$I,Velocity!$A:$A,$A140,Velocity!$B:$B,$C140)/Assumptions!$B$4*Assumptions!$B$6</f>
        <v>3.25</v>
      </c>
      <c r="AS140" s="7" t="n">
        <f aca="false">SUMIFS(Doors!BE:BE,Doors!$A:$A,$D140,Doors!$B:$B,$B140,Doors!$C:$C,$C140)*SUMIFS(Velocity!$I:$I,Velocity!$A:$A,$A140,Velocity!$B:$B,$C140)/Assumptions!$B$4*Assumptions!$B$6</f>
        <v>3.25</v>
      </c>
      <c r="AT140" s="7" t="n">
        <f aca="false">SUMIFS(Doors!BF:BF,Doors!$A:$A,$D140,Doors!$B:$B,$B140,Doors!$C:$C,$C140)*SUMIFS(Velocity!$I:$I,Velocity!$A:$A,$A140,Velocity!$B:$B,$C140)/Assumptions!$B$4*Assumptions!$B$6</f>
        <v>3.25</v>
      </c>
      <c r="AU140" s="7" t="n">
        <f aca="false">SUMIFS(Doors!BG:BG,Doors!$A:$A,$D140,Doors!$B:$B,$B140,Doors!$C:$C,$C140)*SUMIFS(Velocity!$I:$I,Velocity!$A:$A,$A140,Velocity!$B:$B,$C140)/Assumptions!$B$4*Assumptions!$B$6</f>
        <v>3.25</v>
      </c>
      <c r="AV140" s="7" t="n">
        <f aca="false">SUMIFS(Doors!BH:BH,Doors!$A:$A,$D140,Doors!$B:$B,$B140,Doors!$C:$C,$C140)*SUMIFS(Velocity!$I:$I,Velocity!$A:$A,$A140,Velocity!$B:$B,$C140)/Assumptions!$B$4*Assumptions!$B$6</f>
        <v>3.25</v>
      </c>
      <c r="AW140" s="7" t="n">
        <f aca="false">SUMIFS(Doors!BI:BI,Doors!$A:$A,$D140,Doors!$B:$B,$B140,Doors!$C:$C,$C140)*SUMIFS(Velocity!$I:$I,Velocity!$A:$A,$A140,Velocity!$B:$B,$C140)/Assumptions!$B$4*Assumptions!$B$6</f>
        <v>3.25</v>
      </c>
      <c r="AX140" s="7" t="n">
        <f aca="false">SUMIFS(Doors!BJ:BJ,Doors!$A:$A,$D140,Doors!$B:$B,$B140,Doors!$C:$C,$C140)*SUMIFS(Velocity!$I:$I,Velocity!$A:$A,$A140,Velocity!$B:$B,$C140)/Assumptions!$B$4*Assumptions!$B$6</f>
        <v>3.25</v>
      </c>
      <c r="AY140" s="7" t="n">
        <f aca="false">SUMIFS(Doors!BK:BK,Doors!$A:$A,$D140,Doors!$B:$B,$B140,Doors!$C:$C,$C140)*SUMIFS(Velocity!$I:$I,Velocity!$A:$A,$A140,Velocity!$B:$B,$C140)/Assumptions!$B$4*Assumptions!$B$6</f>
        <v>3.25</v>
      </c>
      <c r="AZ140" s="7" t="n">
        <f aca="false">SUMIFS(Doors!BL:BL,Doors!$A:$A,$D140,Doors!$B:$B,$B140,Doors!$C:$C,$C140)*SUMIFS(Velocity!$I:$I,Velocity!$A:$A,$A140,Velocity!$B:$B,$C140)/Assumptions!$B$4*Assumptions!$B$6</f>
        <v>3.25</v>
      </c>
      <c r="BA140" s="7" t="n">
        <f aca="false">SUMIFS(Doors!BM:BM,Doors!$A:$A,$D140,Doors!$B:$B,$B140,Doors!$C:$C,$C140)*SUMIFS(Velocity!$I:$I,Velocity!$A:$A,$A140,Velocity!$B:$B,$C140)/Assumptions!$B$4*Assumptions!$B$6</f>
        <v>3.25</v>
      </c>
      <c r="BB140" s="7" t="n">
        <f aca="false">SUMIFS(Doors!BN:BN,Doors!$A:$A,$D140,Doors!$B:$B,$B140,Doors!$C:$C,$C140)*SUMIFS(Velocity!$I:$I,Velocity!$A:$A,$A140,Velocity!$B:$B,$C140)/Assumptions!$B$4*Assumptions!$B$6</f>
        <v>3.25</v>
      </c>
      <c r="BC140" s="7" t="n">
        <f aca="false">SUMIFS(Doors!BO:BO,Doors!$A:$A,$D140,Doors!$B:$B,$B140,Doors!$C:$C,$C140)*SUMIFS(Velocity!$I:$I,Velocity!$A:$A,$A140,Velocity!$B:$B,$C140)/Assumptions!$B$4*Assumptions!$B$6</f>
        <v>3.25</v>
      </c>
      <c r="BD140" s="7" t="n">
        <f aca="false">SUMIFS(Doors!BP:BP,Doors!$A:$A,$D140,Doors!$B:$B,$B140,Doors!$C:$C,$C140)*SUMIFS(Velocity!$I:$I,Velocity!$A:$A,$A140,Velocity!$B:$B,$C140)/Assumptions!$B$4*Assumptions!$B$6</f>
        <v>3.25</v>
      </c>
    </row>
    <row r="141" customFormat="false" ht="15" hidden="false" customHeight="false" outlineLevel="0" collapsed="false">
      <c r="A141" s="0" t="s">
        <v>109</v>
      </c>
      <c r="B141" s="0" t="s">
        <v>131</v>
      </c>
      <c r="C141" s="0" t="s">
        <v>115</v>
      </c>
      <c r="D141" s="0" t="s">
        <v>235</v>
      </c>
      <c r="E141" s="7" t="n">
        <f aca="false">SUMIFS(Doors!Q:Q,Doors!$A:$A,$D141,Doors!$B:$B,$B141,Doors!$C:$C,$C141)*SUMIFS(Velocity!$I:$I,Velocity!$A:$A,$A141,Velocity!$B:$B,$C141)/Assumptions!$B$4*Assumptions!$B$6</f>
        <v>5.58333333333333</v>
      </c>
      <c r="F141" s="7" t="n">
        <f aca="false">SUMIFS(Doors!R:R,Doors!$A:$A,$D141,Doors!$B:$B,$B141,Doors!$C:$C,$C141)*SUMIFS(Velocity!$I:$I,Velocity!$A:$A,$A141,Velocity!$B:$B,$C141)/Assumptions!$B$4*Assumptions!$B$6</f>
        <v>5.58333333333333</v>
      </c>
      <c r="G141" s="7" t="n">
        <f aca="false">SUMIFS(Doors!S:S,Doors!$A:$A,$D141,Doors!$B:$B,$B141,Doors!$C:$C,$C141)*SUMIFS(Velocity!$I:$I,Velocity!$A:$A,$A141,Velocity!$B:$B,$C141)/Assumptions!$B$4*Assumptions!$B$6</f>
        <v>5.58333333333333</v>
      </c>
      <c r="H141" s="7" t="n">
        <f aca="false">SUMIFS(Doors!T:T,Doors!$A:$A,$D141,Doors!$B:$B,$B141,Doors!$C:$C,$C141)*SUMIFS(Velocity!$I:$I,Velocity!$A:$A,$A141,Velocity!$B:$B,$C141)/Assumptions!$B$4*Assumptions!$B$6</f>
        <v>5.58333333333333</v>
      </c>
      <c r="I141" s="7" t="n">
        <f aca="false">SUMIFS(Doors!U:U,Doors!$A:$A,$D141,Doors!$B:$B,$B141,Doors!$C:$C,$C141)*SUMIFS(Velocity!$I:$I,Velocity!$A:$A,$A141,Velocity!$B:$B,$C141)/Assumptions!$B$4*Assumptions!$B$6</f>
        <v>5.58333333333333</v>
      </c>
      <c r="J141" s="7" t="n">
        <f aca="false">SUMIFS(Doors!V:V,Doors!$A:$A,$D141,Doors!$B:$B,$B141,Doors!$C:$C,$C141)*SUMIFS(Velocity!$I:$I,Velocity!$A:$A,$A141,Velocity!$B:$B,$C141)/Assumptions!$B$4*Assumptions!$B$6</f>
        <v>6.97916666666667</v>
      </c>
      <c r="K141" s="7" t="n">
        <f aca="false">SUMIFS(Doors!W:W,Doors!$A:$A,$D141,Doors!$B:$B,$B141,Doors!$C:$C,$C141)*SUMIFS(Velocity!$I:$I,Velocity!$A:$A,$A141,Velocity!$B:$B,$C141)/Assumptions!$B$4*Assumptions!$B$6</f>
        <v>6.97916666666667</v>
      </c>
      <c r="L141" s="7" t="n">
        <f aca="false">SUMIFS(Doors!X:X,Doors!$A:$A,$D141,Doors!$B:$B,$B141,Doors!$C:$C,$C141)*SUMIFS(Velocity!$I:$I,Velocity!$A:$A,$A141,Velocity!$B:$B,$C141)/Assumptions!$B$4*Assumptions!$B$6</f>
        <v>6.97916666666667</v>
      </c>
      <c r="M141" s="7" t="n">
        <f aca="false">SUMIFS(Doors!Y:Y,Doors!$A:$A,$D141,Doors!$B:$B,$B141,Doors!$C:$C,$C141)*SUMIFS(Velocity!$I:$I,Velocity!$A:$A,$A141,Velocity!$B:$B,$C141)/Assumptions!$B$4*Assumptions!$B$6</f>
        <v>6.97916666666667</v>
      </c>
      <c r="N141" s="7" t="n">
        <f aca="false">SUMIFS(Doors!Z:Z,Doors!$A:$A,$D141,Doors!$B:$B,$B141,Doors!$C:$C,$C141)*SUMIFS(Velocity!$I:$I,Velocity!$A:$A,$A141,Velocity!$B:$B,$C141)/Assumptions!$B$4*Assumptions!$B$6</f>
        <v>8.375</v>
      </c>
      <c r="O141" s="7" t="n">
        <f aca="false">SUMIFS(Doors!AA:AA,Doors!$A:$A,$D141,Doors!$B:$B,$B141,Doors!$C:$C,$C141)*SUMIFS(Velocity!$I:$I,Velocity!$A:$A,$A141,Velocity!$B:$B,$C141)/Assumptions!$B$4*Assumptions!$B$6</f>
        <v>8.375</v>
      </c>
      <c r="P141" s="7" t="n">
        <f aca="false">SUMIFS(Doors!AB:AB,Doors!$A:$A,$D141,Doors!$B:$B,$B141,Doors!$C:$C,$C141)*SUMIFS(Velocity!$I:$I,Velocity!$A:$A,$A141,Velocity!$B:$B,$C141)/Assumptions!$B$4*Assumptions!$B$6</f>
        <v>8.375</v>
      </c>
      <c r="Q141" s="7" t="n">
        <f aca="false">SUMIFS(Doors!AC:AC,Doors!$A:$A,$D141,Doors!$B:$B,$B141,Doors!$C:$C,$C141)*SUMIFS(Velocity!$I:$I,Velocity!$A:$A,$A141,Velocity!$B:$B,$C141)/Assumptions!$B$4*Assumptions!$B$6</f>
        <v>8.375</v>
      </c>
      <c r="R141" s="7" t="n">
        <f aca="false">SUMIFS(Doors!AD:AD,Doors!$A:$A,$D141,Doors!$B:$B,$B141,Doors!$C:$C,$C141)*SUMIFS(Velocity!$I:$I,Velocity!$A:$A,$A141,Velocity!$B:$B,$C141)/Assumptions!$B$4*Assumptions!$B$6</f>
        <v>9.77083333333333</v>
      </c>
      <c r="S141" s="7" t="n">
        <f aca="false">SUMIFS(Doors!AE:AE,Doors!$A:$A,$D141,Doors!$B:$B,$B141,Doors!$C:$C,$C141)*SUMIFS(Velocity!$I:$I,Velocity!$A:$A,$A141,Velocity!$B:$B,$C141)/Assumptions!$B$4*Assumptions!$B$6</f>
        <v>9.77083333333333</v>
      </c>
      <c r="T141" s="7" t="n">
        <f aca="false">SUMIFS(Doors!AF:AF,Doors!$A:$A,$D141,Doors!$B:$B,$B141,Doors!$C:$C,$C141)*SUMIFS(Velocity!$I:$I,Velocity!$A:$A,$A141,Velocity!$B:$B,$C141)/Assumptions!$B$4*Assumptions!$B$6</f>
        <v>9.77083333333333</v>
      </c>
      <c r="U141" s="7" t="n">
        <f aca="false">SUMIFS(Doors!AG:AG,Doors!$A:$A,$D141,Doors!$B:$B,$B141,Doors!$C:$C,$C141)*SUMIFS(Velocity!$I:$I,Velocity!$A:$A,$A141,Velocity!$B:$B,$C141)/Assumptions!$B$4*Assumptions!$B$6</f>
        <v>9.77083333333333</v>
      </c>
      <c r="V141" s="7" t="n">
        <f aca="false">SUMIFS(Doors!AH:AH,Doors!$A:$A,$D141,Doors!$B:$B,$B141,Doors!$C:$C,$C141)*SUMIFS(Velocity!$I:$I,Velocity!$A:$A,$A141,Velocity!$B:$B,$C141)/Assumptions!$B$4*Assumptions!$B$6</f>
        <v>9.77083333333333</v>
      </c>
      <c r="W141" s="7" t="n">
        <f aca="false">SUMIFS(Doors!AI:AI,Doors!$A:$A,$D141,Doors!$B:$B,$B141,Doors!$C:$C,$C141)*SUMIFS(Velocity!$I:$I,Velocity!$A:$A,$A141,Velocity!$B:$B,$C141)/Assumptions!$B$4*Assumptions!$B$6</f>
        <v>11.1666666666667</v>
      </c>
      <c r="X141" s="7" t="n">
        <f aca="false">SUMIFS(Doors!AJ:AJ,Doors!$A:$A,$D141,Doors!$B:$B,$B141,Doors!$C:$C,$C141)*SUMIFS(Velocity!$I:$I,Velocity!$A:$A,$A141,Velocity!$B:$B,$C141)/Assumptions!$B$4*Assumptions!$B$6</f>
        <v>11.1666666666667</v>
      </c>
      <c r="Y141" s="7" t="n">
        <f aca="false">SUMIFS(Doors!AK:AK,Doors!$A:$A,$D141,Doors!$B:$B,$B141,Doors!$C:$C,$C141)*SUMIFS(Velocity!$I:$I,Velocity!$A:$A,$A141,Velocity!$B:$B,$C141)/Assumptions!$B$4*Assumptions!$B$6</f>
        <v>11.1666666666667</v>
      </c>
      <c r="Z141" s="7" t="n">
        <f aca="false">SUMIFS(Doors!AL:AL,Doors!$A:$A,$D141,Doors!$B:$B,$B141,Doors!$C:$C,$C141)*SUMIFS(Velocity!$I:$I,Velocity!$A:$A,$A141,Velocity!$B:$B,$C141)/Assumptions!$B$4*Assumptions!$B$6</f>
        <v>11.1666666666667</v>
      </c>
      <c r="AA141" s="7" t="n">
        <f aca="false">SUMIFS(Doors!AM:AM,Doors!$A:$A,$D141,Doors!$B:$B,$B141,Doors!$C:$C,$C141)*SUMIFS(Velocity!$I:$I,Velocity!$A:$A,$A141,Velocity!$B:$B,$C141)/Assumptions!$B$4*Assumptions!$B$6</f>
        <v>12.5625</v>
      </c>
      <c r="AB141" s="7" t="n">
        <f aca="false">SUMIFS(Doors!AN:AN,Doors!$A:$A,$D141,Doors!$B:$B,$B141,Doors!$C:$C,$C141)*SUMIFS(Velocity!$I:$I,Velocity!$A:$A,$A141,Velocity!$B:$B,$C141)/Assumptions!$B$4*Assumptions!$B$6</f>
        <v>12.5625</v>
      </c>
      <c r="AC141" s="7" t="n">
        <f aca="false">SUMIFS(Doors!AO:AO,Doors!$A:$A,$D141,Doors!$B:$B,$B141,Doors!$C:$C,$C141)*SUMIFS(Velocity!$I:$I,Velocity!$A:$A,$A141,Velocity!$B:$B,$C141)/Assumptions!$B$4*Assumptions!$B$6</f>
        <v>12.5625</v>
      </c>
      <c r="AD141" s="7" t="n">
        <f aca="false">SUMIFS(Doors!AP:AP,Doors!$A:$A,$D141,Doors!$B:$B,$B141,Doors!$C:$C,$C141)*SUMIFS(Velocity!$I:$I,Velocity!$A:$A,$A141,Velocity!$B:$B,$C141)/Assumptions!$B$4*Assumptions!$B$6</f>
        <v>12.5625</v>
      </c>
      <c r="AE141" s="7" t="n">
        <f aca="false">SUMIFS(Doors!AQ:AQ,Doors!$A:$A,$D141,Doors!$B:$B,$B141,Doors!$C:$C,$C141)*SUMIFS(Velocity!$I:$I,Velocity!$A:$A,$A141,Velocity!$B:$B,$C141)/Assumptions!$B$4*Assumptions!$B$6</f>
        <v>13.9583333333333</v>
      </c>
      <c r="AF141" s="7" t="n">
        <f aca="false">SUMIFS(Doors!AR:AR,Doors!$A:$A,$D141,Doors!$B:$B,$B141,Doors!$C:$C,$C141)*SUMIFS(Velocity!$I:$I,Velocity!$A:$A,$A141,Velocity!$B:$B,$C141)/Assumptions!$B$4*Assumptions!$B$6</f>
        <v>13.9583333333333</v>
      </c>
      <c r="AG141" s="7" t="n">
        <f aca="false">SUMIFS(Doors!AS:AS,Doors!$A:$A,$D141,Doors!$B:$B,$B141,Doors!$C:$C,$C141)*SUMIFS(Velocity!$I:$I,Velocity!$A:$A,$A141,Velocity!$B:$B,$C141)/Assumptions!$B$4*Assumptions!$B$6</f>
        <v>13.9583333333333</v>
      </c>
      <c r="AH141" s="7" t="n">
        <f aca="false">SUMIFS(Doors!AT:AT,Doors!$A:$A,$D141,Doors!$B:$B,$B141,Doors!$C:$C,$C141)*SUMIFS(Velocity!$I:$I,Velocity!$A:$A,$A141,Velocity!$B:$B,$C141)/Assumptions!$B$4*Assumptions!$B$6</f>
        <v>13.9583333333333</v>
      </c>
      <c r="AI141" s="7" t="n">
        <f aca="false">SUMIFS(Doors!AU:AU,Doors!$A:$A,$D141,Doors!$B:$B,$B141,Doors!$C:$C,$C141)*SUMIFS(Velocity!$I:$I,Velocity!$A:$A,$A141,Velocity!$B:$B,$C141)/Assumptions!$B$4*Assumptions!$B$6</f>
        <v>13.9583333333333</v>
      </c>
      <c r="AJ141" s="7" t="n">
        <f aca="false">SUMIFS(Doors!AV:AV,Doors!$A:$A,$D141,Doors!$B:$B,$B141,Doors!$C:$C,$C141)*SUMIFS(Velocity!$I:$I,Velocity!$A:$A,$A141,Velocity!$B:$B,$C141)/Assumptions!$B$4*Assumptions!$B$6</f>
        <v>15.3541666666667</v>
      </c>
      <c r="AK141" s="7" t="n">
        <f aca="false">SUMIFS(Doors!AW:AW,Doors!$A:$A,$D141,Doors!$B:$B,$B141,Doors!$C:$C,$C141)*SUMIFS(Velocity!$I:$I,Velocity!$A:$A,$A141,Velocity!$B:$B,$C141)/Assumptions!$B$4*Assumptions!$B$6</f>
        <v>15.3541666666667</v>
      </c>
      <c r="AL141" s="7" t="n">
        <f aca="false">SUMIFS(Doors!AX:AX,Doors!$A:$A,$D141,Doors!$B:$B,$B141,Doors!$C:$C,$C141)*SUMIFS(Velocity!$I:$I,Velocity!$A:$A,$A141,Velocity!$B:$B,$C141)/Assumptions!$B$4*Assumptions!$B$6</f>
        <v>15.3541666666667</v>
      </c>
      <c r="AM141" s="7" t="n">
        <f aca="false">SUMIFS(Doors!AY:AY,Doors!$A:$A,$D141,Doors!$B:$B,$B141,Doors!$C:$C,$C141)*SUMIFS(Velocity!$I:$I,Velocity!$A:$A,$A141,Velocity!$B:$B,$C141)/Assumptions!$B$4*Assumptions!$B$6</f>
        <v>15.3541666666667</v>
      </c>
      <c r="AN141" s="7" t="n">
        <f aca="false">SUMIFS(Doors!AZ:AZ,Doors!$A:$A,$D141,Doors!$B:$B,$B141,Doors!$C:$C,$C141)*SUMIFS(Velocity!$I:$I,Velocity!$A:$A,$A141,Velocity!$B:$B,$C141)/Assumptions!$B$4*Assumptions!$B$6</f>
        <v>16.75</v>
      </c>
      <c r="AO141" s="7" t="n">
        <f aca="false">SUMIFS(Doors!BA:BA,Doors!$A:$A,$D141,Doors!$B:$B,$B141,Doors!$C:$C,$C141)*SUMIFS(Velocity!$I:$I,Velocity!$A:$A,$A141,Velocity!$B:$B,$C141)/Assumptions!$B$4*Assumptions!$B$6</f>
        <v>16.75</v>
      </c>
      <c r="AP141" s="7" t="n">
        <f aca="false">SUMIFS(Doors!BB:BB,Doors!$A:$A,$D141,Doors!$B:$B,$B141,Doors!$C:$C,$C141)*SUMIFS(Velocity!$I:$I,Velocity!$A:$A,$A141,Velocity!$B:$B,$C141)/Assumptions!$B$4*Assumptions!$B$6</f>
        <v>16.75</v>
      </c>
      <c r="AQ141" s="7" t="n">
        <f aca="false">SUMIFS(Doors!BC:BC,Doors!$A:$A,$D141,Doors!$B:$B,$B141,Doors!$C:$C,$C141)*SUMIFS(Velocity!$I:$I,Velocity!$A:$A,$A141,Velocity!$B:$B,$C141)/Assumptions!$B$4*Assumptions!$B$6</f>
        <v>16.75</v>
      </c>
      <c r="AR141" s="7" t="n">
        <f aca="false">SUMIFS(Doors!BD:BD,Doors!$A:$A,$D141,Doors!$B:$B,$B141,Doors!$C:$C,$C141)*SUMIFS(Velocity!$I:$I,Velocity!$A:$A,$A141,Velocity!$B:$B,$C141)/Assumptions!$B$4*Assumptions!$B$6</f>
        <v>18.1458333333333</v>
      </c>
      <c r="AS141" s="7" t="n">
        <f aca="false">SUMIFS(Doors!BE:BE,Doors!$A:$A,$D141,Doors!$B:$B,$B141,Doors!$C:$C,$C141)*SUMIFS(Velocity!$I:$I,Velocity!$A:$A,$A141,Velocity!$B:$B,$C141)/Assumptions!$B$4*Assumptions!$B$6</f>
        <v>18.1458333333333</v>
      </c>
      <c r="AT141" s="7" t="n">
        <f aca="false">SUMIFS(Doors!BF:BF,Doors!$A:$A,$D141,Doors!$B:$B,$B141,Doors!$C:$C,$C141)*SUMIFS(Velocity!$I:$I,Velocity!$A:$A,$A141,Velocity!$B:$B,$C141)/Assumptions!$B$4*Assumptions!$B$6</f>
        <v>18.1458333333333</v>
      </c>
      <c r="AU141" s="7" t="n">
        <f aca="false">SUMIFS(Doors!BG:BG,Doors!$A:$A,$D141,Doors!$B:$B,$B141,Doors!$C:$C,$C141)*SUMIFS(Velocity!$I:$I,Velocity!$A:$A,$A141,Velocity!$B:$B,$C141)/Assumptions!$B$4*Assumptions!$B$6</f>
        <v>18.1458333333333</v>
      </c>
      <c r="AV141" s="7" t="n">
        <f aca="false">SUMIFS(Doors!BH:BH,Doors!$A:$A,$D141,Doors!$B:$B,$B141,Doors!$C:$C,$C141)*SUMIFS(Velocity!$I:$I,Velocity!$A:$A,$A141,Velocity!$B:$B,$C141)/Assumptions!$B$4*Assumptions!$B$6</f>
        <v>18.1458333333333</v>
      </c>
      <c r="AW141" s="7" t="n">
        <f aca="false">SUMIFS(Doors!BI:BI,Doors!$A:$A,$D141,Doors!$B:$B,$B141,Doors!$C:$C,$C141)*SUMIFS(Velocity!$I:$I,Velocity!$A:$A,$A141,Velocity!$B:$B,$C141)/Assumptions!$B$4*Assumptions!$B$6</f>
        <v>19.5416666666667</v>
      </c>
      <c r="AX141" s="7" t="n">
        <f aca="false">SUMIFS(Doors!BJ:BJ,Doors!$A:$A,$D141,Doors!$B:$B,$B141,Doors!$C:$C,$C141)*SUMIFS(Velocity!$I:$I,Velocity!$A:$A,$A141,Velocity!$B:$B,$C141)/Assumptions!$B$4*Assumptions!$B$6</f>
        <v>19.5416666666667</v>
      </c>
      <c r="AY141" s="7" t="n">
        <f aca="false">SUMIFS(Doors!BK:BK,Doors!$A:$A,$D141,Doors!$B:$B,$B141,Doors!$C:$C,$C141)*SUMIFS(Velocity!$I:$I,Velocity!$A:$A,$A141,Velocity!$B:$B,$C141)/Assumptions!$B$4*Assumptions!$B$6</f>
        <v>19.5416666666667</v>
      </c>
      <c r="AZ141" s="7" t="n">
        <f aca="false">SUMIFS(Doors!BL:BL,Doors!$A:$A,$D141,Doors!$B:$B,$B141,Doors!$C:$C,$C141)*SUMIFS(Velocity!$I:$I,Velocity!$A:$A,$A141,Velocity!$B:$B,$C141)/Assumptions!$B$4*Assumptions!$B$6</f>
        <v>19.5416666666667</v>
      </c>
      <c r="BA141" s="7" t="n">
        <f aca="false">SUMIFS(Doors!BM:BM,Doors!$A:$A,$D141,Doors!$B:$B,$B141,Doors!$C:$C,$C141)*SUMIFS(Velocity!$I:$I,Velocity!$A:$A,$A141,Velocity!$B:$B,$C141)/Assumptions!$B$4*Assumptions!$B$6</f>
        <v>20.9375</v>
      </c>
      <c r="BB141" s="7" t="n">
        <f aca="false">SUMIFS(Doors!BN:BN,Doors!$A:$A,$D141,Doors!$B:$B,$B141,Doors!$C:$C,$C141)*SUMIFS(Velocity!$I:$I,Velocity!$A:$A,$A141,Velocity!$B:$B,$C141)/Assumptions!$B$4*Assumptions!$B$6</f>
        <v>20.9375</v>
      </c>
      <c r="BC141" s="7" t="n">
        <f aca="false">SUMIFS(Doors!BO:BO,Doors!$A:$A,$D141,Doors!$B:$B,$B141,Doors!$C:$C,$C141)*SUMIFS(Velocity!$I:$I,Velocity!$A:$A,$A141,Velocity!$B:$B,$C141)/Assumptions!$B$4*Assumptions!$B$6</f>
        <v>20.9375</v>
      </c>
      <c r="BD141" s="7" t="n">
        <f aca="false">SUMIFS(Doors!BP:BP,Doors!$A:$A,$D141,Doors!$B:$B,$B141,Doors!$C:$C,$C141)*SUMIFS(Velocity!$I:$I,Velocity!$A:$A,$A141,Velocity!$B:$B,$C141)/Assumptions!$B$4*Assumptions!$B$6</f>
        <v>20.9375</v>
      </c>
    </row>
    <row r="142" customFormat="false" ht="15" hidden="false" customHeight="false" outlineLevel="0" collapsed="false">
      <c r="A142" s="0" t="s">
        <v>109</v>
      </c>
      <c r="B142" s="0" t="s">
        <v>131</v>
      </c>
      <c r="C142" s="0" t="s">
        <v>116</v>
      </c>
      <c r="D142" s="0" t="s">
        <v>235</v>
      </c>
      <c r="E142" s="7" t="n">
        <f aca="false">SUMIFS(Doors!Q:Q,Doors!$A:$A,$D142,Doors!$B:$B,$B142,Doors!$C:$C,$C142)*SUMIFS(Velocity!$I:$I,Velocity!$A:$A,$A142,Velocity!$B:$B,$C142)/Assumptions!$B$4*Assumptions!$B$6</f>
        <v>1.35416666666667</v>
      </c>
      <c r="F142" s="7" t="n">
        <f aca="false">SUMIFS(Doors!R:R,Doors!$A:$A,$D142,Doors!$B:$B,$B142,Doors!$C:$C,$C142)*SUMIFS(Velocity!$I:$I,Velocity!$A:$A,$A142,Velocity!$B:$B,$C142)/Assumptions!$B$4*Assumptions!$B$6</f>
        <v>1.35416666666667</v>
      </c>
      <c r="G142" s="7" t="n">
        <f aca="false">SUMIFS(Doors!S:S,Doors!$A:$A,$D142,Doors!$B:$B,$B142,Doors!$C:$C,$C142)*SUMIFS(Velocity!$I:$I,Velocity!$A:$A,$A142,Velocity!$B:$B,$C142)/Assumptions!$B$4*Assumptions!$B$6</f>
        <v>1.35416666666667</v>
      </c>
      <c r="H142" s="7" t="n">
        <f aca="false">SUMIFS(Doors!T:T,Doors!$A:$A,$D142,Doors!$B:$B,$B142,Doors!$C:$C,$C142)*SUMIFS(Velocity!$I:$I,Velocity!$A:$A,$A142,Velocity!$B:$B,$C142)/Assumptions!$B$4*Assumptions!$B$6</f>
        <v>1.35416666666667</v>
      </c>
      <c r="I142" s="7" t="n">
        <f aca="false">SUMIFS(Doors!U:U,Doors!$A:$A,$D142,Doors!$B:$B,$B142,Doors!$C:$C,$C142)*SUMIFS(Velocity!$I:$I,Velocity!$A:$A,$A142,Velocity!$B:$B,$C142)/Assumptions!$B$4*Assumptions!$B$6</f>
        <v>1.35416666666667</v>
      </c>
      <c r="J142" s="7" t="n">
        <f aca="false">SUMIFS(Doors!V:V,Doors!$A:$A,$D142,Doors!$B:$B,$B142,Doors!$C:$C,$C142)*SUMIFS(Velocity!$I:$I,Velocity!$A:$A,$A142,Velocity!$B:$B,$C142)/Assumptions!$B$4*Assumptions!$B$6</f>
        <v>2.16666666666667</v>
      </c>
      <c r="K142" s="7" t="n">
        <f aca="false">SUMIFS(Doors!W:W,Doors!$A:$A,$D142,Doors!$B:$B,$B142,Doors!$C:$C,$C142)*SUMIFS(Velocity!$I:$I,Velocity!$A:$A,$A142,Velocity!$B:$B,$C142)/Assumptions!$B$4*Assumptions!$B$6</f>
        <v>2.16666666666667</v>
      </c>
      <c r="L142" s="7" t="n">
        <f aca="false">SUMIFS(Doors!X:X,Doors!$A:$A,$D142,Doors!$B:$B,$B142,Doors!$C:$C,$C142)*SUMIFS(Velocity!$I:$I,Velocity!$A:$A,$A142,Velocity!$B:$B,$C142)/Assumptions!$B$4*Assumptions!$B$6</f>
        <v>2.16666666666667</v>
      </c>
      <c r="M142" s="7" t="n">
        <f aca="false">SUMIFS(Doors!Y:Y,Doors!$A:$A,$D142,Doors!$B:$B,$B142,Doors!$C:$C,$C142)*SUMIFS(Velocity!$I:$I,Velocity!$A:$A,$A142,Velocity!$B:$B,$C142)/Assumptions!$B$4*Assumptions!$B$6</f>
        <v>2.16666666666667</v>
      </c>
      <c r="N142" s="7" t="n">
        <f aca="false">SUMIFS(Doors!Z:Z,Doors!$A:$A,$D142,Doors!$B:$B,$B142,Doors!$C:$C,$C142)*SUMIFS(Velocity!$I:$I,Velocity!$A:$A,$A142,Velocity!$B:$B,$C142)/Assumptions!$B$4*Assumptions!$B$6</f>
        <v>2.97916666666667</v>
      </c>
      <c r="O142" s="7" t="n">
        <f aca="false">SUMIFS(Doors!AA:AA,Doors!$A:$A,$D142,Doors!$B:$B,$B142,Doors!$C:$C,$C142)*SUMIFS(Velocity!$I:$I,Velocity!$A:$A,$A142,Velocity!$B:$B,$C142)/Assumptions!$B$4*Assumptions!$B$6</f>
        <v>2.97916666666667</v>
      </c>
      <c r="P142" s="7" t="n">
        <f aca="false">SUMIFS(Doors!AB:AB,Doors!$A:$A,$D142,Doors!$B:$B,$B142,Doors!$C:$C,$C142)*SUMIFS(Velocity!$I:$I,Velocity!$A:$A,$A142,Velocity!$B:$B,$C142)/Assumptions!$B$4*Assumptions!$B$6</f>
        <v>2.97916666666667</v>
      </c>
      <c r="Q142" s="7" t="n">
        <f aca="false">SUMIFS(Doors!AC:AC,Doors!$A:$A,$D142,Doors!$B:$B,$B142,Doors!$C:$C,$C142)*SUMIFS(Velocity!$I:$I,Velocity!$A:$A,$A142,Velocity!$B:$B,$C142)/Assumptions!$B$4*Assumptions!$B$6</f>
        <v>2.97916666666667</v>
      </c>
      <c r="R142" s="7" t="n">
        <f aca="false">SUMIFS(Doors!AD:AD,Doors!$A:$A,$D142,Doors!$B:$B,$B142,Doors!$C:$C,$C142)*SUMIFS(Velocity!$I:$I,Velocity!$A:$A,$A142,Velocity!$B:$B,$C142)/Assumptions!$B$4*Assumptions!$B$6</f>
        <v>3.79166666666667</v>
      </c>
      <c r="S142" s="7" t="n">
        <f aca="false">SUMIFS(Doors!AE:AE,Doors!$A:$A,$D142,Doors!$B:$B,$B142,Doors!$C:$C,$C142)*SUMIFS(Velocity!$I:$I,Velocity!$A:$A,$A142,Velocity!$B:$B,$C142)/Assumptions!$B$4*Assumptions!$B$6</f>
        <v>3.79166666666667</v>
      </c>
      <c r="T142" s="7" t="n">
        <f aca="false">SUMIFS(Doors!AF:AF,Doors!$A:$A,$D142,Doors!$B:$B,$B142,Doors!$C:$C,$C142)*SUMIFS(Velocity!$I:$I,Velocity!$A:$A,$A142,Velocity!$B:$B,$C142)/Assumptions!$B$4*Assumptions!$B$6</f>
        <v>3.79166666666667</v>
      </c>
      <c r="U142" s="7" t="n">
        <f aca="false">SUMIFS(Doors!AG:AG,Doors!$A:$A,$D142,Doors!$B:$B,$B142,Doors!$C:$C,$C142)*SUMIFS(Velocity!$I:$I,Velocity!$A:$A,$A142,Velocity!$B:$B,$C142)/Assumptions!$B$4*Assumptions!$B$6</f>
        <v>3.79166666666667</v>
      </c>
      <c r="V142" s="7" t="n">
        <f aca="false">SUMIFS(Doors!AH:AH,Doors!$A:$A,$D142,Doors!$B:$B,$B142,Doors!$C:$C,$C142)*SUMIFS(Velocity!$I:$I,Velocity!$A:$A,$A142,Velocity!$B:$B,$C142)/Assumptions!$B$4*Assumptions!$B$6</f>
        <v>3.79166666666667</v>
      </c>
      <c r="W142" s="7" t="n">
        <f aca="false">SUMIFS(Doors!AI:AI,Doors!$A:$A,$D142,Doors!$B:$B,$B142,Doors!$C:$C,$C142)*SUMIFS(Velocity!$I:$I,Velocity!$A:$A,$A142,Velocity!$B:$B,$C142)/Assumptions!$B$4*Assumptions!$B$6</f>
        <v>4.60416666666667</v>
      </c>
      <c r="X142" s="7" t="n">
        <f aca="false">SUMIFS(Doors!AJ:AJ,Doors!$A:$A,$D142,Doors!$B:$B,$B142,Doors!$C:$C,$C142)*SUMIFS(Velocity!$I:$I,Velocity!$A:$A,$A142,Velocity!$B:$B,$C142)/Assumptions!$B$4*Assumptions!$B$6</f>
        <v>4.60416666666667</v>
      </c>
      <c r="Y142" s="7" t="n">
        <f aca="false">SUMIFS(Doors!AK:AK,Doors!$A:$A,$D142,Doors!$B:$B,$B142,Doors!$C:$C,$C142)*SUMIFS(Velocity!$I:$I,Velocity!$A:$A,$A142,Velocity!$B:$B,$C142)/Assumptions!$B$4*Assumptions!$B$6</f>
        <v>4.60416666666667</v>
      </c>
      <c r="Z142" s="7" t="n">
        <f aca="false">SUMIFS(Doors!AL:AL,Doors!$A:$A,$D142,Doors!$B:$B,$B142,Doors!$C:$C,$C142)*SUMIFS(Velocity!$I:$I,Velocity!$A:$A,$A142,Velocity!$B:$B,$C142)/Assumptions!$B$4*Assumptions!$B$6</f>
        <v>4.60416666666667</v>
      </c>
      <c r="AA142" s="7" t="n">
        <f aca="false">SUMIFS(Doors!AM:AM,Doors!$A:$A,$D142,Doors!$B:$B,$B142,Doors!$C:$C,$C142)*SUMIFS(Velocity!$I:$I,Velocity!$A:$A,$A142,Velocity!$B:$B,$C142)/Assumptions!$B$4*Assumptions!$B$6</f>
        <v>5.41666666666667</v>
      </c>
      <c r="AB142" s="7" t="n">
        <f aca="false">SUMIFS(Doors!AN:AN,Doors!$A:$A,$D142,Doors!$B:$B,$B142,Doors!$C:$C,$C142)*SUMIFS(Velocity!$I:$I,Velocity!$A:$A,$A142,Velocity!$B:$B,$C142)/Assumptions!$B$4*Assumptions!$B$6</f>
        <v>5.41666666666667</v>
      </c>
      <c r="AC142" s="7" t="n">
        <f aca="false">SUMIFS(Doors!AO:AO,Doors!$A:$A,$D142,Doors!$B:$B,$B142,Doors!$C:$C,$C142)*SUMIFS(Velocity!$I:$I,Velocity!$A:$A,$A142,Velocity!$B:$B,$C142)/Assumptions!$B$4*Assumptions!$B$6</f>
        <v>5.41666666666667</v>
      </c>
      <c r="AD142" s="7" t="n">
        <f aca="false">SUMIFS(Doors!AP:AP,Doors!$A:$A,$D142,Doors!$B:$B,$B142,Doors!$C:$C,$C142)*SUMIFS(Velocity!$I:$I,Velocity!$A:$A,$A142,Velocity!$B:$B,$C142)/Assumptions!$B$4*Assumptions!$B$6</f>
        <v>5.41666666666667</v>
      </c>
      <c r="AE142" s="7" t="n">
        <f aca="false">SUMIFS(Doors!AQ:AQ,Doors!$A:$A,$D142,Doors!$B:$B,$B142,Doors!$C:$C,$C142)*SUMIFS(Velocity!$I:$I,Velocity!$A:$A,$A142,Velocity!$B:$B,$C142)/Assumptions!$B$4*Assumptions!$B$6</f>
        <v>6.22916666666667</v>
      </c>
      <c r="AF142" s="7" t="n">
        <f aca="false">SUMIFS(Doors!AR:AR,Doors!$A:$A,$D142,Doors!$B:$B,$B142,Doors!$C:$C,$C142)*SUMIFS(Velocity!$I:$I,Velocity!$A:$A,$A142,Velocity!$B:$B,$C142)/Assumptions!$B$4*Assumptions!$B$6</f>
        <v>6.22916666666667</v>
      </c>
      <c r="AG142" s="7" t="n">
        <f aca="false">SUMIFS(Doors!AS:AS,Doors!$A:$A,$D142,Doors!$B:$B,$B142,Doors!$C:$C,$C142)*SUMIFS(Velocity!$I:$I,Velocity!$A:$A,$A142,Velocity!$B:$B,$C142)/Assumptions!$B$4*Assumptions!$B$6</f>
        <v>6.22916666666667</v>
      </c>
      <c r="AH142" s="7" t="n">
        <f aca="false">SUMIFS(Doors!AT:AT,Doors!$A:$A,$D142,Doors!$B:$B,$B142,Doors!$C:$C,$C142)*SUMIFS(Velocity!$I:$I,Velocity!$A:$A,$A142,Velocity!$B:$B,$C142)/Assumptions!$B$4*Assumptions!$B$6</f>
        <v>6.22916666666667</v>
      </c>
      <c r="AI142" s="7" t="n">
        <f aca="false">SUMIFS(Doors!AU:AU,Doors!$A:$A,$D142,Doors!$B:$B,$B142,Doors!$C:$C,$C142)*SUMIFS(Velocity!$I:$I,Velocity!$A:$A,$A142,Velocity!$B:$B,$C142)/Assumptions!$B$4*Assumptions!$B$6</f>
        <v>6.22916666666667</v>
      </c>
      <c r="AJ142" s="7" t="n">
        <f aca="false">SUMIFS(Doors!AV:AV,Doors!$A:$A,$D142,Doors!$B:$B,$B142,Doors!$C:$C,$C142)*SUMIFS(Velocity!$I:$I,Velocity!$A:$A,$A142,Velocity!$B:$B,$C142)/Assumptions!$B$4*Assumptions!$B$6</f>
        <v>6.77083333333333</v>
      </c>
      <c r="AK142" s="7" t="n">
        <f aca="false">SUMIFS(Doors!AW:AW,Doors!$A:$A,$D142,Doors!$B:$B,$B142,Doors!$C:$C,$C142)*SUMIFS(Velocity!$I:$I,Velocity!$A:$A,$A142,Velocity!$B:$B,$C142)/Assumptions!$B$4*Assumptions!$B$6</f>
        <v>6.77083333333333</v>
      </c>
      <c r="AL142" s="7" t="n">
        <f aca="false">SUMIFS(Doors!AX:AX,Doors!$A:$A,$D142,Doors!$B:$B,$B142,Doors!$C:$C,$C142)*SUMIFS(Velocity!$I:$I,Velocity!$A:$A,$A142,Velocity!$B:$B,$C142)/Assumptions!$B$4*Assumptions!$B$6</f>
        <v>6.77083333333333</v>
      </c>
      <c r="AM142" s="7" t="n">
        <f aca="false">SUMIFS(Doors!AY:AY,Doors!$A:$A,$D142,Doors!$B:$B,$B142,Doors!$C:$C,$C142)*SUMIFS(Velocity!$I:$I,Velocity!$A:$A,$A142,Velocity!$B:$B,$C142)/Assumptions!$B$4*Assumptions!$B$6</f>
        <v>6.77083333333333</v>
      </c>
      <c r="AN142" s="7" t="n">
        <f aca="false">SUMIFS(Doors!AZ:AZ,Doors!$A:$A,$D142,Doors!$B:$B,$B142,Doors!$C:$C,$C142)*SUMIFS(Velocity!$I:$I,Velocity!$A:$A,$A142,Velocity!$B:$B,$C142)/Assumptions!$B$4*Assumptions!$B$6</f>
        <v>7.58333333333333</v>
      </c>
      <c r="AO142" s="7" t="n">
        <f aca="false">SUMIFS(Doors!BA:BA,Doors!$A:$A,$D142,Doors!$B:$B,$B142,Doors!$C:$C,$C142)*SUMIFS(Velocity!$I:$I,Velocity!$A:$A,$A142,Velocity!$B:$B,$C142)/Assumptions!$B$4*Assumptions!$B$6</f>
        <v>7.58333333333333</v>
      </c>
      <c r="AP142" s="7" t="n">
        <f aca="false">SUMIFS(Doors!BB:BB,Doors!$A:$A,$D142,Doors!$B:$B,$B142,Doors!$C:$C,$C142)*SUMIFS(Velocity!$I:$I,Velocity!$A:$A,$A142,Velocity!$B:$B,$C142)/Assumptions!$B$4*Assumptions!$B$6</f>
        <v>7.58333333333333</v>
      </c>
      <c r="AQ142" s="7" t="n">
        <f aca="false">SUMIFS(Doors!BC:BC,Doors!$A:$A,$D142,Doors!$B:$B,$B142,Doors!$C:$C,$C142)*SUMIFS(Velocity!$I:$I,Velocity!$A:$A,$A142,Velocity!$B:$B,$C142)/Assumptions!$B$4*Assumptions!$B$6</f>
        <v>7.58333333333333</v>
      </c>
      <c r="AR142" s="7" t="n">
        <f aca="false">SUMIFS(Doors!BD:BD,Doors!$A:$A,$D142,Doors!$B:$B,$B142,Doors!$C:$C,$C142)*SUMIFS(Velocity!$I:$I,Velocity!$A:$A,$A142,Velocity!$B:$B,$C142)/Assumptions!$B$4*Assumptions!$B$6</f>
        <v>8.125</v>
      </c>
      <c r="AS142" s="7" t="n">
        <f aca="false">SUMIFS(Doors!BE:BE,Doors!$A:$A,$D142,Doors!$B:$B,$B142,Doors!$C:$C,$C142)*SUMIFS(Velocity!$I:$I,Velocity!$A:$A,$A142,Velocity!$B:$B,$C142)/Assumptions!$B$4*Assumptions!$B$6</f>
        <v>8.125</v>
      </c>
      <c r="AT142" s="7" t="n">
        <f aca="false">SUMIFS(Doors!BF:BF,Doors!$A:$A,$D142,Doors!$B:$B,$B142,Doors!$C:$C,$C142)*SUMIFS(Velocity!$I:$I,Velocity!$A:$A,$A142,Velocity!$B:$B,$C142)/Assumptions!$B$4*Assumptions!$B$6</f>
        <v>8.125</v>
      </c>
      <c r="AU142" s="7" t="n">
        <f aca="false">SUMIFS(Doors!BG:BG,Doors!$A:$A,$D142,Doors!$B:$B,$B142,Doors!$C:$C,$C142)*SUMIFS(Velocity!$I:$I,Velocity!$A:$A,$A142,Velocity!$B:$B,$C142)/Assumptions!$B$4*Assumptions!$B$6</f>
        <v>8.125</v>
      </c>
      <c r="AV142" s="7" t="n">
        <f aca="false">SUMIFS(Doors!BH:BH,Doors!$A:$A,$D142,Doors!$B:$B,$B142,Doors!$C:$C,$C142)*SUMIFS(Velocity!$I:$I,Velocity!$A:$A,$A142,Velocity!$B:$B,$C142)/Assumptions!$B$4*Assumptions!$B$6</f>
        <v>8.125</v>
      </c>
      <c r="AW142" s="7" t="n">
        <f aca="false">SUMIFS(Doors!BI:BI,Doors!$A:$A,$D142,Doors!$B:$B,$B142,Doors!$C:$C,$C142)*SUMIFS(Velocity!$I:$I,Velocity!$A:$A,$A142,Velocity!$B:$B,$C142)/Assumptions!$B$4*Assumptions!$B$6</f>
        <v>8.66666666666667</v>
      </c>
      <c r="AX142" s="7" t="n">
        <f aca="false">SUMIFS(Doors!BJ:BJ,Doors!$A:$A,$D142,Doors!$B:$B,$B142,Doors!$C:$C,$C142)*SUMIFS(Velocity!$I:$I,Velocity!$A:$A,$A142,Velocity!$B:$B,$C142)/Assumptions!$B$4*Assumptions!$B$6</f>
        <v>8.66666666666667</v>
      </c>
      <c r="AY142" s="7" t="n">
        <f aca="false">SUMIFS(Doors!BK:BK,Doors!$A:$A,$D142,Doors!$B:$B,$B142,Doors!$C:$C,$C142)*SUMIFS(Velocity!$I:$I,Velocity!$A:$A,$A142,Velocity!$B:$B,$C142)/Assumptions!$B$4*Assumptions!$B$6</f>
        <v>8.66666666666667</v>
      </c>
      <c r="AZ142" s="7" t="n">
        <f aca="false">SUMIFS(Doors!BL:BL,Doors!$A:$A,$D142,Doors!$B:$B,$B142,Doors!$C:$C,$C142)*SUMIFS(Velocity!$I:$I,Velocity!$A:$A,$A142,Velocity!$B:$B,$C142)/Assumptions!$B$4*Assumptions!$B$6</f>
        <v>8.66666666666667</v>
      </c>
      <c r="BA142" s="7" t="n">
        <f aca="false">SUMIFS(Doors!BM:BM,Doors!$A:$A,$D142,Doors!$B:$B,$B142,Doors!$C:$C,$C142)*SUMIFS(Velocity!$I:$I,Velocity!$A:$A,$A142,Velocity!$B:$B,$C142)/Assumptions!$B$4*Assumptions!$B$6</f>
        <v>8.66666666666667</v>
      </c>
      <c r="BB142" s="7" t="n">
        <f aca="false">SUMIFS(Doors!BN:BN,Doors!$A:$A,$D142,Doors!$B:$B,$B142,Doors!$C:$C,$C142)*SUMIFS(Velocity!$I:$I,Velocity!$A:$A,$A142,Velocity!$B:$B,$C142)/Assumptions!$B$4*Assumptions!$B$6</f>
        <v>8.66666666666667</v>
      </c>
      <c r="BC142" s="7" t="n">
        <f aca="false">SUMIFS(Doors!BO:BO,Doors!$A:$A,$D142,Doors!$B:$B,$B142,Doors!$C:$C,$C142)*SUMIFS(Velocity!$I:$I,Velocity!$A:$A,$A142,Velocity!$B:$B,$C142)/Assumptions!$B$4*Assumptions!$B$6</f>
        <v>8.66666666666667</v>
      </c>
      <c r="BD142" s="7" t="n">
        <f aca="false">SUMIFS(Doors!BP:BP,Doors!$A:$A,$D142,Doors!$B:$B,$B142,Doors!$C:$C,$C142)*SUMIFS(Velocity!$I:$I,Velocity!$A:$A,$A142,Velocity!$B:$B,$C142)/Assumptions!$B$4*Assumptions!$B$6</f>
        <v>8.66666666666667</v>
      </c>
    </row>
    <row r="143" customFormat="false" ht="15" hidden="false" customHeight="false" outlineLevel="0" collapsed="false">
      <c r="A143" s="0" t="s">
        <v>109</v>
      </c>
      <c r="B143" s="0" t="s">
        <v>131</v>
      </c>
      <c r="C143" s="0" t="s">
        <v>117</v>
      </c>
      <c r="D143" s="0" t="s">
        <v>235</v>
      </c>
      <c r="E143" s="7" t="n">
        <f aca="false">SUMIFS(Doors!Q:Q,Doors!$A:$A,$D143,Doors!$B:$B,$B143,Doors!$C:$C,$C143)*SUMIFS(Velocity!$I:$I,Velocity!$A:$A,$A143,Velocity!$B:$B,$C143)/Assumptions!$B$4*Assumptions!$B$6</f>
        <v>0</v>
      </c>
      <c r="F143" s="7" t="n">
        <f aca="false">SUMIFS(Doors!R:R,Doors!$A:$A,$D143,Doors!$B:$B,$B143,Doors!$C:$C,$C143)*SUMIFS(Velocity!$I:$I,Velocity!$A:$A,$A143,Velocity!$B:$B,$C143)/Assumptions!$B$4*Assumptions!$B$6</f>
        <v>0</v>
      </c>
      <c r="G143" s="7" t="n">
        <f aca="false">SUMIFS(Doors!S:S,Doors!$A:$A,$D143,Doors!$B:$B,$B143,Doors!$C:$C,$C143)*SUMIFS(Velocity!$I:$I,Velocity!$A:$A,$A143,Velocity!$B:$B,$C143)/Assumptions!$B$4*Assumptions!$B$6</f>
        <v>0</v>
      </c>
      <c r="H143" s="7" t="n">
        <f aca="false">SUMIFS(Doors!T:T,Doors!$A:$A,$D143,Doors!$B:$B,$B143,Doors!$C:$C,$C143)*SUMIFS(Velocity!$I:$I,Velocity!$A:$A,$A143,Velocity!$B:$B,$C143)/Assumptions!$B$4*Assumptions!$B$6</f>
        <v>0</v>
      </c>
      <c r="I143" s="7" t="n">
        <f aca="false">SUMIFS(Doors!U:U,Doors!$A:$A,$D143,Doors!$B:$B,$B143,Doors!$C:$C,$C143)*SUMIFS(Velocity!$I:$I,Velocity!$A:$A,$A143,Velocity!$B:$B,$C143)/Assumptions!$B$4*Assumptions!$B$6</f>
        <v>0</v>
      </c>
      <c r="J143" s="7" t="n">
        <f aca="false">SUMIFS(Doors!V:V,Doors!$A:$A,$D143,Doors!$B:$B,$B143,Doors!$C:$C,$C143)*SUMIFS(Velocity!$I:$I,Velocity!$A:$A,$A143,Velocity!$B:$B,$C143)/Assumptions!$B$4*Assumptions!$B$6</f>
        <v>0</v>
      </c>
      <c r="K143" s="7" t="n">
        <f aca="false">SUMIFS(Doors!W:W,Doors!$A:$A,$D143,Doors!$B:$B,$B143,Doors!$C:$C,$C143)*SUMIFS(Velocity!$I:$I,Velocity!$A:$A,$A143,Velocity!$B:$B,$C143)/Assumptions!$B$4*Assumptions!$B$6</f>
        <v>0</v>
      </c>
      <c r="L143" s="7" t="n">
        <f aca="false">SUMIFS(Doors!X:X,Doors!$A:$A,$D143,Doors!$B:$B,$B143,Doors!$C:$C,$C143)*SUMIFS(Velocity!$I:$I,Velocity!$A:$A,$A143,Velocity!$B:$B,$C143)/Assumptions!$B$4*Assumptions!$B$6</f>
        <v>0</v>
      </c>
      <c r="M143" s="7" t="n">
        <f aca="false">SUMIFS(Doors!Y:Y,Doors!$A:$A,$D143,Doors!$B:$B,$B143,Doors!$C:$C,$C143)*SUMIFS(Velocity!$I:$I,Velocity!$A:$A,$A143,Velocity!$B:$B,$C143)/Assumptions!$B$4*Assumptions!$B$6</f>
        <v>0</v>
      </c>
      <c r="N143" s="7" t="n">
        <f aca="false">SUMIFS(Doors!Z:Z,Doors!$A:$A,$D143,Doors!$B:$B,$B143,Doors!$C:$C,$C143)*SUMIFS(Velocity!$I:$I,Velocity!$A:$A,$A143,Velocity!$B:$B,$C143)/Assumptions!$B$4*Assumptions!$B$6</f>
        <v>0</v>
      </c>
      <c r="O143" s="7" t="n">
        <f aca="false">SUMIFS(Doors!AA:AA,Doors!$A:$A,$D143,Doors!$B:$B,$B143,Doors!$C:$C,$C143)*SUMIFS(Velocity!$I:$I,Velocity!$A:$A,$A143,Velocity!$B:$B,$C143)/Assumptions!$B$4*Assumptions!$B$6</f>
        <v>0</v>
      </c>
      <c r="P143" s="7" t="n">
        <f aca="false">SUMIFS(Doors!AB:AB,Doors!$A:$A,$D143,Doors!$B:$B,$B143,Doors!$C:$C,$C143)*SUMIFS(Velocity!$I:$I,Velocity!$A:$A,$A143,Velocity!$B:$B,$C143)/Assumptions!$B$4*Assumptions!$B$6</f>
        <v>0</v>
      </c>
      <c r="Q143" s="7" t="n">
        <f aca="false">SUMIFS(Doors!AC:AC,Doors!$A:$A,$D143,Doors!$B:$B,$B143,Doors!$C:$C,$C143)*SUMIFS(Velocity!$I:$I,Velocity!$A:$A,$A143,Velocity!$B:$B,$C143)/Assumptions!$B$4*Assumptions!$B$6</f>
        <v>0</v>
      </c>
      <c r="R143" s="7" t="n">
        <f aca="false">SUMIFS(Doors!AD:AD,Doors!$A:$A,$D143,Doors!$B:$B,$B143,Doors!$C:$C,$C143)*SUMIFS(Velocity!$I:$I,Velocity!$A:$A,$A143,Velocity!$B:$B,$C143)/Assumptions!$B$4*Assumptions!$B$6</f>
        <v>2.83333333333333</v>
      </c>
      <c r="S143" s="7" t="n">
        <f aca="false">SUMIFS(Doors!AE:AE,Doors!$A:$A,$D143,Doors!$B:$B,$B143,Doors!$C:$C,$C143)*SUMIFS(Velocity!$I:$I,Velocity!$A:$A,$A143,Velocity!$B:$B,$C143)/Assumptions!$B$4*Assumptions!$B$6</f>
        <v>2.83333333333333</v>
      </c>
      <c r="T143" s="7" t="n">
        <f aca="false">SUMIFS(Doors!AF:AF,Doors!$A:$A,$D143,Doors!$B:$B,$B143,Doors!$C:$C,$C143)*SUMIFS(Velocity!$I:$I,Velocity!$A:$A,$A143,Velocity!$B:$B,$C143)/Assumptions!$B$4*Assumptions!$B$6</f>
        <v>2.83333333333333</v>
      </c>
      <c r="U143" s="7" t="n">
        <f aca="false">SUMIFS(Doors!AG:AG,Doors!$A:$A,$D143,Doors!$B:$B,$B143,Doors!$C:$C,$C143)*SUMIFS(Velocity!$I:$I,Velocity!$A:$A,$A143,Velocity!$B:$B,$C143)/Assumptions!$B$4*Assumptions!$B$6</f>
        <v>2.83333333333333</v>
      </c>
      <c r="V143" s="7" t="n">
        <f aca="false">SUMIFS(Doors!AH:AH,Doors!$A:$A,$D143,Doors!$B:$B,$B143,Doors!$C:$C,$C143)*SUMIFS(Velocity!$I:$I,Velocity!$A:$A,$A143,Velocity!$B:$B,$C143)/Assumptions!$B$4*Assumptions!$B$6</f>
        <v>2.83333333333333</v>
      </c>
      <c r="W143" s="7" t="n">
        <f aca="false">SUMIFS(Doors!AI:AI,Doors!$A:$A,$D143,Doors!$B:$B,$B143,Doors!$C:$C,$C143)*SUMIFS(Velocity!$I:$I,Velocity!$A:$A,$A143,Velocity!$B:$B,$C143)/Assumptions!$B$4*Assumptions!$B$6</f>
        <v>4.53333333333333</v>
      </c>
      <c r="X143" s="7" t="n">
        <f aca="false">SUMIFS(Doors!AJ:AJ,Doors!$A:$A,$D143,Doors!$B:$B,$B143,Doors!$C:$C,$C143)*SUMIFS(Velocity!$I:$I,Velocity!$A:$A,$A143,Velocity!$B:$B,$C143)/Assumptions!$B$4*Assumptions!$B$6</f>
        <v>4.53333333333333</v>
      </c>
      <c r="Y143" s="7" t="n">
        <f aca="false">SUMIFS(Doors!AK:AK,Doors!$A:$A,$D143,Doors!$B:$B,$B143,Doors!$C:$C,$C143)*SUMIFS(Velocity!$I:$I,Velocity!$A:$A,$A143,Velocity!$B:$B,$C143)/Assumptions!$B$4*Assumptions!$B$6</f>
        <v>4.53333333333333</v>
      </c>
      <c r="Z143" s="7" t="n">
        <f aca="false">SUMIFS(Doors!AL:AL,Doors!$A:$A,$D143,Doors!$B:$B,$B143,Doors!$C:$C,$C143)*SUMIFS(Velocity!$I:$I,Velocity!$A:$A,$A143,Velocity!$B:$B,$C143)/Assumptions!$B$4*Assumptions!$B$6</f>
        <v>4.53333333333333</v>
      </c>
      <c r="AA143" s="7" t="n">
        <f aca="false">SUMIFS(Doors!AM:AM,Doors!$A:$A,$D143,Doors!$B:$B,$B143,Doors!$C:$C,$C143)*SUMIFS(Velocity!$I:$I,Velocity!$A:$A,$A143,Velocity!$B:$B,$C143)/Assumptions!$B$4*Assumptions!$B$6</f>
        <v>6.8</v>
      </c>
      <c r="AB143" s="7" t="n">
        <f aca="false">SUMIFS(Doors!AN:AN,Doors!$A:$A,$D143,Doors!$B:$B,$B143,Doors!$C:$C,$C143)*SUMIFS(Velocity!$I:$I,Velocity!$A:$A,$A143,Velocity!$B:$B,$C143)/Assumptions!$B$4*Assumptions!$B$6</f>
        <v>6.8</v>
      </c>
      <c r="AC143" s="7" t="n">
        <f aca="false">SUMIFS(Doors!AO:AO,Doors!$A:$A,$D143,Doors!$B:$B,$B143,Doors!$C:$C,$C143)*SUMIFS(Velocity!$I:$I,Velocity!$A:$A,$A143,Velocity!$B:$B,$C143)/Assumptions!$B$4*Assumptions!$B$6</f>
        <v>6.8</v>
      </c>
      <c r="AD143" s="7" t="n">
        <f aca="false">SUMIFS(Doors!AP:AP,Doors!$A:$A,$D143,Doors!$B:$B,$B143,Doors!$C:$C,$C143)*SUMIFS(Velocity!$I:$I,Velocity!$A:$A,$A143,Velocity!$B:$B,$C143)/Assumptions!$B$4*Assumptions!$B$6</f>
        <v>6.8</v>
      </c>
      <c r="AE143" s="7" t="n">
        <f aca="false">SUMIFS(Doors!AQ:AQ,Doors!$A:$A,$D143,Doors!$B:$B,$B143,Doors!$C:$C,$C143)*SUMIFS(Velocity!$I:$I,Velocity!$A:$A,$A143,Velocity!$B:$B,$C143)/Assumptions!$B$4*Assumptions!$B$6</f>
        <v>8.5</v>
      </c>
      <c r="AF143" s="7" t="n">
        <f aca="false">SUMIFS(Doors!AR:AR,Doors!$A:$A,$D143,Doors!$B:$B,$B143,Doors!$C:$C,$C143)*SUMIFS(Velocity!$I:$I,Velocity!$A:$A,$A143,Velocity!$B:$B,$C143)/Assumptions!$B$4*Assumptions!$B$6</f>
        <v>8.5</v>
      </c>
      <c r="AG143" s="7" t="n">
        <f aca="false">SUMIFS(Doors!AS:AS,Doors!$A:$A,$D143,Doors!$B:$B,$B143,Doors!$C:$C,$C143)*SUMIFS(Velocity!$I:$I,Velocity!$A:$A,$A143,Velocity!$B:$B,$C143)/Assumptions!$B$4*Assumptions!$B$6</f>
        <v>8.5</v>
      </c>
      <c r="AH143" s="7" t="n">
        <f aca="false">SUMIFS(Doors!AT:AT,Doors!$A:$A,$D143,Doors!$B:$B,$B143,Doors!$C:$C,$C143)*SUMIFS(Velocity!$I:$I,Velocity!$A:$A,$A143,Velocity!$B:$B,$C143)/Assumptions!$B$4*Assumptions!$B$6</f>
        <v>8.5</v>
      </c>
      <c r="AI143" s="7" t="n">
        <f aca="false">SUMIFS(Doors!AU:AU,Doors!$A:$A,$D143,Doors!$B:$B,$B143,Doors!$C:$C,$C143)*SUMIFS(Velocity!$I:$I,Velocity!$A:$A,$A143,Velocity!$B:$B,$C143)/Assumptions!$B$4*Assumptions!$B$6</f>
        <v>8.5</v>
      </c>
      <c r="AJ143" s="7" t="n">
        <f aca="false">SUMIFS(Doors!AV:AV,Doors!$A:$A,$D143,Doors!$B:$B,$B143,Doors!$C:$C,$C143)*SUMIFS(Velocity!$I:$I,Velocity!$A:$A,$A143,Velocity!$B:$B,$C143)/Assumptions!$B$4*Assumptions!$B$6</f>
        <v>10.2</v>
      </c>
      <c r="AK143" s="7" t="n">
        <f aca="false">SUMIFS(Doors!AW:AW,Doors!$A:$A,$D143,Doors!$B:$B,$B143,Doors!$C:$C,$C143)*SUMIFS(Velocity!$I:$I,Velocity!$A:$A,$A143,Velocity!$B:$B,$C143)/Assumptions!$B$4*Assumptions!$B$6</f>
        <v>10.2</v>
      </c>
      <c r="AL143" s="7" t="n">
        <f aca="false">SUMIFS(Doors!AX:AX,Doors!$A:$A,$D143,Doors!$B:$B,$B143,Doors!$C:$C,$C143)*SUMIFS(Velocity!$I:$I,Velocity!$A:$A,$A143,Velocity!$B:$B,$C143)/Assumptions!$B$4*Assumptions!$B$6</f>
        <v>10.2</v>
      </c>
      <c r="AM143" s="7" t="n">
        <f aca="false">SUMIFS(Doors!AY:AY,Doors!$A:$A,$D143,Doors!$B:$B,$B143,Doors!$C:$C,$C143)*SUMIFS(Velocity!$I:$I,Velocity!$A:$A,$A143,Velocity!$B:$B,$C143)/Assumptions!$B$4*Assumptions!$B$6</f>
        <v>10.2</v>
      </c>
      <c r="AN143" s="7" t="n">
        <f aca="false">SUMIFS(Doors!AZ:AZ,Doors!$A:$A,$D143,Doors!$B:$B,$B143,Doors!$C:$C,$C143)*SUMIFS(Velocity!$I:$I,Velocity!$A:$A,$A143,Velocity!$B:$B,$C143)/Assumptions!$B$4*Assumptions!$B$6</f>
        <v>11.3333333333333</v>
      </c>
      <c r="AO143" s="7" t="n">
        <f aca="false">SUMIFS(Doors!BA:BA,Doors!$A:$A,$D143,Doors!$B:$B,$B143,Doors!$C:$C,$C143)*SUMIFS(Velocity!$I:$I,Velocity!$A:$A,$A143,Velocity!$B:$B,$C143)/Assumptions!$B$4*Assumptions!$B$6</f>
        <v>11.3333333333333</v>
      </c>
      <c r="AP143" s="7" t="n">
        <f aca="false">SUMIFS(Doors!BB:BB,Doors!$A:$A,$D143,Doors!$B:$B,$B143,Doors!$C:$C,$C143)*SUMIFS(Velocity!$I:$I,Velocity!$A:$A,$A143,Velocity!$B:$B,$C143)/Assumptions!$B$4*Assumptions!$B$6</f>
        <v>11.3333333333333</v>
      </c>
      <c r="AQ143" s="7" t="n">
        <f aca="false">SUMIFS(Doors!BC:BC,Doors!$A:$A,$D143,Doors!$B:$B,$B143,Doors!$C:$C,$C143)*SUMIFS(Velocity!$I:$I,Velocity!$A:$A,$A143,Velocity!$B:$B,$C143)/Assumptions!$B$4*Assumptions!$B$6</f>
        <v>11.3333333333333</v>
      </c>
      <c r="AR143" s="7" t="n">
        <f aca="false">SUMIFS(Doors!BD:BD,Doors!$A:$A,$D143,Doors!$B:$B,$B143,Doors!$C:$C,$C143)*SUMIFS(Velocity!$I:$I,Velocity!$A:$A,$A143,Velocity!$B:$B,$C143)/Assumptions!$B$4*Assumptions!$B$6</f>
        <v>12.4666666666667</v>
      </c>
      <c r="AS143" s="7" t="n">
        <f aca="false">SUMIFS(Doors!BE:BE,Doors!$A:$A,$D143,Doors!$B:$B,$B143,Doors!$C:$C,$C143)*SUMIFS(Velocity!$I:$I,Velocity!$A:$A,$A143,Velocity!$B:$B,$C143)/Assumptions!$B$4*Assumptions!$B$6</f>
        <v>12.4666666666667</v>
      </c>
      <c r="AT143" s="7" t="n">
        <f aca="false">SUMIFS(Doors!BF:BF,Doors!$A:$A,$D143,Doors!$B:$B,$B143,Doors!$C:$C,$C143)*SUMIFS(Velocity!$I:$I,Velocity!$A:$A,$A143,Velocity!$B:$B,$C143)/Assumptions!$B$4*Assumptions!$B$6</f>
        <v>12.4666666666667</v>
      </c>
      <c r="AU143" s="7" t="n">
        <f aca="false">SUMIFS(Doors!BG:BG,Doors!$A:$A,$D143,Doors!$B:$B,$B143,Doors!$C:$C,$C143)*SUMIFS(Velocity!$I:$I,Velocity!$A:$A,$A143,Velocity!$B:$B,$C143)/Assumptions!$B$4*Assumptions!$B$6</f>
        <v>12.4666666666667</v>
      </c>
      <c r="AV143" s="7" t="n">
        <f aca="false">SUMIFS(Doors!BH:BH,Doors!$A:$A,$D143,Doors!$B:$B,$B143,Doors!$C:$C,$C143)*SUMIFS(Velocity!$I:$I,Velocity!$A:$A,$A143,Velocity!$B:$B,$C143)/Assumptions!$B$4*Assumptions!$B$6</f>
        <v>12.4666666666667</v>
      </c>
      <c r="AW143" s="7" t="n">
        <f aca="false">SUMIFS(Doors!BI:BI,Doors!$A:$A,$D143,Doors!$B:$B,$B143,Doors!$C:$C,$C143)*SUMIFS(Velocity!$I:$I,Velocity!$A:$A,$A143,Velocity!$B:$B,$C143)/Assumptions!$B$4*Assumptions!$B$6</f>
        <v>13.0333333333333</v>
      </c>
      <c r="AX143" s="7" t="n">
        <f aca="false">SUMIFS(Doors!BJ:BJ,Doors!$A:$A,$D143,Doors!$B:$B,$B143,Doors!$C:$C,$C143)*SUMIFS(Velocity!$I:$I,Velocity!$A:$A,$A143,Velocity!$B:$B,$C143)/Assumptions!$B$4*Assumptions!$B$6</f>
        <v>13.0333333333333</v>
      </c>
      <c r="AY143" s="7" t="n">
        <f aca="false">SUMIFS(Doors!BK:BK,Doors!$A:$A,$D143,Doors!$B:$B,$B143,Doors!$C:$C,$C143)*SUMIFS(Velocity!$I:$I,Velocity!$A:$A,$A143,Velocity!$B:$B,$C143)/Assumptions!$B$4*Assumptions!$B$6</f>
        <v>13.0333333333333</v>
      </c>
      <c r="AZ143" s="7" t="n">
        <f aca="false">SUMIFS(Doors!BL:BL,Doors!$A:$A,$D143,Doors!$B:$B,$B143,Doors!$C:$C,$C143)*SUMIFS(Velocity!$I:$I,Velocity!$A:$A,$A143,Velocity!$B:$B,$C143)/Assumptions!$B$4*Assumptions!$B$6</f>
        <v>13.0333333333333</v>
      </c>
      <c r="BA143" s="7" t="n">
        <f aca="false">SUMIFS(Doors!BM:BM,Doors!$A:$A,$D143,Doors!$B:$B,$B143,Doors!$C:$C,$C143)*SUMIFS(Velocity!$I:$I,Velocity!$A:$A,$A143,Velocity!$B:$B,$C143)/Assumptions!$B$4*Assumptions!$B$6</f>
        <v>14.1666666666667</v>
      </c>
      <c r="BB143" s="7" t="n">
        <f aca="false">SUMIFS(Doors!BN:BN,Doors!$A:$A,$D143,Doors!$B:$B,$B143,Doors!$C:$C,$C143)*SUMIFS(Velocity!$I:$I,Velocity!$A:$A,$A143,Velocity!$B:$B,$C143)/Assumptions!$B$4*Assumptions!$B$6</f>
        <v>14.1666666666667</v>
      </c>
      <c r="BC143" s="7" t="n">
        <f aca="false">SUMIFS(Doors!BO:BO,Doors!$A:$A,$D143,Doors!$B:$B,$B143,Doors!$C:$C,$C143)*SUMIFS(Velocity!$I:$I,Velocity!$A:$A,$A143,Velocity!$B:$B,$C143)/Assumptions!$B$4*Assumptions!$B$6</f>
        <v>14.1666666666667</v>
      </c>
      <c r="BD143" s="7" t="n">
        <f aca="false">SUMIFS(Doors!BP:BP,Doors!$A:$A,$D143,Doors!$B:$B,$B143,Doors!$C:$C,$C143)*SUMIFS(Velocity!$I:$I,Velocity!$A:$A,$A143,Velocity!$B:$B,$C143)/Assumptions!$B$4*Assumptions!$B$6</f>
        <v>14.1666666666667</v>
      </c>
    </row>
    <row r="144" customFormat="false" ht="15" hidden="false" customHeight="false" outlineLevel="0" collapsed="false">
      <c r="A144" s="0" t="s">
        <v>109</v>
      </c>
      <c r="B144" s="0" t="s">
        <v>131</v>
      </c>
      <c r="C144" s="0" t="s">
        <v>118</v>
      </c>
      <c r="D144" s="0" t="s">
        <v>235</v>
      </c>
      <c r="E144" s="7" t="n">
        <f aca="false">SUMIFS(Doors!Q:Q,Doors!$A:$A,$D144,Doors!$B:$B,$B144,Doors!$C:$C,$C144)*SUMIFS(Velocity!$I:$I,Velocity!$A:$A,$A144,Velocity!$B:$B,$C144)/Assumptions!$B$4*Assumptions!$B$6</f>
        <v>0</v>
      </c>
      <c r="F144" s="7" t="n">
        <f aca="false">SUMIFS(Doors!R:R,Doors!$A:$A,$D144,Doors!$B:$B,$B144,Doors!$C:$C,$C144)*SUMIFS(Velocity!$I:$I,Velocity!$A:$A,$A144,Velocity!$B:$B,$C144)/Assumptions!$B$4*Assumptions!$B$6</f>
        <v>0</v>
      </c>
      <c r="G144" s="7" t="n">
        <f aca="false">SUMIFS(Doors!S:S,Doors!$A:$A,$D144,Doors!$B:$B,$B144,Doors!$C:$C,$C144)*SUMIFS(Velocity!$I:$I,Velocity!$A:$A,$A144,Velocity!$B:$B,$C144)/Assumptions!$B$4*Assumptions!$B$6</f>
        <v>0</v>
      </c>
      <c r="H144" s="7" t="n">
        <f aca="false">SUMIFS(Doors!T:T,Doors!$A:$A,$D144,Doors!$B:$B,$B144,Doors!$C:$C,$C144)*SUMIFS(Velocity!$I:$I,Velocity!$A:$A,$A144,Velocity!$B:$B,$C144)/Assumptions!$B$4*Assumptions!$B$6</f>
        <v>0</v>
      </c>
      <c r="I144" s="7" t="n">
        <f aca="false">SUMIFS(Doors!U:U,Doors!$A:$A,$D144,Doors!$B:$B,$B144,Doors!$C:$C,$C144)*SUMIFS(Velocity!$I:$I,Velocity!$A:$A,$A144,Velocity!$B:$B,$C144)/Assumptions!$B$4*Assumptions!$B$6</f>
        <v>0</v>
      </c>
      <c r="J144" s="7" t="n">
        <f aca="false">SUMIFS(Doors!V:V,Doors!$A:$A,$D144,Doors!$B:$B,$B144,Doors!$C:$C,$C144)*SUMIFS(Velocity!$I:$I,Velocity!$A:$A,$A144,Velocity!$B:$B,$C144)/Assumptions!$B$4*Assumptions!$B$6</f>
        <v>0</v>
      </c>
      <c r="K144" s="7" t="n">
        <f aca="false">SUMIFS(Doors!W:W,Doors!$A:$A,$D144,Doors!$B:$B,$B144,Doors!$C:$C,$C144)*SUMIFS(Velocity!$I:$I,Velocity!$A:$A,$A144,Velocity!$B:$B,$C144)/Assumptions!$B$4*Assumptions!$B$6</f>
        <v>0</v>
      </c>
      <c r="L144" s="7" t="n">
        <f aca="false">SUMIFS(Doors!X:X,Doors!$A:$A,$D144,Doors!$B:$B,$B144,Doors!$C:$C,$C144)*SUMIFS(Velocity!$I:$I,Velocity!$A:$A,$A144,Velocity!$B:$B,$C144)/Assumptions!$B$4*Assumptions!$B$6</f>
        <v>0</v>
      </c>
      <c r="M144" s="7" t="n">
        <f aca="false">SUMIFS(Doors!Y:Y,Doors!$A:$A,$D144,Doors!$B:$B,$B144,Doors!$C:$C,$C144)*SUMIFS(Velocity!$I:$I,Velocity!$A:$A,$A144,Velocity!$B:$B,$C144)/Assumptions!$B$4*Assumptions!$B$6</f>
        <v>0</v>
      </c>
      <c r="N144" s="7" t="n">
        <f aca="false">SUMIFS(Doors!Z:Z,Doors!$A:$A,$D144,Doors!$B:$B,$B144,Doors!$C:$C,$C144)*SUMIFS(Velocity!$I:$I,Velocity!$A:$A,$A144,Velocity!$B:$B,$C144)/Assumptions!$B$4*Assumptions!$B$6</f>
        <v>0</v>
      </c>
      <c r="O144" s="7" t="n">
        <f aca="false">SUMIFS(Doors!AA:AA,Doors!$A:$A,$D144,Doors!$B:$B,$B144,Doors!$C:$C,$C144)*SUMIFS(Velocity!$I:$I,Velocity!$A:$A,$A144,Velocity!$B:$B,$C144)/Assumptions!$B$4*Assumptions!$B$6</f>
        <v>0</v>
      </c>
      <c r="P144" s="7" t="n">
        <f aca="false">SUMIFS(Doors!AB:AB,Doors!$A:$A,$D144,Doors!$B:$B,$B144,Doors!$C:$C,$C144)*SUMIFS(Velocity!$I:$I,Velocity!$A:$A,$A144,Velocity!$B:$B,$C144)/Assumptions!$B$4*Assumptions!$B$6</f>
        <v>0</v>
      </c>
      <c r="Q144" s="7" t="n">
        <f aca="false">SUMIFS(Doors!AC:AC,Doors!$A:$A,$D144,Doors!$B:$B,$B144,Doors!$C:$C,$C144)*SUMIFS(Velocity!$I:$I,Velocity!$A:$A,$A144,Velocity!$B:$B,$C144)/Assumptions!$B$4*Assumptions!$B$6</f>
        <v>0</v>
      </c>
      <c r="R144" s="7" t="n">
        <f aca="false">SUMIFS(Doors!AD:AD,Doors!$A:$A,$D144,Doors!$B:$B,$B144,Doors!$C:$C,$C144)*SUMIFS(Velocity!$I:$I,Velocity!$A:$A,$A144,Velocity!$B:$B,$C144)/Assumptions!$B$4*Assumptions!$B$6</f>
        <v>0</v>
      </c>
      <c r="S144" s="7" t="n">
        <f aca="false">SUMIFS(Doors!AE:AE,Doors!$A:$A,$D144,Doors!$B:$B,$B144,Doors!$C:$C,$C144)*SUMIFS(Velocity!$I:$I,Velocity!$A:$A,$A144,Velocity!$B:$B,$C144)/Assumptions!$B$4*Assumptions!$B$6</f>
        <v>0</v>
      </c>
      <c r="T144" s="7" t="n">
        <f aca="false">SUMIFS(Doors!AF:AF,Doors!$A:$A,$D144,Doors!$B:$B,$B144,Doors!$C:$C,$C144)*SUMIFS(Velocity!$I:$I,Velocity!$A:$A,$A144,Velocity!$B:$B,$C144)/Assumptions!$B$4*Assumptions!$B$6</f>
        <v>0</v>
      </c>
      <c r="U144" s="7" t="n">
        <f aca="false">SUMIFS(Doors!AG:AG,Doors!$A:$A,$D144,Doors!$B:$B,$B144,Doors!$C:$C,$C144)*SUMIFS(Velocity!$I:$I,Velocity!$A:$A,$A144,Velocity!$B:$B,$C144)/Assumptions!$B$4*Assumptions!$B$6</f>
        <v>0</v>
      </c>
      <c r="V144" s="7" t="n">
        <f aca="false">SUMIFS(Doors!AH:AH,Doors!$A:$A,$D144,Doors!$B:$B,$B144,Doors!$C:$C,$C144)*SUMIFS(Velocity!$I:$I,Velocity!$A:$A,$A144,Velocity!$B:$B,$C144)/Assumptions!$B$4*Assumptions!$B$6</f>
        <v>0</v>
      </c>
      <c r="W144" s="7" t="n">
        <f aca="false">SUMIFS(Doors!AI:AI,Doors!$A:$A,$D144,Doors!$B:$B,$B144,Doors!$C:$C,$C144)*SUMIFS(Velocity!$I:$I,Velocity!$A:$A,$A144,Velocity!$B:$B,$C144)/Assumptions!$B$4*Assumptions!$B$6</f>
        <v>0</v>
      </c>
      <c r="X144" s="7" t="n">
        <f aca="false">SUMIFS(Doors!AJ:AJ,Doors!$A:$A,$D144,Doors!$B:$B,$B144,Doors!$C:$C,$C144)*SUMIFS(Velocity!$I:$I,Velocity!$A:$A,$A144,Velocity!$B:$B,$C144)/Assumptions!$B$4*Assumptions!$B$6</f>
        <v>0</v>
      </c>
      <c r="Y144" s="7" t="n">
        <f aca="false">SUMIFS(Doors!AK:AK,Doors!$A:$A,$D144,Doors!$B:$B,$B144,Doors!$C:$C,$C144)*SUMIFS(Velocity!$I:$I,Velocity!$A:$A,$A144,Velocity!$B:$B,$C144)/Assumptions!$B$4*Assumptions!$B$6</f>
        <v>0</v>
      </c>
      <c r="Z144" s="7" t="n">
        <f aca="false">SUMIFS(Doors!AL:AL,Doors!$A:$A,$D144,Doors!$B:$B,$B144,Doors!$C:$C,$C144)*SUMIFS(Velocity!$I:$I,Velocity!$A:$A,$A144,Velocity!$B:$B,$C144)/Assumptions!$B$4*Assumptions!$B$6</f>
        <v>0</v>
      </c>
      <c r="AA144" s="7" t="n">
        <f aca="false">SUMIFS(Doors!AM:AM,Doors!$A:$A,$D144,Doors!$B:$B,$B144,Doors!$C:$C,$C144)*SUMIFS(Velocity!$I:$I,Velocity!$A:$A,$A144,Velocity!$B:$B,$C144)/Assumptions!$B$4*Assumptions!$B$6</f>
        <v>0</v>
      </c>
      <c r="AB144" s="7" t="n">
        <f aca="false">SUMIFS(Doors!AN:AN,Doors!$A:$A,$D144,Doors!$B:$B,$B144,Doors!$C:$C,$C144)*SUMIFS(Velocity!$I:$I,Velocity!$A:$A,$A144,Velocity!$B:$B,$C144)/Assumptions!$B$4*Assumptions!$B$6</f>
        <v>0</v>
      </c>
      <c r="AC144" s="7" t="n">
        <f aca="false">SUMIFS(Doors!AO:AO,Doors!$A:$A,$D144,Doors!$B:$B,$B144,Doors!$C:$C,$C144)*SUMIFS(Velocity!$I:$I,Velocity!$A:$A,$A144,Velocity!$B:$B,$C144)/Assumptions!$B$4*Assumptions!$B$6</f>
        <v>0</v>
      </c>
      <c r="AD144" s="7" t="n">
        <f aca="false">SUMIFS(Doors!AP:AP,Doors!$A:$A,$D144,Doors!$B:$B,$B144,Doors!$C:$C,$C144)*SUMIFS(Velocity!$I:$I,Velocity!$A:$A,$A144,Velocity!$B:$B,$C144)/Assumptions!$B$4*Assumptions!$B$6</f>
        <v>0</v>
      </c>
      <c r="AE144" s="7" t="n">
        <f aca="false">SUMIFS(Doors!AQ:AQ,Doors!$A:$A,$D144,Doors!$B:$B,$B144,Doors!$C:$C,$C144)*SUMIFS(Velocity!$I:$I,Velocity!$A:$A,$A144,Velocity!$B:$B,$C144)/Assumptions!$B$4*Assumptions!$B$6</f>
        <v>0</v>
      </c>
      <c r="AF144" s="7" t="n">
        <f aca="false">SUMIFS(Doors!AR:AR,Doors!$A:$A,$D144,Doors!$B:$B,$B144,Doors!$C:$C,$C144)*SUMIFS(Velocity!$I:$I,Velocity!$A:$A,$A144,Velocity!$B:$B,$C144)/Assumptions!$B$4*Assumptions!$B$6</f>
        <v>0</v>
      </c>
      <c r="AG144" s="7" t="n">
        <f aca="false">SUMIFS(Doors!AS:AS,Doors!$A:$A,$D144,Doors!$B:$B,$B144,Doors!$C:$C,$C144)*SUMIFS(Velocity!$I:$I,Velocity!$A:$A,$A144,Velocity!$B:$B,$C144)/Assumptions!$B$4*Assumptions!$B$6</f>
        <v>0</v>
      </c>
      <c r="AH144" s="7" t="n">
        <f aca="false">SUMIFS(Doors!AT:AT,Doors!$A:$A,$D144,Doors!$B:$B,$B144,Doors!$C:$C,$C144)*SUMIFS(Velocity!$I:$I,Velocity!$A:$A,$A144,Velocity!$B:$B,$C144)/Assumptions!$B$4*Assumptions!$B$6</f>
        <v>0</v>
      </c>
      <c r="AI144" s="7" t="n">
        <f aca="false">SUMIFS(Doors!AU:AU,Doors!$A:$A,$D144,Doors!$B:$B,$B144,Doors!$C:$C,$C144)*SUMIFS(Velocity!$I:$I,Velocity!$A:$A,$A144,Velocity!$B:$B,$C144)/Assumptions!$B$4*Assumptions!$B$6</f>
        <v>0</v>
      </c>
      <c r="AJ144" s="7" t="n">
        <f aca="false">SUMIFS(Doors!AV:AV,Doors!$A:$A,$D144,Doors!$B:$B,$B144,Doors!$C:$C,$C144)*SUMIFS(Velocity!$I:$I,Velocity!$A:$A,$A144,Velocity!$B:$B,$C144)/Assumptions!$B$4*Assumptions!$B$6</f>
        <v>0</v>
      </c>
      <c r="AK144" s="7" t="n">
        <f aca="false">SUMIFS(Doors!AW:AW,Doors!$A:$A,$D144,Doors!$B:$B,$B144,Doors!$C:$C,$C144)*SUMIFS(Velocity!$I:$I,Velocity!$A:$A,$A144,Velocity!$B:$B,$C144)/Assumptions!$B$4*Assumptions!$B$6</f>
        <v>0</v>
      </c>
      <c r="AL144" s="7" t="n">
        <f aca="false">SUMIFS(Doors!AX:AX,Doors!$A:$A,$D144,Doors!$B:$B,$B144,Doors!$C:$C,$C144)*SUMIFS(Velocity!$I:$I,Velocity!$A:$A,$A144,Velocity!$B:$B,$C144)/Assumptions!$B$4*Assumptions!$B$6</f>
        <v>0</v>
      </c>
      <c r="AM144" s="7" t="n">
        <f aca="false">SUMIFS(Doors!AY:AY,Doors!$A:$A,$D144,Doors!$B:$B,$B144,Doors!$C:$C,$C144)*SUMIFS(Velocity!$I:$I,Velocity!$A:$A,$A144,Velocity!$B:$B,$C144)/Assumptions!$B$4*Assumptions!$B$6</f>
        <v>0</v>
      </c>
      <c r="AN144" s="7" t="n">
        <f aca="false">SUMIFS(Doors!AZ:AZ,Doors!$A:$A,$D144,Doors!$B:$B,$B144,Doors!$C:$C,$C144)*SUMIFS(Velocity!$I:$I,Velocity!$A:$A,$A144,Velocity!$B:$B,$C144)/Assumptions!$B$4*Assumptions!$B$6</f>
        <v>0</v>
      </c>
      <c r="AO144" s="7" t="n">
        <f aca="false">SUMIFS(Doors!BA:BA,Doors!$A:$A,$D144,Doors!$B:$B,$B144,Doors!$C:$C,$C144)*SUMIFS(Velocity!$I:$I,Velocity!$A:$A,$A144,Velocity!$B:$B,$C144)/Assumptions!$B$4*Assumptions!$B$6</f>
        <v>0</v>
      </c>
      <c r="AP144" s="7" t="n">
        <f aca="false">SUMIFS(Doors!BB:BB,Doors!$A:$A,$D144,Doors!$B:$B,$B144,Doors!$C:$C,$C144)*SUMIFS(Velocity!$I:$I,Velocity!$A:$A,$A144,Velocity!$B:$B,$C144)/Assumptions!$B$4*Assumptions!$B$6</f>
        <v>0</v>
      </c>
      <c r="AQ144" s="7" t="n">
        <f aca="false">SUMIFS(Doors!BC:BC,Doors!$A:$A,$D144,Doors!$B:$B,$B144,Doors!$C:$C,$C144)*SUMIFS(Velocity!$I:$I,Velocity!$A:$A,$A144,Velocity!$B:$B,$C144)/Assumptions!$B$4*Assumptions!$B$6</f>
        <v>0</v>
      </c>
      <c r="AR144" s="7" t="n">
        <f aca="false">SUMIFS(Doors!BD:BD,Doors!$A:$A,$D144,Doors!$B:$B,$B144,Doors!$C:$C,$C144)*SUMIFS(Velocity!$I:$I,Velocity!$A:$A,$A144,Velocity!$B:$B,$C144)/Assumptions!$B$4*Assumptions!$B$6</f>
        <v>138.333333333333</v>
      </c>
      <c r="AS144" s="7" t="n">
        <f aca="false">SUMIFS(Doors!BE:BE,Doors!$A:$A,$D144,Doors!$B:$B,$B144,Doors!$C:$C,$C144)*SUMIFS(Velocity!$I:$I,Velocity!$A:$A,$A144,Velocity!$B:$B,$C144)/Assumptions!$B$4*Assumptions!$B$6</f>
        <v>138.333333333333</v>
      </c>
      <c r="AT144" s="7" t="n">
        <f aca="false">SUMIFS(Doors!BF:BF,Doors!$A:$A,$D144,Doors!$B:$B,$B144,Doors!$C:$C,$C144)*SUMIFS(Velocity!$I:$I,Velocity!$A:$A,$A144,Velocity!$B:$B,$C144)/Assumptions!$B$4*Assumptions!$B$6</f>
        <v>138.333333333333</v>
      </c>
      <c r="AU144" s="7" t="n">
        <f aca="false">SUMIFS(Doors!BG:BG,Doors!$A:$A,$D144,Doors!$B:$B,$B144,Doors!$C:$C,$C144)*SUMIFS(Velocity!$I:$I,Velocity!$A:$A,$A144,Velocity!$B:$B,$C144)/Assumptions!$B$4*Assumptions!$B$6</f>
        <v>138.333333333333</v>
      </c>
      <c r="AV144" s="7" t="n">
        <f aca="false">SUMIFS(Doors!BH:BH,Doors!$A:$A,$D144,Doors!$B:$B,$B144,Doors!$C:$C,$C144)*SUMIFS(Velocity!$I:$I,Velocity!$A:$A,$A144,Velocity!$B:$B,$C144)/Assumptions!$B$4*Assumptions!$B$6</f>
        <v>138.333333333333</v>
      </c>
      <c r="AW144" s="7" t="n">
        <f aca="false">SUMIFS(Doors!BI:BI,Doors!$A:$A,$D144,Doors!$B:$B,$B144,Doors!$C:$C,$C144)*SUMIFS(Velocity!$I:$I,Velocity!$A:$A,$A144,Velocity!$B:$B,$C144)/Assumptions!$B$4*Assumptions!$B$6</f>
        <v>152.166666666667</v>
      </c>
      <c r="AX144" s="7" t="n">
        <f aca="false">SUMIFS(Doors!BJ:BJ,Doors!$A:$A,$D144,Doors!$B:$B,$B144,Doors!$C:$C,$C144)*SUMIFS(Velocity!$I:$I,Velocity!$A:$A,$A144,Velocity!$B:$B,$C144)/Assumptions!$B$4*Assumptions!$B$6</f>
        <v>152.166666666667</v>
      </c>
      <c r="AY144" s="7" t="n">
        <f aca="false">SUMIFS(Doors!BK:BK,Doors!$A:$A,$D144,Doors!$B:$B,$B144,Doors!$C:$C,$C144)*SUMIFS(Velocity!$I:$I,Velocity!$A:$A,$A144,Velocity!$B:$B,$C144)/Assumptions!$B$4*Assumptions!$B$6</f>
        <v>152.166666666667</v>
      </c>
      <c r="AZ144" s="7" t="n">
        <f aca="false">SUMIFS(Doors!BL:BL,Doors!$A:$A,$D144,Doors!$B:$B,$B144,Doors!$C:$C,$C144)*SUMIFS(Velocity!$I:$I,Velocity!$A:$A,$A144,Velocity!$B:$B,$C144)/Assumptions!$B$4*Assumptions!$B$6</f>
        <v>152.166666666667</v>
      </c>
      <c r="BA144" s="7" t="n">
        <f aca="false">SUMIFS(Doors!BM:BM,Doors!$A:$A,$D144,Doors!$B:$B,$B144,Doors!$C:$C,$C144)*SUMIFS(Velocity!$I:$I,Velocity!$A:$A,$A144,Velocity!$B:$B,$C144)/Assumptions!$B$4*Assumptions!$B$6</f>
        <v>152.166666666667</v>
      </c>
      <c r="BB144" s="7" t="n">
        <f aca="false">SUMIFS(Doors!BN:BN,Doors!$A:$A,$D144,Doors!$B:$B,$B144,Doors!$C:$C,$C144)*SUMIFS(Velocity!$I:$I,Velocity!$A:$A,$A144,Velocity!$B:$B,$C144)/Assumptions!$B$4*Assumptions!$B$6</f>
        <v>152.166666666667</v>
      </c>
      <c r="BC144" s="7" t="n">
        <f aca="false">SUMIFS(Doors!BO:BO,Doors!$A:$A,$D144,Doors!$B:$B,$B144,Doors!$C:$C,$C144)*SUMIFS(Velocity!$I:$I,Velocity!$A:$A,$A144,Velocity!$B:$B,$C144)/Assumptions!$B$4*Assumptions!$B$6</f>
        <v>152.166666666667</v>
      </c>
      <c r="BD144" s="7" t="n">
        <f aca="false">SUMIFS(Doors!BP:BP,Doors!$A:$A,$D144,Doors!$B:$B,$B144,Doors!$C:$C,$C144)*SUMIFS(Velocity!$I:$I,Velocity!$A:$A,$A144,Velocity!$B:$B,$C144)/Assumptions!$B$4*Assumptions!$B$6</f>
        <v>152.166666666667</v>
      </c>
    </row>
    <row r="145" customFormat="false" ht="15" hidden="false" customHeight="false" outlineLevel="0" collapsed="false">
      <c r="A145" s="0" t="s">
        <v>109</v>
      </c>
      <c r="B145" s="0" t="s">
        <v>131</v>
      </c>
      <c r="C145" s="0" t="s">
        <v>119</v>
      </c>
      <c r="D145" s="0" t="s">
        <v>235</v>
      </c>
      <c r="E145" s="7" t="n">
        <f aca="false">SUMIFS(Doors!Q:Q,Doors!$A:$A,$D145,Doors!$B:$B,$B145,Doors!$C:$C,$C145)*SUMIFS(Velocity!$I:$I,Velocity!$A:$A,$A145,Velocity!$B:$B,$C145)/Assumptions!$B$4*Assumptions!$B$6</f>
        <v>5</v>
      </c>
      <c r="F145" s="7" t="n">
        <f aca="false">SUMIFS(Doors!R:R,Doors!$A:$A,$D145,Doors!$B:$B,$B145,Doors!$C:$C,$C145)*SUMIFS(Velocity!$I:$I,Velocity!$A:$A,$A145,Velocity!$B:$B,$C145)/Assumptions!$B$4*Assumptions!$B$6</f>
        <v>5</v>
      </c>
      <c r="G145" s="7" t="n">
        <f aca="false">SUMIFS(Doors!S:S,Doors!$A:$A,$D145,Doors!$B:$B,$B145,Doors!$C:$C,$C145)*SUMIFS(Velocity!$I:$I,Velocity!$A:$A,$A145,Velocity!$B:$B,$C145)/Assumptions!$B$4*Assumptions!$B$6</f>
        <v>5</v>
      </c>
      <c r="H145" s="7" t="n">
        <f aca="false">SUMIFS(Doors!T:T,Doors!$A:$A,$D145,Doors!$B:$B,$B145,Doors!$C:$C,$C145)*SUMIFS(Velocity!$I:$I,Velocity!$A:$A,$A145,Velocity!$B:$B,$C145)/Assumptions!$B$4*Assumptions!$B$6</f>
        <v>5</v>
      </c>
      <c r="I145" s="7" t="n">
        <f aca="false">SUMIFS(Doors!U:U,Doors!$A:$A,$D145,Doors!$B:$B,$B145,Doors!$C:$C,$C145)*SUMIFS(Velocity!$I:$I,Velocity!$A:$A,$A145,Velocity!$B:$B,$C145)/Assumptions!$B$4*Assumptions!$B$6</f>
        <v>5</v>
      </c>
      <c r="J145" s="7" t="n">
        <f aca="false">SUMIFS(Doors!V:V,Doors!$A:$A,$D145,Doors!$B:$B,$B145,Doors!$C:$C,$C145)*SUMIFS(Velocity!$I:$I,Velocity!$A:$A,$A145,Velocity!$B:$B,$C145)/Assumptions!$B$4*Assumptions!$B$6</f>
        <v>7.5</v>
      </c>
      <c r="K145" s="7" t="n">
        <f aca="false">SUMIFS(Doors!W:W,Doors!$A:$A,$D145,Doors!$B:$B,$B145,Doors!$C:$C,$C145)*SUMIFS(Velocity!$I:$I,Velocity!$A:$A,$A145,Velocity!$B:$B,$C145)/Assumptions!$B$4*Assumptions!$B$6</f>
        <v>7.5</v>
      </c>
      <c r="L145" s="7" t="n">
        <f aca="false">SUMIFS(Doors!X:X,Doors!$A:$A,$D145,Doors!$B:$B,$B145,Doors!$C:$C,$C145)*SUMIFS(Velocity!$I:$I,Velocity!$A:$A,$A145,Velocity!$B:$B,$C145)/Assumptions!$B$4*Assumptions!$B$6</f>
        <v>7.5</v>
      </c>
      <c r="M145" s="7" t="n">
        <f aca="false">SUMIFS(Doors!Y:Y,Doors!$A:$A,$D145,Doors!$B:$B,$B145,Doors!$C:$C,$C145)*SUMIFS(Velocity!$I:$I,Velocity!$A:$A,$A145,Velocity!$B:$B,$C145)/Assumptions!$B$4*Assumptions!$B$6</f>
        <v>7.5</v>
      </c>
      <c r="N145" s="7" t="n">
        <f aca="false">SUMIFS(Doors!Z:Z,Doors!$A:$A,$D145,Doors!$B:$B,$B145,Doors!$C:$C,$C145)*SUMIFS(Velocity!$I:$I,Velocity!$A:$A,$A145,Velocity!$B:$B,$C145)/Assumptions!$B$4*Assumptions!$B$6</f>
        <v>10</v>
      </c>
      <c r="O145" s="7" t="n">
        <f aca="false">SUMIFS(Doors!AA:AA,Doors!$A:$A,$D145,Doors!$B:$B,$B145,Doors!$C:$C,$C145)*SUMIFS(Velocity!$I:$I,Velocity!$A:$A,$A145,Velocity!$B:$B,$C145)/Assumptions!$B$4*Assumptions!$B$6</f>
        <v>10</v>
      </c>
      <c r="P145" s="7" t="n">
        <f aca="false">SUMIFS(Doors!AB:AB,Doors!$A:$A,$D145,Doors!$B:$B,$B145,Doors!$C:$C,$C145)*SUMIFS(Velocity!$I:$I,Velocity!$A:$A,$A145,Velocity!$B:$B,$C145)/Assumptions!$B$4*Assumptions!$B$6</f>
        <v>10</v>
      </c>
      <c r="Q145" s="7" t="n">
        <f aca="false">SUMIFS(Doors!AC:AC,Doors!$A:$A,$D145,Doors!$B:$B,$B145,Doors!$C:$C,$C145)*SUMIFS(Velocity!$I:$I,Velocity!$A:$A,$A145,Velocity!$B:$B,$C145)/Assumptions!$B$4*Assumptions!$B$6</f>
        <v>10</v>
      </c>
      <c r="R145" s="7" t="n">
        <f aca="false">SUMIFS(Doors!AD:AD,Doors!$A:$A,$D145,Doors!$B:$B,$B145,Doors!$C:$C,$C145)*SUMIFS(Velocity!$I:$I,Velocity!$A:$A,$A145,Velocity!$B:$B,$C145)/Assumptions!$B$4*Assumptions!$B$6</f>
        <v>12.5</v>
      </c>
      <c r="S145" s="7" t="n">
        <f aca="false">SUMIFS(Doors!AE:AE,Doors!$A:$A,$D145,Doors!$B:$B,$B145,Doors!$C:$C,$C145)*SUMIFS(Velocity!$I:$I,Velocity!$A:$A,$A145,Velocity!$B:$B,$C145)/Assumptions!$B$4*Assumptions!$B$6</f>
        <v>12.5</v>
      </c>
      <c r="T145" s="7" t="n">
        <f aca="false">SUMIFS(Doors!AF:AF,Doors!$A:$A,$D145,Doors!$B:$B,$B145,Doors!$C:$C,$C145)*SUMIFS(Velocity!$I:$I,Velocity!$A:$A,$A145,Velocity!$B:$B,$C145)/Assumptions!$B$4*Assumptions!$B$6</f>
        <v>12.5</v>
      </c>
      <c r="U145" s="7" t="n">
        <f aca="false">SUMIFS(Doors!AG:AG,Doors!$A:$A,$D145,Doors!$B:$B,$B145,Doors!$C:$C,$C145)*SUMIFS(Velocity!$I:$I,Velocity!$A:$A,$A145,Velocity!$B:$B,$C145)/Assumptions!$B$4*Assumptions!$B$6</f>
        <v>12.5</v>
      </c>
      <c r="V145" s="7" t="n">
        <f aca="false">SUMIFS(Doors!AH:AH,Doors!$A:$A,$D145,Doors!$B:$B,$B145,Doors!$C:$C,$C145)*SUMIFS(Velocity!$I:$I,Velocity!$A:$A,$A145,Velocity!$B:$B,$C145)/Assumptions!$B$4*Assumptions!$B$6</f>
        <v>12.5</v>
      </c>
      <c r="W145" s="7" t="n">
        <f aca="false">SUMIFS(Doors!AI:AI,Doors!$A:$A,$D145,Doors!$B:$B,$B145,Doors!$C:$C,$C145)*SUMIFS(Velocity!$I:$I,Velocity!$A:$A,$A145,Velocity!$B:$B,$C145)/Assumptions!$B$4*Assumptions!$B$6</f>
        <v>14.1666666666667</v>
      </c>
      <c r="X145" s="7" t="n">
        <f aca="false">SUMIFS(Doors!AJ:AJ,Doors!$A:$A,$D145,Doors!$B:$B,$B145,Doors!$C:$C,$C145)*SUMIFS(Velocity!$I:$I,Velocity!$A:$A,$A145,Velocity!$B:$B,$C145)/Assumptions!$B$4*Assumptions!$B$6</f>
        <v>14.1666666666667</v>
      </c>
      <c r="Y145" s="7" t="n">
        <f aca="false">SUMIFS(Doors!AK:AK,Doors!$A:$A,$D145,Doors!$B:$B,$B145,Doors!$C:$C,$C145)*SUMIFS(Velocity!$I:$I,Velocity!$A:$A,$A145,Velocity!$B:$B,$C145)/Assumptions!$B$4*Assumptions!$B$6</f>
        <v>14.1666666666667</v>
      </c>
      <c r="Z145" s="7" t="n">
        <f aca="false">SUMIFS(Doors!AL:AL,Doors!$A:$A,$D145,Doors!$B:$B,$B145,Doors!$C:$C,$C145)*SUMIFS(Velocity!$I:$I,Velocity!$A:$A,$A145,Velocity!$B:$B,$C145)/Assumptions!$B$4*Assumptions!$B$6</f>
        <v>14.1666666666667</v>
      </c>
      <c r="AA145" s="7" t="n">
        <f aca="false">SUMIFS(Doors!AM:AM,Doors!$A:$A,$D145,Doors!$B:$B,$B145,Doors!$C:$C,$C145)*SUMIFS(Velocity!$I:$I,Velocity!$A:$A,$A145,Velocity!$B:$B,$C145)/Assumptions!$B$4*Assumptions!$B$6</f>
        <v>15.8333333333333</v>
      </c>
      <c r="AB145" s="7" t="n">
        <f aca="false">SUMIFS(Doors!AN:AN,Doors!$A:$A,$D145,Doors!$B:$B,$B145,Doors!$C:$C,$C145)*SUMIFS(Velocity!$I:$I,Velocity!$A:$A,$A145,Velocity!$B:$B,$C145)/Assumptions!$B$4*Assumptions!$B$6</f>
        <v>15.8333333333333</v>
      </c>
      <c r="AC145" s="7" t="n">
        <f aca="false">SUMIFS(Doors!AO:AO,Doors!$A:$A,$D145,Doors!$B:$B,$B145,Doors!$C:$C,$C145)*SUMIFS(Velocity!$I:$I,Velocity!$A:$A,$A145,Velocity!$B:$B,$C145)/Assumptions!$B$4*Assumptions!$B$6</f>
        <v>15.8333333333333</v>
      </c>
      <c r="AD145" s="7" t="n">
        <f aca="false">SUMIFS(Doors!AP:AP,Doors!$A:$A,$D145,Doors!$B:$B,$B145,Doors!$C:$C,$C145)*SUMIFS(Velocity!$I:$I,Velocity!$A:$A,$A145,Velocity!$B:$B,$C145)/Assumptions!$B$4*Assumptions!$B$6</f>
        <v>15.8333333333333</v>
      </c>
      <c r="AE145" s="7" t="n">
        <f aca="false">SUMIFS(Doors!AQ:AQ,Doors!$A:$A,$D145,Doors!$B:$B,$B145,Doors!$C:$C,$C145)*SUMIFS(Velocity!$I:$I,Velocity!$A:$A,$A145,Velocity!$B:$B,$C145)/Assumptions!$B$4*Assumptions!$B$6</f>
        <v>17.5</v>
      </c>
      <c r="AF145" s="7" t="n">
        <f aca="false">SUMIFS(Doors!AR:AR,Doors!$A:$A,$D145,Doors!$B:$B,$B145,Doors!$C:$C,$C145)*SUMIFS(Velocity!$I:$I,Velocity!$A:$A,$A145,Velocity!$B:$B,$C145)/Assumptions!$B$4*Assumptions!$B$6</f>
        <v>17.5</v>
      </c>
      <c r="AG145" s="7" t="n">
        <f aca="false">SUMIFS(Doors!AS:AS,Doors!$A:$A,$D145,Doors!$B:$B,$B145,Doors!$C:$C,$C145)*SUMIFS(Velocity!$I:$I,Velocity!$A:$A,$A145,Velocity!$B:$B,$C145)/Assumptions!$B$4*Assumptions!$B$6</f>
        <v>17.5</v>
      </c>
      <c r="AH145" s="7" t="n">
        <f aca="false">SUMIFS(Doors!AT:AT,Doors!$A:$A,$D145,Doors!$B:$B,$B145,Doors!$C:$C,$C145)*SUMIFS(Velocity!$I:$I,Velocity!$A:$A,$A145,Velocity!$B:$B,$C145)/Assumptions!$B$4*Assumptions!$B$6</f>
        <v>17.5</v>
      </c>
      <c r="AI145" s="7" t="n">
        <f aca="false">SUMIFS(Doors!AU:AU,Doors!$A:$A,$D145,Doors!$B:$B,$B145,Doors!$C:$C,$C145)*SUMIFS(Velocity!$I:$I,Velocity!$A:$A,$A145,Velocity!$B:$B,$C145)/Assumptions!$B$4*Assumptions!$B$6</f>
        <v>17.5</v>
      </c>
      <c r="AJ145" s="7" t="n">
        <f aca="false">SUMIFS(Doors!AV:AV,Doors!$A:$A,$D145,Doors!$B:$B,$B145,Doors!$C:$C,$C145)*SUMIFS(Velocity!$I:$I,Velocity!$A:$A,$A145,Velocity!$B:$B,$C145)/Assumptions!$B$4*Assumptions!$B$6</f>
        <v>18.3333333333333</v>
      </c>
      <c r="AK145" s="7" t="n">
        <f aca="false">SUMIFS(Doors!AW:AW,Doors!$A:$A,$D145,Doors!$B:$B,$B145,Doors!$C:$C,$C145)*SUMIFS(Velocity!$I:$I,Velocity!$A:$A,$A145,Velocity!$B:$B,$C145)/Assumptions!$B$4*Assumptions!$B$6</f>
        <v>18.3333333333333</v>
      </c>
      <c r="AL145" s="7" t="n">
        <f aca="false">SUMIFS(Doors!AX:AX,Doors!$A:$A,$D145,Doors!$B:$B,$B145,Doors!$C:$C,$C145)*SUMIFS(Velocity!$I:$I,Velocity!$A:$A,$A145,Velocity!$B:$B,$C145)/Assumptions!$B$4*Assumptions!$B$6</f>
        <v>18.3333333333333</v>
      </c>
      <c r="AM145" s="7" t="n">
        <f aca="false">SUMIFS(Doors!AY:AY,Doors!$A:$A,$D145,Doors!$B:$B,$B145,Doors!$C:$C,$C145)*SUMIFS(Velocity!$I:$I,Velocity!$A:$A,$A145,Velocity!$B:$B,$C145)/Assumptions!$B$4*Assumptions!$B$6</f>
        <v>18.3333333333333</v>
      </c>
      <c r="AN145" s="7" t="n">
        <f aca="false">SUMIFS(Doors!AZ:AZ,Doors!$A:$A,$D145,Doors!$B:$B,$B145,Doors!$C:$C,$C145)*SUMIFS(Velocity!$I:$I,Velocity!$A:$A,$A145,Velocity!$B:$B,$C145)/Assumptions!$B$4*Assumptions!$B$6</f>
        <v>19.1666666666667</v>
      </c>
      <c r="AO145" s="7" t="n">
        <f aca="false">SUMIFS(Doors!BA:BA,Doors!$A:$A,$D145,Doors!$B:$B,$B145,Doors!$C:$C,$C145)*SUMIFS(Velocity!$I:$I,Velocity!$A:$A,$A145,Velocity!$B:$B,$C145)/Assumptions!$B$4*Assumptions!$B$6</f>
        <v>19.1666666666667</v>
      </c>
      <c r="AP145" s="7" t="n">
        <f aca="false">SUMIFS(Doors!BB:BB,Doors!$A:$A,$D145,Doors!$B:$B,$B145,Doors!$C:$C,$C145)*SUMIFS(Velocity!$I:$I,Velocity!$A:$A,$A145,Velocity!$B:$B,$C145)/Assumptions!$B$4*Assumptions!$B$6</f>
        <v>19.1666666666667</v>
      </c>
      <c r="AQ145" s="7" t="n">
        <f aca="false">SUMIFS(Doors!BC:BC,Doors!$A:$A,$D145,Doors!$B:$B,$B145,Doors!$C:$C,$C145)*SUMIFS(Velocity!$I:$I,Velocity!$A:$A,$A145,Velocity!$B:$B,$C145)/Assumptions!$B$4*Assumptions!$B$6</f>
        <v>19.1666666666667</v>
      </c>
      <c r="AR145" s="7" t="n">
        <f aca="false">SUMIFS(Doors!BD:BD,Doors!$A:$A,$D145,Doors!$B:$B,$B145,Doors!$C:$C,$C145)*SUMIFS(Velocity!$I:$I,Velocity!$A:$A,$A145,Velocity!$B:$B,$C145)/Assumptions!$B$4*Assumptions!$B$6</f>
        <v>19.6666666666667</v>
      </c>
      <c r="AS145" s="7" t="n">
        <f aca="false">SUMIFS(Doors!BE:BE,Doors!$A:$A,$D145,Doors!$B:$B,$B145,Doors!$C:$C,$C145)*SUMIFS(Velocity!$I:$I,Velocity!$A:$A,$A145,Velocity!$B:$B,$C145)/Assumptions!$B$4*Assumptions!$B$6</f>
        <v>19.6666666666667</v>
      </c>
      <c r="AT145" s="7" t="n">
        <f aca="false">SUMIFS(Doors!BF:BF,Doors!$A:$A,$D145,Doors!$B:$B,$B145,Doors!$C:$C,$C145)*SUMIFS(Velocity!$I:$I,Velocity!$A:$A,$A145,Velocity!$B:$B,$C145)/Assumptions!$B$4*Assumptions!$B$6</f>
        <v>19.6666666666667</v>
      </c>
      <c r="AU145" s="7" t="n">
        <f aca="false">SUMIFS(Doors!BG:BG,Doors!$A:$A,$D145,Doors!$B:$B,$B145,Doors!$C:$C,$C145)*SUMIFS(Velocity!$I:$I,Velocity!$A:$A,$A145,Velocity!$B:$B,$C145)/Assumptions!$B$4*Assumptions!$B$6</f>
        <v>19.6666666666667</v>
      </c>
      <c r="AV145" s="7" t="n">
        <f aca="false">SUMIFS(Doors!BH:BH,Doors!$A:$A,$D145,Doors!$B:$B,$B145,Doors!$C:$C,$C145)*SUMIFS(Velocity!$I:$I,Velocity!$A:$A,$A145,Velocity!$B:$B,$C145)/Assumptions!$B$4*Assumptions!$B$6</f>
        <v>19.6666666666667</v>
      </c>
      <c r="AW145" s="7" t="n">
        <f aca="false">SUMIFS(Doors!BI:BI,Doors!$A:$A,$D145,Doors!$B:$B,$B145,Doors!$C:$C,$C145)*SUMIFS(Velocity!$I:$I,Velocity!$A:$A,$A145,Velocity!$B:$B,$C145)/Assumptions!$B$4*Assumptions!$B$6</f>
        <v>20</v>
      </c>
      <c r="AX145" s="7" t="n">
        <f aca="false">SUMIFS(Doors!BJ:BJ,Doors!$A:$A,$D145,Doors!$B:$B,$B145,Doors!$C:$C,$C145)*SUMIFS(Velocity!$I:$I,Velocity!$A:$A,$A145,Velocity!$B:$B,$C145)/Assumptions!$B$4*Assumptions!$B$6</f>
        <v>20</v>
      </c>
      <c r="AY145" s="7" t="n">
        <f aca="false">SUMIFS(Doors!BK:BK,Doors!$A:$A,$D145,Doors!$B:$B,$B145,Doors!$C:$C,$C145)*SUMIFS(Velocity!$I:$I,Velocity!$A:$A,$A145,Velocity!$B:$B,$C145)/Assumptions!$B$4*Assumptions!$B$6</f>
        <v>20</v>
      </c>
      <c r="AZ145" s="7" t="n">
        <f aca="false">SUMIFS(Doors!BL:BL,Doors!$A:$A,$D145,Doors!$B:$B,$B145,Doors!$C:$C,$C145)*SUMIFS(Velocity!$I:$I,Velocity!$A:$A,$A145,Velocity!$B:$B,$C145)/Assumptions!$B$4*Assumptions!$B$6</f>
        <v>20</v>
      </c>
      <c r="BA145" s="7" t="n">
        <f aca="false">SUMIFS(Doors!BM:BM,Doors!$A:$A,$D145,Doors!$B:$B,$B145,Doors!$C:$C,$C145)*SUMIFS(Velocity!$I:$I,Velocity!$A:$A,$A145,Velocity!$B:$B,$C145)/Assumptions!$B$4*Assumptions!$B$6</f>
        <v>20.3333333333333</v>
      </c>
      <c r="BB145" s="7" t="n">
        <f aca="false">SUMIFS(Doors!BN:BN,Doors!$A:$A,$D145,Doors!$B:$B,$B145,Doors!$C:$C,$C145)*SUMIFS(Velocity!$I:$I,Velocity!$A:$A,$A145,Velocity!$B:$B,$C145)/Assumptions!$B$4*Assumptions!$B$6</f>
        <v>20.3333333333333</v>
      </c>
      <c r="BC145" s="7" t="n">
        <f aca="false">SUMIFS(Doors!BO:BO,Doors!$A:$A,$D145,Doors!$B:$B,$B145,Doors!$C:$C,$C145)*SUMIFS(Velocity!$I:$I,Velocity!$A:$A,$A145,Velocity!$B:$B,$C145)/Assumptions!$B$4*Assumptions!$B$6</f>
        <v>20.3333333333333</v>
      </c>
      <c r="BD145" s="7" t="n">
        <f aca="false">SUMIFS(Doors!BP:BP,Doors!$A:$A,$D145,Doors!$B:$B,$B145,Doors!$C:$C,$C145)*SUMIFS(Velocity!$I:$I,Velocity!$A:$A,$A145,Velocity!$B:$B,$C145)/Assumptions!$B$4*Assumptions!$B$6</f>
        <v>20.3333333333333</v>
      </c>
    </row>
    <row r="146" customFormat="false" ht="15" hidden="false" customHeight="false" outlineLevel="0" collapsed="false">
      <c r="A146" s="0" t="s">
        <v>109</v>
      </c>
      <c r="B146" s="0" t="s">
        <v>131</v>
      </c>
      <c r="C146" s="0" t="s">
        <v>120</v>
      </c>
      <c r="D146" s="0" t="s">
        <v>235</v>
      </c>
      <c r="E146" s="7" t="n">
        <f aca="false">SUMIFS(Doors!Q:Q,Doors!$A:$A,$D146,Doors!$B:$B,$B146,Doors!$C:$C,$C146)*SUMIFS(Velocity!$I:$I,Velocity!$A:$A,$A146,Velocity!$B:$B,$C146)/Assumptions!$B$4*Assumptions!$B$6</f>
        <v>5.9375</v>
      </c>
      <c r="F146" s="7" t="n">
        <f aca="false">SUMIFS(Doors!R:R,Doors!$A:$A,$D146,Doors!$B:$B,$B146,Doors!$C:$C,$C146)*SUMIFS(Velocity!$I:$I,Velocity!$A:$A,$A146,Velocity!$B:$B,$C146)/Assumptions!$B$4*Assumptions!$B$6</f>
        <v>5.9375</v>
      </c>
      <c r="G146" s="7" t="n">
        <f aca="false">SUMIFS(Doors!S:S,Doors!$A:$A,$D146,Doors!$B:$B,$B146,Doors!$C:$C,$C146)*SUMIFS(Velocity!$I:$I,Velocity!$A:$A,$A146,Velocity!$B:$B,$C146)/Assumptions!$B$4*Assumptions!$B$6</f>
        <v>5.9375</v>
      </c>
      <c r="H146" s="7" t="n">
        <f aca="false">SUMIFS(Doors!T:T,Doors!$A:$A,$D146,Doors!$B:$B,$B146,Doors!$C:$C,$C146)*SUMIFS(Velocity!$I:$I,Velocity!$A:$A,$A146,Velocity!$B:$B,$C146)/Assumptions!$B$4*Assumptions!$B$6</f>
        <v>5.9375</v>
      </c>
      <c r="I146" s="7" t="n">
        <f aca="false">SUMIFS(Doors!U:U,Doors!$A:$A,$D146,Doors!$B:$B,$B146,Doors!$C:$C,$C146)*SUMIFS(Velocity!$I:$I,Velocity!$A:$A,$A146,Velocity!$B:$B,$C146)/Assumptions!$B$4*Assumptions!$B$6</f>
        <v>5.9375</v>
      </c>
      <c r="J146" s="7" t="n">
        <f aca="false">SUMIFS(Doors!V:V,Doors!$A:$A,$D146,Doors!$B:$B,$B146,Doors!$C:$C,$C146)*SUMIFS(Velocity!$I:$I,Velocity!$A:$A,$A146,Velocity!$B:$B,$C146)/Assumptions!$B$4*Assumptions!$B$6</f>
        <v>9.89583333333333</v>
      </c>
      <c r="K146" s="7" t="n">
        <f aca="false">SUMIFS(Doors!W:W,Doors!$A:$A,$D146,Doors!$B:$B,$B146,Doors!$C:$C,$C146)*SUMIFS(Velocity!$I:$I,Velocity!$A:$A,$A146,Velocity!$B:$B,$C146)/Assumptions!$B$4*Assumptions!$B$6</f>
        <v>9.89583333333333</v>
      </c>
      <c r="L146" s="7" t="n">
        <f aca="false">SUMIFS(Doors!X:X,Doors!$A:$A,$D146,Doors!$B:$B,$B146,Doors!$C:$C,$C146)*SUMIFS(Velocity!$I:$I,Velocity!$A:$A,$A146,Velocity!$B:$B,$C146)/Assumptions!$B$4*Assumptions!$B$6</f>
        <v>9.89583333333333</v>
      </c>
      <c r="M146" s="7" t="n">
        <f aca="false">SUMIFS(Doors!Y:Y,Doors!$A:$A,$D146,Doors!$B:$B,$B146,Doors!$C:$C,$C146)*SUMIFS(Velocity!$I:$I,Velocity!$A:$A,$A146,Velocity!$B:$B,$C146)/Assumptions!$B$4*Assumptions!$B$6</f>
        <v>9.89583333333333</v>
      </c>
      <c r="N146" s="7" t="n">
        <f aca="false">SUMIFS(Doors!Z:Z,Doors!$A:$A,$D146,Doors!$B:$B,$B146,Doors!$C:$C,$C146)*SUMIFS(Velocity!$I:$I,Velocity!$A:$A,$A146,Velocity!$B:$B,$C146)/Assumptions!$B$4*Assumptions!$B$6</f>
        <v>13.8541666666667</v>
      </c>
      <c r="O146" s="7" t="n">
        <f aca="false">SUMIFS(Doors!AA:AA,Doors!$A:$A,$D146,Doors!$B:$B,$B146,Doors!$C:$C,$C146)*SUMIFS(Velocity!$I:$I,Velocity!$A:$A,$A146,Velocity!$B:$B,$C146)/Assumptions!$B$4*Assumptions!$B$6</f>
        <v>13.8541666666667</v>
      </c>
      <c r="P146" s="7" t="n">
        <f aca="false">SUMIFS(Doors!AB:AB,Doors!$A:$A,$D146,Doors!$B:$B,$B146,Doors!$C:$C,$C146)*SUMIFS(Velocity!$I:$I,Velocity!$A:$A,$A146,Velocity!$B:$B,$C146)/Assumptions!$B$4*Assumptions!$B$6</f>
        <v>13.8541666666667</v>
      </c>
      <c r="Q146" s="7" t="n">
        <f aca="false">SUMIFS(Doors!AC:AC,Doors!$A:$A,$D146,Doors!$B:$B,$B146,Doors!$C:$C,$C146)*SUMIFS(Velocity!$I:$I,Velocity!$A:$A,$A146,Velocity!$B:$B,$C146)/Assumptions!$B$4*Assumptions!$B$6</f>
        <v>13.8541666666667</v>
      </c>
      <c r="R146" s="7" t="n">
        <f aca="false">SUMIFS(Doors!AD:AD,Doors!$A:$A,$D146,Doors!$B:$B,$B146,Doors!$C:$C,$C146)*SUMIFS(Velocity!$I:$I,Velocity!$A:$A,$A146,Velocity!$B:$B,$C146)/Assumptions!$B$4*Assumptions!$B$6</f>
        <v>17.8125</v>
      </c>
      <c r="S146" s="7" t="n">
        <f aca="false">SUMIFS(Doors!AE:AE,Doors!$A:$A,$D146,Doors!$B:$B,$B146,Doors!$C:$C,$C146)*SUMIFS(Velocity!$I:$I,Velocity!$A:$A,$A146,Velocity!$B:$B,$C146)/Assumptions!$B$4*Assumptions!$B$6</f>
        <v>17.8125</v>
      </c>
      <c r="T146" s="7" t="n">
        <f aca="false">SUMIFS(Doors!AF:AF,Doors!$A:$A,$D146,Doors!$B:$B,$B146,Doors!$C:$C,$C146)*SUMIFS(Velocity!$I:$I,Velocity!$A:$A,$A146,Velocity!$B:$B,$C146)/Assumptions!$B$4*Assumptions!$B$6</f>
        <v>17.8125</v>
      </c>
      <c r="U146" s="7" t="n">
        <f aca="false">SUMIFS(Doors!AG:AG,Doors!$A:$A,$D146,Doors!$B:$B,$B146,Doors!$C:$C,$C146)*SUMIFS(Velocity!$I:$I,Velocity!$A:$A,$A146,Velocity!$B:$B,$C146)/Assumptions!$B$4*Assumptions!$B$6</f>
        <v>17.8125</v>
      </c>
      <c r="V146" s="7" t="n">
        <f aca="false">SUMIFS(Doors!AH:AH,Doors!$A:$A,$D146,Doors!$B:$B,$B146,Doors!$C:$C,$C146)*SUMIFS(Velocity!$I:$I,Velocity!$A:$A,$A146,Velocity!$B:$B,$C146)/Assumptions!$B$4*Assumptions!$B$6</f>
        <v>17.8125</v>
      </c>
      <c r="W146" s="7" t="n">
        <f aca="false">SUMIFS(Doors!AI:AI,Doors!$A:$A,$D146,Doors!$B:$B,$B146,Doors!$C:$C,$C146)*SUMIFS(Velocity!$I:$I,Velocity!$A:$A,$A146,Velocity!$B:$B,$C146)/Assumptions!$B$4*Assumptions!$B$6</f>
        <v>20.78125</v>
      </c>
      <c r="X146" s="7" t="n">
        <f aca="false">SUMIFS(Doors!AJ:AJ,Doors!$A:$A,$D146,Doors!$B:$B,$B146,Doors!$C:$C,$C146)*SUMIFS(Velocity!$I:$I,Velocity!$A:$A,$A146,Velocity!$B:$B,$C146)/Assumptions!$B$4*Assumptions!$B$6</f>
        <v>20.78125</v>
      </c>
      <c r="Y146" s="7" t="n">
        <f aca="false">SUMIFS(Doors!AK:AK,Doors!$A:$A,$D146,Doors!$B:$B,$B146,Doors!$C:$C,$C146)*SUMIFS(Velocity!$I:$I,Velocity!$A:$A,$A146,Velocity!$B:$B,$C146)/Assumptions!$B$4*Assumptions!$B$6</f>
        <v>20.78125</v>
      </c>
      <c r="Z146" s="7" t="n">
        <f aca="false">SUMIFS(Doors!AL:AL,Doors!$A:$A,$D146,Doors!$B:$B,$B146,Doors!$C:$C,$C146)*SUMIFS(Velocity!$I:$I,Velocity!$A:$A,$A146,Velocity!$B:$B,$C146)/Assumptions!$B$4*Assumptions!$B$6</f>
        <v>20.78125</v>
      </c>
      <c r="AA146" s="7" t="n">
        <f aca="false">SUMIFS(Doors!AM:AM,Doors!$A:$A,$D146,Doors!$B:$B,$B146,Doors!$C:$C,$C146)*SUMIFS(Velocity!$I:$I,Velocity!$A:$A,$A146,Velocity!$B:$B,$C146)/Assumptions!$B$4*Assumptions!$B$6</f>
        <v>22.7604166666667</v>
      </c>
      <c r="AB146" s="7" t="n">
        <f aca="false">SUMIFS(Doors!AN:AN,Doors!$A:$A,$D146,Doors!$B:$B,$B146,Doors!$C:$C,$C146)*SUMIFS(Velocity!$I:$I,Velocity!$A:$A,$A146,Velocity!$B:$B,$C146)/Assumptions!$B$4*Assumptions!$B$6</f>
        <v>22.7604166666667</v>
      </c>
      <c r="AC146" s="7" t="n">
        <f aca="false">SUMIFS(Doors!AO:AO,Doors!$A:$A,$D146,Doors!$B:$B,$B146,Doors!$C:$C,$C146)*SUMIFS(Velocity!$I:$I,Velocity!$A:$A,$A146,Velocity!$B:$B,$C146)/Assumptions!$B$4*Assumptions!$B$6</f>
        <v>22.7604166666667</v>
      </c>
      <c r="AD146" s="7" t="n">
        <f aca="false">SUMIFS(Doors!AP:AP,Doors!$A:$A,$D146,Doors!$B:$B,$B146,Doors!$C:$C,$C146)*SUMIFS(Velocity!$I:$I,Velocity!$A:$A,$A146,Velocity!$B:$B,$C146)/Assumptions!$B$4*Assumptions!$B$6</f>
        <v>22.7604166666667</v>
      </c>
      <c r="AE146" s="7" t="n">
        <f aca="false">SUMIFS(Doors!AQ:AQ,Doors!$A:$A,$D146,Doors!$B:$B,$B146,Doors!$C:$C,$C146)*SUMIFS(Velocity!$I:$I,Velocity!$A:$A,$A146,Velocity!$B:$B,$C146)/Assumptions!$B$4*Assumptions!$B$6</f>
        <v>24.1458333333333</v>
      </c>
      <c r="AF146" s="7" t="n">
        <f aca="false">SUMIFS(Doors!AR:AR,Doors!$A:$A,$D146,Doors!$B:$B,$B146,Doors!$C:$C,$C146)*SUMIFS(Velocity!$I:$I,Velocity!$A:$A,$A146,Velocity!$B:$B,$C146)/Assumptions!$B$4*Assumptions!$B$6</f>
        <v>24.1458333333333</v>
      </c>
      <c r="AG146" s="7" t="n">
        <f aca="false">SUMIFS(Doors!AS:AS,Doors!$A:$A,$D146,Doors!$B:$B,$B146,Doors!$C:$C,$C146)*SUMIFS(Velocity!$I:$I,Velocity!$A:$A,$A146,Velocity!$B:$B,$C146)/Assumptions!$B$4*Assumptions!$B$6</f>
        <v>24.1458333333333</v>
      </c>
      <c r="AH146" s="7" t="n">
        <f aca="false">SUMIFS(Doors!AT:AT,Doors!$A:$A,$D146,Doors!$B:$B,$B146,Doors!$C:$C,$C146)*SUMIFS(Velocity!$I:$I,Velocity!$A:$A,$A146,Velocity!$B:$B,$C146)/Assumptions!$B$4*Assumptions!$B$6</f>
        <v>24.1458333333333</v>
      </c>
      <c r="AI146" s="7" t="n">
        <f aca="false">SUMIFS(Doors!AU:AU,Doors!$A:$A,$D146,Doors!$B:$B,$B146,Doors!$C:$C,$C146)*SUMIFS(Velocity!$I:$I,Velocity!$A:$A,$A146,Velocity!$B:$B,$C146)/Assumptions!$B$4*Assumptions!$B$6</f>
        <v>24.1458333333333</v>
      </c>
      <c r="AJ146" s="7" t="n">
        <f aca="false">SUMIFS(Doors!AV:AV,Doors!$A:$A,$D146,Doors!$B:$B,$B146,Doors!$C:$C,$C146)*SUMIFS(Velocity!$I:$I,Velocity!$A:$A,$A146,Velocity!$B:$B,$C146)/Assumptions!$B$4*Assumptions!$B$6</f>
        <v>24.9375</v>
      </c>
      <c r="AK146" s="7" t="n">
        <f aca="false">SUMIFS(Doors!AW:AW,Doors!$A:$A,$D146,Doors!$B:$B,$B146,Doors!$C:$C,$C146)*SUMIFS(Velocity!$I:$I,Velocity!$A:$A,$A146,Velocity!$B:$B,$C146)/Assumptions!$B$4*Assumptions!$B$6</f>
        <v>24.9375</v>
      </c>
      <c r="AL146" s="7" t="n">
        <f aca="false">SUMIFS(Doors!AX:AX,Doors!$A:$A,$D146,Doors!$B:$B,$B146,Doors!$C:$C,$C146)*SUMIFS(Velocity!$I:$I,Velocity!$A:$A,$A146,Velocity!$B:$B,$C146)/Assumptions!$B$4*Assumptions!$B$6</f>
        <v>24.9375</v>
      </c>
      <c r="AM146" s="7" t="n">
        <f aca="false">SUMIFS(Doors!AY:AY,Doors!$A:$A,$D146,Doors!$B:$B,$B146,Doors!$C:$C,$C146)*SUMIFS(Velocity!$I:$I,Velocity!$A:$A,$A146,Velocity!$B:$B,$C146)/Assumptions!$B$4*Assumptions!$B$6</f>
        <v>24.9375</v>
      </c>
      <c r="AN146" s="7" t="n">
        <f aca="false">SUMIFS(Doors!AZ:AZ,Doors!$A:$A,$D146,Doors!$B:$B,$B146,Doors!$C:$C,$C146)*SUMIFS(Velocity!$I:$I,Velocity!$A:$A,$A146,Velocity!$B:$B,$C146)/Assumptions!$B$4*Assumptions!$B$6</f>
        <v>25.3333333333333</v>
      </c>
      <c r="AO146" s="7" t="n">
        <f aca="false">SUMIFS(Doors!BA:BA,Doors!$A:$A,$D146,Doors!$B:$B,$B146,Doors!$C:$C,$C146)*SUMIFS(Velocity!$I:$I,Velocity!$A:$A,$A146,Velocity!$B:$B,$C146)/Assumptions!$B$4*Assumptions!$B$6</f>
        <v>25.3333333333333</v>
      </c>
      <c r="AP146" s="7" t="n">
        <f aca="false">SUMIFS(Doors!BB:BB,Doors!$A:$A,$D146,Doors!$B:$B,$B146,Doors!$C:$C,$C146)*SUMIFS(Velocity!$I:$I,Velocity!$A:$A,$A146,Velocity!$B:$B,$C146)/Assumptions!$B$4*Assumptions!$B$6</f>
        <v>25.3333333333333</v>
      </c>
      <c r="AQ146" s="7" t="n">
        <f aca="false">SUMIFS(Doors!BC:BC,Doors!$A:$A,$D146,Doors!$B:$B,$B146,Doors!$C:$C,$C146)*SUMIFS(Velocity!$I:$I,Velocity!$A:$A,$A146,Velocity!$B:$B,$C146)/Assumptions!$B$4*Assumptions!$B$6</f>
        <v>25.3333333333333</v>
      </c>
      <c r="AR146" s="7" t="n">
        <f aca="false">SUMIFS(Doors!BD:BD,Doors!$A:$A,$D146,Doors!$B:$B,$B146,Doors!$C:$C,$C146)*SUMIFS(Velocity!$I:$I,Velocity!$A:$A,$A146,Velocity!$B:$B,$C146)/Assumptions!$B$4*Assumptions!$B$6</f>
        <v>25.7291666666667</v>
      </c>
      <c r="AS146" s="7" t="n">
        <f aca="false">SUMIFS(Doors!BE:BE,Doors!$A:$A,$D146,Doors!$B:$B,$B146,Doors!$C:$C,$C146)*SUMIFS(Velocity!$I:$I,Velocity!$A:$A,$A146,Velocity!$B:$B,$C146)/Assumptions!$B$4*Assumptions!$B$6</f>
        <v>25.7291666666667</v>
      </c>
      <c r="AT146" s="7" t="n">
        <f aca="false">SUMIFS(Doors!BF:BF,Doors!$A:$A,$D146,Doors!$B:$B,$B146,Doors!$C:$C,$C146)*SUMIFS(Velocity!$I:$I,Velocity!$A:$A,$A146,Velocity!$B:$B,$C146)/Assumptions!$B$4*Assumptions!$B$6</f>
        <v>25.7291666666667</v>
      </c>
      <c r="AU146" s="7" t="n">
        <f aca="false">SUMIFS(Doors!BG:BG,Doors!$A:$A,$D146,Doors!$B:$B,$B146,Doors!$C:$C,$C146)*SUMIFS(Velocity!$I:$I,Velocity!$A:$A,$A146,Velocity!$B:$B,$C146)/Assumptions!$B$4*Assumptions!$B$6</f>
        <v>25.7291666666667</v>
      </c>
      <c r="AV146" s="7" t="n">
        <f aca="false">SUMIFS(Doors!BH:BH,Doors!$A:$A,$D146,Doors!$B:$B,$B146,Doors!$C:$C,$C146)*SUMIFS(Velocity!$I:$I,Velocity!$A:$A,$A146,Velocity!$B:$B,$C146)/Assumptions!$B$4*Assumptions!$B$6</f>
        <v>25.7291666666667</v>
      </c>
      <c r="AW146" s="7" t="n">
        <f aca="false">SUMIFS(Doors!BI:BI,Doors!$A:$A,$D146,Doors!$B:$B,$B146,Doors!$C:$C,$C146)*SUMIFS(Velocity!$I:$I,Velocity!$A:$A,$A146,Velocity!$B:$B,$C146)/Assumptions!$B$4*Assumptions!$B$6</f>
        <v>25.7291666666667</v>
      </c>
      <c r="AX146" s="7" t="n">
        <f aca="false">SUMIFS(Doors!BJ:BJ,Doors!$A:$A,$D146,Doors!$B:$B,$B146,Doors!$C:$C,$C146)*SUMIFS(Velocity!$I:$I,Velocity!$A:$A,$A146,Velocity!$B:$B,$C146)/Assumptions!$B$4*Assumptions!$B$6</f>
        <v>25.7291666666667</v>
      </c>
      <c r="AY146" s="7" t="n">
        <f aca="false">SUMIFS(Doors!BK:BK,Doors!$A:$A,$D146,Doors!$B:$B,$B146,Doors!$C:$C,$C146)*SUMIFS(Velocity!$I:$I,Velocity!$A:$A,$A146,Velocity!$B:$B,$C146)/Assumptions!$B$4*Assumptions!$B$6</f>
        <v>25.7291666666667</v>
      </c>
      <c r="AZ146" s="7" t="n">
        <f aca="false">SUMIFS(Doors!BL:BL,Doors!$A:$A,$D146,Doors!$B:$B,$B146,Doors!$C:$C,$C146)*SUMIFS(Velocity!$I:$I,Velocity!$A:$A,$A146,Velocity!$B:$B,$C146)/Assumptions!$B$4*Assumptions!$B$6</f>
        <v>25.7291666666667</v>
      </c>
      <c r="BA146" s="7" t="n">
        <f aca="false">SUMIFS(Doors!BM:BM,Doors!$A:$A,$D146,Doors!$B:$B,$B146,Doors!$C:$C,$C146)*SUMIFS(Velocity!$I:$I,Velocity!$A:$A,$A146,Velocity!$B:$B,$C146)/Assumptions!$B$4*Assumptions!$B$6</f>
        <v>25.7291666666667</v>
      </c>
      <c r="BB146" s="7" t="n">
        <f aca="false">SUMIFS(Doors!BN:BN,Doors!$A:$A,$D146,Doors!$B:$B,$B146,Doors!$C:$C,$C146)*SUMIFS(Velocity!$I:$I,Velocity!$A:$A,$A146,Velocity!$B:$B,$C146)/Assumptions!$B$4*Assumptions!$B$6</f>
        <v>25.7291666666667</v>
      </c>
      <c r="BC146" s="7" t="n">
        <f aca="false">SUMIFS(Doors!BO:BO,Doors!$A:$A,$D146,Doors!$B:$B,$B146,Doors!$C:$C,$C146)*SUMIFS(Velocity!$I:$I,Velocity!$A:$A,$A146,Velocity!$B:$B,$C146)/Assumptions!$B$4*Assumptions!$B$6</f>
        <v>25.7291666666667</v>
      </c>
      <c r="BD146" s="7" t="n">
        <f aca="false">SUMIFS(Doors!BP:BP,Doors!$A:$A,$D146,Doors!$B:$B,$B146,Doors!$C:$C,$C146)*SUMIFS(Velocity!$I:$I,Velocity!$A:$A,$A146,Velocity!$B:$B,$C146)/Assumptions!$B$4*Assumptions!$B$6</f>
        <v>25.7291666666667</v>
      </c>
    </row>
    <row r="147" customFormat="false" ht="15" hidden="false" customHeight="false" outlineLevel="0" collapsed="false">
      <c r="A147" s="0" t="s">
        <v>109</v>
      </c>
      <c r="B147" s="0" t="s">
        <v>131</v>
      </c>
      <c r="C147" s="0" t="s">
        <v>121</v>
      </c>
      <c r="D147" s="0" t="s">
        <v>235</v>
      </c>
      <c r="E147" s="7" t="n">
        <f aca="false">SUMIFS(Doors!Q:Q,Doors!$A:$A,$D147,Doors!$B:$B,$B147,Doors!$C:$C,$C147)*SUMIFS(Velocity!$I:$I,Velocity!$A:$A,$A147,Velocity!$B:$B,$C147)/Assumptions!$B$4*Assumptions!$B$6</f>
        <v>4.5625</v>
      </c>
      <c r="F147" s="7" t="n">
        <f aca="false">SUMIFS(Doors!R:R,Doors!$A:$A,$D147,Doors!$B:$B,$B147,Doors!$C:$C,$C147)*SUMIFS(Velocity!$I:$I,Velocity!$A:$A,$A147,Velocity!$B:$B,$C147)/Assumptions!$B$4*Assumptions!$B$6</f>
        <v>4.5625</v>
      </c>
      <c r="G147" s="7" t="n">
        <f aca="false">SUMIFS(Doors!S:S,Doors!$A:$A,$D147,Doors!$B:$B,$B147,Doors!$C:$C,$C147)*SUMIFS(Velocity!$I:$I,Velocity!$A:$A,$A147,Velocity!$B:$B,$C147)/Assumptions!$B$4*Assumptions!$B$6</f>
        <v>4.5625</v>
      </c>
      <c r="H147" s="7" t="n">
        <f aca="false">SUMIFS(Doors!T:T,Doors!$A:$A,$D147,Doors!$B:$B,$B147,Doors!$C:$C,$C147)*SUMIFS(Velocity!$I:$I,Velocity!$A:$A,$A147,Velocity!$B:$B,$C147)/Assumptions!$B$4*Assumptions!$B$6</f>
        <v>4.5625</v>
      </c>
      <c r="I147" s="7" t="n">
        <f aca="false">SUMIFS(Doors!U:U,Doors!$A:$A,$D147,Doors!$B:$B,$B147,Doors!$C:$C,$C147)*SUMIFS(Velocity!$I:$I,Velocity!$A:$A,$A147,Velocity!$B:$B,$C147)/Assumptions!$B$4*Assumptions!$B$6</f>
        <v>4.5625</v>
      </c>
      <c r="J147" s="7" t="n">
        <f aca="false">SUMIFS(Doors!V:V,Doors!$A:$A,$D147,Doors!$B:$B,$B147,Doors!$C:$C,$C147)*SUMIFS(Velocity!$I:$I,Velocity!$A:$A,$A147,Velocity!$B:$B,$C147)/Assumptions!$B$4*Assumptions!$B$6</f>
        <v>6.69166666666667</v>
      </c>
      <c r="K147" s="7" t="n">
        <f aca="false">SUMIFS(Doors!W:W,Doors!$A:$A,$D147,Doors!$B:$B,$B147,Doors!$C:$C,$C147)*SUMIFS(Velocity!$I:$I,Velocity!$A:$A,$A147,Velocity!$B:$B,$C147)/Assumptions!$B$4*Assumptions!$B$6</f>
        <v>6.69166666666667</v>
      </c>
      <c r="L147" s="7" t="n">
        <f aca="false">SUMIFS(Doors!X:X,Doors!$A:$A,$D147,Doors!$B:$B,$B147,Doors!$C:$C,$C147)*SUMIFS(Velocity!$I:$I,Velocity!$A:$A,$A147,Velocity!$B:$B,$C147)/Assumptions!$B$4*Assumptions!$B$6</f>
        <v>6.69166666666667</v>
      </c>
      <c r="M147" s="7" t="n">
        <f aca="false">SUMIFS(Doors!Y:Y,Doors!$A:$A,$D147,Doors!$B:$B,$B147,Doors!$C:$C,$C147)*SUMIFS(Velocity!$I:$I,Velocity!$A:$A,$A147,Velocity!$B:$B,$C147)/Assumptions!$B$4*Assumptions!$B$6</f>
        <v>6.69166666666667</v>
      </c>
      <c r="N147" s="7" t="n">
        <f aca="false">SUMIFS(Doors!Z:Z,Doors!$A:$A,$D147,Doors!$B:$B,$B147,Doors!$C:$C,$C147)*SUMIFS(Velocity!$I:$I,Velocity!$A:$A,$A147,Velocity!$B:$B,$C147)/Assumptions!$B$4*Assumptions!$B$6</f>
        <v>9.73333333333333</v>
      </c>
      <c r="O147" s="7" t="n">
        <f aca="false">SUMIFS(Doors!AA:AA,Doors!$A:$A,$D147,Doors!$B:$B,$B147,Doors!$C:$C,$C147)*SUMIFS(Velocity!$I:$I,Velocity!$A:$A,$A147,Velocity!$B:$B,$C147)/Assumptions!$B$4*Assumptions!$B$6</f>
        <v>9.73333333333333</v>
      </c>
      <c r="P147" s="7" t="n">
        <f aca="false">SUMIFS(Doors!AB:AB,Doors!$A:$A,$D147,Doors!$B:$B,$B147,Doors!$C:$C,$C147)*SUMIFS(Velocity!$I:$I,Velocity!$A:$A,$A147,Velocity!$B:$B,$C147)/Assumptions!$B$4*Assumptions!$B$6</f>
        <v>9.73333333333333</v>
      </c>
      <c r="Q147" s="7" t="n">
        <f aca="false">SUMIFS(Doors!AC:AC,Doors!$A:$A,$D147,Doors!$B:$B,$B147,Doors!$C:$C,$C147)*SUMIFS(Velocity!$I:$I,Velocity!$A:$A,$A147,Velocity!$B:$B,$C147)/Assumptions!$B$4*Assumptions!$B$6</f>
        <v>9.73333333333333</v>
      </c>
      <c r="R147" s="7" t="n">
        <f aca="false">SUMIFS(Doors!AD:AD,Doors!$A:$A,$D147,Doors!$B:$B,$B147,Doors!$C:$C,$C147)*SUMIFS(Velocity!$I:$I,Velocity!$A:$A,$A147,Velocity!$B:$B,$C147)/Assumptions!$B$4*Assumptions!$B$6</f>
        <v>12.775</v>
      </c>
      <c r="S147" s="7" t="n">
        <f aca="false">SUMIFS(Doors!AE:AE,Doors!$A:$A,$D147,Doors!$B:$B,$B147,Doors!$C:$C,$C147)*SUMIFS(Velocity!$I:$I,Velocity!$A:$A,$A147,Velocity!$B:$B,$C147)/Assumptions!$B$4*Assumptions!$B$6</f>
        <v>12.775</v>
      </c>
      <c r="T147" s="7" t="n">
        <f aca="false">SUMIFS(Doors!AF:AF,Doors!$A:$A,$D147,Doors!$B:$B,$B147,Doors!$C:$C,$C147)*SUMIFS(Velocity!$I:$I,Velocity!$A:$A,$A147,Velocity!$B:$B,$C147)/Assumptions!$B$4*Assumptions!$B$6</f>
        <v>12.775</v>
      </c>
      <c r="U147" s="7" t="n">
        <f aca="false">SUMIFS(Doors!AG:AG,Doors!$A:$A,$D147,Doors!$B:$B,$B147,Doors!$C:$C,$C147)*SUMIFS(Velocity!$I:$I,Velocity!$A:$A,$A147,Velocity!$B:$B,$C147)/Assumptions!$B$4*Assumptions!$B$6</f>
        <v>12.775</v>
      </c>
      <c r="V147" s="7" t="n">
        <f aca="false">SUMIFS(Doors!AH:AH,Doors!$A:$A,$D147,Doors!$B:$B,$B147,Doors!$C:$C,$C147)*SUMIFS(Velocity!$I:$I,Velocity!$A:$A,$A147,Velocity!$B:$B,$C147)/Assumptions!$B$4*Assumptions!$B$6</f>
        <v>12.775</v>
      </c>
      <c r="W147" s="7" t="n">
        <f aca="false">SUMIFS(Doors!AI:AI,Doors!$A:$A,$D147,Doors!$B:$B,$B147,Doors!$C:$C,$C147)*SUMIFS(Velocity!$I:$I,Velocity!$A:$A,$A147,Velocity!$B:$B,$C147)/Assumptions!$B$4*Assumptions!$B$6</f>
        <v>15.2083333333333</v>
      </c>
      <c r="X147" s="7" t="n">
        <f aca="false">SUMIFS(Doors!AJ:AJ,Doors!$A:$A,$D147,Doors!$B:$B,$B147,Doors!$C:$C,$C147)*SUMIFS(Velocity!$I:$I,Velocity!$A:$A,$A147,Velocity!$B:$B,$C147)/Assumptions!$B$4*Assumptions!$B$6</f>
        <v>15.2083333333333</v>
      </c>
      <c r="Y147" s="7" t="n">
        <f aca="false">SUMIFS(Doors!AK:AK,Doors!$A:$A,$D147,Doors!$B:$B,$B147,Doors!$C:$C,$C147)*SUMIFS(Velocity!$I:$I,Velocity!$A:$A,$A147,Velocity!$B:$B,$C147)/Assumptions!$B$4*Assumptions!$B$6</f>
        <v>15.2083333333333</v>
      </c>
      <c r="Z147" s="7" t="n">
        <f aca="false">SUMIFS(Doors!AL:AL,Doors!$A:$A,$D147,Doors!$B:$B,$B147,Doors!$C:$C,$C147)*SUMIFS(Velocity!$I:$I,Velocity!$A:$A,$A147,Velocity!$B:$B,$C147)/Assumptions!$B$4*Assumptions!$B$6</f>
        <v>15.2083333333333</v>
      </c>
      <c r="AA147" s="7" t="n">
        <f aca="false">SUMIFS(Doors!AM:AM,Doors!$A:$A,$D147,Doors!$B:$B,$B147,Doors!$C:$C,$C147)*SUMIFS(Velocity!$I:$I,Velocity!$A:$A,$A147,Velocity!$B:$B,$C147)/Assumptions!$B$4*Assumptions!$B$6</f>
        <v>16.7291666666667</v>
      </c>
      <c r="AB147" s="7" t="n">
        <f aca="false">SUMIFS(Doors!AN:AN,Doors!$A:$A,$D147,Doors!$B:$B,$B147,Doors!$C:$C,$C147)*SUMIFS(Velocity!$I:$I,Velocity!$A:$A,$A147,Velocity!$B:$B,$C147)/Assumptions!$B$4*Assumptions!$B$6</f>
        <v>16.7291666666667</v>
      </c>
      <c r="AC147" s="7" t="n">
        <f aca="false">SUMIFS(Doors!AO:AO,Doors!$A:$A,$D147,Doors!$B:$B,$B147,Doors!$C:$C,$C147)*SUMIFS(Velocity!$I:$I,Velocity!$A:$A,$A147,Velocity!$B:$B,$C147)/Assumptions!$B$4*Assumptions!$B$6</f>
        <v>16.7291666666667</v>
      </c>
      <c r="AD147" s="7" t="n">
        <f aca="false">SUMIFS(Doors!AP:AP,Doors!$A:$A,$D147,Doors!$B:$B,$B147,Doors!$C:$C,$C147)*SUMIFS(Velocity!$I:$I,Velocity!$A:$A,$A147,Velocity!$B:$B,$C147)/Assumptions!$B$4*Assumptions!$B$6</f>
        <v>16.7291666666667</v>
      </c>
      <c r="AE147" s="7" t="n">
        <f aca="false">SUMIFS(Doors!AQ:AQ,Doors!$A:$A,$D147,Doors!$B:$B,$B147,Doors!$C:$C,$C147)*SUMIFS(Velocity!$I:$I,Velocity!$A:$A,$A147,Velocity!$B:$B,$C147)/Assumptions!$B$4*Assumptions!$B$6</f>
        <v>17.6416666666667</v>
      </c>
      <c r="AF147" s="7" t="n">
        <f aca="false">SUMIFS(Doors!AR:AR,Doors!$A:$A,$D147,Doors!$B:$B,$B147,Doors!$C:$C,$C147)*SUMIFS(Velocity!$I:$I,Velocity!$A:$A,$A147,Velocity!$B:$B,$C147)/Assumptions!$B$4*Assumptions!$B$6</f>
        <v>17.6416666666667</v>
      </c>
      <c r="AG147" s="7" t="n">
        <f aca="false">SUMIFS(Doors!AS:AS,Doors!$A:$A,$D147,Doors!$B:$B,$B147,Doors!$C:$C,$C147)*SUMIFS(Velocity!$I:$I,Velocity!$A:$A,$A147,Velocity!$B:$B,$C147)/Assumptions!$B$4*Assumptions!$B$6</f>
        <v>17.6416666666667</v>
      </c>
      <c r="AH147" s="7" t="n">
        <f aca="false">SUMIFS(Doors!AT:AT,Doors!$A:$A,$D147,Doors!$B:$B,$B147,Doors!$C:$C,$C147)*SUMIFS(Velocity!$I:$I,Velocity!$A:$A,$A147,Velocity!$B:$B,$C147)/Assumptions!$B$4*Assumptions!$B$6</f>
        <v>17.6416666666667</v>
      </c>
      <c r="AI147" s="7" t="n">
        <f aca="false">SUMIFS(Doors!AU:AU,Doors!$A:$A,$D147,Doors!$B:$B,$B147,Doors!$C:$C,$C147)*SUMIFS(Velocity!$I:$I,Velocity!$A:$A,$A147,Velocity!$B:$B,$C147)/Assumptions!$B$4*Assumptions!$B$6</f>
        <v>17.6416666666667</v>
      </c>
      <c r="AJ147" s="7" t="n">
        <f aca="false">SUMIFS(Doors!AV:AV,Doors!$A:$A,$D147,Doors!$B:$B,$B147,Doors!$C:$C,$C147)*SUMIFS(Velocity!$I:$I,Velocity!$A:$A,$A147,Velocity!$B:$B,$C147)/Assumptions!$B$4*Assumptions!$B$6</f>
        <v>17.9458333333333</v>
      </c>
      <c r="AK147" s="7" t="n">
        <f aca="false">SUMIFS(Doors!AW:AW,Doors!$A:$A,$D147,Doors!$B:$B,$B147,Doors!$C:$C,$C147)*SUMIFS(Velocity!$I:$I,Velocity!$A:$A,$A147,Velocity!$B:$B,$C147)/Assumptions!$B$4*Assumptions!$B$6</f>
        <v>17.9458333333333</v>
      </c>
      <c r="AL147" s="7" t="n">
        <f aca="false">SUMIFS(Doors!AX:AX,Doors!$A:$A,$D147,Doors!$B:$B,$B147,Doors!$C:$C,$C147)*SUMIFS(Velocity!$I:$I,Velocity!$A:$A,$A147,Velocity!$B:$B,$C147)/Assumptions!$B$4*Assumptions!$B$6</f>
        <v>17.9458333333333</v>
      </c>
      <c r="AM147" s="7" t="n">
        <f aca="false">SUMIFS(Doors!AY:AY,Doors!$A:$A,$D147,Doors!$B:$B,$B147,Doors!$C:$C,$C147)*SUMIFS(Velocity!$I:$I,Velocity!$A:$A,$A147,Velocity!$B:$B,$C147)/Assumptions!$B$4*Assumptions!$B$6</f>
        <v>17.9458333333333</v>
      </c>
      <c r="AN147" s="7" t="n">
        <f aca="false">SUMIFS(Doors!AZ:AZ,Doors!$A:$A,$D147,Doors!$B:$B,$B147,Doors!$C:$C,$C147)*SUMIFS(Velocity!$I:$I,Velocity!$A:$A,$A147,Velocity!$B:$B,$C147)/Assumptions!$B$4*Assumptions!$B$6</f>
        <v>18.25</v>
      </c>
      <c r="AO147" s="7" t="n">
        <f aca="false">SUMIFS(Doors!BA:BA,Doors!$A:$A,$D147,Doors!$B:$B,$B147,Doors!$C:$C,$C147)*SUMIFS(Velocity!$I:$I,Velocity!$A:$A,$A147,Velocity!$B:$B,$C147)/Assumptions!$B$4*Assumptions!$B$6</f>
        <v>18.25</v>
      </c>
      <c r="AP147" s="7" t="n">
        <f aca="false">SUMIFS(Doors!BB:BB,Doors!$A:$A,$D147,Doors!$B:$B,$B147,Doors!$C:$C,$C147)*SUMIFS(Velocity!$I:$I,Velocity!$A:$A,$A147,Velocity!$B:$B,$C147)/Assumptions!$B$4*Assumptions!$B$6</f>
        <v>18.25</v>
      </c>
      <c r="AQ147" s="7" t="n">
        <f aca="false">SUMIFS(Doors!BC:BC,Doors!$A:$A,$D147,Doors!$B:$B,$B147,Doors!$C:$C,$C147)*SUMIFS(Velocity!$I:$I,Velocity!$A:$A,$A147,Velocity!$B:$B,$C147)/Assumptions!$B$4*Assumptions!$B$6</f>
        <v>18.25</v>
      </c>
      <c r="AR147" s="7" t="n">
        <f aca="false">SUMIFS(Doors!BD:BD,Doors!$A:$A,$D147,Doors!$B:$B,$B147,Doors!$C:$C,$C147)*SUMIFS(Velocity!$I:$I,Velocity!$A:$A,$A147,Velocity!$B:$B,$C147)/Assumptions!$B$4*Assumptions!$B$6</f>
        <v>18.25</v>
      </c>
      <c r="AS147" s="7" t="n">
        <f aca="false">SUMIFS(Doors!BE:BE,Doors!$A:$A,$D147,Doors!$B:$B,$B147,Doors!$C:$C,$C147)*SUMIFS(Velocity!$I:$I,Velocity!$A:$A,$A147,Velocity!$B:$B,$C147)/Assumptions!$B$4*Assumptions!$B$6</f>
        <v>18.25</v>
      </c>
      <c r="AT147" s="7" t="n">
        <f aca="false">SUMIFS(Doors!BF:BF,Doors!$A:$A,$D147,Doors!$B:$B,$B147,Doors!$C:$C,$C147)*SUMIFS(Velocity!$I:$I,Velocity!$A:$A,$A147,Velocity!$B:$B,$C147)/Assumptions!$B$4*Assumptions!$B$6</f>
        <v>18.25</v>
      </c>
      <c r="AU147" s="7" t="n">
        <f aca="false">SUMIFS(Doors!BG:BG,Doors!$A:$A,$D147,Doors!$B:$B,$B147,Doors!$C:$C,$C147)*SUMIFS(Velocity!$I:$I,Velocity!$A:$A,$A147,Velocity!$B:$B,$C147)/Assumptions!$B$4*Assumptions!$B$6</f>
        <v>18.25</v>
      </c>
      <c r="AV147" s="7" t="n">
        <f aca="false">SUMIFS(Doors!BH:BH,Doors!$A:$A,$D147,Doors!$B:$B,$B147,Doors!$C:$C,$C147)*SUMIFS(Velocity!$I:$I,Velocity!$A:$A,$A147,Velocity!$B:$B,$C147)/Assumptions!$B$4*Assumptions!$B$6</f>
        <v>18.25</v>
      </c>
      <c r="AW147" s="7" t="n">
        <f aca="false">SUMIFS(Doors!BI:BI,Doors!$A:$A,$D147,Doors!$B:$B,$B147,Doors!$C:$C,$C147)*SUMIFS(Velocity!$I:$I,Velocity!$A:$A,$A147,Velocity!$B:$B,$C147)/Assumptions!$B$4*Assumptions!$B$6</f>
        <v>18.25</v>
      </c>
      <c r="AX147" s="7" t="n">
        <f aca="false">SUMIFS(Doors!BJ:BJ,Doors!$A:$A,$D147,Doors!$B:$B,$B147,Doors!$C:$C,$C147)*SUMIFS(Velocity!$I:$I,Velocity!$A:$A,$A147,Velocity!$B:$B,$C147)/Assumptions!$B$4*Assumptions!$B$6</f>
        <v>18.25</v>
      </c>
      <c r="AY147" s="7" t="n">
        <f aca="false">SUMIFS(Doors!BK:BK,Doors!$A:$A,$D147,Doors!$B:$B,$B147,Doors!$C:$C,$C147)*SUMIFS(Velocity!$I:$I,Velocity!$A:$A,$A147,Velocity!$B:$B,$C147)/Assumptions!$B$4*Assumptions!$B$6</f>
        <v>18.25</v>
      </c>
      <c r="AZ147" s="7" t="n">
        <f aca="false">SUMIFS(Doors!BL:BL,Doors!$A:$A,$D147,Doors!$B:$B,$B147,Doors!$C:$C,$C147)*SUMIFS(Velocity!$I:$I,Velocity!$A:$A,$A147,Velocity!$B:$B,$C147)/Assumptions!$B$4*Assumptions!$B$6</f>
        <v>18.25</v>
      </c>
      <c r="BA147" s="7" t="n">
        <f aca="false">SUMIFS(Doors!BM:BM,Doors!$A:$A,$D147,Doors!$B:$B,$B147,Doors!$C:$C,$C147)*SUMIFS(Velocity!$I:$I,Velocity!$A:$A,$A147,Velocity!$B:$B,$C147)/Assumptions!$B$4*Assumptions!$B$6</f>
        <v>18.25</v>
      </c>
      <c r="BB147" s="7" t="n">
        <f aca="false">SUMIFS(Doors!BN:BN,Doors!$A:$A,$D147,Doors!$B:$B,$B147,Doors!$C:$C,$C147)*SUMIFS(Velocity!$I:$I,Velocity!$A:$A,$A147,Velocity!$B:$B,$C147)/Assumptions!$B$4*Assumptions!$B$6</f>
        <v>18.25</v>
      </c>
      <c r="BC147" s="7" t="n">
        <f aca="false">SUMIFS(Doors!BO:BO,Doors!$A:$A,$D147,Doors!$B:$B,$B147,Doors!$C:$C,$C147)*SUMIFS(Velocity!$I:$I,Velocity!$A:$A,$A147,Velocity!$B:$B,$C147)/Assumptions!$B$4*Assumptions!$B$6</f>
        <v>18.25</v>
      </c>
      <c r="BD147" s="7" t="n">
        <f aca="false">SUMIFS(Doors!BP:BP,Doors!$A:$A,$D147,Doors!$B:$B,$B147,Doors!$C:$C,$C147)*SUMIFS(Velocity!$I:$I,Velocity!$A:$A,$A147,Velocity!$B:$B,$C147)/Assumptions!$B$4*Assumptions!$B$6</f>
        <v>18.25</v>
      </c>
    </row>
    <row r="148" customFormat="false" ht="15" hidden="false" customHeight="false" outlineLevel="0" collapsed="false">
      <c r="A148" s="0" t="s">
        <v>109</v>
      </c>
      <c r="B148" s="0" t="s">
        <v>131</v>
      </c>
      <c r="C148" s="0" t="s">
        <v>122</v>
      </c>
      <c r="D148" s="0" t="s">
        <v>235</v>
      </c>
      <c r="E148" s="7" t="n">
        <f aca="false">SUMIFS(Doors!Q:Q,Doors!$A:$A,$D148,Doors!$B:$B,$B148,Doors!$C:$C,$C148)*SUMIFS(Velocity!$I:$I,Velocity!$A:$A,$A148,Velocity!$B:$B,$C148)/Assumptions!$B$4*Assumptions!$B$6</f>
        <v>0</v>
      </c>
      <c r="F148" s="7" t="n">
        <f aca="false">SUMIFS(Doors!R:R,Doors!$A:$A,$D148,Doors!$B:$B,$B148,Doors!$C:$C,$C148)*SUMIFS(Velocity!$I:$I,Velocity!$A:$A,$A148,Velocity!$B:$B,$C148)/Assumptions!$B$4*Assumptions!$B$6</f>
        <v>0</v>
      </c>
      <c r="G148" s="7" t="n">
        <f aca="false">SUMIFS(Doors!S:S,Doors!$A:$A,$D148,Doors!$B:$B,$B148,Doors!$C:$C,$C148)*SUMIFS(Velocity!$I:$I,Velocity!$A:$A,$A148,Velocity!$B:$B,$C148)/Assumptions!$B$4*Assumptions!$B$6</f>
        <v>0</v>
      </c>
      <c r="H148" s="7" t="n">
        <f aca="false">SUMIFS(Doors!T:T,Doors!$A:$A,$D148,Doors!$B:$B,$B148,Doors!$C:$C,$C148)*SUMIFS(Velocity!$I:$I,Velocity!$A:$A,$A148,Velocity!$B:$B,$C148)/Assumptions!$B$4*Assumptions!$B$6</f>
        <v>0</v>
      </c>
      <c r="I148" s="7" t="n">
        <f aca="false">SUMIFS(Doors!U:U,Doors!$A:$A,$D148,Doors!$B:$B,$B148,Doors!$C:$C,$C148)*SUMIFS(Velocity!$I:$I,Velocity!$A:$A,$A148,Velocity!$B:$B,$C148)/Assumptions!$B$4*Assumptions!$B$6</f>
        <v>0</v>
      </c>
      <c r="J148" s="7" t="n">
        <f aca="false">SUMIFS(Doors!V:V,Doors!$A:$A,$D148,Doors!$B:$B,$B148,Doors!$C:$C,$C148)*SUMIFS(Velocity!$I:$I,Velocity!$A:$A,$A148,Velocity!$B:$B,$C148)/Assumptions!$B$4*Assumptions!$B$6</f>
        <v>0</v>
      </c>
      <c r="K148" s="7" t="n">
        <f aca="false">SUMIFS(Doors!W:W,Doors!$A:$A,$D148,Doors!$B:$B,$B148,Doors!$C:$C,$C148)*SUMIFS(Velocity!$I:$I,Velocity!$A:$A,$A148,Velocity!$B:$B,$C148)/Assumptions!$B$4*Assumptions!$B$6</f>
        <v>0</v>
      </c>
      <c r="L148" s="7" t="n">
        <f aca="false">SUMIFS(Doors!X:X,Doors!$A:$A,$D148,Doors!$B:$B,$B148,Doors!$C:$C,$C148)*SUMIFS(Velocity!$I:$I,Velocity!$A:$A,$A148,Velocity!$B:$B,$C148)/Assumptions!$B$4*Assumptions!$B$6</f>
        <v>0</v>
      </c>
      <c r="M148" s="7" t="n">
        <f aca="false">SUMIFS(Doors!Y:Y,Doors!$A:$A,$D148,Doors!$B:$B,$B148,Doors!$C:$C,$C148)*SUMIFS(Velocity!$I:$I,Velocity!$A:$A,$A148,Velocity!$B:$B,$C148)/Assumptions!$B$4*Assumptions!$B$6</f>
        <v>0</v>
      </c>
      <c r="N148" s="7" t="n">
        <f aca="false">SUMIFS(Doors!Z:Z,Doors!$A:$A,$D148,Doors!$B:$B,$B148,Doors!$C:$C,$C148)*SUMIFS(Velocity!$I:$I,Velocity!$A:$A,$A148,Velocity!$B:$B,$C148)/Assumptions!$B$4*Assumptions!$B$6</f>
        <v>0</v>
      </c>
      <c r="O148" s="7" t="n">
        <f aca="false">SUMIFS(Doors!AA:AA,Doors!$A:$A,$D148,Doors!$B:$B,$B148,Doors!$C:$C,$C148)*SUMIFS(Velocity!$I:$I,Velocity!$A:$A,$A148,Velocity!$B:$B,$C148)/Assumptions!$B$4*Assumptions!$B$6</f>
        <v>0</v>
      </c>
      <c r="P148" s="7" t="n">
        <f aca="false">SUMIFS(Doors!AB:AB,Doors!$A:$A,$D148,Doors!$B:$B,$B148,Doors!$C:$C,$C148)*SUMIFS(Velocity!$I:$I,Velocity!$A:$A,$A148,Velocity!$B:$B,$C148)/Assumptions!$B$4*Assumptions!$B$6</f>
        <v>0</v>
      </c>
      <c r="Q148" s="7" t="n">
        <f aca="false">SUMIFS(Doors!AC:AC,Doors!$A:$A,$D148,Doors!$B:$B,$B148,Doors!$C:$C,$C148)*SUMIFS(Velocity!$I:$I,Velocity!$A:$A,$A148,Velocity!$B:$B,$C148)/Assumptions!$B$4*Assumptions!$B$6</f>
        <v>0</v>
      </c>
      <c r="R148" s="7" t="n">
        <f aca="false">SUMIFS(Doors!AD:AD,Doors!$A:$A,$D148,Doors!$B:$B,$B148,Doors!$C:$C,$C148)*SUMIFS(Velocity!$I:$I,Velocity!$A:$A,$A148,Velocity!$B:$B,$C148)/Assumptions!$B$4*Assumptions!$B$6</f>
        <v>0</v>
      </c>
      <c r="S148" s="7" t="n">
        <f aca="false">SUMIFS(Doors!AE:AE,Doors!$A:$A,$D148,Doors!$B:$B,$B148,Doors!$C:$C,$C148)*SUMIFS(Velocity!$I:$I,Velocity!$A:$A,$A148,Velocity!$B:$B,$C148)/Assumptions!$B$4*Assumptions!$B$6</f>
        <v>0</v>
      </c>
      <c r="T148" s="7" t="n">
        <f aca="false">SUMIFS(Doors!AF:AF,Doors!$A:$A,$D148,Doors!$B:$B,$B148,Doors!$C:$C,$C148)*SUMIFS(Velocity!$I:$I,Velocity!$A:$A,$A148,Velocity!$B:$B,$C148)/Assumptions!$B$4*Assumptions!$B$6</f>
        <v>0</v>
      </c>
      <c r="U148" s="7" t="n">
        <f aca="false">SUMIFS(Doors!AG:AG,Doors!$A:$A,$D148,Doors!$B:$B,$B148,Doors!$C:$C,$C148)*SUMIFS(Velocity!$I:$I,Velocity!$A:$A,$A148,Velocity!$B:$B,$C148)/Assumptions!$B$4*Assumptions!$B$6</f>
        <v>0</v>
      </c>
      <c r="V148" s="7" t="n">
        <f aca="false">SUMIFS(Doors!AH:AH,Doors!$A:$A,$D148,Doors!$B:$B,$B148,Doors!$C:$C,$C148)*SUMIFS(Velocity!$I:$I,Velocity!$A:$A,$A148,Velocity!$B:$B,$C148)/Assumptions!$B$4*Assumptions!$B$6</f>
        <v>0</v>
      </c>
      <c r="W148" s="7" t="n">
        <f aca="false">SUMIFS(Doors!AI:AI,Doors!$A:$A,$D148,Doors!$B:$B,$B148,Doors!$C:$C,$C148)*SUMIFS(Velocity!$I:$I,Velocity!$A:$A,$A148,Velocity!$B:$B,$C148)/Assumptions!$B$4*Assumptions!$B$6</f>
        <v>0</v>
      </c>
      <c r="X148" s="7" t="n">
        <f aca="false">SUMIFS(Doors!AJ:AJ,Doors!$A:$A,$D148,Doors!$B:$B,$B148,Doors!$C:$C,$C148)*SUMIFS(Velocity!$I:$I,Velocity!$A:$A,$A148,Velocity!$B:$B,$C148)/Assumptions!$B$4*Assumptions!$B$6</f>
        <v>0</v>
      </c>
      <c r="Y148" s="7" t="n">
        <f aca="false">SUMIFS(Doors!AK:AK,Doors!$A:$A,$D148,Doors!$B:$B,$B148,Doors!$C:$C,$C148)*SUMIFS(Velocity!$I:$I,Velocity!$A:$A,$A148,Velocity!$B:$B,$C148)/Assumptions!$B$4*Assumptions!$B$6</f>
        <v>0</v>
      </c>
      <c r="Z148" s="7" t="n">
        <f aca="false">SUMIFS(Doors!AL:AL,Doors!$A:$A,$D148,Doors!$B:$B,$B148,Doors!$C:$C,$C148)*SUMIFS(Velocity!$I:$I,Velocity!$A:$A,$A148,Velocity!$B:$B,$C148)/Assumptions!$B$4*Assumptions!$B$6</f>
        <v>0</v>
      </c>
      <c r="AA148" s="7" t="n">
        <f aca="false">SUMIFS(Doors!AM:AM,Doors!$A:$A,$D148,Doors!$B:$B,$B148,Doors!$C:$C,$C148)*SUMIFS(Velocity!$I:$I,Velocity!$A:$A,$A148,Velocity!$B:$B,$C148)/Assumptions!$B$4*Assumptions!$B$6</f>
        <v>0</v>
      </c>
      <c r="AB148" s="7" t="n">
        <f aca="false">SUMIFS(Doors!AN:AN,Doors!$A:$A,$D148,Doors!$B:$B,$B148,Doors!$C:$C,$C148)*SUMIFS(Velocity!$I:$I,Velocity!$A:$A,$A148,Velocity!$B:$B,$C148)/Assumptions!$B$4*Assumptions!$B$6</f>
        <v>0</v>
      </c>
      <c r="AC148" s="7" t="n">
        <f aca="false">SUMIFS(Doors!AO:AO,Doors!$A:$A,$D148,Doors!$B:$B,$B148,Doors!$C:$C,$C148)*SUMIFS(Velocity!$I:$I,Velocity!$A:$A,$A148,Velocity!$B:$B,$C148)/Assumptions!$B$4*Assumptions!$B$6</f>
        <v>0</v>
      </c>
      <c r="AD148" s="7" t="n">
        <f aca="false">SUMIFS(Doors!AP:AP,Doors!$A:$A,$D148,Doors!$B:$B,$B148,Doors!$C:$C,$C148)*SUMIFS(Velocity!$I:$I,Velocity!$A:$A,$A148,Velocity!$B:$B,$C148)/Assumptions!$B$4*Assumptions!$B$6</f>
        <v>0</v>
      </c>
      <c r="AE148" s="7" t="n">
        <f aca="false">SUMIFS(Doors!AQ:AQ,Doors!$A:$A,$D148,Doors!$B:$B,$B148,Doors!$C:$C,$C148)*SUMIFS(Velocity!$I:$I,Velocity!$A:$A,$A148,Velocity!$B:$B,$C148)/Assumptions!$B$4*Assumptions!$B$6</f>
        <v>0</v>
      </c>
      <c r="AF148" s="7" t="n">
        <f aca="false">SUMIFS(Doors!AR:AR,Doors!$A:$A,$D148,Doors!$B:$B,$B148,Doors!$C:$C,$C148)*SUMIFS(Velocity!$I:$I,Velocity!$A:$A,$A148,Velocity!$B:$B,$C148)/Assumptions!$B$4*Assumptions!$B$6</f>
        <v>0</v>
      </c>
      <c r="AG148" s="7" t="n">
        <f aca="false">SUMIFS(Doors!AS:AS,Doors!$A:$A,$D148,Doors!$B:$B,$B148,Doors!$C:$C,$C148)*SUMIFS(Velocity!$I:$I,Velocity!$A:$A,$A148,Velocity!$B:$B,$C148)/Assumptions!$B$4*Assumptions!$B$6</f>
        <v>0</v>
      </c>
      <c r="AH148" s="7" t="n">
        <f aca="false">SUMIFS(Doors!AT:AT,Doors!$A:$A,$D148,Doors!$B:$B,$B148,Doors!$C:$C,$C148)*SUMIFS(Velocity!$I:$I,Velocity!$A:$A,$A148,Velocity!$B:$B,$C148)/Assumptions!$B$4*Assumptions!$B$6</f>
        <v>0</v>
      </c>
      <c r="AI148" s="7" t="n">
        <f aca="false">SUMIFS(Doors!AU:AU,Doors!$A:$A,$D148,Doors!$B:$B,$B148,Doors!$C:$C,$C148)*SUMIFS(Velocity!$I:$I,Velocity!$A:$A,$A148,Velocity!$B:$B,$C148)/Assumptions!$B$4*Assumptions!$B$6</f>
        <v>0</v>
      </c>
      <c r="AJ148" s="7" t="n">
        <f aca="false">SUMIFS(Doors!AV:AV,Doors!$A:$A,$D148,Doors!$B:$B,$B148,Doors!$C:$C,$C148)*SUMIFS(Velocity!$I:$I,Velocity!$A:$A,$A148,Velocity!$B:$B,$C148)/Assumptions!$B$4*Assumptions!$B$6</f>
        <v>0</v>
      </c>
      <c r="AK148" s="7" t="n">
        <f aca="false">SUMIFS(Doors!AW:AW,Doors!$A:$A,$D148,Doors!$B:$B,$B148,Doors!$C:$C,$C148)*SUMIFS(Velocity!$I:$I,Velocity!$A:$A,$A148,Velocity!$B:$B,$C148)/Assumptions!$B$4*Assumptions!$B$6</f>
        <v>0</v>
      </c>
      <c r="AL148" s="7" t="n">
        <f aca="false">SUMIFS(Doors!AX:AX,Doors!$A:$A,$D148,Doors!$B:$B,$B148,Doors!$C:$C,$C148)*SUMIFS(Velocity!$I:$I,Velocity!$A:$A,$A148,Velocity!$B:$B,$C148)/Assumptions!$B$4*Assumptions!$B$6</f>
        <v>0</v>
      </c>
      <c r="AM148" s="7" t="n">
        <f aca="false">SUMIFS(Doors!AY:AY,Doors!$A:$A,$D148,Doors!$B:$B,$B148,Doors!$C:$C,$C148)*SUMIFS(Velocity!$I:$I,Velocity!$A:$A,$A148,Velocity!$B:$B,$C148)/Assumptions!$B$4*Assumptions!$B$6</f>
        <v>0</v>
      </c>
      <c r="AN148" s="7" t="n">
        <f aca="false">SUMIFS(Doors!AZ:AZ,Doors!$A:$A,$D148,Doors!$B:$B,$B148,Doors!$C:$C,$C148)*SUMIFS(Velocity!$I:$I,Velocity!$A:$A,$A148,Velocity!$B:$B,$C148)/Assumptions!$B$4*Assumptions!$B$6</f>
        <v>0</v>
      </c>
      <c r="AO148" s="7" t="n">
        <f aca="false">SUMIFS(Doors!BA:BA,Doors!$A:$A,$D148,Doors!$B:$B,$B148,Doors!$C:$C,$C148)*SUMIFS(Velocity!$I:$I,Velocity!$A:$A,$A148,Velocity!$B:$B,$C148)/Assumptions!$B$4*Assumptions!$B$6</f>
        <v>0</v>
      </c>
      <c r="AP148" s="7" t="n">
        <f aca="false">SUMIFS(Doors!BB:BB,Doors!$A:$A,$D148,Doors!$B:$B,$B148,Doors!$C:$C,$C148)*SUMIFS(Velocity!$I:$I,Velocity!$A:$A,$A148,Velocity!$B:$B,$C148)/Assumptions!$B$4*Assumptions!$B$6</f>
        <v>0</v>
      </c>
      <c r="AQ148" s="7" t="n">
        <f aca="false">SUMIFS(Doors!BC:BC,Doors!$A:$A,$D148,Doors!$B:$B,$B148,Doors!$C:$C,$C148)*SUMIFS(Velocity!$I:$I,Velocity!$A:$A,$A148,Velocity!$B:$B,$C148)/Assumptions!$B$4*Assumptions!$B$6</f>
        <v>0</v>
      </c>
      <c r="AR148" s="7" t="n">
        <f aca="false">SUMIFS(Doors!BD:BD,Doors!$A:$A,$D148,Doors!$B:$B,$B148,Doors!$C:$C,$C148)*SUMIFS(Velocity!$I:$I,Velocity!$A:$A,$A148,Velocity!$B:$B,$C148)/Assumptions!$B$4*Assumptions!$B$6</f>
        <v>0</v>
      </c>
      <c r="AS148" s="7" t="n">
        <f aca="false">SUMIFS(Doors!BE:BE,Doors!$A:$A,$D148,Doors!$B:$B,$B148,Doors!$C:$C,$C148)*SUMIFS(Velocity!$I:$I,Velocity!$A:$A,$A148,Velocity!$B:$B,$C148)/Assumptions!$B$4*Assumptions!$B$6</f>
        <v>0</v>
      </c>
      <c r="AT148" s="7" t="n">
        <f aca="false">SUMIFS(Doors!BF:BF,Doors!$A:$A,$D148,Doors!$B:$B,$B148,Doors!$C:$C,$C148)*SUMIFS(Velocity!$I:$I,Velocity!$A:$A,$A148,Velocity!$B:$B,$C148)/Assumptions!$B$4*Assumptions!$B$6</f>
        <v>0</v>
      </c>
      <c r="AU148" s="7" t="n">
        <f aca="false">SUMIFS(Doors!BG:BG,Doors!$A:$A,$D148,Doors!$B:$B,$B148,Doors!$C:$C,$C148)*SUMIFS(Velocity!$I:$I,Velocity!$A:$A,$A148,Velocity!$B:$B,$C148)/Assumptions!$B$4*Assumptions!$B$6</f>
        <v>0</v>
      </c>
      <c r="AV148" s="7" t="n">
        <f aca="false">SUMIFS(Doors!BH:BH,Doors!$A:$A,$D148,Doors!$B:$B,$B148,Doors!$C:$C,$C148)*SUMIFS(Velocity!$I:$I,Velocity!$A:$A,$A148,Velocity!$B:$B,$C148)/Assumptions!$B$4*Assumptions!$B$6</f>
        <v>0</v>
      </c>
      <c r="AW148" s="7" t="n">
        <f aca="false">SUMIFS(Doors!BI:BI,Doors!$A:$A,$D148,Doors!$B:$B,$B148,Doors!$C:$C,$C148)*SUMIFS(Velocity!$I:$I,Velocity!$A:$A,$A148,Velocity!$B:$B,$C148)/Assumptions!$B$4*Assumptions!$B$6</f>
        <v>0</v>
      </c>
      <c r="AX148" s="7" t="n">
        <f aca="false">SUMIFS(Doors!BJ:BJ,Doors!$A:$A,$D148,Doors!$B:$B,$B148,Doors!$C:$C,$C148)*SUMIFS(Velocity!$I:$I,Velocity!$A:$A,$A148,Velocity!$B:$B,$C148)/Assumptions!$B$4*Assumptions!$B$6</f>
        <v>0</v>
      </c>
      <c r="AY148" s="7" t="n">
        <f aca="false">SUMIFS(Doors!BK:BK,Doors!$A:$A,$D148,Doors!$B:$B,$B148,Doors!$C:$C,$C148)*SUMIFS(Velocity!$I:$I,Velocity!$A:$A,$A148,Velocity!$B:$B,$C148)/Assumptions!$B$4*Assumptions!$B$6</f>
        <v>0</v>
      </c>
      <c r="AZ148" s="7" t="n">
        <f aca="false">SUMIFS(Doors!BL:BL,Doors!$A:$A,$D148,Doors!$B:$B,$B148,Doors!$C:$C,$C148)*SUMIFS(Velocity!$I:$I,Velocity!$A:$A,$A148,Velocity!$B:$B,$C148)/Assumptions!$B$4*Assumptions!$B$6</f>
        <v>0</v>
      </c>
      <c r="BA148" s="7" t="n">
        <f aca="false">SUMIFS(Doors!BM:BM,Doors!$A:$A,$D148,Doors!$B:$B,$B148,Doors!$C:$C,$C148)*SUMIFS(Velocity!$I:$I,Velocity!$A:$A,$A148,Velocity!$B:$B,$C148)/Assumptions!$B$4*Assumptions!$B$6</f>
        <v>0</v>
      </c>
      <c r="BB148" s="7" t="n">
        <f aca="false">SUMIFS(Doors!BN:BN,Doors!$A:$A,$D148,Doors!$B:$B,$B148,Doors!$C:$C,$C148)*SUMIFS(Velocity!$I:$I,Velocity!$A:$A,$A148,Velocity!$B:$B,$C148)/Assumptions!$B$4*Assumptions!$B$6</f>
        <v>0</v>
      </c>
      <c r="BC148" s="7" t="n">
        <f aca="false">SUMIFS(Doors!BO:BO,Doors!$A:$A,$D148,Doors!$B:$B,$B148,Doors!$C:$C,$C148)*SUMIFS(Velocity!$I:$I,Velocity!$A:$A,$A148,Velocity!$B:$B,$C148)/Assumptions!$B$4*Assumptions!$B$6</f>
        <v>0</v>
      </c>
      <c r="BD148" s="7" t="n">
        <f aca="false">SUMIFS(Doors!BP:BP,Doors!$A:$A,$D148,Doors!$B:$B,$B148,Doors!$C:$C,$C148)*SUMIFS(Velocity!$I:$I,Velocity!$A:$A,$A148,Velocity!$B:$B,$C148)/Assumptions!$B$4*Assumptions!$B$6</f>
        <v>0</v>
      </c>
    </row>
    <row r="149" customFormat="false" ht="15" hidden="false" customHeight="false" outlineLevel="0" collapsed="false">
      <c r="A149" s="0" t="s">
        <v>109</v>
      </c>
      <c r="B149" s="0" t="s">
        <v>131</v>
      </c>
      <c r="C149" s="0" t="s">
        <v>123</v>
      </c>
      <c r="D149" s="0" t="s">
        <v>235</v>
      </c>
      <c r="E149" s="7" t="n">
        <f aca="false">SUMIFS(Doors!Q:Q,Doors!$A:$A,$D149,Doors!$B:$B,$B149,Doors!$C:$C,$C149)*SUMIFS(Velocity!$I:$I,Velocity!$A:$A,$A149,Velocity!$B:$B,$C149)/Assumptions!$B$4*Assumptions!$B$6</f>
        <v>0</v>
      </c>
      <c r="F149" s="7" t="n">
        <f aca="false">SUMIFS(Doors!R:R,Doors!$A:$A,$D149,Doors!$B:$B,$B149,Doors!$C:$C,$C149)*SUMIFS(Velocity!$I:$I,Velocity!$A:$A,$A149,Velocity!$B:$B,$C149)/Assumptions!$B$4*Assumptions!$B$6</f>
        <v>0</v>
      </c>
      <c r="G149" s="7" t="n">
        <f aca="false">SUMIFS(Doors!S:S,Doors!$A:$A,$D149,Doors!$B:$B,$B149,Doors!$C:$C,$C149)*SUMIFS(Velocity!$I:$I,Velocity!$A:$A,$A149,Velocity!$B:$B,$C149)/Assumptions!$B$4*Assumptions!$B$6</f>
        <v>0</v>
      </c>
      <c r="H149" s="7" t="n">
        <f aca="false">SUMIFS(Doors!T:T,Doors!$A:$A,$D149,Doors!$B:$B,$B149,Doors!$C:$C,$C149)*SUMIFS(Velocity!$I:$I,Velocity!$A:$A,$A149,Velocity!$B:$B,$C149)/Assumptions!$B$4*Assumptions!$B$6</f>
        <v>0</v>
      </c>
      <c r="I149" s="7" t="n">
        <f aca="false">SUMIFS(Doors!U:U,Doors!$A:$A,$D149,Doors!$B:$B,$B149,Doors!$C:$C,$C149)*SUMIFS(Velocity!$I:$I,Velocity!$A:$A,$A149,Velocity!$B:$B,$C149)/Assumptions!$B$4*Assumptions!$B$6</f>
        <v>0</v>
      </c>
      <c r="J149" s="7" t="n">
        <f aca="false">SUMIFS(Doors!V:V,Doors!$A:$A,$D149,Doors!$B:$B,$B149,Doors!$C:$C,$C149)*SUMIFS(Velocity!$I:$I,Velocity!$A:$A,$A149,Velocity!$B:$B,$C149)/Assumptions!$B$4*Assumptions!$B$6</f>
        <v>0</v>
      </c>
      <c r="K149" s="7" t="n">
        <f aca="false">SUMIFS(Doors!W:W,Doors!$A:$A,$D149,Doors!$B:$B,$B149,Doors!$C:$C,$C149)*SUMIFS(Velocity!$I:$I,Velocity!$A:$A,$A149,Velocity!$B:$B,$C149)/Assumptions!$B$4*Assumptions!$B$6</f>
        <v>0</v>
      </c>
      <c r="L149" s="7" t="n">
        <f aca="false">SUMIFS(Doors!X:X,Doors!$A:$A,$D149,Doors!$B:$B,$B149,Doors!$C:$C,$C149)*SUMIFS(Velocity!$I:$I,Velocity!$A:$A,$A149,Velocity!$B:$B,$C149)/Assumptions!$B$4*Assumptions!$B$6</f>
        <v>0</v>
      </c>
      <c r="M149" s="7" t="n">
        <f aca="false">SUMIFS(Doors!Y:Y,Doors!$A:$A,$D149,Doors!$B:$B,$B149,Doors!$C:$C,$C149)*SUMIFS(Velocity!$I:$I,Velocity!$A:$A,$A149,Velocity!$B:$B,$C149)/Assumptions!$B$4*Assumptions!$B$6</f>
        <v>0</v>
      </c>
      <c r="N149" s="7" t="n">
        <f aca="false">SUMIFS(Doors!Z:Z,Doors!$A:$A,$D149,Doors!$B:$B,$B149,Doors!$C:$C,$C149)*SUMIFS(Velocity!$I:$I,Velocity!$A:$A,$A149,Velocity!$B:$B,$C149)/Assumptions!$B$4*Assumptions!$B$6</f>
        <v>0</v>
      </c>
      <c r="O149" s="7" t="n">
        <f aca="false">SUMIFS(Doors!AA:AA,Doors!$A:$A,$D149,Doors!$B:$B,$B149,Doors!$C:$C,$C149)*SUMIFS(Velocity!$I:$I,Velocity!$A:$A,$A149,Velocity!$B:$B,$C149)/Assumptions!$B$4*Assumptions!$B$6</f>
        <v>0</v>
      </c>
      <c r="P149" s="7" t="n">
        <f aca="false">SUMIFS(Doors!AB:AB,Doors!$A:$A,$D149,Doors!$B:$B,$B149,Doors!$C:$C,$C149)*SUMIFS(Velocity!$I:$I,Velocity!$A:$A,$A149,Velocity!$B:$B,$C149)/Assumptions!$B$4*Assumptions!$B$6</f>
        <v>0</v>
      </c>
      <c r="Q149" s="7" t="n">
        <f aca="false">SUMIFS(Doors!AC:AC,Doors!$A:$A,$D149,Doors!$B:$B,$B149,Doors!$C:$C,$C149)*SUMIFS(Velocity!$I:$I,Velocity!$A:$A,$A149,Velocity!$B:$B,$C149)/Assumptions!$B$4*Assumptions!$B$6</f>
        <v>0</v>
      </c>
      <c r="R149" s="7" t="n">
        <f aca="false">SUMIFS(Doors!AD:AD,Doors!$A:$A,$D149,Doors!$B:$B,$B149,Doors!$C:$C,$C149)*SUMIFS(Velocity!$I:$I,Velocity!$A:$A,$A149,Velocity!$B:$B,$C149)/Assumptions!$B$4*Assumptions!$B$6</f>
        <v>0</v>
      </c>
      <c r="S149" s="7" t="n">
        <f aca="false">SUMIFS(Doors!AE:AE,Doors!$A:$A,$D149,Doors!$B:$B,$B149,Doors!$C:$C,$C149)*SUMIFS(Velocity!$I:$I,Velocity!$A:$A,$A149,Velocity!$B:$B,$C149)/Assumptions!$B$4*Assumptions!$B$6</f>
        <v>0</v>
      </c>
      <c r="T149" s="7" t="n">
        <f aca="false">SUMIFS(Doors!AF:AF,Doors!$A:$A,$D149,Doors!$B:$B,$B149,Doors!$C:$C,$C149)*SUMIFS(Velocity!$I:$I,Velocity!$A:$A,$A149,Velocity!$B:$B,$C149)/Assumptions!$B$4*Assumptions!$B$6</f>
        <v>0</v>
      </c>
      <c r="U149" s="7" t="n">
        <f aca="false">SUMIFS(Doors!AG:AG,Doors!$A:$A,$D149,Doors!$B:$B,$B149,Doors!$C:$C,$C149)*SUMIFS(Velocity!$I:$I,Velocity!$A:$A,$A149,Velocity!$B:$B,$C149)/Assumptions!$B$4*Assumptions!$B$6</f>
        <v>0</v>
      </c>
      <c r="V149" s="7" t="n">
        <f aca="false">SUMIFS(Doors!AH:AH,Doors!$A:$A,$D149,Doors!$B:$B,$B149,Doors!$C:$C,$C149)*SUMIFS(Velocity!$I:$I,Velocity!$A:$A,$A149,Velocity!$B:$B,$C149)/Assumptions!$B$4*Assumptions!$B$6</f>
        <v>0</v>
      </c>
      <c r="W149" s="7" t="n">
        <f aca="false">SUMIFS(Doors!AI:AI,Doors!$A:$A,$D149,Doors!$B:$B,$B149,Doors!$C:$C,$C149)*SUMIFS(Velocity!$I:$I,Velocity!$A:$A,$A149,Velocity!$B:$B,$C149)/Assumptions!$B$4*Assumptions!$B$6</f>
        <v>0</v>
      </c>
      <c r="X149" s="7" t="n">
        <f aca="false">SUMIFS(Doors!AJ:AJ,Doors!$A:$A,$D149,Doors!$B:$B,$B149,Doors!$C:$C,$C149)*SUMIFS(Velocity!$I:$I,Velocity!$A:$A,$A149,Velocity!$B:$B,$C149)/Assumptions!$B$4*Assumptions!$B$6</f>
        <v>0</v>
      </c>
      <c r="Y149" s="7" t="n">
        <f aca="false">SUMIFS(Doors!AK:AK,Doors!$A:$A,$D149,Doors!$B:$B,$B149,Doors!$C:$C,$C149)*SUMIFS(Velocity!$I:$I,Velocity!$A:$A,$A149,Velocity!$B:$B,$C149)/Assumptions!$B$4*Assumptions!$B$6</f>
        <v>0</v>
      </c>
      <c r="Z149" s="7" t="n">
        <f aca="false">SUMIFS(Doors!AL:AL,Doors!$A:$A,$D149,Doors!$B:$B,$B149,Doors!$C:$C,$C149)*SUMIFS(Velocity!$I:$I,Velocity!$A:$A,$A149,Velocity!$B:$B,$C149)/Assumptions!$B$4*Assumptions!$B$6</f>
        <v>0</v>
      </c>
      <c r="AA149" s="7" t="n">
        <f aca="false">SUMIFS(Doors!AM:AM,Doors!$A:$A,$D149,Doors!$B:$B,$B149,Doors!$C:$C,$C149)*SUMIFS(Velocity!$I:$I,Velocity!$A:$A,$A149,Velocity!$B:$B,$C149)/Assumptions!$B$4*Assumptions!$B$6</f>
        <v>0</v>
      </c>
      <c r="AB149" s="7" t="n">
        <f aca="false">SUMIFS(Doors!AN:AN,Doors!$A:$A,$D149,Doors!$B:$B,$B149,Doors!$C:$C,$C149)*SUMIFS(Velocity!$I:$I,Velocity!$A:$A,$A149,Velocity!$B:$B,$C149)/Assumptions!$B$4*Assumptions!$B$6</f>
        <v>0</v>
      </c>
      <c r="AC149" s="7" t="n">
        <f aca="false">SUMIFS(Doors!AO:AO,Doors!$A:$A,$D149,Doors!$B:$B,$B149,Doors!$C:$C,$C149)*SUMIFS(Velocity!$I:$I,Velocity!$A:$A,$A149,Velocity!$B:$B,$C149)/Assumptions!$B$4*Assumptions!$B$6</f>
        <v>0</v>
      </c>
      <c r="AD149" s="7" t="n">
        <f aca="false">SUMIFS(Doors!AP:AP,Doors!$A:$A,$D149,Doors!$B:$B,$B149,Doors!$C:$C,$C149)*SUMIFS(Velocity!$I:$I,Velocity!$A:$A,$A149,Velocity!$B:$B,$C149)/Assumptions!$B$4*Assumptions!$B$6</f>
        <v>0</v>
      </c>
      <c r="AE149" s="7" t="n">
        <f aca="false">SUMIFS(Doors!AQ:AQ,Doors!$A:$A,$D149,Doors!$B:$B,$B149,Doors!$C:$C,$C149)*SUMIFS(Velocity!$I:$I,Velocity!$A:$A,$A149,Velocity!$B:$B,$C149)/Assumptions!$B$4*Assumptions!$B$6</f>
        <v>0</v>
      </c>
      <c r="AF149" s="7" t="n">
        <f aca="false">SUMIFS(Doors!AR:AR,Doors!$A:$A,$D149,Doors!$B:$B,$B149,Doors!$C:$C,$C149)*SUMIFS(Velocity!$I:$I,Velocity!$A:$A,$A149,Velocity!$B:$B,$C149)/Assumptions!$B$4*Assumptions!$B$6</f>
        <v>0</v>
      </c>
      <c r="AG149" s="7" t="n">
        <f aca="false">SUMIFS(Doors!AS:AS,Doors!$A:$A,$D149,Doors!$B:$B,$B149,Doors!$C:$C,$C149)*SUMIFS(Velocity!$I:$I,Velocity!$A:$A,$A149,Velocity!$B:$B,$C149)/Assumptions!$B$4*Assumptions!$B$6</f>
        <v>0</v>
      </c>
      <c r="AH149" s="7" t="n">
        <f aca="false">SUMIFS(Doors!AT:AT,Doors!$A:$A,$D149,Doors!$B:$B,$B149,Doors!$C:$C,$C149)*SUMIFS(Velocity!$I:$I,Velocity!$A:$A,$A149,Velocity!$B:$B,$C149)/Assumptions!$B$4*Assumptions!$B$6</f>
        <v>0</v>
      </c>
      <c r="AI149" s="7" t="n">
        <f aca="false">SUMIFS(Doors!AU:AU,Doors!$A:$A,$D149,Doors!$B:$B,$B149,Doors!$C:$C,$C149)*SUMIFS(Velocity!$I:$I,Velocity!$A:$A,$A149,Velocity!$B:$B,$C149)/Assumptions!$B$4*Assumptions!$B$6</f>
        <v>0</v>
      </c>
      <c r="AJ149" s="7" t="n">
        <f aca="false">SUMIFS(Doors!AV:AV,Doors!$A:$A,$D149,Doors!$B:$B,$B149,Doors!$C:$C,$C149)*SUMIFS(Velocity!$I:$I,Velocity!$A:$A,$A149,Velocity!$B:$B,$C149)/Assumptions!$B$4*Assumptions!$B$6</f>
        <v>0</v>
      </c>
      <c r="AK149" s="7" t="n">
        <f aca="false">SUMIFS(Doors!AW:AW,Doors!$A:$A,$D149,Doors!$B:$B,$B149,Doors!$C:$C,$C149)*SUMIFS(Velocity!$I:$I,Velocity!$A:$A,$A149,Velocity!$B:$B,$C149)/Assumptions!$B$4*Assumptions!$B$6</f>
        <v>0</v>
      </c>
      <c r="AL149" s="7" t="n">
        <f aca="false">SUMIFS(Doors!AX:AX,Doors!$A:$A,$D149,Doors!$B:$B,$B149,Doors!$C:$C,$C149)*SUMIFS(Velocity!$I:$I,Velocity!$A:$A,$A149,Velocity!$B:$B,$C149)/Assumptions!$B$4*Assumptions!$B$6</f>
        <v>0</v>
      </c>
      <c r="AM149" s="7" t="n">
        <f aca="false">SUMIFS(Doors!AY:AY,Doors!$A:$A,$D149,Doors!$B:$B,$B149,Doors!$C:$C,$C149)*SUMIFS(Velocity!$I:$I,Velocity!$A:$A,$A149,Velocity!$B:$B,$C149)/Assumptions!$B$4*Assumptions!$B$6</f>
        <v>0</v>
      </c>
      <c r="AN149" s="7" t="n">
        <f aca="false">SUMIFS(Doors!AZ:AZ,Doors!$A:$A,$D149,Doors!$B:$B,$B149,Doors!$C:$C,$C149)*SUMIFS(Velocity!$I:$I,Velocity!$A:$A,$A149,Velocity!$B:$B,$C149)/Assumptions!$B$4*Assumptions!$B$6</f>
        <v>0</v>
      </c>
      <c r="AO149" s="7" t="n">
        <f aca="false">SUMIFS(Doors!BA:BA,Doors!$A:$A,$D149,Doors!$B:$B,$B149,Doors!$C:$C,$C149)*SUMIFS(Velocity!$I:$I,Velocity!$A:$A,$A149,Velocity!$B:$B,$C149)/Assumptions!$B$4*Assumptions!$B$6</f>
        <v>0</v>
      </c>
      <c r="AP149" s="7" t="n">
        <f aca="false">SUMIFS(Doors!BB:BB,Doors!$A:$A,$D149,Doors!$B:$B,$B149,Doors!$C:$C,$C149)*SUMIFS(Velocity!$I:$I,Velocity!$A:$A,$A149,Velocity!$B:$B,$C149)/Assumptions!$B$4*Assumptions!$B$6</f>
        <v>0</v>
      </c>
      <c r="AQ149" s="7" t="n">
        <f aca="false">SUMIFS(Doors!BC:BC,Doors!$A:$A,$D149,Doors!$B:$B,$B149,Doors!$C:$C,$C149)*SUMIFS(Velocity!$I:$I,Velocity!$A:$A,$A149,Velocity!$B:$B,$C149)/Assumptions!$B$4*Assumptions!$B$6</f>
        <v>0</v>
      </c>
      <c r="AR149" s="7" t="n">
        <f aca="false">SUMIFS(Doors!BD:BD,Doors!$A:$A,$D149,Doors!$B:$B,$B149,Doors!$C:$C,$C149)*SUMIFS(Velocity!$I:$I,Velocity!$A:$A,$A149,Velocity!$B:$B,$C149)/Assumptions!$B$4*Assumptions!$B$6</f>
        <v>0</v>
      </c>
      <c r="AS149" s="7" t="n">
        <f aca="false">SUMIFS(Doors!BE:BE,Doors!$A:$A,$D149,Doors!$B:$B,$B149,Doors!$C:$C,$C149)*SUMIFS(Velocity!$I:$I,Velocity!$A:$A,$A149,Velocity!$B:$B,$C149)/Assumptions!$B$4*Assumptions!$B$6</f>
        <v>0</v>
      </c>
      <c r="AT149" s="7" t="n">
        <f aca="false">SUMIFS(Doors!BF:BF,Doors!$A:$A,$D149,Doors!$B:$B,$B149,Doors!$C:$C,$C149)*SUMIFS(Velocity!$I:$I,Velocity!$A:$A,$A149,Velocity!$B:$B,$C149)/Assumptions!$B$4*Assumptions!$B$6</f>
        <v>0</v>
      </c>
      <c r="AU149" s="7" t="n">
        <f aca="false">SUMIFS(Doors!BG:BG,Doors!$A:$A,$D149,Doors!$B:$B,$B149,Doors!$C:$C,$C149)*SUMIFS(Velocity!$I:$I,Velocity!$A:$A,$A149,Velocity!$B:$B,$C149)/Assumptions!$B$4*Assumptions!$B$6</f>
        <v>0</v>
      </c>
      <c r="AV149" s="7" t="n">
        <f aca="false">SUMIFS(Doors!BH:BH,Doors!$A:$A,$D149,Doors!$B:$B,$B149,Doors!$C:$C,$C149)*SUMIFS(Velocity!$I:$I,Velocity!$A:$A,$A149,Velocity!$B:$B,$C149)/Assumptions!$B$4*Assumptions!$B$6</f>
        <v>0</v>
      </c>
      <c r="AW149" s="7" t="n">
        <f aca="false">SUMIFS(Doors!BI:BI,Doors!$A:$A,$D149,Doors!$B:$B,$B149,Doors!$C:$C,$C149)*SUMIFS(Velocity!$I:$I,Velocity!$A:$A,$A149,Velocity!$B:$B,$C149)/Assumptions!$B$4*Assumptions!$B$6</f>
        <v>0</v>
      </c>
      <c r="AX149" s="7" t="n">
        <f aca="false">SUMIFS(Doors!BJ:BJ,Doors!$A:$A,$D149,Doors!$B:$B,$B149,Doors!$C:$C,$C149)*SUMIFS(Velocity!$I:$I,Velocity!$A:$A,$A149,Velocity!$B:$B,$C149)/Assumptions!$B$4*Assumptions!$B$6</f>
        <v>0</v>
      </c>
      <c r="AY149" s="7" t="n">
        <f aca="false">SUMIFS(Doors!BK:BK,Doors!$A:$A,$D149,Doors!$B:$B,$B149,Doors!$C:$C,$C149)*SUMIFS(Velocity!$I:$I,Velocity!$A:$A,$A149,Velocity!$B:$B,$C149)/Assumptions!$B$4*Assumptions!$B$6</f>
        <v>0</v>
      </c>
      <c r="AZ149" s="7" t="n">
        <f aca="false">SUMIFS(Doors!BL:BL,Doors!$A:$A,$D149,Doors!$B:$B,$B149,Doors!$C:$C,$C149)*SUMIFS(Velocity!$I:$I,Velocity!$A:$A,$A149,Velocity!$B:$B,$C149)/Assumptions!$B$4*Assumptions!$B$6</f>
        <v>0</v>
      </c>
      <c r="BA149" s="7" t="n">
        <f aca="false">SUMIFS(Doors!BM:BM,Doors!$A:$A,$D149,Doors!$B:$B,$B149,Doors!$C:$C,$C149)*SUMIFS(Velocity!$I:$I,Velocity!$A:$A,$A149,Velocity!$B:$B,$C149)/Assumptions!$B$4*Assumptions!$B$6</f>
        <v>0</v>
      </c>
      <c r="BB149" s="7" t="n">
        <f aca="false">SUMIFS(Doors!BN:BN,Doors!$A:$A,$D149,Doors!$B:$B,$B149,Doors!$C:$C,$C149)*SUMIFS(Velocity!$I:$I,Velocity!$A:$A,$A149,Velocity!$B:$B,$C149)/Assumptions!$B$4*Assumptions!$B$6</f>
        <v>0</v>
      </c>
      <c r="BC149" s="7" t="n">
        <f aca="false">SUMIFS(Doors!BO:BO,Doors!$A:$A,$D149,Doors!$B:$B,$B149,Doors!$C:$C,$C149)*SUMIFS(Velocity!$I:$I,Velocity!$A:$A,$A149,Velocity!$B:$B,$C149)/Assumptions!$B$4*Assumptions!$B$6</f>
        <v>0</v>
      </c>
      <c r="BD149" s="7" t="n">
        <f aca="false">SUMIFS(Doors!BP:BP,Doors!$A:$A,$D149,Doors!$B:$B,$B149,Doors!$C:$C,$C149)*SUMIFS(Velocity!$I:$I,Velocity!$A:$A,$A149,Velocity!$B:$B,$C149)/Assumptions!$B$4*Assumptions!$B$6</f>
        <v>0</v>
      </c>
    </row>
    <row r="150" customFormat="false" ht="15" hidden="false" customHeight="false" outlineLevel="0" collapsed="false">
      <c r="A150" s="0" t="s">
        <v>109</v>
      </c>
      <c r="B150" s="0" t="s">
        <v>132</v>
      </c>
      <c r="C150" s="0" t="s">
        <v>115</v>
      </c>
      <c r="D150" s="0" t="s">
        <v>235</v>
      </c>
      <c r="E150" s="7" t="n">
        <f aca="false">SUMIFS(Doors!Q:Q,Doors!$A:$A,$D150,Doors!$B:$B,$B150,Doors!$C:$C,$C150)*SUMIFS(Velocity!$I:$I,Velocity!$A:$A,$A150,Velocity!$B:$B,$C150)/Assumptions!$B$4*Assumptions!$B$6</f>
        <v>0</v>
      </c>
      <c r="F150" s="7" t="n">
        <f aca="false">SUMIFS(Doors!R:R,Doors!$A:$A,$D150,Doors!$B:$B,$B150,Doors!$C:$C,$C150)*SUMIFS(Velocity!$I:$I,Velocity!$A:$A,$A150,Velocity!$B:$B,$C150)/Assumptions!$B$4*Assumptions!$B$6</f>
        <v>0</v>
      </c>
      <c r="G150" s="7" t="n">
        <f aca="false">SUMIFS(Doors!S:S,Doors!$A:$A,$D150,Doors!$B:$B,$B150,Doors!$C:$C,$C150)*SUMIFS(Velocity!$I:$I,Velocity!$A:$A,$A150,Velocity!$B:$B,$C150)/Assumptions!$B$4*Assumptions!$B$6</f>
        <v>0</v>
      </c>
      <c r="H150" s="7" t="n">
        <f aca="false">SUMIFS(Doors!T:T,Doors!$A:$A,$D150,Doors!$B:$B,$B150,Doors!$C:$C,$C150)*SUMIFS(Velocity!$I:$I,Velocity!$A:$A,$A150,Velocity!$B:$B,$C150)/Assumptions!$B$4*Assumptions!$B$6</f>
        <v>0</v>
      </c>
      <c r="I150" s="7" t="n">
        <f aca="false">SUMIFS(Doors!U:U,Doors!$A:$A,$D150,Doors!$B:$B,$B150,Doors!$C:$C,$C150)*SUMIFS(Velocity!$I:$I,Velocity!$A:$A,$A150,Velocity!$B:$B,$C150)/Assumptions!$B$4*Assumptions!$B$6</f>
        <v>0</v>
      </c>
      <c r="J150" s="7" t="n">
        <f aca="false">SUMIFS(Doors!V:V,Doors!$A:$A,$D150,Doors!$B:$B,$B150,Doors!$C:$C,$C150)*SUMIFS(Velocity!$I:$I,Velocity!$A:$A,$A150,Velocity!$B:$B,$C150)/Assumptions!$B$4*Assumptions!$B$6</f>
        <v>0</v>
      </c>
      <c r="K150" s="7" t="n">
        <f aca="false">SUMIFS(Doors!W:W,Doors!$A:$A,$D150,Doors!$B:$B,$B150,Doors!$C:$C,$C150)*SUMIFS(Velocity!$I:$I,Velocity!$A:$A,$A150,Velocity!$B:$B,$C150)/Assumptions!$B$4*Assumptions!$B$6</f>
        <v>0</v>
      </c>
      <c r="L150" s="7" t="n">
        <f aca="false">SUMIFS(Doors!X:X,Doors!$A:$A,$D150,Doors!$B:$B,$B150,Doors!$C:$C,$C150)*SUMIFS(Velocity!$I:$I,Velocity!$A:$A,$A150,Velocity!$B:$B,$C150)/Assumptions!$B$4*Assumptions!$B$6</f>
        <v>0</v>
      </c>
      <c r="M150" s="7" t="n">
        <f aca="false">SUMIFS(Doors!Y:Y,Doors!$A:$A,$D150,Doors!$B:$B,$B150,Doors!$C:$C,$C150)*SUMIFS(Velocity!$I:$I,Velocity!$A:$A,$A150,Velocity!$B:$B,$C150)/Assumptions!$B$4*Assumptions!$B$6</f>
        <v>0</v>
      </c>
      <c r="N150" s="7" t="n">
        <f aca="false">SUMIFS(Doors!Z:Z,Doors!$A:$A,$D150,Doors!$B:$B,$B150,Doors!$C:$C,$C150)*SUMIFS(Velocity!$I:$I,Velocity!$A:$A,$A150,Velocity!$B:$B,$C150)/Assumptions!$B$4*Assumptions!$B$6</f>
        <v>0.279166666666667</v>
      </c>
      <c r="O150" s="7" t="n">
        <f aca="false">SUMIFS(Doors!AA:AA,Doors!$A:$A,$D150,Doors!$B:$B,$B150,Doors!$C:$C,$C150)*SUMIFS(Velocity!$I:$I,Velocity!$A:$A,$A150,Velocity!$B:$B,$C150)/Assumptions!$B$4*Assumptions!$B$6</f>
        <v>0.279166666666667</v>
      </c>
      <c r="P150" s="7" t="n">
        <f aca="false">SUMIFS(Doors!AB:AB,Doors!$A:$A,$D150,Doors!$B:$B,$B150,Doors!$C:$C,$C150)*SUMIFS(Velocity!$I:$I,Velocity!$A:$A,$A150,Velocity!$B:$B,$C150)/Assumptions!$B$4*Assumptions!$B$6</f>
        <v>0.279166666666667</v>
      </c>
      <c r="Q150" s="7" t="n">
        <f aca="false">SUMIFS(Doors!AC:AC,Doors!$A:$A,$D150,Doors!$B:$B,$B150,Doors!$C:$C,$C150)*SUMIFS(Velocity!$I:$I,Velocity!$A:$A,$A150,Velocity!$B:$B,$C150)/Assumptions!$B$4*Assumptions!$B$6</f>
        <v>0.279166666666667</v>
      </c>
      <c r="R150" s="7" t="n">
        <f aca="false">SUMIFS(Doors!AD:AD,Doors!$A:$A,$D150,Doors!$B:$B,$B150,Doors!$C:$C,$C150)*SUMIFS(Velocity!$I:$I,Velocity!$A:$A,$A150,Velocity!$B:$B,$C150)/Assumptions!$B$4*Assumptions!$B$6</f>
        <v>0.8375</v>
      </c>
      <c r="S150" s="7" t="n">
        <f aca="false">SUMIFS(Doors!AE:AE,Doors!$A:$A,$D150,Doors!$B:$B,$B150,Doors!$C:$C,$C150)*SUMIFS(Velocity!$I:$I,Velocity!$A:$A,$A150,Velocity!$B:$B,$C150)/Assumptions!$B$4*Assumptions!$B$6</f>
        <v>0.8375</v>
      </c>
      <c r="T150" s="7" t="n">
        <f aca="false">SUMIFS(Doors!AF:AF,Doors!$A:$A,$D150,Doors!$B:$B,$B150,Doors!$C:$C,$C150)*SUMIFS(Velocity!$I:$I,Velocity!$A:$A,$A150,Velocity!$B:$B,$C150)/Assumptions!$B$4*Assumptions!$B$6</f>
        <v>0.8375</v>
      </c>
      <c r="U150" s="7" t="n">
        <f aca="false">SUMIFS(Doors!AG:AG,Doors!$A:$A,$D150,Doors!$B:$B,$B150,Doors!$C:$C,$C150)*SUMIFS(Velocity!$I:$I,Velocity!$A:$A,$A150,Velocity!$B:$B,$C150)/Assumptions!$B$4*Assumptions!$B$6</f>
        <v>0.8375</v>
      </c>
      <c r="V150" s="7" t="n">
        <f aca="false">SUMIFS(Doors!AH:AH,Doors!$A:$A,$D150,Doors!$B:$B,$B150,Doors!$C:$C,$C150)*SUMIFS(Velocity!$I:$I,Velocity!$A:$A,$A150,Velocity!$B:$B,$C150)/Assumptions!$B$4*Assumptions!$B$6</f>
        <v>0.8375</v>
      </c>
      <c r="W150" s="7" t="n">
        <f aca="false">SUMIFS(Doors!AI:AI,Doors!$A:$A,$D150,Doors!$B:$B,$B150,Doors!$C:$C,$C150)*SUMIFS(Velocity!$I:$I,Velocity!$A:$A,$A150,Velocity!$B:$B,$C150)/Assumptions!$B$4*Assumptions!$B$6</f>
        <v>1.39583333333333</v>
      </c>
      <c r="X150" s="7" t="n">
        <f aca="false">SUMIFS(Doors!AJ:AJ,Doors!$A:$A,$D150,Doors!$B:$B,$B150,Doors!$C:$C,$C150)*SUMIFS(Velocity!$I:$I,Velocity!$A:$A,$A150,Velocity!$B:$B,$C150)/Assumptions!$B$4*Assumptions!$B$6</f>
        <v>1.39583333333333</v>
      </c>
      <c r="Y150" s="7" t="n">
        <f aca="false">SUMIFS(Doors!AK:AK,Doors!$A:$A,$D150,Doors!$B:$B,$B150,Doors!$C:$C,$C150)*SUMIFS(Velocity!$I:$I,Velocity!$A:$A,$A150,Velocity!$B:$B,$C150)/Assumptions!$B$4*Assumptions!$B$6</f>
        <v>1.39583333333333</v>
      </c>
      <c r="Z150" s="7" t="n">
        <f aca="false">SUMIFS(Doors!AL:AL,Doors!$A:$A,$D150,Doors!$B:$B,$B150,Doors!$C:$C,$C150)*SUMIFS(Velocity!$I:$I,Velocity!$A:$A,$A150,Velocity!$B:$B,$C150)/Assumptions!$B$4*Assumptions!$B$6</f>
        <v>1.39583333333333</v>
      </c>
      <c r="AA150" s="7" t="n">
        <f aca="false">SUMIFS(Doors!AM:AM,Doors!$A:$A,$D150,Doors!$B:$B,$B150,Doors!$C:$C,$C150)*SUMIFS(Velocity!$I:$I,Velocity!$A:$A,$A150,Velocity!$B:$B,$C150)/Assumptions!$B$4*Assumptions!$B$6</f>
        <v>1.95416666666667</v>
      </c>
      <c r="AB150" s="7" t="n">
        <f aca="false">SUMIFS(Doors!AN:AN,Doors!$A:$A,$D150,Doors!$B:$B,$B150,Doors!$C:$C,$C150)*SUMIFS(Velocity!$I:$I,Velocity!$A:$A,$A150,Velocity!$B:$B,$C150)/Assumptions!$B$4*Assumptions!$B$6</f>
        <v>1.95416666666667</v>
      </c>
      <c r="AC150" s="7" t="n">
        <f aca="false">SUMIFS(Doors!AO:AO,Doors!$A:$A,$D150,Doors!$B:$B,$B150,Doors!$C:$C,$C150)*SUMIFS(Velocity!$I:$I,Velocity!$A:$A,$A150,Velocity!$B:$B,$C150)/Assumptions!$B$4*Assumptions!$B$6</f>
        <v>1.95416666666667</v>
      </c>
      <c r="AD150" s="7" t="n">
        <f aca="false">SUMIFS(Doors!AP:AP,Doors!$A:$A,$D150,Doors!$B:$B,$B150,Doors!$C:$C,$C150)*SUMIFS(Velocity!$I:$I,Velocity!$A:$A,$A150,Velocity!$B:$B,$C150)/Assumptions!$B$4*Assumptions!$B$6</f>
        <v>1.95416666666667</v>
      </c>
      <c r="AE150" s="7" t="n">
        <f aca="false">SUMIFS(Doors!AQ:AQ,Doors!$A:$A,$D150,Doors!$B:$B,$B150,Doors!$C:$C,$C150)*SUMIFS(Velocity!$I:$I,Velocity!$A:$A,$A150,Velocity!$B:$B,$C150)/Assumptions!$B$4*Assumptions!$B$6</f>
        <v>2.5125</v>
      </c>
      <c r="AF150" s="7" t="n">
        <f aca="false">SUMIFS(Doors!AR:AR,Doors!$A:$A,$D150,Doors!$B:$B,$B150,Doors!$C:$C,$C150)*SUMIFS(Velocity!$I:$I,Velocity!$A:$A,$A150,Velocity!$B:$B,$C150)/Assumptions!$B$4*Assumptions!$B$6</f>
        <v>2.5125</v>
      </c>
      <c r="AG150" s="7" t="n">
        <f aca="false">SUMIFS(Doors!AS:AS,Doors!$A:$A,$D150,Doors!$B:$B,$B150,Doors!$C:$C,$C150)*SUMIFS(Velocity!$I:$I,Velocity!$A:$A,$A150,Velocity!$B:$B,$C150)/Assumptions!$B$4*Assumptions!$B$6</f>
        <v>2.5125</v>
      </c>
      <c r="AH150" s="7" t="n">
        <f aca="false">SUMIFS(Doors!AT:AT,Doors!$A:$A,$D150,Doors!$B:$B,$B150,Doors!$C:$C,$C150)*SUMIFS(Velocity!$I:$I,Velocity!$A:$A,$A150,Velocity!$B:$B,$C150)/Assumptions!$B$4*Assumptions!$B$6</f>
        <v>2.5125</v>
      </c>
      <c r="AI150" s="7" t="n">
        <f aca="false">SUMIFS(Doors!AU:AU,Doors!$A:$A,$D150,Doors!$B:$B,$B150,Doors!$C:$C,$C150)*SUMIFS(Velocity!$I:$I,Velocity!$A:$A,$A150,Velocity!$B:$B,$C150)/Assumptions!$B$4*Assumptions!$B$6</f>
        <v>2.5125</v>
      </c>
      <c r="AJ150" s="7" t="n">
        <f aca="false">SUMIFS(Doors!AV:AV,Doors!$A:$A,$D150,Doors!$B:$B,$B150,Doors!$C:$C,$C150)*SUMIFS(Velocity!$I:$I,Velocity!$A:$A,$A150,Velocity!$B:$B,$C150)/Assumptions!$B$4*Assumptions!$B$6</f>
        <v>3.07083333333333</v>
      </c>
      <c r="AK150" s="7" t="n">
        <f aca="false">SUMIFS(Doors!AW:AW,Doors!$A:$A,$D150,Doors!$B:$B,$B150,Doors!$C:$C,$C150)*SUMIFS(Velocity!$I:$I,Velocity!$A:$A,$A150,Velocity!$B:$B,$C150)/Assumptions!$B$4*Assumptions!$B$6</f>
        <v>3.07083333333333</v>
      </c>
      <c r="AL150" s="7" t="n">
        <f aca="false">SUMIFS(Doors!AX:AX,Doors!$A:$A,$D150,Doors!$B:$B,$B150,Doors!$C:$C,$C150)*SUMIFS(Velocity!$I:$I,Velocity!$A:$A,$A150,Velocity!$B:$B,$C150)/Assumptions!$B$4*Assumptions!$B$6</f>
        <v>3.07083333333333</v>
      </c>
      <c r="AM150" s="7" t="n">
        <f aca="false">SUMIFS(Doors!AY:AY,Doors!$A:$A,$D150,Doors!$B:$B,$B150,Doors!$C:$C,$C150)*SUMIFS(Velocity!$I:$I,Velocity!$A:$A,$A150,Velocity!$B:$B,$C150)/Assumptions!$B$4*Assumptions!$B$6</f>
        <v>3.07083333333333</v>
      </c>
      <c r="AN150" s="7" t="n">
        <f aca="false">SUMIFS(Doors!AZ:AZ,Doors!$A:$A,$D150,Doors!$B:$B,$B150,Doors!$C:$C,$C150)*SUMIFS(Velocity!$I:$I,Velocity!$A:$A,$A150,Velocity!$B:$B,$C150)/Assumptions!$B$4*Assumptions!$B$6</f>
        <v>3.62916666666667</v>
      </c>
      <c r="AO150" s="7" t="n">
        <f aca="false">SUMIFS(Doors!BA:BA,Doors!$A:$A,$D150,Doors!$B:$B,$B150,Doors!$C:$C,$C150)*SUMIFS(Velocity!$I:$I,Velocity!$A:$A,$A150,Velocity!$B:$B,$C150)/Assumptions!$B$4*Assumptions!$B$6</f>
        <v>3.62916666666667</v>
      </c>
      <c r="AP150" s="7" t="n">
        <f aca="false">SUMIFS(Doors!BB:BB,Doors!$A:$A,$D150,Doors!$B:$B,$B150,Doors!$C:$C,$C150)*SUMIFS(Velocity!$I:$I,Velocity!$A:$A,$A150,Velocity!$B:$B,$C150)/Assumptions!$B$4*Assumptions!$B$6</f>
        <v>3.62916666666667</v>
      </c>
      <c r="AQ150" s="7" t="n">
        <f aca="false">SUMIFS(Doors!BC:BC,Doors!$A:$A,$D150,Doors!$B:$B,$B150,Doors!$C:$C,$C150)*SUMIFS(Velocity!$I:$I,Velocity!$A:$A,$A150,Velocity!$B:$B,$C150)/Assumptions!$B$4*Assumptions!$B$6</f>
        <v>3.62916666666667</v>
      </c>
      <c r="AR150" s="7" t="n">
        <f aca="false">SUMIFS(Doors!BD:BD,Doors!$A:$A,$D150,Doors!$B:$B,$B150,Doors!$C:$C,$C150)*SUMIFS(Velocity!$I:$I,Velocity!$A:$A,$A150,Velocity!$B:$B,$C150)/Assumptions!$B$4*Assumptions!$B$6</f>
        <v>3.90833333333333</v>
      </c>
      <c r="AS150" s="7" t="n">
        <f aca="false">SUMIFS(Doors!BE:BE,Doors!$A:$A,$D150,Doors!$B:$B,$B150,Doors!$C:$C,$C150)*SUMIFS(Velocity!$I:$I,Velocity!$A:$A,$A150,Velocity!$B:$B,$C150)/Assumptions!$B$4*Assumptions!$B$6</f>
        <v>3.90833333333333</v>
      </c>
      <c r="AT150" s="7" t="n">
        <f aca="false">SUMIFS(Doors!BF:BF,Doors!$A:$A,$D150,Doors!$B:$B,$B150,Doors!$C:$C,$C150)*SUMIFS(Velocity!$I:$I,Velocity!$A:$A,$A150,Velocity!$B:$B,$C150)/Assumptions!$B$4*Assumptions!$B$6</f>
        <v>3.90833333333333</v>
      </c>
      <c r="AU150" s="7" t="n">
        <f aca="false">SUMIFS(Doors!BG:BG,Doors!$A:$A,$D150,Doors!$B:$B,$B150,Doors!$C:$C,$C150)*SUMIFS(Velocity!$I:$I,Velocity!$A:$A,$A150,Velocity!$B:$B,$C150)/Assumptions!$B$4*Assumptions!$B$6</f>
        <v>3.90833333333333</v>
      </c>
      <c r="AV150" s="7" t="n">
        <f aca="false">SUMIFS(Doors!BH:BH,Doors!$A:$A,$D150,Doors!$B:$B,$B150,Doors!$C:$C,$C150)*SUMIFS(Velocity!$I:$I,Velocity!$A:$A,$A150,Velocity!$B:$B,$C150)/Assumptions!$B$4*Assumptions!$B$6</f>
        <v>3.90833333333333</v>
      </c>
      <c r="AW150" s="7" t="n">
        <f aca="false">SUMIFS(Doors!BI:BI,Doors!$A:$A,$D150,Doors!$B:$B,$B150,Doors!$C:$C,$C150)*SUMIFS(Velocity!$I:$I,Velocity!$A:$A,$A150,Velocity!$B:$B,$C150)/Assumptions!$B$4*Assumptions!$B$6</f>
        <v>4.1875</v>
      </c>
      <c r="AX150" s="7" t="n">
        <f aca="false">SUMIFS(Doors!BJ:BJ,Doors!$A:$A,$D150,Doors!$B:$B,$B150,Doors!$C:$C,$C150)*SUMIFS(Velocity!$I:$I,Velocity!$A:$A,$A150,Velocity!$B:$B,$C150)/Assumptions!$B$4*Assumptions!$B$6</f>
        <v>4.1875</v>
      </c>
      <c r="AY150" s="7" t="n">
        <f aca="false">SUMIFS(Doors!BK:BK,Doors!$A:$A,$D150,Doors!$B:$B,$B150,Doors!$C:$C,$C150)*SUMIFS(Velocity!$I:$I,Velocity!$A:$A,$A150,Velocity!$B:$B,$C150)/Assumptions!$B$4*Assumptions!$B$6</f>
        <v>4.1875</v>
      </c>
      <c r="AZ150" s="7" t="n">
        <f aca="false">SUMIFS(Doors!BL:BL,Doors!$A:$A,$D150,Doors!$B:$B,$B150,Doors!$C:$C,$C150)*SUMIFS(Velocity!$I:$I,Velocity!$A:$A,$A150,Velocity!$B:$B,$C150)/Assumptions!$B$4*Assumptions!$B$6</f>
        <v>4.1875</v>
      </c>
      <c r="BA150" s="7" t="n">
        <f aca="false">SUMIFS(Doors!BM:BM,Doors!$A:$A,$D150,Doors!$B:$B,$B150,Doors!$C:$C,$C150)*SUMIFS(Velocity!$I:$I,Velocity!$A:$A,$A150,Velocity!$B:$B,$C150)/Assumptions!$B$4*Assumptions!$B$6</f>
        <v>4.46666666666667</v>
      </c>
      <c r="BB150" s="7" t="n">
        <f aca="false">SUMIFS(Doors!BN:BN,Doors!$A:$A,$D150,Doors!$B:$B,$B150,Doors!$C:$C,$C150)*SUMIFS(Velocity!$I:$I,Velocity!$A:$A,$A150,Velocity!$B:$B,$C150)/Assumptions!$B$4*Assumptions!$B$6</f>
        <v>4.46666666666667</v>
      </c>
      <c r="BC150" s="7" t="n">
        <f aca="false">SUMIFS(Doors!BO:BO,Doors!$A:$A,$D150,Doors!$B:$B,$B150,Doors!$C:$C,$C150)*SUMIFS(Velocity!$I:$I,Velocity!$A:$A,$A150,Velocity!$B:$B,$C150)/Assumptions!$B$4*Assumptions!$B$6</f>
        <v>4.46666666666667</v>
      </c>
      <c r="BD150" s="7" t="n">
        <f aca="false">SUMIFS(Doors!BP:BP,Doors!$A:$A,$D150,Doors!$B:$B,$B150,Doors!$C:$C,$C150)*SUMIFS(Velocity!$I:$I,Velocity!$A:$A,$A150,Velocity!$B:$B,$C150)/Assumptions!$B$4*Assumptions!$B$6</f>
        <v>4.46666666666667</v>
      </c>
    </row>
    <row r="151" customFormat="false" ht="15" hidden="false" customHeight="false" outlineLevel="0" collapsed="false">
      <c r="A151" s="0" t="s">
        <v>109</v>
      </c>
      <c r="B151" s="0" t="s">
        <v>132</v>
      </c>
      <c r="C151" s="0" t="s">
        <v>116</v>
      </c>
      <c r="D151" s="0" t="s">
        <v>235</v>
      </c>
      <c r="E151" s="7" t="n">
        <f aca="false">SUMIFS(Doors!Q:Q,Doors!$A:$A,$D151,Doors!$B:$B,$B151,Doors!$C:$C,$C151)*SUMIFS(Velocity!$I:$I,Velocity!$A:$A,$A151,Velocity!$B:$B,$C151)/Assumptions!$B$4*Assumptions!$B$6</f>
        <v>0</v>
      </c>
      <c r="F151" s="7" t="n">
        <f aca="false">SUMIFS(Doors!R:R,Doors!$A:$A,$D151,Doors!$B:$B,$B151,Doors!$C:$C,$C151)*SUMIFS(Velocity!$I:$I,Velocity!$A:$A,$A151,Velocity!$B:$B,$C151)/Assumptions!$B$4*Assumptions!$B$6</f>
        <v>0</v>
      </c>
      <c r="G151" s="7" t="n">
        <f aca="false">SUMIFS(Doors!S:S,Doors!$A:$A,$D151,Doors!$B:$B,$B151,Doors!$C:$C,$C151)*SUMIFS(Velocity!$I:$I,Velocity!$A:$A,$A151,Velocity!$B:$B,$C151)/Assumptions!$B$4*Assumptions!$B$6</f>
        <v>0</v>
      </c>
      <c r="H151" s="7" t="n">
        <f aca="false">SUMIFS(Doors!T:T,Doors!$A:$A,$D151,Doors!$B:$B,$B151,Doors!$C:$C,$C151)*SUMIFS(Velocity!$I:$I,Velocity!$A:$A,$A151,Velocity!$B:$B,$C151)/Assumptions!$B$4*Assumptions!$B$6</f>
        <v>0</v>
      </c>
      <c r="I151" s="7" t="n">
        <f aca="false">SUMIFS(Doors!U:U,Doors!$A:$A,$D151,Doors!$B:$B,$B151,Doors!$C:$C,$C151)*SUMIFS(Velocity!$I:$I,Velocity!$A:$A,$A151,Velocity!$B:$B,$C151)/Assumptions!$B$4*Assumptions!$B$6</f>
        <v>0</v>
      </c>
      <c r="J151" s="7" t="n">
        <f aca="false">SUMIFS(Doors!V:V,Doors!$A:$A,$D151,Doors!$B:$B,$B151,Doors!$C:$C,$C151)*SUMIFS(Velocity!$I:$I,Velocity!$A:$A,$A151,Velocity!$B:$B,$C151)/Assumptions!$B$4*Assumptions!$B$6</f>
        <v>0</v>
      </c>
      <c r="K151" s="7" t="n">
        <f aca="false">SUMIFS(Doors!W:W,Doors!$A:$A,$D151,Doors!$B:$B,$B151,Doors!$C:$C,$C151)*SUMIFS(Velocity!$I:$I,Velocity!$A:$A,$A151,Velocity!$B:$B,$C151)/Assumptions!$B$4*Assumptions!$B$6</f>
        <v>0</v>
      </c>
      <c r="L151" s="7" t="n">
        <f aca="false">SUMIFS(Doors!X:X,Doors!$A:$A,$D151,Doors!$B:$B,$B151,Doors!$C:$C,$C151)*SUMIFS(Velocity!$I:$I,Velocity!$A:$A,$A151,Velocity!$B:$B,$C151)/Assumptions!$B$4*Assumptions!$B$6</f>
        <v>0</v>
      </c>
      <c r="M151" s="7" t="n">
        <f aca="false">SUMIFS(Doors!Y:Y,Doors!$A:$A,$D151,Doors!$B:$B,$B151,Doors!$C:$C,$C151)*SUMIFS(Velocity!$I:$I,Velocity!$A:$A,$A151,Velocity!$B:$B,$C151)/Assumptions!$B$4*Assumptions!$B$6</f>
        <v>0</v>
      </c>
      <c r="N151" s="7" t="n">
        <f aca="false">SUMIFS(Doors!Z:Z,Doors!$A:$A,$D151,Doors!$B:$B,$B151,Doors!$C:$C,$C151)*SUMIFS(Velocity!$I:$I,Velocity!$A:$A,$A151,Velocity!$B:$B,$C151)/Assumptions!$B$4*Assumptions!$B$6</f>
        <v>0</v>
      </c>
      <c r="O151" s="7" t="n">
        <f aca="false">SUMIFS(Doors!AA:AA,Doors!$A:$A,$D151,Doors!$B:$B,$B151,Doors!$C:$C,$C151)*SUMIFS(Velocity!$I:$I,Velocity!$A:$A,$A151,Velocity!$B:$B,$C151)/Assumptions!$B$4*Assumptions!$B$6</f>
        <v>0</v>
      </c>
      <c r="P151" s="7" t="n">
        <f aca="false">SUMIFS(Doors!AB:AB,Doors!$A:$A,$D151,Doors!$B:$B,$B151,Doors!$C:$C,$C151)*SUMIFS(Velocity!$I:$I,Velocity!$A:$A,$A151,Velocity!$B:$B,$C151)/Assumptions!$B$4*Assumptions!$B$6</f>
        <v>0</v>
      </c>
      <c r="Q151" s="7" t="n">
        <f aca="false">SUMIFS(Doors!AC:AC,Doors!$A:$A,$D151,Doors!$B:$B,$B151,Doors!$C:$C,$C151)*SUMIFS(Velocity!$I:$I,Velocity!$A:$A,$A151,Velocity!$B:$B,$C151)/Assumptions!$B$4*Assumptions!$B$6</f>
        <v>0</v>
      </c>
      <c r="R151" s="7" t="n">
        <f aca="false">SUMIFS(Doors!AD:AD,Doors!$A:$A,$D151,Doors!$B:$B,$B151,Doors!$C:$C,$C151)*SUMIFS(Velocity!$I:$I,Velocity!$A:$A,$A151,Velocity!$B:$B,$C151)/Assumptions!$B$4*Assumptions!$B$6</f>
        <v>0.270833333333333</v>
      </c>
      <c r="S151" s="7" t="n">
        <f aca="false">SUMIFS(Doors!AE:AE,Doors!$A:$A,$D151,Doors!$B:$B,$B151,Doors!$C:$C,$C151)*SUMIFS(Velocity!$I:$I,Velocity!$A:$A,$A151,Velocity!$B:$B,$C151)/Assumptions!$B$4*Assumptions!$B$6</f>
        <v>0.270833333333333</v>
      </c>
      <c r="T151" s="7" t="n">
        <f aca="false">SUMIFS(Doors!AF:AF,Doors!$A:$A,$D151,Doors!$B:$B,$B151,Doors!$C:$C,$C151)*SUMIFS(Velocity!$I:$I,Velocity!$A:$A,$A151,Velocity!$B:$B,$C151)/Assumptions!$B$4*Assumptions!$B$6</f>
        <v>0.270833333333333</v>
      </c>
      <c r="U151" s="7" t="n">
        <f aca="false">SUMIFS(Doors!AG:AG,Doors!$A:$A,$D151,Doors!$B:$B,$B151,Doors!$C:$C,$C151)*SUMIFS(Velocity!$I:$I,Velocity!$A:$A,$A151,Velocity!$B:$B,$C151)/Assumptions!$B$4*Assumptions!$B$6</f>
        <v>0.270833333333333</v>
      </c>
      <c r="V151" s="7" t="n">
        <f aca="false">SUMIFS(Doors!AH:AH,Doors!$A:$A,$D151,Doors!$B:$B,$B151,Doors!$C:$C,$C151)*SUMIFS(Velocity!$I:$I,Velocity!$A:$A,$A151,Velocity!$B:$B,$C151)/Assumptions!$B$4*Assumptions!$B$6</f>
        <v>0.270833333333333</v>
      </c>
      <c r="W151" s="7" t="n">
        <f aca="false">SUMIFS(Doors!AI:AI,Doors!$A:$A,$D151,Doors!$B:$B,$B151,Doors!$C:$C,$C151)*SUMIFS(Velocity!$I:$I,Velocity!$A:$A,$A151,Velocity!$B:$B,$C151)/Assumptions!$B$4*Assumptions!$B$6</f>
        <v>0.541666666666667</v>
      </c>
      <c r="X151" s="7" t="n">
        <f aca="false">SUMIFS(Doors!AJ:AJ,Doors!$A:$A,$D151,Doors!$B:$B,$B151,Doors!$C:$C,$C151)*SUMIFS(Velocity!$I:$I,Velocity!$A:$A,$A151,Velocity!$B:$B,$C151)/Assumptions!$B$4*Assumptions!$B$6</f>
        <v>0.541666666666667</v>
      </c>
      <c r="Y151" s="7" t="n">
        <f aca="false">SUMIFS(Doors!AK:AK,Doors!$A:$A,$D151,Doors!$B:$B,$B151,Doors!$C:$C,$C151)*SUMIFS(Velocity!$I:$I,Velocity!$A:$A,$A151,Velocity!$B:$B,$C151)/Assumptions!$B$4*Assumptions!$B$6</f>
        <v>0.541666666666667</v>
      </c>
      <c r="Z151" s="7" t="n">
        <f aca="false">SUMIFS(Doors!AL:AL,Doors!$A:$A,$D151,Doors!$B:$B,$B151,Doors!$C:$C,$C151)*SUMIFS(Velocity!$I:$I,Velocity!$A:$A,$A151,Velocity!$B:$B,$C151)/Assumptions!$B$4*Assumptions!$B$6</f>
        <v>0.541666666666667</v>
      </c>
      <c r="AA151" s="7" t="n">
        <f aca="false">SUMIFS(Doors!AM:AM,Doors!$A:$A,$D151,Doors!$B:$B,$B151,Doors!$C:$C,$C151)*SUMIFS(Velocity!$I:$I,Velocity!$A:$A,$A151,Velocity!$B:$B,$C151)/Assumptions!$B$4*Assumptions!$B$6</f>
        <v>1.08333333333333</v>
      </c>
      <c r="AB151" s="7" t="n">
        <f aca="false">SUMIFS(Doors!AN:AN,Doors!$A:$A,$D151,Doors!$B:$B,$B151,Doors!$C:$C,$C151)*SUMIFS(Velocity!$I:$I,Velocity!$A:$A,$A151,Velocity!$B:$B,$C151)/Assumptions!$B$4*Assumptions!$B$6</f>
        <v>1.08333333333333</v>
      </c>
      <c r="AC151" s="7" t="n">
        <f aca="false">SUMIFS(Doors!AO:AO,Doors!$A:$A,$D151,Doors!$B:$B,$B151,Doors!$C:$C,$C151)*SUMIFS(Velocity!$I:$I,Velocity!$A:$A,$A151,Velocity!$B:$B,$C151)/Assumptions!$B$4*Assumptions!$B$6</f>
        <v>1.08333333333333</v>
      </c>
      <c r="AD151" s="7" t="n">
        <f aca="false">SUMIFS(Doors!AP:AP,Doors!$A:$A,$D151,Doors!$B:$B,$B151,Doors!$C:$C,$C151)*SUMIFS(Velocity!$I:$I,Velocity!$A:$A,$A151,Velocity!$B:$B,$C151)/Assumptions!$B$4*Assumptions!$B$6</f>
        <v>1.08333333333333</v>
      </c>
      <c r="AE151" s="7" t="n">
        <f aca="false">SUMIFS(Doors!AQ:AQ,Doors!$A:$A,$D151,Doors!$B:$B,$B151,Doors!$C:$C,$C151)*SUMIFS(Velocity!$I:$I,Velocity!$A:$A,$A151,Velocity!$B:$B,$C151)/Assumptions!$B$4*Assumptions!$B$6</f>
        <v>1.35416666666667</v>
      </c>
      <c r="AF151" s="7" t="n">
        <f aca="false">SUMIFS(Doors!AR:AR,Doors!$A:$A,$D151,Doors!$B:$B,$B151,Doors!$C:$C,$C151)*SUMIFS(Velocity!$I:$I,Velocity!$A:$A,$A151,Velocity!$B:$B,$C151)/Assumptions!$B$4*Assumptions!$B$6</f>
        <v>1.35416666666667</v>
      </c>
      <c r="AG151" s="7" t="n">
        <f aca="false">SUMIFS(Doors!AS:AS,Doors!$A:$A,$D151,Doors!$B:$B,$B151,Doors!$C:$C,$C151)*SUMIFS(Velocity!$I:$I,Velocity!$A:$A,$A151,Velocity!$B:$B,$C151)/Assumptions!$B$4*Assumptions!$B$6</f>
        <v>1.35416666666667</v>
      </c>
      <c r="AH151" s="7" t="n">
        <f aca="false">SUMIFS(Doors!AT:AT,Doors!$A:$A,$D151,Doors!$B:$B,$B151,Doors!$C:$C,$C151)*SUMIFS(Velocity!$I:$I,Velocity!$A:$A,$A151,Velocity!$B:$B,$C151)/Assumptions!$B$4*Assumptions!$B$6</f>
        <v>1.35416666666667</v>
      </c>
      <c r="AI151" s="7" t="n">
        <f aca="false">SUMIFS(Doors!AU:AU,Doors!$A:$A,$D151,Doors!$B:$B,$B151,Doors!$C:$C,$C151)*SUMIFS(Velocity!$I:$I,Velocity!$A:$A,$A151,Velocity!$B:$B,$C151)/Assumptions!$B$4*Assumptions!$B$6</f>
        <v>1.35416666666667</v>
      </c>
      <c r="AJ151" s="7" t="n">
        <f aca="false">SUMIFS(Doors!AV:AV,Doors!$A:$A,$D151,Doors!$B:$B,$B151,Doors!$C:$C,$C151)*SUMIFS(Velocity!$I:$I,Velocity!$A:$A,$A151,Velocity!$B:$B,$C151)/Assumptions!$B$4*Assumptions!$B$6</f>
        <v>1.625</v>
      </c>
      <c r="AK151" s="7" t="n">
        <f aca="false">SUMIFS(Doors!AW:AW,Doors!$A:$A,$D151,Doors!$B:$B,$B151,Doors!$C:$C,$C151)*SUMIFS(Velocity!$I:$I,Velocity!$A:$A,$A151,Velocity!$B:$B,$C151)/Assumptions!$B$4*Assumptions!$B$6</f>
        <v>1.625</v>
      </c>
      <c r="AL151" s="7" t="n">
        <f aca="false">SUMIFS(Doors!AX:AX,Doors!$A:$A,$D151,Doors!$B:$B,$B151,Doors!$C:$C,$C151)*SUMIFS(Velocity!$I:$I,Velocity!$A:$A,$A151,Velocity!$B:$B,$C151)/Assumptions!$B$4*Assumptions!$B$6</f>
        <v>1.625</v>
      </c>
      <c r="AM151" s="7" t="n">
        <f aca="false">SUMIFS(Doors!AY:AY,Doors!$A:$A,$D151,Doors!$B:$B,$B151,Doors!$C:$C,$C151)*SUMIFS(Velocity!$I:$I,Velocity!$A:$A,$A151,Velocity!$B:$B,$C151)/Assumptions!$B$4*Assumptions!$B$6</f>
        <v>1.625</v>
      </c>
      <c r="AN151" s="7" t="n">
        <f aca="false">SUMIFS(Doors!AZ:AZ,Doors!$A:$A,$D151,Doors!$B:$B,$B151,Doors!$C:$C,$C151)*SUMIFS(Velocity!$I:$I,Velocity!$A:$A,$A151,Velocity!$B:$B,$C151)/Assumptions!$B$4*Assumptions!$B$6</f>
        <v>1.89583333333333</v>
      </c>
      <c r="AO151" s="7" t="n">
        <f aca="false">SUMIFS(Doors!BA:BA,Doors!$A:$A,$D151,Doors!$B:$B,$B151,Doors!$C:$C,$C151)*SUMIFS(Velocity!$I:$I,Velocity!$A:$A,$A151,Velocity!$B:$B,$C151)/Assumptions!$B$4*Assumptions!$B$6</f>
        <v>1.89583333333333</v>
      </c>
      <c r="AP151" s="7" t="n">
        <f aca="false">SUMIFS(Doors!BB:BB,Doors!$A:$A,$D151,Doors!$B:$B,$B151,Doors!$C:$C,$C151)*SUMIFS(Velocity!$I:$I,Velocity!$A:$A,$A151,Velocity!$B:$B,$C151)/Assumptions!$B$4*Assumptions!$B$6</f>
        <v>1.89583333333333</v>
      </c>
      <c r="AQ151" s="7" t="n">
        <f aca="false">SUMIFS(Doors!BC:BC,Doors!$A:$A,$D151,Doors!$B:$B,$B151,Doors!$C:$C,$C151)*SUMIFS(Velocity!$I:$I,Velocity!$A:$A,$A151,Velocity!$B:$B,$C151)/Assumptions!$B$4*Assumptions!$B$6</f>
        <v>1.89583333333333</v>
      </c>
      <c r="AR151" s="7" t="n">
        <f aca="false">SUMIFS(Doors!BD:BD,Doors!$A:$A,$D151,Doors!$B:$B,$B151,Doors!$C:$C,$C151)*SUMIFS(Velocity!$I:$I,Velocity!$A:$A,$A151,Velocity!$B:$B,$C151)/Assumptions!$B$4*Assumptions!$B$6</f>
        <v>2.16666666666667</v>
      </c>
      <c r="AS151" s="7" t="n">
        <f aca="false">SUMIFS(Doors!BE:BE,Doors!$A:$A,$D151,Doors!$B:$B,$B151,Doors!$C:$C,$C151)*SUMIFS(Velocity!$I:$I,Velocity!$A:$A,$A151,Velocity!$B:$B,$C151)/Assumptions!$B$4*Assumptions!$B$6</f>
        <v>2.16666666666667</v>
      </c>
      <c r="AT151" s="7" t="n">
        <f aca="false">SUMIFS(Doors!BF:BF,Doors!$A:$A,$D151,Doors!$B:$B,$B151,Doors!$C:$C,$C151)*SUMIFS(Velocity!$I:$I,Velocity!$A:$A,$A151,Velocity!$B:$B,$C151)/Assumptions!$B$4*Assumptions!$B$6</f>
        <v>2.16666666666667</v>
      </c>
      <c r="AU151" s="7" t="n">
        <f aca="false">SUMIFS(Doors!BG:BG,Doors!$A:$A,$D151,Doors!$B:$B,$B151,Doors!$C:$C,$C151)*SUMIFS(Velocity!$I:$I,Velocity!$A:$A,$A151,Velocity!$B:$B,$C151)/Assumptions!$B$4*Assumptions!$B$6</f>
        <v>2.16666666666667</v>
      </c>
      <c r="AV151" s="7" t="n">
        <f aca="false">SUMIFS(Doors!BH:BH,Doors!$A:$A,$D151,Doors!$B:$B,$B151,Doors!$C:$C,$C151)*SUMIFS(Velocity!$I:$I,Velocity!$A:$A,$A151,Velocity!$B:$B,$C151)/Assumptions!$B$4*Assumptions!$B$6</f>
        <v>2.16666666666667</v>
      </c>
      <c r="AW151" s="7" t="n">
        <f aca="false">SUMIFS(Doors!BI:BI,Doors!$A:$A,$D151,Doors!$B:$B,$B151,Doors!$C:$C,$C151)*SUMIFS(Velocity!$I:$I,Velocity!$A:$A,$A151,Velocity!$B:$B,$C151)/Assumptions!$B$4*Assumptions!$B$6</f>
        <v>2.4375</v>
      </c>
      <c r="AX151" s="7" t="n">
        <f aca="false">SUMIFS(Doors!BJ:BJ,Doors!$A:$A,$D151,Doors!$B:$B,$B151,Doors!$C:$C,$C151)*SUMIFS(Velocity!$I:$I,Velocity!$A:$A,$A151,Velocity!$B:$B,$C151)/Assumptions!$B$4*Assumptions!$B$6</f>
        <v>2.4375</v>
      </c>
      <c r="AY151" s="7" t="n">
        <f aca="false">SUMIFS(Doors!BK:BK,Doors!$A:$A,$D151,Doors!$B:$B,$B151,Doors!$C:$C,$C151)*SUMIFS(Velocity!$I:$I,Velocity!$A:$A,$A151,Velocity!$B:$B,$C151)/Assumptions!$B$4*Assumptions!$B$6</f>
        <v>2.4375</v>
      </c>
      <c r="AZ151" s="7" t="n">
        <f aca="false">SUMIFS(Doors!BL:BL,Doors!$A:$A,$D151,Doors!$B:$B,$B151,Doors!$C:$C,$C151)*SUMIFS(Velocity!$I:$I,Velocity!$A:$A,$A151,Velocity!$B:$B,$C151)/Assumptions!$B$4*Assumptions!$B$6</f>
        <v>2.4375</v>
      </c>
      <c r="BA151" s="7" t="n">
        <f aca="false">SUMIFS(Doors!BM:BM,Doors!$A:$A,$D151,Doors!$B:$B,$B151,Doors!$C:$C,$C151)*SUMIFS(Velocity!$I:$I,Velocity!$A:$A,$A151,Velocity!$B:$B,$C151)/Assumptions!$B$4*Assumptions!$B$6</f>
        <v>2.70833333333333</v>
      </c>
      <c r="BB151" s="7" t="n">
        <f aca="false">SUMIFS(Doors!BN:BN,Doors!$A:$A,$D151,Doors!$B:$B,$B151,Doors!$C:$C,$C151)*SUMIFS(Velocity!$I:$I,Velocity!$A:$A,$A151,Velocity!$B:$B,$C151)/Assumptions!$B$4*Assumptions!$B$6</f>
        <v>2.70833333333333</v>
      </c>
      <c r="BC151" s="7" t="n">
        <f aca="false">SUMIFS(Doors!BO:BO,Doors!$A:$A,$D151,Doors!$B:$B,$B151,Doors!$C:$C,$C151)*SUMIFS(Velocity!$I:$I,Velocity!$A:$A,$A151,Velocity!$B:$B,$C151)/Assumptions!$B$4*Assumptions!$B$6</f>
        <v>2.70833333333333</v>
      </c>
      <c r="BD151" s="7" t="n">
        <f aca="false">SUMIFS(Doors!BP:BP,Doors!$A:$A,$D151,Doors!$B:$B,$B151,Doors!$C:$C,$C151)*SUMIFS(Velocity!$I:$I,Velocity!$A:$A,$A151,Velocity!$B:$B,$C151)/Assumptions!$B$4*Assumptions!$B$6</f>
        <v>2.70833333333333</v>
      </c>
    </row>
    <row r="152" customFormat="false" ht="15" hidden="false" customHeight="false" outlineLevel="0" collapsed="false">
      <c r="A152" s="0" t="s">
        <v>109</v>
      </c>
      <c r="B152" s="0" t="s">
        <v>132</v>
      </c>
      <c r="C152" s="0" t="s">
        <v>117</v>
      </c>
      <c r="D152" s="0" t="s">
        <v>235</v>
      </c>
      <c r="E152" s="7" t="n">
        <f aca="false">SUMIFS(Doors!Q:Q,Doors!$A:$A,$D152,Doors!$B:$B,$B152,Doors!$C:$C,$C152)*SUMIFS(Velocity!$I:$I,Velocity!$A:$A,$A152,Velocity!$B:$B,$C152)/Assumptions!$B$4*Assumptions!$B$6</f>
        <v>0</v>
      </c>
      <c r="F152" s="7" t="n">
        <f aca="false">SUMIFS(Doors!R:R,Doors!$A:$A,$D152,Doors!$B:$B,$B152,Doors!$C:$C,$C152)*SUMIFS(Velocity!$I:$I,Velocity!$A:$A,$A152,Velocity!$B:$B,$C152)/Assumptions!$B$4*Assumptions!$B$6</f>
        <v>0</v>
      </c>
      <c r="G152" s="7" t="n">
        <f aca="false">SUMIFS(Doors!S:S,Doors!$A:$A,$D152,Doors!$B:$B,$B152,Doors!$C:$C,$C152)*SUMIFS(Velocity!$I:$I,Velocity!$A:$A,$A152,Velocity!$B:$B,$C152)/Assumptions!$B$4*Assumptions!$B$6</f>
        <v>0</v>
      </c>
      <c r="H152" s="7" t="n">
        <f aca="false">SUMIFS(Doors!T:T,Doors!$A:$A,$D152,Doors!$B:$B,$B152,Doors!$C:$C,$C152)*SUMIFS(Velocity!$I:$I,Velocity!$A:$A,$A152,Velocity!$B:$B,$C152)/Assumptions!$B$4*Assumptions!$B$6</f>
        <v>0</v>
      </c>
      <c r="I152" s="7" t="n">
        <f aca="false">SUMIFS(Doors!U:U,Doors!$A:$A,$D152,Doors!$B:$B,$B152,Doors!$C:$C,$C152)*SUMIFS(Velocity!$I:$I,Velocity!$A:$A,$A152,Velocity!$B:$B,$C152)/Assumptions!$B$4*Assumptions!$B$6</f>
        <v>0</v>
      </c>
      <c r="J152" s="7" t="n">
        <f aca="false">SUMIFS(Doors!V:V,Doors!$A:$A,$D152,Doors!$B:$B,$B152,Doors!$C:$C,$C152)*SUMIFS(Velocity!$I:$I,Velocity!$A:$A,$A152,Velocity!$B:$B,$C152)/Assumptions!$B$4*Assumptions!$B$6</f>
        <v>0</v>
      </c>
      <c r="K152" s="7" t="n">
        <f aca="false">SUMIFS(Doors!W:W,Doors!$A:$A,$D152,Doors!$B:$B,$B152,Doors!$C:$C,$C152)*SUMIFS(Velocity!$I:$I,Velocity!$A:$A,$A152,Velocity!$B:$B,$C152)/Assumptions!$B$4*Assumptions!$B$6</f>
        <v>0</v>
      </c>
      <c r="L152" s="7" t="n">
        <f aca="false">SUMIFS(Doors!X:X,Doors!$A:$A,$D152,Doors!$B:$B,$B152,Doors!$C:$C,$C152)*SUMIFS(Velocity!$I:$I,Velocity!$A:$A,$A152,Velocity!$B:$B,$C152)/Assumptions!$B$4*Assumptions!$B$6</f>
        <v>0</v>
      </c>
      <c r="M152" s="7" t="n">
        <f aca="false">SUMIFS(Doors!Y:Y,Doors!$A:$A,$D152,Doors!$B:$B,$B152,Doors!$C:$C,$C152)*SUMIFS(Velocity!$I:$I,Velocity!$A:$A,$A152,Velocity!$B:$B,$C152)/Assumptions!$B$4*Assumptions!$B$6</f>
        <v>0</v>
      </c>
      <c r="N152" s="7" t="n">
        <f aca="false">SUMIFS(Doors!Z:Z,Doors!$A:$A,$D152,Doors!$B:$B,$B152,Doors!$C:$C,$C152)*SUMIFS(Velocity!$I:$I,Velocity!$A:$A,$A152,Velocity!$B:$B,$C152)/Assumptions!$B$4*Assumptions!$B$6</f>
        <v>0</v>
      </c>
      <c r="O152" s="7" t="n">
        <f aca="false">SUMIFS(Doors!AA:AA,Doors!$A:$A,$D152,Doors!$B:$B,$B152,Doors!$C:$C,$C152)*SUMIFS(Velocity!$I:$I,Velocity!$A:$A,$A152,Velocity!$B:$B,$C152)/Assumptions!$B$4*Assumptions!$B$6</f>
        <v>0</v>
      </c>
      <c r="P152" s="7" t="n">
        <f aca="false">SUMIFS(Doors!AB:AB,Doors!$A:$A,$D152,Doors!$B:$B,$B152,Doors!$C:$C,$C152)*SUMIFS(Velocity!$I:$I,Velocity!$A:$A,$A152,Velocity!$B:$B,$C152)/Assumptions!$B$4*Assumptions!$B$6</f>
        <v>0</v>
      </c>
      <c r="Q152" s="7" t="n">
        <f aca="false">SUMIFS(Doors!AC:AC,Doors!$A:$A,$D152,Doors!$B:$B,$B152,Doors!$C:$C,$C152)*SUMIFS(Velocity!$I:$I,Velocity!$A:$A,$A152,Velocity!$B:$B,$C152)/Assumptions!$B$4*Assumptions!$B$6</f>
        <v>0</v>
      </c>
      <c r="R152" s="7" t="n">
        <f aca="false">SUMIFS(Doors!AD:AD,Doors!$A:$A,$D152,Doors!$B:$B,$B152,Doors!$C:$C,$C152)*SUMIFS(Velocity!$I:$I,Velocity!$A:$A,$A152,Velocity!$B:$B,$C152)/Assumptions!$B$4*Assumptions!$B$6</f>
        <v>0</v>
      </c>
      <c r="S152" s="7" t="n">
        <f aca="false">SUMIFS(Doors!AE:AE,Doors!$A:$A,$D152,Doors!$B:$B,$B152,Doors!$C:$C,$C152)*SUMIFS(Velocity!$I:$I,Velocity!$A:$A,$A152,Velocity!$B:$B,$C152)/Assumptions!$B$4*Assumptions!$B$6</f>
        <v>0</v>
      </c>
      <c r="T152" s="7" t="n">
        <f aca="false">SUMIFS(Doors!AF:AF,Doors!$A:$A,$D152,Doors!$B:$B,$B152,Doors!$C:$C,$C152)*SUMIFS(Velocity!$I:$I,Velocity!$A:$A,$A152,Velocity!$B:$B,$C152)/Assumptions!$B$4*Assumptions!$B$6</f>
        <v>0</v>
      </c>
      <c r="U152" s="7" t="n">
        <f aca="false">SUMIFS(Doors!AG:AG,Doors!$A:$A,$D152,Doors!$B:$B,$B152,Doors!$C:$C,$C152)*SUMIFS(Velocity!$I:$I,Velocity!$A:$A,$A152,Velocity!$B:$B,$C152)/Assumptions!$B$4*Assumptions!$B$6</f>
        <v>0</v>
      </c>
      <c r="V152" s="7" t="n">
        <f aca="false">SUMIFS(Doors!AH:AH,Doors!$A:$A,$D152,Doors!$B:$B,$B152,Doors!$C:$C,$C152)*SUMIFS(Velocity!$I:$I,Velocity!$A:$A,$A152,Velocity!$B:$B,$C152)/Assumptions!$B$4*Assumptions!$B$6</f>
        <v>0</v>
      </c>
      <c r="W152" s="7" t="n">
        <f aca="false">SUMIFS(Doors!AI:AI,Doors!$A:$A,$D152,Doors!$B:$B,$B152,Doors!$C:$C,$C152)*SUMIFS(Velocity!$I:$I,Velocity!$A:$A,$A152,Velocity!$B:$B,$C152)/Assumptions!$B$4*Assumptions!$B$6</f>
        <v>0</v>
      </c>
      <c r="X152" s="7" t="n">
        <f aca="false">SUMIFS(Doors!AJ:AJ,Doors!$A:$A,$D152,Doors!$B:$B,$B152,Doors!$C:$C,$C152)*SUMIFS(Velocity!$I:$I,Velocity!$A:$A,$A152,Velocity!$B:$B,$C152)/Assumptions!$B$4*Assumptions!$B$6</f>
        <v>0</v>
      </c>
      <c r="Y152" s="7" t="n">
        <f aca="false">SUMIFS(Doors!AK:AK,Doors!$A:$A,$D152,Doors!$B:$B,$B152,Doors!$C:$C,$C152)*SUMIFS(Velocity!$I:$I,Velocity!$A:$A,$A152,Velocity!$B:$B,$C152)/Assumptions!$B$4*Assumptions!$B$6</f>
        <v>0</v>
      </c>
      <c r="Z152" s="7" t="n">
        <f aca="false">SUMIFS(Doors!AL:AL,Doors!$A:$A,$D152,Doors!$B:$B,$B152,Doors!$C:$C,$C152)*SUMIFS(Velocity!$I:$I,Velocity!$A:$A,$A152,Velocity!$B:$B,$C152)/Assumptions!$B$4*Assumptions!$B$6</f>
        <v>0</v>
      </c>
      <c r="AA152" s="7" t="n">
        <f aca="false">SUMIFS(Doors!AM:AM,Doors!$A:$A,$D152,Doors!$B:$B,$B152,Doors!$C:$C,$C152)*SUMIFS(Velocity!$I:$I,Velocity!$A:$A,$A152,Velocity!$B:$B,$C152)/Assumptions!$B$4*Assumptions!$B$6</f>
        <v>1.13333333333333</v>
      </c>
      <c r="AB152" s="7" t="n">
        <f aca="false">SUMIFS(Doors!AN:AN,Doors!$A:$A,$D152,Doors!$B:$B,$B152,Doors!$C:$C,$C152)*SUMIFS(Velocity!$I:$I,Velocity!$A:$A,$A152,Velocity!$B:$B,$C152)/Assumptions!$B$4*Assumptions!$B$6</f>
        <v>1.13333333333333</v>
      </c>
      <c r="AC152" s="7" t="n">
        <f aca="false">SUMIFS(Doors!AO:AO,Doors!$A:$A,$D152,Doors!$B:$B,$B152,Doors!$C:$C,$C152)*SUMIFS(Velocity!$I:$I,Velocity!$A:$A,$A152,Velocity!$B:$B,$C152)/Assumptions!$B$4*Assumptions!$B$6</f>
        <v>1.13333333333333</v>
      </c>
      <c r="AD152" s="7" t="n">
        <f aca="false">SUMIFS(Doors!AP:AP,Doors!$A:$A,$D152,Doors!$B:$B,$B152,Doors!$C:$C,$C152)*SUMIFS(Velocity!$I:$I,Velocity!$A:$A,$A152,Velocity!$B:$B,$C152)/Assumptions!$B$4*Assumptions!$B$6</f>
        <v>1.13333333333333</v>
      </c>
      <c r="AE152" s="7" t="n">
        <f aca="false">SUMIFS(Doors!AQ:AQ,Doors!$A:$A,$D152,Doors!$B:$B,$B152,Doors!$C:$C,$C152)*SUMIFS(Velocity!$I:$I,Velocity!$A:$A,$A152,Velocity!$B:$B,$C152)/Assumptions!$B$4*Assumptions!$B$6</f>
        <v>1.7</v>
      </c>
      <c r="AF152" s="7" t="n">
        <f aca="false">SUMIFS(Doors!AR:AR,Doors!$A:$A,$D152,Doors!$B:$B,$B152,Doors!$C:$C,$C152)*SUMIFS(Velocity!$I:$I,Velocity!$A:$A,$A152,Velocity!$B:$B,$C152)/Assumptions!$B$4*Assumptions!$B$6</f>
        <v>1.7</v>
      </c>
      <c r="AG152" s="7" t="n">
        <f aca="false">SUMIFS(Doors!AS:AS,Doors!$A:$A,$D152,Doors!$B:$B,$B152,Doors!$C:$C,$C152)*SUMIFS(Velocity!$I:$I,Velocity!$A:$A,$A152,Velocity!$B:$B,$C152)/Assumptions!$B$4*Assumptions!$B$6</f>
        <v>1.7</v>
      </c>
      <c r="AH152" s="7" t="n">
        <f aca="false">SUMIFS(Doors!AT:AT,Doors!$A:$A,$D152,Doors!$B:$B,$B152,Doors!$C:$C,$C152)*SUMIFS(Velocity!$I:$I,Velocity!$A:$A,$A152,Velocity!$B:$B,$C152)/Assumptions!$B$4*Assumptions!$B$6</f>
        <v>1.7</v>
      </c>
      <c r="AI152" s="7" t="n">
        <f aca="false">SUMIFS(Doors!AU:AU,Doors!$A:$A,$D152,Doors!$B:$B,$B152,Doors!$C:$C,$C152)*SUMIFS(Velocity!$I:$I,Velocity!$A:$A,$A152,Velocity!$B:$B,$C152)/Assumptions!$B$4*Assumptions!$B$6</f>
        <v>1.7</v>
      </c>
      <c r="AJ152" s="7" t="n">
        <f aca="false">SUMIFS(Doors!AV:AV,Doors!$A:$A,$D152,Doors!$B:$B,$B152,Doors!$C:$C,$C152)*SUMIFS(Velocity!$I:$I,Velocity!$A:$A,$A152,Velocity!$B:$B,$C152)/Assumptions!$B$4*Assumptions!$B$6</f>
        <v>2.83333333333333</v>
      </c>
      <c r="AK152" s="7" t="n">
        <f aca="false">SUMIFS(Doors!AW:AW,Doors!$A:$A,$D152,Doors!$B:$B,$B152,Doors!$C:$C,$C152)*SUMIFS(Velocity!$I:$I,Velocity!$A:$A,$A152,Velocity!$B:$B,$C152)/Assumptions!$B$4*Assumptions!$B$6</f>
        <v>2.83333333333333</v>
      </c>
      <c r="AL152" s="7" t="n">
        <f aca="false">SUMIFS(Doors!AX:AX,Doors!$A:$A,$D152,Doors!$B:$B,$B152,Doors!$C:$C,$C152)*SUMIFS(Velocity!$I:$I,Velocity!$A:$A,$A152,Velocity!$B:$B,$C152)/Assumptions!$B$4*Assumptions!$B$6</f>
        <v>2.83333333333333</v>
      </c>
      <c r="AM152" s="7" t="n">
        <f aca="false">SUMIFS(Doors!AY:AY,Doors!$A:$A,$D152,Doors!$B:$B,$B152,Doors!$C:$C,$C152)*SUMIFS(Velocity!$I:$I,Velocity!$A:$A,$A152,Velocity!$B:$B,$C152)/Assumptions!$B$4*Assumptions!$B$6</f>
        <v>2.83333333333333</v>
      </c>
      <c r="AN152" s="7" t="n">
        <f aca="false">SUMIFS(Doors!AZ:AZ,Doors!$A:$A,$D152,Doors!$B:$B,$B152,Doors!$C:$C,$C152)*SUMIFS(Velocity!$I:$I,Velocity!$A:$A,$A152,Velocity!$B:$B,$C152)/Assumptions!$B$4*Assumptions!$B$6</f>
        <v>3.96666666666667</v>
      </c>
      <c r="AO152" s="7" t="n">
        <f aca="false">SUMIFS(Doors!BA:BA,Doors!$A:$A,$D152,Doors!$B:$B,$B152,Doors!$C:$C,$C152)*SUMIFS(Velocity!$I:$I,Velocity!$A:$A,$A152,Velocity!$B:$B,$C152)/Assumptions!$B$4*Assumptions!$B$6</f>
        <v>3.96666666666667</v>
      </c>
      <c r="AP152" s="7" t="n">
        <f aca="false">SUMIFS(Doors!BB:BB,Doors!$A:$A,$D152,Doors!$B:$B,$B152,Doors!$C:$C,$C152)*SUMIFS(Velocity!$I:$I,Velocity!$A:$A,$A152,Velocity!$B:$B,$C152)/Assumptions!$B$4*Assumptions!$B$6</f>
        <v>3.96666666666667</v>
      </c>
      <c r="AQ152" s="7" t="n">
        <f aca="false">SUMIFS(Doors!BC:BC,Doors!$A:$A,$D152,Doors!$B:$B,$B152,Doors!$C:$C,$C152)*SUMIFS(Velocity!$I:$I,Velocity!$A:$A,$A152,Velocity!$B:$B,$C152)/Assumptions!$B$4*Assumptions!$B$6</f>
        <v>3.96666666666667</v>
      </c>
      <c r="AR152" s="7" t="n">
        <f aca="false">SUMIFS(Doors!BD:BD,Doors!$A:$A,$D152,Doors!$B:$B,$B152,Doors!$C:$C,$C152)*SUMIFS(Velocity!$I:$I,Velocity!$A:$A,$A152,Velocity!$B:$B,$C152)/Assumptions!$B$4*Assumptions!$B$6</f>
        <v>4.53333333333333</v>
      </c>
      <c r="AS152" s="7" t="n">
        <f aca="false">SUMIFS(Doors!BE:BE,Doors!$A:$A,$D152,Doors!$B:$B,$B152,Doors!$C:$C,$C152)*SUMIFS(Velocity!$I:$I,Velocity!$A:$A,$A152,Velocity!$B:$B,$C152)/Assumptions!$B$4*Assumptions!$B$6</f>
        <v>4.53333333333333</v>
      </c>
      <c r="AT152" s="7" t="n">
        <f aca="false">SUMIFS(Doors!BF:BF,Doors!$A:$A,$D152,Doors!$B:$B,$B152,Doors!$C:$C,$C152)*SUMIFS(Velocity!$I:$I,Velocity!$A:$A,$A152,Velocity!$B:$B,$C152)/Assumptions!$B$4*Assumptions!$B$6</f>
        <v>4.53333333333333</v>
      </c>
      <c r="AU152" s="7" t="n">
        <f aca="false">SUMIFS(Doors!BG:BG,Doors!$A:$A,$D152,Doors!$B:$B,$B152,Doors!$C:$C,$C152)*SUMIFS(Velocity!$I:$I,Velocity!$A:$A,$A152,Velocity!$B:$B,$C152)/Assumptions!$B$4*Assumptions!$B$6</f>
        <v>4.53333333333333</v>
      </c>
      <c r="AV152" s="7" t="n">
        <f aca="false">SUMIFS(Doors!BH:BH,Doors!$A:$A,$D152,Doors!$B:$B,$B152,Doors!$C:$C,$C152)*SUMIFS(Velocity!$I:$I,Velocity!$A:$A,$A152,Velocity!$B:$B,$C152)/Assumptions!$B$4*Assumptions!$B$6</f>
        <v>4.53333333333333</v>
      </c>
      <c r="AW152" s="7" t="n">
        <f aca="false">SUMIFS(Doors!BI:BI,Doors!$A:$A,$D152,Doors!$B:$B,$B152,Doors!$C:$C,$C152)*SUMIFS(Velocity!$I:$I,Velocity!$A:$A,$A152,Velocity!$B:$B,$C152)/Assumptions!$B$4*Assumptions!$B$6</f>
        <v>5.1</v>
      </c>
      <c r="AX152" s="7" t="n">
        <f aca="false">SUMIFS(Doors!BJ:BJ,Doors!$A:$A,$D152,Doors!$B:$B,$B152,Doors!$C:$C,$C152)*SUMIFS(Velocity!$I:$I,Velocity!$A:$A,$A152,Velocity!$B:$B,$C152)/Assumptions!$B$4*Assumptions!$B$6</f>
        <v>5.1</v>
      </c>
      <c r="AY152" s="7" t="n">
        <f aca="false">SUMIFS(Doors!BK:BK,Doors!$A:$A,$D152,Doors!$B:$B,$B152,Doors!$C:$C,$C152)*SUMIFS(Velocity!$I:$I,Velocity!$A:$A,$A152,Velocity!$B:$B,$C152)/Assumptions!$B$4*Assumptions!$B$6</f>
        <v>5.1</v>
      </c>
      <c r="AZ152" s="7" t="n">
        <f aca="false">SUMIFS(Doors!BL:BL,Doors!$A:$A,$D152,Doors!$B:$B,$B152,Doors!$C:$C,$C152)*SUMIFS(Velocity!$I:$I,Velocity!$A:$A,$A152,Velocity!$B:$B,$C152)/Assumptions!$B$4*Assumptions!$B$6</f>
        <v>5.1</v>
      </c>
      <c r="BA152" s="7" t="n">
        <f aca="false">SUMIFS(Doors!BM:BM,Doors!$A:$A,$D152,Doors!$B:$B,$B152,Doors!$C:$C,$C152)*SUMIFS(Velocity!$I:$I,Velocity!$A:$A,$A152,Velocity!$B:$B,$C152)/Assumptions!$B$4*Assumptions!$B$6</f>
        <v>5.66666666666667</v>
      </c>
      <c r="BB152" s="7" t="n">
        <f aca="false">SUMIFS(Doors!BN:BN,Doors!$A:$A,$D152,Doors!$B:$B,$B152,Doors!$C:$C,$C152)*SUMIFS(Velocity!$I:$I,Velocity!$A:$A,$A152,Velocity!$B:$B,$C152)/Assumptions!$B$4*Assumptions!$B$6</f>
        <v>5.66666666666667</v>
      </c>
      <c r="BC152" s="7" t="n">
        <f aca="false">SUMIFS(Doors!BO:BO,Doors!$A:$A,$D152,Doors!$B:$B,$B152,Doors!$C:$C,$C152)*SUMIFS(Velocity!$I:$I,Velocity!$A:$A,$A152,Velocity!$B:$B,$C152)/Assumptions!$B$4*Assumptions!$B$6</f>
        <v>5.66666666666667</v>
      </c>
      <c r="BD152" s="7" t="n">
        <f aca="false">SUMIFS(Doors!BP:BP,Doors!$A:$A,$D152,Doors!$B:$B,$B152,Doors!$C:$C,$C152)*SUMIFS(Velocity!$I:$I,Velocity!$A:$A,$A152,Velocity!$B:$B,$C152)/Assumptions!$B$4*Assumptions!$B$6</f>
        <v>5.66666666666667</v>
      </c>
    </row>
    <row r="153" customFormat="false" ht="15" hidden="false" customHeight="false" outlineLevel="0" collapsed="false">
      <c r="A153" s="0" t="s">
        <v>109</v>
      </c>
      <c r="B153" s="0" t="s">
        <v>132</v>
      </c>
      <c r="C153" s="0" t="s">
        <v>118</v>
      </c>
      <c r="D153" s="0" t="s">
        <v>235</v>
      </c>
      <c r="E153" s="7" t="n">
        <f aca="false">SUMIFS(Doors!Q:Q,Doors!$A:$A,$D153,Doors!$B:$B,$B153,Doors!$C:$C,$C153)*SUMIFS(Velocity!$I:$I,Velocity!$A:$A,$A153,Velocity!$B:$B,$C153)/Assumptions!$B$4*Assumptions!$B$6</f>
        <v>0</v>
      </c>
      <c r="F153" s="7" t="n">
        <f aca="false">SUMIFS(Doors!R:R,Doors!$A:$A,$D153,Doors!$B:$B,$B153,Doors!$C:$C,$C153)*SUMIFS(Velocity!$I:$I,Velocity!$A:$A,$A153,Velocity!$B:$B,$C153)/Assumptions!$B$4*Assumptions!$B$6</f>
        <v>0</v>
      </c>
      <c r="G153" s="7" t="n">
        <f aca="false">SUMIFS(Doors!S:S,Doors!$A:$A,$D153,Doors!$B:$B,$B153,Doors!$C:$C,$C153)*SUMIFS(Velocity!$I:$I,Velocity!$A:$A,$A153,Velocity!$B:$B,$C153)/Assumptions!$B$4*Assumptions!$B$6</f>
        <v>0</v>
      </c>
      <c r="H153" s="7" t="n">
        <f aca="false">SUMIFS(Doors!T:T,Doors!$A:$A,$D153,Doors!$B:$B,$B153,Doors!$C:$C,$C153)*SUMIFS(Velocity!$I:$I,Velocity!$A:$A,$A153,Velocity!$B:$B,$C153)/Assumptions!$B$4*Assumptions!$B$6</f>
        <v>0</v>
      </c>
      <c r="I153" s="7" t="n">
        <f aca="false">SUMIFS(Doors!U:U,Doors!$A:$A,$D153,Doors!$B:$B,$B153,Doors!$C:$C,$C153)*SUMIFS(Velocity!$I:$I,Velocity!$A:$A,$A153,Velocity!$B:$B,$C153)/Assumptions!$B$4*Assumptions!$B$6</f>
        <v>0</v>
      </c>
      <c r="J153" s="7" t="n">
        <f aca="false">SUMIFS(Doors!V:V,Doors!$A:$A,$D153,Doors!$B:$B,$B153,Doors!$C:$C,$C153)*SUMIFS(Velocity!$I:$I,Velocity!$A:$A,$A153,Velocity!$B:$B,$C153)/Assumptions!$B$4*Assumptions!$B$6</f>
        <v>0</v>
      </c>
      <c r="K153" s="7" t="n">
        <f aca="false">SUMIFS(Doors!W:W,Doors!$A:$A,$D153,Doors!$B:$B,$B153,Doors!$C:$C,$C153)*SUMIFS(Velocity!$I:$I,Velocity!$A:$A,$A153,Velocity!$B:$B,$C153)/Assumptions!$B$4*Assumptions!$B$6</f>
        <v>0</v>
      </c>
      <c r="L153" s="7" t="n">
        <f aca="false">SUMIFS(Doors!X:X,Doors!$A:$A,$D153,Doors!$B:$B,$B153,Doors!$C:$C,$C153)*SUMIFS(Velocity!$I:$I,Velocity!$A:$A,$A153,Velocity!$B:$B,$C153)/Assumptions!$B$4*Assumptions!$B$6</f>
        <v>0</v>
      </c>
      <c r="M153" s="7" t="n">
        <f aca="false">SUMIFS(Doors!Y:Y,Doors!$A:$A,$D153,Doors!$B:$B,$B153,Doors!$C:$C,$C153)*SUMIFS(Velocity!$I:$I,Velocity!$A:$A,$A153,Velocity!$B:$B,$C153)/Assumptions!$B$4*Assumptions!$B$6</f>
        <v>0</v>
      </c>
      <c r="N153" s="7" t="n">
        <f aca="false">SUMIFS(Doors!Z:Z,Doors!$A:$A,$D153,Doors!$B:$B,$B153,Doors!$C:$C,$C153)*SUMIFS(Velocity!$I:$I,Velocity!$A:$A,$A153,Velocity!$B:$B,$C153)/Assumptions!$B$4*Assumptions!$B$6</f>
        <v>0</v>
      </c>
      <c r="O153" s="7" t="n">
        <f aca="false">SUMIFS(Doors!AA:AA,Doors!$A:$A,$D153,Doors!$B:$B,$B153,Doors!$C:$C,$C153)*SUMIFS(Velocity!$I:$I,Velocity!$A:$A,$A153,Velocity!$B:$B,$C153)/Assumptions!$B$4*Assumptions!$B$6</f>
        <v>0</v>
      </c>
      <c r="P153" s="7" t="n">
        <f aca="false">SUMIFS(Doors!AB:AB,Doors!$A:$A,$D153,Doors!$B:$B,$B153,Doors!$C:$C,$C153)*SUMIFS(Velocity!$I:$I,Velocity!$A:$A,$A153,Velocity!$B:$B,$C153)/Assumptions!$B$4*Assumptions!$B$6</f>
        <v>0</v>
      </c>
      <c r="Q153" s="7" t="n">
        <f aca="false">SUMIFS(Doors!AC:AC,Doors!$A:$A,$D153,Doors!$B:$B,$B153,Doors!$C:$C,$C153)*SUMIFS(Velocity!$I:$I,Velocity!$A:$A,$A153,Velocity!$B:$B,$C153)/Assumptions!$B$4*Assumptions!$B$6</f>
        <v>0</v>
      </c>
      <c r="R153" s="7" t="n">
        <f aca="false">SUMIFS(Doors!AD:AD,Doors!$A:$A,$D153,Doors!$B:$B,$B153,Doors!$C:$C,$C153)*SUMIFS(Velocity!$I:$I,Velocity!$A:$A,$A153,Velocity!$B:$B,$C153)/Assumptions!$B$4*Assumptions!$B$6</f>
        <v>0</v>
      </c>
      <c r="S153" s="7" t="n">
        <f aca="false">SUMIFS(Doors!AE:AE,Doors!$A:$A,$D153,Doors!$B:$B,$B153,Doors!$C:$C,$C153)*SUMIFS(Velocity!$I:$I,Velocity!$A:$A,$A153,Velocity!$B:$B,$C153)/Assumptions!$B$4*Assumptions!$B$6</f>
        <v>0</v>
      </c>
      <c r="T153" s="7" t="n">
        <f aca="false">SUMIFS(Doors!AF:AF,Doors!$A:$A,$D153,Doors!$B:$B,$B153,Doors!$C:$C,$C153)*SUMIFS(Velocity!$I:$I,Velocity!$A:$A,$A153,Velocity!$B:$B,$C153)/Assumptions!$B$4*Assumptions!$B$6</f>
        <v>0</v>
      </c>
      <c r="U153" s="7" t="n">
        <f aca="false">SUMIFS(Doors!AG:AG,Doors!$A:$A,$D153,Doors!$B:$B,$B153,Doors!$C:$C,$C153)*SUMIFS(Velocity!$I:$I,Velocity!$A:$A,$A153,Velocity!$B:$B,$C153)/Assumptions!$B$4*Assumptions!$B$6</f>
        <v>0</v>
      </c>
      <c r="V153" s="7" t="n">
        <f aca="false">SUMIFS(Doors!AH:AH,Doors!$A:$A,$D153,Doors!$B:$B,$B153,Doors!$C:$C,$C153)*SUMIFS(Velocity!$I:$I,Velocity!$A:$A,$A153,Velocity!$B:$B,$C153)/Assumptions!$B$4*Assumptions!$B$6</f>
        <v>0</v>
      </c>
      <c r="W153" s="7" t="n">
        <f aca="false">SUMIFS(Doors!AI:AI,Doors!$A:$A,$D153,Doors!$B:$B,$B153,Doors!$C:$C,$C153)*SUMIFS(Velocity!$I:$I,Velocity!$A:$A,$A153,Velocity!$B:$B,$C153)/Assumptions!$B$4*Assumptions!$B$6</f>
        <v>0</v>
      </c>
      <c r="X153" s="7" t="n">
        <f aca="false">SUMIFS(Doors!AJ:AJ,Doors!$A:$A,$D153,Doors!$B:$B,$B153,Doors!$C:$C,$C153)*SUMIFS(Velocity!$I:$I,Velocity!$A:$A,$A153,Velocity!$B:$B,$C153)/Assumptions!$B$4*Assumptions!$B$6</f>
        <v>0</v>
      </c>
      <c r="Y153" s="7" t="n">
        <f aca="false">SUMIFS(Doors!AK:AK,Doors!$A:$A,$D153,Doors!$B:$B,$B153,Doors!$C:$C,$C153)*SUMIFS(Velocity!$I:$I,Velocity!$A:$A,$A153,Velocity!$B:$B,$C153)/Assumptions!$B$4*Assumptions!$B$6</f>
        <v>0</v>
      </c>
      <c r="Z153" s="7" t="n">
        <f aca="false">SUMIFS(Doors!AL:AL,Doors!$A:$A,$D153,Doors!$B:$B,$B153,Doors!$C:$C,$C153)*SUMIFS(Velocity!$I:$I,Velocity!$A:$A,$A153,Velocity!$B:$B,$C153)/Assumptions!$B$4*Assumptions!$B$6</f>
        <v>0</v>
      </c>
      <c r="AA153" s="7" t="n">
        <f aca="false">SUMIFS(Doors!AM:AM,Doors!$A:$A,$D153,Doors!$B:$B,$B153,Doors!$C:$C,$C153)*SUMIFS(Velocity!$I:$I,Velocity!$A:$A,$A153,Velocity!$B:$B,$C153)/Assumptions!$B$4*Assumptions!$B$6</f>
        <v>0</v>
      </c>
      <c r="AB153" s="7" t="n">
        <f aca="false">SUMIFS(Doors!AN:AN,Doors!$A:$A,$D153,Doors!$B:$B,$B153,Doors!$C:$C,$C153)*SUMIFS(Velocity!$I:$I,Velocity!$A:$A,$A153,Velocity!$B:$B,$C153)/Assumptions!$B$4*Assumptions!$B$6</f>
        <v>0</v>
      </c>
      <c r="AC153" s="7" t="n">
        <f aca="false">SUMIFS(Doors!AO:AO,Doors!$A:$A,$D153,Doors!$B:$B,$B153,Doors!$C:$C,$C153)*SUMIFS(Velocity!$I:$I,Velocity!$A:$A,$A153,Velocity!$B:$B,$C153)/Assumptions!$B$4*Assumptions!$B$6</f>
        <v>0</v>
      </c>
      <c r="AD153" s="7" t="n">
        <f aca="false">SUMIFS(Doors!AP:AP,Doors!$A:$A,$D153,Doors!$B:$B,$B153,Doors!$C:$C,$C153)*SUMIFS(Velocity!$I:$I,Velocity!$A:$A,$A153,Velocity!$B:$B,$C153)/Assumptions!$B$4*Assumptions!$B$6</f>
        <v>0</v>
      </c>
      <c r="AE153" s="7" t="n">
        <f aca="false">SUMIFS(Doors!AQ:AQ,Doors!$A:$A,$D153,Doors!$B:$B,$B153,Doors!$C:$C,$C153)*SUMIFS(Velocity!$I:$I,Velocity!$A:$A,$A153,Velocity!$B:$B,$C153)/Assumptions!$B$4*Assumptions!$B$6</f>
        <v>0</v>
      </c>
      <c r="AF153" s="7" t="n">
        <f aca="false">SUMIFS(Doors!AR:AR,Doors!$A:$A,$D153,Doors!$B:$B,$B153,Doors!$C:$C,$C153)*SUMIFS(Velocity!$I:$I,Velocity!$A:$A,$A153,Velocity!$B:$B,$C153)/Assumptions!$B$4*Assumptions!$B$6</f>
        <v>0</v>
      </c>
      <c r="AG153" s="7" t="n">
        <f aca="false">SUMIFS(Doors!AS:AS,Doors!$A:$A,$D153,Doors!$B:$B,$B153,Doors!$C:$C,$C153)*SUMIFS(Velocity!$I:$I,Velocity!$A:$A,$A153,Velocity!$B:$B,$C153)/Assumptions!$B$4*Assumptions!$B$6</f>
        <v>0</v>
      </c>
      <c r="AH153" s="7" t="n">
        <f aca="false">SUMIFS(Doors!AT:AT,Doors!$A:$A,$D153,Doors!$B:$B,$B153,Doors!$C:$C,$C153)*SUMIFS(Velocity!$I:$I,Velocity!$A:$A,$A153,Velocity!$B:$B,$C153)/Assumptions!$B$4*Assumptions!$B$6</f>
        <v>0</v>
      </c>
      <c r="AI153" s="7" t="n">
        <f aca="false">SUMIFS(Doors!AU:AU,Doors!$A:$A,$D153,Doors!$B:$B,$B153,Doors!$C:$C,$C153)*SUMIFS(Velocity!$I:$I,Velocity!$A:$A,$A153,Velocity!$B:$B,$C153)/Assumptions!$B$4*Assumptions!$B$6</f>
        <v>0</v>
      </c>
      <c r="AJ153" s="7" t="n">
        <f aca="false">SUMIFS(Doors!AV:AV,Doors!$A:$A,$D153,Doors!$B:$B,$B153,Doors!$C:$C,$C153)*SUMIFS(Velocity!$I:$I,Velocity!$A:$A,$A153,Velocity!$B:$B,$C153)/Assumptions!$B$4*Assumptions!$B$6</f>
        <v>0</v>
      </c>
      <c r="AK153" s="7" t="n">
        <f aca="false">SUMIFS(Doors!AW:AW,Doors!$A:$A,$D153,Doors!$B:$B,$B153,Doors!$C:$C,$C153)*SUMIFS(Velocity!$I:$I,Velocity!$A:$A,$A153,Velocity!$B:$B,$C153)/Assumptions!$B$4*Assumptions!$B$6</f>
        <v>0</v>
      </c>
      <c r="AL153" s="7" t="n">
        <f aca="false">SUMIFS(Doors!AX:AX,Doors!$A:$A,$D153,Doors!$B:$B,$B153,Doors!$C:$C,$C153)*SUMIFS(Velocity!$I:$I,Velocity!$A:$A,$A153,Velocity!$B:$B,$C153)/Assumptions!$B$4*Assumptions!$B$6</f>
        <v>0</v>
      </c>
      <c r="AM153" s="7" t="n">
        <f aca="false">SUMIFS(Doors!AY:AY,Doors!$A:$A,$D153,Doors!$B:$B,$B153,Doors!$C:$C,$C153)*SUMIFS(Velocity!$I:$I,Velocity!$A:$A,$A153,Velocity!$B:$B,$C153)/Assumptions!$B$4*Assumptions!$B$6</f>
        <v>0</v>
      </c>
      <c r="AN153" s="7" t="n">
        <f aca="false">SUMIFS(Doors!AZ:AZ,Doors!$A:$A,$D153,Doors!$B:$B,$B153,Doors!$C:$C,$C153)*SUMIFS(Velocity!$I:$I,Velocity!$A:$A,$A153,Velocity!$B:$B,$C153)/Assumptions!$B$4*Assumptions!$B$6</f>
        <v>0</v>
      </c>
      <c r="AO153" s="7" t="n">
        <f aca="false">SUMIFS(Doors!BA:BA,Doors!$A:$A,$D153,Doors!$B:$B,$B153,Doors!$C:$C,$C153)*SUMIFS(Velocity!$I:$I,Velocity!$A:$A,$A153,Velocity!$B:$B,$C153)/Assumptions!$B$4*Assumptions!$B$6</f>
        <v>0</v>
      </c>
      <c r="AP153" s="7" t="n">
        <f aca="false">SUMIFS(Doors!BB:BB,Doors!$A:$A,$D153,Doors!$B:$B,$B153,Doors!$C:$C,$C153)*SUMIFS(Velocity!$I:$I,Velocity!$A:$A,$A153,Velocity!$B:$B,$C153)/Assumptions!$B$4*Assumptions!$B$6</f>
        <v>0</v>
      </c>
      <c r="AQ153" s="7" t="n">
        <f aca="false">SUMIFS(Doors!BC:BC,Doors!$A:$A,$D153,Doors!$B:$B,$B153,Doors!$C:$C,$C153)*SUMIFS(Velocity!$I:$I,Velocity!$A:$A,$A153,Velocity!$B:$B,$C153)/Assumptions!$B$4*Assumptions!$B$6</f>
        <v>0</v>
      </c>
      <c r="AR153" s="7" t="n">
        <f aca="false">SUMIFS(Doors!BD:BD,Doors!$A:$A,$D153,Doors!$B:$B,$B153,Doors!$C:$C,$C153)*SUMIFS(Velocity!$I:$I,Velocity!$A:$A,$A153,Velocity!$B:$B,$C153)/Assumptions!$B$4*Assumptions!$B$6</f>
        <v>20.75</v>
      </c>
      <c r="AS153" s="7" t="n">
        <f aca="false">SUMIFS(Doors!BE:BE,Doors!$A:$A,$D153,Doors!$B:$B,$B153,Doors!$C:$C,$C153)*SUMIFS(Velocity!$I:$I,Velocity!$A:$A,$A153,Velocity!$B:$B,$C153)/Assumptions!$B$4*Assumptions!$B$6</f>
        <v>20.75</v>
      </c>
      <c r="AT153" s="7" t="n">
        <f aca="false">SUMIFS(Doors!BF:BF,Doors!$A:$A,$D153,Doors!$B:$B,$B153,Doors!$C:$C,$C153)*SUMIFS(Velocity!$I:$I,Velocity!$A:$A,$A153,Velocity!$B:$B,$C153)/Assumptions!$B$4*Assumptions!$B$6</f>
        <v>20.75</v>
      </c>
      <c r="AU153" s="7" t="n">
        <f aca="false">SUMIFS(Doors!BG:BG,Doors!$A:$A,$D153,Doors!$B:$B,$B153,Doors!$C:$C,$C153)*SUMIFS(Velocity!$I:$I,Velocity!$A:$A,$A153,Velocity!$B:$B,$C153)/Assumptions!$B$4*Assumptions!$B$6</f>
        <v>20.75</v>
      </c>
      <c r="AV153" s="7" t="n">
        <f aca="false">SUMIFS(Doors!BH:BH,Doors!$A:$A,$D153,Doors!$B:$B,$B153,Doors!$C:$C,$C153)*SUMIFS(Velocity!$I:$I,Velocity!$A:$A,$A153,Velocity!$B:$B,$C153)/Assumptions!$B$4*Assumptions!$B$6</f>
        <v>20.75</v>
      </c>
      <c r="AW153" s="7" t="n">
        <f aca="false">SUMIFS(Doors!BI:BI,Doors!$A:$A,$D153,Doors!$B:$B,$B153,Doors!$C:$C,$C153)*SUMIFS(Velocity!$I:$I,Velocity!$A:$A,$A153,Velocity!$B:$B,$C153)/Assumptions!$B$4*Assumptions!$B$6</f>
        <v>27.6666666666667</v>
      </c>
      <c r="AX153" s="7" t="n">
        <f aca="false">SUMIFS(Doors!BJ:BJ,Doors!$A:$A,$D153,Doors!$B:$B,$B153,Doors!$C:$C,$C153)*SUMIFS(Velocity!$I:$I,Velocity!$A:$A,$A153,Velocity!$B:$B,$C153)/Assumptions!$B$4*Assumptions!$B$6</f>
        <v>27.6666666666667</v>
      </c>
      <c r="AY153" s="7" t="n">
        <f aca="false">SUMIFS(Doors!BK:BK,Doors!$A:$A,$D153,Doors!$B:$B,$B153,Doors!$C:$C,$C153)*SUMIFS(Velocity!$I:$I,Velocity!$A:$A,$A153,Velocity!$B:$B,$C153)/Assumptions!$B$4*Assumptions!$B$6</f>
        <v>27.6666666666667</v>
      </c>
      <c r="AZ153" s="7" t="n">
        <f aca="false">SUMIFS(Doors!BL:BL,Doors!$A:$A,$D153,Doors!$B:$B,$B153,Doors!$C:$C,$C153)*SUMIFS(Velocity!$I:$I,Velocity!$A:$A,$A153,Velocity!$B:$B,$C153)/Assumptions!$B$4*Assumptions!$B$6</f>
        <v>27.6666666666667</v>
      </c>
      <c r="BA153" s="7" t="n">
        <f aca="false">SUMIFS(Doors!BM:BM,Doors!$A:$A,$D153,Doors!$B:$B,$B153,Doors!$C:$C,$C153)*SUMIFS(Velocity!$I:$I,Velocity!$A:$A,$A153,Velocity!$B:$B,$C153)/Assumptions!$B$4*Assumptions!$B$6</f>
        <v>34.5833333333333</v>
      </c>
      <c r="BB153" s="7" t="n">
        <f aca="false">SUMIFS(Doors!BN:BN,Doors!$A:$A,$D153,Doors!$B:$B,$B153,Doors!$C:$C,$C153)*SUMIFS(Velocity!$I:$I,Velocity!$A:$A,$A153,Velocity!$B:$B,$C153)/Assumptions!$B$4*Assumptions!$B$6</f>
        <v>34.5833333333333</v>
      </c>
      <c r="BC153" s="7" t="n">
        <f aca="false">SUMIFS(Doors!BO:BO,Doors!$A:$A,$D153,Doors!$B:$B,$B153,Doors!$C:$C,$C153)*SUMIFS(Velocity!$I:$I,Velocity!$A:$A,$A153,Velocity!$B:$B,$C153)/Assumptions!$B$4*Assumptions!$B$6</f>
        <v>34.5833333333333</v>
      </c>
      <c r="BD153" s="7" t="n">
        <f aca="false">SUMIFS(Doors!BP:BP,Doors!$A:$A,$D153,Doors!$B:$B,$B153,Doors!$C:$C,$C153)*SUMIFS(Velocity!$I:$I,Velocity!$A:$A,$A153,Velocity!$B:$B,$C153)/Assumptions!$B$4*Assumptions!$B$6</f>
        <v>34.5833333333333</v>
      </c>
    </row>
    <row r="154" customFormat="false" ht="15" hidden="false" customHeight="false" outlineLevel="0" collapsed="false">
      <c r="A154" s="0" t="s">
        <v>109</v>
      </c>
      <c r="B154" s="0" t="s">
        <v>132</v>
      </c>
      <c r="C154" s="0" t="s">
        <v>119</v>
      </c>
      <c r="D154" s="0" t="s">
        <v>235</v>
      </c>
      <c r="E154" s="7" t="n">
        <f aca="false">SUMIFS(Doors!Q:Q,Doors!$A:$A,$D154,Doors!$B:$B,$B154,Doors!$C:$C,$C154)*SUMIFS(Velocity!$I:$I,Velocity!$A:$A,$A154,Velocity!$B:$B,$C154)/Assumptions!$B$4*Assumptions!$B$6</f>
        <v>0.5</v>
      </c>
      <c r="F154" s="7" t="n">
        <f aca="false">SUMIFS(Doors!R:R,Doors!$A:$A,$D154,Doors!$B:$B,$B154,Doors!$C:$C,$C154)*SUMIFS(Velocity!$I:$I,Velocity!$A:$A,$A154,Velocity!$B:$B,$C154)/Assumptions!$B$4*Assumptions!$B$6</f>
        <v>0.5</v>
      </c>
      <c r="G154" s="7" t="n">
        <f aca="false">SUMIFS(Doors!S:S,Doors!$A:$A,$D154,Doors!$B:$B,$B154,Doors!$C:$C,$C154)*SUMIFS(Velocity!$I:$I,Velocity!$A:$A,$A154,Velocity!$B:$B,$C154)/Assumptions!$B$4*Assumptions!$B$6</f>
        <v>0.5</v>
      </c>
      <c r="H154" s="7" t="n">
        <f aca="false">SUMIFS(Doors!T:T,Doors!$A:$A,$D154,Doors!$B:$B,$B154,Doors!$C:$C,$C154)*SUMIFS(Velocity!$I:$I,Velocity!$A:$A,$A154,Velocity!$B:$B,$C154)/Assumptions!$B$4*Assumptions!$B$6</f>
        <v>0.5</v>
      </c>
      <c r="I154" s="7" t="n">
        <f aca="false">SUMIFS(Doors!U:U,Doors!$A:$A,$D154,Doors!$B:$B,$B154,Doors!$C:$C,$C154)*SUMIFS(Velocity!$I:$I,Velocity!$A:$A,$A154,Velocity!$B:$B,$C154)/Assumptions!$B$4*Assumptions!$B$6</f>
        <v>0.5</v>
      </c>
      <c r="J154" s="7" t="n">
        <f aca="false">SUMIFS(Doors!V:V,Doors!$A:$A,$D154,Doors!$B:$B,$B154,Doors!$C:$C,$C154)*SUMIFS(Velocity!$I:$I,Velocity!$A:$A,$A154,Velocity!$B:$B,$C154)/Assumptions!$B$4*Assumptions!$B$6</f>
        <v>0.833333333333333</v>
      </c>
      <c r="K154" s="7" t="n">
        <f aca="false">SUMIFS(Doors!W:W,Doors!$A:$A,$D154,Doors!$B:$B,$B154,Doors!$C:$C,$C154)*SUMIFS(Velocity!$I:$I,Velocity!$A:$A,$A154,Velocity!$B:$B,$C154)/Assumptions!$B$4*Assumptions!$B$6</f>
        <v>0.833333333333333</v>
      </c>
      <c r="L154" s="7" t="n">
        <f aca="false">SUMIFS(Doors!X:X,Doors!$A:$A,$D154,Doors!$B:$B,$B154,Doors!$C:$C,$C154)*SUMIFS(Velocity!$I:$I,Velocity!$A:$A,$A154,Velocity!$B:$B,$C154)/Assumptions!$B$4*Assumptions!$B$6</f>
        <v>0.833333333333333</v>
      </c>
      <c r="M154" s="7" t="n">
        <f aca="false">SUMIFS(Doors!Y:Y,Doors!$A:$A,$D154,Doors!$B:$B,$B154,Doors!$C:$C,$C154)*SUMIFS(Velocity!$I:$I,Velocity!$A:$A,$A154,Velocity!$B:$B,$C154)/Assumptions!$B$4*Assumptions!$B$6</f>
        <v>0.833333333333333</v>
      </c>
      <c r="N154" s="7" t="n">
        <f aca="false">SUMIFS(Doors!Z:Z,Doors!$A:$A,$D154,Doors!$B:$B,$B154,Doors!$C:$C,$C154)*SUMIFS(Velocity!$I:$I,Velocity!$A:$A,$A154,Velocity!$B:$B,$C154)/Assumptions!$B$4*Assumptions!$B$6</f>
        <v>1.16666666666667</v>
      </c>
      <c r="O154" s="7" t="n">
        <f aca="false">SUMIFS(Doors!AA:AA,Doors!$A:$A,$D154,Doors!$B:$B,$B154,Doors!$C:$C,$C154)*SUMIFS(Velocity!$I:$I,Velocity!$A:$A,$A154,Velocity!$B:$B,$C154)/Assumptions!$B$4*Assumptions!$B$6</f>
        <v>1.16666666666667</v>
      </c>
      <c r="P154" s="7" t="n">
        <f aca="false">SUMIFS(Doors!AB:AB,Doors!$A:$A,$D154,Doors!$B:$B,$B154,Doors!$C:$C,$C154)*SUMIFS(Velocity!$I:$I,Velocity!$A:$A,$A154,Velocity!$B:$B,$C154)/Assumptions!$B$4*Assumptions!$B$6</f>
        <v>1.16666666666667</v>
      </c>
      <c r="Q154" s="7" t="n">
        <f aca="false">SUMIFS(Doors!AC:AC,Doors!$A:$A,$D154,Doors!$B:$B,$B154,Doors!$C:$C,$C154)*SUMIFS(Velocity!$I:$I,Velocity!$A:$A,$A154,Velocity!$B:$B,$C154)/Assumptions!$B$4*Assumptions!$B$6</f>
        <v>1.16666666666667</v>
      </c>
      <c r="R154" s="7" t="n">
        <f aca="false">SUMIFS(Doors!AD:AD,Doors!$A:$A,$D154,Doors!$B:$B,$B154,Doors!$C:$C,$C154)*SUMIFS(Velocity!$I:$I,Velocity!$A:$A,$A154,Velocity!$B:$B,$C154)/Assumptions!$B$4*Assumptions!$B$6</f>
        <v>1.5</v>
      </c>
      <c r="S154" s="7" t="n">
        <f aca="false">SUMIFS(Doors!AE:AE,Doors!$A:$A,$D154,Doors!$B:$B,$B154,Doors!$C:$C,$C154)*SUMIFS(Velocity!$I:$I,Velocity!$A:$A,$A154,Velocity!$B:$B,$C154)/Assumptions!$B$4*Assumptions!$B$6</f>
        <v>1.5</v>
      </c>
      <c r="T154" s="7" t="n">
        <f aca="false">SUMIFS(Doors!AF:AF,Doors!$A:$A,$D154,Doors!$B:$B,$B154,Doors!$C:$C,$C154)*SUMIFS(Velocity!$I:$I,Velocity!$A:$A,$A154,Velocity!$B:$B,$C154)/Assumptions!$B$4*Assumptions!$B$6</f>
        <v>1.5</v>
      </c>
      <c r="U154" s="7" t="n">
        <f aca="false">SUMIFS(Doors!AG:AG,Doors!$A:$A,$D154,Doors!$B:$B,$B154,Doors!$C:$C,$C154)*SUMIFS(Velocity!$I:$I,Velocity!$A:$A,$A154,Velocity!$B:$B,$C154)/Assumptions!$B$4*Assumptions!$B$6</f>
        <v>1.5</v>
      </c>
      <c r="V154" s="7" t="n">
        <f aca="false">SUMIFS(Doors!AH:AH,Doors!$A:$A,$D154,Doors!$B:$B,$B154,Doors!$C:$C,$C154)*SUMIFS(Velocity!$I:$I,Velocity!$A:$A,$A154,Velocity!$B:$B,$C154)/Assumptions!$B$4*Assumptions!$B$6</f>
        <v>1.5</v>
      </c>
      <c r="W154" s="7" t="n">
        <f aca="false">SUMIFS(Doors!AI:AI,Doors!$A:$A,$D154,Doors!$B:$B,$B154,Doors!$C:$C,$C154)*SUMIFS(Velocity!$I:$I,Velocity!$A:$A,$A154,Velocity!$B:$B,$C154)/Assumptions!$B$4*Assumptions!$B$6</f>
        <v>1.66666666666667</v>
      </c>
      <c r="X154" s="7" t="n">
        <f aca="false">SUMIFS(Doors!AJ:AJ,Doors!$A:$A,$D154,Doors!$B:$B,$B154,Doors!$C:$C,$C154)*SUMIFS(Velocity!$I:$I,Velocity!$A:$A,$A154,Velocity!$B:$B,$C154)/Assumptions!$B$4*Assumptions!$B$6</f>
        <v>1.66666666666667</v>
      </c>
      <c r="Y154" s="7" t="n">
        <f aca="false">SUMIFS(Doors!AK:AK,Doors!$A:$A,$D154,Doors!$B:$B,$B154,Doors!$C:$C,$C154)*SUMIFS(Velocity!$I:$I,Velocity!$A:$A,$A154,Velocity!$B:$B,$C154)/Assumptions!$B$4*Assumptions!$B$6</f>
        <v>1.66666666666667</v>
      </c>
      <c r="Z154" s="7" t="n">
        <f aca="false">SUMIFS(Doors!AL:AL,Doors!$A:$A,$D154,Doors!$B:$B,$B154,Doors!$C:$C,$C154)*SUMIFS(Velocity!$I:$I,Velocity!$A:$A,$A154,Velocity!$B:$B,$C154)/Assumptions!$B$4*Assumptions!$B$6</f>
        <v>1.66666666666667</v>
      </c>
      <c r="AA154" s="7" t="n">
        <f aca="false">SUMIFS(Doors!AM:AM,Doors!$A:$A,$D154,Doors!$B:$B,$B154,Doors!$C:$C,$C154)*SUMIFS(Velocity!$I:$I,Velocity!$A:$A,$A154,Velocity!$B:$B,$C154)/Assumptions!$B$4*Assumptions!$B$6</f>
        <v>1.83333333333333</v>
      </c>
      <c r="AB154" s="7" t="n">
        <f aca="false">SUMIFS(Doors!AN:AN,Doors!$A:$A,$D154,Doors!$B:$B,$B154,Doors!$C:$C,$C154)*SUMIFS(Velocity!$I:$I,Velocity!$A:$A,$A154,Velocity!$B:$B,$C154)/Assumptions!$B$4*Assumptions!$B$6</f>
        <v>1.83333333333333</v>
      </c>
      <c r="AC154" s="7" t="n">
        <f aca="false">SUMIFS(Doors!AO:AO,Doors!$A:$A,$D154,Doors!$B:$B,$B154,Doors!$C:$C,$C154)*SUMIFS(Velocity!$I:$I,Velocity!$A:$A,$A154,Velocity!$B:$B,$C154)/Assumptions!$B$4*Assumptions!$B$6</f>
        <v>1.83333333333333</v>
      </c>
      <c r="AD154" s="7" t="n">
        <f aca="false">SUMIFS(Doors!AP:AP,Doors!$A:$A,$D154,Doors!$B:$B,$B154,Doors!$C:$C,$C154)*SUMIFS(Velocity!$I:$I,Velocity!$A:$A,$A154,Velocity!$B:$B,$C154)/Assumptions!$B$4*Assumptions!$B$6</f>
        <v>1.83333333333333</v>
      </c>
      <c r="AE154" s="7" t="n">
        <f aca="false">SUMIFS(Doors!AQ:AQ,Doors!$A:$A,$D154,Doors!$B:$B,$B154,Doors!$C:$C,$C154)*SUMIFS(Velocity!$I:$I,Velocity!$A:$A,$A154,Velocity!$B:$B,$C154)/Assumptions!$B$4*Assumptions!$B$6</f>
        <v>2</v>
      </c>
      <c r="AF154" s="7" t="n">
        <f aca="false">SUMIFS(Doors!AR:AR,Doors!$A:$A,$D154,Doors!$B:$B,$B154,Doors!$C:$C,$C154)*SUMIFS(Velocity!$I:$I,Velocity!$A:$A,$A154,Velocity!$B:$B,$C154)/Assumptions!$B$4*Assumptions!$B$6</f>
        <v>2</v>
      </c>
      <c r="AG154" s="7" t="n">
        <f aca="false">SUMIFS(Doors!AS:AS,Doors!$A:$A,$D154,Doors!$B:$B,$B154,Doors!$C:$C,$C154)*SUMIFS(Velocity!$I:$I,Velocity!$A:$A,$A154,Velocity!$B:$B,$C154)/Assumptions!$B$4*Assumptions!$B$6</f>
        <v>2</v>
      </c>
      <c r="AH154" s="7" t="n">
        <f aca="false">SUMIFS(Doors!AT:AT,Doors!$A:$A,$D154,Doors!$B:$B,$B154,Doors!$C:$C,$C154)*SUMIFS(Velocity!$I:$I,Velocity!$A:$A,$A154,Velocity!$B:$B,$C154)/Assumptions!$B$4*Assumptions!$B$6</f>
        <v>2</v>
      </c>
      <c r="AI154" s="7" t="n">
        <f aca="false">SUMIFS(Doors!AU:AU,Doors!$A:$A,$D154,Doors!$B:$B,$B154,Doors!$C:$C,$C154)*SUMIFS(Velocity!$I:$I,Velocity!$A:$A,$A154,Velocity!$B:$B,$C154)/Assumptions!$B$4*Assumptions!$B$6</f>
        <v>2</v>
      </c>
      <c r="AJ154" s="7" t="n">
        <f aca="false">SUMIFS(Doors!AV:AV,Doors!$A:$A,$D154,Doors!$B:$B,$B154,Doors!$C:$C,$C154)*SUMIFS(Velocity!$I:$I,Velocity!$A:$A,$A154,Velocity!$B:$B,$C154)/Assumptions!$B$4*Assumptions!$B$6</f>
        <v>2.16666666666667</v>
      </c>
      <c r="AK154" s="7" t="n">
        <f aca="false">SUMIFS(Doors!AW:AW,Doors!$A:$A,$D154,Doors!$B:$B,$B154,Doors!$C:$C,$C154)*SUMIFS(Velocity!$I:$I,Velocity!$A:$A,$A154,Velocity!$B:$B,$C154)/Assumptions!$B$4*Assumptions!$B$6</f>
        <v>2.16666666666667</v>
      </c>
      <c r="AL154" s="7" t="n">
        <f aca="false">SUMIFS(Doors!AX:AX,Doors!$A:$A,$D154,Doors!$B:$B,$B154,Doors!$C:$C,$C154)*SUMIFS(Velocity!$I:$I,Velocity!$A:$A,$A154,Velocity!$B:$B,$C154)/Assumptions!$B$4*Assumptions!$B$6</f>
        <v>2.16666666666667</v>
      </c>
      <c r="AM154" s="7" t="n">
        <f aca="false">SUMIFS(Doors!AY:AY,Doors!$A:$A,$D154,Doors!$B:$B,$B154,Doors!$C:$C,$C154)*SUMIFS(Velocity!$I:$I,Velocity!$A:$A,$A154,Velocity!$B:$B,$C154)/Assumptions!$B$4*Assumptions!$B$6</f>
        <v>2.16666666666667</v>
      </c>
      <c r="AN154" s="7" t="n">
        <f aca="false">SUMIFS(Doors!AZ:AZ,Doors!$A:$A,$D154,Doors!$B:$B,$B154,Doors!$C:$C,$C154)*SUMIFS(Velocity!$I:$I,Velocity!$A:$A,$A154,Velocity!$B:$B,$C154)/Assumptions!$B$4*Assumptions!$B$6</f>
        <v>2.33333333333333</v>
      </c>
      <c r="AO154" s="7" t="n">
        <f aca="false">SUMIFS(Doors!BA:BA,Doors!$A:$A,$D154,Doors!$B:$B,$B154,Doors!$C:$C,$C154)*SUMIFS(Velocity!$I:$I,Velocity!$A:$A,$A154,Velocity!$B:$B,$C154)/Assumptions!$B$4*Assumptions!$B$6</f>
        <v>2.33333333333333</v>
      </c>
      <c r="AP154" s="7" t="n">
        <f aca="false">SUMIFS(Doors!BB:BB,Doors!$A:$A,$D154,Doors!$B:$B,$B154,Doors!$C:$C,$C154)*SUMIFS(Velocity!$I:$I,Velocity!$A:$A,$A154,Velocity!$B:$B,$C154)/Assumptions!$B$4*Assumptions!$B$6</f>
        <v>2.33333333333333</v>
      </c>
      <c r="AQ154" s="7" t="n">
        <f aca="false">SUMIFS(Doors!BC:BC,Doors!$A:$A,$D154,Doors!$B:$B,$B154,Doors!$C:$C,$C154)*SUMIFS(Velocity!$I:$I,Velocity!$A:$A,$A154,Velocity!$B:$B,$C154)/Assumptions!$B$4*Assumptions!$B$6</f>
        <v>2.33333333333333</v>
      </c>
      <c r="AR154" s="7" t="n">
        <f aca="false">SUMIFS(Doors!BD:BD,Doors!$A:$A,$D154,Doors!$B:$B,$B154,Doors!$C:$C,$C154)*SUMIFS(Velocity!$I:$I,Velocity!$A:$A,$A154,Velocity!$B:$B,$C154)/Assumptions!$B$4*Assumptions!$B$6</f>
        <v>2.33333333333333</v>
      </c>
      <c r="AS154" s="7" t="n">
        <f aca="false">SUMIFS(Doors!BE:BE,Doors!$A:$A,$D154,Doors!$B:$B,$B154,Doors!$C:$C,$C154)*SUMIFS(Velocity!$I:$I,Velocity!$A:$A,$A154,Velocity!$B:$B,$C154)/Assumptions!$B$4*Assumptions!$B$6</f>
        <v>2.33333333333333</v>
      </c>
      <c r="AT154" s="7" t="n">
        <f aca="false">SUMIFS(Doors!BF:BF,Doors!$A:$A,$D154,Doors!$B:$B,$B154,Doors!$C:$C,$C154)*SUMIFS(Velocity!$I:$I,Velocity!$A:$A,$A154,Velocity!$B:$B,$C154)/Assumptions!$B$4*Assumptions!$B$6</f>
        <v>2.33333333333333</v>
      </c>
      <c r="AU154" s="7" t="n">
        <f aca="false">SUMIFS(Doors!BG:BG,Doors!$A:$A,$D154,Doors!$B:$B,$B154,Doors!$C:$C,$C154)*SUMIFS(Velocity!$I:$I,Velocity!$A:$A,$A154,Velocity!$B:$B,$C154)/Assumptions!$B$4*Assumptions!$B$6</f>
        <v>2.33333333333333</v>
      </c>
      <c r="AV154" s="7" t="n">
        <f aca="false">SUMIFS(Doors!BH:BH,Doors!$A:$A,$D154,Doors!$B:$B,$B154,Doors!$C:$C,$C154)*SUMIFS(Velocity!$I:$I,Velocity!$A:$A,$A154,Velocity!$B:$B,$C154)/Assumptions!$B$4*Assumptions!$B$6</f>
        <v>2.33333333333333</v>
      </c>
      <c r="AW154" s="7" t="n">
        <f aca="false">SUMIFS(Doors!BI:BI,Doors!$A:$A,$D154,Doors!$B:$B,$B154,Doors!$C:$C,$C154)*SUMIFS(Velocity!$I:$I,Velocity!$A:$A,$A154,Velocity!$B:$B,$C154)/Assumptions!$B$4*Assumptions!$B$6</f>
        <v>2.5</v>
      </c>
      <c r="AX154" s="7" t="n">
        <f aca="false">SUMIFS(Doors!BJ:BJ,Doors!$A:$A,$D154,Doors!$B:$B,$B154,Doors!$C:$C,$C154)*SUMIFS(Velocity!$I:$I,Velocity!$A:$A,$A154,Velocity!$B:$B,$C154)/Assumptions!$B$4*Assumptions!$B$6</f>
        <v>2.5</v>
      </c>
      <c r="AY154" s="7" t="n">
        <f aca="false">SUMIFS(Doors!BK:BK,Doors!$A:$A,$D154,Doors!$B:$B,$B154,Doors!$C:$C,$C154)*SUMIFS(Velocity!$I:$I,Velocity!$A:$A,$A154,Velocity!$B:$B,$C154)/Assumptions!$B$4*Assumptions!$B$6</f>
        <v>2.5</v>
      </c>
      <c r="AZ154" s="7" t="n">
        <f aca="false">SUMIFS(Doors!BL:BL,Doors!$A:$A,$D154,Doors!$B:$B,$B154,Doors!$C:$C,$C154)*SUMIFS(Velocity!$I:$I,Velocity!$A:$A,$A154,Velocity!$B:$B,$C154)/Assumptions!$B$4*Assumptions!$B$6</f>
        <v>2.5</v>
      </c>
      <c r="BA154" s="7" t="n">
        <f aca="false">SUMIFS(Doors!BM:BM,Doors!$A:$A,$D154,Doors!$B:$B,$B154,Doors!$C:$C,$C154)*SUMIFS(Velocity!$I:$I,Velocity!$A:$A,$A154,Velocity!$B:$B,$C154)/Assumptions!$B$4*Assumptions!$B$6</f>
        <v>2.5</v>
      </c>
      <c r="BB154" s="7" t="n">
        <f aca="false">SUMIFS(Doors!BN:BN,Doors!$A:$A,$D154,Doors!$B:$B,$B154,Doors!$C:$C,$C154)*SUMIFS(Velocity!$I:$I,Velocity!$A:$A,$A154,Velocity!$B:$B,$C154)/Assumptions!$B$4*Assumptions!$B$6</f>
        <v>2.5</v>
      </c>
      <c r="BC154" s="7" t="n">
        <f aca="false">SUMIFS(Doors!BO:BO,Doors!$A:$A,$D154,Doors!$B:$B,$B154,Doors!$C:$C,$C154)*SUMIFS(Velocity!$I:$I,Velocity!$A:$A,$A154,Velocity!$B:$B,$C154)/Assumptions!$B$4*Assumptions!$B$6</f>
        <v>2.5</v>
      </c>
      <c r="BD154" s="7" t="n">
        <f aca="false">SUMIFS(Doors!BP:BP,Doors!$A:$A,$D154,Doors!$B:$B,$B154,Doors!$C:$C,$C154)*SUMIFS(Velocity!$I:$I,Velocity!$A:$A,$A154,Velocity!$B:$B,$C154)/Assumptions!$B$4*Assumptions!$B$6</f>
        <v>2.5</v>
      </c>
    </row>
    <row r="155" customFormat="false" ht="15" hidden="false" customHeight="false" outlineLevel="0" collapsed="false">
      <c r="A155" s="0" t="s">
        <v>109</v>
      </c>
      <c r="B155" s="0" t="s">
        <v>132</v>
      </c>
      <c r="C155" s="0" t="s">
        <v>120</v>
      </c>
      <c r="D155" s="0" t="s">
        <v>235</v>
      </c>
      <c r="E155" s="7" t="n">
        <f aca="false">SUMIFS(Doors!Q:Q,Doors!$A:$A,$D155,Doors!$B:$B,$B155,Doors!$C:$C,$C155)*SUMIFS(Velocity!$I:$I,Velocity!$A:$A,$A155,Velocity!$B:$B,$C155)/Assumptions!$B$4*Assumptions!$B$6</f>
        <v>0.59375</v>
      </c>
      <c r="F155" s="7" t="n">
        <f aca="false">SUMIFS(Doors!R:R,Doors!$A:$A,$D155,Doors!$B:$B,$B155,Doors!$C:$C,$C155)*SUMIFS(Velocity!$I:$I,Velocity!$A:$A,$A155,Velocity!$B:$B,$C155)/Assumptions!$B$4*Assumptions!$B$6</f>
        <v>0.59375</v>
      </c>
      <c r="G155" s="7" t="n">
        <f aca="false">SUMIFS(Doors!S:S,Doors!$A:$A,$D155,Doors!$B:$B,$B155,Doors!$C:$C,$C155)*SUMIFS(Velocity!$I:$I,Velocity!$A:$A,$A155,Velocity!$B:$B,$C155)/Assumptions!$B$4*Assumptions!$B$6</f>
        <v>0.59375</v>
      </c>
      <c r="H155" s="7" t="n">
        <f aca="false">SUMIFS(Doors!T:T,Doors!$A:$A,$D155,Doors!$B:$B,$B155,Doors!$C:$C,$C155)*SUMIFS(Velocity!$I:$I,Velocity!$A:$A,$A155,Velocity!$B:$B,$C155)/Assumptions!$B$4*Assumptions!$B$6</f>
        <v>0.59375</v>
      </c>
      <c r="I155" s="7" t="n">
        <f aca="false">SUMIFS(Doors!U:U,Doors!$A:$A,$D155,Doors!$B:$B,$B155,Doors!$C:$C,$C155)*SUMIFS(Velocity!$I:$I,Velocity!$A:$A,$A155,Velocity!$B:$B,$C155)/Assumptions!$B$4*Assumptions!$B$6</f>
        <v>0.59375</v>
      </c>
      <c r="J155" s="7" t="n">
        <f aca="false">SUMIFS(Doors!V:V,Doors!$A:$A,$D155,Doors!$B:$B,$B155,Doors!$C:$C,$C155)*SUMIFS(Velocity!$I:$I,Velocity!$A:$A,$A155,Velocity!$B:$B,$C155)/Assumptions!$B$4*Assumptions!$B$6</f>
        <v>0.989583333333333</v>
      </c>
      <c r="K155" s="7" t="n">
        <f aca="false">SUMIFS(Doors!W:W,Doors!$A:$A,$D155,Doors!$B:$B,$B155,Doors!$C:$C,$C155)*SUMIFS(Velocity!$I:$I,Velocity!$A:$A,$A155,Velocity!$B:$B,$C155)/Assumptions!$B$4*Assumptions!$B$6</f>
        <v>0.989583333333333</v>
      </c>
      <c r="L155" s="7" t="n">
        <f aca="false">SUMIFS(Doors!X:X,Doors!$A:$A,$D155,Doors!$B:$B,$B155,Doors!$C:$C,$C155)*SUMIFS(Velocity!$I:$I,Velocity!$A:$A,$A155,Velocity!$B:$B,$C155)/Assumptions!$B$4*Assumptions!$B$6</f>
        <v>0.989583333333333</v>
      </c>
      <c r="M155" s="7" t="n">
        <f aca="false">SUMIFS(Doors!Y:Y,Doors!$A:$A,$D155,Doors!$B:$B,$B155,Doors!$C:$C,$C155)*SUMIFS(Velocity!$I:$I,Velocity!$A:$A,$A155,Velocity!$B:$B,$C155)/Assumptions!$B$4*Assumptions!$B$6</f>
        <v>0.989583333333333</v>
      </c>
      <c r="N155" s="7" t="n">
        <f aca="false">SUMIFS(Doors!Z:Z,Doors!$A:$A,$D155,Doors!$B:$B,$B155,Doors!$C:$C,$C155)*SUMIFS(Velocity!$I:$I,Velocity!$A:$A,$A155,Velocity!$B:$B,$C155)/Assumptions!$B$4*Assumptions!$B$6</f>
        <v>1.38541666666667</v>
      </c>
      <c r="O155" s="7" t="n">
        <f aca="false">SUMIFS(Doors!AA:AA,Doors!$A:$A,$D155,Doors!$B:$B,$B155,Doors!$C:$C,$C155)*SUMIFS(Velocity!$I:$I,Velocity!$A:$A,$A155,Velocity!$B:$B,$C155)/Assumptions!$B$4*Assumptions!$B$6</f>
        <v>1.38541666666667</v>
      </c>
      <c r="P155" s="7" t="n">
        <f aca="false">SUMIFS(Doors!AB:AB,Doors!$A:$A,$D155,Doors!$B:$B,$B155,Doors!$C:$C,$C155)*SUMIFS(Velocity!$I:$I,Velocity!$A:$A,$A155,Velocity!$B:$B,$C155)/Assumptions!$B$4*Assumptions!$B$6</f>
        <v>1.38541666666667</v>
      </c>
      <c r="Q155" s="7" t="n">
        <f aca="false">SUMIFS(Doors!AC:AC,Doors!$A:$A,$D155,Doors!$B:$B,$B155,Doors!$C:$C,$C155)*SUMIFS(Velocity!$I:$I,Velocity!$A:$A,$A155,Velocity!$B:$B,$C155)/Assumptions!$B$4*Assumptions!$B$6</f>
        <v>1.38541666666667</v>
      </c>
      <c r="R155" s="7" t="n">
        <f aca="false">SUMIFS(Doors!AD:AD,Doors!$A:$A,$D155,Doors!$B:$B,$B155,Doors!$C:$C,$C155)*SUMIFS(Velocity!$I:$I,Velocity!$A:$A,$A155,Velocity!$B:$B,$C155)/Assumptions!$B$4*Assumptions!$B$6</f>
        <v>1.78125</v>
      </c>
      <c r="S155" s="7" t="n">
        <f aca="false">SUMIFS(Doors!AE:AE,Doors!$A:$A,$D155,Doors!$B:$B,$B155,Doors!$C:$C,$C155)*SUMIFS(Velocity!$I:$I,Velocity!$A:$A,$A155,Velocity!$B:$B,$C155)/Assumptions!$B$4*Assumptions!$B$6</f>
        <v>1.78125</v>
      </c>
      <c r="T155" s="7" t="n">
        <f aca="false">SUMIFS(Doors!AF:AF,Doors!$A:$A,$D155,Doors!$B:$B,$B155,Doors!$C:$C,$C155)*SUMIFS(Velocity!$I:$I,Velocity!$A:$A,$A155,Velocity!$B:$B,$C155)/Assumptions!$B$4*Assumptions!$B$6</f>
        <v>1.78125</v>
      </c>
      <c r="U155" s="7" t="n">
        <f aca="false">SUMIFS(Doors!AG:AG,Doors!$A:$A,$D155,Doors!$B:$B,$B155,Doors!$C:$C,$C155)*SUMIFS(Velocity!$I:$I,Velocity!$A:$A,$A155,Velocity!$B:$B,$C155)/Assumptions!$B$4*Assumptions!$B$6</f>
        <v>1.78125</v>
      </c>
      <c r="V155" s="7" t="n">
        <f aca="false">SUMIFS(Doors!AH:AH,Doors!$A:$A,$D155,Doors!$B:$B,$B155,Doors!$C:$C,$C155)*SUMIFS(Velocity!$I:$I,Velocity!$A:$A,$A155,Velocity!$B:$B,$C155)/Assumptions!$B$4*Assumptions!$B$6</f>
        <v>1.78125</v>
      </c>
      <c r="W155" s="7" t="n">
        <f aca="false">SUMIFS(Doors!AI:AI,Doors!$A:$A,$D155,Doors!$B:$B,$B155,Doors!$C:$C,$C155)*SUMIFS(Velocity!$I:$I,Velocity!$A:$A,$A155,Velocity!$B:$B,$C155)/Assumptions!$B$4*Assumptions!$B$6</f>
        <v>2.17708333333333</v>
      </c>
      <c r="X155" s="7" t="n">
        <f aca="false">SUMIFS(Doors!AJ:AJ,Doors!$A:$A,$D155,Doors!$B:$B,$B155,Doors!$C:$C,$C155)*SUMIFS(Velocity!$I:$I,Velocity!$A:$A,$A155,Velocity!$B:$B,$C155)/Assumptions!$B$4*Assumptions!$B$6</f>
        <v>2.17708333333333</v>
      </c>
      <c r="Y155" s="7" t="n">
        <f aca="false">SUMIFS(Doors!AK:AK,Doors!$A:$A,$D155,Doors!$B:$B,$B155,Doors!$C:$C,$C155)*SUMIFS(Velocity!$I:$I,Velocity!$A:$A,$A155,Velocity!$B:$B,$C155)/Assumptions!$B$4*Assumptions!$B$6</f>
        <v>2.17708333333333</v>
      </c>
      <c r="Z155" s="7" t="n">
        <f aca="false">SUMIFS(Doors!AL:AL,Doors!$A:$A,$D155,Doors!$B:$B,$B155,Doors!$C:$C,$C155)*SUMIFS(Velocity!$I:$I,Velocity!$A:$A,$A155,Velocity!$B:$B,$C155)/Assumptions!$B$4*Assumptions!$B$6</f>
        <v>2.17708333333333</v>
      </c>
      <c r="AA155" s="7" t="n">
        <f aca="false">SUMIFS(Doors!AM:AM,Doors!$A:$A,$D155,Doors!$B:$B,$B155,Doors!$C:$C,$C155)*SUMIFS(Velocity!$I:$I,Velocity!$A:$A,$A155,Velocity!$B:$B,$C155)/Assumptions!$B$4*Assumptions!$B$6</f>
        <v>2.375</v>
      </c>
      <c r="AB155" s="7" t="n">
        <f aca="false">SUMIFS(Doors!AN:AN,Doors!$A:$A,$D155,Doors!$B:$B,$B155,Doors!$C:$C,$C155)*SUMIFS(Velocity!$I:$I,Velocity!$A:$A,$A155,Velocity!$B:$B,$C155)/Assumptions!$B$4*Assumptions!$B$6</f>
        <v>2.375</v>
      </c>
      <c r="AC155" s="7" t="n">
        <f aca="false">SUMIFS(Doors!AO:AO,Doors!$A:$A,$D155,Doors!$B:$B,$B155,Doors!$C:$C,$C155)*SUMIFS(Velocity!$I:$I,Velocity!$A:$A,$A155,Velocity!$B:$B,$C155)/Assumptions!$B$4*Assumptions!$B$6</f>
        <v>2.375</v>
      </c>
      <c r="AD155" s="7" t="n">
        <f aca="false">SUMIFS(Doors!AP:AP,Doors!$A:$A,$D155,Doors!$B:$B,$B155,Doors!$C:$C,$C155)*SUMIFS(Velocity!$I:$I,Velocity!$A:$A,$A155,Velocity!$B:$B,$C155)/Assumptions!$B$4*Assumptions!$B$6</f>
        <v>2.375</v>
      </c>
      <c r="AE155" s="7" t="n">
        <f aca="false">SUMIFS(Doors!AQ:AQ,Doors!$A:$A,$D155,Doors!$B:$B,$B155,Doors!$C:$C,$C155)*SUMIFS(Velocity!$I:$I,Velocity!$A:$A,$A155,Velocity!$B:$B,$C155)/Assumptions!$B$4*Assumptions!$B$6</f>
        <v>2.57291666666667</v>
      </c>
      <c r="AF155" s="7" t="n">
        <f aca="false">SUMIFS(Doors!AR:AR,Doors!$A:$A,$D155,Doors!$B:$B,$B155,Doors!$C:$C,$C155)*SUMIFS(Velocity!$I:$I,Velocity!$A:$A,$A155,Velocity!$B:$B,$C155)/Assumptions!$B$4*Assumptions!$B$6</f>
        <v>2.57291666666667</v>
      </c>
      <c r="AG155" s="7" t="n">
        <f aca="false">SUMIFS(Doors!AS:AS,Doors!$A:$A,$D155,Doors!$B:$B,$B155,Doors!$C:$C,$C155)*SUMIFS(Velocity!$I:$I,Velocity!$A:$A,$A155,Velocity!$B:$B,$C155)/Assumptions!$B$4*Assumptions!$B$6</f>
        <v>2.57291666666667</v>
      </c>
      <c r="AH155" s="7" t="n">
        <f aca="false">SUMIFS(Doors!AT:AT,Doors!$A:$A,$D155,Doors!$B:$B,$B155,Doors!$C:$C,$C155)*SUMIFS(Velocity!$I:$I,Velocity!$A:$A,$A155,Velocity!$B:$B,$C155)/Assumptions!$B$4*Assumptions!$B$6</f>
        <v>2.57291666666667</v>
      </c>
      <c r="AI155" s="7" t="n">
        <f aca="false">SUMIFS(Doors!AU:AU,Doors!$A:$A,$D155,Doors!$B:$B,$B155,Doors!$C:$C,$C155)*SUMIFS(Velocity!$I:$I,Velocity!$A:$A,$A155,Velocity!$B:$B,$C155)/Assumptions!$B$4*Assumptions!$B$6</f>
        <v>2.57291666666667</v>
      </c>
      <c r="AJ155" s="7" t="n">
        <f aca="false">SUMIFS(Doors!AV:AV,Doors!$A:$A,$D155,Doors!$B:$B,$B155,Doors!$C:$C,$C155)*SUMIFS(Velocity!$I:$I,Velocity!$A:$A,$A155,Velocity!$B:$B,$C155)/Assumptions!$B$4*Assumptions!$B$6</f>
        <v>2.77083333333333</v>
      </c>
      <c r="AK155" s="7" t="n">
        <f aca="false">SUMIFS(Doors!AW:AW,Doors!$A:$A,$D155,Doors!$B:$B,$B155,Doors!$C:$C,$C155)*SUMIFS(Velocity!$I:$I,Velocity!$A:$A,$A155,Velocity!$B:$B,$C155)/Assumptions!$B$4*Assumptions!$B$6</f>
        <v>2.77083333333333</v>
      </c>
      <c r="AL155" s="7" t="n">
        <f aca="false">SUMIFS(Doors!AX:AX,Doors!$A:$A,$D155,Doors!$B:$B,$B155,Doors!$C:$C,$C155)*SUMIFS(Velocity!$I:$I,Velocity!$A:$A,$A155,Velocity!$B:$B,$C155)/Assumptions!$B$4*Assumptions!$B$6</f>
        <v>2.77083333333333</v>
      </c>
      <c r="AM155" s="7" t="n">
        <f aca="false">SUMIFS(Doors!AY:AY,Doors!$A:$A,$D155,Doors!$B:$B,$B155,Doors!$C:$C,$C155)*SUMIFS(Velocity!$I:$I,Velocity!$A:$A,$A155,Velocity!$B:$B,$C155)/Assumptions!$B$4*Assumptions!$B$6</f>
        <v>2.77083333333333</v>
      </c>
      <c r="AN155" s="7" t="n">
        <f aca="false">SUMIFS(Doors!AZ:AZ,Doors!$A:$A,$D155,Doors!$B:$B,$B155,Doors!$C:$C,$C155)*SUMIFS(Velocity!$I:$I,Velocity!$A:$A,$A155,Velocity!$B:$B,$C155)/Assumptions!$B$4*Assumptions!$B$6</f>
        <v>2.77083333333333</v>
      </c>
      <c r="AO155" s="7" t="n">
        <f aca="false">SUMIFS(Doors!BA:BA,Doors!$A:$A,$D155,Doors!$B:$B,$B155,Doors!$C:$C,$C155)*SUMIFS(Velocity!$I:$I,Velocity!$A:$A,$A155,Velocity!$B:$B,$C155)/Assumptions!$B$4*Assumptions!$B$6</f>
        <v>2.77083333333333</v>
      </c>
      <c r="AP155" s="7" t="n">
        <f aca="false">SUMIFS(Doors!BB:BB,Doors!$A:$A,$D155,Doors!$B:$B,$B155,Doors!$C:$C,$C155)*SUMIFS(Velocity!$I:$I,Velocity!$A:$A,$A155,Velocity!$B:$B,$C155)/Assumptions!$B$4*Assumptions!$B$6</f>
        <v>2.77083333333333</v>
      </c>
      <c r="AQ155" s="7" t="n">
        <f aca="false">SUMIFS(Doors!BC:BC,Doors!$A:$A,$D155,Doors!$B:$B,$B155,Doors!$C:$C,$C155)*SUMIFS(Velocity!$I:$I,Velocity!$A:$A,$A155,Velocity!$B:$B,$C155)/Assumptions!$B$4*Assumptions!$B$6</f>
        <v>2.77083333333333</v>
      </c>
      <c r="AR155" s="7" t="n">
        <f aca="false">SUMIFS(Doors!BD:BD,Doors!$A:$A,$D155,Doors!$B:$B,$B155,Doors!$C:$C,$C155)*SUMIFS(Velocity!$I:$I,Velocity!$A:$A,$A155,Velocity!$B:$B,$C155)/Assumptions!$B$4*Assumptions!$B$6</f>
        <v>2.96875</v>
      </c>
      <c r="AS155" s="7" t="n">
        <f aca="false">SUMIFS(Doors!BE:BE,Doors!$A:$A,$D155,Doors!$B:$B,$B155,Doors!$C:$C,$C155)*SUMIFS(Velocity!$I:$I,Velocity!$A:$A,$A155,Velocity!$B:$B,$C155)/Assumptions!$B$4*Assumptions!$B$6</f>
        <v>2.96875</v>
      </c>
      <c r="AT155" s="7" t="n">
        <f aca="false">SUMIFS(Doors!BF:BF,Doors!$A:$A,$D155,Doors!$B:$B,$B155,Doors!$C:$C,$C155)*SUMIFS(Velocity!$I:$I,Velocity!$A:$A,$A155,Velocity!$B:$B,$C155)/Assumptions!$B$4*Assumptions!$B$6</f>
        <v>2.96875</v>
      </c>
      <c r="AU155" s="7" t="n">
        <f aca="false">SUMIFS(Doors!BG:BG,Doors!$A:$A,$D155,Doors!$B:$B,$B155,Doors!$C:$C,$C155)*SUMIFS(Velocity!$I:$I,Velocity!$A:$A,$A155,Velocity!$B:$B,$C155)/Assumptions!$B$4*Assumptions!$B$6</f>
        <v>2.96875</v>
      </c>
      <c r="AV155" s="7" t="n">
        <f aca="false">SUMIFS(Doors!BH:BH,Doors!$A:$A,$D155,Doors!$B:$B,$B155,Doors!$C:$C,$C155)*SUMIFS(Velocity!$I:$I,Velocity!$A:$A,$A155,Velocity!$B:$B,$C155)/Assumptions!$B$4*Assumptions!$B$6</f>
        <v>2.96875</v>
      </c>
      <c r="AW155" s="7" t="n">
        <f aca="false">SUMIFS(Doors!BI:BI,Doors!$A:$A,$D155,Doors!$B:$B,$B155,Doors!$C:$C,$C155)*SUMIFS(Velocity!$I:$I,Velocity!$A:$A,$A155,Velocity!$B:$B,$C155)/Assumptions!$B$4*Assumptions!$B$6</f>
        <v>2.96875</v>
      </c>
      <c r="AX155" s="7" t="n">
        <f aca="false">SUMIFS(Doors!BJ:BJ,Doors!$A:$A,$D155,Doors!$B:$B,$B155,Doors!$C:$C,$C155)*SUMIFS(Velocity!$I:$I,Velocity!$A:$A,$A155,Velocity!$B:$B,$C155)/Assumptions!$B$4*Assumptions!$B$6</f>
        <v>2.96875</v>
      </c>
      <c r="AY155" s="7" t="n">
        <f aca="false">SUMIFS(Doors!BK:BK,Doors!$A:$A,$D155,Doors!$B:$B,$B155,Doors!$C:$C,$C155)*SUMIFS(Velocity!$I:$I,Velocity!$A:$A,$A155,Velocity!$B:$B,$C155)/Assumptions!$B$4*Assumptions!$B$6</f>
        <v>2.96875</v>
      </c>
      <c r="AZ155" s="7" t="n">
        <f aca="false">SUMIFS(Doors!BL:BL,Doors!$A:$A,$D155,Doors!$B:$B,$B155,Doors!$C:$C,$C155)*SUMIFS(Velocity!$I:$I,Velocity!$A:$A,$A155,Velocity!$B:$B,$C155)/Assumptions!$B$4*Assumptions!$B$6</f>
        <v>2.96875</v>
      </c>
      <c r="BA155" s="7" t="n">
        <f aca="false">SUMIFS(Doors!BM:BM,Doors!$A:$A,$D155,Doors!$B:$B,$B155,Doors!$C:$C,$C155)*SUMIFS(Velocity!$I:$I,Velocity!$A:$A,$A155,Velocity!$B:$B,$C155)/Assumptions!$B$4*Assumptions!$B$6</f>
        <v>2.96875</v>
      </c>
      <c r="BB155" s="7" t="n">
        <f aca="false">SUMIFS(Doors!BN:BN,Doors!$A:$A,$D155,Doors!$B:$B,$B155,Doors!$C:$C,$C155)*SUMIFS(Velocity!$I:$I,Velocity!$A:$A,$A155,Velocity!$B:$B,$C155)/Assumptions!$B$4*Assumptions!$B$6</f>
        <v>2.96875</v>
      </c>
      <c r="BC155" s="7" t="n">
        <f aca="false">SUMIFS(Doors!BO:BO,Doors!$A:$A,$D155,Doors!$B:$B,$B155,Doors!$C:$C,$C155)*SUMIFS(Velocity!$I:$I,Velocity!$A:$A,$A155,Velocity!$B:$B,$C155)/Assumptions!$B$4*Assumptions!$B$6</f>
        <v>2.96875</v>
      </c>
      <c r="BD155" s="7" t="n">
        <f aca="false">SUMIFS(Doors!BP:BP,Doors!$A:$A,$D155,Doors!$B:$B,$B155,Doors!$C:$C,$C155)*SUMIFS(Velocity!$I:$I,Velocity!$A:$A,$A155,Velocity!$B:$B,$C155)/Assumptions!$B$4*Assumptions!$B$6</f>
        <v>2.96875</v>
      </c>
    </row>
    <row r="156" customFormat="false" ht="15" hidden="false" customHeight="false" outlineLevel="0" collapsed="false">
      <c r="A156" s="0" t="s">
        <v>109</v>
      </c>
      <c r="B156" s="0" t="s">
        <v>132</v>
      </c>
      <c r="C156" s="0" t="s">
        <v>121</v>
      </c>
      <c r="D156" s="0" t="s">
        <v>235</v>
      </c>
      <c r="E156" s="7" t="n">
        <f aca="false">SUMIFS(Doors!Q:Q,Doors!$A:$A,$D156,Doors!$B:$B,$B156,Doors!$C:$C,$C156)*SUMIFS(Velocity!$I:$I,Velocity!$A:$A,$A156,Velocity!$B:$B,$C156)/Assumptions!$B$4*Assumptions!$B$6</f>
        <v>0.608333333333333</v>
      </c>
      <c r="F156" s="7" t="n">
        <f aca="false">SUMIFS(Doors!R:R,Doors!$A:$A,$D156,Doors!$B:$B,$B156,Doors!$C:$C,$C156)*SUMIFS(Velocity!$I:$I,Velocity!$A:$A,$A156,Velocity!$B:$B,$C156)/Assumptions!$B$4*Assumptions!$B$6</f>
        <v>0.608333333333333</v>
      </c>
      <c r="G156" s="7" t="n">
        <f aca="false">SUMIFS(Doors!S:S,Doors!$A:$A,$D156,Doors!$B:$B,$B156,Doors!$C:$C,$C156)*SUMIFS(Velocity!$I:$I,Velocity!$A:$A,$A156,Velocity!$B:$B,$C156)/Assumptions!$B$4*Assumptions!$B$6</f>
        <v>0.608333333333333</v>
      </c>
      <c r="H156" s="7" t="n">
        <f aca="false">SUMIFS(Doors!T:T,Doors!$A:$A,$D156,Doors!$B:$B,$B156,Doors!$C:$C,$C156)*SUMIFS(Velocity!$I:$I,Velocity!$A:$A,$A156,Velocity!$B:$B,$C156)/Assumptions!$B$4*Assumptions!$B$6</f>
        <v>0.608333333333333</v>
      </c>
      <c r="I156" s="7" t="n">
        <f aca="false">SUMIFS(Doors!U:U,Doors!$A:$A,$D156,Doors!$B:$B,$B156,Doors!$C:$C,$C156)*SUMIFS(Velocity!$I:$I,Velocity!$A:$A,$A156,Velocity!$B:$B,$C156)/Assumptions!$B$4*Assumptions!$B$6</f>
        <v>0.608333333333333</v>
      </c>
      <c r="J156" s="7" t="n">
        <f aca="false">SUMIFS(Doors!V:V,Doors!$A:$A,$D156,Doors!$B:$B,$B156,Doors!$C:$C,$C156)*SUMIFS(Velocity!$I:$I,Velocity!$A:$A,$A156,Velocity!$B:$B,$C156)/Assumptions!$B$4*Assumptions!$B$6</f>
        <v>0.9125</v>
      </c>
      <c r="K156" s="7" t="n">
        <f aca="false">SUMIFS(Doors!W:W,Doors!$A:$A,$D156,Doors!$B:$B,$B156,Doors!$C:$C,$C156)*SUMIFS(Velocity!$I:$I,Velocity!$A:$A,$A156,Velocity!$B:$B,$C156)/Assumptions!$B$4*Assumptions!$B$6</f>
        <v>0.9125</v>
      </c>
      <c r="L156" s="7" t="n">
        <f aca="false">SUMIFS(Doors!X:X,Doors!$A:$A,$D156,Doors!$B:$B,$B156,Doors!$C:$C,$C156)*SUMIFS(Velocity!$I:$I,Velocity!$A:$A,$A156,Velocity!$B:$B,$C156)/Assumptions!$B$4*Assumptions!$B$6</f>
        <v>0.9125</v>
      </c>
      <c r="M156" s="7" t="n">
        <f aca="false">SUMIFS(Doors!Y:Y,Doors!$A:$A,$D156,Doors!$B:$B,$B156,Doors!$C:$C,$C156)*SUMIFS(Velocity!$I:$I,Velocity!$A:$A,$A156,Velocity!$B:$B,$C156)/Assumptions!$B$4*Assumptions!$B$6</f>
        <v>0.9125</v>
      </c>
      <c r="N156" s="7" t="n">
        <f aca="false">SUMIFS(Doors!Z:Z,Doors!$A:$A,$D156,Doors!$B:$B,$B156,Doors!$C:$C,$C156)*SUMIFS(Velocity!$I:$I,Velocity!$A:$A,$A156,Velocity!$B:$B,$C156)/Assumptions!$B$4*Assumptions!$B$6</f>
        <v>1.21666666666667</v>
      </c>
      <c r="O156" s="7" t="n">
        <f aca="false">SUMIFS(Doors!AA:AA,Doors!$A:$A,$D156,Doors!$B:$B,$B156,Doors!$C:$C,$C156)*SUMIFS(Velocity!$I:$I,Velocity!$A:$A,$A156,Velocity!$B:$B,$C156)/Assumptions!$B$4*Assumptions!$B$6</f>
        <v>1.21666666666667</v>
      </c>
      <c r="P156" s="7" t="n">
        <f aca="false">SUMIFS(Doors!AB:AB,Doors!$A:$A,$D156,Doors!$B:$B,$B156,Doors!$C:$C,$C156)*SUMIFS(Velocity!$I:$I,Velocity!$A:$A,$A156,Velocity!$B:$B,$C156)/Assumptions!$B$4*Assumptions!$B$6</f>
        <v>1.21666666666667</v>
      </c>
      <c r="Q156" s="7" t="n">
        <f aca="false">SUMIFS(Doors!AC:AC,Doors!$A:$A,$D156,Doors!$B:$B,$B156,Doors!$C:$C,$C156)*SUMIFS(Velocity!$I:$I,Velocity!$A:$A,$A156,Velocity!$B:$B,$C156)/Assumptions!$B$4*Assumptions!$B$6</f>
        <v>1.21666666666667</v>
      </c>
      <c r="R156" s="7" t="n">
        <f aca="false">SUMIFS(Doors!AD:AD,Doors!$A:$A,$D156,Doors!$B:$B,$B156,Doors!$C:$C,$C156)*SUMIFS(Velocity!$I:$I,Velocity!$A:$A,$A156,Velocity!$B:$B,$C156)/Assumptions!$B$4*Assumptions!$B$6</f>
        <v>1.52083333333333</v>
      </c>
      <c r="S156" s="7" t="n">
        <f aca="false">SUMIFS(Doors!AE:AE,Doors!$A:$A,$D156,Doors!$B:$B,$B156,Doors!$C:$C,$C156)*SUMIFS(Velocity!$I:$I,Velocity!$A:$A,$A156,Velocity!$B:$B,$C156)/Assumptions!$B$4*Assumptions!$B$6</f>
        <v>1.52083333333333</v>
      </c>
      <c r="T156" s="7" t="n">
        <f aca="false">SUMIFS(Doors!AF:AF,Doors!$A:$A,$D156,Doors!$B:$B,$B156,Doors!$C:$C,$C156)*SUMIFS(Velocity!$I:$I,Velocity!$A:$A,$A156,Velocity!$B:$B,$C156)/Assumptions!$B$4*Assumptions!$B$6</f>
        <v>1.52083333333333</v>
      </c>
      <c r="U156" s="7" t="n">
        <f aca="false">SUMIFS(Doors!AG:AG,Doors!$A:$A,$D156,Doors!$B:$B,$B156,Doors!$C:$C,$C156)*SUMIFS(Velocity!$I:$I,Velocity!$A:$A,$A156,Velocity!$B:$B,$C156)/Assumptions!$B$4*Assumptions!$B$6</f>
        <v>1.52083333333333</v>
      </c>
      <c r="V156" s="7" t="n">
        <f aca="false">SUMIFS(Doors!AH:AH,Doors!$A:$A,$D156,Doors!$B:$B,$B156,Doors!$C:$C,$C156)*SUMIFS(Velocity!$I:$I,Velocity!$A:$A,$A156,Velocity!$B:$B,$C156)/Assumptions!$B$4*Assumptions!$B$6</f>
        <v>1.52083333333333</v>
      </c>
      <c r="W156" s="7" t="n">
        <f aca="false">SUMIFS(Doors!AI:AI,Doors!$A:$A,$D156,Doors!$B:$B,$B156,Doors!$C:$C,$C156)*SUMIFS(Velocity!$I:$I,Velocity!$A:$A,$A156,Velocity!$B:$B,$C156)/Assumptions!$B$4*Assumptions!$B$6</f>
        <v>1.825</v>
      </c>
      <c r="X156" s="7" t="n">
        <f aca="false">SUMIFS(Doors!AJ:AJ,Doors!$A:$A,$D156,Doors!$B:$B,$B156,Doors!$C:$C,$C156)*SUMIFS(Velocity!$I:$I,Velocity!$A:$A,$A156,Velocity!$B:$B,$C156)/Assumptions!$B$4*Assumptions!$B$6</f>
        <v>1.825</v>
      </c>
      <c r="Y156" s="7" t="n">
        <f aca="false">SUMIFS(Doors!AK:AK,Doors!$A:$A,$D156,Doors!$B:$B,$B156,Doors!$C:$C,$C156)*SUMIFS(Velocity!$I:$I,Velocity!$A:$A,$A156,Velocity!$B:$B,$C156)/Assumptions!$B$4*Assumptions!$B$6</f>
        <v>1.825</v>
      </c>
      <c r="Z156" s="7" t="n">
        <f aca="false">SUMIFS(Doors!AL:AL,Doors!$A:$A,$D156,Doors!$B:$B,$B156,Doors!$C:$C,$C156)*SUMIFS(Velocity!$I:$I,Velocity!$A:$A,$A156,Velocity!$B:$B,$C156)/Assumptions!$B$4*Assumptions!$B$6</f>
        <v>1.825</v>
      </c>
      <c r="AA156" s="7" t="n">
        <f aca="false">SUMIFS(Doors!AM:AM,Doors!$A:$A,$D156,Doors!$B:$B,$B156,Doors!$C:$C,$C156)*SUMIFS(Velocity!$I:$I,Velocity!$A:$A,$A156,Velocity!$B:$B,$C156)/Assumptions!$B$4*Assumptions!$B$6</f>
        <v>2.12916666666667</v>
      </c>
      <c r="AB156" s="7" t="n">
        <f aca="false">SUMIFS(Doors!AN:AN,Doors!$A:$A,$D156,Doors!$B:$B,$B156,Doors!$C:$C,$C156)*SUMIFS(Velocity!$I:$I,Velocity!$A:$A,$A156,Velocity!$B:$B,$C156)/Assumptions!$B$4*Assumptions!$B$6</f>
        <v>2.12916666666667</v>
      </c>
      <c r="AC156" s="7" t="n">
        <f aca="false">SUMIFS(Doors!AO:AO,Doors!$A:$A,$D156,Doors!$B:$B,$B156,Doors!$C:$C,$C156)*SUMIFS(Velocity!$I:$I,Velocity!$A:$A,$A156,Velocity!$B:$B,$C156)/Assumptions!$B$4*Assumptions!$B$6</f>
        <v>2.12916666666667</v>
      </c>
      <c r="AD156" s="7" t="n">
        <f aca="false">SUMIFS(Doors!AP:AP,Doors!$A:$A,$D156,Doors!$B:$B,$B156,Doors!$C:$C,$C156)*SUMIFS(Velocity!$I:$I,Velocity!$A:$A,$A156,Velocity!$B:$B,$C156)/Assumptions!$B$4*Assumptions!$B$6</f>
        <v>2.12916666666667</v>
      </c>
      <c r="AE156" s="7" t="n">
        <f aca="false">SUMIFS(Doors!AQ:AQ,Doors!$A:$A,$D156,Doors!$B:$B,$B156,Doors!$C:$C,$C156)*SUMIFS(Velocity!$I:$I,Velocity!$A:$A,$A156,Velocity!$B:$B,$C156)/Assumptions!$B$4*Assumptions!$B$6</f>
        <v>2.12916666666667</v>
      </c>
      <c r="AF156" s="7" t="n">
        <f aca="false">SUMIFS(Doors!AR:AR,Doors!$A:$A,$D156,Doors!$B:$B,$B156,Doors!$C:$C,$C156)*SUMIFS(Velocity!$I:$I,Velocity!$A:$A,$A156,Velocity!$B:$B,$C156)/Assumptions!$B$4*Assumptions!$B$6</f>
        <v>2.12916666666667</v>
      </c>
      <c r="AG156" s="7" t="n">
        <f aca="false">SUMIFS(Doors!AS:AS,Doors!$A:$A,$D156,Doors!$B:$B,$B156,Doors!$C:$C,$C156)*SUMIFS(Velocity!$I:$I,Velocity!$A:$A,$A156,Velocity!$B:$B,$C156)/Assumptions!$B$4*Assumptions!$B$6</f>
        <v>2.12916666666667</v>
      </c>
      <c r="AH156" s="7" t="n">
        <f aca="false">SUMIFS(Doors!AT:AT,Doors!$A:$A,$D156,Doors!$B:$B,$B156,Doors!$C:$C,$C156)*SUMIFS(Velocity!$I:$I,Velocity!$A:$A,$A156,Velocity!$B:$B,$C156)/Assumptions!$B$4*Assumptions!$B$6</f>
        <v>2.12916666666667</v>
      </c>
      <c r="AI156" s="7" t="n">
        <f aca="false">SUMIFS(Doors!AU:AU,Doors!$A:$A,$D156,Doors!$B:$B,$B156,Doors!$C:$C,$C156)*SUMIFS(Velocity!$I:$I,Velocity!$A:$A,$A156,Velocity!$B:$B,$C156)/Assumptions!$B$4*Assumptions!$B$6</f>
        <v>2.12916666666667</v>
      </c>
      <c r="AJ156" s="7" t="n">
        <f aca="false">SUMIFS(Doors!AV:AV,Doors!$A:$A,$D156,Doors!$B:$B,$B156,Doors!$C:$C,$C156)*SUMIFS(Velocity!$I:$I,Velocity!$A:$A,$A156,Velocity!$B:$B,$C156)/Assumptions!$B$4*Assumptions!$B$6</f>
        <v>2.43333333333333</v>
      </c>
      <c r="AK156" s="7" t="n">
        <f aca="false">SUMIFS(Doors!AW:AW,Doors!$A:$A,$D156,Doors!$B:$B,$B156,Doors!$C:$C,$C156)*SUMIFS(Velocity!$I:$I,Velocity!$A:$A,$A156,Velocity!$B:$B,$C156)/Assumptions!$B$4*Assumptions!$B$6</f>
        <v>2.43333333333333</v>
      </c>
      <c r="AL156" s="7" t="n">
        <f aca="false">SUMIFS(Doors!AX:AX,Doors!$A:$A,$D156,Doors!$B:$B,$B156,Doors!$C:$C,$C156)*SUMIFS(Velocity!$I:$I,Velocity!$A:$A,$A156,Velocity!$B:$B,$C156)/Assumptions!$B$4*Assumptions!$B$6</f>
        <v>2.43333333333333</v>
      </c>
      <c r="AM156" s="7" t="n">
        <f aca="false">SUMIFS(Doors!AY:AY,Doors!$A:$A,$D156,Doors!$B:$B,$B156,Doors!$C:$C,$C156)*SUMIFS(Velocity!$I:$I,Velocity!$A:$A,$A156,Velocity!$B:$B,$C156)/Assumptions!$B$4*Assumptions!$B$6</f>
        <v>2.43333333333333</v>
      </c>
      <c r="AN156" s="7" t="n">
        <f aca="false">SUMIFS(Doors!AZ:AZ,Doors!$A:$A,$D156,Doors!$B:$B,$B156,Doors!$C:$C,$C156)*SUMIFS(Velocity!$I:$I,Velocity!$A:$A,$A156,Velocity!$B:$B,$C156)/Assumptions!$B$4*Assumptions!$B$6</f>
        <v>2.43333333333333</v>
      </c>
      <c r="AO156" s="7" t="n">
        <f aca="false">SUMIFS(Doors!BA:BA,Doors!$A:$A,$D156,Doors!$B:$B,$B156,Doors!$C:$C,$C156)*SUMIFS(Velocity!$I:$I,Velocity!$A:$A,$A156,Velocity!$B:$B,$C156)/Assumptions!$B$4*Assumptions!$B$6</f>
        <v>2.43333333333333</v>
      </c>
      <c r="AP156" s="7" t="n">
        <f aca="false">SUMIFS(Doors!BB:BB,Doors!$A:$A,$D156,Doors!$B:$B,$B156,Doors!$C:$C,$C156)*SUMIFS(Velocity!$I:$I,Velocity!$A:$A,$A156,Velocity!$B:$B,$C156)/Assumptions!$B$4*Assumptions!$B$6</f>
        <v>2.43333333333333</v>
      </c>
      <c r="AQ156" s="7" t="n">
        <f aca="false">SUMIFS(Doors!BC:BC,Doors!$A:$A,$D156,Doors!$B:$B,$B156,Doors!$C:$C,$C156)*SUMIFS(Velocity!$I:$I,Velocity!$A:$A,$A156,Velocity!$B:$B,$C156)/Assumptions!$B$4*Assumptions!$B$6</f>
        <v>2.43333333333333</v>
      </c>
      <c r="AR156" s="7" t="n">
        <f aca="false">SUMIFS(Doors!BD:BD,Doors!$A:$A,$D156,Doors!$B:$B,$B156,Doors!$C:$C,$C156)*SUMIFS(Velocity!$I:$I,Velocity!$A:$A,$A156,Velocity!$B:$B,$C156)/Assumptions!$B$4*Assumptions!$B$6</f>
        <v>2.43333333333333</v>
      </c>
      <c r="AS156" s="7" t="n">
        <f aca="false">SUMIFS(Doors!BE:BE,Doors!$A:$A,$D156,Doors!$B:$B,$B156,Doors!$C:$C,$C156)*SUMIFS(Velocity!$I:$I,Velocity!$A:$A,$A156,Velocity!$B:$B,$C156)/Assumptions!$B$4*Assumptions!$B$6</f>
        <v>2.43333333333333</v>
      </c>
      <c r="AT156" s="7" t="n">
        <f aca="false">SUMIFS(Doors!BF:BF,Doors!$A:$A,$D156,Doors!$B:$B,$B156,Doors!$C:$C,$C156)*SUMIFS(Velocity!$I:$I,Velocity!$A:$A,$A156,Velocity!$B:$B,$C156)/Assumptions!$B$4*Assumptions!$B$6</f>
        <v>2.43333333333333</v>
      </c>
      <c r="AU156" s="7" t="n">
        <f aca="false">SUMIFS(Doors!BG:BG,Doors!$A:$A,$D156,Doors!$B:$B,$B156,Doors!$C:$C,$C156)*SUMIFS(Velocity!$I:$I,Velocity!$A:$A,$A156,Velocity!$B:$B,$C156)/Assumptions!$B$4*Assumptions!$B$6</f>
        <v>2.43333333333333</v>
      </c>
      <c r="AV156" s="7" t="n">
        <f aca="false">SUMIFS(Doors!BH:BH,Doors!$A:$A,$D156,Doors!$B:$B,$B156,Doors!$C:$C,$C156)*SUMIFS(Velocity!$I:$I,Velocity!$A:$A,$A156,Velocity!$B:$B,$C156)/Assumptions!$B$4*Assumptions!$B$6</f>
        <v>2.43333333333333</v>
      </c>
      <c r="AW156" s="7" t="n">
        <f aca="false">SUMIFS(Doors!BI:BI,Doors!$A:$A,$D156,Doors!$B:$B,$B156,Doors!$C:$C,$C156)*SUMIFS(Velocity!$I:$I,Velocity!$A:$A,$A156,Velocity!$B:$B,$C156)/Assumptions!$B$4*Assumptions!$B$6</f>
        <v>2.43333333333333</v>
      </c>
      <c r="AX156" s="7" t="n">
        <f aca="false">SUMIFS(Doors!BJ:BJ,Doors!$A:$A,$D156,Doors!$B:$B,$B156,Doors!$C:$C,$C156)*SUMIFS(Velocity!$I:$I,Velocity!$A:$A,$A156,Velocity!$B:$B,$C156)/Assumptions!$B$4*Assumptions!$B$6</f>
        <v>2.43333333333333</v>
      </c>
      <c r="AY156" s="7" t="n">
        <f aca="false">SUMIFS(Doors!BK:BK,Doors!$A:$A,$D156,Doors!$B:$B,$B156,Doors!$C:$C,$C156)*SUMIFS(Velocity!$I:$I,Velocity!$A:$A,$A156,Velocity!$B:$B,$C156)/Assumptions!$B$4*Assumptions!$B$6</f>
        <v>2.43333333333333</v>
      </c>
      <c r="AZ156" s="7" t="n">
        <f aca="false">SUMIFS(Doors!BL:BL,Doors!$A:$A,$D156,Doors!$B:$B,$B156,Doors!$C:$C,$C156)*SUMIFS(Velocity!$I:$I,Velocity!$A:$A,$A156,Velocity!$B:$B,$C156)/Assumptions!$B$4*Assumptions!$B$6</f>
        <v>2.43333333333333</v>
      </c>
      <c r="BA156" s="7" t="n">
        <f aca="false">SUMIFS(Doors!BM:BM,Doors!$A:$A,$D156,Doors!$B:$B,$B156,Doors!$C:$C,$C156)*SUMIFS(Velocity!$I:$I,Velocity!$A:$A,$A156,Velocity!$B:$B,$C156)/Assumptions!$B$4*Assumptions!$B$6</f>
        <v>2.43333333333333</v>
      </c>
      <c r="BB156" s="7" t="n">
        <f aca="false">SUMIFS(Doors!BN:BN,Doors!$A:$A,$D156,Doors!$B:$B,$B156,Doors!$C:$C,$C156)*SUMIFS(Velocity!$I:$I,Velocity!$A:$A,$A156,Velocity!$B:$B,$C156)/Assumptions!$B$4*Assumptions!$B$6</f>
        <v>2.43333333333333</v>
      </c>
      <c r="BC156" s="7" t="n">
        <f aca="false">SUMIFS(Doors!BO:BO,Doors!$A:$A,$D156,Doors!$B:$B,$B156,Doors!$C:$C,$C156)*SUMIFS(Velocity!$I:$I,Velocity!$A:$A,$A156,Velocity!$B:$B,$C156)/Assumptions!$B$4*Assumptions!$B$6</f>
        <v>2.43333333333333</v>
      </c>
      <c r="BD156" s="7" t="n">
        <f aca="false">SUMIFS(Doors!BP:BP,Doors!$A:$A,$D156,Doors!$B:$B,$B156,Doors!$C:$C,$C156)*SUMIFS(Velocity!$I:$I,Velocity!$A:$A,$A156,Velocity!$B:$B,$C156)/Assumptions!$B$4*Assumptions!$B$6</f>
        <v>2.43333333333333</v>
      </c>
    </row>
    <row r="157" customFormat="false" ht="15" hidden="false" customHeight="false" outlineLevel="0" collapsed="false">
      <c r="A157" s="0" t="s">
        <v>109</v>
      </c>
      <c r="B157" s="0" t="s">
        <v>132</v>
      </c>
      <c r="C157" s="0" t="s">
        <v>122</v>
      </c>
      <c r="D157" s="0" t="s">
        <v>235</v>
      </c>
      <c r="E157" s="7" t="n">
        <f aca="false">SUMIFS(Doors!Q:Q,Doors!$A:$A,$D157,Doors!$B:$B,$B157,Doors!$C:$C,$C157)*SUMIFS(Velocity!$I:$I,Velocity!$A:$A,$A157,Velocity!$B:$B,$C157)/Assumptions!$B$4*Assumptions!$B$6</f>
        <v>0</v>
      </c>
      <c r="F157" s="7" t="n">
        <f aca="false">SUMIFS(Doors!R:R,Doors!$A:$A,$D157,Doors!$B:$B,$B157,Doors!$C:$C,$C157)*SUMIFS(Velocity!$I:$I,Velocity!$A:$A,$A157,Velocity!$B:$B,$C157)/Assumptions!$B$4*Assumptions!$B$6</f>
        <v>0</v>
      </c>
      <c r="G157" s="7" t="n">
        <f aca="false">SUMIFS(Doors!S:S,Doors!$A:$A,$D157,Doors!$B:$B,$B157,Doors!$C:$C,$C157)*SUMIFS(Velocity!$I:$I,Velocity!$A:$A,$A157,Velocity!$B:$B,$C157)/Assumptions!$B$4*Assumptions!$B$6</f>
        <v>0</v>
      </c>
      <c r="H157" s="7" t="n">
        <f aca="false">SUMIFS(Doors!T:T,Doors!$A:$A,$D157,Doors!$B:$B,$B157,Doors!$C:$C,$C157)*SUMIFS(Velocity!$I:$I,Velocity!$A:$A,$A157,Velocity!$B:$B,$C157)/Assumptions!$B$4*Assumptions!$B$6</f>
        <v>0</v>
      </c>
      <c r="I157" s="7" t="n">
        <f aca="false">SUMIFS(Doors!U:U,Doors!$A:$A,$D157,Doors!$B:$B,$B157,Doors!$C:$C,$C157)*SUMIFS(Velocity!$I:$I,Velocity!$A:$A,$A157,Velocity!$B:$B,$C157)/Assumptions!$B$4*Assumptions!$B$6</f>
        <v>0</v>
      </c>
      <c r="J157" s="7" t="n">
        <f aca="false">SUMIFS(Doors!V:V,Doors!$A:$A,$D157,Doors!$B:$B,$B157,Doors!$C:$C,$C157)*SUMIFS(Velocity!$I:$I,Velocity!$A:$A,$A157,Velocity!$B:$B,$C157)/Assumptions!$B$4*Assumptions!$B$6</f>
        <v>0</v>
      </c>
      <c r="K157" s="7" t="n">
        <f aca="false">SUMIFS(Doors!W:W,Doors!$A:$A,$D157,Doors!$B:$B,$B157,Doors!$C:$C,$C157)*SUMIFS(Velocity!$I:$I,Velocity!$A:$A,$A157,Velocity!$B:$B,$C157)/Assumptions!$B$4*Assumptions!$B$6</f>
        <v>0</v>
      </c>
      <c r="L157" s="7" t="n">
        <f aca="false">SUMIFS(Doors!X:X,Doors!$A:$A,$D157,Doors!$B:$B,$B157,Doors!$C:$C,$C157)*SUMIFS(Velocity!$I:$I,Velocity!$A:$A,$A157,Velocity!$B:$B,$C157)/Assumptions!$B$4*Assumptions!$B$6</f>
        <v>0</v>
      </c>
      <c r="M157" s="7" t="n">
        <f aca="false">SUMIFS(Doors!Y:Y,Doors!$A:$A,$D157,Doors!$B:$B,$B157,Doors!$C:$C,$C157)*SUMIFS(Velocity!$I:$I,Velocity!$A:$A,$A157,Velocity!$B:$B,$C157)/Assumptions!$B$4*Assumptions!$B$6</f>
        <v>0</v>
      </c>
      <c r="N157" s="7" t="n">
        <f aca="false">SUMIFS(Doors!Z:Z,Doors!$A:$A,$D157,Doors!$B:$B,$B157,Doors!$C:$C,$C157)*SUMIFS(Velocity!$I:$I,Velocity!$A:$A,$A157,Velocity!$B:$B,$C157)/Assumptions!$B$4*Assumptions!$B$6</f>
        <v>0</v>
      </c>
      <c r="O157" s="7" t="n">
        <f aca="false">SUMIFS(Doors!AA:AA,Doors!$A:$A,$D157,Doors!$B:$B,$B157,Doors!$C:$C,$C157)*SUMIFS(Velocity!$I:$I,Velocity!$A:$A,$A157,Velocity!$B:$B,$C157)/Assumptions!$B$4*Assumptions!$B$6</f>
        <v>0</v>
      </c>
      <c r="P157" s="7" t="n">
        <f aca="false">SUMIFS(Doors!AB:AB,Doors!$A:$A,$D157,Doors!$B:$B,$B157,Doors!$C:$C,$C157)*SUMIFS(Velocity!$I:$I,Velocity!$A:$A,$A157,Velocity!$B:$B,$C157)/Assumptions!$B$4*Assumptions!$B$6</f>
        <v>0</v>
      </c>
      <c r="Q157" s="7" t="n">
        <f aca="false">SUMIFS(Doors!AC:AC,Doors!$A:$A,$D157,Doors!$B:$B,$B157,Doors!$C:$C,$C157)*SUMIFS(Velocity!$I:$I,Velocity!$A:$A,$A157,Velocity!$B:$B,$C157)/Assumptions!$B$4*Assumptions!$B$6</f>
        <v>0</v>
      </c>
      <c r="R157" s="7" t="n">
        <f aca="false">SUMIFS(Doors!AD:AD,Doors!$A:$A,$D157,Doors!$B:$B,$B157,Doors!$C:$C,$C157)*SUMIFS(Velocity!$I:$I,Velocity!$A:$A,$A157,Velocity!$B:$B,$C157)/Assumptions!$B$4*Assumptions!$B$6</f>
        <v>0</v>
      </c>
      <c r="S157" s="7" t="n">
        <f aca="false">SUMIFS(Doors!AE:AE,Doors!$A:$A,$D157,Doors!$B:$B,$B157,Doors!$C:$C,$C157)*SUMIFS(Velocity!$I:$I,Velocity!$A:$A,$A157,Velocity!$B:$B,$C157)/Assumptions!$B$4*Assumptions!$B$6</f>
        <v>0</v>
      </c>
      <c r="T157" s="7" t="n">
        <f aca="false">SUMIFS(Doors!AF:AF,Doors!$A:$A,$D157,Doors!$B:$B,$B157,Doors!$C:$C,$C157)*SUMIFS(Velocity!$I:$I,Velocity!$A:$A,$A157,Velocity!$B:$B,$C157)/Assumptions!$B$4*Assumptions!$B$6</f>
        <v>0</v>
      </c>
      <c r="U157" s="7" t="n">
        <f aca="false">SUMIFS(Doors!AG:AG,Doors!$A:$A,$D157,Doors!$B:$B,$B157,Doors!$C:$C,$C157)*SUMIFS(Velocity!$I:$I,Velocity!$A:$A,$A157,Velocity!$B:$B,$C157)/Assumptions!$B$4*Assumptions!$B$6</f>
        <v>0</v>
      </c>
      <c r="V157" s="7" t="n">
        <f aca="false">SUMIFS(Doors!AH:AH,Doors!$A:$A,$D157,Doors!$B:$B,$B157,Doors!$C:$C,$C157)*SUMIFS(Velocity!$I:$I,Velocity!$A:$A,$A157,Velocity!$B:$B,$C157)/Assumptions!$B$4*Assumptions!$B$6</f>
        <v>0</v>
      </c>
      <c r="W157" s="7" t="n">
        <f aca="false">SUMIFS(Doors!AI:AI,Doors!$A:$A,$D157,Doors!$B:$B,$B157,Doors!$C:$C,$C157)*SUMIFS(Velocity!$I:$I,Velocity!$A:$A,$A157,Velocity!$B:$B,$C157)/Assumptions!$B$4*Assumptions!$B$6</f>
        <v>0</v>
      </c>
      <c r="X157" s="7" t="n">
        <f aca="false">SUMIFS(Doors!AJ:AJ,Doors!$A:$A,$D157,Doors!$B:$B,$B157,Doors!$C:$C,$C157)*SUMIFS(Velocity!$I:$I,Velocity!$A:$A,$A157,Velocity!$B:$B,$C157)/Assumptions!$B$4*Assumptions!$B$6</f>
        <v>0</v>
      </c>
      <c r="Y157" s="7" t="n">
        <f aca="false">SUMIFS(Doors!AK:AK,Doors!$A:$A,$D157,Doors!$B:$B,$B157,Doors!$C:$C,$C157)*SUMIFS(Velocity!$I:$I,Velocity!$A:$A,$A157,Velocity!$B:$B,$C157)/Assumptions!$B$4*Assumptions!$B$6</f>
        <v>0</v>
      </c>
      <c r="Z157" s="7" t="n">
        <f aca="false">SUMIFS(Doors!AL:AL,Doors!$A:$A,$D157,Doors!$B:$B,$B157,Doors!$C:$C,$C157)*SUMIFS(Velocity!$I:$I,Velocity!$A:$A,$A157,Velocity!$B:$B,$C157)/Assumptions!$B$4*Assumptions!$B$6</f>
        <v>0</v>
      </c>
      <c r="AA157" s="7" t="n">
        <f aca="false">SUMIFS(Doors!AM:AM,Doors!$A:$A,$D157,Doors!$B:$B,$B157,Doors!$C:$C,$C157)*SUMIFS(Velocity!$I:$I,Velocity!$A:$A,$A157,Velocity!$B:$B,$C157)/Assumptions!$B$4*Assumptions!$B$6</f>
        <v>0</v>
      </c>
      <c r="AB157" s="7" t="n">
        <f aca="false">SUMIFS(Doors!AN:AN,Doors!$A:$A,$D157,Doors!$B:$B,$B157,Doors!$C:$C,$C157)*SUMIFS(Velocity!$I:$I,Velocity!$A:$A,$A157,Velocity!$B:$B,$C157)/Assumptions!$B$4*Assumptions!$B$6</f>
        <v>0</v>
      </c>
      <c r="AC157" s="7" t="n">
        <f aca="false">SUMIFS(Doors!AO:AO,Doors!$A:$A,$D157,Doors!$B:$B,$B157,Doors!$C:$C,$C157)*SUMIFS(Velocity!$I:$I,Velocity!$A:$A,$A157,Velocity!$B:$B,$C157)/Assumptions!$B$4*Assumptions!$B$6</f>
        <v>0</v>
      </c>
      <c r="AD157" s="7" t="n">
        <f aca="false">SUMIFS(Doors!AP:AP,Doors!$A:$A,$D157,Doors!$B:$B,$B157,Doors!$C:$C,$C157)*SUMIFS(Velocity!$I:$I,Velocity!$A:$A,$A157,Velocity!$B:$B,$C157)/Assumptions!$B$4*Assumptions!$B$6</f>
        <v>0</v>
      </c>
      <c r="AE157" s="7" t="n">
        <f aca="false">SUMIFS(Doors!AQ:AQ,Doors!$A:$A,$D157,Doors!$B:$B,$B157,Doors!$C:$C,$C157)*SUMIFS(Velocity!$I:$I,Velocity!$A:$A,$A157,Velocity!$B:$B,$C157)/Assumptions!$B$4*Assumptions!$B$6</f>
        <v>0</v>
      </c>
      <c r="AF157" s="7" t="n">
        <f aca="false">SUMIFS(Doors!AR:AR,Doors!$A:$A,$D157,Doors!$B:$B,$B157,Doors!$C:$C,$C157)*SUMIFS(Velocity!$I:$I,Velocity!$A:$A,$A157,Velocity!$B:$B,$C157)/Assumptions!$B$4*Assumptions!$B$6</f>
        <v>0</v>
      </c>
      <c r="AG157" s="7" t="n">
        <f aca="false">SUMIFS(Doors!AS:AS,Doors!$A:$A,$D157,Doors!$B:$B,$B157,Doors!$C:$C,$C157)*SUMIFS(Velocity!$I:$I,Velocity!$A:$A,$A157,Velocity!$B:$B,$C157)/Assumptions!$B$4*Assumptions!$B$6</f>
        <v>0</v>
      </c>
      <c r="AH157" s="7" t="n">
        <f aca="false">SUMIFS(Doors!AT:AT,Doors!$A:$A,$D157,Doors!$B:$B,$B157,Doors!$C:$C,$C157)*SUMIFS(Velocity!$I:$I,Velocity!$A:$A,$A157,Velocity!$B:$B,$C157)/Assumptions!$B$4*Assumptions!$B$6</f>
        <v>0</v>
      </c>
      <c r="AI157" s="7" t="n">
        <f aca="false">SUMIFS(Doors!AU:AU,Doors!$A:$A,$D157,Doors!$B:$B,$B157,Doors!$C:$C,$C157)*SUMIFS(Velocity!$I:$I,Velocity!$A:$A,$A157,Velocity!$B:$B,$C157)/Assumptions!$B$4*Assumptions!$B$6</f>
        <v>0</v>
      </c>
      <c r="AJ157" s="7" t="n">
        <f aca="false">SUMIFS(Doors!AV:AV,Doors!$A:$A,$D157,Doors!$B:$B,$B157,Doors!$C:$C,$C157)*SUMIFS(Velocity!$I:$I,Velocity!$A:$A,$A157,Velocity!$B:$B,$C157)/Assumptions!$B$4*Assumptions!$B$6</f>
        <v>0</v>
      </c>
      <c r="AK157" s="7" t="n">
        <f aca="false">SUMIFS(Doors!AW:AW,Doors!$A:$A,$D157,Doors!$B:$B,$B157,Doors!$C:$C,$C157)*SUMIFS(Velocity!$I:$I,Velocity!$A:$A,$A157,Velocity!$B:$B,$C157)/Assumptions!$B$4*Assumptions!$B$6</f>
        <v>0</v>
      </c>
      <c r="AL157" s="7" t="n">
        <f aca="false">SUMIFS(Doors!AX:AX,Doors!$A:$A,$D157,Doors!$B:$B,$B157,Doors!$C:$C,$C157)*SUMIFS(Velocity!$I:$I,Velocity!$A:$A,$A157,Velocity!$B:$B,$C157)/Assumptions!$B$4*Assumptions!$B$6</f>
        <v>0</v>
      </c>
      <c r="AM157" s="7" t="n">
        <f aca="false">SUMIFS(Doors!AY:AY,Doors!$A:$A,$D157,Doors!$B:$B,$B157,Doors!$C:$C,$C157)*SUMIFS(Velocity!$I:$I,Velocity!$A:$A,$A157,Velocity!$B:$B,$C157)/Assumptions!$B$4*Assumptions!$B$6</f>
        <v>0</v>
      </c>
      <c r="AN157" s="7" t="n">
        <f aca="false">SUMIFS(Doors!AZ:AZ,Doors!$A:$A,$D157,Doors!$B:$B,$B157,Doors!$C:$C,$C157)*SUMIFS(Velocity!$I:$I,Velocity!$A:$A,$A157,Velocity!$B:$B,$C157)/Assumptions!$B$4*Assumptions!$B$6</f>
        <v>0</v>
      </c>
      <c r="AO157" s="7" t="n">
        <f aca="false">SUMIFS(Doors!BA:BA,Doors!$A:$A,$D157,Doors!$B:$B,$B157,Doors!$C:$C,$C157)*SUMIFS(Velocity!$I:$I,Velocity!$A:$A,$A157,Velocity!$B:$B,$C157)/Assumptions!$B$4*Assumptions!$B$6</f>
        <v>0</v>
      </c>
      <c r="AP157" s="7" t="n">
        <f aca="false">SUMIFS(Doors!BB:BB,Doors!$A:$A,$D157,Doors!$B:$B,$B157,Doors!$C:$C,$C157)*SUMIFS(Velocity!$I:$I,Velocity!$A:$A,$A157,Velocity!$B:$B,$C157)/Assumptions!$B$4*Assumptions!$B$6</f>
        <v>0</v>
      </c>
      <c r="AQ157" s="7" t="n">
        <f aca="false">SUMIFS(Doors!BC:BC,Doors!$A:$A,$D157,Doors!$B:$B,$B157,Doors!$C:$C,$C157)*SUMIFS(Velocity!$I:$I,Velocity!$A:$A,$A157,Velocity!$B:$B,$C157)/Assumptions!$B$4*Assumptions!$B$6</f>
        <v>0</v>
      </c>
      <c r="AR157" s="7" t="n">
        <f aca="false">SUMIFS(Doors!BD:BD,Doors!$A:$A,$D157,Doors!$B:$B,$B157,Doors!$C:$C,$C157)*SUMIFS(Velocity!$I:$I,Velocity!$A:$A,$A157,Velocity!$B:$B,$C157)/Assumptions!$B$4*Assumptions!$B$6</f>
        <v>0</v>
      </c>
      <c r="AS157" s="7" t="n">
        <f aca="false">SUMIFS(Doors!BE:BE,Doors!$A:$A,$D157,Doors!$B:$B,$B157,Doors!$C:$C,$C157)*SUMIFS(Velocity!$I:$I,Velocity!$A:$A,$A157,Velocity!$B:$B,$C157)/Assumptions!$B$4*Assumptions!$B$6</f>
        <v>0</v>
      </c>
      <c r="AT157" s="7" t="n">
        <f aca="false">SUMIFS(Doors!BF:BF,Doors!$A:$A,$D157,Doors!$B:$B,$B157,Doors!$C:$C,$C157)*SUMIFS(Velocity!$I:$I,Velocity!$A:$A,$A157,Velocity!$B:$B,$C157)/Assumptions!$B$4*Assumptions!$B$6</f>
        <v>0</v>
      </c>
      <c r="AU157" s="7" t="n">
        <f aca="false">SUMIFS(Doors!BG:BG,Doors!$A:$A,$D157,Doors!$B:$B,$B157,Doors!$C:$C,$C157)*SUMIFS(Velocity!$I:$I,Velocity!$A:$A,$A157,Velocity!$B:$B,$C157)/Assumptions!$B$4*Assumptions!$B$6</f>
        <v>0</v>
      </c>
      <c r="AV157" s="7" t="n">
        <f aca="false">SUMIFS(Doors!BH:BH,Doors!$A:$A,$D157,Doors!$B:$B,$B157,Doors!$C:$C,$C157)*SUMIFS(Velocity!$I:$I,Velocity!$A:$A,$A157,Velocity!$B:$B,$C157)/Assumptions!$B$4*Assumptions!$B$6</f>
        <v>0</v>
      </c>
      <c r="AW157" s="7" t="n">
        <f aca="false">SUMIFS(Doors!BI:BI,Doors!$A:$A,$D157,Doors!$B:$B,$B157,Doors!$C:$C,$C157)*SUMIFS(Velocity!$I:$I,Velocity!$A:$A,$A157,Velocity!$B:$B,$C157)/Assumptions!$B$4*Assumptions!$B$6</f>
        <v>0</v>
      </c>
      <c r="AX157" s="7" t="n">
        <f aca="false">SUMIFS(Doors!BJ:BJ,Doors!$A:$A,$D157,Doors!$B:$B,$B157,Doors!$C:$C,$C157)*SUMIFS(Velocity!$I:$I,Velocity!$A:$A,$A157,Velocity!$B:$B,$C157)/Assumptions!$B$4*Assumptions!$B$6</f>
        <v>0</v>
      </c>
      <c r="AY157" s="7" t="n">
        <f aca="false">SUMIFS(Doors!BK:BK,Doors!$A:$A,$D157,Doors!$B:$B,$B157,Doors!$C:$C,$C157)*SUMIFS(Velocity!$I:$I,Velocity!$A:$A,$A157,Velocity!$B:$B,$C157)/Assumptions!$B$4*Assumptions!$B$6</f>
        <v>0</v>
      </c>
      <c r="AZ157" s="7" t="n">
        <f aca="false">SUMIFS(Doors!BL:BL,Doors!$A:$A,$D157,Doors!$B:$B,$B157,Doors!$C:$C,$C157)*SUMIFS(Velocity!$I:$I,Velocity!$A:$A,$A157,Velocity!$B:$B,$C157)/Assumptions!$B$4*Assumptions!$B$6</f>
        <v>0</v>
      </c>
      <c r="BA157" s="7" t="n">
        <f aca="false">SUMIFS(Doors!BM:BM,Doors!$A:$A,$D157,Doors!$B:$B,$B157,Doors!$C:$C,$C157)*SUMIFS(Velocity!$I:$I,Velocity!$A:$A,$A157,Velocity!$B:$B,$C157)/Assumptions!$B$4*Assumptions!$B$6</f>
        <v>0</v>
      </c>
      <c r="BB157" s="7" t="n">
        <f aca="false">SUMIFS(Doors!BN:BN,Doors!$A:$A,$D157,Doors!$B:$B,$B157,Doors!$C:$C,$C157)*SUMIFS(Velocity!$I:$I,Velocity!$A:$A,$A157,Velocity!$B:$B,$C157)/Assumptions!$B$4*Assumptions!$B$6</f>
        <v>0</v>
      </c>
      <c r="BC157" s="7" t="n">
        <f aca="false">SUMIFS(Doors!BO:BO,Doors!$A:$A,$D157,Doors!$B:$B,$B157,Doors!$C:$C,$C157)*SUMIFS(Velocity!$I:$I,Velocity!$A:$A,$A157,Velocity!$B:$B,$C157)/Assumptions!$B$4*Assumptions!$B$6</f>
        <v>0</v>
      </c>
      <c r="BD157" s="7" t="n">
        <f aca="false">SUMIFS(Doors!BP:BP,Doors!$A:$A,$D157,Doors!$B:$B,$B157,Doors!$C:$C,$C157)*SUMIFS(Velocity!$I:$I,Velocity!$A:$A,$A157,Velocity!$B:$B,$C157)/Assumptions!$B$4*Assumptions!$B$6</f>
        <v>0</v>
      </c>
    </row>
    <row r="158" customFormat="false" ht="15" hidden="false" customHeight="false" outlineLevel="0" collapsed="false">
      <c r="A158" s="0" t="s">
        <v>109</v>
      </c>
      <c r="B158" s="0" t="s">
        <v>132</v>
      </c>
      <c r="C158" s="0" t="s">
        <v>123</v>
      </c>
      <c r="D158" s="0" t="s">
        <v>235</v>
      </c>
      <c r="E158" s="7" t="n">
        <f aca="false">SUMIFS(Doors!Q:Q,Doors!$A:$A,$D158,Doors!$B:$B,$B158,Doors!$C:$C,$C158)*SUMIFS(Velocity!$I:$I,Velocity!$A:$A,$A158,Velocity!$B:$B,$C158)/Assumptions!$B$4*Assumptions!$B$6</f>
        <v>0.216666666666667</v>
      </c>
      <c r="F158" s="7" t="n">
        <f aca="false">SUMIFS(Doors!R:R,Doors!$A:$A,$D158,Doors!$B:$B,$B158,Doors!$C:$C,$C158)*SUMIFS(Velocity!$I:$I,Velocity!$A:$A,$A158,Velocity!$B:$B,$C158)/Assumptions!$B$4*Assumptions!$B$6</f>
        <v>0.216666666666667</v>
      </c>
      <c r="G158" s="7" t="n">
        <f aca="false">SUMIFS(Doors!S:S,Doors!$A:$A,$D158,Doors!$B:$B,$B158,Doors!$C:$C,$C158)*SUMIFS(Velocity!$I:$I,Velocity!$A:$A,$A158,Velocity!$B:$B,$C158)/Assumptions!$B$4*Assumptions!$B$6</f>
        <v>0.216666666666667</v>
      </c>
      <c r="H158" s="7" t="n">
        <f aca="false">SUMIFS(Doors!T:T,Doors!$A:$A,$D158,Doors!$B:$B,$B158,Doors!$C:$C,$C158)*SUMIFS(Velocity!$I:$I,Velocity!$A:$A,$A158,Velocity!$B:$B,$C158)/Assumptions!$B$4*Assumptions!$B$6</f>
        <v>0.216666666666667</v>
      </c>
      <c r="I158" s="7" t="n">
        <f aca="false">SUMIFS(Doors!U:U,Doors!$A:$A,$D158,Doors!$B:$B,$B158,Doors!$C:$C,$C158)*SUMIFS(Velocity!$I:$I,Velocity!$A:$A,$A158,Velocity!$B:$B,$C158)/Assumptions!$B$4*Assumptions!$B$6</f>
        <v>0.216666666666667</v>
      </c>
      <c r="J158" s="7" t="n">
        <f aca="false">SUMIFS(Doors!V:V,Doors!$A:$A,$D158,Doors!$B:$B,$B158,Doors!$C:$C,$C158)*SUMIFS(Velocity!$I:$I,Velocity!$A:$A,$A158,Velocity!$B:$B,$C158)/Assumptions!$B$4*Assumptions!$B$6</f>
        <v>0.325</v>
      </c>
      <c r="K158" s="7" t="n">
        <f aca="false">SUMIFS(Doors!W:W,Doors!$A:$A,$D158,Doors!$B:$B,$B158,Doors!$C:$C,$C158)*SUMIFS(Velocity!$I:$I,Velocity!$A:$A,$A158,Velocity!$B:$B,$C158)/Assumptions!$B$4*Assumptions!$B$6</f>
        <v>0.325</v>
      </c>
      <c r="L158" s="7" t="n">
        <f aca="false">SUMIFS(Doors!X:X,Doors!$A:$A,$D158,Doors!$B:$B,$B158,Doors!$C:$C,$C158)*SUMIFS(Velocity!$I:$I,Velocity!$A:$A,$A158,Velocity!$B:$B,$C158)/Assumptions!$B$4*Assumptions!$B$6</f>
        <v>0.325</v>
      </c>
      <c r="M158" s="7" t="n">
        <f aca="false">SUMIFS(Doors!Y:Y,Doors!$A:$A,$D158,Doors!$B:$B,$B158,Doors!$C:$C,$C158)*SUMIFS(Velocity!$I:$I,Velocity!$A:$A,$A158,Velocity!$B:$B,$C158)/Assumptions!$B$4*Assumptions!$B$6</f>
        <v>0.325</v>
      </c>
      <c r="N158" s="7" t="n">
        <f aca="false">SUMIFS(Doors!Z:Z,Doors!$A:$A,$D158,Doors!$B:$B,$B158,Doors!$C:$C,$C158)*SUMIFS(Velocity!$I:$I,Velocity!$A:$A,$A158,Velocity!$B:$B,$C158)/Assumptions!$B$4*Assumptions!$B$6</f>
        <v>0.541666666666667</v>
      </c>
      <c r="O158" s="7" t="n">
        <f aca="false">SUMIFS(Doors!AA:AA,Doors!$A:$A,$D158,Doors!$B:$B,$B158,Doors!$C:$C,$C158)*SUMIFS(Velocity!$I:$I,Velocity!$A:$A,$A158,Velocity!$B:$B,$C158)/Assumptions!$B$4*Assumptions!$B$6</f>
        <v>0.541666666666667</v>
      </c>
      <c r="P158" s="7" t="n">
        <f aca="false">SUMIFS(Doors!AB:AB,Doors!$A:$A,$D158,Doors!$B:$B,$B158,Doors!$C:$C,$C158)*SUMIFS(Velocity!$I:$I,Velocity!$A:$A,$A158,Velocity!$B:$B,$C158)/Assumptions!$B$4*Assumptions!$B$6</f>
        <v>0.541666666666667</v>
      </c>
      <c r="Q158" s="7" t="n">
        <f aca="false">SUMIFS(Doors!AC:AC,Doors!$A:$A,$D158,Doors!$B:$B,$B158,Doors!$C:$C,$C158)*SUMIFS(Velocity!$I:$I,Velocity!$A:$A,$A158,Velocity!$B:$B,$C158)/Assumptions!$B$4*Assumptions!$B$6</f>
        <v>0.541666666666667</v>
      </c>
      <c r="R158" s="7" t="n">
        <f aca="false">SUMIFS(Doors!AD:AD,Doors!$A:$A,$D158,Doors!$B:$B,$B158,Doors!$C:$C,$C158)*SUMIFS(Velocity!$I:$I,Velocity!$A:$A,$A158,Velocity!$B:$B,$C158)/Assumptions!$B$4*Assumptions!$B$6</f>
        <v>0.65</v>
      </c>
      <c r="S158" s="7" t="n">
        <f aca="false">SUMIFS(Doors!AE:AE,Doors!$A:$A,$D158,Doors!$B:$B,$B158,Doors!$C:$C,$C158)*SUMIFS(Velocity!$I:$I,Velocity!$A:$A,$A158,Velocity!$B:$B,$C158)/Assumptions!$B$4*Assumptions!$B$6</f>
        <v>0.65</v>
      </c>
      <c r="T158" s="7" t="n">
        <f aca="false">SUMIFS(Doors!AF:AF,Doors!$A:$A,$D158,Doors!$B:$B,$B158,Doors!$C:$C,$C158)*SUMIFS(Velocity!$I:$I,Velocity!$A:$A,$A158,Velocity!$B:$B,$C158)/Assumptions!$B$4*Assumptions!$B$6</f>
        <v>0.65</v>
      </c>
      <c r="U158" s="7" t="n">
        <f aca="false">SUMIFS(Doors!AG:AG,Doors!$A:$A,$D158,Doors!$B:$B,$B158,Doors!$C:$C,$C158)*SUMIFS(Velocity!$I:$I,Velocity!$A:$A,$A158,Velocity!$B:$B,$C158)/Assumptions!$B$4*Assumptions!$B$6</f>
        <v>0.65</v>
      </c>
      <c r="V158" s="7" t="n">
        <f aca="false">SUMIFS(Doors!AH:AH,Doors!$A:$A,$D158,Doors!$B:$B,$B158,Doors!$C:$C,$C158)*SUMIFS(Velocity!$I:$I,Velocity!$A:$A,$A158,Velocity!$B:$B,$C158)/Assumptions!$B$4*Assumptions!$B$6</f>
        <v>0.65</v>
      </c>
      <c r="W158" s="7" t="n">
        <f aca="false">SUMIFS(Doors!AI:AI,Doors!$A:$A,$D158,Doors!$B:$B,$B158,Doors!$C:$C,$C158)*SUMIFS(Velocity!$I:$I,Velocity!$A:$A,$A158,Velocity!$B:$B,$C158)/Assumptions!$B$4*Assumptions!$B$6</f>
        <v>0.758333333333333</v>
      </c>
      <c r="X158" s="7" t="n">
        <f aca="false">SUMIFS(Doors!AJ:AJ,Doors!$A:$A,$D158,Doors!$B:$B,$B158,Doors!$C:$C,$C158)*SUMIFS(Velocity!$I:$I,Velocity!$A:$A,$A158,Velocity!$B:$B,$C158)/Assumptions!$B$4*Assumptions!$B$6</f>
        <v>0.758333333333333</v>
      </c>
      <c r="Y158" s="7" t="n">
        <f aca="false">SUMIFS(Doors!AK:AK,Doors!$A:$A,$D158,Doors!$B:$B,$B158,Doors!$C:$C,$C158)*SUMIFS(Velocity!$I:$I,Velocity!$A:$A,$A158,Velocity!$B:$B,$C158)/Assumptions!$B$4*Assumptions!$B$6</f>
        <v>0.758333333333333</v>
      </c>
      <c r="Z158" s="7" t="n">
        <f aca="false">SUMIFS(Doors!AL:AL,Doors!$A:$A,$D158,Doors!$B:$B,$B158,Doors!$C:$C,$C158)*SUMIFS(Velocity!$I:$I,Velocity!$A:$A,$A158,Velocity!$B:$B,$C158)/Assumptions!$B$4*Assumptions!$B$6</f>
        <v>0.758333333333333</v>
      </c>
      <c r="AA158" s="7" t="n">
        <f aca="false">SUMIFS(Doors!AM:AM,Doors!$A:$A,$D158,Doors!$B:$B,$B158,Doors!$C:$C,$C158)*SUMIFS(Velocity!$I:$I,Velocity!$A:$A,$A158,Velocity!$B:$B,$C158)/Assumptions!$B$4*Assumptions!$B$6</f>
        <v>0.866666666666667</v>
      </c>
      <c r="AB158" s="7" t="n">
        <f aca="false">SUMIFS(Doors!AN:AN,Doors!$A:$A,$D158,Doors!$B:$B,$B158,Doors!$C:$C,$C158)*SUMIFS(Velocity!$I:$I,Velocity!$A:$A,$A158,Velocity!$B:$B,$C158)/Assumptions!$B$4*Assumptions!$B$6</f>
        <v>0.866666666666667</v>
      </c>
      <c r="AC158" s="7" t="n">
        <f aca="false">SUMIFS(Doors!AO:AO,Doors!$A:$A,$D158,Doors!$B:$B,$B158,Doors!$C:$C,$C158)*SUMIFS(Velocity!$I:$I,Velocity!$A:$A,$A158,Velocity!$B:$B,$C158)/Assumptions!$B$4*Assumptions!$B$6</f>
        <v>0.866666666666667</v>
      </c>
      <c r="AD158" s="7" t="n">
        <f aca="false">SUMIFS(Doors!AP:AP,Doors!$A:$A,$D158,Doors!$B:$B,$B158,Doors!$C:$C,$C158)*SUMIFS(Velocity!$I:$I,Velocity!$A:$A,$A158,Velocity!$B:$B,$C158)/Assumptions!$B$4*Assumptions!$B$6</f>
        <v>0.866666666666667</v>
      </c>
      <c r="AE158" s="7" t="n">
        <f aca="false">SUMIFS(Doors!AQ:AQ,Doors!$A:$A,$D158,Doors!$B:$B,$B158,Doors!$C:$C,$C158)*SUMIFS(Velocity!$I:$I,Velocity!$A:$A,$A158,Velocity!$B:$B,$C158)/Assumptions!$B$4*Assumptions!$B$6</f>
        <v>0.975</v>
      </c>
      <c r="AF158" s="7" t="n">
        <f aca="false">SUMIFS(Doors!AR:AR,Doors!$A:$A,$D158,Doors!$B:$B,$B158,Doors!$C:$C,$C158)*SUMIFS(Velocity!$I:$I,Velocity!$A:$A,$A158,Velocity!$B:$B,$C158)/Assumptions!$B$4*Assumptions!$B$6</f>
        <v>0.975</v>
      </c>
      <c r="AG158" s="7" t="n">
        <f aca="false">SUMIFS(Doors!AS:AS,Doors!$A:$A,$D158,Doors!$B:$B,$B158,Doors!$C:$C,$C158)*SUMIFS(Velocity!$I:$I,Velocity!$A:$A,$A158,Velocity!$B:$B,$C158)/Assumptions!$B$4*Assumptions!$B$6</f>
        <v>0.975</v>
      </c>
      <c r="AH158" s="7" t="n">
        <f aca="false">SUMIFS(Doors!AT:AT,Doors!$A:$A,$D158,Doors!$B:$B,$B158,Doors!$C:$C,$C158)*SUMIFS(Velocity!$I:$I,Velocity!$A:$A,$A158,Velocity!$B:$B,$C158)/Assumptions!$B$4*Assumptions!$B$6</f>
        <v>0.975</v>
      </c>
      <c r="AI158" s="7" t="n">
        <f aca="false">SUMIFS(Doors!AU:AU,Doors!$A:$A,$D158,Doors!$B:$B,$B158,Doors!$C:$C,$C158)*SUMIFS(Velocity!$I:$I,Velocity!$A:$A,$A158,Velocity!$B:$B,$C158)/Assumptions!$B$4*Assumptions!$B$6</f>
        <v>0.975</v>
      </c>
      <c r="AJ158" s="7" t="n">
        <f aca="false">SUMIFS(Doors!AV:AV,Doors!$A:$A,$D158,Doors!$B:$B,$B158,Doors!$C:$C,$C158)*SUMIFS(Velocity!$I:$I,Velocity!$A:$A,$A158,Velocity!$B:$B,$C158)/Assumptions!$B$4*Assumptions!$B$6</f>
        <v>1.08333333333333</v>
      </c>
      <c r="AK158" s="7" t="n">
        <f aca="false">SUMIFS(Doors!AW:AW,Doors!$A:$A,$D158,Doors!$B:$B,$B158,Doors!$C:$C,$C158)*SUMIFS(Velocity!$I:$I,Velocity!$A:$A,$A158,Velocity!$B:$B,$C158)/Assumptions!$B$4*Assumptions!$B$6</f>
        <v>1.08333333333333</v>
      </c>
      <c r="AL158" s="7" t="n">
        <f aca="false">SUMIFS(Doors!AX:AX,Doors!$A:$A,$D158,Doors!$B:$B,$B158,Doors!$C:$C,$C158)*SUMIFS(Velocity!$I:$I,Velocity!$A:$A,$A158,Velocity!$B:$B,$C158)/Assumptions!$B$4*Assumptions!$B$6</f>
        <v>1.08333333333333</v>
      </c>
      <c r="AM158" s="7" t="n">
        <f aca="false">SUMIFS(Doors!AY:AY,Doors!$A:$A,$D158,Doors!$B:$B,$B158,Doors!$C:$C,$C158)*SUMIFS(Velocity!$I:$I,Velocity!$A:$A,$A158,Velocity!$B:$B,$C158)/Assumptions!$B$4*Assumptions!$B$6</f>
        <v>1.08333333333333</v>
      </c>
      <c r="AN158" s="7" t="n">
        <f aca="false">SUMIFS(Doors!AZ:AZ,Doors!$A:$A,$D158,Doors!$B:$B,$B158,Doors!$C:$C,$C158)*SUMIFS(Velocity!$I:$I,Velocity!$A:$A,$A158,Velocity!$B:$B,$C158)/Assumptions!$B$4*Assumptions!$B$6</f>
        <v>1.08333333333333</v>
      </c>
      <c r="AO158" s="7" t="n">
        <f aca="false">SUMIFS(Doors!BA:BA,Doors!$A:$A,$D158,Doors!$B:$B,$B158,Doors!$C:$C,$C158)*SUMIFS(Velocity!$I:$I,Velocity!$A:$A,$A158,Velocity!$B:$B,$C158)/Assumptions!$B$4*Assumptions!$B$6</f>
        <v>1.08333333333333</v>
      </c>
      <c r="AP158" s="7" t="n">
        <f aca="false">SUMIFS(Doors!BB:BB,Doors!$A:$A,$D158,Doors!$B:$B,$B158,Doors!$C:$C,$C158)*SUMIFS(Velocity!$I:$I,Velocity!$A:$A,$A158,Velocity!$B:$B,$C158)/Assumptions!$B$4*Assumptions!$B$6</f>
        <v>1.08333333333333</v>
      </c>
      <c r="AQ158" s="7" t="n">
        <f aca="false">SUMIFS(Doors!BC:BC,Doors!$A:$A,$D158,Doors!$B:$B,$B158,Doors!$C:$C,$C158)*SUMIFS(Velocity!$I:$I,Velocity!$A:$A,$A158,Velocity!$B:$B,$C158)/Assumptions!$B$4*Assumptions!$B$6</f>
        <v>1.08333333333333</v>
      </c>
      <c r="AR158" s="7" t="n">
        <f aca="false">SUMIFS(Doors!BD:BD,Doors!$A:$A,$D158,Doors!$B:$B,$B158,Doors!$C:$C,$C158)*SUMIFS(Velocity!$I:$I,Velocity!$A:$A,$A158,Velocity!$B:$B,$C158)/Assumptions!$B$4*Assumptions!$B$6</f>
        <v>1.08333333333333</v>
      </c>
      <c r="AS158" s="7" t="n">
        <f aca="false">SUMIFS(Doors!BE:BE,Doors!$A:$A,$D158,Doors!$B:$B,$B158,Doors!$C:$C,$C158)*SUMIFS(Velocity!$I:$I,Velocity!$A:$A,$A158,Velocity!$B:$B,$C158)/Assumptions!$B$4*Assumptions!$B$6</f>
        <v>1.08333333333333</v>
      </c>
      <c r="AT158" s="7" t="n">
        <f aca="false">SUMIFS(Doors!BF:BF,Doors!$A:$A,$D158,Doors!$B:$B,$B158,Doors!$C:$C,$C158)*SUMIFS(Velocity!$I:$I,Velocity!$A:$A,$A158,Velocity!$B:$B,$C158)/Assumptions!$B$4*Assumptions!$B$6</f>
        <v>1.08333333333333</v>
      </c>
      <c r="AU158" s="7" t="n">
        <f aca="false">SUMIFS(Doors!BG:BG,Doors!$A:$A,$D158,Doors!$B:$B,$B158,Doors!$C:$C,$C158)*SUMIFS(Velocity!$I:$I,Velocity!$A:$A,$A158,Velocity!$B:$B,$C158)/Assumptions!$B$4*Assumptions!$B$6</f>
        <v>1.08333333333333</v>
      </c>
      <c r="AV158" s="7" t="n">
        <f aca="false">SUMIFS(Doors!BH:BH,Doors!$A:$A,$D158,Doors!$B:$B,$B158,Doors!$C:$C,$C158)*SUMIFS(Velocity!$I:$I,Velocity!$A:$A,$A158,Velocity!$B:$B,$C158)/Assumptions!$B$4*Assumptions!$B$6</f>
        <v>1.08333333333333</v>
      </c>
      <c r="AW158" s="7" t="n">
        <f aca="false">SUMIFS(Doors!BI:BI,Doors!$A:$A,$D158,Doors!$B:$B,$B158,Doors!$C:$C,$C158)*SUMIFS(Velocity!$I:$I,Velocity!$A:$A,$A158,Velocity!$B:$B,$C158)/Assumptions!$B$4*Assumptions!$B$6</f>
        <v>1.08333333333333</v>
      </c>
      <c r="AX158" s="7" t="n">
        <f aca="false">SUMIFS(Doors!BJ:BJ,Doors!$A:$A,$D158,Doors!$B:$B,$B158,Doors!$C:$C,$C158)*SUMIFS(Velocity!$I:$I,Velocity!$A:$A,$A158,Velocity!$B:$B,$C158)/Assumptions!$B$4*Assumptions!$B$6</f>
        <v>1.08333333333333</v>
      </c>
      <c r="AY158" s="7" t="n">
        <f aca="false">SUMIFS(Doors!BK:BK,Doors!$A:$A,$D158,Doors!$B:$B,$B158,Doors!$C:$C,$C158)*SUMIFS(Velocity!$I:$I,Velocity!$A:$A,$A158,Velocity!$B:$B,$C158)/Assumptions!$B$4*Assumptions!$B$6</f>
        <v>1.08333333333333</v>
      </c>
      <c r="AZ158" s="7" t="n">
        <f aca="false">SUMIFS(Doors!BL:BL,Doors!$A:$A,$D158,Doors!$B:$B,$B158,Doors!$C:$C,$C158)*SUMIFS(Velocity!$I:$I,Velocity!$A:$A,$A158,Velocity!$B:$B,$C158)/Assumptions!$B$4*Assumptions!$B$6</f>
        <v>1.08333333333333</v>
      </c>
      <c r="BA158" s="7" t="n">
        <f aca="false">SUMIFS(Doors!BM:BM,Doors!$A:$A,$D158,Doors!$B:$B,$B158,Doors!$C:$C,$C158)*SUMIFS(Velocity!$I:$I,Velocity!$A:$A,$A158,Velocity!$B:$B,$C158)/Assumptions!$B$4*Assumptions!$B$6</f>
        <v>1.08333333333333</v>
      </c>
      <c r="BB158" s="7" t="n">
        <f aca="false">SUMIFS(Doors!BN:BN,Doors!$A:$A,$D158,Doors!$B:$B,$B158,Doors!$C:$C,$C158)*SUMIFS(Velocity!$I:$I,Velocity!$A:$A,$A158,Velocity!$B:$B,$C158)/Assumptions!$B$4*Assumptions!$B$6</f>
        <v>1.08333333333333</v>
      </c>
      <c r="BC158" s="7" t="n">
        <f aca="false">SUMIFS(Doors!BO:BO,Doors!$A:$A,$D158,Doors!$B:$B,$B158,Doors!$C:$C,$C158)*SUMIFS(Velocity!$I:$I,Velocity!$A:$A,$A158,Velocity!$B:$B,$C158)/Assumptions!$B$4*Assumptions!$B$6</f>
        <v>1.08333333333333</v>
      </c>
      <c r="BD158" s="7" t="n">
        <f aca="false">SUMIFS(Doors!BP:BP,Doors!$A:$A,$D158,Doors!$B:$B,$B158,Doors!$C:$C,$C158)*SUMIFS(Velocity!$I:$I,Velocity!$A:$A,$A158,Velocity!$B:$B,$C158)/Assumptions!$B$4*Assumptions!$B$6</f>
        <v>1.08333333333333</v>
      </c>
    </row>
    <row r="159" customFormat="false" ht="15" hidden="false" customHeight="false" outlineLevel="0" collapsed="false">
      <c r="A159" s="0" t="s">
        <v>109</v>
      </c>
      <c r="B159" s="0" t="s">
        <v>133</v>
      </c>
      <c r="C159" s="0" t="s">
        <v>115</v>
      </c>
      <c r="D159" s="0" t="s">
        <v>235</v>
      </c>
      <c r="E159" s="7" t="n">
        <f aca="false">SUMIFS(Doors!Q:Q,Doors!$A:$A,$D159,Doors!$B:$B,$B159,Doors!$C:$C,$C159)*SUMIFS(Velocity!$I:$I,Velocity!$A:$A,$A159,Velocity!$B:$B,$C159)/Assumptions!$B$4*Assumptions!$B$6</f>
        <v>0</v>
      </c>
      <c r="F159" s="7" t="n">
        <f aca="false">SUMIFS(Doors!R:R,Doors!$A:$A,$D159,Doors!$B:$B,$B159,Doors!$C:$C,$C159)*SUMIFS(Velocity!$I:$I,Velocity!$A:$A,$A159,Velocity!$B:$B,$C159)/Assumptions!$B$4*Assumptions!$B$6</f>
        <v>0</v>
      </c>
      <c r="G159" s="7" t="n">
        <f aca="false">SUMIFS(Doors!S:S,Doors!$A:$A,$D159,Doors!$B:$B,$B159,Doors!$C:$C,$C159)*SUMIFS(Velocity!$I:$I,Velocity!$A:$A,$A159,Velocity!$B:$B,$C159)/Assumptions!$B$4*Assumptions!$B$6</f>
        <v>0</v>
      </c>
      <c r="H159" s="7" t="n">
        <f aca="false">SUMIFS(Doors!T:T,Doors!$A:$A,$D159,Doors!$B:$B,$B159,Doors!$C:$C,$C159)*SUMIFS(Velocity!$I:$I,Velocity!$A:$A,$A159,Velocity!$B:$B,$C159)/Assumptions!$B$4*Assumptions!$B$6</f>
        <v>0</v>
      </c>
      <c r="I159" s="7" t="n">
        <f aca="false">SUMIFS(Doors!U:U,Doors!$A:$A,$D159,Doors!$B:$B,$B159,Doors!$C:$C,$C159)*SUMIFS(Velocity!$I:$I,Velocity!$A:$A,$A159,Velocity!$B:$B,$C159)/Assumptions!$B$4*Assumptions!$B$6</f>
        <v>0</v>
      </c>
      <c r="J159" s="7" t="n">
        <f aca="false">SUMIFS(Doors!V:V,Doors!$A:$A,$D159,Doors!$B:$B,$B159,Doors!$C:$C,$C159)*SUMIFS(Velocity!$I:$I,Velocity!$A:$A,$A159,Velocity!$B:$B,$C159)/Assumptions!$B$4*Assumptions!$B$6</f>
        <v>0</v>
      </c>
      <c r="K159" s="7" t="n">
        <f aca="false">SUMIFS(Doors!W:W,Doors!$A:$A,$D159,Doors!$B:$B,$B159,Doors!$C:$C,$C159)*SUMIFS(Velocity!$I:$I,Velocity!$A:$A,$A159,Velocity!$B:$B,$C159)/Assumptions!$B$4*Assumptions!$B$6</f>
        <v>0</v>
      </c>
      <c r="L159" s="7" t="n">
        <f aca="false">SUMIFS(Doors!X:X,Doors!$A:$A,$D159,Doors!$B:$B,$B159,Doors!$C:$C,$C159)*SUMIFS(Velocity!$I:$I,Velocity!$A:$A,$A159,Velocity!$B:$B,$C159)/Assumptions!$B$4*Assumptions!$B$6</f>
        <v>0</v>
      </c>
      <c r="M159" s="7" t="n">
        <f aca="false">SUMIFS(Doors!Y:Y,Doors!$A:$A,$D159,Doors!$B:$B,$B159,Doors!$C:$C,$C159)*SUMIFS(Velocity!$I:$I,Velocity!$A:$A,$A159,Velocity!$B:$B,$C159)/Assumptions!$B$4*Assumptions!$B$6</f>
        <v>0</v>
      </c>
      <c r="N159" s="7" t="n">
        <f aca="false">SUMIFS(Doors!Z:Z,Doors!$A:$A,$D159,Doors!$B:$B,$B159,Doors!$C:$C,$C159)*SUMIFS(Velocity!$I:$I,Velocity!$A:$A,$A159,Velocity!$B:$B,$C159)/Assumptions!$B$4*Assumptions!$B$6</f>
        <v>0.279166666666667</v>
      </c>
      <c r="O159" s="7" t="n">
        <f aca="false">SUMIFS(Doors!AA:AA,Doors!$A:$A,$D159,Doors!$B:$B,$B159,Doors!$C:$C,$C159)*SUMIFS(Velocity!$I:$I,Velocity!$A:$A,$A159,Velocity!$B:$B,$C159)/Assumptions!$B$4*Assumptions!$B$6</f>
        <v>0.279166666666667</v>
      </c>
      <c r="P159" s="7" t="n">
        <f aca="false">SUMIFS(Doors!AB:AB,Doors!$A:$A,$D159,Doors!$B:$B,$B159,Doors!$C:$C,$C159)*SUMIFS(Velocity!$I:$I,Velocity!$A:$A,$A159,Velocity!$B:$B,$C159)/Assumptions!$B$4*Assumptions!$B$6</f>
        <v>0.279166666666667</v>
      </c>
      <c r="Q159" s="7" t="n">
        <f aca="false">SUMIFS(Doors!AC:AC,Doors!$A:$A,$D159,Doors!$B:$B,$B159,Doors!$C:$C,$C159)*SUMIFS(Velocity!$I:$I,Velocity!$A:$A,$A159,Velocity!$B:$B,$C159)/Assumptions!$B$4*Assumptions!$B$6</f>
        <v>0.279166666666667</v>
      </c>
      <c r="R159" s="7" t="n">
        <f aca="false">SUMIFS(Doors!AD:AD,Doors!$A:$A,$D159,Doors!$B:$B,$B159,Doors!$C:$C,$C159)*SUMIFS(Velocity!$I:$I,Velocity!$A:$A,$A159,Velocity!$B:$B,$C159)/Assumptions!$B$4*Assumptions!$B$6</f>
        <v>0.8375</v>
      </c>
      <c r="S159" s="7" t="n">
        <f aca="false">SUMIFS(Doors!AE:AE,Doors!$A:$A,$D159,Doors!$B:$B,$B159,Doors!$C:$C,$C159)*SUMIFS(Velocity!$I:$I,Velocity!$A:$A,$A159,Velocity!$B:$B,$C159)/Assumptions!$B$4*Assumptions!$B$6</f>
        <v>0.8375</v>
      </c>
      <c r="T159" s="7" t="n">
        <f aca="false">SUMIFS(Doors!AF:AF,Doors!$A:$A,$D159,Doors!$B:$B,$B159,Doors!$C:$C,$C159)*SUMIFS(Velocity!$I:$I,Velocity!$A:$A,$A159,Velocity!$B:$B,$C159)/Assumptions!$B$4*Assumptions!$B$6</f>
        <v>0.8375</v>
      </c>
      <c r="U159" s="7" t="n">
        <f aca="false">SUMIFS(Doors!AG:AG,Doors!$A:$A,$D159,Doors!$B:$B,$B159,Doors!$C:$C,$C159)*SUMIFS(Velocity!$I:$I,Velocity!$A:$A,$A159,Velocity!$B:$B,$C159)/Assumptions!$B$4*Assumptions!$B$6</f>
        <v>0.8375</v>
      </c>
      <c r="V159" s="7" t="n">
        <f aca="false">SUMIFS(Doors!AH:AH,Doors!$A:$A,$D159,Doors!$B:$B,$B159,Doors!$C:$C,$C159)*SUMIFS(Velocity!$I:$I,Velocity!$A:$A,$A159,Velocity!$B:$B,$C159)/Assumptions!$B$4*Assumptions!$B$6</f>
        <v>0.8375</v>
      </c>
      <c r="W159" s="7" t="n">
        <f aca="false">SUMIFS(Doors!AI:AI,Doors!$A:$A,$D159,Doors!$B:$B,$B159,Doors!$C:$C,$C159)*SUMIFS(Velocity!$I:$I,Velocity!$A:$A,$A159,Velocity!$B:$B,$C159)/Assumptions!$B$4*Assumptions!$B$6</f>
        <v>1.39583333333333</v>
      </c>
      <c r="X159" s="7" t="n">
        <f aca="false">SUMIFS(Doors!AJ:AJ,Doors!$A:$A,$D159,Doors!$B:$B,$B159,Doors!$C:$C,$C159)*SUMIFS(Velocity!$I:$I,Velocity!$A:$A,$A159,Velocity!$B:$B,$C159)/Assumptions!$B$4*Assumptions!$B$6</f>
        <v>1.39583333333333</v>
      </c>
      <c r="Y159" s="7" t="n">
        <f aca="false">SUMIFS(Doors!AK:AK,Doors!$A:$A,$D159,Doors!$B:$B,$B159,Doors!$C:$C,$C159)*SUMIFS(Velocity!$I:$I,Velocity!$A:$A,$A159,Velocity!$B:$B,$C159)/Assumptions!$B$4*Assumptions!$B$6</f>
        <v>1.39583333333333</v>
      </c>
      <c r="Z159" s="7" t="n">
        <f aca="false">SUMIFS(Doors!AL:AL,Doors!$A:$A,$D159,Doors!$B:$B,$B159,Doors!$C:$C,$C159)*SUMIFS(Velocity!$I:$I,Velocity!$A:$A,$A159,Velocity!$B:$B,$C159)/Assumptions!$B$4*Assumptions!$B$6</f>
        <v>1.39583333333333</v>
      </c>
      <c r="AA159" s="7" t="n">
        <f aca="false">SUMIFS(Doors!AM:AM,Doors!$A:$A,$D159,Doors!$B:$B,$B159,Doors!$C:$C,$C159)*SUMIFS(Velocity!$I:$I,Velocity!$A:$A,$A159,Velocity!$B:$B,$C159)/Assumptions!$B$4*Assumptions!$B$6</f>
        <v>1.95416666666667</v>
      </c>
      <c r="AB159" s="7" t="n">
        <f aca="false">SUMIFS(Doors!AN:AN,Doors!$A:$A,$D159,Doors!$B:$B,$B159,Doors!$C:$C,$C159)*SUMIFS(Velocity!$I:$I,Velocity!$A:$A,$A159,Velocity!$B:$B,$C159)/Assumptions!$B$4*Assumptions!$B$6</f>
        <v>1.95416666666667</v>
      </c>
      <c r="AC159" s="7" t="n">
        <f aca="false">SUMIFS(Doors!AO:AO,Doors!$A:$A,$D159,Doors!$B:$B,$B159,Doors!$C:$C,$C159)*SUMIFS(Velocity!$I:$I,Velocity!$A:$A,$A159,Velocity!$B:$B,$C159)/Assumptions!$B$4*Assumptions!$B$6</f>
        <v>1.95416666666667</v>
      </c>
      <c r="AD159" s="7" t="n">
        <f aca="false">SUMIFS(Doors!AP:AP,Doors!$A:$A,$D159,Doors!$B:$B,$B159,Doors!$C:$C,$C159)*SUMIFS(Velocity!$I:$I,Velocity!$A:$A,$A159,Velocity!$B:$B,$C159)/Assumptions!$B$4*Assumptions!$B$6</f>
        <v>1.95416666666667</v>
      </c>
      <c r="AE159" s="7" t="n">
        <f aca="false">SUMIFS(Doors!AQ:AQ,Doors!$A:$A,$D159,Doors!$B:$B,$B159,Doors!$C:$C,$C159)*SUMIFS(Velocity!$I:$I,Velocity!$A:$A,$A159,Velocity!$B:$B,$C159)/Assumptions!$B$4*Assumptions!$B$6</f>
        <v>2.5125</v>
      </c>
      <c r="AF159" s="7" t="n">
        <f aca="false">SUMIFS(Doors!AR:AR,Doors!$A:$A,$D159,Doors!$B:$B,$B159,Doors!$C:$C,$C159)*SUMIFS(Velocity!$I:$I,Velocity!$A:$A,$A159,Velocity!$B:$B,$C159)/Assumptions!$B$4*Assumptions!$B$6</f>
        <v>2.5125</v>
      </c>
      <c r="AG159" s="7" t="n">
        <f aca="false">SUMIFS(Doors!AS:AS,Doors!$A:$A,$D159,Doors!$B:$B,$B159,Doors!$C:$C,$C159)*SUMIFS(Velocity!$I:$I,Velocity!$A:$A,$A159,Velocity!$B:$B,$C159)/Assumptions!$B$4*Assumptions!$B$6</f>
        <v>2.5125</v>
      </c>
      <c r="AH159" s="7" t="n">
        <f aca="false">SUMIFS(Doors!AT:AT,Doors!$A:$A,$D159,Doors!$B:$B,$B159,Doors!$C:$C,$C159)*SUMIFS(Velocity!$I:$I,Velocity!$A:$A,$A159,Velocity!$B:$B,$C159)/Assumptions!$B$4*Assumptions!$B$6</f>
        <v>2.5125</v>
      </c>
      <c r="AI159" s="7" t="n">
        <f aca="false">SUMIFS(Doors!AU:AU,Doors!$A:$A,$D159,Doors!$B:$B,$B159,Doors!$C:$C,$C159)*SUMIFS(Velocity!$I:$I,Velocity!$A:$A,$A159,Velocity!$B:$B,$C159)/Assumptions!$B$4*Assumptions!$B$6</f>
        <v>2.5125</v>
      </c>
      <c r="AJ159" s="7" t="n">
        <f aca="false">SUMIFS(Doors!AV:AV,Doors!$A:$A,$D159,Doors!$B:$B,$B159,Doors!$C:$C,$C159)*SUMIFS(Velocity!$I:$I,Velocity!$A:$A,$A159,Velocity!$B:$B,$C159)/Assumptions!$B$4*Assumptions!$B$6</f>
        <v>3.07083333333333</v>
      </c>
      <c r="AK159" s="7" t="n">
        <f aca="false">SUMIFS(Doors!AW:AW,Doors!$A:$A,$D159,Doors!$B:$B,$B159,Doors!$C:$C,$C159)*SUMIFS(Velocity!$I:$I,Velocity!$A:$A,$A159,Velocity!$B:$B,$C159)/Assumptions!$B$4*Assumptions!$B$6</f>
        <v>3.07083333333333</v>
      </c>
      <c r="AL159" s="7" t="n">
        <f aca="false">SUMIFS(Doors!AX:AX,Doors!$A:$A,$D159,Doors!$B:$B,$B159,Doors!$C:$C,$C159)*SUMIFS(Velocity!$I:$I,Velocity!$A:$A,$A159,Velocity!$B:$B,$C159)/Assumptions!$B$4*Assumptions!$B$6</f>
        <v>3.07083333333333</v>
      </c>
      <c r="AM159" s="7" t="n">
        <f aca="false">SUMIFS(Doors!AY:AY,Doors!$A:$A,$D159,Doors!$B:$B,$B159,Doors!$C:$C,$C159)*SUMIFS(Velocity!$I:$I,Velocity!$A:$A,$A159,Velocity!$B:$B,$C159)/Assumptions!$B$4*Assumptions!$B$6</f>
        <v>3.07083333333333</v>
      </c>
      <c r="AN159" s="7" t="n">
        <f aca="false">SUMIFS(Doors!AZ:AZ,Doors!$A:$A,$D159,Doors!$B:$B,$B159,Doors!$C:$C,$C159)*SUMIFS(Velocity!$I:$I,Velocity!$A:$A,$A159,Velocity!$B:$B,$C159)/Assumptions!$B$4*Assumptions!$B$6</f>
        <v>3.62916666666667</v>
      </c>
      <c r="AO159" s="7" t="n">
        <f aca="false">SUMIFS(Doors!BA:BA,Doors!$A:$A,$D159,Doors!$B:$B,$B159,Doors!$C:$C,$C159)*SUMIFS(Velocity!$I:$I,Velocity!$A:$A,$A159,Velocity!$B:$B,$C159)/Assumptions!$B$4*Assumptions!$B$6</f>
        <v>3.62916666666667</v>
      </c>
      <c r="AP159" s="7" t="n">
        <f aca="false">SUMIFS(Doors!BB:BB,Doors!$A:$A,$D159,Doors!$B:$B,$B159,Doors!$C:$C,$C159)*SUMIFS(Velocity!$I:$I,Velocity!$A:$A,$A159,Velocity!$B:$B,$C159)/Assumptions!$B$4*Assumptions!$B$6</f>
        <v>3.62916666666667</v>
      </c>
      <c r="AQ159" s="7" t="n">
        <f aca="false">SUMIFS(Doors!BC:BC,Doors!$A:$A,$D159,Doors!$B:$B,$B159,Doors!$C:$C,$C159)*SUMIFS(Velocity!$I:$I,Velocity!$A:$A,$A159,Velocity!$B:$B,$C159)/Assumptions!$B$4*Assumptions!$B$6</f>
        <v>3.62916666666667</v>
      </c>
      <c r="AR159" s="7" t="n">
        <f aca="false">SUMIFS(Doors!BD:BD,Doors!$A:$A,$D159,Doors!$B:$B,$B159,Doors!$C:$C,$C159)*SUMIFS(Velocity!$I:$I,Velocity!$A:$A,$A159,Velocity!$B:$B,$C159)/Assumptions!$B$4*Assumptions!$B$6</f>
        <v>3.90833333333333</v>
      </c>
      <c r="AS159" s="7" t="n">
        <f aca="false">SUMIFS(Doors!BE:BE,Doors!$A:$A,$D159,Doors!$B:$B,$B159,Doors!$C:$C,$C159)*SUMIFS(Velocity!$I:$I,Velocity!$A:$A,$A159,Velocity!$B:$B,$C159)/Assumptions!$B$4*Assumptions!$B$6</f>
        <v>3.90833333333333</v>
      </c>
      <c r="AT159" s="7" t="n">
        <f aca="false">SUMIFS(Doors!BF:BF,Doors!$A:$A,$D159,Doors!$B:$B,$B159,Doors!$C:$C,$C159)*SUMIFS(Velocity!$I:$I,Velocity!$A:$A,$A159,Velocity!$B:$B,$C159)/Assumptions!$B$4*Assumptions!$B$6</f>
        <v>3.90833333333333</v>
      </c>
      <c r="AU159" s="7" t="n">
        <f aca="false">SUMIFS(Doors!BG:BG,Doors!$A:$A,$D159,Doors!$B:$B,$B159,Doors!$C:$C,$C159)*SUMIFS(Velocity!$I:$I,Velocity!$A:$A,$A159,Velocity!$B:$B,$C159)/Assumptions!$B$4*Assumptions!$B$6</f>
        <v>3.90833333333333</v>
      </c>
      <c r="AV159" s="7" t="n">
        <f aca="false">SUMIFS(Doors!BH:BH,Doors!$A:$A,$D159,Doors!$B:$B,$B159,Doors!$C:$C,$C159)*SUMIFS(Velocity!$I:$I,Velocity!$A:$A,$A159,Velocity!$B:$B,$C159)/Assumptions!$B$4*Assumptions!$B$6</f>
        <v>3.90833333333333</v>
      </c>
      <c r="AW159" s="7" t="n">
        <f aca="false">SUMIFS(Doors!BI:BI,Doors!$A:$A,$D159,Doors!$B:$B,$B159,Doors!$C:$C,$C159)*SUMIFS(Velocity!$I:$I,Velocity!$A:$A,$A159,Velocity!$B:$B,$C159)/Assumptions!$B$4*Assumptions!$B$6</f>
        <v>4.1875</v>
      </c>
      <c r="AX159" s="7" t="n">
        <f aca="false">SUMIFS(Doors!BJ:BJ,Doors!$A:$A,$D159,Doors!$B:$B,$B159,Doors!$C:$C,$C159)*SUMIFS(Velocity!$I:$I,Velocity!$A:$A,$A159,Velocity!$B:$B,$C159)/Assumptions!$B$4*Assumptions!$B$6</f>
        <v>4.1875</v>
      </c>
      <c r="AY159" s="7" t="n">
        <f aca="false">SUMIFS(Doors!BK:BK,Doors!$A:$A,$D159,Doors!$B:$B,$B159,Doors!$C:$C,$C159)*SUMIFS(Velocity!$I:$I,Velocity!$A:$A,$A159,Velocity!$B:$B,$C159)/Assumptions!$B$4*Assumptions!$B$6</f>
        <v>4.1875</v>
      </c>
      <c r="AZ159" s="7" t="n">
        <f aca="false">SUMIFS(Doors!BL:BL,Doors!$A:$A,$D159,Doors!$B:$B,$B159,Doors!$C:$C,$C159)*SUMIFS(Velocity!$I:$I,Velocity!$A:$A,$A159,Velocity!$B:$B,$C159)/Assumptions!$B$4*Assumptions!$B$6</f>
        <v>4.1875</v>
      </c>
      <c r="BA159" s="7" t="n">
        <f aca="false">SUMIFS(Doors!BM:BM,Doors!$A:$A,$D159,Doors!$B:$B,$B159,Doors!$C:$C,$C159)*SUMIFS(Velocity!$I:$I,Velocity!$A:$A,$A159,Velocity!$B:$B,$C159)/Assumptions!$B$4*Assumptions!$B$6</f>
        <v>4.46666666666667</v>
      </c>
      <c r="BB159" s="7" t="n">
        <f aca="false">SUMIFS(Doors!BN:BN,Doors!$A:$A,$D159,Doors!$B:$B,$B159,Doors!$C:$C,$C159)*SUMIFS(Velocity!$I:$I,Velocity!$A:$A,$A159,Velocity!$B:$B,$C159)/Assumptions!$B$4*Assumptions!$B$6</f>
        <v>4.46666666666667</v>
      </c>
      <c r="BC159" s="7" t="n">
        <f aca="false">SUMIFS(Doors!BO:BO,Doors!$A:$A,$D159,Doors!$B:$B,$B159,Doors!$C:$C,$C159)*SUMIFS(Velocity!$I:$I,Velocity!$A:$A,$A159,Velocity!$B:$B,$C159)/Assumptions!$B$4*Assumptions!$B$6</f>
        <v>4.46666666666667</v>
      </c>
      <c r="BD159" s="7" t="n">
        <f aca="false">SUMIFS(Doors!BP:BP,Doors!$A:$A,$D159,Doors!$B:$B,$B159,Doors!$C:$C,$C159)*SUMIFS(Velocity!$I:$I,Velocity!$A:$A,$A159,Velocity!$B:$B,$C159)/Assumptions!$B$4*Assumptions!$B$6</f>
        <v>4.46666666666667</v>
      </c>
    </row>
    <row r="160" customFormat="false" ht="15" hidden="false" customHeight="false" outlineLevel="0" collapsed="false">
      <c r="A160" s="0" t="s">
        <v>109</v>
      </c>
      <c r="B160" s="0" t="s">
        <v>133</v>
      </c>
      <c r="C160" s="0" t="s">
        <v>116</v>
      </c>
      <c r="D160" s="0" t="s">
        <v>235</v>
      </c>
      <c r="E160" s="7" t="n">
        <f aca="false">SUMIFS(Doors!Q:Q,Doors!$A:$A,$D160,Doors!$B:$B,$B160,Doors!$C:$C,$C160)*SUMIFS(Velocity!$I:$I,Velocity!$A:$A,$A160,Velocity!$B:$B,$C160)/Assumptions!$B$4*Assumptions!$B$6</f>
        <v>0</v>
      </c>
      <c r="F160" s="7" t="n">
        <f aca="false">SUMIFS(Doors!R:R,Doors!$A:$A,$D160,Doors!$B:$B,$B160,Doors!$C:$C,$C160)*SUMIFS(Velocity!$I:$I,Velocity!$A:$A,$A160,Velocity!$B:$B,$C160)/Assumptions!$B$4*Assumptions!$B$6</f>
        <v>0</v>
      </c>
      <c r="G160" s="7" t="n">
        <f aca="false">SUMIFS(Doors!S:S,Doors!$A:$A,$D160,Doors!$B:$B,$B160,Doors!$C:$C,$C160)*SUMIFS(Velocity!$I:$I,Velocity!$A:$A,$A160,Velocity!$B:$B,$C160)/Assumptions!$B$4*Assumptions!$B$6</f>
        <v>0</v>
      </c>
      <c r="H160" s="7" t="n">
        <f aca="false">SUMIFS(Doors!T:T,Doors!$A:$A,$D160,Doors!$B:$B,$B160,Doors!$C:$C,$C160)*SUMIFS(Velocity!$I:$I,Velocity!$A:$A,$A160,Velocity!$B:$B,$C160)/Assumptions!$B$4*Assumptions!$B$6</f>
        <v>0</v>
      </c>
      <c r="I160" s="7" t="n">
        <f aca="false">SUMIFS(Doors!U:U,Doors!$A:$A,$D160,Doors!$B:$B,$B160,Doors!$C:$C,$C160)*SUMIFS(Velocity!$I:$I,Velocity!$A:$A,$A160,Velocity!$B:$B,$C160)/Assumptions!$B$4*Assumptions!$B$6</f>
        <v>0</v>
      </c>
      <c r="J160" s="7" t="n">
        <f aca="false">SUMIFS(Doors!V:V,Doors!$A:$A,$D160,Doors!$B:$B,$B160,Doors!$C:$C,$C160)*SUMIFS(Velocity!$I:$I,Velocity!$A:$A,$A160,Velocity!$B:$B,$C160)/Assumptions!$B$4*Assumptions!$B$6</f>
        <v>0</v>
      </c>
      <c r="K160" s="7" t="n">
        <f aca="false">SUMIFS(Doors!W:W,Doors!$A:$A,$D160,Doors!$B:$B,$B160,Doors!$C:$C,$C160)*SUMIFS(Velocity!$I:$I,Velocity!$A:$A,$A160,Velocity!$B:$B,$C160)/Assumptions!$B$4*Assumptions!$B$6</f>
        <v>0</v>
      </c>
      <c r="L160" s="7" t="n">
        <f aca="false">SUMIFS(Doors!X:X,Doors!$A:$A,$D160,Doors!$B:$B,$B160,Doors!$C:$C,$C160)*SUMIFS(Velocity!$I:$I,Velocity!$A:$A,$A160,Velocity!$B:$B,$C160)/Assumptions!$B$4*Assumptions!$B$6</f>
        <v>0</v>
      </c>
      <c r="M160" s="7" t="n">
        <f aca="false">SUMIFS(Doors!Y:Y,Doors!$A:$A,$D160,Doors!$B:$B,$B160,Doors!$C:$C,$C160)*SUMIFS(Velocity!$I:$I,Velocity!$A:$A,$A160,Velocity!$B:$B,$C160)/Assumptions!$B$4*Assumptions!$B$6</f>
        <v>0</v>
      </c>
      <c r="N160" s="7" t="n">
        <f aca="false">SUMIFS(Doors!Z:Z,Doors!$A:$A,$D160,Doors!$B:$B,$B160,Doors!$C:$C,$C160)*SUMIFS(Velocity!$I:$I,Velocity!$A:$A,$A160,Velocity!$B:$B,$C160)/Assumptions!$B$4*Assumptions!$B$6</f>
        <v>0</v>
      </c>
      <c r="O160" s="7" t="n">
        <f aca="false">SUMIFS(Doors!AA:AA,Doors!$A:$A,$D160,Doors!$B:$B,$B160,Doors!$C:$C,$C160)*SUMIFS(Velocity!$I:$I,Velocity!$A:$A,$A160,Velocity!$B:$B,$C160)/Assumptions!$B$4*Assumptions!$B$6</f>
        <v>0</v>
      </c>
      <c r="P160" s="7" t="n">
        <f aca="false">SUMIFS(Doors!AB:AB,Doors!$A:$A,$D160,Doors!$B:$B,$B160,Doors!$C:$C,$C160)*SUMIFS(Velocity!$I:$I,Velocity!$A:$A,$A160,Velocity!$B:$B,$C160)/Assumptions!$B$4*Assumptions!$B$6</f>
        <v>0</v>
      </c>
      <c r="Q160" s="7" t="n">
        <f aca="false">SUMIFS(Doors!AC:AC,Doors!$A:$A,$D160,Doors!$B:$B,$B160,Doors!$C:$C,$C160)*SUMIFS(Velocity!$I:$I,Velocity!$A:$A,$A160,Velocity!$B:$B,$C160)/Assumptions!$B$4*Assumptions!$B$6</f>
        <v>0</v>
      </c>
      <c r="R160" s="7" t="n">
        <f aca="false">SUMIFS(Doors!AD:AD,Doors!$A:$A,$D160,Doors!$B:$B,$B160,Doors!$C:$C,$C160)*SUMIFS(Velocity!$I:$I,Velocity!$A:$A,$A160,Velocity!$B:$B,$C160)/Assumptions!$B$4*Assumptions!$B$6</f>
        <v>0.270833333333333</v>
      </c>
      <c r="S160" s="7" t="n">
        <f aca="false">SUMIFS(Doors!AE:AE,Doors!$A:$A,$D160,Doors!$B:$B,$B160,Doors!$C:$C,$C160)*SUMIFS(Velocity!$I:$I,Velocity!$A:$A,$A160,Velocity!$B:$B,$C160)/Assumptions!$B$4*Assumptions!$B$6</f>
        <v>0.270833333333333</v>
      </c>
      <c r="T160" s="7" t="n">
        <f aca="false">SUMIFS(Doors!AF:AF,Doors!$A:$A,$D160,Doors!$B:$B,$B160,Doors!$C:$C,$C160)*SUMIFS(Velocity!$I:$I,Velocity!$A:$A,$A160,Velocity!$B:$B,$C160)/Assumptions!$B$4*Assumptions!$B$6</f>
        <v>0.270833333333333</v>
      </c>
      <c r="U160" s="7" t="n">
        <f aca="false">SUMIFS(Doors!AG:AG,Doors!$A:$A,$D160,Doors!$B:$B,$B160,Doors!$C:$C,$C160)*SUMIFS(Velocity!$I:$I,Velocity!$A:$A,$A160,Velocity!$B:$B,$C160)/Assumptions!$B$4*Assumptions!$B$6</f>
        <v>0.270833333333333</v>
      </c>
      <c r="V160" s="7" t="n">
        <f aca="false">SUMIFS(Doors!AH:AH,Doors!$A:$A,$D160,Doors!$B:$B,$B160,Doors!$C:$C,$C160)*SUMIFS(Velocity!$I:$I,Velocity!$A:$A,$A160,Velocity!$B:$B,$C160)/Assumptions!$B$4*Assumptions!$B$6</f>
        <v>0.270833333333333</v>
      </c>
      <c r="W160" s="7" t="n">
        <f aca="false">SUMIFS(Doors!AI:AI,Doors!$A:$A,$D160,Doors!$B:$B,$B160,Doors!$C:$C,$C160)*SUMIFS(Velocity!$I:$I,Velocity!$A:$A,$A160,Velocity!$B:$B,$C160)/Assumptions!$B$4*Assumptions!$B$6</f>
        <v>0.541666666666667</v>
      </c>
      <c r="X160" s="7" t="n">
        <f aca="false">SUMIFS(Doors!AJ:AJ,Doors!$A:$A,$D160,Doors!$B:$B,$B160,Doors!$C:$C,$C160)*SUMIFS(Velocity!$I:$I,Velocity!$A:$A,$A160,Velocity!$B:$B,$C160)/Assumptions!$B$4*Assumptions!$B$6</f>
        <v>0.541666666666667</v>
      </c>
      <c r="Y160" s="7" t="n">
        <f aca="false">SUMIFS(Doors!AK:AK,Doors!$A:$A,$D160,Doors!$B:$B,$B160,Doors!$C:$C,$C160)*SUMIFS(Velocity!$I:$I,Velocity!$A:$A,$A160,Velocity!$B:$B,$C160)/Assumptions!$B$4*Assumptions!$B$6</f>
        <v>0.541666666666667</v>
      </c>
      <c r="Z160" s="7" t="n">
        <f aca="false">SUMIFS(Doors!AL:AL,Doors!$A:$A,$D160,Doors!$B:$B,$B160,Doors!$C:$C,$C160)*SUMIFS(Velocity!$I:$I,Velocity!$A:$A,$A160,Velocity!$B:$B,$C160)/Assumptions!$B$4*Assumptions!$B$6</f>
        <v>0.541666666666667</v>
      </c>
      <c r="AA160" s="7" t="n">
        <f aca="false">SUMIFS(Doors!AM:AM,Doors!$A:$A,$D160,Doors!$B:$B,$B160,Doors!$C:$C,$C160)*SUMIFS(Velocity!$I:$I,Velocity!$A:$A,$A160,Velocity!$B:$B,$C160)/Assumptions!$B$4*Assumptions!$B$6</f>
        <v>1.08333333333333</v>
      </c>
      <c r="AB160" s="7" t="n">
        <f aca="false">SUMIFS(Doors!AN:AN,Doors!$A:$A,$D160,Doors!$B:$B,$B160,Doors!$C:$C,$C160)*SUMIFS(Velocity!$I:$I,Velocity!$A:$A,$A160,Velocity!$B:$B,$C160)/Assumptions!$B$4*Assumptions!$B$6</f>
        <v>1.08333333333333</v>
      </c>
      <c r="AC160" s="7" t="n">
        <f aca="false">SUMIFS(Doors!AO:AO,Doors!$A:$A,$D160,Doors!$B:$B,$B160,Doors!$C:$C,$C160)*SUMIFS(Velocity!$I:$I,Velocity!$A:$A,$A160,Velocity!$B:$B,$C160)/Assumptions!$B$4*Assumptions!$B$6</f>
        <v>1.08333333333333</v>
      </c>
      <c r="AD160" s="7" t="n">
        <f aca="false">SUMIFS(Doors!AP:AP,Doors!$A:$A,$D160,Doors!$B:$B,$B160,Doors!$C:$C,$C160)*SUMIFS(Velocity!$I:$I,Velocity!$A:$A,$A160,Velocity!$B:$B,$C160)/Assumptions!$B$4*Assumptions!$B$6</f>
        <v>1.08333333333333</v>
      </c>
      <c r="AE160" s="7" t="n">
        <f aca="false">SUMIFS(Doors!AQ:AQ,Doors!$A:$A,$D160,Doors!$B:$B,$B160,Doors!$C:$C,$C160)*SUMIFS(Velocity!$I:$I,Velocity!$A:$A,$A160,Velocity!$B:$B,$C160)/Assumptions!$B$4*Assumptions!$B$6</f>
        <v>1.35416666666667</v>
      </c>
      <c r="AF160" s="7" t="n">
        <f aca="false">SUMIFS(Doors!AR:AR,Doors!$A:$A,$D160,Doors!$B:$B,$B160,Doors!$C:$C,$C160)*SUMIFS(Velocity!$I:$I,Velocity!$A:$A,$A160,Velocity!$B:$B,$C160)/Assumptions!$B$4*Assumptions!$B$6</f>
        <v>1.35416666666667</v>
      </c>
      <c r="AG160" s="7" t="n">
        <f aca="false">SUMIFS(Doors!AS:AS,Doors!$A:$A,$D160,Doors!$B:$B,$B160,Doors!$C:$C,$C160)*SUMIFS(Velocity!$I:$I,Velocity!$A:$A,$A160,Velocity!$B:$B,$C160)/Assumptions!$B$4*Assumptions!$B$6</f>
        <v>1.35416666666667</v>
      </c>
      <c r="AH160" s="7" t="n">
        <f aca="false">SUMIFS(Doors!AT:AT,Doors!$A:$A,$D160,Doors!$B:$B,$B160,Doors!$C:$C,$C160)*SUMIFS(Velocity!$I:$I,Velocity!$A:$A,$A160,Velocity!$B:$B,$C160)/Assumptions!$B$4*Assumptions!$B$6</f>
        <v>1.35416666666667</v>
      </c>
      <c r="AI160" s="7" t="n">
        <f aca="false">SUMIFS(Doors!AU:AU,Doors!$A:$A,$D160,Doors!$B:$B,$B160,Doors!$C:$C,$C160)*SUMIFS(Velocity!$I:$I,Velocity!$A:$A,$A160,Velocity!$B:$B,$C160)/Assumptions!$B$4*Assumptions!$B$6</f>
        <v>1.35416666666667</v>
      </c>
      <c r="AJ160" s="7" t="n">
        <f aca="false">SUMIFS(Doors!AV:AV,Doors!$A:$A,$D160,Doors!$B:$B,$B160,Doors!$C:$C,$C160)*SUMIFS(Velocity!$I:$I,Velocity!$A:$A,$A160,Velocity!$B:$B,$C160)/Assumptions!$B$4*Assumptions!$B$6</f>
        <v>1.625</v>
      </c>
      <c r="AK160" s="7" t="n">
        <f aca="false">SUMIFS(Doors!AW:AW,Doors!$A:$A,$D160,Doors!$B:$B,$B160,Doors!$C:$C,$C160)*SUMIFS(Velocity!$I:$I,Velocity!$A:$A,$A160,Velocity!$B:$B,$C160)/Assumptions!$B$4*Assumptions!$B$6</f>
        <v>1.625</v>
      </c>
      <c r="AL160" s="7" t="n">
        <f aca="false">SUMIFS(Doors!AX:AX,Doors!$A:$A,$D160,Doors!$B:$B,$B160,Doors!$C:$C,$C160)*SUMIFS(Velocity!$I:$I,Velocity!$A:$A,$A160,Velocity!$B:$B,$C160)/Assumptions!$B$4*Assumptions!$B$6</f>
        <v>1.625</v>
      </c>
      <c r="AM160" s="7" t="n">
        <f aca="false">SUMIFS(Doors!AY:AY,Doors!$A:$A,$D160,Doors!$B:$B,$B160,Doors!$C:$C,$C160)*SUMIFS(Velocity!$I:$I,Velocity!$A:$A,$A160,Velocity!$B:$B,$C160)/Assumptions!$B$4*Assumptions!$B$6</f>
        <v>1.625</v>
      </c>
      <c r="AN160" s="7" t="n">
        <f aca="false">SUMIFS(Doors!AZ:AZ,Doors!$A:$A,$D160,Doors!$B:$B,$B160,Doors!$C:$C,$C160)*SUMIFS(Velocity!$I:$I,Velocity!$A:$A,$A160,Velocity!$B:$B,$C160)/Assumptions!$B$4*Assumptions!$B$6</f>
        <v>1.89583333333333</v>
      </c>
      <c r="AO160" s="7" t="n">
        <f aca="false">SUMIFS(Doors!BA:BA,Doors!$A:$A,$D160,Doors!$B:$B,$B160,Doors!$C:$C,$C160)*SUMIFS(Velocity!$I:$I,Velocity!$A:$A,$A160,Velocity!$B:$B,$C160)/Assumptions!$B$4*Assumptions!$B$6</f>
        <v>1.89583333333333</v>
      </c>
      <c r="AP160" s="7" t="n">
        <f aca="false">SUMIFS(Doors!BB:BB,Doors!$A:$A,$D160,Doors!$B:$B,$B160,Doors!$C:$C,$C160)*SUMIFS(Velocity!$I:$I,Velocity!$A:$A,$A160,Velocity!$B:$B,$C160)/Assumptions!$B$4*Assumptions!$B$6</f>
        <v>1.89583333333333</v>
      </c>
      <c r="AQ160" s="7" t="n">
        <f aca="false">SUMIFS(Doors!BC:BC,Doors!$A:$A,$D160,Doors!$B:$B,$B160,Doors!$C:$C,$C160)*SUMIFS(Velocity!$I:$I,Velocity!$A:$A,$A160,Velocity!$B:$B,$C160)/Assumptions!$B$4*Assumptions!$B$6</f>
        <v>1.89583333333333</v>
      </c>
      <c r="AR160" s="7" t="n">
        <f aca="false">SUMIFS(Doors!BD:BD,Doors!$A:$A,$D160,Doors!$B:$B,$B160,Doors!$C:$C,$C160)*SUMIFS(Velocity!$I:$I,Velocity!$A:$A,$A160,Velocity!$B:$B,$C160)/Assumptions!$B$4*Assumptions!$B$6</f>
        <v>2.16666666666667</v>
      </c>
      <c r="AS160" s="7" t="n">
        <f aca="false">SUMIFS(Doors!BE:BE,Doors!$A:$A,$D160,Doors!$B:$B,$B160,Doors!$C:$C,$C160)*SUMIFS(Velocity!$I:$I,Velocity!$A:$A,$A160,Velocity!$B:$B,$C160)/Assumptions!$B$4*Assumptions!$B$6</f>
        <v>2.16666666666667</v>
      </c>
      <c r="AT160" s="7" t="n">
        <f aca="false">SUMIFS(Doors!BF:BF,Doors!$A:$A,$D160,Doors!$B:$B,$B160,Doors!$C:$C,$C160)*SUMIFS(Velocity!$I:$I,Velocity!$A:$A,$A160,Velocity!$B:$B,$C160)/Assumptions!$B$4*Assumptions!$B$6</f>
        <v>2.16666666666667</v>
      </c>
      <c r="AU160" s="7" t="n">
        <f aca="false">SUMIFS(Doors!BG:BG,Doors!$A:$A,$D160,Doors!$B:$B,$B160,Doors!$C:$C,$C160)*SUMIFS(Velocity!$I:$I,Velocity!$A:$A,$A160,Velocity!$B:$B,$C160)/Assumptions!$B$4*Assumptions!$B$6</f>
        <v>2.16666666666667</v>
      </c>
      <c r="AV160" s="7" t="n">
        <f aca="false">SUMIFS(Doors!BH:BH,Doors!$A:$A,$D160,Doors!$B:$B,$B160,Doors!$C:$C,$C160)*SUMIFS(Velocity!$I:$I,Velocity!$A:$A,$A160,Velocity!$B:$B,$C160)/Assumptions!$B$4*Assumptions!$B$6</f>
        <v>2.16666666666667</v>
      </c>
      <c r="AW160" s="7" t="n">
        <f aca="false">SUMIFS(Doors!BI:BI,Doors!$A:$A,$D160,Doors!$B:$B,$B160,Doors!$C:$C,$C160)*SUMIFS(Velocity!$I:$I,Velocity!$A:$A,$A160,Velocity!$B:$B,$C160)/Assumptions!$B$4*Assumptions!$B$6</f>
        <v>2.4375</v>
      </c>
      <c r="AX160" s="7" t="n">
        <f aca="false">SUMIFS(Doors!BJ:BJ,Doors!$A:$A,$D160,Doors!$B:$B,$B160,Doors!$C:$C,$C160)*SUMIFS(Velocity!$I:$I,Velocity!$A:$A,$A160,Velocity!$B:$B,$C160)/Assumptions!$B$4*Assumptions!$B$6</f>
        <v>2.4375</v>
      </c>
      <c r="AY160" s="7" t="n">
        <f aca="false">SUMIFS(Doors!BK:BK,Doors!$A:$A,$D160,Doors!$B:$B,$B160,Doors!$C:$C,$C160)*SUMIFS(Velocity!$I:$I,Velocity!$A:$A,$A160,Velocity!$B:$B,$C160)/Assumptions!$B$4*Assumptions!$B$6</f>
        <v>2.4375</v>
      </c>
      <c r="AZ160" s="7" t="n">
        <f aca="false">SUMIFS(Doors!BL:BL,Doors!$A:$A,$D160,Doors!$B:$B,$B160,Doors!$C:$C,$C160)*SUMIFS(Velocity!$I:$I,Velocity!$A:$A,$A160,Velocity!$B:$B,$C160)/Assumptions!$B$4*Assumptions!$B$6</f>
        <v>2.4375</v>
      </c>
      <c r="BA160" s="7" t="n">
        <f aca="false">SUMIFS(Doors!BM:BM,Doors!$A:$A,$D160,Doors!$B:$B,$B160,Doors!$C:$C,$C160)*SUMIFS(Velocity!$I:$I,Velocity!$A:$A,$A160,Velocity!$B:$B,$C160)/Assumptions!$B$4*Assumptions!$B$6</f>
        <v>2.70833333333333</v>
      </c>
      <c r="BB160" s="7" t="n">
        <f aca="false">SUMIFS(Doors!BN:BN,Doors!$A:$A,$D160,Doors!$B:$B,$B160,Doors!$C:$C,$C160)*SUMIFS(Velocity!$I:$I,Velocity!$A:$A,$A160,Velocity!$B:$B,$C160)/Assumptions!$B$4*Assumptions!$B$6</f>
        <v>2.70833333333333</v>
      </c>
      <c r="BC160" s="7" t="n">
        <f aca="false">SUMIFS(Doors!BO:BO,Doors!$A:$A,$D160,Doors!$B:$B,$B160,Doors!$C:$C,$C160)*SUMIFS(Velocity!$I:$I,Velocity!$A:$A,$A160,Velocity!$B:$B,$C160)/Assumptions!$B$4*Assumptions!$B$6</f>
        <v>2.70833333333333</v>
      </c>
      <c r="BD160" s="7" t="n">
        <f aca="false">SUMIFS(Doors!BP:BP,Doors!$A:$A,$D160,Doors!$B:$B,$B160,Doors!$C:$C,$C160)*SUMIFS(Velocity!$I:$I,Velocity!$A:$A,$A160,Velocity!$B:$B,$C160)/Assumptions!$B$4*Assumptions!$B$6</f>
        <v>2.70833333333333</v>
      </c>
    </row>
    <row r="161" customFormat="false" ht="15" hidden="false" customHeight="false" outlineLevel="0" collapsed="false">
      <c r="A161" s="0" t="s">
        <v>109</v>
      </c>
      <c r="B161" s="0" t="s">
        <v>133</v>
      </c>
      <c r="C161" s="0" t="s">
        <v>117</v>
      </c>
      <c r="D161" s="0" t="s">
        <v>235</v>
      </c>
      <c r="E161" s="7" t="n">
        <f aca="false">SUMIFS(Doors!Q:Q,Doors!$A:$A,$D161,Doors!$B:$B,$B161,Doors!$C:$C,$C161)*SUMIFS(Velocity!$I:$I,Velocity!$A:$A,$A161,Velocity!$B:$B,$C161)/Assumptions!$B$4*Assumptions!$B$6</f>
        <v>0</v>
      </c>
      <c r="F161" s="7" t="n">
        <f aca="false">SUMIFS(Doors!R:R,Doors!$A:$A,$D161,Doors!$B:$B,$B161,Doors!$C:$C,$C161)*SUMIFS(Velocity!$I:$I,Velocity!$A:$A,$A161,Velocity!$B:$B,$C161)/Assumptions!$B$4*Assumptions!$B$6</f>
        <v>0</v>
      </c>
      <c r="G161" s="7" t="n">
        <f aca="false">SUMIFS(Doors!S:S,Doors!$A:$A,$D161,Doors!$B:$B,$B161,Doors!$C:$C,$C161)*SUMIFS(Velocity!$I:$I,Velocity!$A:$A,$A161,Velocity!$B:$B,$C161)/Assumptions!$B$4*Assumptions!$B$6</f>
        <v>0</v>
      </c>
      <c r="H161" s="7" t="n">
        <f aca="false">SUMIFS(Doors!T:T,Doors!$A:$A,$D161,Doors!$B:$B,$B161,Doors!$C:$C,$C161)*SUMIFS(Velocity!$I:$I,Velocity!$A:$A,$A161,Velocity!$B:$B,$C161)/Assumptions!$B$4*Assumptions!$B$6</f>
        <v>0</v>
      </c>
      <c r="I161" s="7" t="n">
        <f aca="false">SUMIFS(Doors!U:U,Doors!$A:$A,$D161,Doors!$B:$B,$B161,Doors!$C:$C,$C161)*SUMIFS(Velocity!$I:$I,Velocity!$A:$A,$A161,Velocity!$B:$B,$C161)/Assumptions!$B$4*Assumptions!$B$6</f>
        <v>0</v>
      </c>
      <c r="J161" s="7" t="n">
        <f aca="false">SUMIFS(Doors!V:V,Doors!$A:$A,$D161,Doors!$B:$B,$B161,Doors!$C:$C,$C161)*SUMIFS(Velocity!$I:$I,Velocity!$A:$A,$A161,Velocity!$B:$B,$C161)/Assumptions!$B$4*Assumptions!$B$6</f>
        <v>0</v>
      </c>
      <c r="K161" s="7" t="n">
        <f aca="false">SUMIFS(Doors!W:W,Doors!$A:$A,$D161,Doors!$B:$B,$B161,Doors!$C:$C,$C161)*SUMIFS(Velocity!$I:$I,Velocity!$A:$A,$A161,Velocity!$B:$B,$C161)/Assumptions!$B$4*Assumptions!$B$6</f>
        <v>0</v>
      </c>
      <c r="L161" s="7" t="n">
        <f aca="false">SUMIFS(Doors!X:X,Doors!$A:$A,$D161,Doors!$B:$B,$B161,Doors!$C:$C,$C161)*SUMIFS(Velocity!$I:$I,Velocity!$A:$A,$A161,Velocity!$B:$B,$C161)/Assumptions!$B$4*Assumptions!$B$6</f>
        <v>0</v>
      </c>
      <c r="M161" s="7" t="n">
        <f aca="false">SUMIFS(Doors!Y:Y,Doors!$A:$A,$D161,Doors!$B:$B,$B161,Doors!$C:$C,$C161)*SUMIFS(Velocity!$I:$I,Velocity!$A:$A,$A161,Velocity!$B:$B,$C161)/Assumptions!$B$4*Assumptions!$B$6</f>
        <v>0</v>
      </c>
      <c r="N161" s="7" t="n">
        <f aca="false">SUMIFS(Doors!Z:Z,Doors!$A:$A,$D161,Doors!$B:$B,$B161,Doors!$C:$C,$C161)*SUMIFS(Velocity!$I:$I,Velocity!$A:$A,$A161,Velocity!$B:$B,$C161)/Assumptions!$B$4*Assumptions!$B$6</f>
        <v>0</v>
      </c>
      <c r="O161" s="7" t="n">
        <f aca="false">SUMIFS(Doors!AA:AA,Doors!$A:$A,$D161,Doors!$B:$B,$B161,Doors!$C:$C,$C161)*SUMIFS(Velocity!$I:$I,Velocity!$A:$A,$A161,Velocity!$B:$B,$C161)/Assumptions!$B$4*Assumptions!$B$6</f>
        <v>0</v>
      </c>
      <c r="P161" s="7" t="n">
        <f aca="false">SUMIFS(Doors!AB:AB,Doors!$A:$A,$D161,Doors!$B:$B,$B161,Doors!$C:$C,$C161)*SUMIFS(Velocity!$I:$I,Velocity!$A:$A,$A161,Velocity!$B:$B,$C161)/Assumptions!$B$4*Assumptions!$B$6</f>
        <v>0</v>
      </c>
      <c r="Q161" s="7" t="n">
        <f aca="false">SUMIFS(Doors!AC:AC,Doors!$A:$A,$D161,Doors!$B:$B,$B161,Doors!$C:$C,$C161)*SUMIFS(Velocity!$I:$I,Velocity!$A:$A,$A161,Velocity!$B:$B,$C161)/Assumptions!$B$4*Assumptions!$B$6</f>
        <v>0</v>
      </c>
      <c r="R161" s="7" t="n">
        <f aca="false">SUMIFS(Doors!AD:AD,Doors!$A:$A,$D161,Doors!$B:$B,$B161,Doors!$C:$C,$C161)*SUMIFS(Velocity!$I:$I,Velocity!$A:$A,$A161,Velocity!$B:$B,$C161)/Assumptions!$B$4*Assumptions!$B$6</f>
        <v>0</v>
      </c>
      <c r="S161" s="7" t="n">
        <f aca="false">SUMIFS(Doors!AE:AE,Doors!$A:$A,$D161,Doors!$B:$B,$B161,Doors!$C:$C,$C161)*SUMIFS(Velocity!$I:$I,Velocity!$A:$A,$A161,Velocity!$B:$B,$C161)/Assumptions!$B$4*Assumptions!$B$6</f>
        <v>0</v>
      </c>
      <c r="T161" s="7" t="n">
        <f aca="false">SUMIFS(Doors!AF:AF,Doors!$A:$A,$D161,Doors!$B:$B,$B161,Doors!$C:$C,$C161)*SUMIFS(Velocity!$I:$I,Velocity!$A:$A,$A161,Velocity!$B:$B,$C161)/Assumptions!$B$4*Assumptions!$B$6</f>
        <v>0</v>
      </c>
      <c r="U161" s="7" t="n">
        <f aca="false">SUMIFS(Doors!AG:AG,Doors!$A:$A,$D161,Doors!$B:$B,$B161,Doors!$C:$C,$C161)*SUMIFS(Velocity!$I:$I,Velocity!$A:$A,$A161,Velocity!$B:$B,$C161)/Assumptions!$B$4*Assumptions!$B$6</f>
        <v>0</v>
      </c>
      <c r="V161" s="7" t="n">
        <f aca="false">SUMIFS(Doors!AH:AH,Doors!$A:$A,$D161,Doors!$B:$B,$B161,Doors!$C:$C,$C161)*SUMIFS(Velocity!$I:$I,Velocity!$A:$A,$A161,Velocity!$B:$B,$C161)/Assumptions!$B$4*Assumptions!$B$6</f>
        <v>0</v>
      </c>
      <c r="W161" s="7" t="n">
        <f aca="false">SUMIFS(Doors!AI:AI,Doors!$A:$A,$D161,Doors!$B:$B,$B161,Doors!$C:$C,$C161)*SUMIFS(Velocity!$I:$I,Velocity!$A:$A,$A161,Velocity!$B:$B,$C161)/Assumptions!$B$4*Assumptions!$B$6</f>
        <v>0</v>
      </c>
      <c r="X161" s="7" t="n">
        <f aca="false">SUMIFS(Doors!AJ:AJ,Doors!$A:$A,$D161,Doors!$B:$B,$B161,Doors!$C:$C,$C161)*SUMIFS(Velocity!$I:$I,Velocity!$A:$A,$A161,Velocity!$B:$B,$C161)/Assumptions!$B$4*Assumptions!$B$6</f>
        <v>0</v>
      </c>
      <c r="Y161" s="7" t="n">
        <f aca="false">SUMIFS(Doors!AK:AK,Doors!$A:$A,$D161,Doors!$B:$B,$B161,Doors!$C:$C,$C161)*SUMIFS(Velocity!$I:$I,Velocity!$A:$A,$A161,Velocity!$B:$B,$C161)/Assumptions!$B$4*Assumptions!$B$6</f>
        <v>0</v>
      </c>
      <c r="Z161" s="7" t="n">
        <f aca="false">SUMIFS(Doors!AL:AL,Doors!$A:$A,$D161,Doors!$B:$B,$B161,Doors!$C:$C,$C161)*SUMIFS(Velocity!$I:$I,Velocity!$A:$A,$A161,Velocity!$B:$B,$C161)/Assumptions!$B$4*Assumptions!$B$6</f>
        <v>0</v>
      </c>
      <c r="AA161" s="7" t="n">
        <f aca="false">SUMIFS(Doors!AM:AM,Doors!$A:$A,$D161,Doors!$B:$B,$B161,Doors!$C:$C,$C161)*SUMIFS(Velocity!$I:$I,Velocity!$A:$A,$A161,Velocity!$B:$B,$C161)/Assumptions!$B$4*Assumptions!$B$6</f>
        <v>1.13333333333333</v>
      </c>
      <c r="AB161" s="7" t="n">
        <f aca="false">SUMIFS(Doors!AN:AN,Doors!$A:$A,$D161,Doors!$B:$B,$B161,Doors!$C:$C,$C161)*SUMIFS(Velocity!$I:$I,Velocity!$A:$A,$A161,Velocity!$B:$B,$C161)/Assumptions!$B$4*Assumptions!$B$6</f>
        <v>1.13333333333333</v>
      </c>
      <c r="AC161" s="7" t="n">
        <f aca="false">SUMIFS(Doors!AO:AO,Doors!$A:$A,$D161,Doors!$B:$B,$B161,Doors!$C:$C,$C161)*SUMIFS(Velocity!$I:$I,Velocity!$A:$A,$A161,Velocity!$B:$B,$C161)/Assumptions!$B$4*Assumptions!$B$6</f>
        <v>1.13333333333333</v>
      </c>
      <c r="AD161" s="7" t="n">
        <f aca="false">SUMIFS(Doors!AP:AP,Doors!$A:$A,$D161,Doors!$B:$B,$B161,Doors!$C:$C,$C161)*SUMIFS(Velocity!$I:$I,Velocity!$A:$A,$A161,Velocity!$B:$B,$C161)/Assumptions!$B$4*Assumptions!$B$6</f>
        <v>1.13333333333333</v>
      </c>
      <c r="AE161" s="7" t="n">
        <f aca="false">SUMIFS(Doors!AQ:AQ,Doors!$A:$A,$D161,Doors!$B:$B,$B161,Doors!$C:$C,$C161)*SUMIFS(Velocity!$I:$I,Velocity!$A:$A,$A161,Velocity!$B:$B,$C161)/Assumptions!$B$4*Assumptions!$B$6</f>
        <v>1.7</v>
      </c>
      <c r="AF161" s="7" t="n">
        <f aca="false">SUMIFS(Doors!AR:AR,Doors!$A:$A,$D161,Doors!$B:$B,$B161,Doors!$C:$C,$C161)*SUMIFS(Velocity!$I:$I,Velocity!$A:$A,$A161,Velocity!$B:$B,$C161)/Assumptions!$B$4*Assumptions!$B$6</f>
        <v>1.7</v>
      </c>
      <c r="AG161" s="7" t="n">
        <f aca="false">SUMIFS(Doors!AS:AS,Doors!$A:$A,$D161,Doors!$B:$B,$B161,Doors!$C:$C,$C161)*SUMIFS(Velocity!$I:$I,Velocity!$A:$A,$A161,Velocity!$B:$B,$C161)/Assumptions!$B$4*Assumptions!$B$6</f>
        <v>1.7</v>
      </c>
      <c r="AH161" s="7" t="n">
        <f aca="false">SUMIFS(Doors!AT:AT,Doors!$A:$A,$D161,Doors!$B:$B,$B161,Doors!$C:$C,$C161)*SUMIFS(Velocity!$I:$I,Velocity!$A:$A,$A161,Velocity!$B:$B,$C161)/Assumptions!$B$4*Assumptions!$B$6</f>
        <v>1.7</v>
      </c>
      <c r="AI161" s="7" t="n">
        <f aca="false">SUMIFS(Doors!AU:AU,Doors!$A:$A,$D161,Doors!$B:$B,$B161,Doors!$C:$C,$C161)*SUMIFS(Velocity!$I:$I,Velocity!$A:$A,$A161,Velocity!$B:$B,$C161)/Assumptions!$B$4*Assumptions!$B$6</f>
        <v>1.7</v>
      </c>
      <c r="AJ161" s="7" t="n">
        <f aca="false">SUMIFS(Doors!AV:AV,Doors!$A:$A,$D161,Doors!$B:$B,$B161,Doors!$C:$C,$C161)*SUMIFS(Velocity!$I:$I,Velocity!$A:$A,$A161,Velocity!$B:$B,$C161)/Assumptions!$B$4*Assumptions!$B$6</f>
        <v>2.83333333333333</v>
      </c>
      <c r="AK161" s="7" t="n">
        <f aca="false">SUMIFS(Doors!AW:AW,Doors!$A:$A,$D161,Doors!$B:$B,$B161,Doors!$C:$C,$C161)*SUMIFS(Velocity!$I:$I,Velocity!$A:$A,$A161,Velocity!$B:$B,$C161)/Assumptions!$B$4*Assumptions!$B$6</f>
        <v>2.83333333333333</v>
      </c>
      <c r="AL161" s="7" t="n">
        <f aca="false">SUMIFS(Doors!AX:AX,Doors!$A:$A,$D161,Doors!$B:$B,$B161,Doors!$C:$C,$C161)*SUMIFS(Velocity!$I:$I,Velocity!$A:$A,$A161,Velocity!$B:$B,$C161)/Assumptions!$B$4*Assumptions!$B$6</f>
        <v>2.83333333333333</v>
      </c>
      <c r="AM161" s="7" t="n">
        <f aca="false">SUMIFS(Doors!AY:AY,Doors!$A:$A,$D161,Doors!$B:$B,$B161,Doors!$C:$C,$C161)*SUMIFS(Velocity!$I:$I,Velocity!$A:$A,$A161,Velocity!$B:$B,$C161)/Assumptions!$B$4*Assumptions!$B$6</f>
        <v>2.83333333333333</v>
      </c>
      <c r="AN161" s="7" t="n">
        <f aca="false">SUMIFS(Doors!AZ:AZ,Doors!$A:$A,$D161,Doors!$B:$B,$B161,Doors!$C:$C,$C161)*SUMIFS(Velocity!$I:$I,Velocity!$A:$A,$A161,Velocity!$B:$B,$C161)/Assumptions!$B$4*Assumptions!$B$6</f>
        <v>3.96666666666667</v>
      </c>
      <c r="AO161" s="7" t="n">
        <f aca="false">SUMIFS(Doors!BA:BA,Doors!$A:$A,$D161,Doors!$B:$B,$B161,Doors!$C:$C,$C161)*SUMIFS(Velocity!$I:$I,Velocity!$A:$A,$A161,Velocity!$B:$B,$C161)/Assumptions!$B$4*Assumptions!$B$6</f>
        <v>3.96666666666667</v>
      </c>
      <c r="AP161" s="7" t="n">
        <f aca="false">SUMIFS(Doors!BB:BB,Doors!$A:$A,$D161,Doors!$B:$B,$B161,Doors!$C:$C,$C161)*SUMIFS(Velocity!$I:$I,Velocity!$A:$A,$A161,Velocity!$B:$B,$C161)/Assumptions!$B$4*Assumptions!$B$6</f>
        <v>3.96666666666667</v>
      </c>
      <c r="AQ161" s="7" t="n">
        <f aca="false">SUMIFS(Doors!BC:BC,Doors!$A:$A,$D161,Doors!$B:$B,$B161,Doors!$C:$C,$C161)*SUMIFS(Velocity!$I:$I,Velocity!$A:$A,$A161,Velocity!$B:$B,$C161)/Assumptions!$B$4*Assumptions!$B$6</f>
        <v>3.96666666666667</v>
      </c>
      <c r="AR161" s="7" t="n">
        <f aca="false">SUMIFS(Doors!BD:BD,Doors!$A:$A,$D161,Doors!$B:$B,$B161,Doors!$C:$C,$C161)*SUMIFS(Velocity!$I:$I,Velocity!$A:$A,$A161,Velocity!$B:$B,$C161)/Assumptions!$B$4*Assumptions!$B$6</f>
        <v>4.53333333333333</v>
      </c>
      <c r="AS161" s="7" t="n">
        <f aca="false">SUMIFS(Doors!BE:BE,Doors!$A:$A,$D161,Doors!$B:$B,$B161,Doors!$C:$C,$C161)*SUMIFS(Velocity!$I:$I,Velocity!$A:$A,$A161,Velocity!$B:$B,$C161)/Assumptions!$B$4*Assumptions!$B$6</f>
        <v>4.53333333333333</v>
      </c>
      <c r="AT161" s="7" t="n">
        <f aca="false">SUMIFS(Doors!BF:BF,Doors!$A:$A,$D161,Doors!$B:$B,$B161,Doors!$C:$C,$C161)*SUMIFS(Velocity!$I:$I,Velocity!$A:$A,$A161,Velocity!$B:$B,$C161)/Assumptions!$B$4*Assumptions!$B$6</f>
        <v>4.53333333333333</v>
      </c>
      <c r="AU161" s="7" t="n">
        <f aca="false">SUMIFS(Doors!BG:BG,Doors!$A:$A,$D161,Doors!$B:$B,$B161,Doors!$C:$C,$C161)*SUMIFS(Velocity!$I:$I,Velocity!$A:$A,$A161,Velocity!$B:$B,$C161)/Assumptions!$B$4*Assumptions!$B$6</f>
        <v>4.53333333333333</v>
      </c>
      <c r="AV161" s="7" t="n">
        <f aca="false">SUMIFS(Doors!BH:BH,Doors!$A:$A,$D161,Doors!$B:$B,$B161,Doors!$C:$C,$C161)*SUMIFS(Velocity!$I:$I,Velocity!$A:$A,$A161,Velocity!$B:$B,$C161)/Assumptions!$B$4*Assumptions!$B$6</f>
        <v>4.53333333333333</v>
      </c>
      <c r="AW161" s="7" t="n">
        <f aca="false">SUMIFS(Doors!BI:BI,Doors!$A:$A,$D161,Doors!$B:$B,$B161,Doors!$C:$C,$C161)*SUMIFS(Velocity!$I:$I,Velocity!$A:$A,$A161,Velocity!$B:$B,$C161)/Assumptions!$B$4*Assumptions!$B$6</f>
        <v>5.1</v>
      </c>
      <c r="AX161" s="7" t="n">
        <f aca="false">SUMIFS(Doors!BJ:BJ,Doors!$A:$A,$D161,Doors!$B:$B,$B161,Doors!$C:$C,$C161)*SUMIFS(Velocity!$I:$I,Velocity!$A:$A,$A161,Velocity!$B:$B,$C161)/Assumptions!$B$4*Assumptions!$B$6</f>
        <v>5.1</v>
      </c>
      <c r="AY161" s="7" t="n">
        <f aca="false">SUMIFS(Doors!BK:BK,Doors!$A:$A,$D161,Doors!$B:$B,$B161,Doors!$C:$C,$C161)*SUMIFS(Velocity!$I:$I,Velocity!$A:$A,$A161,Velocity!$B:$B,$C161)/Assumptions!$B$4*Assumptions!$B$6</f>
        <v>5.1</v>
      </c>
      <c r="AZ161" s="7" t="n">
        <f aca="false">SUMIFS(Doors!BL:BL,Doors!$A:$A,$D161,Doors!$B:$B,$B161,Doors!$C:$C,$C161)*SUMIFS(Velocity!$I:$I,Velocity!$A:$A,$A161,Velocity!$B:$B,$C161)/Assumptions!$B$4*Assumptions!$B$6</f>
        <v>5.1</v>
      </c>
      <c r="BA161" s="7" t="n">
        <f aca="false">SUMIFS(Doors!BM:BM,Doors!$A:$A,$D161,Doors!$B:$B,$B161,Doors!$C:$C,$C161)*SUMIFS(Velocity!$I:$I,Velocity!$A:$A,$A161,Velocity!$B:$B,$C161)/Assumptions!$B$4*Assumptions!$B$6</f>
        <v>5.66666666666667</v>
      </c>
      <c r="BB161" s="7" t="n">
        <f aca="false">SUMIFS(Doors!BN:BN,Doors!$A:$A,$D161,Doors!$B:$B,$B161,Doors!$C:$C,$C161)*SUMIFS(Velocity!$I:$I,Velocity!$A:$A,$A161,Velocity!$B:$B,$C161)/Assumptions!$B$4*Assumptions!$B$6</f>
        <v>5.66666666666667</v>
      </c>
      <c r="BC161" s="7" t="n">
        <f aca="false">SUMIFS(Doors!BO:BO,Doors!$A:$A,$D161,Doors!$B:$B,$B161,Doors!$C:$C,$C161)*SUMIFS(Velocity!$I:$I,Velocity!$A:$A,$A161,Velocity!$B:$B,$C161)/Assumptions!$B$4*Assumptions!$B$6</f>
        <v>5.66666666666667</v>
      </c>
      <c r="BD161" s="7" t="n">
        <f aca="false">SUMIFS(Doors!BP:BP,Doors!$A:$A,$D161,Doors!$B:$B,$B161,Doors!$C:$C,$C161)*SUMIFS(Velocity!$I:$I,Velocity!$A:$A,$A161,Velocity!$B:$B,$C161)/Assumptions!$B$4*Assumptions!$B$6</f>
        <v>5.66666666666667</v>
      </c>
    </row>
    <row r="162" customFormat="false" ht="15" hidden="false" customHeight="false" outlineLevel="0" collapsed="false">
      <c r="A162" s="0" t="s">
        <v>109</v>
      </c>
      <c r="B162" s="0" t="s">
        <v>133</v>
      </c>
      <c r="C162" s="0" t="s">
        <v>118</v>
      </c>
      <c r="D162" s="0" t="s">
        <v>235</v>
      </c>
      <c r="E162" s="7" t="n">
        <f aca="false">SUMIFS(Doors!Q:Q,Doors!$A:$A,$D162,Doors!$B:$B,$B162,Doors!$C:$C,$C162)*SUMIFS(Velocity!$I:$I,Velocity!$A:$A,$A162,Velocity!$B:$B,$C162)/Assumptions!$B$4*Assumptions!$B$6</f>
        <v>0</v>
      </c>
      <c r="F162" s="7" t="n">
        <f aca="false">SUMIFS(Doors!R:R,Doors!$A:$A,$D162,Doors!$B:$B,$B162,Doors!$C:$C,$C162)*SUMIFS(Velocity!$I:$I,Velocity!$A:$A,$A162,Velocity!$B:$B,$C162)/Assumptions!$B$4*Assumptions!$B$6</f>
        <v>0</v>
      </c>
      <c r="G162" s="7" t="n">
        <f aca="false">SUMIFS(Doors!S:S,Doors!$A:$A,$D162,Doors!$B:$B,$B162,Doors!$C:$C,$C162)*SUMIFS(Velocity!$I:$I,Velocity!$A:$A,$A162,Velocity!$B:$B,$C162)/Assumptions!$B$4*Assumptions!$B$6</f>
        <v>0</v>
      </c>
      <c r="H162" s="7" t="n">
        <f aca="false">SUMIFS(Doors!T:T,Doors!$A:$A,$D162,Doors!$B:$B,$B162,Doors!$C:$C,$C162)*SUMIFS(Velocity!$I:$I,Velocity!$A:$A,$A162,Velocity!$B:$B,$C162)/Assumptions!$B$4*Assumptions!$B$6</f>
        <v>0</v>
      </c>
      <c r="I162" s="7" t="n">
        <f aca="false">SUMIFS(Doors!U:U,Doors!$A:$A,$D162,Doors!$B:$B,$B162,Doors!$C:$C,$C162)*SUMIFS(Velocity!$I:$I,Velocity!$A:$A,$A162,Velocity!$B:$B,$C162)/Assumptions!$B$4*Assumptions!$B$6</f>
        <v>0</v>
      </c>
      <c r="J162" s="7" t="n">
        <f aca="false">SUMIFS(Doors!V:V,Doors!$A:$A,$D162,Doors!$B:$B,$B162,Doors!$C:$C,$C162)*SUMIFS(Velocity!$I:$I,Velocity!$A:$A,$A162,Velocity!$B:$B,$C162)/Assumptions!$B$4*Assumptions!$B$6</f>
        <v>0</v>
      </c>
      <c r="K162" s="7" t="n">
        <f aca="false">SUMIFS(Doors!W:W,Doors!$A:$A,$D162,Doors!$B:$B,$B162,Doors!$C:$C,$C162)*SUMIFS(Velocity!$I:$I,Velocity!$A:$A,$A162,Velocity!$B:$B,$C162)/Assumptions!$B$4*Assumptions!$B$6</f>
        <v>0</v>
      </c>
      <c r="L162" s="7" t="n">
        <f aca="false">SUMIFS(Doors!X:X,Doors!$A:$A,$D162,Doors!$B:$B,$B162,Doors!$C:$C,$C162)*SUMIFS(Velocity!$I:$I,Velocity!$A:$A,$A162,Velocity!$B:$B,$C162)/Assumptions!$B$4*Assumptions!$B$6</f>
        <v>0</v>
      </c>
      <c r="M162" s="7" t="n">
        <f aca="false">SUMIFS(Doors!Y:Y,Doors!$A:$A,$D162,Doors!$B:$B,$B162,Doors!$C:$C,$C162)*SUMIFS(Velocity!$I:$I,Velocity!$A:$A,$A162,Velocity!$B:$B,$C162)/Assumptions!$B$4*Assumptions!$B$6</f>
        <v>0</v>
      </c>
      <c r="N162" s="7" t="n">
        <f aca="false">SUMIFS(Doors!Z:Z,Doors!$A:$A,$D162,Doors!$B:$B,$B162,Doors!$C:$C,$C162)*SUMIFS(Velocity!$I:$I,Velocity!$A:$A,$A162,Velocity!$B:$B,$C162)/Assumptions!$B$4*Assumptions!$B$6</f>
        <v>0</v>
      </c>
      <c r="O162" s="7" t="n">
        <f aca="false">SUMIFS(Doors!AA:AA,Doors!$A:$A,$D162,Doors!$B:$B,$B162,Doors!$C:$C,$C162)*SUMIFS(Velocity!$I:$I,Velocity!$A:$A,$A162,Velocity!$B:$B,$C162)/Assumptions!$B$4*Assumptions!$B$6</f>
        <v>0</v>
      </c>
      <c r="P162" s="7" t="n">
        <f aca="false">SUMIFS(Doors!AB:AB,Doors!$A:$A,$D162,Doors!$B:$B,$B162,Doors!$C:$C,$C162)*SUMIFS(Velocity!$I:$I,Velocity!$A:$A,$A162,Velocity!$B:$B,$C162)/Assumptions!$B$4*Assumptions!$B$6</f>
        <v>0</v>
      </c>
      <c r="Q162" s="7" t="n">
        <f aca="false">SUMIFS(Doors!AC:AC,Doors!$A:$A,$D162,Doors!$B:$B,$B162,Doors!$C:$C,$C162)*SUMIFS(Velocity!$I:$I,Velocity!$A:$A,$A162,Velocity!$B:$B,$C162)/Assumptions!$B$4*Assumptions!$B$6</f>
        <v>0</v>
      </c>
      <c r="R162" s="7" t="n">
        <f aca="false">SUMIFS(Doors!AD:AD,Doors!$A:$A,$D162,Doors!$B:$B,$B162,Doors!$C:$C,$C162)*SUMIFS(Velocity!$I:$I,Velocity!$A:$A,$A162,Velocity!$B:$B,$C162)/Assumptions!$B$4*Assumptions!$B$6</f>
        <v>0</v>
      </c>
      <c r="S162" s="7" t="n">
        <f aca="false">SUMIFS(Doors!AE:AE,Doors!$A:$A,$D162,Doors!$B:$B,$B162,Doors!$C:$C,$C162)*SUMIFS(Velocity!$I:$I,Velocity!$A:$A,$A162,Velocity!$B:$B,$C162)/Assumptions!$B$4*Assumptions!$B$6</f>
        <v>0</v>
      </c>
      <c r="T162" s="7" t="n">
        <f aca="false">SUMIFS(Doors!AF:AF,Doors!$A:$A,$D162,Doors!$B:$B,$B162,Doors!$C:$C,$C162)*SUMIFS(Velocity!$I:$I,Velocity!$A:$A,$A162,Velocity!$B:$B,$C162)/Assumptions!$B$4*Assumptions!$B$6</f>
        <v>0</v>
      </c>
      <c r="U162" s="7" t="n">
        <f aca="false">SUMIFS(Doors!AG:AG,Doors!$A:$A,$D162,Doors!$B:$B,$B162,Doors!$C:$C,$C162)*SUMIFS(Velocity!$I:$I,Velocity!$A:$A,$A162,Velocity!$B:$B,$C162)/Assumptions!$B$4*Assumptions!$B$6</f>
        <v>0</v>
      </c>
      <c r="V162" s="7" t="n">
        <f aca="false">SUMIFS(Doors!AH:AH,Doors!$A:$A,$D162,Doors!$B:$B,$B162,Doors!$C:$C,$C162)*SUMIFS(Velocity!$I:$I,Velocity!$A:$A,$A162,Velocity!$B:$B,$C162)/Assumptions!$B$4*Assumptions!$B$6</f>
        <v>0</v>
      </c>
      <c r="W162" s="7" t="n">
        <f aca="false">SUMIFS(Doors!AI:AI,Doors!$A:$A,$D162,Doors!$B:$B,$B162,Doors!$C:$C,$C162)*SUMIFS(Velocity!$I:$I,Velocity!$A:$A,$A162,Velocity!$B:$B,$C162)/Assumptions!$B$4*Assumptions!$B$6</f>
        <v>0</v>
      </c>
      <c r="X162" s="7" t="n">
        <f aca="false">SUMIFS(Doors!AJ:AJ,Doors!$A:$A,$D162,Doors!$B:$B,$B162,Doors!$C:$C,$C162)*SUMIFS(Velocity!$I:$I,Velocity!$A:$A,$A162,Velocity!$B:$B,$C162)/Assumptions!$B$4*Assumptions!$B$6</f>
        <v>0</v>
      </c>
      <c r="Y162" s="7" t="n">
        <f aca="false">SUMIFS(Doors!AK:AK,Doors!$A:$A,$D162,Doors!$B:$B,$B162,Doors!$C:$C,$C162)*SUMIFS(Velocity!$I:$I,Velocity!$A:$A,$A162,Velocity!$B:$B,$C162)/Assumptions!$B$4*Assumptions!$B$6</f>
        <v>0</v>
      </c>
      <c r="Z162" s="7" t="n">
        <f aca="false">SUMIFS(Doors!AL:AL,Doors!$A:$A,$D162,Doors!$B:$B,$B162,Doors!$C:$C,$C162)*SUMIFS(Velocity!$I:$I,Velocity!$A:$A,$A162,Velocity!$B:$B,$C162)/Assumptions!$B$4*Assumptions!$B$6</f>
        <v>0</v>
      </c>
      <c r="AA162" s="7" t="n">
        <f aca="false">SUMIFS(Doors!AM:AM,Doors!$A:$A,$D162,Doors!$B:$B,$B162,Doors!$C:$C,$C162)*SUMIFS(Velocity!$I:$I,Velocity!$A:$A,$A162,Velocity!$B:$B,$C162)/Assumptions!$B$4*Assumptions!$B$6</f>
        <v>0</v>
      </c>
      <c r="AB162" s="7" t="n">
        <f aca="false">SUMIFS(Doors!AN:AN,Doors!$A:$A,$D162,Doors!$B:$B,$B162,Doors!$C:$C,$C162)*SUMIFS(Velocity!$I:$I,Velocity!$A:$A,$A162,Velocity!$B:$B,$C162)/Assumptions!$B$4*Assumptions!$B$6</f>
        <v>0</v>
      </c>
      <c r="AC162" s="7" t="n">
        <f aca="false">SUMIFS(Doors!AO:AO,Doors!$A:$A,$D162,Doors!$B:$B,$B162,Doors!$C:$C,$C162)*SUMIFS(Velocity!$I:$I,Velocity!$A:$A,$A162,Velocity!$B:$B,$C162)/Assumptions!$B$4*Assumptions!$B$6</f>
        <v>0</v>
      </c>
      <c r="AD162" s="7" t="n">
        <f aca="false">SUMIFS(Doors!AP:AP,Doors!$A:$A,$D162,Doors!$B:$B,$B162,Doors!$C:$C,$C162)*SUMIFS(Velocity!$I:$I,Velocity!$A:$A,$A162,Velocity!$B:$B,$C162)/Assumptions!$B$4*Assumptions!$B$6</f>
        <v>0</v>
      </c>
      <c r="AE162" s="7" t="n">
        <f aca="false">SUMIFS(Doors!AQ:AQ,Doors!$A:$A,$D162,Doors!$B:$B,$B162,Doors!$C:$C,$C162)*SUMIFS(Velocity!$I:$I,Velocity!$A:$A,$A162,Velocity!$B:$B,$C162)/Assumptions!$B$4*Assumptions!$B$6</f>
        <v>0</v>
      </c>
      <c r="AF162" s="7" t="n">
        <f aca="false">SUMIFS(Doors!AR:AR,Doors!$A:$A,$D162,Doors!$B:$B,$B162,Doors!$C:$C,$C162)*SUMIFS(Velocity!$I:$I,Velocity!$A:$A,$A162,Velocity!$B:$B,$C162)/Assumptions!$B$4*Assumptions!$B$6</f>
        <v>0</v>
      </c>
      <c r="AG162" s="7" t="n">
        <f aca="false">SUMIFS(Doors!AS:AS,Doors!$A:$A,$D162,Doors!$B:$B,$B162,Doors!$C:$C,$C162)*SUMIFS(Velocity!$I:$I,Velocity!$A:$A,$A162,Velocity!$B:$B,$C162)/Assumptions!$B$4*Assumptions!$B$6</f>
        <v>0</v>
      </c>
      <c r="AH162" s="7" t="n">
        <f aca="false">SUMIFS(Doors!AT:AT,Doors!$A:$A,$D162,Doors!$B:$B,$B162,Doors!$C:$C,$C162)*SUMIFS(Velocity!$I:$I,Velocity!$A:$A,$A162,Velocity!$B:$B,$C162)/Assumptions!$B$4*Assumptions!$B$6</f>
        <v>0</v>
      </c>
      <c r="AI162" s="7" t="n">
        <f aca="false">SUMIFS(Doors!AU:AU,Doors!$A:$A,$D162,Doors!$B:$B,$B162,Doors!$C:$C,$C162)*SUMIFS(Velocity!$I:$I,Velocity!$A:$A,$A162,Velocity!$B:$B,$C162)/Assumptions!$B$4*Assumptions!$B$6</f>
        <v>0</v>
      </c>
      <c r="AJ162" s="7" t="n">
        <f aca="false">SUMIFS(Doors!AV:AV,Doors!$A:$A,$D162,Doors!$B:$B,$B162,Doors!$C:$C,$C162)*SUMIFS(Velocity!$I:$I,Velocity!$A:$A,$A162,Velocity!$B:$B,$C162)/Assumptions!$B$4*Assumptions!$B$6</f>
        <v>0</v>
      </c>
      <c r="AK162" s="7" t="n">
        <f aca="false">SUMIFS(Doors!AW:AW,Doors!$A:$A,$D162,Doors!$B:$B,$B162,Doors!$C:$C,$C162)*SUMIFS(Velocity!$I:$I,Velocity!$A:$A,$A162,Velocity!$B:$B,$C162)/Assumptions!$B$4*Assumptions!$B$6</f>
        <v>0</v>
      </c>
      <c r="AL162" s="7" t="n">
        <f aca="false">SUMIFS(Doors!AX:AX,Doors!$A:$A,$D162,Doors!$B:$B,$B162,Doors!$C:$C,$C162)*SUMIFS(Velocity!$I:$I,Velocity!$A:$A,$A162,Velocity!$B:$B,$C162)/Assumptions!$B$4*Assumptions!$B$6</f>
        <v>0</v>
      </c>
      <c r="AM162" s="7" t="n">
        <f aca="false">SUMIFS(Doors!AY:AY,Doors!$A:$A,$D162,Doors!$B:$B,$B162,Doors!$C:$C,$C162)*SUMIFS(Velocity!$I:$I,Velocity!$A:$A,$A162,Velocity!$B:$B,$C162)/Assumptions!$B$4*Assumptions!$B$6</f>
        <v>0</v>
      </c>
      <c r="AN162" s="7" t="n">
        <f aca="false">SUMIFS(Doors!AZ:AZ,Doors!$A:$A,$D162,Doors!$B:$B,$B162,Doors!$C:$C,$C162)*SUMIFS(Velocity!$I:$I,Velocity!$A:$A,$A162,Velocity!$B:$B,$C162)/Assumptions!$B$4*Assumptions!$B$6</f>
        <v>0</v>
      </c>
      <c r="AO162" s="7" t="n">
        <f aca="false">SUMIFS(Doors!BA:BA,Doors!$A:$A,$D162,Doors!$B:$B,$B162,Doors!$C:$C,$C162)*SUMIFS(Velocity!$I:$I,Velocity!$A:$A,$A162,Velocity!$B:$B,$C162)/Assumptions!$B$4*Assumptions!$B$6</f>
        <v>0</v>
      </c>
      <c r="AP162" s="7" t="n">
        <f aca="false">SUMIFS(Doors!BB:BB,Doors!$A:$A,$D162,Doors!$B:$B,$B162,Doors!$C:$C,$C162)*SUMIFS(Velocity!$I:$I,Velocity!$A:$A,$A162,Velocity!$B:$B,$C162)/Assumptions!$B$4*Assumptions!$B$6</f>
        <v>0</v>
      </c>
      <c r="AQ162" s="7" t="n">
        <f aca="false">SUMIFS(Doors!BC:BC,Doors!$A:$A,$D162,Doors!$B:$B,$B162,Doors!$C:$C,$C162)*SUMIFS(Velocity!$I:$I,Velocity!$A:$A,$A162,Velocity!$B:$B,$C162)/Assumptions!$B$4*Assumptions!$B$6</f>
        <v>0</v>
      </c>
      <c r="AR162" s="7" t="n">
        <f aca="false">SUMIFS(Doors!BD:BD,Doors!$A:$A,$D162,Doors!$B:$B,$B162,Doors!$C:$C,$C162)*SUMIFS(Velocity!$I:$I,Velocity!$A:$A,$A162,Velocity!$B:$B,$C162)/Assumptions!$B$4*Assumptions!$B$6</f>
        <v>20.75</v>
      </c>
      <c r="AS162" s="7" t="n">
        <f aca="false">SUMIFS(Doors!BE:BE,Doors!$A:$A,$D162,Doors!$B:$B,$B162,Doors!$C:$C,$C162)*SUMIFS(Velocity!$I:$I,Velocity!$A:$A,$A162,Velocity!$B:$B,$C162)/Assumptions!$B$4*Assumptions!$B$6</f>
        <v>20.75</v>
      </c>
      <c r="AT162" s="7" t="n">
        <f aca="false">SUMIFS(Doors!BF:BF,Doors!$A:$A,$D162,Doors!$B:$B,$B162,Doors!$C:$C,$C162)*SUMIFS(Velocity!$I:$I,Velocity!$A:$A,$A162,Velocity!$B:$B,$C162)/Assumptions!$B$4*Assumptions!$B$6</f>
        <v>20.75</v>
      </c>
      <c r="AU162" s="7" t="n">
        <f aca="false">SUMIFS(Doors!BG:BG,Doors!$A:$A,$D162,Doors!$B:$B,$B162,Doors!$C:$C,$C162)*SUMIFS(Velocity!$I:$I,Velocity!$A:$A,$A162,Velocity!$B:$B,$C162)/Assumptions!$B$4*Assumptions!$B$6</f>
        <v>20.75</v>
      </c>
      <c r="AV162" s="7" t="n">
        <f aca="false">SUMIFS(Doors!BH:BH,Doors!$A:$A,$D162,Doors!$B:$B,$B162,Doors!$C:$C,$C162)*SUMIFS(Velocity!$I:$I,Velocity!$A:$A,$A162,Velocity!$B:$B,$C162)/Assumptions!$B$4*Assumptions!$B$6</f>
        <v>20.75</v>
      </c>
      <c r="AW162" s="7" t="n">
        <f aca="false">SUMIFS(Doors!BI:BI,Doors!$A:$A,$D162,Doors!$B:$B,$B162,Doors!$C:$C,$C162)*SUMIFS(Velocity!$I:$I,Velocity!$A:$A,$A162,Velocity!$B:$B,$C162)/Assumptions!$B$4*Assumptions!$B$6</f>
        <v>27.6666666666667</v>
      </c>
      <c r="AX162" s="7" t="n">
        <f aca="false">SUMIFS(Doors!BJ:BJ,Doors!$A:$A,$D162,Doors!$B:$B,$B162,Doors!$C:$C,$C162)*SUMIFS(Velocity!$I:$I,Velocity!$A:$A,$A162,Velocity!$B:$B,$C162)/Assumptions!$B$4*Assumptions!$B$6</f>
        <v>27.6666666666667</v>
      </c>
      <c r="AY162" s="7" t="n">
        <f aca="false">SUMIFS(Doors!BK:BK,Doors!$A:$A,$D162,Doors!$B:$B,$B162,Doors!$C:$C,$C162)*SUMIFS(Velocity!$I:$I,Velocity!$A:$A,$A162,Velocity!$B:$B,$C162)/Assumptions!$B$4*Assumptions!$B$6</f>
        <v>27.6666666666667</v>
      </c>
      <c r="AZ162" s="7" t="n">
        <f aca="false">SUMIFS(Doors!BL:BL,Doors!$A:$A,$D162,Doors!$B:$B,$B162,Doors!$C:$C,$C162)*SUMIFS(Velocity!$I:$I,Velocity!$A:$A,$A162,Velocity!$B:$B,$C162)/Assumptions!$B$4*Assumptions!$B$6</f>
        <v>27.6666666666667</v>
      </c>
      <c r="BA162" s="7" t="n">
        <f aca="false">SUMIFS(Doors!BM:BM,Doors!$A:$A,$D162,Doors!$B:$B,$B162,Doors!$C:$C,$C162)*SUMIFS(Velocity!$I:$I,Velocity!$A:$A,$A162,Velocity!$B:$B,$C162)/Assumptions!$B$4*Assumptions!$B$6</f>
        <v>34.5833333333333</v>
      </c>
      <c r="BB162" s="7" t="n">
        <f aca="false">SUMIFS(Doors!BN:BN,Doors!$A:$A,$D162,Doors!$B:$B,$B162,Doors!$C:$C,$C162)*SUMIFS(Velocity!$I:$I,Velocity!$A:$A,$A162,Velocity!$B:$B,$C162)/Assumptions!$B$4*Assumptions!$B$6</f>
        <v>34.5833333333333</v>
      </c>
      <c r="BC162" s="7" t="n">
        <f aca="false">SUMIFS(Doors!BO:BO,Doors!$A:$A,$D162,Doors!$B:$B,$B162,Doors!$C:$C,$C162)*SUMIFS(Velocity!$I:$I,Velocity!$A:$A,$A162,Velocity!$B:$B,$C162)/Assumptions!$B$4*Assumptions!$B$6</f>
        <v>34.5833333333333</v>
      </c>
      <c r="BD162" s="7" t="n">
        <f aca="false">SUMIFS(Doors!BP:BP,Doors!$A:$A,$D162,Doors!$B:$B,$B162,Doors!$C:$C,$C162)*SUMIFS(Velocity!$I:$I,Velocity!$A:$A,$A162,Velocity!$B:$B,$C162)/Assumptions!$B$4*Assumptions!$B$6</f>
        <v>34.5833333333333</v>
      </c>
    </row>
    <row r="163" customFormat="false" ht="15" hidden="false" customHeight="false" outlineLevel="0" collapsed="false">
      <c r="A163" s="0" t="s">
        <v>109</v>
      </c>
      <c r="B163" s="0" t="s">
        <v>133</v>
      </c>
      <c r="C163" s="0" t="s">
        <v>119</v>
      </c>
      <c r="D163" s="0" t="s">
        <v>235</v>
      </c>
      <c r="E163" s="7" t="n">
        <f aca="false">SUMIFS(Doors!Q:Q,Doors!$A:$A,$D163,Doors!$B:$B,$B163,Doors!$C:$C,$C163)*SUMIFS(Velocity!$I:$I,Velocity!$A:$A,$A163,Velocity!$B:$B,$C163)/Assumptions!$B$4*Assumptions!$B$6</f>
        <v>0.5</v>
      </c>
      <c r="F163" s="7" t="n">
        <f aca="false">SUMIFS(Doors!R:R,Doors!$A:$A,$D163,Doors!$B:$B,$B163,Doors!$C:$C,$C163)*SUMIFS(Velocity!$I:$I,Velocity!$A:$A,$A163,Velocity!$B:$B,$C163)/Assumptions!$B$4*Assumptions!$B$6</f>
        <v>0.5</v>
      </c>
      <c r="G163" s="7" t="n">
        <f aca="false">SUMIFS(Doors!S:S,Doors!$A:$A,$D163,Doors!$B:$B,$B163,Doors!$C:$C,$C163)*SUMIFS(Velocity!$I:$I,Velocity!$A:$A,$A163,Velocity!$B:$B,$C163)/Assumptions!$B$4*Assumptions!$B$6</f>
        <v>0.5</v>
      </c>
      <c r="H163" s="7" t="n">
        <f aca="false">SUMIFS(Doors!T:T,Doors!$A:$A,$D163,Doors!$B:$B,$B163,Doors!$C:$C,$C163)*SUMIFS(Velocity!$I:$I,Velocity!$A:$A,$A163,Velocity!$B:$B,$C163)/Assumptions!$B$4*Assumptions!$B$6</f>
        <v>0.5</v>
      </c>
      <c r="I163" s="7" t="n">
        <f aca="false">SUMIFS(Doors!U:U,Doors!$A:$A,$D163,Doors!$B:$B,$B163,Doors!$C:$C,$C163)*SUMIFS(Velocity!$I:$I,Velocity!$A:$A,$A163,Velocity!$B:$B,$C163)/Assumptions!$B$4*Assumptions!$B$6</f>
        <v>0.5</v>
      </c>
      <c r="J163" s="7" t="n">
        <f aca="false">SUMIFS(Doors!V:V,Doors!$A:$A,$D163,Doors!$B:$B,$B163,Doors!$C:$C,$C163)*SUMIFS(Velocity!$I:$I,Velocity!$A:$A,$A163,Velocity!$B:$B,$C163)/Assumptions!$B$4*Assumptions!$B$6</f>
        <v>0.833333333333333</v>
      </c>
      <c r="K163" s="7" t="n">
        <f aca="false">SUMIFS(Doors!W:W,Doors!$A:$A,$D163,Doors!$B:$B,$B163,Doors!$C:$C,$C163)*SUMIFS(Velocity!$I:$I,Velocity!$A:$A,$A163,Velocity!$B:$B,$C163)/Assumptions!$B$4*Assumptions!$B$6</f>
        <v>0.833333333333333</v>
      </c>
      <c r="L163" s="7" t="n">
        <f aca="false">SUMIFS(Doors!X:X,Doors!$A:$A,$D163,Doors!$B:$B,$B163,Doors!$C:$C,$C163)*SUMIFS(Velocity!$I:$I,Velocity!$A:$A,$A163,Velocity!$B:$B,$C163)/Assumptions!$B$4*Assumptions!$B$6</f>
        <v>0.833333333333333</v>
      </c>
      <c r="M163" s="7" t="n">
        <f aca="false">SUMIFS(Doors!Y:Y,Doors!$A:$A,$D163,Doors!$B:$B,$B163,Doors!$C:$C,$C163)*SUMIFS(Velocity!$I:$I,Velocity!$A:$A,$A163,Velocity!$B:$B,$C163)/Assumptions!$B$4*Assumptions!$B$6</f>
        <v>0.833333333333333</v>
      </c>
      <c r="N163" s="7" t="n">
        <f aca="false">SUMIFS(Doors!Z:Z,Doors!$A:$A,$D163,Doors!$B:$B,$B163,Doors!$C:$C,$C163)*SUMIFS(Velocity!$I:$I,Velocity!$A:$A,$A163,Velocity!$B:$B,$C163)/Assumptions!$B$4*Assumptions!$B$6</f>
        <v>1.16666666666667</v>
      </c>
      <c r="O163" s="7" t="n">
        <f aca="false">SUMIFS(Doors!AA:AA,Doors!$A:$A,$D163,Doors!$B:$B,$B163,Doors!$C:$C,$C163)*SUMIFS(Velocity!$I:$I,Velocity!$A:$A,$A163,Velocity!$B:$B,$C163)/Assumptions!$B$4*Assumptions!$B$6</f>
        <v>1.16666666666667</v>
      </c>
      <c r="P163" s="7" t="n">
        <f aca="false">SUMIFS(Doors!AB:AB,Doors!$A:$A,$D163,Doors!$B:$B,$B163,Doors!$C:$C,$C163)*SUMIFS(Velocity!$I:$I,Velocity!$A:$A,$A163,Velocity!$B:$B,$C163)/Assumptions!$B$4*Assumptions!$B$6</f>
        <v>1.16666666666667</v>
      </c>
      <c r="Q163" s="7" t="n">
        <f aca="false">SUMIFS(Doors!AC:AC,Doors!$A:$A,$D163,Doors!$B:$B,$B163,Doors!$C:$C,$C163)*SUMIFS(Velocity!$I:$I,Velocity!$A:$A,$A163,Velocity!$B:$B,$C163)/Assumptions!$B$4*Assumptions!$B$6</f>
        <v>1.16666666666667</v>
      </c>
      <c r="R163" s="7" t="n">
        <f aca="false">SUMIFS(Doors!AD:AD,Doors!$A:$A,$D163,Doors!$B:$B,$B163,Doors!$C:$C,$C163)*SUMIFS(Velocity!$I:$I,Velocity!$A:$A,$A163,Velocity!$B:$B,$C163)/Assumptions!$B$4*Assumptions!$B$6</f>
        <v>1.5</v>
      </c>
      <c r="S163" s="7" t="n">
        <f aca="false">SUMIFS(Doors!AE:AE,Doors!$A:$A,$D163,Doors!$B:$B,$B163,Doors!$C:$C,$C163)*SUMIFS(Velocity!$I:$I,Velocity!$A:$A,$A163,Velocity!$B:$B,$C163)/Assumptions!$B$4*Assumptions!$B$6</f>
        <v>1.5</v>
      </c>
      <c r="T163" s="7" t="n">
        <f aca="false">SUMIFS(Doors!AF:AF,Doors!$A:$A,$D163,Doors!$B:$B,$B163,Doors!$C:$C,$C163)*SUMIFS(Velocity!$I:$I,Velocity!$A:$A,$A163,Velocity!$B:$B,$C163)/Assumptions!$B$4*Assumptions!$B$6</f>
        <v>1.5</v>
      </c>
      <c r="U163" s="7" t="n">
        <f aca="false">SUMIFS(Doors!AG:AG,Doors!$A:$A,$D163,Doors!$B:$B,$B163,Doors!$C:$C,$C163)*SUMIFS(Velocity!$I:$I,Velocity!$A:$A,$A163,Velocity!$B:$B,$C163)/Assumptions!$B$4*Assumptions!$B$6</f>
        <v>1.5</v>
      </c>
      <c r="V163" s="7" t="n">
        <f aca="false">SUMIFS(Doors!AH:AH,Doors!$A:$A,$D163,Doors!$B:$B,$B163,Doors!$C:$C,$C163)*SUMIFS(Velocity!$I:$I,Velocity!$A:$A,$A163,Velocity!$B:$B,$C163)/Assumptions!$B$4*Assumptions!$B$6</f>
        <v>1.5</v>
      </c>
      <c r="W163" s="7" t="n">
        <f aca="false">SUMIFS(Doors!AI:AI,Doors!$A:$A,$D163,Doors!$B:$B,$B163,Doors!$C:$C,$C163)*SUMIFS(Velocity!$I:$I,Velocity!$A:$A,$A163,Velocity!$B:$B,$C163)/Assumptions!$B$4*Assumptions!$B$6</f>
        <v>1.66666666666667</v>
      </c>
      <c r="X163" s="7" t="n">
        <f aca="false">SUMIFS(Doors!AJ:AJ,Doors!$A:$A,$D163,Doors!$B:$B,$B163,Doors!$C:$C,$C163)*SUMIFS(Velocity!$I:$I,Velocity!$A:$A,$A163,Velocity!$B:$B,$C163)/Assumptions!$B$4*Assumptions!$B$6</f>
        <v>1.66666666666667</v>
      </c>
      <c r="Y163" s="7" t="n">
        <f aca="false">SUMIFS(Doors!AK:AK,Doors!$A:$A,$D163,Doors!$B:$B,$B163,Doors!$C:$C,$C163)*SUMIFS(Velocity!$I:$I,Velocity!$A:$A,$A163,Velocity!$B:$B,$C163)/Assumptions!$B$4*Assumptions!$B$6</f>
        <v>1.66666666666667</v>
      </c>
      <c r="Z163" s="7" t="n">
        <f aca="false">SUMIFS(Doors!AL:AL,Doors!$A:$A,$D163,Doors!$B:$B,$B163,Doors!$C:$C,$C163)*SUMIFS(Velocity!$I:$I,Velocity!$A:$A,$A163,Velocity!$B:$B,$C163)/Assumptions!$B$4*Assumptions!$B$6</f>
        <v>1.66666666666667</v>
      </c>
      <c r="AA163" s="7" t="n">
        <f aca="false">SUMIFS(Doors!AM:AM,Doors!$A:$A,$D163,Doors!$B:$B,$B163,Doors!$C:$C,$C163)*SUMIFS(Velocity!$I:$I,Velocity!$A:$A,$A163,Velocity!$B:$B,$C163)/Assumptions!$B$4*Assumptions!$B$6</f>
        <v>1.83333333333333</v>
      </c>
      <c r="AB163" s="7" t="n">
        <f aca="false">SUMIFS(Doors!AN:AN,Doors!$A:$A,$D163,Doors!$B:$B,$B163,Doors!$C:$C,$C163)*SUMIFS(Velocity!$I:$I,Velocity!$A:$A,$A163,Velocity!$B:$B,$C163)/Assumptions!$B$4*Assumptions!$B$6</f>
        <v>1.83333333333333</v>
      </c>
      <c r="AC163" s="7" t="n">
        <f aca="false">SUMIFS(Doors!AO:AO,Doors!$A:$A,$D163,Doors!$B:$B,$B163,Doors!$C:$C,$C163)*SUMIFS(Velocity!$I:$I,Velocity!$A:$A,$A163,Velocity!$B:$B,$C163)/Assumptions!$B$4*Assumptions!$B$6</f>
        <v>1.83333333333333</v>
      </c>
      <c r="AD163" s="7" t="n">
        <f aca="false">SUMIFS(Doors!AP:AP,Doors!$A:$A,$D163,Doors!$B:$B,$B163,Doors!$C:$C,$C163)*SUMIFS(Velocity!$I:$I,Velocity!$A:$A,$A163,Velocity!$B:$B,$C163)/Assumptions!$B$4*Assumptions!$B$6</f>
        <v>1.83333333333333</v>
      </c>
      <c r="AE163" s="7" t="n">
        <f aca="false">SUMIFS(Doors!AQ:AQ,Doors!$A:$A,$D163,Doors!$B:$B,$B163,Doors!$C:$C,$C163)*SUMIFS(Velocity!$I:$I,Velocity!$A:$A,$A163,Velocity!$B:$B,$C163)/Assumptions!$B$4*Assumptions!$B$6</f>
        <v>2</v>
      </c>
      <c r="AF163" s="7" t="n">
        <f aca="false">SUMIFS(Doors!AR:AR,Doors!$A:$A,$D163,Doors!$B:$B,$B163,Doors!$C:$C,$C163)*SUMIFS(Velocity!$I:$I,Velocity!$A:$A,$A163,Velocity!$B:$B,$C163)/Assumptions!$B$4*Assumptions!$B$6</f>
        <v>2</v>
      </c>
      <c r="AG163" s="7" t="n">
        <f aca="false">SUMIFS(Doors!AS:AS,Doors!$A:$A,$D163,Doors!$B:$B,$B163,Doors!$C:$C,$C163)*SUMIFS(Velocity!$I:$I,Velocity!$A:$A,$A163,Velocity!$B:$B,$C163)/Assumptions!$B$4*Assumptions!$B$6</f>
        <v>2</v>
      </c>
      <c r="AH163" s="7" t="n">
        <f aca="false">SUMIFS(Doors!AT:AT,Doors!$A:$A,$D163,Doors!$B:$B,$B163,Doors!$C:$C,$C163)*SUMIFS(Velocity!$I:$I,Velocity!$A:$A,$A163,Velocity!$B:$B,$C163)/Assumptions!$B$4*Assumptions!$B$6</f>
        <v>2</v>
      </c>
      <c r="AI163" s="7" t="n">
        <f aca="false">SUMIFS(Doors!AU:AU,Doors!$A:$A,$D163,Doors!$B:$B,$B163,Doors!$C:$C,$C163)*SUMIFS(Velocity!$I:$I,Velocity!$A:$A,$A163,Velocity!$B:$B,$C163)/Assumptions!$B$4*Assumptions!$B$6</f>
        <v>2</v>
      </c>
      <c r="AJ163" s="7" t="n">
        <f aca="false">SUMIFS(Doors!AV:AV,Doors!$A:$A,$D163,Doors!$B:$B,$B163,Doors!$C:$C,$C163)*SUMIFS(Velocity!$I:$I,Velocity!$A:$A,$A163,Velocity!$B:$B,$C163)/Assumptions!$B$4*Assumptions!$B$6</f>
        <v>2.16666666666667</v>
      </c>
      <c r="AK163" s="7" t="n">
        <f aca="false">SUMIFS(Doors!AW:AW,Doors!$A:$A,$D163,Doors!$B:$B,$B163,Doors!$C:$C,$C163)*SUMIFS(Velocity!$I:$I,Velocity!$A:$A,$A163,Velocity!$B:$B,$C163)/Assumptions!$B$4*Assumptions!$B$6</f>
        <v>2.16666666666667</v>
      </c>
      <c r="AL163" s="7" t="n">
        <f aca="false">SUMIFS(Doors!AX:AX,Doors!$A:$A,$D163,Doors!$B:$B,$B163,Doors!$C:$C,$C163)*SUMIFS(Velocity!$I:$I,Velocity!$A:$A,$A163,Velocity!$B:$B,$C163)/Assumptions!$B$4*Assumptions!$B$6</f>
        <v>2.16666666666667</v>
      </c>
      <c r="AM163" s="7" t="n">
        <f aca="false">SUMIFS(Doors!AY:AY,Doors!$A:$A,$D163,Doors!$B:$B,$B163,Doors!$C:$C,$C163)*SUMIFS(Velocity!$I:$I,Velocity!$A:$A,$A163,Velocity!$B:$B,$C163)/Assumptions!$B$4*Assumptions!$B$6</f>
        <v>2.16666666666667</v>
      </c>
      <c r="AN163" s="7" t="n">
        <f aca="false">SUMIFS(Doors!AZ:AZ,Doors!$A:$A,$D163,Doors!$B:$B,$B163,Doors!$C:$C,$C163)*SUMIFS(Velocity!$I:$I,Velocity!$A:$A,$A163,Velocity!$B:$B,$C163)/Assumptions!$B$4*Assumptions!$B$6</f>
        <v>2.33333333333333</v>
      </c>
      <c r="AO163" s="7" t="n">
        <f aca="false">SUMIFS(Doors!BA:BA,Doors!$A:$A,$D163,Doors!$B:$B,$B163,Doors!$C:$C,$C163)*SUMIFS(Velocity!$I:$I,Velocity!$A:$A,$A163,Velocity!$B:$B,$C163)/Assumptions!$B$4*Assumptions!$B$6</f>
        <v>2.33333333333333</v>
      </c>
      <c r="AP163" s="7" t="n">
        <f aca="false">SUMIFS(Doors!BB:BB,Doors!$A:$A,$D163,Doors!$B:$B,$B163,Doors!$C:$C,$C163)*SUMIFS(Velocity!$I:$I,Velocity!$A:$A,$A163,Velocity!$B:$B,$C163)/Assumptions!$B$4*Assumptions!$B$6</f>
        <v>2.33333333333333</v>
      </c>
      <c r="AQ163" s="7" t="n">
        <f aca="false">SUMIFS(Doors!BC:BC,Doors!$A:$A,$D163,Doors!$B:$B,$B163,Doors!$C:$C,$C163)*SUMIFS(Velocity!$I:$I,Velocity!$A:$A,$A163,Velocity!$B:$B,$C163)/Assumptions!$B$4*Assumptions!$B$6</f>
        <v>2.33333333333333</v>
      </c>
      <c r="AR163" s="7" t="n">
        <f aca="false">SUMIFS(Doors!BD:BD,Doors!$A:$A,$D163,Doors!$B:$B,$B163,Doors!$C:$C,$C163)*SUMIFS(Velocity!$I:$I,Velocity!$A:$A,$A163,Velocity!$B:$B,$C163)/Assumptions!$B$4*Assumptions!$B$6</f>
        <v>2.33333333333333</v>
      </c>
      <c r="AS163" s="7" t="n">
        <f aca="false">SUMIFS(Doors!BE:BE,Doors!$A:$A,$D163,Doors!$B:$B,$B163,Doors!$C:$C,$C163)*SUMIFS(Velocity!$I:$I,Velocity!$A:$A,$A163,Velocity!$B:$B,$C163)/Assumptions!$B$4*Assumptions!$B$6</f>
        <v>2.33333333333333</v>
      </c>
      <c r="AT163" s="7" t="n">
        <f aca="false">SUMIFS(Doors!BF:BF,Doors!$A:$A,$D163,Doors!$B:$B,$B163,Doors!$C:$C,$C163)*SUMIFS(Velocity!$I:$I,Velocity!$A:$A,$A163,Velocity!$B:$B,$C163)/Assumptions!$B$4*Assumptions!$B$6</f>
        <v>2.33333333333333</v>
      </c>
      <c r="AU163" s="7" t="n">
        <f aca="false">SUMIFS(Doors!BG:BG,Doors!$A:$A,$D163,Doors!$B:$B,$B163,Doors!$C:$C,$C163)*SUMIFS(Velocity!$I:$I,Velocity!$A:$A,$A163,Velocity!$B:$B,$C163)/Assumptions!$B$4*Assumptions!$B$6</f>
        <v>2.33333333333333</v>
      </c>
      <c r="AV163" s="7" t="n">
        <f aca="false">SUMIFS(Doors!BH:BH,Doors!$A:$A,$D163,Doors!$B:$B,$B163,Doors!$C:$C,$C163)*SUMIFS(Velocity!$I:$I,Velocity!$A:$A,$A163,Velocity!$B:$B,$C163)/Assumptions!$B$4*Assumptions!$B$6</f>
        <v>2.33333333333333</v>
      </c>
      <c r="AW163" s="7" t="n">
        <f aca="false">SUMIFS(Doors!BI:BI,Doors!$A:$A,$D163,Doors!$B:$B,$B163,Doors!$C:$C,$C163)*SUMIFS(Velocity!$I:$I,Velocity!$A:$A,$A163,Velocity!$B:$B,$C163)/Assumptions!$B$4*Assumptions!$B$6</f>
        <v>2.5</v>
      </c>
      <c r="AX163" s="7" t="n">
        <f aca="false">SUMIFS(Doors!BJ:BJ,Doors!$A:$A,$D163,Doors!$B:$B,$B163,Doors!$C:$C,$C163)*SUMIFS(Velocity!$I:$I,Velocity!$A:$A,$A163,Velocity!$B:$B,$C163)/Assumptions!$B$4*Assumptions!$B$6</f>
        <v>2.5</v>
      </c>
      <c r="AY163" s="7" t="n">
        <f aca="false">SUMIFS(Doors!BK:BK,Doors!$A:$A,$D163,Doors!$B:$B,$B163,Doors!$C:$C,$C163)*SUMIFS(Velocity!$I:$I,Velocity!$A:$A,$A163,Velocity!$B:$B,$C163)/Assumptions!$B$4*Assumptions!$B$6</f>
        <v>2.5</v>
      </c>
      <c r="AZ163" s="7" t="n">
        <f aca="false">SUMIFS(Doors!BL:BL,Doors!$A:$A,$D163,Doors!$B:$B,$B163,Doors!$C:$C,$C163)*SUMIFS(Velocity!$I:$I,Velocity!$A:$A,$A163,Velocity!$B:$B,$C163)/Assumptions!$B$4*Assumptions!$B$6</f>
        <v>2.5</v>
      </c>
      <c r="BA163" s="7" t="n">
        <f aca="false">SUMIFS(Doors!BM:BM,Doors!$A:$A,$D163,Doors!$B:$B,$B163,Doors!$C:$C,$C163)*SUMIFS(Velocity!$I:$I,Velocity!$A:$A,$A163,Velocity!$B:$B,$C163)/Assumptions!$B$4*Assumptions!$B$6</f>
        <v>2.5</v>
      </c>
      <c r="BB163" s="7" t="n">
        <f aca="false">SUMIFS(Doors!BN:BN,Doors!$A:$A,$D163,Doors!$B:$B,$B163,Doors!$C:$C,$C163)*SUMIFS(Velocity!$I:$I,Velocity!$A:$A,$A163,Velocity!$B:$B,$C163)/Assumptions!$B$4*Assumptions!$B$6</f>
        <v>2.5</v>
      </c>
      <c r="BC163" s="7" t="n">
        <f aca="false">SUMIFS(Doors!BO:BO,Doors!$A:$A,$D163,Doors!$B:$B,$B163,Doors!$C:$C,$C163)*SUMIFS(Velocity!$I:$I,Velocity!$A:$A,$A163,Velocity!$B:$B,$C163)/Assumptions!$B$4*Assumptions!$B$6</f>
        <v>2.5</v>
      </c>
      <c r="BD163" s="7" t="n">
        <f aca="false">SUMIFS(Doors!BP:BP,Doors!$A:$A,$D163,Doors!$B:$B,$B163,Doors!$C:$C,$C163)*SUMIFS(Velocity!$I:$I,Velocity!$A:$A,$A163,Velocity!$B:$B,$C163)/Assumptions!$B$4*Assumptions!$B$6</f>
        <v>2.5</v>
      </c>
    </row>
    <row r="164" customFormat="false" ht="15" hidden="false" customHeight="false" outlineLevel="0" collapsed="false">
      <c r="A164" s="0" t="s">
        <v>109</v>
      </c>
      <c r="B164" s="0" t="s">
        <v>133</v>
      </c>
      <c r="C164" s="0" t="s">
        <v>120</v>
      </c>
      <c r="D164" s="0" t="s">
        <v>235</v>
      </c>
      <c r="E164" s="7" t="n">
        <f aca="false">SUMIFS(Doors!Q:Q,Doors!$A:$A,$D164,Doors!$B:$B,$B164,Doors!$C:$C,$C164)*SUMIFS(Velocity!$I:$I,Velocity!$A:$A,$A164,Velocity!$B:$B,$C164)/Assumptions!$B$4*Assumptions!$B$6</f>
        <v>0.59375</v>
      </c>
      <c r="F164" s="7" t="n">
        <f aca="false">SUMIFS(Doors!R:R,Doors!$A:$A,$D164,Doors!$B:$B,$B164,Doors!$C:$C,$C164)*SUMIFS(Velocity!$I:$I,Velocity!$A:$A,$A164,Velocity!$B:$B,$C164)/Assumptions!$B$4*Assumptions!$B$6</f>
        <v>0.59375</v>
      </c>
      <c r="G164" s="7" t="n">
        <f aca="false">SUMIFS(Doors!S:S,Doors!$A:$A,$D164,Doors!$B:$B,$B164,Doors!$C:$C,$C164)*SUMIFS(Velocity!$I:$I,Velocity!$A:$A,$A164,Velocity!$B:$B,$C164)/Assumptions!$B$4*Assumptions!$B$6</f>
        <v>0.59375</v>
      </c>
      <c r="H164" s="7" t="n">
        <f aca="false">SUMIFS(Doors!T:T,Doors!$A:$A,$D164,Doors!$B:$B,$B164,Doors!$C:$C,$C164)*SUMIFS(Velocity!$I:$I,Velocity!$A:$A,$A164,Velocity!$B:$B,$C164)/Assumptions!$B$4*Assumptions!$B$6</f>
        <v>0.59375</v>
      </c>
      <c r="I164" s="7" t="n">
        <f aca="false">SUMIFS(Doors!U:U,Doors!$A:$A,$D164,Doors!$B:$B,$B164,Doors!$C:$C,$C164)*SUMIFS(Velocity!$I:$I,Velocity!$A:$A,$A164,Velocity!$B:$B,$C164)/Assumptions!$B$4*Assumptions!$B$6</f>
        <v>0.59375</v>
      </c>
      <c r="J164" s="7" t="n">
        <f aca="false">SUMIFS(Doors!V:V,Doors!$A:$A,$D164,Doors!$B:$B,$B164,Doors!$C:$C,$C164)*SUMIFS(Velocity!$I:$I,Velocity!$A:$A,$A164,Velocity!$B:$B,$C164)/Assumptions!$B$4*Assumptions!$B$6</f>
        <v>0.989583333333333</v>
      </c>
      <c r="K164" s="7" t="n">
        <f aca="false">SUMIFS(Doors!W:W,Doors!$A:$A,$D164,Doors!$B:$B,$B164,Doors!$C:$C,$C164)*SUMIFS(Velocity!$I:$I,Velocity!$A:$A,$A164,Velocity!$B:$B,$C164)/Assumptions!$B$4*Assumptions!$B$6</f>
        <v>0.989583333333333</v>
      </c>
      <c r="L164" s="7" t="n">
        <f aca="false">SUMIFS(Doors!X:X,Doors!$A:$A,$D164,Doors!$B:$B,$B164,Doors!$C:$C,$C164)*SUMIFS(Velocity!$I:$I,Velocity!$A:$A,$A164,Velocity!$B:$B,$C164)/Assumptions!$B$4*Assumptions!$B$6</f>
        <v>0.989583333333333</v>
      </c>
      <c r="M164" s="7" t="n">
        <f aca="false">SUMIFS(Doors!Y:Y,Doors!$A:$A,$D164,Doors!$B:$B,$B164,Doors!$C:$C,$C164)*SUMIFS(Velocity!$I:$I,Velocity!$A:$A,$A164,Velocity!$B:$B,$C164)/Assumptions!$B$4*Assumptions!$B$6</f>
        <v>0.989583333333333</v>
      </c>
      <c r="N164" s="7" t="n">
        <f aca="false">SUMIFS(Doors!Z:Z,Doors!$A:$A,$D164,Doors!$B:$B,$B164,Doors!$C:$C,$C164)*SUMIFS(Velocity!$I:$I,Velocity!$A:$A,$A164,Velocity!$B:$B,$C164)/Assumptions!$B$4*Assumptions!$B$6</f>
        <v>1.38541666666667</v>
      </c>
      <c r="O164" s="7" t="n">
        <f aca="false">SUMIFS(Doors!AA:AA,Doors!$A:$A,$D164,Doors!$B:$B,$B164,Doors!$C:$C,$C164)*SUMIFS(Velocity!$I:$I,Velocity!$A:$A,$A164,Velocity!$B:$B,$C164)/Assumptions!$B$4*Assumptions!$B$6</f>
        <v>1.38541666666667</v>
      </c>
      <c r="P164" s="7" t="n">
        <f aca="false">SUMIFS(Doors!AB:AB,Doors!$A:$A,$D164,Doors!$B:$B,$B164,Doors!$C:$C,$C164)*SUMIFS(Velocity!$I:$I,Velocity!$A:$A,$A164,Velocity!$B:$B,$C164)/Assumptions!$B$4*Assumptions!$B$6</f>
        <v>1.38541666666667</v>
      </c>
      <c r="Q164" s="7" t="n">
        <f aca="false">SUMIFS(Doors!AC:AC,Doors!$A:$A,$D164,Doors!$B:$B,$B164,Doors!$C:$C,$C164)*SUMIFS(Velocity!$I:$I,Velocity!$A:$A,$A164,Velocity!$B:$B,$C164)/Assumptions!$B$4*Assumptions!$B$6</f>
        <v>1.38541666666667</v>
      </c>
      <c r="R164" s="7" t="n">
        <f aca="false">SUMIFS(Doors!AD:AD,Doors!$A:$A,$D164,Doors!$B:$B,$B164,Doors!$C:$C,$C164)*SUMIFS(Velocity!$I:$I,Velocity!$A:$A,$A164,Velocity!$B:$B,$C164)/Assumptions!$B$4*Assumptions!$B$6</f>
        <v>1.78125</v>
      </c>
      <c r="S164" s="7" t="n">
        <f aca="false">SUMIFS(Doors!AE:AE,Doors!$A:$A,$D164,Doors!$B:$B,$B164,Doors!$C:$C,$C164)*SUMIFS(Velocity!$I:$I,Velocity!$A:$A,$A164,Velocity!$B:$B,$C164)/Assumptions!$B$4*Assumptions!$B$6</f>
        <v>1.78125</v>
      </c>
      <c r="T164" s="7" t="n">
        <f aca="false">SUMIFS(Doors!AF:AF,Doors!$A:$A,$D164,Doors!$B:$B,$B164,Doors!$C:$C,$C164)*SUMIFS(Velocity!$I:$I,Velocity!$A:$A,$A164,Velocity!$B:$B,$C164)/Assumptions!$B$4*Assumptions!$B$6</f>
        <v>1.78125</v>
      </c>
      <c r="U164" s="7" t="n">
        <f aca="false">SUMIFS(Doors!AG:AG,Doors!$A:$A,$D164,Doors!$B:$B,$B164,Doors!$C:$C,$C164)*SUMIFS(Velocity!$I:$I,Velocity!$A:$A,$A164,Velocity!$B:$B,$C164)/Assumptions!$B$4*Assumptions!$B$6</f>
        <v>1.78125</v>
      </c>
      <c r="V164" s="7" t="n">
        <f aca="false">SUMIFS(Doors!AH:AH,Doors!$A:$A,$D164,Doors!$B:$B,$B164,Doors!$C:$C,$C164)*SUMIFS(Velocity!$I:$I,Velocity!$A:$A,$A164,Velocity!$B:$B,$C164)/Assumptions!$B$4*Assumptions!$B$6</f>
        <v>1.78125</v>
      </c>
      <c r="W164" s="7" t="n">
        <f aca="false">SUMIFS(Doors!AI:AI,Doors!$A:$A,$D164,Doors!$B:$B,$B164,Doors!$C:$C,$C164)*SUMIFS(Velocity!$I:$I,Velocity!$A:$A,$A164,Velocity!$B:$B,$C164)/Assumptions!$B$4*Assumptions!$B$6</f>
        <v>2.17708333333333</v>
      </c>
      <c r="X164" s="7" t="n">
        <f aca="false">SUMIFS(Doors!AJ:AJ,Doors!$A:$A,$D164,Doors!$B:$B,$B164,Doors!$C:$C,$C164)*SUMIFS(Velocity!$I:$I,Velocity!$A:$A,$A164,Velocity!$B:$B,$C164)/Assumptions!$B$4*Assumptions!$B$6</f>
        <v>2.17708333333333</v>
      </c>
      <c r="Y164" s="7" t="n">
        <f aca="false">SUMIFS(Doors!AK:AK,Doors!$A:$A,$D164,Doors!$B:$B,$B164,Doors!$C:$C,$C164)*SUMIFS(Velocity!$I:$I,Velocity!$A:$A,$A164,Velocity!$B:$B,$C164)/Assumptions!$B$4*Assumptions!$B$6</f>
        <v>2.17708333333333</v>
      </c>
      <c r="Z164" s="7" t="n">
        <f aca="false">SUMIFS(Doors!AL:AL,Doors!$A:$A,$D164,Doors!$B:$B,$B164,Doors!$C:$C,$C164)*SUMIFS(Velocity!$I:$I,Velocity!$A:$A,$A164,Velocity!$B:$B,$C164)/Assumptions!$B$4*Assumptions!$B$6</f>
        <v>2.17708333333333</v>
      </c>
      <c r="AA164" s="7" t="n">
        <f aca="false">SUMIFS(Doors!AM:AM,Doors!$A:$A,$D164,Doors!$B:$B,$B164,Doors!$C:$C,$C164)*SUMIFS(Velocity!$I:$I,Velocity!$A:$A,$A164,Velocity!$B:$B,$C164)/Assumptions!$B$4*Assumptions!$B$6</f>
        <v>2.375</v>
      </c>
      <c r="AB164" s="7" t="n">
        <f aca="false">SUMIFS(Doors!AN:AN,Doors!$A:$A,$D164,Doors!$B:$B,$B164,Doors!$C:$C,$C164)*SUMIFS(Velocity!$I:$I,Velocity!$A:$A,$A164,Velocity!$B:$B,$C164)/Assumptions!$B$4*Assumptions!$B$6</f>
        <v>2.375</v>
      </c>
      <c r="AC164" s="7" t="n">
        <f aca="false">SUMIFS(Doors!AO:AO,Doors!$A:$A,$D164,Doors!$B:$B,$B164,Doors!$C:$C,$C164)*SUMIFS(Velocity!$I:$I,Velocity!$A:$A,$A164,Velocity!$B:$B,$C164)/Assumptions!$B$4*Assumptions!$B$6</f>
        <v>2.375</v>
      </c>
      <c r="AD164" s="7" t="n">
        <f aca="false">SUMIFS(Doors!AP:AP,Doors!$A:$A,$D164,Doors!$B:$B,$B164,Doors!$C:$C,$C164)*SUMIFS(Velocity!$I:$I,Velocity!$A:$A,$A164,Velocity!$B:$B,$C164)/Assumptions!$B$4*Assumptions!$B$6</f>
        <v>2.375</v>
      </c>
      <c r="AE164" s="7" t="n">
        <f aca="false">SUMIFS(Doors!AQ:AQ,Doors!$A:$A,$D164,Doors!$B:$B,$B164,Doors!$C:$C,$C164)*SUMIFS(Velocity!$I:$I,Velocity!$A:$A,$A164,Velocity!$B:$B,$C164)/Assumptions!$B$4*Assumptions!$B$6</f>
        <v>2.57291666666667</v>
      </c>
      <c r="AF164" s="7" t="n">
        <f aca="false">SUMIFS(Doors!AR:AR,Doors!$A:$A,$D164,Doors!$B:$B,$B164,Doors!$C:$C,$C164)*SUMIFS(Velocity!$I:$I,Velocity!$A:$A,$A164,Velocity!$B:$B,$C164)/Assumptions!$B$4*Assumptions!$B$6</f>
        <v>2.57291666666667</v>
      </c>
      <c r="AG164" s="7" t="n">
        <f aca="false">SUMIFS(Doors!AS:AS,Doors!$A:$A,$D164,Doors!$B:$B,$B164,Doors!$C:$C,$C164)*SUMIFS(Velocity!$I:$I,Velocity!$A:$A,$A164,Velocity!$B:$B,$C164)/Assumptions!$B$4*Assumptions!$B$6</f>
        <v>2.57291666666667</v>
      </c>
      <c r="AH164" s="7" t="n">
        <f aca="false">SUMIFS(Doors!AT:AT,Doors!$A:$A,$D164,Doors!$B:$B,$B164,Doors!$C:$C,$C164)*SUMIFS(Velocity!$I:$I,Velocity!$A:$A,$A164,Velocity!$B:$B,$C164)/Assumptions!$B$4*Assumptions!$B$6</f>
        <v>2.57291666666667</v>
      </c>
      <c r="AI164" s="7" t="n">
        <f aca="false">SUMIFS(Doors!AU:AU,Doors!$A:$A,$D164,Doors!$B:$B,$B164,Doors!$C:$C,$C164)*SUMIFS(Velocity!$I:$I,Velocity!$A:$A,$A164,Velocity!$B:$B,$C164)/Assumptions!$B$4*Assumptions!$B$6</f>
        <v>2.57291666666667</v>
      </c>
      <c r="AJ164" s="7" t="n">
        <f aca="false">SUMIFS(Doors!AV:AV,Doors!$A:$A,$D164,Doors!$B:$B,$B164,Doors!$C:$C,$C164)*SUMIFS(Velocity!$I:$I,Velocity!$A:$A,$A164,Velocity!$B:$B,$C164)/Assumptions!$B$4*Assumptions!$B$6</f>
        <v>2.77083333333333</v>
      </c>
      <c r="AK164" s="7" t="n">
        <f aca="false">SUMIFS(Doors!AW:AW,Doors!$A:$A,$D164,Doors!$B:$B,$B164,Doors!$C:$C,$C164)*SUMIFS(Velocity!$I:$I,Velocity!$A:$A,$A164,Velocity!$B:$B,$C164)/Assumptions!$B$4*Assumptions!$B$6</f>
        <v>2.77083333333333</v>
      </c>
      <c r="AL164" s="7" t="n">
        <f aca="false">SUMIFS(Doors!AX:AX,Doors!$A:$A,$D164,Doors!$B:$B,$B164,Doors!$C:$C,$C164)*SUMIFS(Velocity!$I:$I,Velocity!$A:$A,$A164,Velocity!$B:$B,$C164)/Assumptions!$B$4*Assumptions!$B$6</f>
        <v>2.77083333333333</v>
      </c>
      <c r="AM164" s="7" t="n">
        <f aca="false">SUMIFS(Doors!AY:AY,Doors!$A:$A,$D164,Doors!$B:$B,$B164,Doors!$C:$C,$C164)*SUMIFS(Velocity!$I:$I,Velocity!$A:$A,$A164,Velocity!$B:$B,$C164)/Assumptions!$B$4*Assumptions!$B$6</f>
        <v>2.77083333333333</v>
      </c>
      <c r="AN164" s="7" t="n">
        <f aca="false">SUMIFS(Doors!AZ:AZ,Doors!$A:$A,$D164,Doors!$B:$B,$B164,Doors!$C:$C,$C164)*SUMIFS(Velocity!$I:$I,Velocity!$A:$A,$A164,Velocity!$B:$B,$C164)/Assumptions!$B$4*Assumptions!$B$6</f>
        <v>2.77083333333333</v>
      </c>
      <c r="AO164" s="7" t="n">
        <f aca="false">SUMIFS(Doors!BA:BA,Doors!$A:$A,$D164,Doors!$B:$B,$B164,Doors!$C:$C,$C164)*SUMIFS(Velocity!$I:$I,Velocity!$A:$A,$A164,Velocity!$B:$B,$C164)/Assumptions!$B$4*Assumptions!$B$6</f>
        <v>2.77083333333333</v>
      </c>
      <c r="AP164" s="7" t="n">
        <f aca="false">SUMIFS(Doors!BB:BB,Doors!$A:$A,$D164,Doors!$B:$B,$B164,Doors!$C:$C,$C164)*SUMIFS(Velocity!$I:$I,Velocity!$A:$A,$A164,Velocity!$B:$B,$C164)/Assumptions!$B$4*Assumptions!$B$6</f>
        <v>2.77083333333333</v>
      </c>
      <c r="AQ164" s="7" t="n">
        <f aca="false">SUMIFS(Doors!BC:BC,Doors!$A:$A,$D164,Doors!$B:$B,$B164,Doors!$C:$C,$C164)*SUMIFS(Velocity!$I:$I,Velocity!$A:$A,$A164,Velocity!$B:$B,$C164)/Assumptions!$B$4*Assumptions!$B$6</f>
        <v>2.77083333333333</v>
      </c>
      <c r="AR164" s="7" t="n">
        <f aca="false">SUMIFS(Doors!BD:BD,Doors!$A:$A,$D164,Doors!$B:$B,$B164,Doors!$C:$C,$C164)*SUMIFS(Velocity!$I:$I,Velocity!$A:$A,$A164,Velocity!$B:$B,$C164)/Assumptions!$B$4*Assumptions!$B$6</f>
        <v>2.96875</v>
      </c>
      <c r="AS164" s="7" t="n">
        <f aca="false">SUMIFS(Doors!BE:BE,Doors!$A:$A,$D164,Doors!$B:$B,$B164,Doors!$C:$C,$C164)*SUMIFS(Velocity!$I:$I,Velocity!$A:$A,$A164,Velocity!$B:$B,$C164)/Assumptions!$B$4*Assumptions!$B$6</f>
        <v>2.96875</v>
      </c>
      <c r="AT164" s="7" t="n">
        <f aca="false">SUMIFS(Doors!BF:BF,Doors!$A:$A,$D164,Doors!$B:$B,$B164,Doors!$C:$C,$C164)*SUMIFS(Velocity!$I:$I,Velocity!$A:$A,$A164,Velocity!$B:$B,$C164)/Assumptions!$B$4*Assumptions!$B$6</f>
        <v>2.96875</v>
      </c>
      <c r="AU164" s="7" t="n">
        <f aca="false">SUMIFS(Doors!BG:BG,Doors!$A:$A,$D164,Doors!$B:$B,$B164,Doors!$C:$C,$C164)*SUMIFS(Velocity!$I:$I,Velocity!$A:$A,$A164,Velocity!$B:$B,$C164)/Assumptions!$B$4*Assumptions!$B$6</f>
        <v>2.96875</v>
      </c>
      <c r="AV164" s="7" t="n">
        <f aca="false">SUMIFS(Doors!BH:BH,Doors!$A:$A,$D164,Doors!$B:$B,$B164,Doors!$C:$C,$C164)*SUMIFS(Velocity!$I:$I,Velocity!$A:$A,$A164,Velocity!$B:$B,$C164)/Assumptions!$B$4*Assumptions!$B$6</f>
        <v>2.96875</v>
      </c>
      <c r="AW164" s="7" t="n">
        <f aca="false">SUMIFS(Doors!BI:BI,Doors!$A:$A,$D164,Doors!$B:$B,$B164,Doors!$C:$C,$C164)*SUMIFS(Velocity!$I:$I,Velocity!$A:$A,$A164,Velocity!$B:$B,$C164)/Assumptions!$B$4*Assumptions!$B$6</f>
        <v>2.96875</v>
      </c>
      <c r="AX164" s="7" t="n">
        <f aca="false">SUMIFS(Doors!BJ:BJ,Doors!$A:$A,$D164,Doors!$B:$B,$B164,Doors!$C:$C,$C164)*SUMIFS(Velocity!$I:$I,Velocity!$A:$A,$A164,Velocity!$B:$B,$C164)/Assumptions!$B$4*Assumptions!$B$6</f>
        <v>2.96875</v>
      </c>
      <c r="AY164" s="7" t="n">
        <f aca="false">SUMIFS(Doors!BK:BK,Doors!$A:$A,$D164,Doors!$B:$B,$B164,Doors!$C:$C,$C164)*SUMIFS(Velocity!$I:$I,Velocity!$A:$A,$A164,Velocity!$B:$B,$C164)/Assumptions!$B$4*Assumptions!$B$6</f>
        <v>2.96875</v>
      </c>
      <c r="AZ164" s="7" t="n">
        <f aca="false">SUMIFS(Doors!BL:BL,Doors!$A:$A,$D164,Doors!$B:$B,$B164,Doors!$C:$C,$C164)*SUMIFS(Velocity!$I:$I,Velocity!$A:$A,$A164,Velocity!$B:$B,$C164)/Assumptions!$B$4*Assumptions!$B$6</f>
        <v>2.96875</v>
      </c>
      <c r="BA164" s="7" t="n">
        <f aca="false">SUMIFS(Doors!BM:BM,Doors!$A:$A,$D164,Doors!$B:$B,$B164,Doors!$C:$C,$C164)*SUMIFS(Velocity!$I:$I,Velocity!$A:$A,$A164,Velocity!$B:$B,$C164)/Assumptions!$B$4*Assumptions!$B$6</f>
        <v>2.96875</v>
      </c>
      <c r="BB164" s="7" t="n">
        <f aca="false">SUMIFS(Doors!BN:BN,Doors!$A:$A,$D164,Doors!$B:$B,$B164,Doors!$C:$C,$C164)*SUMIFS(Velocity!$I:$I,Velocity!$A:$A,$A164,Velocity!$B:$B,$C164)/Assumptions!$B$4*Assumptions!$B$6</f>
        <v>2.96875</v>
      </c>
      <c r="BC164" s="7" t="n">
        <f aca="false">SUMIFS(Doors!BO:BO,Doors!$A:$A,$D164,Doors!$B:$B,$B164,Doors!$C:$C,$C164)*SUMIFS(Velocity!$I:$I,Velocity!$A:$A,$A164,Velocity!$B:$B,$C164)/Assumptions!$B$4*Assumptions!$B$6</f>
        <v>2.96875</v>
      </c>
      <c r="BD164" s="7" t="n">
        <f aca="false">SUMIFS(Doors!BP:BP,Doors!$A:$A,$D164,Doors!$B:$B,$B164,Doors!$C:$C,$C164)*SUMIFS(Velocity!$I:$I,Velocity!$A:$A,$A164,Velocity!$B:$B,$C164)/Assumptions!$B$4*Assumptions!$B$6</f>
        <v>2.96875</v>
      </c>
    </row>
    <row r="165" customFormat="false" ht="15" hidden="false" customHeight="false" outlineLevel="0" collapsed="false">
      <c r="A165" s="0" t="s">
        <v>109</v>
      </c>
      <c r="B165" s="0" t="s">
        <v>133</v>
      </c>
      <c r="C165" s="0" t="s">
        <v>121</v>
      </c>
      <c r="D165" s="0" t="s">
        <v>235</v>
      </c>
      <c r="E165" s="7" t="n">
        <f aca="false">SUMIFS(Doors!Q:Q,Doors!$A:$A,$D165,Doors!$B:$B,$B165,Doors!$C:$C,$C165)*SUMIFS(Velocity!$I:$I,Velocity!$A:$A,$A165,Velocity!$B:$B,$C165)/Assumptions!$B$4*Assumptions!$B$6</f>
        <v>0.608333333333333</v>
      </c>
      <c r="F165" s="7" t="n">
        <f aca="false">SUMIFS(Doors!R:R,Doors!$A:$A,$D165,Doors!$B:$B,$B165,Doors!$C:$C,$C165)*SUMIFS(Velocity!$I:$I,Velocity!$A:$A,$A165,Velocity!$B:$B,$C165)/Assumptions!$B$4*Assumptions!$B$6</f>
        <v>0.608333333333333</v>
      </c>
      <c r="G165" s="7" t="n">
        <f aca="false">SUMIFS(Doors!S:S,Doors!$A:$A,$D165,Doors!$B:$B,$B165,Doors!$C:$C,$C165)*SUMIFS(Velocity!$I:$I,Velocity!$A:$A,$A165,Velocity!$B:$B,$C165)/Assumptions!$B$4*Assumptions!$B$6</f>
        <v>0.608333333333333</v>
      </c>
      <c r="H165" s="7" t="n">
        <f aca="false">SUMIFS(Doors!T:T,Doors!$A:$A,$D165,Doors!$B:$B,$B165,Doors!$C:$C,$C165)*SUMIFS(Velocity!$I:$I,Velocity!$A:$A,$A165,Velocity!$B:$B,$C165)/Assumptions!$B$4*Assumptions!$B$6</f>
        <v>0.608333333333333</v>
      </c>
      <c r="I165" s="7" t="n">
        <f aca="false">SUMIFS(Doors!U:U,Doors!$A:$A,$D165,Doors!$B:$B,$B165,Doors!$C:$C,$C165)*SUMIFS(Velocity!$I:$I,Velocity!$A:$A,$A165,Velocity!$B:$B,$C165)/Assumptions!$B$4*Assumptions!$B$6</f>
        <v>0.608333333333333</v>
      </c>
      <c r="J165" s="7" t="n">
        <f aca="false">SUMIFS(Doors!V:V,Doors!$A:$A,$D165,Doors!$B:$B,$B165,Doors!$C:$C,$C165)*SUMIFS(Velocity!$I:$I,Velocity!$A:$A,$A165,Velocity!$B:$B,$C165)/Assumptions!$B$4*Assumptions!$B$6</f>
        <v>0.9125</v>
      </c>
      <c r="K165" s="7" t="n">
        <f aca="false">SUMIFS(Doors!W:W,Doors!$A:$A,$D165,Doors!$B:$B,$B165,Doors!$C:$C,$C165)*SUMIFS(Velocity!$I:$I,Velocity!$A:$A,$A165,Velocity!$B:$B,$C165)/Assumptions!$B$4*Assumptions!$B$6</f>
        <v>0.9125</v>
      </c>
      <c r="L165" s="7" t="n">
        <f aca="false">SUMIFS(Doors!X:X,Doors!$A:$A,$D165,Doors!$B:$B,$B165,Doors!$C:$C,$C165)*SUMIFS(Velocity!$I:$I,Velocity!$A:$A,$A165,Velocity!$B:$B,$C165)/Assumptions!$B$4*Assumptions!$B$6</f>
        <v>0.9125</v>
      </c>
      <c r="M165" s="7" t="n">
        <f aca="false">SUMIFS(Doors!Y:Y,Doors!$A:$A,$D165,Doors!$B:$B,$B165,Doors!$C:$C,$C165)*SUMIFS(Velocity!$I:$I,Velocity!$A:$A,$A165,Velocity!$B:$B,$C165)/Assumptions!$B$4*Assumptions!$B$6</f>
        <v>0.9125</v>
      </c>
      <c r="N165" s="7" t="n">
        <f aca="false">SUMIFS(Doors!Z:Z,Doors!$A:$A,$D165,Doors!$B:$B,$B165,Doors!$C:$C,$C165)*SUMIFS(Velocity!$I:$I,Velocity!$A:$A,$A165,Velocity!$B:$B,$C165)/Assumptions!$B$4*Assumptions!$B$6</f>
        <v>1.21666666666667</v>
      </c>
      <c r="O165" s="7" t="n">
        <f aca="false">SUMIFS(Doors!AA:AA,Doors!$A:$A,$D165,Doors!$B:$B,$B165,Doors!$C:$C,$C165)*SUMIFS(Velocity!$I:$I,Velocity!$A:$A,$A165,Velocity!$B:$B,$C165)/Assumptions!$B$4*Assumptions!$B$6</f>
        <v>1.21666666666667</v>
      </c>
      <c r="P165" s="7" t="n">
        <f aca="false">SUMIFS(Doors!AB:AB,Doors!$A:$A,$D165,Doors!$B:$B,$B165,Doors!$C:$C,$C165)*SUMIFS(Velocity!$I:$I,Velocity!$A:$A,$A165,Velocity!$B:$B,$C165)/Assumptions!$B$4*Assumptions!$B$6</f>
        <v>1.21666666666667</v>
      </c>
      <c r="Q165" s="7" t="n">
        <f aca="false">SUMIFS(Doors!AC:AC,Doors!$A:$A,$D165,Doors!$B:$B,$B165,Doors!$C:$C,$C165)*SUMIFS(Velocity!$I:$I,Velocity!$A:$A,$A165,Velocity!$B:$B,$C165)/Assumptions!$B$4*Assumptions!$B$6</f>
        <v>1.21666666666667</v>
      </c>
      <c r="R165" s="7" t="n">
        <f aca="false">SUMIFS(Doors!AD:AD,Doors!$A:$A,$D165,Doors!$B:$B,$B165,Doors!$C:$C,$C165)*SUMIFS(Velocity!$I:$I,Velocity!$A:$A,$A165,Velocity!$B:$B,$C165)/Assumptions!$B$4*Assumptions!$B$6</f>
        <v>1.52083333333333</v>
      </c>
      <c r="S165" s="7" t="n">
        <f aca="false">SUMIFS(Doors!AE:AE,Doors!$A:$A,$D165,Doors!$B:$B,$B165,Doors!$C:$C,$C165)*SUMIFS(Velocity!$I:$I,Velocity!$A:$A,$A165,Velocity!$B:$B,$C165)/Assumptions!$B$4*Assumptions!$B$6</f>
        <v>1.52083333333333</v>
      </c>
      <c r="T165" s="7" t="n">
        <f aca="false">SUMIFS(Doors!AF:AF,Doors!$A:$A,$D165,Doors!$B:$B,$B165,Doors!$C:$C,$C165)*SUMIFS(Velocity!$I:$I,Velocity!$A:$A,$A165,Velocity!$B:$B,$C165)/Assumptions!$B$4*Assumptions!$B$6</f>
        <v>1.52083333333333</v>
      </c>
      <c r="U165" s="7" t="n">
        <f aca="false">SUMIFS(Doors!AG:AG,Doors!$A:$A,$D165,Doors!$B:$B,$B165,Doors!$C:$C,$C165)*SUMIFS(Velocity!$I:$I,Velocity!$A:$A,$A165,Velocity!$B:$B,$C165)/Assumptions!$B$4*Assumptions!$B$6</f>
        <v>1.52083333333333</v>
      </c>
      <c r="V165" s="7" t="n">
        <f aca="false">SUMIFS(Doors!AH:AH,Doors!$A:$A,$D165,Doors!$B:$B,$B165,Doors!$C:$C,$C165)*SUMIFS(Velocity!$I:$I,Velocity!$A:$A,$A165,Velocity!$B:$B,$C165)/Assumptions!$B$4*Assumptions!$B$6</f>
        <v>1.52083333333333</v>
      </c>
      <c r="W165" s="7" t="n">
        <f aca="false">SUMIFS(Doors!AI:AI,Doors!$A:$A,$D165,Doors!$B:$B,$B165,Doors!$C:$C,$C165)*SUMIFS(Velocity!$I:$I,Velocity!$A:$A,$A165,Velocity!$B:$B,$C165)/Assumptions!$B$4*Assumptions!$B$6</f>
        <v>1.825</v>
      </c>
      <c r="X165" s="7" t="n">
        <f aca="false">SUMIFS(Doors!AJ:AJ,Doors!$A:$A,$D165,Doors!$B:$B,$B165,Doors!$C:$C,$C165)*SUMIFS(Velocity!$I:$I,Velocity!$A:$A,$A165,Velocity!$B:$B,$C165)/Assumptions!$B$4*Assumptions!$B$6</f>
        <v>1.825</v>
      </c>
      <c r="Y165" s="7" t="n">
        <f aca="false">SUMIFS(Doors!AK:AK,Doors!$A:$A,$D165,Doors!$B:$B,$B165,Doors!$C:$C,$C165)*SUMIFS(Velocity!$I:$I,Velocity!$A:$A,$A165,Velocity!$B:$B,$C165)/Assumptions!$B$4*Assumptions!$B$6</f>
        <v>1.825</v>
      </c>
      <c r="Z165" s="7" t="n">
        <f aca="false">SUMIFS(Doors!AL:AL,Doors!$A:$A,$D165,Doors!$B:$B,$B165,Doors!$C:$C,$C165)*SUMIFS(Velocity!$I:$I,Velocity!$A:$A,$A165,Velocity!$B:$B,$C165)/Assumptions!$B$4*Assumptions!$B$6</f>
        <v>1.825</v>
      </c>
      <c r="AA165" s="7" t="n">
        <f aca="false">SUMIFS(Doors!AM:AM,Doors!$A:$A,$D165,Doors!$B:$B,$B165,Doors!$C:$C,$C165)*SUMIFS(Velocity!$I:$I,Velocity!$A:$A,$A165,Velocity!$B:$B,$C165)/Assumptions!$B$4*Assumptions!$B$6</f>
        <v>2.12916666666667</v>
      </c>
      <c r="AB165" s="7" t="n">
        <f aca="false">SUMIFS(Doors!AN:AN,Doors!$A:$A,$D165,Doors!$B:$B,$B165,Doors!$C:$C,$C165)*SUMIFS(Velocity!$I:$I,Velocity!$A:$A,$A165,Velocity!$B:$B,$C165)/Assumptions!$B$4*Assumptions!$B$6</f>
        <v>2.12916666666667</v>
      </c>
      <c r="AC165" s="7" t="n">
        <f aca="false">SUMIFS(Doors!AO:AO,Doors!$A:$A,$D165,Doors!$B:$B,$B165,Doors!$C:$C,$C165)*SUMIFS(Velocity!$I:$I,Velocity!$A:$A,$A165,Velocity!$B:$B,$C165)/Assumptions!$B$4*Assumptions!$B$6</f>
        <v>2.12916666666667</v>
      </c>
      <c r="AD165" s="7" t="n">
        <f aca="false">SUMIFS(Doors!AP:AP,Doors!$A:$A,$D165,Doors!$B:$B,$B165,Doors!$C:$C,$C165)*SUMIFS(Velocity!$I:$I,Velocity!$A:$A,$A165,Velocity!$B:$B,$C165)/Assumptions!$B$4*Assumptions!$B$6</f>
        <v>2.12916666666667</v>
      </c>
      <c r="AE165" s="7" t="n">
        <f aca="false">SUMIFS(Doors!AQ:AQ,Doors!$A:$A,$D165,Doors!$B:$B,$B165,Doors!$C:$C,$C165)*SUMIFS(Velocity!$I:$I,Velocity!$A:$A,$A165,Velocity!$B:$B,$C165)/Assumptions!$B$4*Assumptions!$B$6</f>
        <v>2.12916666666667</v>
      </c>
      <c r="AF165" s="7" t="n">
        <f aca="false">SUMIFS(Doors!AR:AR,Doors!$A:$A,$D165,Doors!$B:$B,$B165,Doors!$C:$C,$C165)*SUMIFS(Velocity!$I:$I,Velocity!$A:$A,$A165,Velocity!$B:$B,$C165)/Assumptions!$B$4*Assumptions!$B$6</f>
        <v>2.12916666666667</v>
      </c>
      <c r="AG165" s="7" t="n">
        <f aca="false">SUMIFS(Doors!AS:AS,Doors!$A:$A,$D165,Doors!$B:$B,$B165,Doors!$C:$C,$C165)*SUMIFS(Velocity!$I:$I,Velocity!$A:$A,$A165,Velocity!$B:$B,$C165)/Assumptions!$B$4*Assumptions!$B$6</f>
        <v>2.12916666666667</v>
      </c>
      <c r="AH165" s="7" t="n">
        <f aca="false">SUMIFS(Doors!AT:AT,Doors!$A:$A,$D165,Doors!$B:$B,$B165,Doors!$C:$C,$C165)*SUMIFS(Velocity!$I:$I,Velocity!$A:$A,$A165,Velocity!$B:$B,$C165)/Assumptions!$B$4*Assumptions!$B$6</f>
        <v>2.12916666666667</v>
      </c>
      <c r="AI165" s="7" t="n">
        <f aca="false">SUMIFS(Doors!AU:AU,Doors!$A:$A,$D165,Doors!$B:$B,$B165,Doors!$C:$C,$C165)*SUMIFS(Velocity!$I:$I,Velocity!$A:$A,$A165,Velocity!$B:$B,$C165)/Assumptions!$B$4*Assumptions!$B$6</f>
        <v>2.12916666666667</v>
      </c>
      <c r="AJ165" s="7" t="n">
        <f aca="false">SUMIFS(Doors!AV:AV,Doors!$A:$A,$D165,Doors!$B:$B,$B165,Doors!$C:$C,$C165)*SUMIFS(Velocity!$I:$I,Velocity!$A:$A,$A165,Velocity!$B:$B,$C165)/Assumptions!$B$4*Assumptions!$B$6</f>
        <v>2.43333333333333</v>
      </c>
      <c r="AK165" s="7" t="n">
        <f aca="false">SUMIFS(Doors!AW:AW,Doors!$A:$A,$D165,Doors!$B:$B,$B165,Doors!$C:$C,$C165)*SUMIFS(Velocity!$I:$I,Velocity!$A:$A,$A165,Velocity!$B:$B,$C165)/Assumptions!$B$4*Assumptions!$B$6</f>
        <v>2.43333333333333</v>
      </c>
      <c r="AL165" s="7" t="n">
        <f aca="false">SUMIFS(Doors!AX:AX,Doors!$A:$A,$D165,Doors!$B:$B,$B165,Doors!$C:$C,$C165)*SUMIFS(Velocity!$I:$I,Velocity!$A:$A,$A165,Velocity!$B:$B,$C165)/Assumptions!$B$4*Assumptions!$B$6</f>
        <v>2.43333333333333</v>
      </c>
      <c r="AM165" s="7" t="n">
        <f aca="false">SUMIFS(Doors!AY:AY,Doors!$A:$A,$D165,Doors!$B:$B,$B165,Doors!$C:$C,$C165)*SUMIFS(Velocity!$I:$I,Velocity!$A:$A,$A165,Velocity!$B:$B,$C165)/Assumptions!$B$4*Assumptions!$B$6</f>
        <v>2.43333333333333</v>
      </c>
      <c r="AN165" s="7" t="n">
        <f aca="false">SUMIFS(Doors!AZ:AZ,Doors!$A:$A,$D165,Doors!$B:$B,$B165,Doors!$C:$C,$C165)*SUMIFS(Velocity!$I:$I,Velocity!$A:$A,$A165,Velocity!$B:$B,$C165)/Assumptions!$B$4*Assumptions!$B$6</f>
        <v>2.43333333333333</v>
      </c>
      <c r="AO165" s="7" t="n">
        <f aca="false">SUMIFS(Doors!BA:BA,Doors!$A:$A,$D165,Doors!$B:$B,$B165,Doors!$C:$C,$C165)*SUMIFS(Velocity!$I:$I,Velocity!$A:$A,$A165,Velocity!$B:$B,$C165)/Assumptions!$B$4*Assumptions!$B$6</f>
        <v>2.43333333333333</v>
      </c>
      <c r="AP165" s="7" t="n">
        <f aca="false">SUMIFS(Doors!BB:BB,Doors!$A:$A,$D165,Doors!$B:$B,$B165,Doors!$C:$C,$C165)*SUMIFS(Velocity!$I:$I,Velocity!$A:$A,$A165,Velocity!$B:$B,$C165)/Assumptions!$B$4*Assumptions!$B$6</f>
        <v>2.43333333333333</v>
      </c>
      <c r="AQ165" s="7" t="n">
        <f aca="false">SUMIFS(Doors!BC:BC,Doors!$A:$A,$D165,Doors!$B:$B,$B165,Doors!$C:$C,$C165)*SUMIFS(Velocity!$I:$I,Velocity!$A:$A,$A165,Velocity!$B:$B,$C165)/Assumptions!$B$4*Assumptions!$B$6</f>
        <v>2.43333333333333</v>
      </c>
      <c r="AR165" s="7" t="n">
        <f aca="false">SUMIFS(Doors!BD:BD,Doors!$A:$A,$D165,Doors!$B:$B,$B165,Doors!$C:$C,$C165)*SUMIFS(Velocity!$I:$I,Velocity!$A:$A,$A165,Velocity!$B:$B,$C165)/Assumptions!$B$4*Assumptions!$B$6</f>
        <v>2.43333333333333</v>
      </c>
      <c r="AS165" s="7" t="n">
        <f aca="false">SUMIFS(Doors!BE:BE,Doors!$A:$A,$D165,Doors!$B:$B,$B165,Doors!$C:$C,$C165)*SUMIFS(Velocity!$I:$I,Velocity!$A:$A,$A165,Velocity!$B:$B,$C165)/Assumptions!$B$4*Assumptions!$B$6</f>
        <v>2.43333333333333</v>
      </c>
      <c r="AT165" s="7" t="n">
        <f aca="false">SUMIFS(Doors!BF:BF,Doors!$A:$A,$D165,Doors!$B:$B,$B165,Doors!$C:$C,$C165)*SUMIFS(Velocity!$I:$I,Velocity!$A:$A,$A165,Velocity!$B:$B,$C165)/Assumptions!$B$4*Assumptions!$B$6</f>
        <v>2.43333333333333</v>
      </c>
      <c r="AU165" s="7" t="n">
        <f aca="false">SUMIFS(Doors!BG:BG,Doors!$A:$A,$D165,Doors!$B:$B,$B165,Doors!$C:$C,$C165)*SUMIFS(Velocity!$I:$I,Velocity!$A:$A,$A165,Velocity!$B:$B,$C165)/Assumptions!$B$4*Assumptions!$B$6</f>
        <v>2.43333333333333</v>
      </c>
      <c r="AV165" s="7" t="n">
        <f aca="false">SUMIFS(Doors!BH:BH,Doors!$A:$A,$D165,Doors!$B:$B,$B165,Doors!$C:$C,$C165)*SUMIFS(Velocity!$I:$I,Velocity!$A:$A,$A165,Velocity!$B:$B,$C165)/Assumptions!$B$4*Assumptions!$B$6</f>
        <v>2.43333333333333</v>
      </c>
      <c r="AW165" s="7" t="n">
        <f aca="false">SUMIFS(Doors!BI:BI,Doors!$A:$A,$D165,Doors!$B:$B,$B165,Doors!$C:$C,$C165)*SUMIFS(Velocity!$I:$I,Velocity!$A:$A,$A165,Velocity!$B:$B,$C165)/Assumptions!$B$4*Assumptions!$B$6</f>
        <v>2.43333333333333</v>
      </c>
      <c r="AX165" s="7" t="n">
        <f aca="false">SUMIFS(Doors!BJ:BJ,Doors!$A:$A,$D165,Doors!$B:$B,$B165,Doors!$C:$C,$C165)*SUMIFS(Velocity!$I:$I,Velocity!$A:$A,$A165,Velocity!$B:$B,$C165)/Assumptions!$B$4*Assumptions!$B$6</f>
        <v>2.43333333333333</v>
      </c>
      <c r="AY165" s="7" t="n">
        <f aca="false">SUMIFS(Doors!BK:BK,Doors!$A:$A,$D165,Doors!$B:$B,$B165,Doors!$C:$C,$C165)*SUMIFS(Velocity!$I:$I,Velocity!$A:$A,$A165,Velocity!$B:$B,$C165)/Assumptions!$B$4*Assumptions!$B$6</f>
        <v>2.43333333333333</v>
      </c>
      <c r="AZ165" s="7" t="n">
        <f aca="false">SUMIFS(Doors!BL:BL,Doors!$A:$A,$D165,Doors!$B:$B,$B165,Doors!$C:$C,$C165)*SUMIFS(Velocity!$I:$I,Velocity!$A:$A,$A165,Velocity!$B:$B,$C165)/Assumptions!$B$4*Assumptions!$B$6</f>
        <v>2.43333333333333</v>
      </c>
      <c r="BA165" s="7" t="n">
        <f aca="false">SUMIFS(Doors!BM:BM,Doors!$A:$A,$D165,Doors!$B:$B,$B165,Doors!$C:$C,$C165)*SUMIFS(Velocity!$I:$I,Velocity!$A:$A,$A165,Velocity!$B:$B,$C165)/Assumptions!$B$4*Assumptions!$B$6</f>
        <v>2.43333333333333</v>
      </c>
      <c r="BB165" s="7" t="n">
        <f aca="false">SUMIFS(Doors!BN:BN,Doors!$A:$A,$D165,Doors!$B:$B,$B165,Doors!$C:$C,$C165)*SUMIFS(Velocity!$I:$I,Velocity!$A:$A,$A165,Velocity!$B:$B,$C165)/Assumptions!$B$4*Assumptions!$B$6</f>
        <v>2.43333333333333</v>
      </c>
      <c r="BC165" s="7" t="n">
        <f aca="false">SUMIFS(Doors!BO:BO,Doors!$A:$A,$D165,Doors!$B:$B,$B165,Doors!$C:$C,$C165)*SUMIFS(Velocity!$I:$I,Velocity!$A:$A,$A165,Velocity!$B:$B,$C165)/Assumptions!$B$4*Assumptions!$B$6</f>
        <v>2.43333333333333</v>
      </c>
      <c r="BD165" s="7" t="n">
        <f aca="false">SUMIFS(Doors!BP:BP,Doors!$A:$A,$D165,Doors!$B:$B,$B165,Doors!$C:$C,$C165)*SUMIFS(Velocity!$I:$I,Velocity!$A:$A,$A165,Velocity!$B:$B,$C165)/Assumptions!$B$4*Assumptions!$B$6</f>
        <v>2.43333333333333</v>
      </c>
    </row>
    <row r="166" customFormat="false" ht="15" hidden="false" customHeight="false" outlineLevel="0" collapsed="false">
      <c r="A166" s="0" t="s">
        <v>109</v>
      </c>
      <c r="B166" s="0" t="s">
        <v>133</v>
      </c>
      <c r="C166" s="0" t="s">
        <v>122</v>
      </c>
      <c r="D166" s="0" t="s">
        <v>235</v>
      </c>
      <c r="E166" s="7" t="n">
        <f aca="false">SUMIFS(Doors!Q:Q,Doors!$A:$A,$D166,Doors!$B:$B,$B166,Doors!$C:$C,$C166)*SUMIFS(Velocity!$I:$I,Velocity!$A:$A,$A166,Velocity!$B:$B,$C166)/Assumptions!$B$4*Assumptions!$B$6</f>
        <v>0</v>
      </c>
      <c r="F166" s="7" t="n">
        <f aca="false">SUMIFS(Doors!R:R,Doors!$A:$A,$D166,Doors!$B:$B,$B166,Doors!$C:$C,$C166)*SUMIFS(Velocity!$I:$I,Velocity!$A:$A,$A166,Velocity!$B:$B,$C166)/Assumptions!$B$4*Assumptions!$B$6</f>
        <v>0</v>
      </c>
      <c r="G166" s="7" t="n">
        <f aca="false">SUMIFS(Doors!S:S,Doors!$A:$A,$D166,Doors!$B:$B,$B166,Doors!$C:$C,$C166)*SUMIFS(Velocity!$I:$I,Velocity!$A:$A,$A166,Velocity!$B:$B,$C166)/Assumptions!$B$4*Assumptions!$B$6</f>
        <v>0</v>
      </c>
      <c r="H166" s="7" t="n">
        <f aca="false">SUMIFS(Doors!T:T,Doors!$A:$A,$D166,Doors!$B:$B,$B166,Doors!$C:$C,$C166)*SUMIFS(Velocity!$I:$I,Velocity!$A:$A,$A166,Velocity!$B:$B,$C166)/Assumptions!$B$4*Assumptions!$B$6</f>
        <v>0</v>
      </c>
      <c r="I166" s="7" t="n">
        <f aca="false">SUMIFS(Doors!U:U,Doors!$A:$A,$D166,Doors!$B:$B,$B166,Doors!$C:$C,$C166)*SUMIFS(Velocity!$I:$I,Velocity!$A:$A,$A166,Velocity!$B:$B,$C166)/Assumptions!$B$4*Assumptions!$B$6</f>
        <v>0</v>
      </c>
      <c r="J166" s="7" t="n">
        <f aca="false">SUMIFS(Doors!V:V,Doors!$A:$A,$D166,Doors!$B:$B,$B166,Doors!$C:$C,$C166)*SUMIFS(Velocity!$I:$I,Velocity!$A:$A,$A166,Velocity!$B:$B,$C166)/Assumptions!$B$4*Assumptions!$B$6</f>
        <v>0</v>
      </c>
      <c r="K166" s="7" t="n">
        <f aca="false">SUMIFS(Doors!W:W,Doors!$A:$A,$D166,Doors!$B:$B,$B166,Doors!$C:$C,$C166)*SUMIFS(Velocity!$I:$I,Velocity!$A:$A,$A166,Velocity!$B:$B,$C166)/Assumptions!$B$4*Assumptions!$B$6</f>
        <v>0</v>
      </c>
      <c r="L166" s="7" t="n">
        <f aca="false">SUMIFS(Doors!X:X,Doors!$A:$A,$D166,Doors!$B:$B,$B166,Doors!$C:$C,$C166)*SUMIFS(Velocity!$I:$I,Velocity!$A:$A,$A166,Velocity!$B:$B,$C166)/Assumptions!$B$4*Assumptions!$B$6</f>
        <v>0</v>
      </c>
      <c r="M166" s="7" t="n">
        <f aca="false">SUMIFS(Doors!Y:Y,Doors!$A:$A,$D166,Doors!$B:$B,$B166,Doors!$C:$C,$C166)*SUMIFS(Velocity!$I:$I,Velocity!$A:$A,$A166,Velocity!$B:$B,$C166)/Assumptions!$B$4*Assumptions!$B$6</f>
        <v>0</v>
      </c>
      <c r="N166" s="7" t="n">
        <f aca="false">SUMIFS(Doors!Z:Z,Doors!$A:$A,$D166,Doors!$B:$B,$B166,Doors!$C:$C,$C166)*SUMIFS(Velocity!$I:$I,Velocity!$A:$A,$A166,Velocity!$B:$B,$C166)/Assumptions!$B$4*Assumptions!$B$6</f>
        <v>0</v>
      </c>
      <c r="O166" s="7" t="n">
        <f aca="false">SUMIFS(Doors!AA:AA,Doors!$A:$A,$D166,Doors!$B:$B,$B166,Doors!$C:$C,$C166)*SUMIFS(Velocity!$I:$I,Velocity!$A:$A,$A166,Velocity!$B:$B,$C166)/Assumptions!$B$4*Assumptions!$B$6</f>
        <v>0</v>
      </c>
      <c r="P166" s="7" t="n">
        <f aca="false">SUMIFS(Doors!AB:AB,Doors!$A:$A,$D166,Doors!$B:$B,$B166,Doors!$C:$C,$C166)*SUMIFS(Velocity!$I:$I,Velocity!$A:$A,$A166,Velocity!$B:$B,$C166)/Assumptions!$B$4*Assumptions!$B$6</f>
        <v>0</v>
      </c>
      <c r="Q166" s="7" t="n">
        <f aca="false">SUMIFS(Doors!AC:AC,Doors!$A:$A,$D166,Doors!$B:$B,$B166,Doors!$C:$C,$C166)*SUMIFS(Velocity!$I:$I,Velocity!$A:$A,$A166,Velocity!$B:$B,$C166)/Assumptions!$B$4*Assumptions!$B$6</f>
        <v>0</v>
      </c>
      <c r="R166" s="7" t="n">
        <f aca="false">SUMIFS(Doors!AD:AD,Doors!$A:$A,$D166,Doors!$B:$B,$B166,Doors!$C:$C,$C166)*SUMIFS(Velocity!$I:$I,Velocity!$A:$A,$A166,Velocity!$B:$B,$C166)/Assumptions!$B$4*Assumptions!$B$6</f>
        <v>0</v>
      </c>
      <c r="S166" s="7" t="n">
        <f aca="false">SUMIFS(Doors!AE:AE,Doors!$A:$A,$D166,Doors!$B:$B,$B166,Doors!$C:$C,$C166)*SUMIFS(Velocity!$I:$I,Velocity!$A:$A,$A166,Velocity!$B:$B,$C166)/Assumptions!$B$4*Assumptions!$B$6</f>
        <v>0</v>
      </c>
      <c r="T166" s="7" t="n">
        <f aca="false">SUMIFS(Doors!AF:AF,Doors!$A:$A,$D166,Doors!$B:$B,$B166,Doors!$C:$C,$C166)*SUMIFS(Velocity!$I:$I,Velocity!$A:$A,$A166,Velocity!$B:$B,$C166)/Assumptions!$B$4*Assumptions!$B$6</f>
        <v>0</v>
      </c>
      <c r="U166" s="7" t="n">
        <f aca="false">SUMIFS(Doors!AG:AG,Doors!$A:$A,$D166,Doors!$B:$B,$B166,Doors!$C:$C,$C166)*SUMIFS(Velocity!$I:$I,Velocity!$A:$A,$A166,Velocity!$B:$B,$C166)/Assumptions!$B$4*Assumptions!$B$6</f>
        <v>0</v>
      </c>
      <c r="V166" s="7" t="n">
        <f aca="false">SUMIFS(Doors!AH:AH,Doors!$A:$A,$D166,Doors!$B:$B,$B166,Doors!$C:$C,$C166)*SUMIFS(Velocity!$I:$I,Velocity!$A:$A,$A166,Velocity!$B:$B,$C166)/Assumptions!$B$4*Assumptions!$B$6</f>
        <v>0</v>
      </c>
      <c r="W166" s="7" t="n">
        <f aca="false">SUMIFS(Doors!AI:AI,Doors!$A:$A,$D166,Doors!$B:$B,$B166,Doors!$C:$C,$C166)*SUMIFS(Velocity!$I:$I,Velocity!$A:$A,$A166,Velocity!$B:$B,$C166)/Assumptions!$B$4*Assumptions!$B$6</f>
        <v>0</v>
      </c>
      <c r="X166" s="7" t="n">
        <f aca="false">SUMIFS(Doors!AJ:AJ,Doors!$A:$A,$D166,Doors!$B:$B,$B166,Doors!$C:$C,$C166)*SUMIFS(Velocity!$I:$I,Velocity!$A:$A,$A166,Velocity!$B:$B,$C166)/Assumptions!$B$4*Assumptions!$B$6</f>
        <v>0</v>
      </c>
      <c r="Y166" s="7" t="n">
        <f aca="false">SUMIFS(Doors!AK:AK,Doors!$A:$A,$D166,Doors!$B:$B,$B166,Doors!$C:$C,$C166)*SUMIFS(Velocity!$I:$I,Velocity!$A:$A,$A166,Velocity!$B:$B,$C166)/Assumptions!$B$4*Assumptions!$B$6</f>
        <v>0</v>
      </c>
      <c r="Z166" s="7" t="n">
        <f aca="false">SUMIFS(Doors!AL:AL,Doors!$A:$A,$D166,Doors!$B:$B,$B166,Doors!$C:$C,$C166)*SUMIFS(Velocity!$I:$I,Velocity!$A:$A,$A166,Velocity!$B:$B,$C166)/Assumptions!$B$4*Assumptions!$B$6</f>
        <v>0</v>
      </c>
      <c r="AA166" s="7" t="n">
        <f aca="false">SUMIFS(Doors!AM:AM,Doors!$A:$A,$D166,Doors!$B:$B,$B166,Doors!$C:$C,$C166)*SUMIFS(Velocity!$I:$I,Velocity!$A:$A,$A166,Velocity!$B:$B,$C166)/Assumptions!$B$4*Assumptions!$B$6</f>
        <v>0</v>
      </c>
      <c r="AB166" s="7" t="n">
        <f aca="false">SUMIFS(Doors!AN:AN,Doors!$A:$A,$D166,Doors!$B:$B,$B166,Doors!$C:$C,$C166)*SUMIFS(Velocity!$I:$I,Velocity!$A:$A,$A166,Velocity!$B:$B,$C166)/Assumptions!$B$4*Assumptions!$B$6</f>
        <v>0</v>
      </c>
      <c r="AC166" s="7" t="n">
        <f aca="false">SUMIFS(Doors!AO:AO,Doors!$A:$A,$D166,Doors!$B:$B,$B166,Doors!$C:$C,$C166)*SUMIFS(Velocity!$I:$I,Velocity!$A:$A,$A166,Velocity!$B:$B,$C166)/Assumptions!$B$4*Assumptions!$B$6</f>
        <v>0</v>
      </c>
      <c r="AD166" s="7" t="n">
        <f aca="false">SUMIFS(Doors!AP:AP,Doors!$A:$A,$D166,Doors!$B:$B,$B166,Doors!$C:$C,$C166)*SUMIFS(Velocity!$I:$I,Velocity!$A:$A,$A166,Velocity!$B:$B,$C166)/Assumptions!$B$4*Assumptions!$B$6</f>
        <v>0</v>
      </c>
      <c r="AE166" s="7" t="n">
        <f aca="false">SUMIFS(Doors!AQ:AQ,Doors!$A:$A,$D166,Doors!$B:$B,$B166,Doors!$C:$C,$C166)*SUMIFS(Velocity!$I:$I,Velocity!$A:$A,$A166,Velocity!$B:$B,$C166)/Assumptions!$B$4*Assumptions!$B$6</f>
        <v>0</v>
      </c>
      <c r="AF166" s="7" t="n">
        <f aca="false">SUMIFS(Doors!AR:AR,Doors!$A:$A,$D166,Doors!$B:$B,$B166,Doors!$C:$C,$C166)*SUMIFS(Velocity!$I:$I,Velocity!$A:$A,$A166,Velocity!$B:$B,$C166)/Assumptions!$B$4*Assumptions!$B$6</f>
        <v>0</v>
      </c>
      <c r="AG166" s="7" t="n">
        <f aca="false">SUMIFS(Doors!AS:AS,Doors!$A:$A,$D166,Doors!$B:$B,$B166,Doors!$C:$C,$C166)*SUMIFS(Velocity!$I:$I,Velocity!$A:$A,$A166,Velocity!$B:$B,$C166)/Assumptions!$B$4*Assumptions!$B$6</f>
        <v>0</v>
      </c>
      <c r="AH166" s="7" t="n">
        <f aca="false">SUMIFS(Doors!AT:AT,Doors!$A:$A,$D166,Doors!$B:$B,$B166,Doors!$C:$C,$C166)*SUMIFS(Velocity!$I:$I,Velocity!$A:$A,$A166,Velocity!$B:$B,$C166)/Assumptions!$B$4*Assumptions!$B$6</f>
        <v>0</v>
      </c>
      <c r="AI166" s="7" t="n">
        <f aca="false">SUMIFS(Doors!AU:AU,Doors!$A:$A,$D166,Doors!$B:$B,$B166,Doors!$C:$C,$C166)*SUMIFS(Velocity!$I:$I,Velocity!$A:$A,$A166,Velocity!$B:$B,$C166)/Assumptions!$B$4*Assumptions!$B$6</f>
        <v>0</v>
      </c>
      <c r="AJ166" s="7" t="n">
        <f aca="false">SUMIFS(Doors!AV:AV,Doors!$A:$A,$D166,Doors!$B:$B,$B166,Doors!$C:$C,$C166)*SUMIFS(Velocity!$I:$I,Velocity!$A:$A,$A166,Velocity!$B:$B,$C166)/Assumptions!$B$4*Assumptions!$B$6</f>
        <v>0</v>
      </c>
      <c r="AK166" s="7" t="n">
        <f aca="false">SUMIFS(Doors!AW:AW,Doors!$A:$A,$D166,Doors!$B:$B,$B166,Doors!$C:$C,$C166)*SUMIFS(Velocity!$I:$I,Velocity!$A:$A,$A166,Velocity!$B:$B,$C166)/Assumptions!$B$4*Assumptions!$B$6</f>
        <v>0</v>
      </c>
      <c r="AL166" s="7" t="n">
        <f aca="false">SUMIFS(Doors!AX:AX,Doors!$A:$A,$D166,Doors!$B:$B,$B166,Doors!$C:$C,$C166)*SUMIFS(Velocity!$I:$I,Velocity!$A:$A,$A166,Velocity!$B:$B,$C166)/Assumptions!$B$4*Assumptions!$B$6</f>
        <v>0</v>
      </c>
      <c r="AM166" s="7" t="n">
        <f aca="false">SUMIFS(Doors!AY:AY,Doors!$A:$A,$D166,Doors!$B:$B,$B166,Doors!$C:$C,$C166)*SUMIFS(Velocity!$I:$I,Velocity!$A:$A,$A166,Velocity!$B:$B,$C166)/Assumptions!$B$4*Assumptions!$B$6</f>
        <v>0</v>
      </c>
      <c r="AN166" s="7" t="n">
        <f aca="false">SUMIFS(Doors!AZ:AZ,Doors!$A:$A,$D166,Doors!$B:$B,$B166,Doors!$C:$C,$C166)*SUMIFS(Velocity!$I:$I,Velocity!$A:$A,$A166,Velocity!$B:$B,$C166)/Assumptions!$B$4*Assumptions!$B$6</f>
        <v>0</v>
      </c>
      <c r="AO166" s="7" t="n">
        <f aca="false">SUMIFS(Doors!BA:BA,Doors!$A:$A,$D166,Doors!$B:$B,$B166,Doors!$C:$C,$C166)*SUMIFS(Velocity!$I:$I,Velocity!$A:$A,$A166,Velocity!$B:$B,$C166)/Assumptions!$B$4*Assumptions!$B$6</f>
        <v>0</v>
      </c>
      <c r="AP166" s="7" t="n">
        <f aca="false">SUMIFS(Doors!BB:BB,Doors!$A:$A,$D166,Doors!$B:$B,$B166,Doors!$C:$C,$C166)*SUMIFS(Velocity!$I:$I,Velocity!$A:$A,$A166,Velocity!$B:$B,$C166)/Assumptions!$B$4*Assumptions!$B$6</f>
        <v>0</v>
      </c>
      <c r="AQ166" s="7" t="n">
        <f aca="false">SUMIFS(Doors!BC:BC,Doors!$A:$A,$D166,Doors!$B:$B,$B166,Doors!$C:$C,$C166)*SUMIFS(Velocity!$I:$I,Velocity!$A:$A,$A166,Velocity!$B:$B,$C166)/Assumptions!$B$4*Assumptions!$B$6</f>
        <v>0</v>
      </c>
      <c r="AR166" s="7" t="n">
        <f aca="false">SUMIFS(Doors!BD:BD,Doors!$A:$A,$D166,Doors!$B:$B,$B166,Doors!$C:$C,$C166)*SUMIFS(Velocity!$I:$I,Velocity!$A:$A,$A166,Velocity!$B:$B,$C166)/Assumptions!$B$4*Assumptions!$B$6</f>
        <v>0</v>
      </c>
      <c r="AS166" s="7" t="n">
        <f aca="false">SUMIFS(Doors!BE:BE,Doors!$A:$A,$D166,Doors!$B:$B,$B166,Doors!$C:$C,$C166)*SUMIFS(Velocity!$I:$I,Velocity!$A:$A,$A166,Velocity!$B:$B,$C166)/Assumptions!$B$4*Assumptions!$B$6</f>
        <v>0</v>
      </c>
      <c r="AT166" s="7" t="n">
        <f aca="false">SUMIFS(Doors!BF:BF,Doors!$A:$A,$D166,Doors!$B:$B,$B166,Doors!$C:$C,$C166)*SUMIFS(Velocity!$I:$I,Velocity!$A:$A,$A166,Velocity!$B:$B,$C166)/Assumptions!$B$4*Assumptions!$B$6</f>
        <v>0</v>
      </c>
      <c r="AU166" s="7" t="n">
        <f aca="false">SUMIFS(Doors!BG:BG,Doors!$A:$A,$D166,Doors!$B:$B,$B166,Doors!$C:$C,$C166)*SUMIFS(Velocity!$I:$I,Velocity!$A:$A,$A166,Velocity!$B:$B,$C166)/Assumptions!$B$4*Assumptions!$B$6</f>
        <v>0</v>
      </c>
      <c r="AV166" s="7" t="n">
        <f aca="false">SUMIFS(Doors!BH:BH,Doors!$A:$A,$D166,Doors!$B:$B,$B166,Doors!$C:$C,$C166)*SUMIFS(Velocity!$I:$I,Velocity!$A:$A,$A166,Velocity!$B:$B,$C166)/Assumptions!$B$4*Assumptions!$B$6</f>
        <v>0</v>
      </c>
      <c r="AW166" s="7" t="n">
        <f aca="false">SUMIFS(Doors!BI:BI,Doors!$A:$A,$D166,Doors!$B:$B,$B166,Doors!$C:$C,$C166)*SUMIFS(Velocity!$I:$I,Velocity!$A:$A,$A166,Velocity!$B:$B,$C166)/Assumptions!$B$4*Assumptions!$B$6</f>
        <v>0</v>
      </c>
      <c r="AX166" s="7" t="n">
        <f aca="false">SUMIFS(Doors!BJ:BJ,Doors!$A:$A,$D166,Doors!$B:$B,$B166,Doors!$C:$C,$C166)*SUMIFS(Velocity!$I:$I,Velocity!$A:$A,$A166,Velocity!$B:$B,$C166)/Assumptions!$B$4*Assumptions!$B$6</f>
        <v>0</v>
      </c>
      <c r="AY166" s="7" t="n">
        <f aca="false">SUMIFS(Doors!BK:BK,Doors!$A:$A,$D166,Doors!$B:$B,$B166,Doors!$C:$C,$C166)*SUMIFS(Velocity!$I:$I,Velocity!$A:$A,$A166,Velocity!$B:$B,$C166)/Assumptions!$B$4*Assumptions!$B$6</f>
        <v>0</v>
      </c>
      <c r="AZ166" s="7" t="n">
        <f aca="false">SUMIFS(Doors!BL:BL,Doors!$A:$A,$D166,Doors!$B:$B,$B166,Doors!$C:$C,$C166)*SUMIFS(Velocity!$I:$I,Velocity!$A:$A,$A166,Velocity!$B:$B,$C166)/Assumptions!$B$4*Assumptions!$B$6</f>
        <v>0</v>
      </c>
      <c r="BA166" s="7" t="n">
        <f aca="false">SUMIFS(Doors!BM:BM,Doors!$A:$A,$D166,Doors!$B:$B,$B166,Doors!$C:$C,$C166)*SUMIFS(Velocity!$I:$I,Velocity!$A:$A,$A166,Velocity!$B:$B,$C166)/Assumptions!$B$4*Assumptions!$B$6</f>
        <v>0</v>
      </c>
      <c r="BB166" s="7" t="n">
        <f aca="false">SUMIFS(Doors!BN:BN,Doors!$A:$A,$D166,Doors!$B:$B,$B166,Doors!$C:$C,$C166)*SUMIFS(Velocity!$I:$I,Velocity!$A:$A,$A166,Velocity!$B:$B,$C166)/Assumptions!$B$4*Assumptions!$B$6</f>
        <v>0</v>
      </c>
      <c r="BC166" s="7" t="n">
        <f aca="false">SUMIFS(Doors!BO:BO,Doors!$A:$A,$D166,Doors!$B:$B,$B166,Doors!$C:$C,$C166)*SUMIFS(Velocity!$I:$I,Velocity!$A:$A,$A166,Velocity!$B:$B,$C166)/Assumptions!$B$4*Assumptions!$B$6</f>
        <v>0</v>
      </c>
      <c r="BD166" s="7" t="n">
        <f aca="false">SUMIFS(Doors!BP:BP,Doors!$A:$A,$D166,Doors!$B:$B,$B166,Doors!$C:$C,$C166)*SUMIFS(Velocity!$I:$I,Velocity!$A:$A,$A166,Velocity!$B:$B,$C166)/Assumptions!$B$4*Assumptions!$B$6</f>
        <v>0</v>
      </c>
    </row>
    <row r="167" customFormat="false" ht="15" hidden="false" customHeight="false" outlineLevel="0" collapsed="false">
      <c r="A167" s="0" t="s">
        <v>109</v>
      </c>
      <c r="B167" s="0" t="s">
        <v>133</v>
      </c>
      <c r="C167" s="0" t="s">
        <v>123</v>
      </c>
      <c r="D167" s="0" t="s">
        <v>235</v>
      </c>
      <c r="E167" s="7" t="n">
        <f aca="false">SUMIFS(Doors!Q:Q,Doors!$A:$A,$D167,Doors!$B:$B,$B167,Doors!$C:$C,$C167)*SUMIFS(Velocity!$I:$I,Velocity!$A:$A,$A167,Velocity!$B:$B,$C167)/Assumptions!$B$4*Assumptions!$B$6</f>
        <v>0.216666666666667</v>
      </c>
      <c r="F167" s="7" t="n">
        <f aca="false">SUMIFS(Doors!R:R,Doors!$A:$A,$D167,Doors!$B:$B,$B167,Doors!$C:$C,$C167)*SUMIFS(Velocity!$I:$I,Velocity!$A:$A,$A167,Velocity!$B:$B,$C167)/Assumptions!$B$4*Assumptions!$B$6</f>
        <v>0.216666666666667</v>
      </c>
      <c r="G167" s="7" t="n">
        <f aca="false">SUMIFS(Doors!S:S,Doors!$A:$A,$D167,Doors!$B:$B,$B167,Doors!$C:$C,$C167)*SUMIFS(Velocity!$I:$I,Velocity!$A:$A,$A167,Velocity!$B:$B,$C167)/Assumptions!$B$4*Assumptions!$B$6</f>
        <v>0.216666666666667</v>
      </c>
      <c r="H167" s="7" t="n">
        <f aca="false">SUMIFS(Doors!T:T,Doors!$A:$A,$D167,Doors!$B:$B,$B167,Doors!$C:$C,$C167)*SUMIFS(Velocity!$I:$I,Velocity!$A:$A,$A167,Velocity!$B:$B,$C167)/Assumptions!$B$4*Assumptions!$B$6</f>
        <v>0.216666666666667</v>
      </c>
      <c r="I167" s="7" t="n">
        <f aca="false">SUMIFS(Doors!U:U,Doors!$A:$A,$D167,Doors!$B:$B,$B167,Doors!$C:$C,$C167)*SUMIFS(Velocity!$I:$I,Velocity!$A:$A,$A167,Velocity!$B:$B,$C167)/Assumptions!$B$4*Assumptions!$B$6</f>
        <v>0.216666666666667</v>
      </c>
      <c r="J167" s="7" t="n">
        <f aca="false">SUMIFS(Doors!V:V,Doors!$A:$A,$D167,Doors!$B:$B,$B167,Doors!$C:$C,$C167)*SUMIFS(Velocity!$I:$I,Velocity!$A:$A,$A167,Velocity!$B:$B,$C167)/Assumptions!$B$4*Assumptions!$B$6</f>
        <v>0.325</v>
      </c>
      <c r="K167" s="7" t="n">
        <f aca="false">SUMIFS(Doors!W:W,Doors!$A:$A,$D167,Doors!$B:$B,$B167,Doors!$C:$C,$C167)*SUMIFS(Velocity!$I:$I,Velocity!$A:$A,$A167,Velocity!$B:$B,$C167)/Assumptions!$B$4*Assumptions!$B$6</f>
        <v>0.325</v>
      </c>
      <c r="L167" s="7" t="n">
        <f aca="false">SUMIFS(Doors!X:X,Doors!$A:$A,$D167,Doors!$B:$B,$B167,Doors!$C:$C,$C167)*SUMIFS(Velocity!$I:$I,Velocity!$A:$A,$A167,Velocity!$B:$B,$C167)/Assumptions!$B$4*Assumptions!$B$6</f>
        <v>0.325</v>
      </c>
      <c r="M167" s="7" t="n">
        <f aca="false">SUMIFS(Doors!Y:Y,Doors!$A:$A,$D167,Doors!$B:$B,$B167,Doors!$C:$C,$C167)*SUMIFS(Velocity!$I:$I,Velocity!$A:$A,$A167,Velocity!$B:$B,$C167)/Assumptions!$B$4*Assumptions!$B$6</f>
        <v>0.325</v>
      </c>
      <c r="N167" s="7" t="n">
        <f aca="false">SUMIFS(Doors!Z:Z,Doors!$A:$A,$D167,Doors!$B:$B,$B167,Doors!$C:$C,$C167)*SUMIFS(Velocity!$I:$I,Velocity!$A:$A,$A167,Velocity!$B:$B,$C167)/Assumptions!$B$4*Assumptions!$B$6</f>
        <v>0.541666666666667</v>
      </c>
      <c r="O167" s="7" t="n">
        <f aca="false">SUMIFS(Doors!AA:AA,Doors!$A:$A,$D167,Doors!$B:$B,$B167,Doors!$C:$C,$C167)*SUMIFS(Velocity!$I:$I,Velocity!$A:$A,$A167,Velocity!$B:$B,$C167)/Assumptions!$B$4*Assumptions!$B$6</f>
        <v>0.541666666666667</v>
      </c>
      <c r="P167" s="7" t="n">
        <f aca="false">SUMIFS(Doors!AB:AB,Doors!$A:$A,$D167,Doors!$B:$B,$B167,Doors!$C:$C,$C167)*SUMIFS(Velocity!$I:$I,Velocity!$A:$A,$A167,Velocity!$B:$B,$C167)/Assumptions!$B$4*Assumptions!$B$6</f>
        <v>0.541666666666667</v>
      </c>
      <c r="Q167" s="7" t="n">
        <f aca="false">SUMIFS(Doors!AC:AC,Doors!$A:$A,$D167,Doors!$B:$B,$B167,Doors!$C:$C,$C167)*SUMIFS(Velocity!$I:$I,Velocity!$A:$A,$A167,Velocity!$B:$B,$C167)/Assumptions!$B$4*Assumptions!$B$6</f>
        <v>0.541666666666667</v>
      </c>
      <c r="R167" s="7" t="n">
        <f aca="false">SUMIFS(Doors!AD:AD,Doors!$A:$A,$D167,Doors!$B:$B,$B167,Doors!$C:$C,$C167)*SUMIFS(Velocity!$I:$I,Velocity!$A:$A,$A167,Velocity!$B:$B,$C167)/Assumptions!$B$4*Assumptions!$B$6</f>
        <v>0.65</v>
      </c>
      <c r="S167" s="7" t="n">
        <f aca="false">SUMIFS(Doors!AE:AE,Doors!$A:$A,$D167,Doors!$B:$B,$B167,Doors!$C:$C,$C167)*SUMIFS(Velocity!$I:$I,Velocity!$A:$A,$A167,Velocity!$B:$B,$C167)/Assumptions!$B$4*Assumptions!$B$6</f>
        <v>0.65</v>
      </c>
      <c r="T167" s="7" t="n">
        <f aca="false">SUMIFS(Doors!AF:AF,Doors!$A:$A,$D167,Doors!$B:$B,$B167,Doors!$C:$C,$C167)*SUMIFS(Velocity!$I:$I,Velocity!$A:$A,$A167,Velocity!$B:$B,$C167)/Assumptions!$B$4*Assumptions!$B$6</f>
        <v>0.65</v>
      </c>
      <c r="U167" s="7" t="n">
        <f aca="false">SUMIFS(Doors!AG:AG,Doors!$A:$A,$D167,Doors!$B:$B,$B167,Doors!$C:$C,$C167)*SUMIFS(Velocity!$I:$I,Velocity!$A:$A,$A167,Velocity!$B:$B,$C167)/Assumptions!$B$4*Assumptions!$B$6</f>
        <v>0.65</v>
      </c>
      <c r="V167" s="7" t="n">
        <f aca="false">SUMIFS(Doors!AH:AH,Doors!$A:$A,$D167,Doors!$B:$B,$B167,Doors!$C:$C,$C167)*SUMIFS(Velocity!$I:$I,Velocity!$A:$A,$A167,Velocity!$B:$B,$C167)/Assumptions!$B$4*Assumptions!$B$6</f>
        <v>0.65</v>
      </c>
      <c r="W167" s="7" t="n">
        <f aca="false">SUMIFS(Doors!AI:AI,Doors!$A:$A,$D167,Doors!$B:$B,$B167,Doors!$C:$C,$C167)*SUMIFS(Velocity!$I:$I,Velocity!$A:$A,$A167,Velocity!$B:$B,$C167)/Assumptions!$B$4*Assumptions!$B$6</f>
        <v>0.758333333333333</v>
      </c>
      <c r="X167" s="7" t="n">
        <f aca="false">SUMIFS(Doors!AJ:AJ,Doors!$A:$A,$D167,Doors!$B:$B,$B167,Doors!$C:$C,$C167)*SUMIFS(Velocity!$I:$I,Velocity!$A:$A,$A167,Velocity!$B:$B,$C167)/Assumptions!$B$4*Assumptions!$B$6</f>
        <v>0.758333333333333</v>
      </c>
      <c r="Y167" s="7" t="n">
        <f aca="false">SUMIFS(Doors!AK:AK,Doors!$A:$A,$D167,Doors!$B:$B,$B167,Doors!$C:$C,$C167)*SUMIFS(Velocity!$I:$I,Velocity!$A:$A,$A167,Velocity!$B:$B,$C167)/Assumptions!$B$4*Assumptions!$B$6</f>
        <v>0.758333333333333</v>
      </c>
      <c r="Z167" s="7" t="n">
        <f aca="false">SUMIFS(Doors!AL:AL,Doors!$A:$A,$D167,Doors!$B:$B,$B167,Doors!$C:$C,$C167)*SUMIFS(Velocity!$I:$I,Velocity!$A:$A,$A167,Velocity!$B:$B,$C167)/Assumptions!$B$4*Assumptions!$B$6</f>
        <v>0.758333333333333</v>
      </c>
      <c r="AA167" s="7" t="n">
        <f aca="false">SUMIFS(Doors!AM:AM,Doors!$A:$A,$D167,Doors!$B:$B,$B167,Doors!$C:$C,$C167)*SUMIFS(Velocity!$I:$I,Velocity!$A:$A,$A167,Velocity!$B:$B,$C167)/Assumptions!$B$4*Assumptions!$B$6</f>
        <v>0.866666666666667</v>
      </c>
      <c r="AB167" s="7" t="n">
        <f aca="false">SUMIFS(Doors!AN:AN,Doors!$A:$A,$D167,Doors!$B:$B,$B167,Doors!$C:$C,$C167)*SUMIFS(Velocity!$I:$I,Velocity!$A:$A,$A167,Velocity!$B:$B,$C167)/Assumptions!$B$4*Assumptions!$B$6</f>
        <v>0.866666666666667</v>
      </c>
      <c r="AC167" s="7" t="n">
        <f aca="false">SUMIFS(Doors!AO:AO,Doors!$A:$A,$D167,Doors!$B:$B,$B167,Doors!$C:$C,$C167)*SUMIFS(Velocity!$I:$I,Velocity!$A:$A,$A167,Velocity!$B:$B,$C167)/Assumptions!$B$4*Assumptions!$B$6</f>
        <v>0.866666666666667</v>
      </c>
      <c r="AD167" s="7" t="n">
        <f aca="false">SUMIFS(Doors!AP:AP,Doors!$A:$A,$D167,Doors!$B:$B,$B167,Doors!$C:$C,$C167)*SUMIFS(Velocity!$I:$I,Velocity!$A:$A,$A167,Velocity!$B:$B,$C167)/Assumptions!$B$4*Assumptions!$B$6</f>
        <v>0.866666666666667</v>
      </c>
      <c r="AE167" s="7" t="n">
        <f aca="false">SUMIFS(Doors!AQ:AQ,Doors!$A:$A,$D167,Doors!$B:$B,$B167,Doors!$C:$C,$C167)*SUMIFS(Velocity!$I:$I,Velocity!$A:$A,$A167,Velocity!$B:$B,$C167)/Assumptions!$B$4*Assumptions!$B$6</f>
        <v>0.975</v>
      </c>
      <c r="AF167" s="7" t="n">
        <f aca="false">SUMIFS(Doors!AR:AR,Doors!$A:$A,$D167,Doors!$B:$B,$B167,Doors!$C:$C,$C167)*SUMIFS(Velocity!$I:$I,Velocity!$A:$A,$A167,Velocity!$B:$B,$C167)/Assumptions!$B$4*Assumptions!$B$6</f>
        <v>0.975</v>
      </c>
      <c r="AG167" s="7" t="n">
        <f aca="false">SUMIFS(Doors!AS:AS,Doors!$A:$A,$D167,Doors!$B:$B,$B167,Doors!$C:$C,$C167)*SUMIFS(Velocity!$I:$I,Velocity!$A:$A,$A167,Velocity!$B:$B,$C167)/Assumptions!$B$4*Assumptions!$B$6</f>
        <v>0.975</v>
      </c>
      <c r="AH167" s="7" t="n">
        <f aca="false">SUMIFS(Doors!AT:AT,Doors!$A:$A,$D167,Doors!$B:$B,$B167,Doors!$C:$C,$C167)*SUMIFS(Velocity!$I:$I,Velocity!$A:$A,$A167,Velocity!$B:$B,$C167)/Assumptions!$B$4*Assumptions!$B$6</f>
        <v>0.975</v>
      </c>
      <c r="AI167" s="7" t="n">
        <f aca="false">SUMIFS(Doors!AU:AU,Doors!$A:$A,$D167,Doors!$B:$B,$B167,Doors!$C:$C,$C167)*SUMIFS(Velocity!$I:$I,Velocity!$A:$A,$A167,Velocity!$B:$B,$C167)/Assumptions!$B$4*Assumptions!$B$6</f>
        <v>0.975</v>
      </c>
      <c r="AJ167" s="7" t="n">
        <f aca="false">SUMIFS(Doors!AV:AV,Doors!$A:$A,$D167,Doors!$B:$B,$B167,Doors!$C:$C,$C167)*SUMIFS(Velocity!$I:$I,Velocity!$A:$A,$A167,Velocity!$B:$B,$C167)/Assumptions!$B$4*Assumptions!$B$6</f>
        <v>1.08333333333333</v>
      </c>
      <c r="AK167" s="7" t="n">
        <f aca="false">SUMIFS(Doors!AW:AW,Doors!$A:$A,$D167,Doors!$B:$B,$B167,Doors!$C:$C,$C167)*SUMIFS(Velocity!$I:$I,Velocity!$A:$A,$A167,Velocity!$B:$B,$C167)/Assumptions!$B$4*Assumptions!$B$6</f>
        <v>1.08333333333333</v>
      </c>
      <c r="AL167" s="7" t="n">
        <f aca="false">SUMIFS(Doors!AX:AX,Doors!$A:$A,$D167,Doors!$B:$B,$B167,Doors!$C:$C,$C167)*SUMIFS(Velocity!$I:$I,Velocity!$A:$A,$A167,Velocity!$B:$B,$C167)/Assumptions!$B$4*Assumptions!$B$6</f>
        <v>1.08333333333333</v>
      </c>
      <c r="AM167" s="7" t="n">
        <f aca="false">SUMIFS(Doors!AY:AY,Doors!$A:$A,$D167,Doors!$B:$B,$B167,Doors!$C:$C,$C167)*SUMIFS(Velocity!$I:$I,Velocity!$A:$A,$A167,Velocity!$B:$B,$C167)/Assumptions!$B$4*Assumptions!$B$6</f>
        <v>1.08333333333333</v>
      </c>
      <c r="AN167" s="7" t="n">
        <f aca="false">SUMIFS(Doors!AZ:AZ,Doors!$A:$A,$D167,Doors!$B:$B,$B167,Doors!$C:$C,$C167)*SUMIFS(Velocity!$I:$I,Velocity!$A:$A,$A167,Velocity!$B:$B,$C167)/Assumptions!$B$4*Assumptions!$B$6</f>
        <v>1.08333333333333</v>
      </c>
      <c r="AO167" s="7" t="n">
        <f aca="false">SUMIFS(Doors!BA:BA,Doors!$A:$A,$D167,Doors!$B:$B,$B167,Doors!$C:$C,$C167)*SUMIFS(Velocity!$I:$I,Velocity!$A:$A,$A167,Velocity!$B:$B,$C167)/Assumptions!$B$4*Assumptions!$B$6</f>
        <v>1.08333333333333</v>
      </c>
      <c r="AP167" s="7" t="n">
        <f aca="false">SUMIFS(Doors!BB:BB,Doors!$A:$A,$D167,Doors!$B:$B,$B167,Doors!$C:$C,$C167)*SUMIFS(Velocity!$I:$I,Velocity!$A:$A,$A167,Velocity!$B:$B,$C167)/Assumptions!$B$4*Assumptions!$B$6</f>
        <v>1.08333333333333</v>
      </c>
      <c r="AQ167" s="7" t="n">
        <f aca="false">SUMIFS(Doors!BC:BC,Doors!$A:$A,$D167,Doors!$B:$B,$B167,Doors!$C:$C,$C167)*SUMIFS(Velocity!$I:$I,Velocity!$A:$A,$A167,Velocity!$B:$B,$C167)/Assumptions!$B$4*Assumptions!$B$6</f>
        <v>1.08333333333333</v>
      </c>
      <c r="AR167" s="7" t="n">
        <f aca="false">SUMIFS(Doors!BD:BD,Doors!$A:$A,$D167,Doors!$B:$B,$B167,Doors!$C:$C,$C167)*SUMIFS(Velocity!$I:$I,Velocity!$A:$A,$A167,Velocity!$B:$B,$C167)/Assumptions!$B$4*Assumptions!$B$6</f>
        <v>1.08333333333333</v>
      </c>
      <c r="AS167" s="7" t="n">
        <f aca="false">SUMIFS(Doors!BE:BE,Doors!$A:$A,$D167,Doors!$B:$B,$B167,Doors!$C:$C,$C167)*SUMIFS(Velocity!$I:$I,Velocity!$A:$A,$A167,Velocity!$B:$B,$C167)/Assumptions!$B$4*Assumptions!$B$6</f>
        <v>1.08333333333333</v>
      </c>
      <c r="AT167" s="7" t="n">
        <f aca="false">SUMIFS(Doors!BF:BF,Doors!$A:$A,$D167,Doors!$B:$B,$B167,Doors!$C:$C,$C167)*SUMIFS(Velocity!$I:$I,Velocity!$A:$A,$A167,Velocity!$B:$B,$C167)/Assumptions!$B$4*Assumptions!$B$6</f>
        <v>1.08333333333333</v>
      </c>
      <c r="AU167" s="7" t="n">
        <f aca="false">SUMIFS(Doors!BG:BG,Doors!$A:$A,$D167,Doors!$B:$B,$B167,Doors!$C:$C,$C167)*SUMIFS(Velocity!$I:$I,Velocity!$A:$A,$A167,Velocity!$B:$B,$C167)/Assumptions!$B$4*Assumptions!$B$6</f>
        <v>1.08333333333333</v>
      </c>
      <c r="AV167" s="7" t="n">
        <f aca="false">SUMIFS(Doors!BH:BH,Doors!$A:$A,$D167,Doors!$B:$B,$B167,Doors!$C:$C,$C167)*SUMIFS(Velocity!$I:$I,Velocity!$A:$A,$A167,Velocity!$B:$B,$C167)/Assumptions!$B$4*Assumptions!$B$6</f>
        <v>1.08333333333333</v>
      </c>
      <c r="AW167" s="7" t="n">
        <f aca="false">SUMIFS(Doors!BI:BI,Doors!$A:$A,$D167,Doors!$B:$B,$B167,Doors!$C:$C,$C167)*SUMIFS(Velocity!$I:$I,Velocity!$A:$A,$A167,Velocity!$B:$B,$C167)/Assumptions!$B$4*Assumptions!$B$6</f>
        <v>1.08333333333333</v>
      </c>
      <c r="AX167" s="7" t="n">
        <f aca="false">SUMIFS(Doors!BJ:BJ,Doors!$A:$A,$D167,Doors!$B:$B,$B167,Doors!$C:$C,$C167)*SUMIFS(Velocity!$I:$I,Velocity!$A:$A,$A167,Velocity!$B:$B,$C167)/Assumptions!$B$4*Assumptions!$B$6</f>
        <v>1.08333333333333</v>
      </c>
      <c r="AY167" s="7" t="n">
        <f aca="false">SUMIFS(Doors!BK:BK,Doors!$A:$A,$D167,Doors!$B:$B,$B167,Doors!$C:$C,$C167)*SUMIFS(Velocity!$I:$I,Velocity!$A:$A,$A167,Velocity!$B:$B,$C167)/Assumptions!$B$4*Assumptions!$B$6</f>
        <v>1.08333333333333</v>
      </c>
      <c r="AZ167" s="7" t="n">
        <f aca="false">SUMIFS(Doors!BL:BL,Doors!$A:$A,$D167,Doors!$B:$B,$B167,Doors!$C:$C,$C167)*SUMIFS(Velocity!$I:$I,Velocity!$A:$A,$A167,Velocity!$B:$B,$C167)/Assumptions!$B$4*Assumptions!$B$6</f>
        <v>1.08333333333333</v>
      </c>
      <c r="BA167" s="7" t="n">
        <f aca="false">SUMIFS(Doors!BM:BM,Doors!$A:$A,$D167,Doors!$B:$B,$B167,Doors!$C:$C,$C167)*SUMIFS(Velocity!$I:$I,Velocity!$A:$A,$A167,Velocity!$B:$B,$C167)/Assumptions!$B$4*Assumptions!$B$6</f>
        <v>1.08333333333333</v>
      </c>
      <c r="BB167" s="7" t="n">
        <f aca="false">SUMIFS(Doors!BN:BN,Doors!$A:$A,$D167,Doors!$B:$B,$B167,Doors!$C:$C,$C167)*SUMIFS(Velocity!$I:$I,Velocity!$A:$A,$A167,Velocity!$B:$B,$C167)/Assumptions!$B$4*Assumptions!$B$6</f>
        <v>1.08333333333333</v>
      </c>
      <c r="BC167" s="7" t="n">
        <f aca="false">SUMIFS(Doors!BO:BO,Doors!$A:$A,$D167,Doors!$B:$B,$B167,Doors!$C:$C,$C167)*SUMIFS(Velocity!$I:$I,Velocity!$A:$A,$A167,Velocity!$B:$B,$C167)/Assumptions!$B$4*Assumptions!$B$6</f>
        <v>1.08333333333333</v>
      </c>
      <c r="BD167" s="7" t="n">
        <f aca="false">SUMIFS(Doors!BP:BP,Doors!$A:$A,$D167,Doors!$B:$B,$B167,Doors!$C:$C,$C167)*SUMIFS(Velocity!$I:$I,Velocity!$A:$A,$A167,Velocity!$B:$B,$C167)/Assumptions!$B$4*Assumptions!$B$6</f>
        <v>1.08333333333333</v>
      </c>
    </row>
    <row r="168" customFormat="false" ht="15" hidden="false" customHeight="false" outlineLevel="0" collapsed="false">
      <c r="A168" s="0" t="s">
        <v>109</v>
      </c>
      <c r="B168" s="0" t="s">
        <v>134</v>
      </c>
      <c r="C168" s="0" t="s">
        <v>115</v>
      </c>
      <c r="D168" s="0" t="s">
        <v>235</v>
      </c>
      <c r="E168" s="7" t="n">
        <f aca="false">SUMIFS(Doors!Q:Q,Doors!$A:$A,$D168,Doors!$B:$B,$B168,Doors!$C:$C,$C168)*SUMIFS(Velocity!$I:$I,Velocity!$A:$A,$A168,Velocity!$B:$B,$C168)/Assumptions!$B$4*Assumptions!$B$6</f>
        <v>0</v>
      </c>
      <c r="F168" s="7" t="n">
        <f aca="false">SUMIFS(Doors!R:R,Doors!$A:$A,$D168,Doors!$B:$B,$B168,Doors!$C:$C,$C168)*SUMIFS(Velocity!$I:$I,Velocity!$A:$A,$A168,Velocity!$B:$B,$C168)/Assumptions!$B$4*Assumptions!$B$6</f>
        <v>0</v>
      </c>
      <c r="G168" s="7" t="n">
        <f aca="false">SUMIFS(Doors!S:S,Doors!$A:$A,$D168,Doors!$B:$B,$B168,Doors!$C:$C,$C168)*SUMIFS(Velocity!$I:$I,Velocity!$A:$A,$A168,Velocity!$B:$B,$C168)/Assumptions!$B$4*Assumptions!$B$6</f>
        <v>0</v>
      </c>
      <c r="H168" s="7" t="n">
        <f aca="false">SUMIFS(Doors!T:T,Doors!$A:$A,$D168,Doors!$B:$B,$B168,Doors!$C:$C,$C168)*SUMIFS(Velocity!$I:$I,Velocity!$A:$A,$A168,Velocity!$B:$B,$C168)/Assumptions!$B$4*Assumptions!$B$6</f>
        <v>0</v>
      </c>
      <c r="I168" s="7" t="n">
        <f aca="false">SUMIFS(Doors!U:U,Doors!$A:$A,$D168,Doors!$B:$B,$B168,Doors!$C:$C,$C168)*SUMIFS(Velocity!$I:$I,Velocity!$A:$A,$A168,Velocity!$B:$B,$C168)/Assumptions!$B$4*Assumptions!$B$6</f>
        <v>0</v>
      </c>
      <c r="J168" s="7" t="n">
        <f aca="false">SUMIFS(Doors!V:V,Doors!$A:$A,$D168,Doors!$B:$B,$B168,Doors!$C:$C,$C168)*SUMIFS(Velocity!$I:$I,Velocity!$A:$A,$A168,Velocity!$B:$B,$C168)/Assumptions!$B$4*Assumptions!$B$6</f>
        <v>0</v>
      </c>
      <c r="K168" s="7" t="n">
        <f aca="false">SUMIFS(Doors!W:W,Doors!$A:$A,$D168,Doors!$B:$B,$B168,Doors!$C:$C,$C168)*SUMIFS(Velocity!$I:$I,Velocity!$A:$A,$A168,Velocity!$B:$B,$C168)/Assumptions!$B$4*Assumptions!$B$6</f>
        <v>0</v>
      </c>
      <c r="L168" s="7" t="n">
        <f aca="false">SUMIFS(Doors!X:X,Doors!$A:$A,$D168,Doors!$B:$B,$B168,Doors!$C:$C,$C168)*SUMIFS(Velocity!$I:$I,Velocity!$A:$A,$A168,Velocity!$B:$B,$C168)/Assumptions!$B$4*Assumptions!$B$6</f>
        <v>0</v>
      </c>
      <c r="M168" s="7" t="n">
        <f aca="false">SUMIFS(Doors!Y:Y,Doors!$A:$A,$D168,Doors!$B:$B,$B168,Doors!$C:$C,$C168)*SUMIFS(Velocity!$I:$I,Velocity!$A:$A,$A168,Velocity!$B:$B,$C168)/Assumptions!$B$4*Assumptions!$B$6</f>
        <v>0</v>
      </c>
      <c r="N168" s="7" t="n">
        <f aca="false">SUMIFS(Doors!Z:Z,Doors!$A:$A,$D168,Doors!$B:$B,$B168,Doors!$C:$C,$C168)*SUMIFS(Velocity!$I:$I,Velocity!$A:$A,$A168,Velocity!$B:$B,$C168)/Assumptions!$B$4*Assumptions!$B$6</f>
        <v>0</v>
      </c>
      <c r="O168" s="7" t="n">
        <f aca="false">SUMIFS(Doors!AA:AA,Doors!$A:$A,$D168,Doors!$B:$B,$B168,Doors!$C:$C,$C168)*SUMIFS(Velocity!$I:$I,Velocity!$A:$A,$A168,Velocity!$B:$B,$C168)/Assumptions!$B$4*Assumptions!$B$6</f>
        <v>0</v>
      </c>
      <c r="P168" s="7" t="n">
        <f aca="false">SUMIFS(Doors!AB:AB,Doors!$A:$A,$D168,Doors!$B:$B,$B168,Doors!$C:$C,$C168)*SUMIFS(Velocity!$I:$I,Velocity!$A:$A,$A168,Velocity!$B:$B,$C168)/Assumptions!$B$4*Assumptions!$B$6</f>
        <v>0</v>
      </c>
      <c r="Q168" s="7" t="n">
        <f aca="false">SUMIFS(Doors!AC:AC,Doors!$A:$A,$D168,Doors!$B:$B,$B168,Doors!$C:$C,$C168)*SUMIFS(Velocity!$I:$I,Velocity!$A:$A,$A168,Velocity!$B:$B,$C168)/Assumptions!$B$4*Assumptions!$B$6</f>
        <v>0</v>
      </c>
      <c r="R168" s="7" t="n">
        <f aca="false">SUMIFS(Doors!AD:AD,Doors!$A:$A,$D168,Doors!$B:$B,$B168,Doors!$C:$C,$C168)*SUMIFS(Velocity!$I:$I,Velocity!$A:$A,$A168,Velocity!$B:$B,$C168)/Assumptions!$B$4*Assumptions!$B$6</f>
        <v>0.279166666666667</v>
      </c>
      <c r="S168" s="7" t="n">
        <f aca="false">SUMIFS(Doors!AE:AE,Doors!$A:$A,$D168,Doors!$B:$B,$B168,Doors!$C:$C,$C168)*SUMIFS(Velocity!$I:$I,Velocity!$A:$A,$A168,Velocity!$B:$B,$C168)/Assumptions!$B$4*Assumptions!$B$6</f>
        <v>0.279166666666667</v>
      </c>
      <c r="T168" s="7" t="n">
        <f aca="false">SUMIFS(Doors!AF:AF,Doors!$A:$A,$D168,Doors!$B:$B,$B168,Doors!$C:$C,$C168)*SUMIFS(Velocity!$I:$I,Velocity!$A:$A,$A168,Velocity!$B:$B,$C168)/Assumptions!$B$4*Assumptions!$B$6</f>
        <v>0.279166666666667</v>
      </c>
      <c r="U168" s="7" t="n">
        <f aca="false">SUMIFS(Doors!AG:AG,Doors!$A:$A,$D168,Doors!$B:$B,$B168,Doors!$C:$C,$C168)*SUMIFS(Velocity!$I:$I,Velocity!$A:$A,$A168,Velocity!$B:$B,$C168)/Assumptions!$B$4*Assumptions!$B$6</f>
        <v>0.279166666666667</v>
      </c>
      <c r="V168" s="7" t="n">
        <f aca="false">SUMIFS(Doors!AH:AH,Doors!$A:$A,$D168,Doors!$B:$B,$B168,Doors!$C:$C,$C168)*SUMIFS(Velocity!$I:$I,Velocity!$A:$A,$A168,Velocity!$B:$B,$C168)/Assumptions!$B$4*Assumptions!$B$6</f>
        <v>0.279166666666667</v>
      </c>
      <c r="W168" s="7" t="n">
        <f aca="false">SUMIFS(Doors!AI:AI,Doors!$A:$A,$D168,Doors!$B:$B,$B168,Doors!$C:$C,$C168)*SUMIFS(Velocity!$I:$I,Velocity!$A:$A,$A168,Velocity!$B:$B,$C168)/Assumptions!$B$4*Assumptions!$B$6</f>
        <v>0.558333333333333</v>
      </c>
      <c r="X168" s="7" t="n">
        <f aca="false">SUMIFS(Doors!AJ:AJ,Doors!$A:$A,$D168,Doors!$B:$B,$B168,Doors!$C:$C,$C168)*SUMIFS(Velocity!$I:$I,Velocity!$A:$A,$A168,Velocity!$B:$B,$C168)/Assumptions!$B$4*Assumptions!$B$6</f>
        <v>0.558333333333333</v>
      </c>
      <c r="Y168" s="7" t="n">
        <f aca="false">SUMIFS(Doors!AK:AK,Doors!$A:$A,$D168,Doors!$B:$B,$B168,Doors!$C:$C,$C168)*SUMIFS(Velocity!$I:$I,Velocity!$A:$A,$A168,Velocity!$B:$B,$C168)/Assumptions!$B$4*Assumptions!$B$6</f>
        <v>0.558333333333333</v>
      </c>
      <c r="Z168" s="7" t="n">
        <f aca="false">SUMIFS(Doors!AL:AL,Doors!$A:$A,$D168,Doors!$B:$B,$B168,Doors!$C:$C,$C168)*SUMIFS(Velocity!$I:$I,Velocity!$A:$A,$A168,Velocity!$B:$B,$C168)/Assumptions!$B$4*Assumptions!$B$6</f>
        <v>0.558333333333333</v>
      </c>
      <c r="AA168" s="7" t="n">
        <f aca="false">SUMIFS(Doors!AM:AM,Doors!$A:$A,$D168,Doors!$B:$B,$B168,Doors!$C:$C,$C168)*SUMIFS(Velocity!$I:$I,Velocity!$A:$A,$A168,Velocity!$B:$B,$C168)/Assumptions!$B$4*Assumptions!$B$6</f>
        <v>0.8375</v>
      </c>
      <c r="AB168" s="7" t="n">
        <f aca="false">SUMIFS(Doors!AN:AN,Doors!$A:$A,$D168,Doors!$B:$B,$B168,Doors!$C:$C,$C168)*SUMIFS(Velocity!$I:$I,Velocity!$A:$A,$A168,Velocity!$B:$B,$C168)/Assumptions!$B$4*Assumptions!$B$6</f>
        <v>0.8375</v>
      </c>
      <c r="AC168" s="7" t="n">
        <f aca="false">SUMIFS(Doors!AO:AO,Doors!$A:$A,$D168,Doors!$B:$B,$B168,Doors!$C:$C,$C168)*SUMIFS(Velocity!$I:$I,Velocity!$A:$A,$A168,Velocity!$B:$B,$C168)/Assumptions!$B$4*Assumptions!$B$6</f>
        <v>0.8375</v>
      </c>
      <c r="AD168" s="7" t="n">
        <f aca="false">SUMIFS(Doors!AP:AP,Doors!$A:$A,$D168,Doors!$B:$B,$B168,Doors!$C:$C,$C168)*SUMIFS(Velocity!$I:$I,Velocity!$A:$A,$A168,Velocity!$B:$B,$C168)/Assumptions!$B$4*Assumptions!$B$6</f>
        <v>0.8375</v>
      </c>
      <c r="AE168" s="7" t="n">
        <f aca="false">SUMIFS(Doors!AQ:AQ,Doors!$A:$A,$D168,Doors!$B:$B,$B168,Doors!$C:$C,$C168)*SUMIFS(Velocity!$I:$I,Velocity!$A:$A,$A168,Velocity!$B:$B,$C168)/Assumptions!$B$4*Assumptions!$B$6</f>
        <v>1.11666666666667</v>
      </c>
      <c r="AF168" s="7" t="n">
        <f aca="false">SUMIFS(Doors!AR:AR,Doors!$A:$A,$D168,Doors!$B:$B,$B168,Doors!$C:$C,$C168)*SUMIFS(Velocity!$I:$I,Velocity!$A:$A,$A168,Velocity!$B:$B,$C168)/Assumptions!$B$4*Assumptions!$B$6</f>
        <v>1.11666666666667</v>
      </c>
      <c r="AG168" s="7" t="n">
        <f aca="false">SUMIFS(Doors!AS:AS,Doors!$A:$A,$D168,Doors!$B:$B,$B168,Doors!$C:$C,$C168)*SUMIFS(Velocity!$I:$I,Velocity!$A:$A,$A168,Velocity!$B:$B,$C168)/Assumptions!$B$4*Assumptions!$B$6</f>
        <v>1.11666666666667</v>
      </c>
      <c r="AH168" s="7" t="n">
        <f aca="false">SUMIFS(Doors!AT:AT,Doors!$A:$A,$D168,Doors!$B:$B,$B168,Doors!$C:$C,$C168)*SUMIFS(Velocity!$I:$I,Velocity!$A:$A,$A168,Velocity!$B:$B,$C168)/Assumptions!$B$4*Assumptions!$B$6</f>
        <v>1.11666666666667</v>
      </c>
      <c r="AI168" s="7" t="n">
        <f aca="false">SUMIFS(Doors!AU:AU,Doors!$A:$A,$D168,Doors!$B:$B,$B168,Doors!$C:$C,$C168)*SUMIFS(Velocity!$I:$I,Velocity!$A:$A,$A168,Velocity!$B:$B,$C168)/Assumptions!$B$4*Assumptions!$B$6</f>
        <v>1.11666666666667</v>
      </c>
      <c r="AJ168" s="7" t="n">
        <f aca="false">SUMIFS(Doors!AV:AV,Doors!$A:$A,$D168,Doors!$B:$B,$B168,Doors!$C:$C,$C168)*SUMIFS(Velocity!$I:$I,Velocity!$A:$A,$A168,Velocity!$B:$B,$C168)/Assumptions!$B$4*Assumptions!$B$6</f>
        <v>1.39583333333333</v>
      </c>
      <c r="AK168" s="7" t="n">
        <f aca="false">SUMIFS(Doors!AW:AW,Doors!$A:$A,$D168,Doors!$B:$B,$B168,Doors!$C:$C,$C168)*SUMIFS(Velocity!$I:$I,Velocity!$A:$A,$A168,Velocity!$B:$B,$C168)/Assumptions!$B$4*Assumptions!$B$6</f>
        <v>1.39583333333333</v>
      </c>
      <c r="AL168" s="7" t="n">
        <f aca="false">SUMIFS(Doors!AX:AX,Doors!$A:$A,$D168,Doors!$B:$B,$B168,Doors!$C:$C,$C168)*SUMIFS(Velocity!$I:$I,Velocity!$A:$A,$A168,Velocity!$B:$B,$C168)/Assumptions!$B$4*Assumptions!$B$6</f>
        <v>1.39583333333333</v>
      </c>
      <c r="AM168" s="7" t="n">
        <f aca="false">SUMIFS(Doors!AY:AY,Doors!$A:$A,$D168,Doors!$B:$B,$B168,Doors!$C:$C,$C168)*SUMIFS(Velocity!$I:$I,Velocity!$A:$A,$A168,Velocity!$B:$B,$C168)/Assumptions!$B$4*Assumptions!$B$6</f>
        <v>1.39583333333333</v>
      </c>
      <c r="AN168" s="7" t="n">
        <f aca="false">SUMIFS(Doors!AZ:AZ,Doors!$A:$A,$D168,Doors!$B:$B,$B168,Doors!$C:$C,$C168)*SUMIFS(Velocity!$I:$I,Velocity!$A:$A,$A168,Velocity!$B:$B,$C168)/Assumptions!$B$4*Assumptions!$B$6</f>
        <v>1.675</v>
      </c>
      <c r="AO168" s="7" t="n">
        <f aca="false">SUMIFS(Doors!BA:BA,Doors!$A:$A,$D168,Doors!$B:$B,$B168,Doors!$C:$C,$C168)*SUMIFS(Velocity!$I:$I,Velocity!$A:$A,$A168,Velocity!$B:$B,$C168)/Assumptions!$B$4*Assumptions!$B$6</f>
        <v>1.675</v>
      </c>
      <c r="AP168" s="7" t="n">
        <f aca="false">SUMIFS(Doors!BB:BB,Doors!$A:$A,$D168,Doors!$B:$B,$B168,Doors!$C:$C,$C168)*SUMIFS(Velocity!$I:$I,Velocity!$A:$A,$A168,Velocity!$B:$B,$C168)/Assumptions!$B$4*Assumptions!$B$6</f>
        <v>1.675</v>
      </c>
      <c r="AQ168" s="7" t="n">
        <f aca="false">SUMIFS(Doors!BC:BC,Doors!$A:$A,$D168,Doors!$B:$B,$B168,Doors!$C:$C,$C168)*SUMIFS(Velocity!$I:$I,Velocity!$A:$A,$A168,Velocity!$B:$B,$C168)/Assumptions!$B$4*Assumptions!$B$6</f>
        <v>1.675</v>
      </c>
      <c r="AR168" s="7" t="n">
        <f aca="false">SUMIFS(Doors!BD:BD,Doors!$A:$A,$D168,Doors!$B:$B,$B168,Doors!$C:$C,$C168)*SUMIFS(Velocity!$I:$I,Velocity!$A:$A,$A168,Velocity!$B:$B,$C168)/Assumptions!$B$4*Assumptions!$B$6</f>
        <v>1.675</v>
      </c>
      <c r="AS168" s="7" t="n">
        <f aca="false">SUMIFS(Doors!BE:BE,Doors!$A:$A,$D168,Doors!$B:$B,$B168,Doors!$C:$C,$C168)*SUMIFS(Velocity!$I:$I,Velocity!$A:$A,$A168,Velocity!$B:$B,$C168)/Assumptions!$B$4*Assumptions!$B$6</f>
        <v>1.675</v>
      </c>
      <c r="AT168" s="7" t="n">
        <f aca="false">SUMIFS(Doors!BF:BF,Doors!$A:$A,$D168,Doors!$B:$B,$B168,Doors!$C:$C,$C168)*SUMIFS(Velocity!$I:$I,Velocity!$A:$A,$A168,Velocity!$B:$B,$C168)/Assumptions!$B$4*Assumptions!$B$6</f>
        <v>1.675</v>
      </c>
      <c r="AU168" s="7" t="n">
        <f aca="false">SUMIFS(Doors!BG:BG,Doors!$A:$A,$D168,Doors!$B:$B,$B168,Doors!$C:$C,$C168)*SUMIFS(Velocity!$I:$I,Velocity!$A:$A,$A168,Velocity!$B:$B,$C168)/Assumptions!$B$4*Assumptions!$B$6</f>
        <v>1.675</v>
      </c>
      <c r="AV168" s="7" t="n">
        <f aca="false">SUMIFS(Doors!BH:BH,Doors!$A:$A,$D168,Doors!$B:$B,$B168,Doors!$C:$C,$C168)*SUMIFS(Velocity!$I:$I,Velocity!$A:$A,$A168,Velocity!$B:$B,$C168)/Assumptions!$B$4*Assumptions!$B$6</f>
        <v>1.675</v>
      </c>
      <c r="AW168" s="7" t="n">
        <f aca="false">SUMIFS(Doors!BI:BI,Doors!$A:$A,$D168,Doors!$B:$B,$B168,Doors!$C:$C,$C168)*SUMIFS(Velocity!$I:$I,Velocity!$A:$A,$A168,Velocity!$B:$B,$C168)/Assumptions!$B$4*Assumptions!$B$6</f>
        <v>1.95416666666667</v>
      </c>
      <c r="AX168" s="7" t="n">
        <f aca="false">SUMIFS(Doors!BJ:BJ,Doors!$A:$A,$D168,Doors!$B:$B,$B168,Doors!$C:$C,$C168)*SUMIFS(Velocity!$I:$I,Velocity!$A:$A,$A168,Velocity!$B:$B,$C168)/Assumptions!$B$4*Assumptions!$B$6</f>
        <v>1.95416666666667</v>
      </c>
      <c r="AY168" s="7" t="n">
        <f aca="false">SUMIFS(Doors!BK:BK,Doors!$A:$A,$D168,Doors!$B:$B,$B168,Doors!$C:$C,$C168)*SUMIFS(Velocity!$I:$I,Velocity!$A:$A,$A168,Velocity!$B:$B,$C168)/Assumptions!$B$4*Assumptions!$B$6</f>
        <v>1.95416666666667</v>
      </c>
      <c r="AZ168" s="7" t="n">
        <f aca="false">SUMIFS(Doors!BL:BL,Doors!$A:$A,$D168,Doors!$B:$B,$B168,Doors!$C:$C,$C168)*SUMIFS(Velocity!$I:$I,Velocity!$A:$A,$A168,Velocity!$B:$B,$C168)/Assumptions!$B$4*Assumptions!$B$6</f>
        <v>1.95416666666667</v>
      </c>
      <c r="BA168" s="7" t="n">
        <f aca="false">SUMIFS(Doors!BM:BM,Doors!$A:$A,$D168,Doors!$B:$B,$B168,Doors!$C:$C,$C168)*SUMIFS(Velocity!$I:$I,Velocity!$A:$A,$A168,Velocity!$B:$B,$C168)/Assumptions!$B$4*Assumptions!$B$6</f>
        <v>1.95416666666667</v>
      </c>
      <c r="BB168" s="7" t="n">
        <f aca="false">SUMIFS(Doors!BN:BN,Doors!$A:$A,$D168,Doors!$B:$B,$B168,Doors!$C:$C,$C168)*SUMIFS(Velocity!$I:$I,Velocity!$A:$A,$A168,Velocity!$B:$B,$C168)/Assumptions!$B$4*Assumptions!$B$6</f>
        <v>1.95416666666667</v>
      </c>
      <c r="BC168" s="7" t="n">
        <f aca="false">SUMIFS(Doors!BO:BO,Doors!$A:$A,$D168,Doors!$B:$B,$B168,Doors!$C:$C,$C168)*SUMIFS(Velocity!$I:$I,Velocity!$A:$A,$A168,Velocity!$B:$B,$C168)/Assumptions!$B$4*Assumptions!$B$6</f>
        <v>1.95416666666667</v>
      </c>
      <c r="BD168" s="7" t="n">
        <f aca="false">SUMIFS(Doors!BP:BP,Doors!$A:$A,$D168,Doors!$B:$B,$B168,Doors!$C:$C,$C168)*SUMIFS(Velocity!$I:$I,Velocity!$A:$A,$A168,Velocity!$B:$B,$C168)/Assumptions!$B$4*Assumptions!$B$6</f>
        <v>1.95416666666667</v>
      </c>
    </row>
    <row r="169" customFormat="false" ht="15" hidden="false" customHeight="false" outlineLevel="0" collapsed="false">
      <c r="A169" s="0" t="s">
        <v>109</v>
      </c>
      <c r="B169" s="0" t="s">
        <v>134</v>
      </c>
      <c r="C169" s="0" t="s">
        <v>116</v>
      </c>
      <c r="D169" s="0" t="s">
        <v>235</v>
      </c>
      <c r="E169" s="7" t="n">
        <f aca="false">SUMIFS(Doors!Q:Q,Doors!$A:$A,$D169,Doors!$B:$B,$B169,Doors!$C:$C,$C169)*SUMIFS(Velocity!$I:$I,Velocity!$A:$A,$A169,Velocity!$B:$B,$C169)/Assumptions!$B$4*Assumptions!$B$6</f>
        <v>0</v>
      </c>
      <c r="F169" s="7" t="n">
        <f aca="false">SUMIFS(Doors!R:R,Doors!$A:$A,$D169,Doors!$B:$B,$B169,Doors!$C:$C,$C169)*SUMIFS(Velocity!$I:$I,Velocity!$A:$A,$A169,Velocity!$B:$B,$C169)/Assumptions!$B$4*Assumptions!$B$6</f>
        <v>0</v>
      </c>
      <c r="G169" s="7" t="n">
        <f aca="false">SUMIFS(Doors!S:S,Doors!$A:$A,$D169,Doors!$B:$B,$B169,Doors!$C:$C,$C169)*SUMIFS(Velocity!$I:$I,Velocity!$A:$A,$A169,Velocity!$B:$B,$C169)/Assumptions!$B$4*Assumptions!$B$6</f>
        <v>0</v>
      </c>
      <c r="H169" s="7" t="n">
        <f aca="false">SUMIFS(Doors!T:T,Doors!$A:$A,$D169,Doors!$B:$B,$B169,Doors!$C:$C,$C169)*SUMIFS(Velocity!$I:$I,Velocity!$A:$A,$A169,Velocity!$B:$B,$C169)/Assumptions!$B$4*Assumptions!$B$6</f>
        <v>0</v>
      </c>
      <c r="I169" s="7" t="n">
        <f aca="false">SUMIFS(Doors!U:U,Doors!$A:$A,$D169,Doors!$B:$B,$B169,Doors!$C:$C,$C169)*SUMIFS(Velocity!$I:$I,Velocity!$A:$A,$A169,Velocity!$B:$B,$C169)/Assumptions!$B$4*Assumptions!$B$6</f>
        <v>0</v>
      </c>
      <c r="J169" s="7" t="n">
        <f aca="false">SUMIFS(Doors!V:V,Doors!$A:$A,$D169,Doors!$B:$B,$B169,Doors!$C:$C,$C169)*SUMIFS(Velocity!$I:$I,Velocity!$A:$A,$A169,Velocity!$B:$B,$C169)/Assumptions!$B$4*Assumptions!$B$6</f>
        <v>0</v>
      </c>
      <c r="K169" s="7" t="n">
        <f aca="false">SUMIFS(Doors!W:W,Doors!$A:$A,$D169,Doors!$B:$B,$B169,Doors!$C:$C,$C169)*SUMIFS(Velocity!$I:$I,Velocity!$A:$A,$A169,Velocity!$B:$B,$C169)/Assumptions!$B$4*Assumptions!$B$6</f>
        <v>0</v>
      </c>
      <c r="L169" s="7" t="n">
        <f aca="false">SUMIFS(Doors!X:X,Doors!$A:$A,$D169,Doors!$B:$B,$B169,Doors!$C:$C,$C169)*SUMIFS(Velocity!$I:$I,Velocity!$A:$A,$A169,Velocity!$B:$B,$C169)/Assumptions!$B$4*Assumptions!$B$6</f>
        <v>0</v>
      </c>
      <c r="M169" s="7" t="n">
        <f aca="false">SUMIFS(Doors!Y:Y,Doors!$A:$A,$D169,Doors!$B:$B,$B169,Doors!$C:$C,$C169)*SUMIFS(Velocity!$I:$I,Velocity!$A:$A,$A169,Velocity!$B:$B,$C169)/Assumptions!$B$4*Assumptions!$B$6</f>
        <v>0</v>
      </c>
      <c r="N169" s="7" t="n">
        <f aca="false">SUMIFS(Doors!Z:Z,Doors!$A:$A,$D169,Doors!$B:$B,$B169,Doors!$C:$C,$C169)*SUMIFS(Velocity!$I:$I,Velocity!$A:$A,$A169,Velocity!$B:$B,$C169)/Assumptions!$B$4*Assumptions!$B$6</f>
        <v>0</v>
      </c>
      <c r="O169" s="7" t="n">
        <f aca="false">SUMIFS(Doors!AA:AA,Doors!$A:$A,$D169,Doors!$B:$B,$B169,Doors!$C:$C,$C169)*SUMIFS(Velocity!$I:$I,Velocity!$A:$A,$A169,Velocity!$B:$B,$C169)/Assumptions!$B$4*Assumptions!$B$6</f>
        <v>0</v>
      </c>
      <c r="P169" s="7" t="n">
        <f aca="false">SUMIFS(Doors!AB:AB,Doors!$A:$A,$D169,Doors!$B:$B,$B169,Doors!$C:$C,$C169)*SUMIFS(Velocity!$I:$I,Velocity!$A:$A,$A169,Velocity!$B:$B,$C169)/Assumptions!$B$4*Assumptions!$B$6</f>
        <v>0</v>
      </c>
      <c r="Q169" s="7" t="n">
        <f aca="false">SUMIFS(Doors!AC:AC,Doors!$A:$A,$D169,Doors!$B:$B,$B169,Doors!$C:$C,$C169)*SUMIFS(Velocity!$I:$I,Velocity!$A:$A,$A169,Velocity!$B:$B,$C169)/Assumptions!$B$4*Assumptions!$B$6</f>
        <v>0</v>
      </c>
      <c r="R169" s="7" t="n">
        <f aca="false">SUMIFS(Doors!AD:AD,Doors!$A:$A,$D169,Doors!$B:$B,$B169,Doors!$C:$C,$C169)*SUMIFS(Velocity!$I:$I,Velocity!$A:$A,$A169,Velocity!$B:$B,$C169)/Assumptions!$B$4*Assumptions!$B$6</f>
        <v>0</v>
      </c>
      <c r="S169" s="7" t="n">
        <f aca="false">SUMIFS(Doors!AE:AE,Doors!$A:$A,$D169,Doors!$B:$B,$B169,Doors!$C:$C,$C169)*SUMIFS(Velocity!$I:$I,Velocity!$A:$A,$A169,Velocity!$B:$B,$C169)/Assumptions!$B$4*Assumptions!$B$6</f>
        <v>0</v>
      </c>
      <c r="T169" s="7" t="n">
        <f aca="false">SUMIFS(Doors!AF:AF,Doors!$A:$A,$D169,Doors!$B:$B,$B169,Doors!$C:$C,$C169)*SUMIFS(Velocity!$I:$I,Velocity!$A:$A,$A169,Velocity!$B:$B,$C169)/Assumptions!$B$4*Assumptions!$B$6</f>
        <v>0</v>
      </c>
      <c r="U169" s="7" t="n">
        <f aca="false">SUMIFS(Doors!AG:AG,Doors!$A:$A,$D169,Doors!$B:$B,$B169,Doors!$C:$C,$C169)*SUMIFS(Velocity!$I:$I,Velocity!$A:$A,$A169,Velocity!$B:$B,$C169)/Assumptions!$B$4*Assumptions!$B$6</f>
        <v>0</v>
      </c>
      <c r="V169" s="7" t="n">
        <f aca="false">SUMIFS(Doors!AH:AH,Doors!$A:$A,$D169,Doors!$B:$B,$B169,Doors!$C:$C,$C169)*SUMIFS(Velocity!$I:$I,Velocity!$A:$A,$A169,Velocity!$B:$B,$C169)/Assumptions!$B$4*Assumptions!$B$6</f>
        <v>0</v>
      </c>
      <c r="W169" s="7" t="n">
        <f aca="false">SUMIFS(Doors!AI:AI,Doors!$A:$A,$D169,Doors!$B:$B,$B169,Doors!$C:$C,$C169)*SUMIFS(Velocity!$I:$I,Velocity!$A:$A,$A169,Velocity!$B:$B,$C169)/Assumptions!$B$4*Assumptions!$B$6</f>
        <v>0.270833333333333</v>
      </c>
      <c r="X169" s="7" t="n">
        <f aca="false">SUMIFS(Doors!AJ:AJ,Doors!$A:$A,$D169,Doors!$B:$B,$B169,Doors!$C:$C,$C169)*SUMIFS(Velocity!$I:$I,Velocity!$A:$A,$A169,Velocity!$B:$B,$C169)/Assumptions!$B$4*Assumptions!$B$6</f>
        <v>0.270833333333333</v>
      </c>
      <c r="Y169" s="7" t="n">
        <f aca="false">SUMIFS(Doors!AK:AK,Doors!$A:$A,$D169,Doors!$B:$B,$B169,Doors!$C:$C,$C169)*SUMIFS(Velocity!$I:$I,Velocity!$A:$A,$A169,Velocity!$B:$B,$C169)/Assumptions!$B$4*Assumptions!$B$6</f>
        <v>0.270833333333333</v>
      </c>
      <c r="Z169" s="7" t="n">
        <f aca="false">SUMIFS(Doors!AL:AL,Doors!$A:$A,$D169,Doors!$B:$B,$B169,Doors!$C:$C,$C169)*SUMIFS(Velocity!$I:$I,Velocity!$A:$A,$A169,Velocity!$B:$B,$C169)/Assumptions!$B$4*Assumptions!$B$6</f>
        <v>0.270833333333333</v>
      </c>
      <c r="AA169" s="7" t="n">
        <f aca="false">SUMIFS(Doors!AM:AM,Doors!$A:$A,$D169,Doors!$B:$B,$B169,Doors!$C:$C,$C169)*SUMIFS(Velocity!$I:$I,Velocity!$A:$A,$A169,Velocity!$B:$B,$C169)/Assumptions!$B$4*Assumptions!$B$6</f>
        <v>0.541666666666667</v>
      </c>
      <c r="AB169" s="7" t="n">
        <f aca="false">SUMIFS(Doors!AN:AN,Doors!$A:$A,$D169,Doors!$B:$B,$B169,Doors!$C:$C,$C169)*SUMIFS(Velocity!$I:$I,Velocity!$A:$A,$A169,Velocity!$B:$B,$C169)/Assumptions!$B$4*Assumptions!$B$6</f>
        <v>0.541666666666667</v>
      </c>
      <c r="AC169" s="7" t="n">
        <f aca="false">SUMIFS(Doors!AO:AO,Doors!$A:$A,$D169,Doors!$B:$B,$B169,Doors!$C:$C,$C169)*SUMIFS(Velocity!$I:$I,Velocity!$A:$A,$A169,Velocity!$B:$B,$C169)/Assumptions!$B$4*Assumptions!$B$6</f>
        <v>0.541666666666667</v>
      </c>
      <c r="AD169" s="7" t="n">
        <f aca="false">SUMIFS(Doors!AP:AP,Doors!$A:$A,$D169,Doors!$B:$B,$B169,Doors!$C:$C,$C169)*SUMIFS(Velocity!$I:$I,Velocity!$A:$A,$A169,Velocity!$B:$B,$C169)/Assumptions!$B$4*Assumptions!$B$6</f>
        <v>0.541666666666667</v>
      </c>
      <c r="AE169" s="7" t="n">
        <f aca="false">SUMIFS(Doors!AQ:AQ,Doors!$A:$A,$D169,Doors!$B:$B,$B169,Doors!$C:$C,$C169)*SUMIFS(Velocity!$I:$I,Velocity!$A:$A,$A169,Velocity!$B:$B,$C169)/Assumptions!$B$4*Assumptions!$B$6</f>
        <v>0.541666666666667</v>
      </c>
      <c r="AF169" s="7" t="n">
        <f aca="false">SUMIFS(Doors!AR:AR,Doors!$A:$A,$D169,Doors!$B:$B,$B169,Doors!$C:$C,$C169)*SUMIFS(Velocity!$I:$I,Velocity!$A:$A,$A169,Velocity!$B:$B,$C169)/Assumptions!$B$4*Assumptions!$B$6</f>
        <v>0.541666666666667</v>
      </c>
      <c r="AG169" s="7" t="n">
        <f aca="false">SUMIFS(Doors!AS:AS,Doors!$A:$A,$D169,Doors!$B:$B,$B169,Doors!$C:$C,$C169)*SUMIFS(Velocity!$I:$I,Velocity!$A:$A,$A169,Velocity!$B:$B,$C169)/Assumptions!$B$4*Assumptions!$B$6</f>
        <v>0.541666666666667</v>
      </c>
      <c r="AH169" s="7" t="n">
        <f aca="false">SUMIFS(Doors!AT:AT,Doors!$A:$A,$D169,Doors!$B:$B,$B169,Doors!$C:$C,$C169)*SUMIFS(Velocity!$I:$I,Velocity!$A:$A,$A169,Velocity!$B:$B,$C169)/Assumptions!$B$4*Assumptions!$B$6</f>
        <v>0.541666666666667</v>
      </c>
      <c r="AI169" s="7" t="n">
        <f aca="false">SUMIFS(Doors!AU:AU,Doors!$A:$A,$D169,Doors!$B:$B,$B169,Doors!$C:$C,$C169)*SUMIFS(Velocity!$I:$I,Velocity!$A:$A,$A169,Velocity!$B:$B,$C169)/Assumptions!$B$4*Assumptions!$B$6</f>
        <v>0.541666666666667</v>
      </c>
      <c r="AJ169" s="7" t="n">
        <f aca="false">SUMIFS(Doors!AV:AV,Doors!$A:$A,$D169,Doors!$B:$B,$B169,Doors!$C:$C,$C169)*SUMIFS(Velocity!$I:$I,Velocity!$A:$A,$A169,Velocity!$B:$B,$C169)/Assumptions!$B$4*Assumptions!$B$6</f>
        <v>0.8125</v>
      </c>
      <c r="AK169" s="7" t="n">
        <f aca="false">SUMIFS(Doors!AW:AW,Doors!$A:$A,$D169,Doors!$B:$B,$B169,Doors!$C:$C,$C169)*SUMIFS(Velocity!$I:$I,Velocity!$A:$A,$A169,Velocity!$B:$B,$C169)/Assumptions!$B$4*Assumptions!$B$6</f>
        <v>0.8125</v>
      </c>
      <c r="AL169" s="7" t="n">
        <f aca="false">SUMIFS(Doors!AX:AX,Doors!$A:$A,$D169,Doors!$B:$B,$B169,Doors!$C:$C,$C169)*SUMIFS(Velocity!$I:$I,Velocity!$A:$A,$A169,Velocity!$B:$B,$C169)/Assumptions!$B$4*Assumptions!$B$6</f>
        <v>0.8125</v>
      </c>
      <c r="AM169" s="7" t="n">
        <f aca="false">SUMIFS(Doors!AY:AY,Doors!$A:$A,$D169,Doors!$B:$B,$B169,Doors!$C:$C,$C169)*SUMIFS(Velocity!$I:$I,Velocity!$A:$A,$A169,Velocity!$B:$B,$C169)/Assumptions!$B$4*Assumptions!$B$6</f>
        <v>0.8125</v>
      </c>
      <c r="AN169" s="7" t="n">
        <f aca="false">SUMIFS(Doors!AZ:AZ,Doors!$A:$A,$D169,Doors!$B:$B,$B169,Doors!$C:$C,$C169)*SUMIFS(Velocity!$I:$I,Velocity!$A:$A,$A169,Velocity!$B:$B,$C169)/Assumptions!$B$4*Assumptions!$B$6</f>
        <v>0.8125</v>
      </c>
      <c r="AO169" s="7" t="n">
        <f aca="false">SUMIFS(Doors!BA:BA,Doors!$A:$A,$D169,Doors!$B:$B,$B169,Doors!$C:$C,$C169)*SUMIFS(Velocity!$I:$I,Velocity!$A:$A,$A169,Velocity!$B:$B,$C169)/Assumptions!$B$4*Assumptions!$B$6</f>
        <v>0.8125</v>
      </c>
      <c r="AP169" s="7" t="n">
        <f aca="false">SUMIFS(Doors!BB:BB,Doors!$A:$A,$D169,Doors!$B:$B,$B169,Doors!$C:$C,$C169)*SUMIFS(Velocity!$I:$I,Velocity!$A:$A,$A169,Velocity!$B:$B,$C169)/Assumptions!$B$4*Assumptions!$B$6</f>
        <v>0.8125</v>
      </c>
      <c r="AQ169" s="7" t="n">
        <f aca="false">SUMIFS(Doors!BC:BC,Doors!$A:$A,$D169,Doors!$B:$B,$B169,Doors!$C:$C,$C169)*SUMIFS(Velocity!$I:$I,Velocity!$A:$A,$A169,Velocity!$B:$B,$C169)/Assumptions!$B$4*Assumptions!$B$6</f>
        <v>0.8125</v>
      </c>
      <c r="AR169" s="7" t="n">
        <f aca="false">SUMIFS(Doors!BD:BD,Doors!$A:$A,$D169,Doors!$B:$B,$B169,Doors!$C:$C,$C169)*SUMIFS(Velocity!$I:$I,Velocity!$A:$A,$A169,Velocity!$B:$B,$C169)/Assumptions!$B$4*Assumptions!$B$6</f>
        <v>1.08333333333333</v>
      </c>
      <c r="AS169" s="7" t="n">
        <f aca="false">SUMIFS(Doors!BE:BE,Doors!$A:$A,$D169,Doors!$B:$B,$B169,Doors!$C:$C,$C169)*SUMIFS(Velocity!$I:$I,Velocity!$A:$A,$A169,Velocity!$B:$B,$C169)/Assumptions!$B$4*Assumptions!$B$6</f>
        <v>1.08333333333333</v>
      </c>
      <c r="AT169" s="7" t="n">
        <f aca="false">SUMIFS(Doors!BF:BF,Doors!$A:$A,$D169,Doors!$B:$B,$B169,Doors!$C:$C,$C169)*SUMIFS(Velocity!$I:$I,Velocity!$A:$A,$A169,Velocity!$B:$B,$C169)/Assumptions!$B$4*Assumptions!$B$6</f>
        <v>1.08333333333333</v>
      </c>
      <c r="AU169" s="7" t="n">
        <f aca="false">SUMIFS(Doors!BG:BG,Doors!$A:$A,$D169,Doors!$B:$B,$B169,Doors!$C:$C,$C169)*SUMIFS(Velocity!$I:$I,Velocity!$A:$A,$A169,Velocity!$B:$B,$C169)/Assumptions!$B$4*Assumptions!$B$6</f>
        <v>1.08333333333333</v>
      </c>
      <c r="AV169" s="7" t="n">
        <f aca="false">SUMIFS(Doors!BH:BH,Doors!$A:$A,$D169,Doors!$B:$B,$B169,Doors!$C:$C,$C169)*SUMIFS(Velocity!$I:$I,Velocity!$A:$A,$A169,Velocity!$B:$B,$C169)/Assumptions!$B$4*Assumptions!$B$6</f>
        <v>1.08333333333333</v>
      </c>
      <c r="AW169" s="7" t="n">
        <f aca="false">SUMIFS(Doors!BI:BI,Doors!$A:$A,$D169,Doors!$B:$B,$B169,Doors!$C:$C,$C169)*SUMIFS(Velocity!$I:$I,Velocity!$A:$A,$A169,Velocity!$B:$B,$C169)/Assumptions!$B$4*Assumptions!$B$6</f>
        <v>1.08333333333333</v>
      </c>
      <c r="AX169" s="7" t="n">
        <f aca="false">SUMIFS(Doors!BJ:BJ,Doors!$A:$A,$D169,Doors!$B:$B,$B169,Doors!$C:$C,$C169)*SUMIFS(Velocity!$I:$I,Velocity!$A:$A,$A169,Velocity!$B:$B,$C169)/Assumptions!$B$4*Assumptions!$B$6</f>
        <v>1.08333333333333</v>
      </c>
      <c r="AY169" s="7" t="n">
        <f aca="false">SUMIFS(Doors!BK:BK,Doors!$A:$A,$D169,Doors!$B:$B,$B169,Doors!$C:$C,$C169)*SUMIFS(Velocity!$I:$I,Velocity!$A:$A,$A169,Velocity!$B:$B,$C169)/Assumptions!$B$4*Assumptions!$B$6</f>
        <v>1.08333333333333</v>
      </c>
      <c r="AZ169" s="7" t="n">
        <f aca="false">SUMIFS(Doors!BL:BL,Doors!$A:$A,$D169,Doors!$B:$B,$B169,Doors!$C:$C,$C169)*SUMIFS(Velocity!$I:$I,Velocity!$A:$A,$A169,Velocity!$B:$B,$C169)/Assumptions!$B$4*Assumptions!$B$6</f>
        <v>1.08333333333333</v>
      </c>
      <c r="BA169" s="7" t="n">
        <f aca="false">SUMIFS(Doors!BM:BM,Doors!$A:$A,$D169,Doors!$B:$B,$B169,Doors!$C:$C,$C169)*SUMIFS(Velocity!$I:$I,Velocity!$A:$A,$A169,Velocity!$B:$B,$C169)/Assumptions!$B$4*Assumptions!$B$6</f>
        <v>1.08333333333333</v>
      </c>
      <c r="BB169" s="7" t="n">
        <f aca="false">SUMIFS(Doors!BN:BN,Doors!$A:$A,$D169,Doors!$B:$B,$B169,Doors!$C:$C,$C169)*SUMIFS(Velocity!$I:$I,Velocity!$A:$A,$A169,Velocity!$B:$B,$C169)/Assumptions!$B$4*Assumptions!$B$6</f>
        <v>1.08333333333333</v>
      </c>
      <c r="BC169" s="7" t="n">
        <f aca="false">SUMIFS(Doors!BO:BO,Doors!$A:$A,$D169,Doors!$B:$B,$B169,Doors!$C:$C,$C169)*SUMIFS(Velocity!$I:$I,Velocity!$A:$A,$A169,Velocity!$B:$B,$C169)/Assumptions!$B$4*Assumptions!$B$6</f>
        <v>1.08333333333333</v>
      </c>
      <c r="BD169" s="7" t="n">
        <f aca="false">SUMIFS(Doors!BP:BP,Doors!$A:$A,$D169,Doors!$B:$B,$B169,Doors!$C:$C,$C169)*SUMIFS(Velocity!$I:$I,Velocity!$A:$A,$A169,Velocity!$B:$B,$C169)/Assumptions!$B$4*Assumptions!$B$6</f>
        <v>1.08333333333333</v>
      </c>
    </row>
    <row r="170" customFormat="false" ht="15" hidden="false" customHeight="false" outlineLevel="0" collapsed="false">
      <c r="A170" s="0" t="s">
        <v>109</v>
      </c>
      <c r="B170" s="0" t="s">
        <v>134</v>
      </c>
      <c r="C170" s="0" t="s">
        <v>117</v>
      </c>
      <c r="D170" s="0" t="s">
        <v>235</v>
      </c>
      <c r="E170" s="7" t="n">
        <f aca="false">SUMIFS(Doors!Q:Q,Doors!$A:$A,$D170,Doors!$B:$B,$B170,Doors!$C:$C,$C170)*SUMIFS(Velocity!$I:$I,Velocity!$A:$A,$A170,Velocity!$B:$B,$C170)/Assumptions!$B$4*Assumptions!$B$6</f>
        <v>0</v>
      </c>
      <c r="F170" s="7" t="n">
        <f aca="false">SUMIFS(Doors!R:R,Doors!$A:$A,$D170,Doors!$B:$B,$B170,Doors!$C:$C,$C170)*SUMIFS(Velocity!$I:$I,Velocity!$A:$A,$A170,Velocity!$B:$B,$C170)/Assumptions!$B$4*Assumptions!$B$6</f>
        <v>0</v>
      </c>
      <c r="G170" s="7" t="n">
        <f aca="false">SUMIFS(Doors!S:S,Doors!$A:$A,$D170,Doors!$B:$B,$B170,Doors!$C:$C,$C170)*SUMIFS(Velocity!$I:$I,Velocity!$A:$A,$A170,Velocity!$B:$B,$C170)/Assumptions!$B$4*Assumptions!$B$6</f>
        <v>0</v>
      </c>
      <c r="H170" s="7" t="n">
        <f aca="false">SUMIFS(Doors!T:T,Doors!$A:$A,$D170,Doors!$B:$B,$B170,Doors!$C:$C,$C170)*SUMIFS(Velocity!$I:$I,Velocity!$A:$A,$A170,Velocity!$B:$B,$C170)/Assumptions!$B$4*Assumptions!$B$6</f>
        <v>0</v>
      </c>
      <c r="I170" s="7" t="n">
        <f aca="false">SUMIFS(Doors!U:U,Doors!$A:$A,$D170,Doors!$B:$B,$B170,Doors!$C:$C,$C170)*SUMIFS(Velocity!$I:$I,Velocity!$A:$A,$A170,Velocity!$B:$B,$C170)/Assumptions!$B$4*Assumptions!$B$6</f>
        <v>0</v>
      </c>
      <c r="J170" s="7" t="n">
        <f aca="false">SUMIFS(Doors!V:V,Doors!$A:$A,$D170,Doors!$B:$B,$B170,Doors!$C:$C,$C170)*SUMIFS(Velocity!$I:$I,Velocity!$A:$A,$A170,Velocity!$B:$B,$C170)/Assumptions!$B$4*Assumptions!$B$6</f>
        <v>0</v>
      </c>
      <c r="K170" s="7" t="n">
        <f aca="false">SUMIFS(Doors!W:W,Doors!$A:$A,$D170,Doors!$B:$B,$B170,Doors!$C:$C,$C170)*SUMIFS(Velocity!$I:$I,Velocity!$A:$A,$A170,Velocity!$B:$B,$C170)/Assumptions!$B$4*Assumptions!$B$6</f>
        <v>0</v>
      </c>
      <c r="L170" s="7" t="n">
        <f aca="false">SUMIFS(Doors!X:X,Doors!$A:$A,$D170,Doors!$B:$B,$B170,Doors!$C:$C,$C170)*SUMIFS(Velocity!$I:$I,Velocity!$A:$A,$A170,Velocity!$B:$B,$C170)/Assumptions!$B$4*Assumptions!$B$6</f>
        <v>0</v>
      </c>
      <c r="M170" s="7" t="n">
        <f aca="false">SUMIFS(Doors!Y:Y,Doors!$A:$A,$D170,Doors!$B:$B,$B170,Doors!$C:$C,$C170)*SUMIFS(Velocity!$I:$I,Velocity!$A:$A,$A170,Velocity!$B:$B,$C170)/Assumptions!$B$4*Assumptions!$B$6</f>
        <v>0</v>
      </c>
      <c r="N170" s="7" t="n">
        <f aca="false">SUMIFS(Doors!Z:Z,Doors!$A:$A,$D170,Doors!$B:$B,$B170,Doors!$C:$C,$C170)*SUMIFS(Velocity!$I:$I,Velocity!$A:$A,$A170,Velocity!$B:$B,$C170)/Assumptions!$B$4*Assumptions!$B$6</f>
        <v>0</v>
      </c>
      <c r="O170" s="7" t="n">
        <f aca="false">SUMIFS(Doors!AA:AA,Doors!$A:$A,$D170,Doors!$B:$B,$B170,Doors!$C:$C,$C170)*SUMIFS(Velocity!$I:$I,Velocity!$A:$A,$A170,Velocity!$B:$B,$C170)/Assumptions!$B$4*Assumptions!$B$6</f>
        <v>0</v>
      </c>
      <c r="P170" s="7" t="n">
        <f aca="false">SUMIFS(Doors!AB:AB,Doors!$A:$A,$D170,Doors!$B:$B,$B170,Doors!$C:$C,$C170)*SUMIFS(Velocity!$I:$I,Velocity!$A:$A,$A170,Velocity!$B:$B,$C170)/Assumptions!$B$4*Assumptions!$B$6</f>
        <v>0</v>
      </c>
      <c r="Q170" s="7" t="n">
        <f aca="false">SUMIFS(Doors!AC:AC,Doors!$A:$A,$D170,Doors!$B:$B,$B170,Doors!$C:$C,$C170)*SUMIFS(Velocity!$I:$I,Velocity!$A:$A,$A170,Velocity!$B:$B,$C170)/Assumptions!$B$4*Assumptions!$B$6</f>
        <v>0</v>
      </c>
      <c r="R170" s="7" t="n">
        <f aca="false">SUMIFS(Doors!AD:AD,Doors!$A:$A,$D170,Doors!$B:$B,$B170,Doors!$C:$C,$C170)*SUMIFS(Velocity!$I:$I,Velocity!$A:$A,$A170,Velocity!$B:$B,$C170)/Assumptions!$B$4*Assumptions!$B$6</f>
        <v>0</v>
      </c>
      <c r="S170" s="7" t="n">
        <f aca="false">SUMIFS(Doors!AE:AE,Doors!$A:$A,$D170,Doors!$B:$B,$B170,Doors!$C:$C,$C170)*SUMIFS(Velocity!$I:$I,Velocity!$A:$A,$A170,Velocity!$B:$B,$C170)/Assumptions!$B$4*Assumptions!$B$6</f>
        <v>0</v>
      </c>
      <c r="T170" s="7" t="n">
        <f aca="false">SUMIFS(Doors!AF:AF,Doors!$A:$A,$D170,Doors!$B:$B,$B170,Doors!$C:$C,$C170)*SUMIFS(Velocity!$I:$I,Velocity!$A:$A,$A170,Velocity!$B:$B,$C170)/Assumptions!$B$4*Assumptions!$B$6</f>
        <v>0</v>
      </c>
      <c r="U170" s="7" t="n">
        <f aca="false">SUMIFS(Doors!AG:AG,Doors!$A:$A,$D170,Doors!$B:$B,$B170,Doors!$C:$C,$C170)*SUMIFS(Velocity!$I:$I,Velocity!$A:$A,$A170,Velocity!$B:$B,$C170)/Assumptions!$B$4*Assumptions!$B$6</f>
        <v>0</v>
      </c>
      <c r="V170" s="7" t="n">
        <f aca="false">SUMIFS(Doors!AH:AH,Doors!$A:$A,$D170,Doors!$B:$B,$B170,Doors!$C:$C,$C170)*SUMIFS(Velocity!$I:$I,Velocity!$A:$A,$A170,Velocity!$B:$B,$C170)/Assumptions!$B$4*Assumptions!$B$6</f>
        <v>0</v>
      </c>
      <c r="W170" s="7" t="n">
        <f aca="false">SUMIFS(Doors!AI:AI,Doors!$A:$A,$D170,Doors!$B:$B,$B170,Doors!$C:$C,$C170)*SUMIFS(Velocity!$I:$I,Velocity!$A:$A,$A170,Velocity!$B:$B,$C170)/Assumptions!$B$4*Assumptions!$B$6</f>
        <v>0</v>
      </c>
      <c r="X170" s="7" t="n">
        <f aca="false">SUMIFS(Doors!AJ:AJ,Doors!$A:$A,$D170,Doors!$B:$B,$B170,Doors!$C:$C,$C170)*SUMIFS(Velocity!$I:$I,Velocity!$A:$A,$A170,Velocity!$B:$B,$C170)/Assumptions!$B$4*Assumptions!$B$6</f>
        <v>0</v>
      </c>
      <c r="Y170" s="7" t="n">
        <f aca="false">SUMIFS(Doors!AK:AK,Doors!$A:$A,$D170,Doors!$B:$B,$B170,Doors!$C:$C,$C170)*SUMIFS(Velocity!$I:$I,Velocity!$A:$A,$A170,Velocity!$B:$B,$C170)/Assumptions!$B$4*Assumptions!$B$6</f>
        <v>0</v>
      </c>
      <c r="Z170" s="7" t="n">
        <f aca="false">SUMIFS(Doors!AL:AL,Doors!$A:$A,$D170,Doors!$B:$B,$B170,Doors!$C:$C,$C170)*SUMIFS(Velocity!$I:$I,Velocity!$A:$A,$A170,Velocity!$B:$B,$C170)/Assumptions!$B$4*Assumptions!$B$6</f>
        <v>0</v>
      </c>
      <c r="AA170" s="7" t="n">
        <f aca="false">SUMIFS(Doors!AM:AM,Doors!$A:$A,$D170,Doors!$B:$B,$B170,Doors!$C:$C,$C170)*SUMIFS(Velocity!$I:$I,Velocity!$A:$A,$A170,Velocity!$B:$B,$C170)/Assumptions!$B$4*Assumptions!$B$6</f>
        <v>0</v>
      </c>
      <c r="AB170" s="7" t="n">
        <f aca="false">SUMIFS(Doors!AN:AN,Doors!$A:$A,$D170,Doors!$B:$B,$B170,Doors!$C:$C,$C170)*SUMIFS(Velocity!$I:$I,Velocity!$A:$A,$A170,Velocity!$B:$B,$C170)/Assumptions!$B$4*Assumptions!$B$6</f>
        <v>0</v>
      </c>
      <c r="AC170" s="7" t="n">
        <f aca="false">SUMIFS(Doors!AO:AO,Doors!$A:$A,$D170,Doors!$B:$B,$B170,Doors!$C:$C,$C170)*SUMIFS(Velocity!$I:$I,Velocity!$A:$A,$A170,Velocity!$B:$B,$C170)/Assumptions!$B$4*Assumptions!$B$6</f>
        <v>0</v>
      </c>
      <c r="AD170" s="7" t="n">
        <f aca="false">SUMIFS(Doors!AP:AP,Doors!$A:$A,$D170,Doors!$B:$B,$B170,Doors!$C:$C,$C170)*SUMIFS(Velocity!$I:$I,Velocity!$A:$A,$A170,Velocity!$B:$B,$C170)/Assumptions!$B$4*Assumptions!$B$6</f>
        <v>0</v>
      </c>
      <c r="AE170" s="7" t="n">
        <f aca="false">SUMIFS(Doors!AQ:AQ,Doors!$A:$A,$D170,Doors!$B:$B,$B170,Doors!$C:$C,$C170)*SUMIFS(Velocity!$I:$I,Velocity!$A:$A,$A170,Velocity!$B:$B,$C170)/Assumptions!$B$4*Assumptions!$B$6</f>
        <v>0.566666666666667</v>
      </c>
      <c r="AF170" s="7" t="n">
        <f aca="false">SUMIFS(Doors!AR:AR,Doors!$A:$A,$D170,Doors!$B:$B,$B170,Doors!$C:$C,$C170)*SUMIFS(Velocity!$I:$I,Velocity!$A:$A,$A170,Velocity!$B:$B,$C170)/Assumptions!$B$4*Assumptions!$B$6</f>
        <v>0.566666666666667</v>
      </c>
      <c r="AG170" s="7" t="n">
        <f aca="false">SUMIFS(Doors!AS:AS,Doors!$A:$A,$D170,Doors!$B:$B,$B170,Doors!$C:$C,$C170)*SUMIFS(Velocity!$I:$I,Velocity!$A:$A,$A170,Velocity!$B:$B,$C170)/Assumptions!$B$4*Assumptions!$B$6</f>
        <v>0.566666666666667</v>
      </c>
      <c r="AH170" s="7" t="n">
        <f aca="false">SUMIFS(Doors!AT:AT,Doors!$A:$A,$D170,Doors!$B:$B,$B170,Doors!$C:$C,$C170)*SUMIFS(Velocity!$I:$I,Velocity!$A:$A,$A170,Velocity!$B:$B,$C170)/Assumptions!$B$4*Assumptions!$B$6</f>
        <v>0.566666666666667</v>
      </c>
      <c r="AI170" s="7" t="n">
        <f aca="false">SUMIFS(Doors!AU:AU,Doors!$A:$A,$D170,Doors!$B:$B,$B170,Doors!$C:$C,$C170)*SUMIFS(Velocity!$I:$I,Velocity!$A:$A,$A170,Velocity!$B:$B,$C170)/Assumptions!$B$4*Assumptions!$B$6</f>
        <v>0.566666666666667</v>
      </c>
      <c r="AJ170" s="7" t="n">
        <f aca="false">SUMIFS(Doors!AV:AV,Doors!$A:$A,$D170,Doors!$B:$B,$B170,Doors!$C:$C,$C170)*SUMIFS(Velocity!$I:$I,Velocity!$A:$A,$A170,Velocity!$B:$B,$C170)/Assumptions!$B$4*Assumptions!$B$6</f>
        <v>1.13333333333333</v>
      </c>
      <c r="AK170" s="7" t="n">
        <f aca="false">SUMIFS(Doors!AW:AW,Doors!$A:$A,$D170,Doors!$B:$B,$B170,Doors!$C:$C,$C170)*SUMIFS(Velocity!$I:$I,Velocity!$A:$A,$A170,Velocity!$B:$B,$C170)/Assumptions!$B$4*Assumptions!$B$6</f>
        <v>1.13333333333333</v>
      </c>
      <c r="AL170" s="7" t="n">
        <f aca="false">SUMIFS(Doors!AX:AX,Doors!$A:$A,$D170,Doors!$B:$B,$B170,Doors!$C:$C,$C170)*SUMIFS(Velocity!$I:$I,Velocity!$A:$A,$A170,Velocity!$B:$B,$C170)/Assumptions!$B$4*Assumptions!$B$6</f>
        <v>1.13333333333333</v>
      </c>
      <c r="AM170" s="7" t="n">
        <f aca="false">SUMIFS(Doors!AY:AY,Doors!$A:$A,$D170,Doors!$B:$B,$B170,Doors!$C:$C,$C170)*SUMIFS(Velocity!$I:$I,Velocity!$A:$A,$A170,Velocity!$B:$B,$C170)/Assumptions!$B$4*Assumptions!$B$6</f>
        <v>1.13333333333333</v>
      </c>
      <c r="AN170" s="7" t="n">
        <f aca="false">SUMIFS(Doors!AZ:AZ,Doors!$A:$A,$D170,Doors!$B:$B,$B170,Doors!$C:$C,$C170)*SUMIFS(Velocity!$I:$I,Velocity!$A:$A,$A170,Velocity!$B:$B,$C170)/Assumptions!$B$4*Assumptions!$B$6</f>
        <v>1.13333333333333</v>
      </c>
      <c r="AO170" s="7" t="n">
        <f aca="false">SUMIFS(Doors!BA:BA,Doors!$A:$A,$D170,Doors!$B:$B,$B170,Doors!$C:$C,$C170)*SUMIFS(Velocity!$I:$I,Velocity!$A:$A,$A170,Velocity!$B:$B,$C170)/Assumptions!$B$4*Assumptions!$B$6</f>
        <v>1.13333333333333</v>
      </c>
      <c r="AP170" s="7" t="n">
        <f aca="false">SUMIFS(Doors!BB:BB,Doors!$A:$A,$D170,Doors!$B:$B,$B170,Doors!$C:$C,$C170)*SUMIFS(Velocity!$I:$I,Velocity!$A:$A,$A170,Velocity!$B:$B,$C170)/Assumptions!$B$4*Assumptions!$B$6</f>
        <v>1.13333333333333</v>
      </c>
      <c r="AQ170" s="7" t="n">
        <f aca="false">SUMIFS(Doors!BC:BC,Doors!$A:$A,$D170,Doors!$B:$B,$B170,Doors!$C:$C,$C170)*SUMIFS(Velocity!$I:$I,Velocity!$A:$A,$A170,Velocity!$B:$B,$C170)/Assumptions!$B$4*Assumptions!$B$6</f>
        <v>1.13333333333333</v>
      </c>
      <c r="AR170" s="7" t="n">
        <f aca="false">SUMIFS(Doors!BD:BD,Doors!$A:$A,$D170,Doors!$B:$B,$B170,Doors!$C:$C,$C170)*SUMIFS(Velocity!$I:$I,Velocity!$A:$A,$A170,Velocity!$B:$B,$C170)/Assumptions!$B$4*Assumptions!$B$6</f>
        <v>1.7</v>
      </c>
      <c r="AS170" s="7" t="n">
        <f aca="false">SUMIFS(Doors!BE:BE,Doors!$A:$A,$D170,Doors!$B:$B,$B170,Doors!$C:$C,$C170)*SUMIFS(Velocity!$I:$I,Velocity!$A:$A,$A170,Velocity!$B:$B,$C170)/Assumptions!$B$4*Assumptions!$B$6</f>
        <v>1.7</v>
      </c>
      <c r="AT170" s="7" t="n">
        <f aca="false">SUMIFS(Doors!BF:BF,Doors!$A:$A,$D170,Doors!$B:$B,$B170,Doors!$C:$C,$C170)*SUMIFS(Velocity!$I:$I,Velocity!$A:$A,$A170,Velocity!$B:$B,$C170)/Assumptions!$B$4*Assumptions!$B$6</f>
        <v>1.7</v>
      </c>
      <c r="AU170" s="7" t="n">
        <f aca="false">SUMIFS(Doors!BG:BG,Doors!$A:$A,$D170,Doors!$B:$B,$B170,Doors!$C:$C,$C170)*SUMIFS(Velocity!$I:$I,Velocity!$A:$A,$A170,Velocity!$B:$B,$C170)/Assumptions!$B$4*Assumptions!$B$6</f>
        <v>1.7</v>
      </c>
      <c r="AV170" s="7" t="n">
        <f aca="false">SUMIFS(Doors!BH:BH,Doors!$A:$A,$D170,Doors!$B:$B,$B170,Doors!$C:$C,$C170)*SUMIFS(Velocity!$I:$I,Velocity!$A:$A,$A170,Velocity!$B:$B,$C170)/Assumptions!$B$4*Assumptions!$B$6</f>
        <v>1.7</v>
      </c>
      <c r="AW170" s="7" t="n">
        <f aca="false">SUMIFS(Doors!BI:BI,Doors!$A:$A,$D170,Doors!$B:$B,$B170,Doors!$C:$C,$C170)*SUMIFS(Velocity!$I:$I,Velocity!$A:$A,$A170,Velocity!$B:$B,$C170)/Assumptions!$B$4*Assumptions!$B$6</f>
        <v>1.7</v>
      </c>
      <c r="AX170" s="7" t="n">
        <f aca="false">SUMIFS(Doors!BJ:BJ,Doors!$A:$A,$D170,Doors!$B:$B,$B170,Doors!$C:$C,$C170)*SUMIFS(Velocity!$I:$I,Velocity!$A:$A,$A170,Velocity!$B:$B,$C170)/Assumptions!$B$4*Assumptions!$B$6</f>
        <v>1.7</v>
      </c>
      <c r="AY170" s="7" t="n">
        <f aca="false">SUMIFS(Doors!BK:BK,Doors!$A:$A,$D170,Doors!$B:$B,$B170,Doors!$C:$C,$C170)*SUMIFS(Velocity!$I:$I,Velocity!$A:$A,$A170,Velocity!$B:$B,$C170)/Assumptions!$B$4*Assumptions!$B$6</f>
        <v>1.7</v>
      </c>
      <c r="AZ170" s="7" t="n">
        <f aca="false">SUMIFS(Doors!BL:BL,Doors!$A:$A,$D170,Doors!$B:$B,$B170,Doors!$C:$C,$C170)*SUMIFS(Velocity!$I:$I,Velocity!$A:$A,$A170,Velocity!$B:$B,$C170)/Assumptions!$B$4*Assumptions!$B$6</f>
        <v>1.7</v>
      </c>
      <c r="BA170" s="7" t="n">
        <f aca="false">SUMIFS(Doors!BM:BM,Doors!$A:$A,$D170,Doors!$B:$B,$B170,Doors!$C:$C,$C170)*SUMIFS(Velocity!$I:$I,Velocity!$A:$A,$A170,Velocity!$B:$B,$C170)/Assumptions!$B$4*Assumptions!$B$6</f>
        <v>1.7</v>
      </c>
      <c r="BB170" s="7" t="n">
        <f aca="false">SUMIFS(Doors!BN:BN,Doors!$A:$A,$D170,Doors!$B:$B,$B170,Doors!$C:$C,$C170)*SUMIFS(Velocity!$I:$I,Velocity!$A:$A,$A170,Velocity!$B:$B,$C170)/Assumptions!$B$4*Assumptions!$B$6</f>
        <v>1.7</v>
      </c>
      <c r="BC170" s="7" t="n">
        <f aca="false">SUMIFS(Doors!BO:BO,Doors!$A:$A,$D170,Doors!$B:$B,$B170,Doors!$C:$C,$C170)*SUMIFS(Velocity!$I:$I,Velocity!$A:$A,$A170,Velocity!$B:$B,$C170)/Assumptions!$B$4*Assumptions!$B$6</f>
        <v>1.7</v>
      </c>
      <c r="BD170" s="7" t="n">
        <f aca="false">SUMIFS(Doors!BP:BP,Doors!$A:$A,$D170,Doors!$B:$B,$B170,Doors!$C:$C,$C170)*SUMIFS(Velocity!$I:$I,Velocity!$A:$A,$A170,Velocity!$B:$B,$C170)/Assumptions!$B$4*Assumptions!$B$6</f>
        <v>1.7</v>
      </c>
    </row>
    <row r="171" customFormat="false" ht="15" hidden="false" customHeight="false" outlineLevel="0" collapsed="false">
      <c r="A171" s="0" t="s">
        <v>109</v>
      </c>
      <c r="B171" s="0" t="s">
        <v>134</v>
      </c>
      <c r="C171" s="0" t="s">
        <v>118</v>
      </c>
      <c r="D171" s="0" t="s">
        <v>235</v>
      </c>
      <c r="E171" s="7" t="n">
        <f aca="false">SUMIFS(Doors!Q:Q,Doors!$A:$A,$D171,Doors!$B:$B,$B171,Doors!$C:$C,$C171)*SUMIFS(Velocity!$I:$I,Velocity!$A:$A,$A171,Velocity!$B:$B,$C171)/Assumptions!$B$4*Assumptions!$B$6</f>
        <v>0</v>
      </c>
      <c r="F171" s="7" t="n">
        <f aca="false">SUMIFS(Doors!R:R,Doors!$A:$A,$D171,Doors!$B:$B,$B171,Doors!$C:$C,$C171)*SUMIFS(Velocity!$I:$I,Velocity!$A:$A,$A171,Velocity!$B:$B,$C171)/Assumptions!$B$4*Assumptions!$B$6</f>
        <v>0</v>
      </c>
      <c r="G171" s="7" t="n">
        <f aca="false">SUMIFS(Doors!S:S,Doors!$A:$A,$D171,Doors!$B:$B,$B171,Doors!$C:$C,$C171)*SUMIFS(Velocity!$I:$I,Velocity!$A:$A,$A171,Velocity!$B:$B,$C171)/Assumptions!$B$4*Assumptions!$B$6</f>
        <v>0</v>
      </c>
      <c r="H171" s="7" t="n">
        <f aca="false">SUMIFS(Doors!T:T,Doors!$A:$A,$D171,Doors!$B:$B,$B171,Doors!$C:$C,$C171)*SUMIFS(Velocity!$I:$I,Velocity!$A:$A,$A171,Velocity!$B:$B,$C171)/Assumptions!$B$4*Assumptions!$B$6</f>
        <v>0</v>
      </c>
      <c r="I171" s="7" t="n">
        <f aca="false">SUMIFS(Doors!U:U,Doors!$A:$A,$D171,Doors!$B:$B,$B171,Doors!$C:$C,$C171)*SUMIFS(Velocity!$I:$I,Velocity!$A:$A,$A171,Velocity!$B:$B,$C171)/Assumptions!$B$4*Assumptions!$B$6</f>
        <v>0</v>
      </c>
      <c r="J171" s="7" t="n">
        <f aca="false">SUMIFS(Doors!V:V,Doors!$A:$A,$D171,Doors!$B:$B,$B171,Doors!$C:$C,$C171)*SUMIFS(Velocity!$I:$I,Velocity!$A:$A,$A171,Velocity!$B:$B,$C171)/Assumptions!$B$4*Assumptions!$B$6</f>
        <v>0</v>
      </c>
      <c r="K171" s="7" t="n">
        <f aca="false">SUMIFS(Doors!W:W,Doors!$A:$A,$D171,Doors!$B:$B,$B171,Doors!$C:$C,$C171)*SUMIFS(Velocity!$I:$I,Velocity!$A:$A,$A171,Velocity!$B:$B,$C171)/Assumptions!$B$4*Assumptions!$B$6</f>
        <v>0</v>
      </c>
      <c r="L171" s="7" t="n">
        <f aca="false">SUMIFS(Doors!X:X,Doors!$A:$A,$D171,Doors!$B:$B,$B171,Doors!$C:$C,$C171)*SUMIFS(Velocity!$I:$I,Velocity!$A:$A,$A171,Velocity!$B:$B,$C171)/Assumptions!$B$4*Assumptions!$B$6</f>
        <v>0</v>
      </c>
      <c r="M171" s="7" t="n">
        <f aca="false">SUMIFS(Doors!Y:Y,Doors!$A:$A,$D171,Doors!$B:$B,$B171,Doors!$C:$C,$C171)*SUMIFS(Velocity!$I:$I,Velocity!$A:$A,$A171,Velocity!$B:$B,$C171)/Assumptions!$B$4*Assumptions!$B$6</f>
        <v>0</v>
      </c>
      <c r="N171" s="7" t="n">
        <f aca="false">SUMIFS(Doors!Z:Z,Doors!$A:$A,$D171,Doors!$B:$B,$B171,Doors!$C:$C,$C171)*SUMIFS(Velocity!$I:$I,Velocity!$A:$A,$A171,Velocity!$B:$B,$C171)/Assumptions!$B$4*Assumptions!$B$6</f>
        <v>0</v>
      </c>
      <c r="O171" s="7" t="n">
        <f aca="false">SUMIFS(Doors!AA:AA,Doors!$A:$A,$D171,Doors!$B:$B,$B171,Doors!$C:$C,$C171)*SUMIFS(Velocity!$I:$I,Velocity!$A:$A,$A171,Velocity!$B:$B,$C171)/Assumptions!$B$4*Assumptions!$B$6</f>
        <v>0</v>
      </c>
      <c r="P171" s="7" t="n">
        <f aca="false">SUMIFS(Doors!AB:AB,Doors!$A:$A,$D171,Doors!$B:$B,$B171,Doors!$C:$C,$C171)*SUMIFS(Velocity!$I:$I,Velocity!$A:$A,$A171,Velocity!$B:$B,$C171)/Assumptions!$B$4*Assumptions!$B$6</f>
        <v>0</v>
      </c>
      <c r="Q171" s="7" t="n">
        <f aca="false">SUMIFS(Doors!AC:AC,Doors!$A:$A,$D171,Doors!$B:$B,$B171,Doors!$C:$C,$C171)*SUMIFS(Velocity!$I:$I,Velocity!$A:$A,$A171,Velocity!$B:$B,$C171)/Assumptions!$B$4*Assumptions!$B$6</f>
        <v>0</v>
      </c>
      <c r="R171" s="7" t="n">
        <f aca="false">SUMIFS(Doors!AD:AD,Doors!$A:$A,$D171,Doors!$B:$B,$B171,Doors!$C:$C,$C171)*SUMIFS(Velocity!$I:$I,Velocity!$A:$A,$A171,Velocity!$B:$B,$C171)/Assumptions!$B$4*Assumptions!$B$6</f>
        <v>0</v>
      </c>
      <c r="S171" s="7" t="n">
        <f aca="false">SUMIFS(Doors!AE:AE,Doors!$A:$A,$D171,Doors!$B:$B,$B171,Doors!$C:$C,$C171)*SUMIFS(Velocity!$I:$I,Velocity!$A:$A,$A171,Velocity!$B:$B,$C171)/Assumptions!$B$4*Assumptions!$B$6</f>
        <v>0</v>
      </c>
      <c r="T171" s="7" t="n">
        <f aca="false">SUMIFS(Doors!AF:AF,Doors!$A:$A,$D171,Doors!$B:$B,$B171,Doors!$C:$C,$C171)*SUMIFS(Velocity!$I:$I,Velocity!$A:$A,$A171,Velocity!$B:$B,$C171)/Assumptions!$B$4*Assumptions!$B$6</f>
        <v>0</v>
      </c>
      <c r="U171" s="7" t="n">
        <f aca="false">SUMIFS(Doors!AG:AG,Doors!$A:$A,$D171,Doors!$B:$B,$B171,Doors!$C:$C,$C171)*SUMIFS(Velocity!$I:$I,Velocity!$A:$A,$A171,Velocity!$B:$B,$C171)/Assumptions!$B$4*Assumptions!$B$6</f>
        <v>0</v>
      </c>
      <c r="V171" s="7" t="n">
        <f aca="false">SUMIFS(Doors!AH:AH,Doors!$A:$A,$D171,Doors!$B:$B,$B171,Doors!$C:$C,$C171)*SUMIFS(Velocity!$I:$I,Velocity!$A:$A,$A171,Velocity!$B:$B,$C171)/Assumptions!$B$4*Assumptions!$B$6</f>
        <v>0</v>
      </c>
      <c r="W171" s="7" t="n">
        <f aca="false">SUMIFS(Doors!AI:AI,Doors!$A:$A,$D171,Doors!$B:$B,$B171,Doors!$C:$C,$C171)*SUMIFS(Velocity!$I:$I,Velocity!$A:$A,$A171,Velocity!$B:$B,$C171)/Assumptions!$B$4*Assumptions!$B$6</f>
        <v>0</v>
      </c>
      <c r="X171" s="7" t="n">
        <f aca="false">SUMIFS(Doors!AJ:AJ,Doors!$A:$A,$D171,Doors!$B:$B,$B171,Doors!$C:$C,$C171)*SUMIFS(Velocity!$I:$I,Velocity!$A:$A,$A171,Velocity!$B:$B,$C171)/Assumptions!$B$4*Assumptions!$B$6</f>
        <v>0</v>
      </c>
      <c r="Y171" s="7" t="n">
        <f aca="false">SUMIFS(Doors!AK:AK,Doors!$A:$A,$D171,Doors!$B:$B,$B171,Doors!$C:$C,$C171)*SUMIFS(Velocity!$I:$I,Velocity!$A:$A,$A171,Velocity!$B:$B,$C171)/Assumptions!$B$4*Assumptions!$B$6</f>
        <v>0</v>
      </c>
      <c r="Z171" s="7" t="n">
        <f aca="false">SUMIFS(Doors!AL:AL,Doors!$A:$A,$D171,Doors!$B:$B,$B171,Doors!$C:$C,$C171)*SUMIFS(Velocity!$I:$I,Velocity!$A:$A,$A171,Velocity!$B:$B,$C171)/Assumptions!$B$4*Assumptions!$B$6</f>
        <v>0</v>
      </c>
      <c r="AA171" s="7" t="n">
        <f aca="false">SUMIFS(Doors!AM:AM,Doors!$A:$A,$D171,Doors!$B:$B,$B171,Doors!$C:$C,$C171)*SUMIFS(Velocity!$I:$I,Velocity!$A:$A,$A171,Velocity!$B:$B,$C171)/Assumptions!$B$4*Assumptions!$B$6</f>
        <v>0</v>
      </c>
      <c r="AB171" s="7" t="n">
        <f aca="false">SUMIFS(Doors!AN:AN,Doors!$A:$A,$D171,Doors!$B:$B,$B171,Doors!$C:$C,$C171)*SUMIFS(Velocity!$I:$I,Velocity!$A:$A,$A171,Velocity!$B:$B,$C171)/Assumptions!$B$4*Assumptions!$B$6</f>
        <v>0</v>
      </c>
      <c r="AC171" s="7" t="n">
        <f aca="false">SUMIFS(Doors!AO:AO,Doors!$A:$A,$D171,Doors!$B:$B,$B171,Doors!$C:$C,$C171)*SUMIFS(Velocity!$I:$I,Velocity!$A:$A,$A171,Velocity!$B:$B,$C171)/Assumptions!$B$4*Assumptions!$B$6</f>
        <v>0</v>
      </c>
      <c r="AD171" s="7" t="n">
        <f aca="false">SUMIFS(Doors!AP:AP,Doors!$A:$A,$D171,Doors!$B:$B,$B171,Doors!$C:$C,$C171)*SUMIFS(Velocity!$I:$I,Velocity!$A:$A,$A171,Velocity!$B:$B,$C171)/Assumptions!$B$4*Assumptions!$B$6</f>
        <v>0</v>
      </c>
      <c r="AE171" s="7" t="n">
        <f aca="false">SUMIFS(Doors!AQ:AQ,Doors!$A:$A,$D171,Doors!$B:$B,$B171,Doors!$C:$C,$C171)*SUMIFS(Velocity!$I:$I,Velocity!$A:$A,$A171,Velocity!$B:$B,$C171)/Assumptions!$B$4*Assumptions!$B$6</f>
        <v>0</v>
      </c>
      <c r="AF171" s="7" t="n">
        <f aca="false">SUMIFS(Doors!AR:AR,Doors!$A:$A,$D171,Doors!$B:$B,$B171,Doors!$C:$C,$C171)*SUMIFS(Velocity!$I:$I,Velocity!$A:$A,$A171,Velocity!$B:$B,$C171)/Assumptions!$B$4*Assumptions!$B$6</f>
        <v>0</v>
      </c>
      <c r="AG171" s="7" t="n">
        <f aca="false">SUMIFS(Doors!AS:AS,Doors!$A:$A,$D171,Doors!$B:$B,$B171,Doors!$C:$C,$C171)*SUMIFS(Velocity!$I:$I,Velocity!$A:$A,$A171,Velocity!$B:$B,$C171)/Assumptions!$B$4*Assumptions!$B$6</f>
        <v>0</v>
      </c>
      <c r="AH171" s="7" t="n">
        <f aca="false">SUMIFS(Doors!AT:AT,Doors!$A:$A,$D171,Doors!$B:$B,$B171,Doors!$C:$C,$C171)*SUMIFS(Velocity!$I:$I,Velocity!$A:$A,$A171,Velocity!$B:$B,$C171)/Assumptions!$B$4*Assumptions!$B$6</f>
        <v>0</v>
      </c>
      <c r="AI171" s="7" t="n">
        <f aca="false">SUMIFS(Doors!AU:AU,Doors!$A:$A,$D171,Doors!$B:$B,$B171,Doors!$C:$C,$C171)*SUMIFS(Velocity!$I:$I,Velocity!$A:$A,$A171,Velocity!$B:$B,$C171)/Assumptions!$B$4*Assumptions!$B$6</f>
        <v>0</v>
      </c>
      <c r="AJ171" s="7" t="n">
        <f aca="false">SUMIFS(Doors!AV:AV,Doors!$A:$A,$D171,Doors!$B:$B,$B171,Doors!$C:$C,$C171)*SUMIFS(Velocity!$I:$I,Velocity!$A:$A,$A171,Velocity!$B:$B,$C171)/Assumptions!$B$4*Assumptions!$B$6</f>
        <v>0</v>
      </c>
      <c r="AK171" s="7" t="n">
        <f aca="false">SUMIFS(Doors!AW:AW,Doors!$A:$A,$D171,Doors!$B:$B,$B171,Doors!$C:$C,$C171)*SUMIFS(Velocity!$I:$I,Velocity!$A:$A,$A171,Velocity!$B:$B,$C171)/Assumptions!$B$4*Assumptions!$B$6</f>
        <v>0</v>
      </c>
      <c r="AL171" s="7" t="n">
        <f aca="false">SUMIFS(Doors!AX:AX,Doors!$A:$A,$D171,Doors!$B:$B,$B171,Doors!$C:$C,$C171)*SUMIFS(Velocity!$I:$I,Velocity!$A:$A,$A171,Velocity!$B:$B,$C171)/Assumptions!$B$4*Assumptions!$B$6</f>
        <v>0</v>
      </c>
      <c r="AM171" s="7" t="n">
        <f aca="false">SUMIFS(Doors!AY:AY,Doors!$A:$A,$D171,Doors!$B:$B,$B171,Doors!$C:$C,$C171)*SUMIFS(Velocity!$I:$I,Velocity!$A:$A,$A171,Velocity!$B:$B,$C171)/Assumptions!$B$4*Assumptions!$B$6</f>
        <v>0</v>
      </c>
      <c r="AN171" s="7" t="n">
        <f aca="false">SUMIFS(Doors!AZ:AZ,Doors!$A:$A,$D171,Doors!$B:$B,$B171,Doors!$C:$C,$C171)*SUMIFS(Velocity!$I:$I,Velocity!$A:$A,$A171,Velocity!$B:$B,$C171)/Assumptions!$B$4*Assumptions!$B$6</f>
        <v>0</v>
      </c>
      <c r="AO171" s="7" t="n">
        <f aca="false">SUMIFS(Doors!BA:BA,Doors!$A:$A,$D171,Doors!$B:$B,$B171,Doors!$C:$C,$C171)*SUMIFS(Velocity!$I:$I,Velocity!$A:$A,$A171,Velocity!$B:$B,$C171)/Assumptions!$B$4*Assumptions!$B$6</f>
        <v>0</v>
      </c>
      <c r="AP171" s="7" t="n">
        <f aca="false">SUMIFS(Doors!BB:BB,Doors!$A:$A,$D171,Doors!$B:$B,$B171,Doors!$C:$C,$C171)*SUMIFS(Velocity!$I:$I,Velocity!$A:$A,$A171,Velocity!$B:$B,$C171)/Assumptions!$B$4*Assumptions!$B$6</f>
        <v>0</v>
      </c>
      <c r="AQ171" s="7" t="n">
        <f aca="false">SUMIFS(Doors!BC:BC,Doors!$A:$A,$D171,Doors!$B:$B,$B171,Doors!$C:$C,$C171)*SUMIFS(Velocity!$I:$I,Velocity!$A:$A,$A171,Velocity!$B:$B,$C171)/Assumptions!$B$4*Assumptions!$B$6</f>
        <v>0</v>
      </c>
      <c r="AR171" s="7" t="n">
        <f aca="false">SUMIFS(Doors!BD:BD,Doors!$A:$A,$D171,Doors!$B:$B,$B171,Doors!$C:$C,$C171)*SUMIFS(Velocity!$I:$I,Velocity!$A:$A,$A171,Velocity!$B:$B,$C171)/Assumptions!$B$4*Assumptions!$B$6</f>
        <v>0</v>
      </c>
      <c r="AS171" s="7" t="n">
        <f aca="false">SUMIFS(Doors!BE:BE,Doors!$A:$A,$D171,Doors!$B:$B,$B171,Doors!$C:$C,$C171)*SUMIFS(Velocity!$I:$I,Velocity!$A:$A,$A171,Velocity!$B:$B,$C171)/Assumptions!$B$4*Assumptions!$B$6</f>
        <v>0</v>
      </c>
      <c r="AT171" s="7" t="n">
        <f aca="false">SUMIFS(Doors!BF:BF,Doors!$A:$A,$D171,Doors!$B:$B,$B171,Doors!$C:$C,$C171)*SUMIFS(Velocity!$I:$I,Velocity!$A:$A,$A171,Velocity!$B:$B,$C171)/Assumptions!$B$4*Assumptions!$B$6</f>
        <v>0</v>
      </c>
      <c r="AU171" s="7" t="n">
        <f aca="false">SUMIFS(Doors!BG:BG,Doors!$A:$A,$D171,Doors!$B:$B,$B171,Doors!$C:$C,$C171)*SUMIFS(Velocity!$I:$I,Velocity!$A:$A,$A171,Velocity!$B:$B,$C171)/Assumptions!$B$4*Assumptions!$B$6</f>
        <v>0</v>
      </c>
      <c r="AV171" s="7" t="n">
        <f aca="false">SUMIFS(Doors!BH:BH,Doors!$A:$A,$D171,Doors!$B:$B,$B171,Doors!$C:$C,$C171)*SUMIFS(Velocity!$I:$I,Velocity!$A:$A,$A171,Velocity!$B:$B,$C171)/Assumptions!$B$4*Assumptions!$B$6</f>
        <v>0</v>
      </c>
      <c r="AW171" s="7" t="n">
        <f aca="false">SUMIFS(Doors!BI:BI,Doors!$A:$A,$D171,Doors!$B:$B,$B171,Doors!$C:$C,$C171)*SUMIFS(Velocity!$I:$I,Velocity!$A:$A,$A171,Velocity!$B:$B,$C171)/Assumptions!$B$4*Assumptions!$B$6</f>
        <v>0</v>
      </c>
      <c r="AX171" s="7" t="n">
        <f aca="false">SUMIFS(Doors!BJ:BJ,Doors!$A:$A,$D171,Doors!$B:$B,$B171,Doors!$C:$C,$C171)*SUMIFS(Velocity!$I:$I,Velocity!$A:$A,$A171,Velocity!$B:$B,$C171)/Assumptions!$B$4*Assumptions!$B$6</f>
        <v>0</v>
      </c>
      <c r="AY171" s="7" t="n">
        <f aca="false">SUMIFS(Doors!BK:BK,Doors!$A:$A,$D171,Doors!$B:$B,$B171,Doors!$C:$C,$C171)*SUMIFS(Velocity!$I:$I,Velocity!$A:$A,$A171,Velocity!$B:$B,$C171)/Assumptions!$B$4*Assumptions!$B$6</f>
        <v>0</v>
      </c>
      <c r="AZ171" s="7" t="n">
        <f aca="false">SUMIFS(Doors!BL:BL,Doors!$A:$A,$D171,Doors!$B:$B,$B171,Doors!$C:$C,$C171)*SUMIFS(Velocity!$I:$I,Velocity!$A:$A,$A171,Velocity!$B:$B,$C171)/Assumptions!$B$4*Assumptions!$B$6</f>
        <v>0</v>
      </c>
      <c r="BA171" s="7" t="n">
        <f aca="false">SUMIFS(Doors!BM:BM,Doors!$A:$A,$D171,Doors!$B:$B,$B171,Doors!$C:$C,$C171)*SUMIFS(Velocity!$I:$I,Velocity!$A:$A,$A171,Velocity!$B:$B,$C171)/Assumptions!$B$4*Assumptions!$B$6</f>
        <v>0</v>
      </c>
      <c r="BB171" s="7" t="n">
        <f aca="false">SUMIFS(Doors!BN:BN,Doors!$A:$A,$D171,Doors!$B:$B,$B171,Doors!$C:$C,$C171)*SUMIFS(Velocity!$I:$I,Velocity!$A:$A,$A171,Velocity!$B:$B,$C171)/Assumptions!$B$4*Assumptions!$B$6</f>
        <v>0</v>
      </c>
      <c r="BC171" s="7" t="n">
        <f aca="false">SUMIFS(Doors!BO:BO,Doors!$A:$A,$D171,Doors!$B:$B,$B171,Doors!$C:$C,$C171)*SUMIFS(Velocity!$I:$I,Velocity!$A:$A,$A171,Velocity!$B:$B,$C171)/Assumptions!$B$4*Assumptions!$B$6</f>
        <v>0</v>
      </c>
      <c r="BD171" s="7" t="n">
        <f aca="false">SUMIFS(Doors!BP:BP,Doors!$A:$A,$D171,Doors!$B:$B,$B171,Doors!$C:$C,$C171)*SUMIFS(Velocity!$I:$I,Velocity!$A:$A,$A171,Velocity!$B:$B,$C171)/Assumptions!$B$4*Assumptions!$B$6</f>
        <v>0</v>
      </c>
    </row>
    <row r="172" customFormat="false" ht="15" hidden="false" customHeight="false" outlineLevel="0" collapsed="false">
      <c r="A172" s="0" t="s">
        <v>109</v>
      </c>
      <c r="B172" s="0" t="s">
        <v>134</v>
      </c>
      <c r="C172" s="0" t="s">
        <v>119</v>
      </c>
      <c r="D172" s="0" t="s">
        <v>235</v>
      </c>
      <c r="E172" s="7" t="n">
        <f aca="false">SUMIFS(Doors!Q:Q,Doors!$A:$A,$D172,Doors!$B:$B,$B172,Doors!$C:$C,$C172)*SUMIFS(Velocity!$I:$I,Velocity!$A:$A,$A172,Velocity!$B:$B,$C172)/Assumptions!$B$4*Assumptions!$B$6</f>
        <v>0.166666666666667</v>
      </c>
      <c r="F172" s="7" t="n">
        <f aca="false">SUMIFS(Doors!R:R,Doors!$A:$A,$D172,Doors!$B:$B,$B172,Doors!$C:$C,$C172)*SUMIFS(Velocity!$I:$I,Velocity!$A:$A,$A172,Velocity!$B:$B,$C172)/Assumptions!$B$4*Assumptions!$B$6</f>
        <v>0.166666666666667</v>
      </c>
      <c r="G172" s="7" t="n">
        <f aca="false">SUMIFS(Doors!S:S,Doors!$A:$A,$D172,Doors!$B:$B,$B172,Doors!$C:$C,$C172)*SUMIFS(Velocity!$I:$I,Velocity!$A:$A,$A172,Velocity!$B:$B,$C172)/Assumptions!$B$4*Assumptions!$B$6</f>
        <v>0.166666666666667</v>
      </c>
      <c r="H172" s="7" t="n">
        <f aca="false">SUMIFS(Doors!T:T,Doors!$A:$A,$D172,Doors!$B:$B,$B172,Doors!$C:$C,$C172)*SUMIFS(Velocity!$I:$I,Velocity!$A:$A,$A172,Velocity!$B:$B,$C172)/Assumptions!$B$4*Assumptions!$B$6</f>
        <v>0.166666666666667</v>
      </c>
      <c r="I172" s="7" t="n">
        <f aca="false">SUMIFS(Doors!U:U,Doors!$A:$A,$D172,Doors!$B:$B,$B172,Doors!$C:$C,$C172)*SUMIFS(Velocity!$I:$I,Velocity!$A:$A,$A172,Velocity!$B:$B,$C172)/Assumptions!$B$4*Assumptions!$B$6</f>
        <v>0.166666666666667</v>
      </c>
      <c r="J172" s="7" t="n">
        <f aca="false">SUMIFS(Doors!V:V,Doors!$A:$A,$D172,Doors!$B:$B,$B172,Doors!$C:$C,$C172)*SUMIFS(Velocity!$I:$I,Velocity!$A:$A,$A172,Velocity!$B:$B,$C172)/Assumptions!$B$4*Assumptions!$B$6</f>
        <v>0.166666666666667</v>
      </c>
      <c r="K172" s="7" t="n">
        <f aca="false">SUMIFS(Doors!W:W,Doors!$A:$A,$D172,Doors!$B:$B,$B172,Doors!$C:$C,$C172)*SUMIFS(Velocity!$I:$I,Velocity!$A:$A,$A172,Velocity!$B:$B,$C172)/Assumptions!$B$4*Assumptions!$B$6</f>
        <v>0.166666666666667</v>
      </c>
      <c r="L172" s="7" t="n">
        <f aca="false">SUMIFS(Doors!X:X,Doors!$A:$A,$D172,Doors!$B:$B,$B172,Doors!$C:$C,$C172)*SUMIFS(Velocity!$I:$I,Velocity!$A:$A,$A172,Velocity!$B:$B,$C172)/Assumptions!$B$4*Assumptions!$B$6</f>
        <v>0.166666666666667</v>
      </c>
      <c r="M172" s="7" t="n">
        <f aca="false">SUMIFS(Doors!Y:Y,Doors!$A:$A,$D172,Doors!$B:$B,$B172,Doors!$C:$C,$C172)*SUMIFS(Velocity!$I:$I,Velocity!$A:$A,$A172,Velocity!$B:$B,$C172)/Assumptions!$B$4*Assumptions!$B$6</f>
        <v>0.166666666666667</v>
      </c>
      <c r="N172" s="7" t="n">
        <f aca="false">SUMIFS(Doors!Z:Z,Doors!$A:$A,$D172,Doors!$B:$B,$B172,Doors!$C:$C,$C172)*SUMIFS(Velocity!$I:$I,Velocity!$A:$A,$A172,Velocity!$B:$B,$C172)/Assumptions!$B$4*Assumptions!$B$6</f>
        <v>0.333333333333333</v>
      </c>
      <c r="O172" s="7" t="n">
        <f aca="false">SUMIFS(Doors!AA:AA,Doors!$A:$A,$D172,Doors!$B:$B,$B172,Doors!$C:$C,$C172)*SUMIFS(Velocity!$I:$I,Velocity!$A:$A,$A172,Velocity!$B:$B,$C172)/Assumptions!$B$4*Assumptions!$B$6</f>
        <v>0.333333333333333</v>
      </c>
      <c r="P172" s="7" t="n">
        <f aca="false">SUMIFS(Doors!AB:AB,Doors!$A:$A,$D172,Doors!$B:$B,$B172,Doors!$C:$C,$C172)*SUMIFS(Velocity!$I:$I,Velocity!$A:$A,$A172,Velocity!$B:$B,$C172)/Assumptions!$B$4*Assumptions!$B$6</f>
        <v>0.333333333333333</v>
      </c>
      <c r="Q172" s="7" t="n">
        <f aca="false">SUMIFS(Doors!AC:AC,Doors!$A:$A,$D172,Doors!$B:$B,$B172,Doors!$C:$C,$C172)*SUMIFS(Velocity!$I:$I,Velocity!$A:$A,$A172,Velocity!$B:$B,$C172)/Assumptions!$B$4*Assumptions!$B$6</f>
        <v>0.333333333333333</v>
      </c>
      <c r="R172" s="7" t="n">
        <f aca="false">SUMIFS(Doors!AD:AD,Doors!$A:$A,$D172,Doors!$B:$B,$B172,Doors!$C:$C,$C172)*SUMIFS(Velocity!$I:$I,Velocity!$A:$A,$A172,Velocity!$B:$B,$C172)/Assumptions!$B$4*Assumptions!$B$6</f>
        <v>0.333333333333333</v>
      </c>
      <c r="S172" s="7" t="n">
        <f aca="false">SUMIFS(Doors!AE:AE,Doors!$A:$A,$D172,Doors!$B:$B,$B172,Doors!$C:$C,$C172)*SUMIFS(Velocity!$I:$I,Velocity!$A:$A,$A172,Velocity!$B:$B,$C172)/Assumptions!$B$4*Assumptions!$B$6</f>
        <v>0.333333333333333</v>
      </c>
      <c r="T172" s="7" t="n">
        <f aca="false">SUMIFS(Doors!AF:AF,Doors!$A:$A,$D172,Doors!$B:$B,$B172,Doors!$C:$C,$C172)*SUMIFS(Velocity!$I:$I,Velocity!$A:$A,$A172,Velocity!$B:$B,$C172)/Assumptions!$B$4*Assumptions!$B$6</f>
        <v>0.333333333333333</v>
      </c>
      <c r="U172" s="7" t="n">
        <f aca="false">SUMIFS(Doors!AG:AG,Doors!$A:$A,$D172,Doors!$B:$B,$B172,Doors!$C:$C,$C172)*SUMIFS(Velocity!$I:$I,Velocity!$A:$A,$A172,Velocity!$B:$B,$C172)/Assumptions!$B$4*Assumptions!$B$6</f>
        <v>0.333333333333333</v>
      </c>
      <c r="V172" s="7" t="n">
        <f aca="false">SUMIFS(Doors!AH:AH,Doors!$A:$A,$D172,Doors!$B:$B,$B172,Doors!$C:$C,$C172)*SUMIFS(Velocity!$I:$I,Velocity!$A:$A,$A172,Velocity!$B:$B,$C172)/Assumptions!$B$4*Assumptions!$B$6</f>
        <v>0.333333333333333</v>
      </c>
      <c r="W172" s="7" t="n">
        <f aca="false">SUMIFS(Doors!AI:AI,Doors!$A:$A,$D172,Doors!$B:$B,$B172,Doors!$C:$C,$C172)*SUMIFS(Velocity!$I:$I,Velocity!$A:$A,$A172,Velocity!$B:$B,$C172)/Assumptions!$B$4*Assumptions!$B$6</f>
        <v>0.5</v>
      </c>
      <c r="X172" s="7" t="n">
        <f aca="false">SUMIFS(Doors!AJ:AJ,Doors!$A:$A,$D172,Doors!$B:$B,$B172,Doors!$C:$C,$C172)*SUMIFS(Velocity!$I:$I,Velocity!$A:$A,$A172,Velocity!$B:$B,$C172)/Assumptions!$B$4*Assumptions!$B$6</f>
        <v>0.5</v>
      </c>
      <c r="Y172" s="7" t="n">
        <f aca="false">SUMIFS(Doors!AK:AK,Doors!$A:$A,$D172,Doors!$B:$B,$B172,Doors!$C:$C,$C172)*SUMIFS(Velocity!$I:$I,Velocity!$A:$A,$A172,Velocity!$B:$B,$C172)/Assumptions!$B$4*Assumptions!$B$6</f>
        <v>0.5</v>
      </c>
      <c r="Z172" s="7" t="n">
        <f aca="false">SUMIFS(Doors!AL:AL,Doors!$A:$A,$D172,Doors!$B:$B,$B172,Doors!$C:$C,$C172)*SUMIFS(Velocity!$I:$I,Velocity!$A:$A,$A172,Velocity!$B:$B,$C172)/Assumptions!$B$4*Assumptions!$B$6</f>
        <v>0.5</v>
      </c>
      <c r="AA172" s="7" t="n">
        <f aca="false">SUMIFS(Doors!AM:AM,Doors!$A:$A,$D172,Doors!$B:$B,$B172,Doors!$C:$C,$C172)*SUMIFS(Velocity!$I:$I,Velocity!$A:$A,$A172,Velocity!$B:$B,$C172)/Assumptions!$B$4*Assumptions!$B$6</f>
        <v>0.5</v>
      </c>
      <c r="AB172" s="7" t="n">
        <f aca="false">SUMIFS(Doors!AN:AN,Doors!$A:$A,$D172,Doors!$B:$B,$B172,Doors!$C:$C,$C172)*SUMIFS(Velocity!$I:$I,Velocity!$A:$A,$A172,Velocity!$B:$B,$C172)/Assumptions!$B$4*Assumptions!$B$6</f>
        <v>0.5</v>
      </c>
      <c r="AC172" s="7" t="n">
        <f aca="false">SUMIFS(Doors!AO:AO,Doors!$A:$A,$D172,Doors!$B:$B,$B172,Doors!$C:$C,$C172)*SUMIFS(Velocity!$I:$I,Velocity!$A:$A,$A172,Velocity!$B:$B,$C172)/Assumptions!$B$4*Assumptions!$B$6</f>
        <v>0.5</v>
      </c>
      <c r="AD172" s="7" t="n">
        <f aca="false">SUMIFS(Doors!AP:AP,Doors!$A:$A,$D172,Doors!$B:$B,$B172,Doors!$C:$C,$C172)*SUMIFS(Velocity!$I:$I,Velocity!$A:$A,$A172,Velocity!$B:$B,$C172)/Assumptions!$B$4*Assumptions!$B$6</f>
        <v>0.5</v>
      </c>
      <c r="AE172" s="7" t="n">
        <f aca="false">SUMIFS(Doors!AQ:AQ,Doors!$A:$A,$D172,Doors!$B:$B,$B172,Doors!$C:$C,$C172)*SUMIFS(Velocity!$I:$I,Velocity!$A:$A,$A172,Velocity!$B:$B,$C172)/Assumptions!$B$4*Assumptions!$B$6</f>
        <v>0.666666666666667</v>
      </c>
      <c r="AF172" s="7" t="n">
        <f aca="false">SUMIFS(Doors!AR:AR,Doors!$A:$A,$D172,Doors!$B:$B,$B172,Doors!$C:$C,$C172)*SUMIFS(Velocity!$I:$I,Velocity!$A:$A,$A172,Velocity!$B:$B,$C172)/Assumptions!$B$4*Assumptions!$B$6</f>
        <v>0.666666666666667</v>
      </c>
      <c r="AG172" s="7" t="n">
        <f aca="false">SUMIFS(Doors!AS:AS,Doors!$A:$A,$D172,Doors!$B:$B,$B172,Doors!$C:$C,$C172)*SUMIFS(Velocity!$I:$I,Velocity!$A:$A,$A172,Velocity!$B:$B,$C172)/Assumptions!$B$4*Assumptions!$B$6</f>
        <v>0.666666666666667</v>
      </c>
      <c r="AH172" s="7" t="n">
        <f aca="false">SUMIFS(Doors!AT:AT,Doors!$A:$A,$D172,Doors!$B:$B,$B172,Doors!$C:$C,$C172)*SUMIFS(Velocity!$I:$I,Velocity!$A:$A,$A172,Velocity!$B:$B,$C172)/Assumptions!$B$4*Assumptions!$B$6</f>
        <v>0.666666666666667</v>
      </c>
      <c r="AI172" s="7" t="n">
        <f aca="false">SUMIFS(Doors!AU:AU,Doors!$A:$A,$D172,Doors!$B:$B,$B172,Doors!$C:$C,$C172)*SUMIFS(Velocity!$I:$I,Velocity!$A:$A,$A172,Velocity!$B:$B,$C172)/Assumptions!$B$4*Assumptions!$B$6</f>
        <v>0.666666666666667</v>
      </c>
      <c r="AJ172" s="7" t="n">
        <f aca="false">SUMIFS(Doors!AV:AV,Doors!$A:$A,$D172,Doors!$B:$B,$B172,Doors!$C:$C,$C172)*SUMIFS(Velocity!$I:$I,Velocity!$A:$A,$A172,Velocity!$B:$B,$C172)/Assumptions!$B$4*Assumptions!$B$6</f>
        <v>0.666666666666667</v>
      </c>
      <c r="AK172" s="7" t="n">
        <f aca="false">SUMIFS(Doors!AW:AW,Doors!$A:$A,$D172,Doors!$B:$B,$B172,Doors!$C:$C,$C172)*SUMIFS(Velocity!$I:$I,Velocity!$A:$A,$A172,Velocity!$B:$B,$C172)/Assumptions!$B$4*Assumptions!$B$6</f>
        <v>0.666666666666667</v>
      </c>
      <c r="AL172" s="7" t="n">
        <f aca="false">SUMIFS(Doors!AX:AX,Doors!$A:$A,$D172,Doors!$B:$B,$B172,Doors!$C:$C,$C172)*SUMIFS(Velocity!$I:$I,Velocity!$A:$A,$A172,Velocity!$B:$B,$C172)/Assumptions!$B$4*Assumptions!$B$6</f>
        <v>0.666666666666667</v>
      </c>
      <c r="AM172" s="7" t="n">
        <f aca="false">SUMIFS(Doors!AY:AY,Doors!$A:$A,$D172,Doors!$B:$B,$B172,Doors!$C:$C,$C172)*SUMIFS(Velocity!$I:$I,Velocity!$A:$A,$A172,Velocity!$B:$B,$C172)/Assumptions!$B$4*Assumptions!$B$6</f>
        <v>0.666666666666667</v>
      </c>
      <c r="AN172" s="7" t="n">
        <f aca="false">SUMIFS(Doors!AZ:AZ,Doors!$A:$A,$D172,Doors!$B:$B,$B172,Doors!$C:$C,$C172)*SUMIFS(Velocity!$I:$I,Velocity!$A:$A,$A172,Velocity!$B:$B,$C172)/Assumptions!$B$4*Assumptions!$B$6</f>
        <v>0.666666666666667</v>
      </c>
      <c r="AO172" s="7" t="n">
        <f aca="false">SUMIFS(Doors!BA:BA,Doors!$A:$A,$D172,Doors!$B:$B,$B172,Doors!$C:$C,$C172)*SUMIFS(Velocity!$I:$I,Velocity!$A:$A,$A172,Velocity!$B:$B,$C172)/Assumptions!$B$4*Assumptions!$B$6</f>
        <v>0.666666666666667</v>
      </c>
      <c r="AP172" s="7" t="n">
        <f aca="false">SUMIFS(Doors!BB:BB,Doors!$A:$A,$D172,Doors!$B:$B,$B172,Doors!$C:$C,$C172)*SUMIFS(Velocity!$I:$I,Velocity!$A:$A,$A172,Velocity!$B:$B,$C172)/Assumptions!$B$4*Assumptions!$B$6</f>
        <v>0.666666666666667</v>
      </c>
      <c r="AQ172" s="7" t="n">
        <f aca="false">SUMIFS(Doors!BC:BC,Doors!$A:$A,$D172,Doors!$B:$B,$B172,Doors!$C:$C,$C172)*SUMIFS(Velocity!$I:$I,Velocity!$A:$A,$A172,Velocity!$B:$B,$C172)/Assumptions!$B$4*Assumptions!$B$6</f>
        <v>0.666666666666667</v>
      </c>
      <c r="AR172" s="7" t="n">
        <f aca="false">SUMIFS(Doors!BD:BD,Doors!$A:$A,$D172,Doors!$B:$B,$B172,Doors!$C:$C,$C172)*SUMIFS(Velocity!$I:$I,Velocity!$A:$A,$A172,Velocity!$B:$B,$C172)/Assumptions!$B$4*Assumptions!$B$6</f>
        <v>0.833333333333333</v>
      </c>
      <c r="AS172" s="7" t="n">
        <f aca="false">SUMIFS(Doors!BE:BE,Doors!$A:$A,$D172,Doors!$B:$B,$B172,Doors!$C:$C,$C172)*SUMIFS(Velocity!$I:$I,Velocity!$A:$A,$A172,Velocity!$B:$B,$C172)/Assumptions!$B$4*Assumptions!$B$6</f>
        <v>0.833333333333333</v>
      </c>
      <c r="AT172" s="7" t="n">
        <f aca="false">SUMIFS(Doors!BF:BF,Doors!$A:$A,$D172,Doors!$B:$B,$B172,Doors!$C:$C,$C172)*SUMIFS(Velocity!$I:$I,Velocity!$A:$A,$A172,Velocity!$B:$B,$C172)/Assumptions!$B$4*Assumptions!$B$6</f>
        <v>0.833333333333333</v>
      </c>
      <c r="AU172" s="7" t="n">
        <f aca="false">SUMIFS(Doors!BG:BG,Doors!$A:$A,$D172,Doors!$B:$B,$B172,Doors!$C:$C,$C172)*SUMIFS(Velocity!$I:$I,Velocity!$A:$A,$A172,Velocity!$B:$B,$C172)/Assumptions!$B$4*Assumptions!$B$6</f>
        <v>0.833333333333333</v>
      </c>
      <c r="AV172" s="7" t="n">
        <f aca="false">SUMIFS(Doors!BH:BH,Doors!$A:$A,$D172,Doors!$B:$B,$B172,Doors!$C:$C,$C172)*SUMIFS(Velocity!$I:$I,Velocity!$A:$A,$A172,Velocity!$B:$B,$C172)/Assumptions!$B$4*Assumptions!$B$6</f>
        <v>0.833333333333333</v>
      </c>
      <c r="AW172" s="7" t="n">
        <f aca="false">SUMIFS(Doors!BI:BI,Doors!$A:$A,$D172,Doors!$B:$B,$B172,Doors!$C:$C,$C172)*SUMIFS(Velocity!$I:$I,Velocity!$A:$A,$A172,Velocity!$B:$B,$C172)/Assumptions!$B$4*Assumptions!$B$6</f>
        <v>0.833333333333333</v>
      </c>
      <c r="AX172" s="7" t="n">
        <f aca="false">SUMIFS(Doors!BJ:BJ,Doors!$A:$A,$D172,Doors!$B:$B,$B172,Doors!$C:$C,$C172)*SUMIFS(Velocity!$I:$I,Velocity!$A:$A,$A172,Velocity!$B:$B,$C172)/Assumptions!$B$4*Assumptions!$B$6</f>
        <v>0.833333333333333</v>
      </c>
      <c r="AY172" s="7" t="n">
        <f aca="false">SUMIFS(Doors!BK:BK,Doors!$A:$A,$D172,Doors!$B:$B,$B172,Doors!$C:$C,$C172)*SUMIFS(Velocity!$I:$I,Velocity!$A:$A,$A172,Velocity!$B:$B,$C172)/Assumptions!$B$4*Assumptions!$B$6</f>
        <v>0.833333333333333</v>
      </c>
      <c r="AZ172" s="7" t="n">
        <f aca="false">SUMIFS(Doors!BL:BL,Doors!$A:$A,$D172,Doors!$B:$B,$B172,Doors!$C:$C,$C172)*SUMIFS(Velocity!$I:$I,Velocity!$A:$A,$A172,Velocity!$B:$B,$C172)/Assumptions!$B$4*Assumptions!$B$6</f>
        <v>0.833333333333333</v>
      </c>
      <c r="BA172" s="7" t="n">
        <f aca="false">SUMIFS(Doors!BM:BM,Doors!$A:$A,$D172,Doors!$B:$B,$B172,Doors!$C:$C,$C172)*SUMIFS(Velocity!$I:$I,Velocity!$A:$A,$A172,Velocity!$B:$B,$C172)/Assumptions!$B$4*Assumptions!$B$6</f>
        <v>0.833333333333333</v>
      </c>
      <c r="BB172" s="7" t="n">
        <f aca="false">SUMIFS(Doors!BN:BN,Doors!$A:$A,$D172,Doors!$B:$B,$B172,Doors!$C:$C,$C172)*SUMIFS(Velocity!$I:$I,Velocity!$A:$A,$A172,Velocity!$B:$B,$C172)/Assumptions!$B$4*Assumptions!$B$6</f>
        <v>0.833333333333333</v>
      </c>
      <c r="BC172" s="7" t="n">
        <f aca="false">SUMIFS(Doors!BO:BO,Doors!$A:$A,$D172,Doors!$B:$B,$B172,Doors!$C:$C,$C172)*SUMIFS(Velocity!$I:$I,Velocity!$A:$A,$A172,Velocity!$B:$B,$C172)/Assumptions!$B$4*Assumptions!$B$6</f>
        <v>0.833333333333333</v>
      </c>
      <c r="BD172" s="7" t="n">
        <f aca="false">SUMIFS(Doors!BP:BP,Doors!$A:$A,$D172,Doors!$B:$B,$B172,Doors!$C:$C,$C172)*SUMIFS(Velocity!$I:$I,Velocity!$A:$A,$A172,Velocity!$B:$B,$C172)/Assumptions!$B$4*Assumptions!$B$6</f>
        <v>0.833333333333333</v>
      </c>
    </row>
    <row r="173" customFormat="false" ht="15" hidden="false" customHeight="false" outlineLevel="0" collapsed="false">
      <c r="A173" s="0" t="s">
        <v>109</v>
      </c>
      <c r="B173" s="0" t="s">
        <v>134</v>
      </c>
      <c r="C173" s="0" t="s">
        <v>120</v>
      </c>
      <c r="D173" s="0" t="s">
        <v>235</v>
      </c>
      <c r="E173" s="7" t="n">
        <f aca="false">SUMIFS(Doors!Q:Q,Doors!$A:$A,$D173,Doors!$B:$B,$B173,Doors!$C:$C,$C173)*SUMIFS(Velocity!$I:$I,Velocity!$A:$A,$A173,Velocity!$B:$B,$C173)/Assumptions!$B$4*Assumptions!$B$6</f>
        <v>0.197916666666667</v>
      </c>
      <c r="F173" s="7" t="n">
        <f aca="false">SUMIFS(Doors!R:R,Doors!$A:$A,$D173,Doors!$B:$B,$B173,Doors!$C:$C,$C173)*SUMIFS(Velocity!$I:$I,Velocity!$A:$A,$A173,Velocity!$B:$B,$C173)/Assumptions!$B$4*Assumptions!$B$6</f>
        <v>0.197916666666667</v>
      </c>
      <c r="G173" s="7" t="n">
        <f aca="false">SUMIFS(Doors!S:S,Doors!$A:$A,$D173,Doors!$B:$B,$B173,Doors!$C:$C,$C173)*SUMIFS(Velocity!$I:$I,Velocity!$A:$A,$A173,Velocity!$B:$B,$C173)/Assumptions!$B$4*Assumptions!$B$6</f>
        <v>0.197916666666667</v>
      </c>
      <c r="H173" s="7" t="n">
        <f aca="false">SUMIFS(Doors!T:T,Doors!$A:$A,$D173,Doors!$B:$B,$B173,Doors!$C:$C,$C173)*SUMIFS(Velocity!$I:$I,Velocity!$A:$A,$A173,Velocity!$B:$B,$C173)/Assumptions!$B$4*Assumptions!$B$6</f>
        <v>0.197916666666667</v>
      </c>
      <c r="I173" s="7" t="n">
        <f aca="false">SUMIFS(Doors!U:U,Doors!$A:$A,$D173,Doors!$B:$B,$B173,Doors!$C:$C,$C173)*SUMIFS(Velocity!$I:$I,Velocity!$A:$A,$A173,Velocity!$B:$B,$C173)/Assumptions!$B$4*Assumptions!$B$6</f>
        <v>0.197916666666667</v>
      </c>
      <c r="J173" s="7" t="n">
        <f aca="false">SUMIFS(Doors!V:V,Doors!$A:$A,$D173,Doors!$B:$B,$B173,Doors!$C:$C,$C173)*SUMIFS(Velocity!$I:$I,Velocity!$A:$A,$A173,Velocity!$B:$B,$C173)/Assumptions!$B$4*Assumptions!$B$6</f>
        <v>0.395833333333333</v>
      </c>
      <c r="K173" s="7" t="n">
        <f aca="false">SUMIFS(Doors!W:W,Doors!$A:$A,$D173,Doors!$B:$B,$B173,Doors!$C:$C,$C173)*SUMIFS(Velocity!$I:$I,Velocity!$A:$A,$A173,Velocity!$B:$B,$C173)/Assumptions!$B$4*Assumptions!$B$6</f>
        <v>0.395833333333333</v>
      </c>
      <c r="L173" s="7" t="n">
        <f aca="false">SUMIFS(Doors!X:X,Doors!$A:$A,$D173,Doors!$B:$B,$B173,Doors!$C:$C,$C173)*SUMIFS(Velocity!$I:$I,Velocity!$A:$A,$A173,Velocity!$B:$B,$C173)/Assumptions!$B$4*Assumptions!$B$6</f>
        <v>0.395833333333333</v>
      </c>
      <c r="M173" s="7" t="n">
        <f aca="false">SUMIFS(Doors!Y:Y,Doors!$A:$A,$D173,Doors!$B:$B,$B173,Doors!$C:$C,$C173)*SUMIFS(Velocity!$I:$I,Velocity!$A:$A,$A173,Velocity!$B:$B,$C173)/Assumptions!$B$4*Assumptions!$B$6</f>
        <v>0.395833333333333</v>
      </c>
      <c r="N173" s="7" t="n">
        <f aca="false">SUMIFS(Doors!Z:Z,Doors!$A:$A,$D173,Doors!$B:$B,$B173,Doors!$C:$C,$C173)*SUMIFS(Velocity!$I:$I,Velocity!$A:$A,$A173,Velocity!$B:$B,$C173)/Assumptions!$B$4*Assumptions!$B$6</f>
        <v>0.395833333333333</v>
      </c>
      <c r="O173" s="7" t="n">
        <f aca="false">SUMIFS(Doors!AA:AA,Doors!$A:$A,$D173,Doors!$B:$B,$B173,Doors!$C:$C,$C173)*SUMIFS(Velocity!$I:$I,Velocity!$A:$A,$A173,Velocity!$B:$B,$C173)/Assumptions!$B$4*Assumptions!$B$6</f>
        <v>0.395833333333333</v>
      </c>
      <c r="P173" s="7" t="n">
        <f aca="false">SUMIFS(Doors!AB:AB,Doors!$A:$A,$D173,Doors!$B:$B,$B173,Doors!$C:$C,$C173)*SUMIFS(Velocity!$I:$I,Velocity!$A:$A,$A173,Velocity!$B:$B,$C173)/Assumptions!$B$4*Assumptions!$B$6</f>
        <v>0.395833333333333</v>
      </c>
      <c r="Q173" s="7" t="n">
        <f aca="false">SUMIFS(Doors!AC:AC,Doors!$A:$A,$D173,Doors!$B:$B,$B173,Doors!$C:$C,$C173)*SUMIFS(Velocity!$I:$I,Velocity!$A:$A,$A173,Velocity!$B:$B,$C173)/Assumptions!$B$4*Assumptions!$B$6</f>
        <v>0.395833333333333</v>
      </c>
      <c r="R173" s="7" t="n">
        <f aca="false">SUMIFS(Doors!AD:AD,Doors!$A:$A,$D173,Doors!$B:$B,$B173,Doors!$C:$C,$C173)*SUMIFS(Velocity!$I:$I,Velocity!$A:$A,$A173,Velocity!$B:$B,$C173)/Assumptions!$B$4*Assumptions!$B$6</f>
        <v>0.59375</v>
      </c>
      <c r="S173" s="7" t="n">
        <f aca="false">SUMIFS(Doors!AE:AE,Doors!$A:$A,$D173,Doors!$B:$B,$B173,Doors!$C:$C,$C173)*SUMIFS(Velocity!$I:$I,Velocity!$A:$A,$A173,Velocity!$B:$B,$C173)/Assumptions!$B$4*Assumptions!$B$6</f>
        <v>0.59375</v>
      </c>
      <c r="T173" s="7" t="n">
        <f aca="false">SUMIFS(Doors!AF:AF,Doors!$A:$A,$D173,Doors!$B:$B,$B173,Doors!$C:$C,$C173)*SUMIFS(Velocity!$I:$I,Velocity!$A:$A,$A173,Velocity!$B:$B,$C173)/Assumptions!$B$4*Assumptions!$B$6</f>
        <v>0.59375</v>
      </c>
      <c r="U173" s="7" t="n">
        <f aca="false">SUMIFS(Doors!AG:AG,Doors!$A:$A,$D173,Doors!$B:$B,$B173,Doors!$C:$C,$C173)*SUMIFS(Velocity!$I:$I,Velocity!$A:$A,$A173,Velocity!$B:$B,$C173)/Assumptions!$B$4*Assumptions!$B$6</f>
        <v>0.59375</v>
      </c>
      <c r="V173" s="7" t="n">
        <f aca="false">SUMIFS(Doors!AH:AH,Doors!$A:$A,$D173,Doors!$B:$B,$B173,Doors!$C:$C,$C173)*SUMIFS(Velocity!$I:$I,Velocity!$A:$A,$A173,Velocity!$B:$B,$C173)/Assumptions!$B$4*Assumptions!$B$6</f>
        <v>0.59375</v>
      </c>
      <c r="W173" s="7" t="n">
        <f aca="false">SUMIFS(Doors!AI:AI,Doors!$A:$A,$D173,Doors!$B:$B,$B173,Doors!$C:$C,$C173)*SUMIFS(Velocity!$I:$I,Velocity!$A:$A,$A173,Velocity!$B:$B,$C173)/Assumptions!$B$4*Assumptions!$B$6</f>
        <v>0.59375</v>
      </c>
      <c r="X173" s="7" t="n">
        <f aca="false">SUMIFS(Doors!AJ:AJ,Doors!$A:$A,$D173,Doors!$B:$B,$B173,Doors!$C:$C,$C173)*SUMIFS(Velocity!$I:$I,Velocity!$A:$A,$A173,Velocity!$B:$B,$C173)/Assumptions!$B$4*Assumptions!$B$6</f>
        <v>0.59375</v>
      </c>
      <c r="Y173" s="7" t="n">
        <f aca="false">SUMIFS(Doors!AK:AK,Doors!$A:$A,$D173,Doors!$B:$B,$B173,Doors!$C:$C,$C173)*SUMIFS(Velocity!$I:$I,Velocity!$A:$A,$A173,Velocity!$B:$B,$C173)/Assumptions!$B$4*Assumptions!$B$6</f>
        <v>0.59375</v>
      </c>
      <c r="Z173" s="7" t="n">
        <f aca="false">SUMIFS(Doors!AL:AL,Doors!$A:$A,$D173,Doors!$B:$B,$B173,Doors!$C:$C,$C173)*SUMIFS(Velocity!$I:$I,Velocity!$A:$A,$A173,Velocity!$B:$B,$C173)/Assumptions!$B$4*Assumptions!$B$6</f>
        <v>0.59375</v>
      </c>
      <c r="AA173" s="7" t="n">
        <f aca="false">SUMIFS(Doors!AM:AM,Doors!$A:$A,$D173,Doors!$B:$B,$B173,Doors!$C:$C,$C173)*SUMIFS(Velocity!$I:$I,Velocity!$A:$A,$A173,Velocity!$B:$B,$C173)/Assumptions!$B$4*Assumptions!$B$6</f>
        <v>0.791666666666667</v>
      </c>
      <c r="AB173" s="7" t="n">
        <f aca="false">SUMIFS(Doors!AN:AN,Doors!$A:$A,$D173,Doors!$B:$B,$B173,Doors!$C:$C,$C173)*SUMIFS(Velocity!$I:$I,Velocity!$A:$A,$A173,Velocity!$B:$B,$C173)/Assumptions!$B$4*Assumptions!$B$6</f>
        <v>0.791666666666667</v>
      </c>
      <c r="AC173" s="7" t="n">
        <f aca="false">SUMIFS(Doors!AO:AO,Doors!$A:$A,$D173,Doors!$B:$B,$B173,Doors!$C:$C,$C173)*SUMIFS(Velocity!$I:$I,Velocity!$A:$A,$A173,Velocity!$B:$B,$C173)/Assumptions!$B$4*Assumptions!$B$6</f>
        <v>0.791666666666667</v>
      </c>
      <c r="AD173" s="7" t="n">
        <f aca="false">SUMIFS(Doors!AP:AP,Doors!$A:$A,$D173,Doors!$B:$B,$B173,Doors!$C:$C,$C173)*SUMIFS(Velocity!$I:$I,Velocity!$A:$A,$A173,Velocity!$B:$B,$C173)/Assumptions!$B$4*Assumptions!$B$6</f>
        <v>0.791666666666667</v>
      </c>
      <c r="AE173" s="7" t="n">
        <f aca="false">SUMIFS(Doors!AQ:AQ,Doors!$A:$A,$D173,Doors!$B:$B,$B173,Doors!$C:$C,$C173)*SUMIFS(Velocity!$I:$I,Velocity!$A:$A,$A173,Velocity!$B:$B,$C173)/Assumptions!$B$4*Assumptions!$B$6</f>
        <v>0.791666666666667</v>
      </c>
      <c r="AF173" s="7" t="n">
        <f aca="false">SUMIFS(Doors!AR:AR,Doors!$A:$A,$D173,Doors!$B:$B,$B173,Doors!$C:$C,$C173)*SUMIFS(Velocity!$I:$I,Velocity!$A:$A,$A173,Velocity!$B:$B,$C173)/Assumptions!$B$4*Assumptions!$B$6</f>
        <v>0.791666666666667</v>
      </c>
      <c r="AG173" s="7" t="n">
        <f aca="false">SUMIFS(Doors!AS:AS,Doors!$A:$A,$D173,Doors!$B:$B,$B173,Doors!$C:$C,$C173)*SUMIFS(Velocity!$I:$I,Velocity!$A:$A,$A173,Velocity!$B:$B,$C173)/Assumptions!$B$4*Assumptions!$B$6</f>
        <v>0.791666666666667</v>
      </c>
      <c r="AH173" s="7" t="n">
        <f aca="false">SUMIFS(Doors!AT:AT,Doors!$A:$A,$D173,Doors!$B:$B,$B173,Doors!$C:$C,$C173)*SUMIFS(Velocity!$I:$I,Velocity!$A:$A,$A173,Velocity!$B:$B,$C173)/Assumptions!$B$4*Assumptions!$B$6</f>
        <v>0.791666666666667</v>
      </c>
      <c r="AI173" s="7" t="n">
        <f aca="false">SUMIFS(Doors!AU:AU,Doors!$A:$A,$D173,Doors!$B:$B,$B173,Doors!$C:$C,$C173)*SUMIFS(Velocity!$I:$I,Velocity!$A:$A,$A173,Velocity!$B:$B,$C173)/Assumptions!$B$4*Assumptions!$B$6</f>
        <v>0.791666666666667</v>
      </c>
      <c r="AJ173" s="7" t="n">
        <f aca="false">SUMIFS(Doors!AV:AV,Doors!$A:$A,$D173,Doors!$B:$B,$B173,Doors!$C:$C,$C173)*SUMIFS(Velocity!$I:$I,Velocity!$A:$A,$A173,Velocity!$B:$B,$C173)/Assumptions!$B$4*Assumptions!$B$6</f>
        <v>0.989583333333333</v>
      </c>
      <c r="AK173" s="7" t="n">
        <f aca="false">SUMIFS(Doors!AW:AW,Doors!$A:$A,$D173,Doors!$B:$B,$B173,Doors!$C:$C,$C173)*SUMIFS(Velocity!$I:$I,Velocity!$A:$A,$A173,Velocity!$B:$B,$C173)/Assumptions!$B$4*Assumptions!$B$6</f>
        <v>0.989583333333333</v>
      </c>
      <c r="AL173" s="7" t="n">
        <f aca="false">SUMIFS(Doors!AX:AX,Doors!$A:$A,$D173,Doors!$B:$B,$B173,Doors!$C:$C,$C173)*SUMIFS(Velocity!$I:$I,Velocity!$A:$A,$A173,Velocity!$B:$B,$C173)/Assumptions!$B$4*Assumptions!$B$6</f>
        <v>0.989583333333333</v>
      </c>
      <c r="AM173" s="7" t="n">
        <f aca="false">SUMIFS(Doors!AY:AY,Doors!$A:$A,$D173,Doors!$B:$B,$B173,Doors!$C:$C,$C173)*SUMIFS(Velocity!$I:$I,Velocity!$A:$A,$A173,Velocity!$B:$B,$C173)/Assumptions!$B$4*Assumptions!$B$6</f>
        <v>0.989583333333333</v>
      </c>
      <c r="AN173" s="7" t="n">
        <f aca="false">SUMIFS(Doors!AZ:AZ,Doors!$A:$A,$D173,Doors!$B:$B,$B173,Doors!$C:$C,$C173)*SUMIFS(Velocity!$I:$I,Velocity!$A:$A,$A173,Velocity!$B:$B,$C173)/Assumptions!$B$4*Assumptions!$B$6</f>
        <v>0.989583333333333</v>
      </c>
      <c r="AO173" s="7" t="n">
        <f aca="false">SUMIFS(Doors!BA:BA,Doors!$A:$A,$D173,Doors!$B:$B,$B173,Doors!$C:$C,$C173)*SUMIFS(Velocity!$I:$I,Velocity!$A:$A,$A173,Velocity!$B:$B,$C173)/Assumptions!$B$4*Assumptions!$B$6</f>
        <v>0.989583333333333</v>
      </c>
      <c r="AP173" s="7" t="n">
        <f aca="false">SUMIFS(Doors!BB:BB,Doors!$A:$A,$D173,Doors!$B:$B,$B173,Doors!$C:$C,$C173)*SUMIFS(Velocity!$I:$I,Velocity!$A:$A,$A173,Velocity!$B:$B,$C173)/Assumptions!$B$4*Assumptions!$B$6</f>
        <v>0.989583333333333</v>
      </c>
      <c r="AQ173" s="7" t="n">
        <f aca="false">SUMIFS(Doors!BC:BC,Doors!$A:$A,$D173,Doors!$B:$B,$B173,Doors!$C:$C,$C173)*SUMIFS(Velocity!$I:$I,Velocity!$A:$A,$A173,Velocity!$B:$B,$C173)/Assumptions!$B$4*Assumptions!$B$6</f>
        <v>0.989583333333333</v>
      </c>
      <c r="AR173" s="7" t="n">
        <f aca="false">SUMIFS(Doors!BD:BD,Doors!$A:$A,$D173,Doors!$B:$B,$B173,Doors!$C:$C,$C173)*SUMIFS(Velocity!$I:$I,Velocity!$A:$A,$A173,Velocity!$B:$B,$C173)/Assumptions!$B$4*Assumptions!$B$6</f>
        <v>0.989583333333333</v>
      </c>
      <c r="AS173" s="7" t="n">
        <f aca="false">SUMIFS(Doors!BE:BE,Doors!$A:$A,$D173,Doors!$B:$B,$B173,Doors!$C:$C,$C173)*SUMIFS(Velocity!$I:$I,Velocity!$A:$A,$A173,Velocity!$B:$B,$C173)/Assumptions!$B$4*Assumptions!$B$6</f>
        <v>0.989583333333333</v>
      </c>
      <c r="AT173" s="7" t="n">
        <f aca="false">SUMIFS(Doors!BF:BF,Doors!$A:$A,$D173,Doors!$B:$B,$B173,Doors!$C:$C,$C173)*SUMIFS(Velocity!$I:$I,Velocity!$A:$A,$A173,Velocity!$B:$B,$C173)/Assumptions!$B$4*Assumptions!$B$6</f>
        <v>0.989583333333333</v>
      </c>
      <c r="AU173" s="7" t="n">
        <f aca="false">SUMIFS(Doors!BG:BG,Doors!$A:$A,$D173,Doors!$B:$B,$B173,Doors!$C:$C,$C173)*SUMIFS(Velocity!$I:$I,Velocity!$A:$A,$A173,Velocity!$B:$B,$C173)/Assumptions!$B$4*Assumptions!$B$6</f>
        <v>0.989583333333333</v>
      </c>
      <c r="AV173" s="7" t="n">
        <f aca="false">SUMIFS(Doors!BH:BH,Doors!$A:$A,$D173,Doors!$B:$B,$B173,Doors!$C:$C,$C173)*SUMIFS(Velocity!$I:$I,Velocity!$A:$A,$A173,Velocity!$B:$B,$C173)/Assumptions!$B$4*Assumptions!$B$6</f>
        <v>0.989583333333333</v>
      </c>
      <c r="AW173" s="7" t="n">
        <f aca="false">SUMIFS(Doors!BI:BI,Doors!$A:$A,$D173,Doors!$B:$B,$B173,Doors!$C:$C,$C173)*SUMIFS(Velocity!$I:$I,Velocity!$A:$A,$A173,Velocity!$B:$B,$C173)/Assumptions!$B$4*Assumptions!$B$6</f>
        <v>0.989583333333333</v>
      </c>
      <c r="AX173" s="7" t="n">
        <f aca="false">SUMIFS(Doors!BJ:BJ,Doors!$A:$A,$D173,Doors!$B:$B,$B173,Doors!$C:$C,$C173)*SUMIFS(Velocity!$I:$I,Velocity!$A:$A,$A173,Velocity!$B:$B,$C173)/Assumptions!$B$4*Assumptions!$B$6</f>
        <v>0.989583333333333</v>
      </c>
      <c r="AY173" s="7" t="n">
        <f aca="false">SUMIFS(Doors!BK:BK,Doors!$A:$A,$D173,Doors!$B:$B,$B173,Doors!$C:$C,$C173)*SUMIFS(Velocity!$I:$I,Velocity!$A:$A,$A173,Velocity!$B:$B,$C173)/Assumptions!$B$4*Assumptions!$B$6</f>
        <v>0.989583333333333</v>
      </c>
      <c r="AZ173" s="7" t="n">
        <f aca="false">SUMIFS(Doors!BL:BL,Doors!$A:$A,$D173,Doors!$B:$B,$B173,Doors!$C:$C,$C173)*SUMIFS(Velocity!$I:$I,Velocity!$A:$A,$A173,Velocity!$B:$B,$C173)/Assumptions!$B$4*Assumptions!$B$6</f>
        <v>0.989583333333333</v>
      </c>
      <c r="BA173" s="7" t="n">
        <f aca="false">SUMIFS(Doors!BM:BM,Doors!$A:$A,$D173,Doors!$B:$B,$B173,Doors!$C:$C,$C173)*SUMIFS(Velocity!$I:$I,Velocity!$A:$A,$A173,Velocity!$B:$B,$C173)/Assumptions!$B$4*Assumptions!$B$6</f>
        <v>0.989583333333333</v>
      </c>
      <c r="BB173" s="7" t="n">
        <f aca="false">SUMIFS(Doors!BN:BN,Doors!$A:$A,$D173,Doors!$B:$B,$B173,Doors!$C:$C,$C173)*SUMIFS(Velocity!$I:$I,Velocity!$A:$A,$A173,Velocity!$B:$B,$C173)/Assumptions!$B$4*Assumptions!$B$6</f>
        <v>0.989583333333333</v>
      </c>
      <c r="BC173" s="7" t="n">
        <f aca="false">SUMIFS(Doors!BO:BO,Doors!$A:$A,$D173,Doors!$B:$B,$B173,Doors!$C:$C,$C173)*SUMIFS(Velocity!$I:$I,Velocity!$A:$A,$A173,Velocity!$B:$B,$C173)/Assumptions!$B$4*Assumptions!$B$6</f>
        <v>0.989583333333333</v>
      </c>
      <c r="BD173" s="7" t="n">
        <f aca="false">SUMIFS(Doors!BP:BP,Doors!$A:$A,$D173,Doors!$B:$B,$B173,Doors!$C:$C,$C173)*SUMIFS(Velocity!$I:$I,Velocity!$A:$A,$A173,Velocity!$B:$B,$C173)/Assumptions!$B$4*Assumptions!$B$6</f>
        <v>0.989583333333333</v>
      </c>
    </row>
    <row r="174" customFormat="false" ht="15" hidden="false" customHeight="false" outlineLevel="0" collapsed="false">
      <c r="A174" s="0" t="s">
        <v>109</v>
      </c>
      <c r="B174" s="0" t="s">
        <v>134</v>
      </c>
      <c r="C174" s="0" t="s">
        <v>121</v>
      </c>
      <c r="D174" s="0" t="s">
        <v>235</v>
      </c>
      <c r="E174" s="7" t="n">
        <f aca="false">SUMIFS(Doors!Q:Q,Doors!$A:$A,$D174,Doors!$B:$B,$B174,Doors!$C:$C,$C174)*SUMIFS(Velocity!$I:$I,Velocity!$A:$A,$A174,Velocity!$B:$B,$C174)/Assumptions!$B$4*Assumptions!$B$6</f>
        <v>0</v>
      </c>
      <c r="F174" s="7" t="n">
        <f aca="false">SUMIFS(Doors!R:R,Doors!$A:$A,$D174,Doors!$B:$B,$B174,Doors!$C:$C,$C174)*SUMIFS(Velocity!$I:$I,Velocity!$A:$A,$A174,Velocity!$B:$B,$C174)/Assumptions!$B$4*Assumptions!$B$6</f>
        <v>0</v>
      </c>
      <c r="G174" s="7" t="n">
        <f aca="false">SUMIFS(Doors!S:S,Doors!$A:$A,$D174,Doors!$B:$B,$B174,Doors!$C:$C,$C174)*SUMIFS(Velocity!$I:$I,Velocity!$A:$A,$A174,Velocity!$B:$B,$C174)/Assumptions!$B$4*Assumptions!$B$6</f>
        <v>0</v>
      </c>
      <c r="H174" s="7" t="n">
        <f aca="false">SUMIFS(Doors!T:T,Doors!$A:$A,$D174,Doors!$B:$B,$B174,Doors!$C:$C,$C174)*SUMIFS(Velocity!$I:$I,Velocity!$A:$A,$A174,Velocity!$B:$B,$C174)/Assumptions!$B$4*Assumptions!$B$6</f>
        <v>0</v>
      </c>
      <c r="I174" s="7" t="n">
        <f aca="false">SUMIFS(Doors!U:U,Doors!$A:$A,$D174,Doors!$B:$B,$B174,Doors!$C:$C,$C174)*SUMIFS(Velocity!$I:$I,Velocity!$A:$A,$A174,Velocity!$B:$B,$C174)/Assumptions!$B$4*Assumptions!$B$6</f>
        <v>0</v>
      </c>
      <c r="J174" s="7" t="n">
        <f aca="false">SUMIFS(Doors!V:V,Doors!$A:$A,$D174,Doors!$B:$B,$B174,Doors!$C:$C,$C174)*SUMIFS(Velocity!$I:$I,Velocity!$A:$A,$A174,Velocity!$B:$B,$C174)/Assumptions!$B$4*Assumptions!$B$6</f>
        <v>0</v>
      </c>
      <c r="K174" s="7" t="n">
        <f aca="false">SUMIFS(Doors!W:W,Doors!$A:$A,$D174,Doors!$B:$B,$B174,Doors!$C:$C,$C174)*SUMIFS(Velocity!$I:$I,Velocity!$A:$A,$A174,Velocity!$B:$B,$C174)/Assumptions!$B$4*Assumptions!$B$6</f>
        <v>0</v>
      </c>
      <c r="L174" s="7" t="n">
        <f aca="false">SUMIFS(Doors!X:X,Doors!$A:$A,$D174,Doors!$B:$B,$B174,Doors!$C:$C,$C174)*SUMIFS(Velocity!$I:$I,Velocity!$A:$A,$A174,Velocity!$B:$B,$C174)/Assumptions!$B$4*Assumptions!$B$6</f>
        <v>0</v>
      </c>
      <c r="M174" s="7" t="n">
        <f aca="false">SUMIFS(Doors!Y:Y,Doors!$A:$A,$D174,Doors!$B:$B,$B174,Doors!$C:$C,$C174)*SUMIFS(Velocity!$I:$I,Velocity!$A:$A,$A174,Velocity!$B:$B,$C174)/Assumptions!$B$4*Assumptions!$B$6</f>
        <v>0</v>
      </c>
      <c r="N174" s="7" t="n">
        <f aca="false">SUMIFS(Doors!Z:Z,Doors!$A:$A,$D174,Doors!$B:$B,$B174,Doors!$C:$C,$C174)*SUMIFS(Velocity!$I:$I,Velocity!$A:$A,$A174,Velocity!$B:$B,$C174)/Assumptions!$B$4*Assumptions!$B$6</f>
        <v>0.304166666666667</v>
      </c>
      <c r="O174" s="7" t="n">
        <f aca="false">SUMIFS(Doors!AA:AA,Doors!$A:$A,$D174,Doors!$B:$B,$B174,Doors!$C:$C,$C174)*SUMIFS(Velocity!$I:$I,Velocity!$A:$A,$A174,Velocity!$B:$B,$C174)/Assumptions!$B$4*Assumptions!$B$6</f>
        <v>0.304166666666667</v>
      </c>
      <c r="P174" s="7" t="n">
        <f aca="false">SUMIFS(Doors!AB:AB,Doors!$A:$A,$D174,Doors!$B:$B,$B174,Doors!$C:$C,$C174)*SUMIFS(Velocity!$I:$I,Velocity!$A:$A,$A174,Velocity!$B:$B,$C174)/Assumptions!$B$4*Assumptions!$B$6</f>
        <v>0.304166666666667</v>
      </c>
      <c r="Q174" s="7" t="n">
        <f aca="false">SUMIFS(Doors!AC:AC,Doors!$A:$A,$D174,Doors!$B:$B,$B174,Doors!$C:$C,$C174)*SUMIFS(Velocity!$I:$I,Velocity!$A:$A,$A174,Velocity!$B:$B,$C174)/Assumptions!$B$4*Assumptions!$B$6</f>
        <v>0.304166666666667</v>
      </c>
      <c r="R174" s="7" t="n">
        <f aca="false">SUMIFS(Doors!AD:AD,Doors!$A:$A,$D174,Doors!$B:$B,$B174,Doors!$C:$C,$C174)*SUMIFS(Velocity!$I:$I,Velocity!$A:$A,$A174,Velocity!$B:$B,$C174)/Assumptions!$B$4*Assumptions!$B$6</f>
        <v>0.304166666666667</v>
      </c>
      <c r="S174" s="7" t="n">
        <f aca="false">SUMIFS(Doors!AE:AE,Doors!$A:$A,$D174,Doors!$B:$B,$B174,Doors!$C:$C,$C174)*SUMIFS(Velocity!$I:$I,Velocity!$A:$A,$A174,Velocity!$B:$B,$C174)/Assumptions!$B$4*Assumptions!$B$6</f>
        <v>0.304166666666667</v>
      </c>
      <c r="T174" s="7" t="n">
        <f aca="false">SUMIFS(Doors!AF:AF,Doors!$A:$A,$D174,Doors!$B:$B,$B174,Doors!$C:$C,$C174)*SUMIFS(Velocity!$I:$I,Velocity!$A:$A,$A174,Velocity!$B:$B,$C174)/Assumptions!$B$4*Assumptions!$B$6</f>
        <v>0.304166666666667</v>
      </c>
      <c r="U174" s="7" t="n">
        <f aca="false">SUMIFS(Doors!AG:AG,Doors!$A:$A,$D174,Doors!$B:$B,$B174,Doors!$C:$C,$C174)*SUMIFS(Velocity!$I:$I,Velocity!$A:$A,$A174,Velocity!$B:$B,$C174)/Assumptions!$B$4*Assumptions!$B$6</f>
        <v>0.304166666666667</v>
      </c>
      <c r="V174" s="7" t="n">
        <f aca="false">SUMIFS(Doors!AH:AH,Doors!$A:$A,$D174,Doors!$B:$B,$B174,Doors!$C:$C,$C174)*SUMIFS(Velocity!$I:$I,Velocity!$A:$A,$A174,Velocity!$B:$B,$C174)/Assumptions!$B$4*Assumptions!$B$6</f>
        <v>0.304166666666667</v>
      </c>
      <c r="W174" s="7" t="n">
        <f aca="false">SUMIFS(Doors!AI:AI,Doors!$A:$A,$D174,Doors!$B:$B,$B174,Doors!$C:$C,$C174)*SUMIFS(Velocity!$I:$I,Velocity!$A:$A,$A174,Velocity!$B:$B,$C174)/Assumptions!$B$4*Assumptions!$B$6</f>
        <v>0.608333333333333</v>
      </c>
      <c r="X174" s="7" t="n">
        <f aca="false">SUMIFS(Doors!AJ:AJ,Doors!$A:$A,$D174,Doors!$B:$B,$B174,Doors!$C:$C,$C174)*SUMIFS(Velocity!$I:$I,Velocity!$A:$A,$A174,Velocity!$B:$B,$C174)/Assumptions!$B$4*Assumptions!$B$6</f>
        <v>0.608333333333333</v>
      </c>
      <c r="Y174" s="7" t="n">
        <f aca="false">SUMIFS(Doors!AK:AK,Doors!$A:$A,$D174,Doors!$B:$B,$B174,Doors!$C:$C,$C174)*SUMIFS(Velocity!$I:$I,Velocity!$A:$A,$A174,Velocity!$B:$B,$C174)/Assumptions!$B$4*Assumptions!$B$6</f>
        <v>0.608333333333333</v>
      </c>
      <c r="Z174" s="7" t="n">
        <f aca="false">SUMIFS(Doors!AL:AL,Doors!$A:$A,$D174,Doors!$B:$B,$B174,Doors!$C:$C,$C174)*SUMIFS(Velocity!$I:$I,Velocity!$A:$A,$A174,Velocity!$B:$B,$C174)/Assumptions!$B$4*Assumptions!$B$6</f>
        <v>0.608333333333333</v>
      </c>
      <c r="AA174" s="7" t="n">
        <f aca="false">SUMIFS(Doors!AM:AM,Doors!$A:$A,$D174,Doors!$B:$B,$B174,Doors!$C:$C,$C174)*SUMIFS(Velocity!$I:$I,Velocity!$A:$A,$A174,Velocity!$B:$B,$C174)/Assumptions!$B$4*Assumptions!$B$6</f>
        <v>0.608333333333333</v>
      </c>
      <c r="AB174" s="7" t="n">
        <f aca="false">SUMIFS(Doors!AN:AN,Doors!$A:$A,$D174,Doors!$B:$B,$B174,Doors!$C:$C,$C174)*SUMIFS(Velocity!$I:$I,Velocity!$A:$A,$A174,Velocity!$B:$B,$C174)/Assumptions!$B$4*Assumptions!$B$6</f>
        <v>0.608333333333333</v>
      </c>
      <c r="AC174" s="7" t="n">
        <f aca="false">SUMIFS(Doors!AO:AO,Doors!$A:$A,$D174,Doors!$B:$B,$B174,Doors!$C:$C,$C174)*SUMIFS(Velocity!$I:$I,Velocity!$A:$A,$A174,Velocity!$B:$B,$C174)/Assumptions!$B$4*Assumptions!$B$6</f>
        <v>0.608333333333333</v>
      </c>
      <c r="AD174" s="7" t="n">
        <f aca="false">SUMIFS(Doors!AP:AP,Doors!$A:$A,$D174,Doors!$B:$B,$B174,Doors!$C:$C,$C174)*SUMIFS(Velocity!$I:$I,Velocity!$A:$A,$A174,Velocity!$B:$B,$C174)/Assumptions!$B$4*Assumptions!$B$6</f>
        <v>0.608333333333333</v>
      </c>
      <c r="AE174" s="7" t="n">
        <f aca="false">SUMIFS(Doors!AQ:AQ,Doors!$A:$A,$D174,Doors!$B:$B,$B174,Doors!$C:$C,$C174)*SUMIFS(Velocity!$I:$I,Velocity!$A:$A,$A174,Velocity!$B:$B,$C174)/Assumptions!$B$4*Assumptions!$B$6</f>
        <v>0.608333333333333</v>
      </c>
      <c r="AF174" s="7" t="n">
        <f aca="false">SUMIFS(Doors!AR:AR,Doors!$A:$A,$D174,Doors!$B:$B,$B174,Doors!$C:$C,$C174)*SUMIFS(Velocity!$I:$I,Velocity!$A:$A,$A174,Velocity!$B:$B,$C174)/Assumptions!$B$4*Assumptions!$B$6</f>
        <v>0.608333333333333</v>
      </c>
      <c r="AG174" s="7" t="n">
        <f aca="false">SUMIFS(Doors!AS:AS,Doors!$A:$A,$D174,Doors!$B:$B,$B174,Doors!$C:$C,$C174)*SUMIFS(Velocity!$I:$I,Velocity!$A:$A,$A174,Velocity!$B:$B,$C174)/Assumptions!$B$4*Assumptions!$B$6</f>
        <v>0.608333333333333</v>
      </c>
      <c r="AH174" s="7" t="n">
        <f aca="false">SUMIFS(Doors!AT:AT,Doors!$A:$A,$D174,Doors!$B:$B,$B174,Doors!$C:$C,$C174)*SUMIFS(Velocity!$I:$I,Velocity!$A:$A,$A174,Velocity!$B:$B,$C174)/Assumptions!$B$4*Assumptions!$B$6</f>
        <v>0.608333333333333</v>
      </c>
      <c r="AI174" s="7" t="n">
        <f aca="false">SUMIFS(Doors!AU:AU,Doors!$A:$A,$D174,Doors!$B:$B,$B174,Doors!$C:$C,$C174)*SUMIFS(Velocity!$I:$I,Velocity!$A:$A,$A174,Velocity!$B:$B,$C174)/Assumptions!$B$4*Assumptions!$B$6</f>
        <v>0.608333333333333</v>
      </c>
      <c r="AJ174" s="7" t="n">
        <f aca="false">SUMIFS(Doors!AV:AV,Doors!$A:$A,$D174,Doors!$B:$B,$B174,Doors!$C:$C,$C174)*SUMIFS(Velocity!$I:$I,Velocity!$A:$A,$A174,Velocity!$B:$B,$C174)/Assumptions!$B$4*Assumptions!$B$6</f>
        <v>0.9125</v>
      </c>
      <c r="AK174" s="7" t="n">
        <f aca="false">SUMIFS(Doors!AW:AW,Doors!$A:$A,$D174,Doors!$B:$B,$B174,Doors!$C:$C,$C174)*SUMIFS(Velocity!$I:$I,Velocity!$A:$A,$A174,Velocity!$B:$B,$C174)/Assumptions!$B$4*Assumptions!$B$6</f>
        <v>0.9125</v>
      </c>
      <c r="AL174" s="7" t="n">
        <f aca="false">SUMIFS(Doors!AX:AX,Doors!$A:$A,$D174,Doors!$B:$B,$B174,Doors!$C:$C,$C174)*SUMIFS(Velocity!$I:$I,Velocity!$A:$A,$A174,Velocity!$B:$B,$C174)/Assumptions!$B$4*Assumptions!$B$6</f>
        <v>0.9125</v>
      </c>
      <c r="AM174" s="7" t="n">
        <f aca="false">SUMIFS(Doors!AY:AY,Doors!$A:$A,$D174,Doors!$B:$B,$B174,Doors!$C:$C,$C174)*SUMIFS(Velocity!$I:$I,Velocity!$A:$A,$A174,Velocity!$B:$B,$C174)/Assumptions!$B$4*Assumptions!$B$6</f>
        <v>0.9125</v>
      </c>
      <c r="AN174" s="7" t="n">
        <f aca="false">SUMIFS(Doors!AZ:AZ,Doors!$A:$A,$D174,Doors!$B:$B,$B174,Doors!$C:$C,$C174)*SUMIFS(Velocity!$I:$I,Velocity!$A:$A,$A174,Velocity!$B:$B,$C174)/Assumptions!$B$4*Assumptions!$B$6</f>
        <v>0.9125</v>
      </c>
      <c r="AO174" s="7" t="n">
        <f aca="false">SUMIFS(Doors!BA:BA,Doors!$A:$A,$D174,Doors!$B:$B,$B174,Doors!$C:$C,$C174)*SUMIFS(Velocity!$I:$I,Velocity!$A:$A,$A174,Velocity!$B:$B,$C174)/Assumptions!$B$4*Assumptions!$B$6</f>
        <v>0.9125</v>
      </c>
      <c r="AP174" s="7" t="n">
        <f aca="false">SUMIFS(Doors!BB:BB,Doors!$A:$A,$D174,Doors!$B:$B,$B174,Doors!$C:$C,$C174)*SUMIFS(Velocity!$I:$I,Velocity!$A:$A,$A174,Velocity!$B:$B,$C174)/Assumptions!$B$4*Assumptions!$B$6</f>
        <v>0.9125</v>
      </c>
      <c r="AQ174" s="7" t="n">
        <f aca="false">SUMIFS(Doors!BC:BC,Doors!$A:$A,$D174,Doors!$B:$B,$B174,Doors!$C:$C,$C174)*SUMIFS(Velocity!$I:$I,Velocity!$A:$A,$A174,Velocity!$B:$B,$C174)/Assumptions!$B$4*Assumptions!$B$6</f>
        <v>0.9125</v>
      </c>
      <c r="AR174" s="7" t="n">
        <f aca="false">SUMIFS(Doors!BD:BD,Doors!$A:$A,$D174,Doors!$B:$B,$B174,Doors!$C:$C,$C174)*SUMIFS(Velocity!$I:$I,Velocity!$A:$A,$A174,Velocity!$B:$B,$C174)/Assumptions!$B$4*Assumptions!$B$6</f>
        <v>0.9125</v>
      </c>
      <c r="AS174" s="7" t="n">
        <f aca="false">SUMIFS(Doors!BE:BE,Doors!$A:$A,$D174,Doors!$B:$B,$B174,Doors!$C:$C,$C174)*SUMIFS(Velocity!$I:$I,Velocity!$A:$A,$A174,Velocity!$B:$B,$C174)/Assumptions!$B$4*Assumptions!$B$6</f>
        <v>0.9125</v>
      </c>
      <c r="AT174" s="7" t="n">
        <f aca="false">SUMIFS(Doors!BF:BF,Doors!$A:$A,$D174,Doors!$B:$B,$B174,Doors!$C:$C,$C174)*SUMIFS(Velocity!$I:$I,Velocity!$A:$A,$A174,Velocity!$B:$B,$C174)/Assumptions!$B$4*Assumptions!$B$6</f>
        <v>0.9125</v>
      </c>
      <c r="AU174" s="7" t="n">
        <f aca="false">SUMIFS(Doors!BG:BG,Doors!$A:$A,$D174,Doors!$B:$B,$B174,Doors!$C:$C,$C174)*SUMIFS(Velocity!$I:$I,Velocity!$A:$A,$A174,Velocity!$B:$B,$C174)/Assumptions!$B$4*Assumptions!$B$6</f>
        <v>0.9125</v>
      </c>
      <c r="AV174" s="7" t="n">
        <f aca="false">SUMIFS(Doors!BH:BH,Doors!$A:$A,$D174,Doors!$B:$B,$B174,Doors!$C:$C,$C174)*SUMIFS(Velocity!$I:$I,Velocity!$A:$A,$A174,Velocity!$B:$B,$C174)/Assumptions!$B$4*Assumptions!$B$6</f>
        <v>0.9125</v>
      </c>
      <c r="AW174" s="7" t="n">
        <f aca="false">SUMIFS(Doors!BI:BI,Doors!$A:$A,$D174,Doors!$B:$B,$B174,Doors!$C:$C,$C174)*SUMIFS(Velocity!$I:$I,Velocity!$A:$A,$A174,Velocity!$B:$B,$C174)/Assumptions!$B$4*Assumptions!$B$6</f>
        <v>0.9125</v>
      </c>
      <c r="AX174" s="7" t="n">
        <f aca="false">SUMIFS(Doors!BJ:BJ,Doors!$A:$A,$D174,Doors!$B:$B,$B174,Doors!$C:$C,$C174)*SUMIFS(Velocity!$I:$I,Velocity!$A:$A,$A174,Velocity!$B:$B,$C174)/Assumptions!$B$4*Assumptions!$B$6</f>
        <v>0.9125</v>
      </c>
      <c r="AY174" s="7" t="n">
        <f aca="false">SUMIFS(Doors!BK:BK,Doors!$A:$A,$D174,Doors!$B:$B,$B174,Doors!$C:$C,$C174)*SUMIFS(Velocity!$I:$I,Velocity!$A:$A,$A174,Velocity!$B:$B,$C174)/Assumptions!$B$4*Assumptions!$B$6</f>
        <v>0.9125</v>
      </c>
      <c r="AZ174" s="7" t="n">
        <f aca="false">SUMIFS(Doors!BL:BL,Doors!$A:$A,$D174,Doors!$B:$B,$B174,Doors!$C:$C,$C174)*SUMIFS(Velocity!$I:$I,Velocity!$A:$A,$A174,Velocity!$B:$B,$C174)/Assumptions!$B$4*Assumptions!$B$6</f>
        <v>0.9125</v>
      </c>
      <c r="BA174" s="7" t="n">
        <f aca="false">SUMIFS(Doors!BM:BM,Doors!$A:$A,$D174,Doors!$B:$B,$B174,Doors!$C:$C,$C174)*SUMIFS(Velocity!$I:$I,Velocity!$A:$A,$A174,Velocity!$B:$B,$C174)/Assumptions!$B$4*Assumptions!$B$6</f>
        <v>0.9125</v>
      </c>
      <c r="BB174" s="7" t="n">
        <f aca="false">SUMIFS(Doors!BN:BN,Doors!$A:$A,$D174,Doors!$B:$B,$B174,Doors!$C:$C,$C174)*SUMIFS(Velocity!$I:$I,Velocity!$A:$A,$A174,Velocity!$B:$B,$C174)/Assumptions!$B$4*Assumptions!$B$6</f>
        <v>0.9125</v>
      </c>
      <c r="BC174" s="7" t="n">
        <f aca="false">SUMIFS(Doors!BO:BO,Doors!$A:$A,$D174,Doors!$B:$B,$B174,Doors!$C:$C,$C174)*SUMIFS(Velocity!$I:$I,Velocity!$A:$A,$A174,Velocity!$B:$B,$C174)/Assumptions!$B$4*Assumptions!$B$6</f>
        <v>0.9125</v>
      </c>
      <c r="BD174" s="7" t="n">
        <f aca="false">SUMIFS(Doors!BP:BP,Doors!$A:$A,$D174,Doors!$B:$B,$B174,Doors!$C:$C,$C174)*SUMIFS(Velocity!$I:$I,Velocity!$A:$A,$A174,Velocity!$B:$B,$C174)/Assumptions!$B$4*Assumptions!$B$6</f>
        <v>0.9125</v>
      </c>
    </row>
    <row r="175" customFormat="false" ht="15" hidden="false" customHeight="false" outlineLevel="0" collapsed="false">
      <c r="A175" s="0" t="s">
        <v>109</v>
      </c>
      <c r="B175" s="0" t="s">
        <v>134</v>
      </c>
      <c r="C175" s="0" t="s">
        <v>122</v>
      </c>
      <c r="D175" s="0" t="s">
        <v>235</v>
      </c>
      <c r="E175" s="7" t="n">
        <f aca="false">SUMIFS(Doors!Q:Q,Doors!$A:$A,$D175,Doors!$B:$B,$B175,Doors!$C:$C,$C175)*SUMIFS(Velocity!$I:$I,Velocity!$A:$A,$A175,Velocity!$B:$B,$C175)/Assumptions!$B$4*Assumptions!$B$6</f>
        <v>0</v>
      </c>
      <c r="F175" s="7" t="n">
        <f aca="false">SUMIFS(Doors!R:R,Doors!$A:$A,$D175,Doors!$B:$B,$B175,Doors!$C:$C,$C175)*SUMIFS(Velocity!$I:$I,Velocity!$A:$A,$A175,Velocity!$B:$B,$C175)/Assumptions!$B$4*Assumptions!$B$6</f>
        <v>0</v>
      </c>
      <c r="G175" s="7" t="n">
        <f aca="false">SUMIFS(Doors!S:S,Doors!$A:$A,$D175,Doors!$B:$B,$B175,Doors!$C:$C,$C175)*SUMIFS(Velocity!$I:$I,Velocity!$A:$A,$A175,Velocity!$B:$B,$C175)/Assumptions!$B$4*Assumptions!$B$6</f>
        <v>0</v>
      </c>
      <c r="H175" s="7" t="n">
        <f aca="false">SUMIFS(Doors!T:T,Doors!$A:$A,$D175,Doors!$B:$B,$B175,Doors!$C:$C,$C175)*SUMIFS(Velocity!$I:$I,Velocity!$A:$A,$A175,Velocity!$B:$B,$C175)/Assumptions!$B$4*Assumptions!$B$6</f>
        <v>0</v>
      </c>
      <c r="I175" s="7" t="n">
        <f aca="false">SUMIFS(Doors!U:U,Doors!$A:$A,$D175,Doors!$B:$B,$B175,Doors!$C:$C,$C175)*SUMIFS(Velocity!$I:$I,Velocity!$A:$A,$A175,Velocity!$B:$B,$C175)/Assumptions!$B$4*Assumptions!$B$6</f>
        <v>0</v>
      </c>
      <c r="J175" s="7" t="n">
        <f aca="false">SUMIFS(Doors!V:V,Doors!$A:$A,$D175,Doors!$B:$B,$B175,Doors!$C:$C,$C175)*SUMIFS(Velocity!$I:$I,Velocity!$A:$A,$A175,Velocity!$B:$B,$C175)/Assumptions!$B$4*Assumptions!$B$6</f>
        <v>0</v>
      </c>
      <c r="K175" s="7" t="n">
        <f aca="false">SUMIFS(Doors!W:W,Doors!$A:$A,$D175,Doors!$B:$B,$B175,Doors!$C:$C,$C175)*SUMIFS(Velocity!$I:$I,Velocity!$A:$A,$A175,Velocity!$B:$B,$C175)/Assumptions!$B$4*Assumptions!$B$6</f>
        <v>0</v>
      </c>
      <c r="L175" s="7" t="n">
        <f aca="false">SUMIFS(Doors!X:X,Doors!$A:$A,$D175,Doors!$B:$B,$B175,Doors!$C:$C,$C175)*SUMIFS(Velocity!$I:$I,Velocity!$A:$A,$A175,Velocity!$B:$B,$C175)/Assumptions!$B$4*Assumptions!$B$6</f>
        <v>0</v>
      </c>
      <c r="M175" s="7" t="n">
        <f aca="false">SUMIFS(Doors!Y:Y,Doors!$A:$A,$D175,Doors!$B:$B,$B175,Doors!$C:$C,$C175)*SUMIFS(Velocity!$I:$I,Velocity!$A:$A,$A175,Velocity!$B:$B,$C175)/Assumptions!$B$4*Assumptions!$B$6</f>
        <v>0</v>
      </c>
      <c r="N175" s="7" t="n">
        <f aca="false">SUMIFS(Doors!Z:Z,Doors!$A:$A,$D175,Doors!$B:$B,$B175,Doors!$C:$C,$C175)*SUMIFS(Velocity!$I:$I,Velocity!$A:$A,$A175,Velocity!$B:$B,$C175)/Assumptions!$B$4*Assumptions!$B$6</f>
        <v>0</v>
      </c>
      <c r="O175" s="7" t="n">
        <f aca="false">SUMIFS(Doors!AA:AA,Doors!$A:$A,$D175,Doors!$B:$B,$B175,Doors!$C:$C,$C175)*SUMIFS(Velocity!$I:$I,Velocity!$A:$A,$A175,Velocity!$B:$B,$C175)/Assumptions!$B$4*Assumptions!$B$6</f>
        <v>0</v>
      </c>
      <c r="P175" s="7" t="n">
        <f aca="false">SUMIFS(Doors!AB:AB,Doors!$A:$A,$D175,Doors!$B:$B,$B175,Doors!$C:$C,$C175)*SUMIFS(Velocity!$I:$I,Velocity!$A:$A,$A175,Velocity!$B:$B,$C175)/Assumptions!$B$4*Assumptions!$B$6</f>
        <v>0</v>
      </c>
      <c r="Q175" s="7" t="n">
        <f aca="false">SUMIFS(Doors!AC:AC,Doors!$A:$A,$D175,Doors!$B:$B,$B175,Doors!$C:$C,$C175)*SUMIFS(Velocity!$I:$I,Velocity!$A:$A,$A175,Velocity!$B:$B,$C175)/Assumptions!$B$4*Assumptions!$B$6</f>
        <v>0</v>
      </c>
      <c r="R175" s="7" t="n">
        <f aca="false">SUMIFS(Doors!AD:AD,Doors!$A:$A,$D175,Doors!$B:$B,$B175,Doors!$C:$C,$C175)*SUMIFS(Velocity!$I:$I,Velocity!$A:$A,$A175,Velocity!$B:$B,$C175)/Assumptions!$B$4*Assumptions!$B$6</f>
        <v>0</v>
      </c>
      <c r="S175" s="7" t="n">
        <f aca="false">SUMIFS(Doors!AE:AE,Doors!$A:$A,$D175,Doors!$B:$B,$B175,Doors!$C:$C,$C175)*SUMIFS(Velocity!$I:$I,Velocity!$A:$A,$A175,Velocity!$B:$B,$C175)/Assumptions!$B$4*Assumptions!$B$6</f>
        <v>0</v>
      </c>
      <c r="T175" s="7" t="n">
        <f aca="false">SUMIFS(Doors!AF:AF,Doors!$A:$A,$D175,Doors!$B:$B,$B175,Doors!$C:$C,$C175)*SUMIFS(Velocity!$I:$I,Velocity!$A:$A,$A175,Velocity!$B:$B,$C175)/Assumptions!$B$4*Assumptions!$B$6</f>
        <v>0</v>
      </c>
      <c r="U175" s="7" t="n">
        <f aca="false">SUMIFS(Doors!AG:AG,Doors!$A:$A,$D175,Doors!$B:$B,$B175,Doors!$C:$C,$C175)*SUMIFS(Velocity!$I:$I,Velocity!$A:$A,$A175,Velocity!$B:$B,$C175)/Assumptions!$B$4*Assumptions!$B$6</f>
        <v>0</v>
      </c>
      <c r="V175" s="7" t="n">
        <f aca="false">SUMIFS(Doors!AH:AH,Doors!$A:$A,$D175,Doors!$B:$B,$B175,Doors!$C:$C,$C175)*SUMIFS(Velocity!$I:$I,Velocity!$A:$A,$A175,Velocity!$B:$B,$C175)/Assumptions!$B$4*Assumptions!$B$6</f>
        <v>0</v>
      </c>
      <c r="W175" s="7" t="n">
        <f aca="false">SUMIFS(Doors!AI:AI,Doors!$A:$A,$D175,Doors!$B:$B,$B175,Doors!$C:$C,$C175)*SUMIFS(Velocity!$I:$I,Velocity!$A:$A,$A175,Velocity!$B:$B,$C175)/Assumptions!$B$4*Assumptions!$B$6</f>
        <v>0</v>
      </c>
      <c r="X175" s="7" t="n">
        <f aca="false">SUMIFS(Doors!AJ:AJ,Doors!$A:$A,$D175,Doors!$B:$B,$B175,Doors!$C:$C,$C175)*SUMIFS(Velocity!$I:$I,Velocity!$A:$A,$A175,Velocity!$B:$B,$C175)/Assumptions!$B$4*Assumptions!$B$6</f>
        <v>0</v>
      </c>
      <c r="Y175" s="7" t="n">
        <f aca="false">SUMIFS(Doors!AK:AK,Doors!$A:$A,$D175,Doors!$B:$B,$B175,Doors!$C:$C,$C175)*SUMIFS(Velocity!$I:$I,Velocity!$A:$A,$A175,Velocity!$B:$B,$C175)/Assumptions!$B$4*Assumptions!$B$6</f>
        <v>0</v>
      </c>
      <c r="Z175" s="7" t="n">
        <f aca="false">SUMIFS(Doors!AL:AL,Doors!$A:$A,$D175,Doors!$B:$B,$B175,Doors!$C:$C,$C175)*SUMIFS(Velocity!$I:$I,Velocity!$A:$A,$A175,Velocity!$B:$B,$C175)/Assumptions!$B$4*Assumptions!$B$6</f>
        <v>0</v>
      </c>
      <c r="AA175" s="7" t="n">
        <f aca="false">SUMIFS(Doors!AM:AM,Doors!$A:$A,$D175,Doors!$B:$B,$B175,Doors!$C:$C,$C175)*SUMIFS(Velocity!$I:$I,Velocity!$A:$A,$A175,Velocity!$B:$B,$C175)/Assumptions!$B$4*Assumptions!$B$6</f>
        <v>0</v>
      </c>
      <c r="AB175" s="7" t="n">
        <f aca="false">SUMIFS(Doors!AN:AN,Doors!$A:$A,$D175,Doors!$B:$B,$B175,Doors!$C:$C,$C175)*SUMIFS(Velocity!$I:$I,Velocity!$A:$A,$A175,Velocity!$B:$B,$C175)/Assumptions!$B$4*Assumptions!$B$6</f>
        <v>0</v>
      </c>
      <c r="AC175" s="7" t="n">
        <f aca="false">SUMIFS(Doors!AO:AO,Doors!$A:$A,$D175,Doors!$B:$B,$B175,Doors!$C:$C,$C175)*SUMIFS(Velocity!$I:$I,Velocity!$A:$A,$A175,Velocity!$B:$B,$C175)/Assumptions!$B$4*Assumptions!$B$6</f>
        <v>0</v>
      </c>
      <c r="AD175" s="7" t="n">
        <f aca="false">SUMIFS(Doors!AP:AP,Doors!$A:$A,$D175,Doors!$B:$B,$B175,Doors!$C:$C,$C175)*SUMIFS(Velocity!$I:$I,Velocity!$A:$A,$A175,Velocity!$B:$B,$C175)/Assumptions!$B$4*Assumptions!$B$6</f>
        <v>0</v>
      </c>
      <c r="AE175" s="7" t="n">
        <f aca="false">SUMIFS(Doors!AQ:AQ,Doors!$A:$A,$D175,Doors!$B:$B,$B175,Doors!$C:$C,$C175)*SUMIFS(Velocity!$I:$I,Velocity!$A:$A,$A175,Velocity!$B:$B,$C175)/Assumptions!$B$4*Assumptions!$B$6</f>
        <v>0</v>
      </c>
      <c r="AF175" s="7" t="n">
        <f aca="false">SUMIFS(Doors!AR:AR,Doors!$A:$A,$D175,Doors!$B:$B,$B175,Doors!$C:$C,$C175)*SUMIFS(Velocity!$I:$I,Velocity!$A:$A,$A175,Velocity!$B:$B,$C175)/Assumptions!$B$4*Assumptions!$B$6</f>
        <v>0</v>
      </c>
      <c r="AG175" s="7" t="n">
        <f aca="false">SUMIFS(Doors!AS:AS,Doors!$A:$A,$D175,Doors!$B:$B,$B175,Doors!$C:$C,$C175)*SUMIFS(Velocity!$I:$I,Velocity!$A:$A,$A175,Velocity!$B:$B,$C175)/Assumptions!$B$4*Assumptions!$B$6</f>
        <v>0</v>
      </c>
      <c r="AH175" s="7" t="n">
        <f aca="false">SUMIFS(Doors!AT:AT,Doors!$A:$A,$D175,Doors!$B:$B,$B175,Doors!$C:$C,$C175)*SUMIFS(Velocity!$I:$I,Velocity!$A:$A,$A175,Velocity!$B:$B,$C175)/Assumptions!$B$4*Assumptions!$B$6</f>
        <v>0</v>
      </c>
      <c r="AI175" s="7" t="n">
        <f aca="false">SUMIFS(Doors!AU:AU,Doors!$A:$A,$D175,Doors!$B:$B,$B175,Doors!$C:$C,$C175)*SUMIFS(Velocity!$I:$I,Velocity!$A:$A,$A175,Velocity!$B:$B,$C175)/Assumptions!$B$4*Assumptions!$B$6</f>
        <v>0</v>
      </c>
      <c r="AJ175" s="7" t="n">
        <f aca="false">SUMIFS(Doors!AV:AV,Doors!$A:$A,$D175,Doors!$B:$B,$B175,Doors!$C:$C,$C175)*SUMIFS(Velocity!$I:$I,Velocity!$A:$A,$A175,Velocity!$B:$B,$C175)/Assumptions!$B$4*Assumptions!$B$6</f>
        <v>0</v>
      </c>
      <c r="AK175" s="7" t="n">
        <f aca="false">SUMIFS(Doors!AW:AW,Doors!$A:$A,$D175,Doors!$B:$B,$B175,Doors!$C:$C,$C175)*SUMIFS(Velocity!$I:$I,Velocity!$A:$A,$A175,Velocity!$B:$B,$C175)/Assumptions!$B$4*Assumptions!$B$6</f>
        <v>0</v>
      </c>
      <c r="AL175" s="7" t="n">
        <f aca="false">SUMIFS(Doors!AX:AX,Doors!$A:$A,$D175,Doors!$B:$B,$B175,Doors!$C:$C,$C175)*SUMIFS(Velocity!$I:$I,Velocity!$A:$A,$A175,Velocity!$B:$B,$C175)/Assumptions!$B$4*Assumptions!$B$6</f>
        <v>0</v>
      </c>
      <c r="AM175" s="7" t="n">
        <f aca="false">SUMIFS(Doors!AY:AY,Doors!$A:$A,$D175,Doors!$B:$B,$B175,Doors!$C:$C,$C175)*SUMIFS(Velocity!$I:$I,Velocity!$A:$A,$A175,Velocity!$B:$B,$C175)/Assumptions!$B$4*Assumptions!$B$6</f>
        <v>0</v>
      </c>
      <c r="AN175" s="7" t="n">
        <f aca="false">SUMIFS(Doors!AZ:AZ,Doors!$A:$A,$D175,Doors!$B:$B,$B175,Doors!$C:$C,$C175)*SUMIFS(Velocity!$I:$I,Velocity!$A:$A,$A175,Velocity!$B:$B,$C175)/Assumptions!$B$4*Assumptions!$B$6</f>
        <v>0</v>
      </c>
      <c r="AO175" s="7" t="n">
        <f aca="false">SUMIFS(Doors!BA:BA,Doors!$A:$A,$D175,Doors!$B:$B,$B175,Doors!$C:$C,$C175)*SUMIFS(Velocity!$I:$I,Velocity!$A:$A,$A175,Velocity!$B:$B,$C175)/Assumptions!$B$4*Assumptions!$B$6</f>
        <v>0</v>
      </c>
      <c r="AP175" s="7" t="n">
        <f aca="false">SUMIFS(Doors!BB:BB,Doors!$A:$A,$D175,Doors!$B:$B,$B175,Doors!$C:$C,$C175)*SUMIFS(Velocity!$I:$I,Velocity!$A:$A,$A175,Velocity!$B:$B,$C175)/Assumptions!$B$4*Assumptions!$B$6</f>
        <v>0</v>
      </c>
      <c r="AQ175" s="7" t="n">
        <f aca="false">SUMIFS(Doors!BC:BC,Doors!$A:$A,$D175,Doors!$B:$B,$B175,Doors!$C:$C,$C175)*SUMIFS(Velocity!$I:$I,Velocity!$A:$A,$A175,Velocity!$B:$B,$C175)/Assumptions!$B$4*Assumptions!$B$6</f>
        <v>0</v>
      </c>
      <c r="AR175" s="7" t="n">
        <f aca="false">SUMIFS(Doors!BD:BD,Doors!$A:$A,$D175,Doors!$B:$B,$B175,Doors!$C:$C,$C175)*SUMIFS(Velocity!$I:$I,Velocity!$A:$A,$A175,Velocity!$B:$B,$C175)/Assumptions!$B$4*Assumptions!$B$6</f>
        <v>0</v>
      </c>
      <c r="AS175" s="7" t="n">
        <f aca="false">SUMIFS(Doors!BE:BE,Doors!$A:$A,$D175,Doors!$B:$B,$B175,Doors!$C:$C,$C175)*SUMIFS(Velocity!$I:$I,Velocity!$A:$A,$A175,Velocity!$B:$B,$C175)/Assumptions!$B$4*Assumptions!$B$6</f>
        <v>0</v>
      </c>
      <c r="AT175" s="7" t="n">
        <f aca="false">SUMIFS(Doors!BF:BF,Doors!$A:$A,$D175,Doors!$B:$B,$B175,Doors!$C:$C,$C175)*SUMIFS(Velocity!$I:$I,Velocity!$A:$A,$A175,Velocity!$B:$B,$C175)/Assumptions!$B$4*Assumptions!$B$6</f>
        <v>0</v>
      </c>
      <c r="AU175" s="7" t="n">
        <f aca="false">SUMIFS(Doors!BG:BG,Doors!$A:$A,$D175,Doors!$B:$B,$B175,Doors!$C:$C,$C175)*SUMIFS(Velocity!$I:$I,Velocity!$A:$A,$A175,Velocity!$B:$B,$C175)/Assumptions!$B$4*Assumptions!$B$6</f>
        <v>0</v>
      </c>
      <c r="AV175" s="7" t="n">
        <f aca="false">SUMIFS(Doors!BH:BH,Doors!$A:$A,$D175,Doors!$B:$B,$B175,Doors!$C:$C,$C175)*SUMIFS(Velocity!$I:$I,Velocity!$A:$A,$A175,Velocity!$B:$B,$C175)/Assumptions!$B$4*Assumptions!$B$6</f>
        <v>0</v>
      </c>
      <c r="AW175" s="7" t="n">
        <f aca="false">SUMIFS(Doors!BI:BI,Doors!$A:$A,$D175,Doors!$B:$B,$B175,Doors!$C:$C,$C175)*SUMIFS(Velocity!$I:$I,Velocity!$A:$A,$A175,Velocity!$B:$B,$C175)/Assumptions!$B$4*Assumptions!$B$6</f>
        <v>0</v>
      </c>
      <c r="AX175" s="7" t="n">
        <f aca="false">SUMIFS(Doors!BJ:BJ,Doors!$A:$A,$D175,Doors!$B:$B,$B175,Doors!$C:$C,$C175)*SUMIFS(Velocity!$I:$I,Velocity!$A:$A,$A175,Velocity!$B:$B,$C175)/Assumptions!$B$4*Assumptions!$B$6</f>
        <v>0</v>
      </c>
      <c r="AY175" s="7" t="n">
        <f aca="false">SUMIFS(Doors!BK:BK,Doors!$A:$A,$D175,Doors!$B:$B,$B175,Doors!$C:$C,$C175)*SUMIFS(Velocity!$I:$I,Velocity!$A:$A,$A175,Velocity!$B:$B,$C175)/Assumptions!$B$4*Assumptions!$B$6</f>
        <v>0</v>
      </c>
      <c r="AZ175" s="7" t="n">
        <f aca="false">SUMIFS(Doors!BL:BL,Doors!$A:$A,$D175,Doors!$B:$B,$B175,Doors!$C:$C,$C175)*SUMIFS(Velocity!$I:$I,Velocity!$A:$A,$A175,Velocity!$B:$B,$C175)/Assumptions!$B$4*Assumptions!$B$6</f>
        <v>0</v>
      </c>
      <c r="BA175" s="7" t="n">
        <f aca="false">SUMIFS(Doors!BM:BM,Doors!$A:$A,$D175,Doors!$B:$B,$B175,Doors!$C:$C,$C175)*SUMIFS(Velocity!$I:$I,Velocity!$A:$A,$A175,Velocity!$B:$B,$C175)/Assumptions!$B$4*Assumptions!$B$6</f>
        <v>0</v>
      </c>
      <c r="BB175" s="7" t="n">
        <f aca="false">SUMIFS(Doors!BN:BN,Doors!$A:$A,$D175,Doors!$B:$B,$B175,Doors!$C:$C,$C175)*SUMIFS(Velocity!$I:$I,Velocity!$A:$A,$A175,Velocity!$B:$B,$C175)/Assumptions!$B$4*Assumptions!$B$6</f>
        <v>0</v>
      </c>
      <c r="BC175" s="7" t="n">
        <f aca="false">SUMIFS(Doors!BO:BO,Doors!$A:$A,$D175,Doors!$B:$B,$B175,Doors!$C:$C,$C175)*SUMIFS(Velocity!$I:$I,Velocity!$A:$A,$A175,Velocity!$B:$B,$C175)/Assumptions!$B$4*Assumptions!$B$6</f>
        <v>0</v>
      </c>
      <c r="BD175" s="7" t="n">
        <f aca="false">SUMIFS(Doors!BP:BP,Doors!$A:$A,$D175,Doors!$B:$B,$B175,Doors!$C:$C,$C175)*SUMIFS(Velocity!$I:$I,Velocity!$A:$A,$A175,Velocity!$B:$B,$C175)/Assumptions!$B$4*Assumptions!$B$6</f>
        <v>0</v>
      </c>
    </row>
    <row r="176" customFormat="false" ht="15" hidden="false" customHeight="false" outlineLevel="0" collapsed="false">
      <c r="A176" s="0" t="s">
        <v>109</v>
      </c>
      <c r="B176" s="0" t="s">
        <v>134</v>
      </c>
      <c r="C176" s="0" t="s">
        <v>123</v>
      </c>
      <c r="D176" s="0" t="s">
        <v>235</v>
      </c>
      <c r="E176" s="7" t="n">
        <f aca="false">SUMIFS(Doors!Q:Q,Doors!$A:$A,$D176,Doors!$B:$B,$B176,Doors!$C:$C,$C176)*SUMIFS(Velocity!$I:$I,Velocity!$A:$A,$A176,Velocity!$B:$B,$C176)/Assumptions!$B$4*Assumptions!$B$6</f>
        <v>0</v>
      </c>
      <c r="F176" s="7" t="n">
        <f aca="false">SUMIFS(Doors!R:R,Doors!$A:$A,$D176,Doors!$B:$B,$B176,Doors!$C:$C,$C176)*SUMIFS(Velocity!$I:$I,Velocity!$A:$A,$A176,Velocity!$B:$B,$C176)/Assumptions!$B$4*Assumptions!$B$6</f>
        <v>0</v>
      </c>
      <c r="G176" s="7" t="n">
        <f aca="false">SUMIFS(Doors!S:S,Doors!$A:$A,$D176,Doors!$B:$B,$B176,Doors!$C:$C,$C176)*SUMIFS(Velocity!$I:$I,Velocity!$A:$A,$A176,Velocity!$B:$B,$C176)/Assumptions!$B$4*Assumptions!$B$6</f>
        <v>0</v>
      </c>
      <c r="H176" s="7" t="n">
        <f aca="false">SUMIFS(Doors!T:T,Doors!$A:$A,$D176,Doors!$B:$B,$B176,Doors!$C:$C,$C176)*SUMIFS(Velocity!$I:$I,Velocity!$A:$A,$A176,Velocity!$B:$B,$C176)/Assumptions!$B$4*Assumptions!$B$6</f>
        <v>0</v>
      </c>
      <c r="I176" s="7" t="n">
        <f aca="false">SUMIFS(Doors!U:U,Doors!$A:$A,$D176,Doors!$B:$B,$B176,Doors!$C:$C,$C176)*SUMIFS(Velocity!$I:$I,Velocity!$A:$A,$A176,Velocity!$B:$B,$C176)/Assumptions!$B$4*Assumptions!$B$6</f>
        <v>0</v>
      </c>
      <c r="J176" s="7" t="n">
        <f aca="false">SUMIFS(Doors!V:V,Doors!$A:$A,$D176,Doors!$B:$B,$B176,Doors!$C:$C,$C176)*SUMIFS(Velocity!$I:$I,Velocity!$A:$A,$A176,Velocity!$B:$B,$C176)/Assumptions!$B$4*Assumptions!$B$6</f>
        <v>0</v>
      </c>
      <c r="K176" s="7" t="n">
        <f aca="false">SUMIFS(Doors!W:W,Doors!$A:$A,$D176,Doors!$B:$B,$B176,Doors!$C:$C,$C176)*SUMIFS(Velocity!$I:$I,Velocity!$A:$A,$A176,Velocity!$B:$B,$C176)/Assumptions!$B$4*Assumptions!$B$6</f>
        <v>0</v>
      </c>
      <c r="L176" s="7" t="n">
        <f aca="false">SUMIFS(Doors!X:X,Doors!$A:$A,$D176,Doors!$B:$B,$B176,Doors!$C:$C,$C176)*SUMIFS(Velocity!$I:$I,Velocity!$A:$A,$A176,Velocity!$B:$B,$C176)/Assumptions!$B$4*Assumptions!$B$6</f>
        <v>0</v>
      </c>
      <c r="M176" s="7" t="n">
        <f aca="false">SUMIFS(Doors!Y:Y,Doors!$A:$A,$D176,Doors!$B:$B,$B176,Doors!$C:$C,$C176)*SUMIFS(Velocity!$I:$I,Velocity!$A:$A,$A176,Velocity!$B:$B,$C176)/Assumptions!$B$4*Assumptions!$B$6</f>
        <v>0</v>
      </c>
      <c r="N176" s="7" t="n">
        <f aca="false">SUMIFS(Doors!Z:Z,Doors!$A:$A,$D176,Doors!$B:$B,$B176,Doors!$C:$C,$C176)*SUMIFS(Velocity!$I:$I,Velocity!$A:$A,$A176,Velocity!$B:$B,$C176)/Assumptions!$B$4*Assumptions!$B$6</f>
        <v>0</v>
      </c>
      <c r="O176" s="7" t="n">
        <f aca="false">SUMIFS(Doors!AA:AA,Doors!$A:$A,$D176,Doors!$B:$B,$B176,Doors!$C:$C,$C176)*SUMIFS(Velocity!$I:$I,Velocity!$A:$A,$A176,Velocity!$B:$B,$C176)/Assumptions!$B$4*Assumptions!$B$6</f>
        <v>0</v>
      </c>
      <c r="P176" s="7" t="n">
        <f aca="false">SUMIFS(Doors!AB:AB,Doors!$A:$A,$D176,Doors!$B:$B,$B176,Doors!$C:$C,$C176)*SUMIFS(Velocity!$I:$I,Velocity!$A:$A,$A176,Velocity!$B:$B,$C176)/Assumptions!$B$4*Assumptions!$B$6</f>
        <v>0</v>
      </c>
      <c r="Q176" s="7" t="n">
        <f aca="false">SUMIFS(Doors!AC:AC,Doors!$A:$A,$D176,Doors!$B:$B,$B176,Doors!$C:$C,$C176)*SUMIFS(Velocity!$I:$I,Velocity!$A:$A,$A176,Velocity!$B:$B,$C176)/Assumptions!$B$4*Assumptions!$B$6</f>
        <v>0</v>
      </c>
      <c r="R176" s="7" t="n">
        <f aca="false">SUMIFS(Doors!AD:AD,Doors!$A:$A,$D176,Doors!$B:$B,$B176,Doors!$C:$C,$C176)*SUMIFS(Velocity!$I:$I,Velocity!$A:$A,$A176,Velocity!$B:$B,$C176)/Assumptions!$B$4*Assumptions!$B$6</f>
        <v>0</v>
      </c>
      <c r="S176" s="7" t="n">
        <f aca="false">SUMIFS(Doors!AE:AE,Doors!$A:$A,$D176,Doors!$B:$B,$B176,Doors!$C:$C,$C176)*SUMIFS(Velocity!$I:$I,Velocity!$A:$A,$A176,Velocity!$B:$B,$C176)/Assumptions!$B$4*Assumptions!$B$6</f>
        <v>0</v>
      </c>
      <c r="T176" s="7" t="n">
        <f aca="false">SUMIFS(Doors!AF:AF,Doors!$A:$A,$D176,Doors!$B:$B,$B176,Doors!$C:$C,$C176)*SUMIFS(Velocity!$I:$I,Velocity!$A:$A,$A176,Velocity!$B:$B,$C176)/Assumptions!$B$4*Assumptions!$B$6</f>
        <v>0</v>
      </c>
      <c r="U176" s="7" t="n">
        <f aca="false">SUMIFS(Doors!AG:AG,Doors!$A:$A,$D176,Doors!$B:$B,$B176,Doors!$C:$C,$C176)*SUMIFS(Velocity!$I:$I,Velocity!$A:$A,$A176,Velocity!$B:$B,$C176)/Assumptions!$B$4*Assumptions!$B$6</f>
        <v>0</v>
      </c>
      <c r="V176" s="7" t="n">
        <f aca="false">SUMIFS(Doors!AH:AH,Doors!$A:$A,$D176,Doors!$B:$B,$B176,Doors!$C:$C,$C176)*SUMIFS(Velocity!$I:$I,Velocity!$A:$A,$A176,Velocity!$B:$B,$C176)/Assumptions!$B$4*Assumptions!$B$6</f>
        <v>0</v>
      </c>
      <c r="W176" s="7" t="n">
        <f aca="false">SUMIFS(Doors!AI:AI,Doors!$A:$A,$D176,Doors!$B:$B,$B176,Doors!$C:$C,$C176)*SUMIFS(Velocity!$I:$I,Velocity!$A:$A,$A176,Velocity!$B:$B,$C176)/Assumptions!$B$4*Assumptions!$B$6</f>
        <v>0</v>
      </c>
      <c r="X176" s="7" t="n">
        <f aca="false">SUMIFS(Doors!AJ:AJ,Doors!$A:$A,$D176,Doors!$B:$B,$B176,Doors!$C:$C,$C176)*SUMIFS(Velocity!$I:$I,Velocity!$A:$A,$A176,Velocity!$B:$B,$C176)/Assumptions!$B$4*Assumptions!$B$6</f>
        <v>0</v>
      </c>
      <c r="Y176" s="7" t="n">
        <f aca="false">SUMIFS(Doors!AK:AK,Doors!$A:$A,$D176,Doors!$B:$B,$B176,Doors!$C:$C,$C176)*SUMIFS(Velocity!$I:$I,Velocity!$A:$A,$A176,Velocity!$B:$B,$C176)/Assumptions!$B$4*Assumptions!$B$6</f>
        <v>0</v>
      </c>
      <c r="Z176" s="7" t="n">
        <f aca="false">SUMIFS(Doors!AL:AL,Doors!$A:$A,$D176,Doors!$B:$B,$B176,Doors!$C:$C,$C176)*SUMIFS(Velocity!$I:$I,Velocity!$A:$A,$A176,Velocity!$B:$B,$C176)/Assumptions!$B$4*Assumptions!$B$6</f>
        <v>0</v>
      </c>
      <c r="AA176" s="7" t="n">
        <f aca="false">SUMIFS(Doors!AM:AM,Doors!$A:$A,$D176,Doors!$B:$B,$B176,Doors!$C:$C,$C176)*SUMIFS(Velocity!$I:$I,Velocity!$A:$A,$A176,Velocity!$B:$B,$C176)/Assumptions!$B$4*Assumptions!$B$6</f>
        <v>0</v>
      </c>
      <c r="AB176" s="7" t="n">
        <f aca="false">SUMIFS(Doors!AN:AN,Doors!$A:$A,$D176,Doors!$B:$B,$B176,Doors!$C:$C,$C176)*SUMIFS(Velocity!$I:$I,Velocity!$A:$A,$A176,Velocity!$B:$B,$C176)/Assumptions!$B$4*Assumptions!$B$6</f>
        <v>0</v>
      </c>
      <c r="AC176" s="7" t="n">
        <f aca="false">SUMIFS(Doors!AO:AO,Doors!$A:$A,$D176,Doors!$B:$B,$B176,Doors!$C:$C,$C176)*SUMIFS(Velocity!$I:$I,Velocity!$A:$A,$A176,Velocity!$B:$B,$C176)/Assumptions!$B$4*Assumptions!$B$6</f>
        <v>0</v>
      </c>
      <c r="AD176" s="7" t="n">
        <f aca="false">SUMIFS(Doors!AP:AP,Doors!$A:$A,$D176,Doors!$B:$B,$B176,Doors!$C:$C,$C176)*SUMIFS(Velocity!$I:$I,Velocity!$A:$A,$A176,Velocity!$B:$B,$C176)/Assumptions!$B$4*Assumptions!$B$6</f>
        <v>0</v>
      </c>
      <c r="AE176" s="7" t="n">
        <f aca="false">SUMIFS(Doors!AQ:AQ,Doors!$A:$A,$D176,Doors!$B:$B,$B176,Doors!$C:$C,$C176)*SUMIFS(Velocity!$I:$I,Velocity!$A:$A,$A176,Velocity!$B:$B,$C176)/Assumptions!$B$4*Assumptions!$B$6</f>
        <v>0</v>
      </c>
      <c r="AF176" s="7" t="n">
        <f aca="false">SUMIFS(Doors!AR:AR,Doors!$A:$A,$D176,Doors!$B:$B,$B176,Doors!$C:$C,$C176)*SUMIFS(Velocity!$I:$I,Velocity!$A:$A,$A176,Velocity!$B:$B,$C176)/Assumptions!$B$4*Assumptions!$B$6</f>
        <v>0</v>
      </c>
      <c r="AG176" s="7" t="n">
        <f aca="false">SUMIFS(Doors!AS:AS,Doors!$A:$A,$D176,Doors!$B:$B,$B176,Doors!$C:$C,$C176)*SUMIFS(Velocity!$I:$I,Velocity!$A:$A,$A176,Velocity!$B:$B,$C176)/Assumptions!$B$4*Assumptions!$B$6</f>
        <v>0</v>
      </c>
      <c r="AH176" s="7" t="n">
        <f aca="false">SUMIFS(Doors!AT:AT,Doors!$A:$A,$D176,Doors!$B:$B,$B176,Doors!$C:$C,$C176)*SUMIFS(Velocity!$I:$I,Velocity!$A:$A,$A176,Velocity!$B:$B,$C176)/Assumptions!$B$4*Assumptions!$B$6</f>
        <v>0</v>
      </c>
      <c r="AI176" s="7" t="n">
        <f aca="false">SUMIFS(Doors!AU:AU,Doors!$A:$A,$D176,Doors!$B:$B,$B176,Doors!$C:$C,$C176)*SUMIFS(Velocity!$I:$I,Velocity!$A:$A,$A176,Velocity!$B:$B,$C176)/Assumptions!$B$4*Assumptions!$B$6</f>
        <v>0</v>
      </c>
      <c r="AJ176" s="7" t="n">
        <f aca="false">SUMIFS(Doors!AV:AV,Doors!$A:$A,$D176,Doors!$B:$B,$B176,Doors!$C:$C,$C176)*SUMIFS(Velocity!$I:$I,Velocity!$A:$A,$A176,Velocity!$B:$B,$C176)/Assumptions!$B$4*Assumptions!$B$6</f>
        <v>0</v>
      </c>
      <c r="AK176" s="7" t="n">
        <f aca="false">SUMIFS(Doors!AW:AW,Doors!$A:$A,$D176,Doors!$B:$B,$B176,Doors!$C:$C,$C176)*SUMIFS(Velocity!$I:$I,Velocity!$A:$A,$A176,Velocity!$B:$B,$C176)/Assumptions!$B$4*Assumptions!$B$6</f>
        <v>0</v>
      </c>
      <c r="AL176" s="7" t="n">
        <f aca="false">SUMIFS(Doors!AX:AX,Doors!$A:$A,$D176,Doors!$B:$B,$B176,Doors!$C:$C,$C176)*SUMIFS(Velocity!$I:$I,Velocity!$A:$A,$A176,Velocity!$B:$B,$C176)/Assumptions!$B$4*Assumptions!$B$6</f>
        <v>0</v>
      </c>
      <c r="AM176" s="7" t="n">
        <f aca="false">SUMIFS(Doors!AY:AY,Doors!$A:$A,$D176,Doors!$B:$B,$B176,Doors!$C:$C,$C176)*SUMIFS(Velocity!$I:$I,Velocity!$A:$A,$A176,Velocity!$B:$B,$C176)/Assumptions!$B$4*Assumptions!$B$6</f>
        <v>0</v>
      </c>
      <c r="AN176" s="7" t="n">
        <f aca="false">SUMIFS(Doors!AZ:AZ,Doors!$A:$A,$D176,Doors!$B:$B,$B176,Doors!$C:$C,$C176)*SUMIFS(Velocity!$I:$I,Velocity!$A:$A,$A176,Velocity!$B:$B,$C176)/Assumptions!$B$4*Assumptions!$B$6</f>
        <v>0</v>
      </c>
      <c r="AO176" s="7" t="n">
        <f aca="false">SUMIFS(Doors!BA:BA,Doors!$A:$A,$D176,Doors!$B:$B,$B176,Doors!$C:$C,$C176)*SUMIFS(Velocity!$I:$I,Velocity!$A:$A,$A176,Velocity!$B:$B,$C176)/Assumptions!$B$4*Assumptions!$B$6</f>
        <v>0</v>
      </c>
      <c r="AP176" s="7" t="n">
        <f aca="false">SUMIFS(Doors!BB:BB,Doors!$A:$A,$D176,Doors!$B:$B,$B176,Doors!$C:$C,$C176)*SUMIFS(Velocity!$I:$I,Velocity!$A:$A,$A176,Velocity!$B:$B,$C176)/Assumptions!$B$4*Assumptions!$B$6</f>
        <v>0</v>
      </c>
      <c r="AQ176" s="7" t="n">
        <f aca="false">SUMIFS(Doors!BC:BC,Doors!$A:$A,$D176,Doors!$B:$B,$B176,Doors!$C:$C,$C176)*SUMIFS(Velocity!$I:$I,Velocity!$A:$A,$A176,Velocity!$B:$B,$C176)/Assumptions!$B$4*Assumptions!$B$6</f>
        <v>0</v>
      </c>
      <c r="AR176" s="7" t="n">
        <f aca="false">SUMIFS(Doors!BD:BD,Doors!$A:$A,$D176,Doors!$B:$B,$B176,Doors!$C:$C,$C176)*SUMIFS(Velocity!$I:$I,Velocity!$A:$A,$A176,Velocity!$B:$B,$C176)/Assumptions!$B$4*Assumptions!$B$6</f>
        <v>0</v>
      </c>
      <c r="AS176" s="7" t="n">
        <f aca="false">SUMIFS(Doors!BE:BE,Doors!$A:$A,$D176,Doors!$B:$B,$B176,Doors!$C:$C,$C176)*SUMIFS(Velocity!$I:$I,Velocity!$A:$A,$A176,Velocity!$B:$B,$C176)/Assumptions!$B$4*Assumptions!$B$6</f>
        <v>0</v>
      </c>
      <c r="AT176" s="7" t="n">
        <f aca="false">SUMIFS(Doors!BF:BF,Doors!$A:$A,$D176,Doors!$B:$B,$B176,Doors!$C:$C,$C176)*SUMIFS(Velocity!$I:$I,Velocity!$A:$A,$A176,Velocity!$B:$B,$C176)/Assumptions!$B$4*Assumptions!$B$6</f>
        <v>0</v>
      </c>
      <c r="AU176" s="7" t="n">
        <f aca="false">SUMIFS(Doors!BG:BG,Doors!$A:$A,$D176,Doors!$B:$B,$B176,Doors!$C:$C,$C176)*SUMIFS(Velocity!$I:$I,Velocity!$A:$A,$A176,Velocity!$B:$B,$C176)/Assumptions!$B$4*Assumptions!$B$6</f>
        <v>0</v>
      </c>
      <c r="AV176" s="7" t="n">
        <f aca="false">SUMIFS(Doors!BH:BH,Doors!$A:$A,$D176,Doors!$B:$B,$B176,Doors!$C:$C,$C176)*SUMIFS(Velocity!$I:$I,Velocity!$A:$A,$A176,Velocity!$B:$B,$C176)/Assumptions!$B$4*Assumptions!$B$6</f>
        <v>0</v>
      </c>
      <c r="AW176" s="7" t="n">
        <f aca="false">SUMIFS(Doors!BI:BI,Doors!$A:$A,$D176,Doors!$B:$B,$B176,Doors!$C:$C,$C176)*SUMIFS(Velocity!$I:$I,Velocity!$A:$A,$A176,Velocity!$B:$B,$C176)/Assumptions!$B$4*Assumptions!$B$6</f>
        <v>0</v>
      </c>
      <c r="AX176" s="7" t="n">
        <f aca="false">SUMIFS(Doors!BJ:BJ,Doors!$A:$A,$D176,Doors!$B:$B,$B176,Doors!$C:$C,$C176)*SUMIFS(Velocity!$I:$I,Velocity!$A:$A,$A176,Velocity!$B:$B,$C176)/Assumptions!$B$4*Assumptions!$B$6</f>
        <v>0</v>
      </c>
      <c r="AY176" s="7" t="n">
        <f aca="false">SUMIFS(Doors!BK:BK,Doors!$A:$A,$D176,Doors!$B:$B,$B176,Doors!$C:$C,$C176)*SUMIFS(Velocity!$I:$I,Velocity!$A:$A,$A176,Velocity!$B:$B,$C176)/Assumptions!$B$4*Assumptions!$B$6</f>
        <v>0</v>
      </c>
      <c r="AZ176" s="7" t="n">
        <f aca="false">SUMIFS(Doors!BL:BL,Doors!$A:$A,$D176,Doors!$B:$B,$B176,Doors!$C:$C,$C176)*SUMIFS(Velocity!$I:$I,Velocity!$A:$A,$A176,Velocity!$B:$B,$C176)/Assumptions!$B$4*Assumptions!$B$6</f>
        <v>0</v>
      </c>
      <c r="BA176" s="7" t="n">
        <f aca="false">SUMIFS(Doors!BM:BM,Doors!$A:$A,$D176,Doors!$B:$B,$B176,Doors!$C:$C,$C176)*SUMIFS(Velocity!$I:$I,Velocity!$A:$A,$A176,Velocity!$B:$B,$C176)/Assumptions!$B$4*Assumptions!$B$6</f>
        <v>0</v>
      </c>
      <c r="BB176" s="7" t="n">
        <f aca="false">SUMIFS(Doors!BN:BN,Doors!$A:$A,$D176,Doors!$B:$B,$B176,Doors!$C:$C,$C176)*SUMIFS(Velocity!$I:$I,Velocity!$A:$A,$A176,Velocity!$B:$B,$C176)/Assumptions!$B$4*Assumptions!$B$6</f>
        <v>0</v>
      </c>
      <c r="BC176" s="7" t="n">
        <f aca="false">SUMIFS(Doors!BO:BO,Doors!$A:$A,$D176,Doors!$B:$B,$B176,Doors!$C:$C,$C176)*SUMIFS(Velocity!$I:$I,Velocity!$A:$A,$A176,Velocity!$B:$B,$C176)/Assumptions!$B$4*Assumptions!$B$6</f>
        <v>0</v>
      </c>
      <c r="BD176" s="7" t="n">
        <f aca="false">SUMIFS(Doors!BP:BP,Doors!$A:$A,$D176,Doors!$B:$B,$B176,Doors!$C:$C,$C176)*SUMIFS(Velocity!$I:$I,Velocity!$A:$A,$A176,Velocity!$B:$B,$C176)/Assumptions!$B$4*Assumptions!$B$6</f>
        <v>0</v>
      </c>
    </row>
    <row r="177" customFormat="false" ht="15" hidden="false" customHeight="false" outlineLevel="0" collapsed="false">
      <c r="A177" s="0" t="s">
        <v>109</v>
      </c>
      <c r="B177" s="0" t="s">
        <v>135</v>
      </c>
      <c r="C177" s="0" t="s">
        <v>115</v>
      </c>
      <c r="D177" s="0" t="s">
        <v>235</v>
      </c>
      <c r="E177" s="7" t="n">
        <f aca="false">SUMIFS(Doors!Q:Q,Doors!$A:$A,$D177,Doors!$B:$B,$B177,Doors!$C:$C,$C177)*SUMIFS(Velocity!$I:$I,Velocity!$A:$A,$A177,Velocity!$B:$B,$C177)/Assumptions!$B$4*Assumptions!$B$6</f>
        <v>0</v>
      </c>
      <c r="F177" s="7" t="n">
        <f aca="false">SUMIFS(Doors!R:R,Doors!$A:$A,$D177,Doors!$B:$B,$B177,Doors!$C:$C,$C177)*SUMIFS(Velocity!$I:$I,Velocity!$A:$A,$A177,Velocity!$B:$B,$C177)/Assumptions!$B$4*Assumptions!$B$6</f>
        <v>0</v>
      </c>
      <c r="G177" s="7" t="n">
        <f aca="false">SUMIFS(Doors!S:S,Doors!$A:$A,$D177,Doors!$B:$B,$B177,Doors!$C:$C,$C177)*SUMIFS(Velocity!$I:$I,Velocity!$A:$A,$A177,Velocity!$B:$B,$C177)/Assumptions!$B$4*Assumptions!$B$6</f>
        <v>0</v>
      </c>
      <c r="H177" s="7" t="n">
        <f aca="false">SUMIFS(Doors!T:T,Doors!$A:$A,$D177,Doors!$B:$B,$B177,Doors!$C:$C,$C177)*SUMIFS(Velocity!$I:$I,Velocity!$A:$A,$A177,Velocity!$B:$B,$C177)/Assumptions!$B$4*Assumptions!$B$6</f>
        <v>0</v>
      </c>
      <c r="I177" s="7" t="n">
        <f aca="false">SUMIFS(Doors!U:U,Doors!$A:$A,$D177,Doors!$B:$B,$B177,Doors!$C:$C,$C177)*SUMIFS(Velocity!$I:$I,Velocity!$A:$A,$A177,Velocity!$B:$B,$C177)/Assumptions!$B$4*Assumptions!$B$6</f>
        <v>0</v>
      </c>
      <c r="J177" s="7" t="n">
        <f aca="false">SUMIFS(Doors!V:V,Doors!$A:$A,$D177,Doors!$B:$B,$B177,Doors!$C:$C,$C177)*SUMIFS(Velocity!$I:$I,Velocity!$A:$A,$A177,Velocity!$B:$B,$C177)/Assumptions!$B$4*Assumptions!$B$6</f>
        <v>0</v>
      </c>
      <c r="K177" s="7" t="n">
        <f aca="false">SUMIFS(Doors!W:W,Doors!$A:$A,$D177,Doors!$B:$B,$B177,Doors!$C:$C,$C177)*SUMIFS(Velocity!$I:$I,Velocity!$A:$A,$A177,Velocity!$B:$B,$C177)/Assumptions!$B$4*Assumptions!$B$6</f>
        <v>0</v>
      </c>
      <c r="L177" s="7" t="n">
        <f aca="false">SUMIFS(Doors!X:X,Doors!$A:$A,$D177,Doors!$B:$B,$B177,Doors!$C:$C,$C177)*SUMIFS(Velocity!$I:$I,Velocity!$A:$A,$A177,Velocity!$B:$B,$C177)/Assumptions!$B$4*Assumptions!$B$6</f>
        <v>0</v>
      </c>
      <c r="M177" s="7" t="n">
        <f aca="false">SUMIFS(Doors!Y:Y,Doors!$A:$A,$D177,Doors!$B:$B,$B177,Doors!$C:$C,$C177)*SUMIFS(Velocity!$I:$I,Velocity!$A:$A,$A177,Velocity!$B:$B,$C177)/Assumptions!$B$4*Assumptions!$B$6</f>
        <v>0</v>
      </c>
      <c r="N177" s="7" t="n">
        <f aca="false">SUMIFS(Doors!Z:Z,Doors!$A:$A,$D177,Doors!$B:$B,$B177,Doors!$C:$C,$C177)*SUMIFS(Velocity!$I:$I,Velocity!$A:$A,$A177,Velocity!$B:$B,$C177)/Assumptions!$B$4*Assumptions!$B$6</f>
        <v>0</v>
      </c>
      <c r="O177" s="7" t="n">
        <f aca="false">SUMIFS(Doors!AA:AA,Doors!$A:$A,$D177,Doors!$B:$B,$B177,Doors!$C:$C,$C177)*SUMIFS(Velocity!$I:$I,Velocity!$A:$A,$A177,Velocity!$B:$B,$C177)/Assumptions!$B$4*Assumptions!$B$6</f>
        <v>0</v>
      </c>
      <c r="P177" s="7" t="n">
        <f aca="false">SUMIFS(Doors!AB:AB,Doors!$A:$A,$D177,Doors!$B:$B,$B177,Doors!$C:$C,$C177)*SUMIFS(Velocity!$I:$I,Velocity!$A:$A,$A177,Velocity!$B:$B,$C177)/Assumptions!$B$4*Assumptions!$B$6</f>
        <v>0</v>
      </c>
      <c r="Q177" s="7" t="n">
        <f aca="false">SUMIFS(Doors!AC:AC,Doors!$A:$A,$D177,Doors!$B:$B,$B177,Doors!$C:$C,$C177)*SUMIFS(Velocity!$I:$I,Velocity!$A:$A,$A177,Velocity!$B:$B,$C177)/Assumptions!$B$4*Assumptions!$B$6</f>
        <v>0</v>
      </c>
      <c r="R177" s="7" t="n">
        <f aca="false">SUMIFS(Doors!AD:AD,Doors!$A:$A,$D177,Doors!$B:$B,$B177,Doors!$C:$C,$C177)*SUMIFS(Velocity!$I:$I,Velocity!$A:$A,$A177,Velocity!$B:$B,$C177)/Assumptions!$B$4*Assumptions!$B$6</f>
        <v>0.279166666666667</v>
      </c>
      <c r="S177" s="7" t="n">
        <f aca="false">SUMIFS(Doors!AE:AE,Doors!$A:$A,$D177,Doors!$B:$B,$B177,Doors!$C:$C,$C177)*SUMIFS(Velocity!$I:$I,Velocity!$A:$A,$A177,Velocity!$B:$B,$C177)/Assumptions!$B$4*Assumptions!$B$6</f>
        <v>0.279166666666667</v>
      </c>
      <c r="T177" s="7" t="n">
        <f aca="false">SUMIFS(Doors!AF:AF,Doors!$A:$A,$D177,Doors!$B:$B,$B177,Doors!$C:$C,$C177)*SUMIFS(Velocity!$I:$I,Velocity!$A:$A,$A177,Velocity!$B:$B,$C177)/Assumptions!$B$4*Assumptions!$B$6</f>
        <v>0.279166666666667</v>
      </c>
      <c r="U177" s="7" t="n">
        <f aca="false">SUMIFS(Doors!AG:AG,Doors!$A:$A,$D177,Doors!$B:$B,$B177,Doors!$C:$C,$C177)*SUMIFS(Velocity!$I:$I,Velocity!$A:$A,$A177,Velocity!$B:$B,$C177)/Assumptions!$B$4*Assumptions!$B$6</f>
        <v>0.279166666666667</v>
      </c>
      <c r="V177" s="7" t="n">
        <f aca="false">SUMIFS(Doors!AH:AH,Doors!$A:$A,$D177,Doors!$B:$B,$B177,Doors!$C:$C,$C177)*SUMIFS(Velocity!$I:$I,Velocity!$A:$A,$A177,Velocity!$B:$B,$C177)/Assumptions!$B$4*Assumptions!$B$6</f>
        <v>0.279166666666667</v>
      </c>
      <c r="W177" s="7" t="n">
        <f aca="false">SUMIFS(Doors!AI:AI,Doors!$A:$A,$D177,Doors!$B:$B,$B177,Doors!$C:$C,$C177)*SUMIFS(Velocity!$I:$I,Velocity!$A:$A,$A177,Velocity!$B:$B,$C177)/Assumptions!$B$4*Assumptions!$B$6</f>
        <v>0.558333333333333</v>
      </c>
      <c r="X177" s="7" t="n">
        <f aca="false">SUMIFS(Doors!AJ:AJ,Doors!$A:$A,$D177,Doors!$B:$B,$B177,Doors!$C:$C,$C177)*SUMIFS(Velocity!$I:$I,Velocity!$A:$A,$A177,Velocity!$B:$B,$C177)/Assumptions!$B$4*Assumptions!$B$6</f>
        <v>0.558333333333333</v>
      </c>
      <c r="Y177" s="7" t="n">
        <f aca="false">SUMIFS(Doors!AK:AK,Doors!$A:$A,$D177,Doors!$B:$B,$B177,Doors!$C:$C,$C177)*SUMIFS(Velocity!$I:$I,Velocity!$A:$A,$A177,Velocity!$B:$B,$C177)/Assumptions!$B$4*Assumptions!$B$6</f>
        <v>0.558333333333333</v>
      </c>
      <c r="Z177" s="7" t="n">
        <f aca="false">SUMIFS(Doors!AL:AL,Doors!$A:$A,$D177,Doors!$B:$B,$B177,Doors!$C:$C,$C177)*SUMIFS(Velocity!$I:$I,Velocity!$A:$A,$A177,Velocity!$B:$B,$C177)/Assumptions!$B$4*Assumptions!$B$6</f>
        <v>0.558333333333333</v>
      </c>
      <c r="AA177" s="7" t="n">
        <f aca="false">SUMIFS(Doors!AM:AM,Doors!$A:$A,$D177,Doors!$B:$B,$B177,Doors!$C:$C,$C177)*SUMIFS(Velocity!$I:$I,Velocity!$A:$A,$A177,Velocity!$B:$B,$C177)/Assumptions!$B$4*Assumptions!$B$6</f>
        <v>0.8375</v>
      </c>
      <c r="AB177" s="7" t="n">
        <f aca="false">SUMIFS(Doors!AN:AN,Doors!$A:$A,$D177,Doors!$B:$B,$B177,Doors!$C:$C,$C177)*SUMIFS(Velocity!$I:$I,Velocity!$A:$A,$A177,Velocity!$B:$B,$C177)/Assumptions!$B$4*Assumptions!$B$6</f>
        <v>0.8375</v>
      </c>
      <c r="AC177" s="7" t="n">
        <f aca="false">SUMIFS(Doors!AO:AO,Doors!$A:$A,$D177,Doors!$B:$B,$B177,Doors!$C:$C,$C177)*SUMIFS(Velocity!$I:$I,Velocity!$A:$A,$A177,Velocity!$B:$B,$C177)/Assumptions!$B$4*Assumptions!$B$6</f>
        <v>0.8375</v>
      </c>
      <c r="AD177" s="7" t="n">
        <f aca="false">SUMIFS(Doors!AP:AP,Doors!$A:$A,$D177,Doors!$B:$B,$B177,Doors!$C:$C,$C177)*SUMIFS(Velocity!$I:$I,Velocity!$A:$A,$A177,Velocity!$B:$B,$C177)/Assumptions!$B$4*Assumptions!$B$6</f>
        <v>0.8375</v>
      </c>
      <c r="AE177" s="7" t="n">
        <f aca="false">SUMIFS(Doors!AQ:AQ,Doors!$A:$A,$D177,Doors!$B:$B,$B177,Doors!$C:$C,$C177)*SUMIFS(Velocity!$I:$I,Velocity!$A:$A,$A177,Velocity!$B:$B,$C177)/Assumptions!$B$4*Assumptions!$B$6</f>
        <v>1.11666666666667</v>
      </c>
      <c r="AF177" s="7" t="n">
        <f aca="false">SUMIFS(Doors!AR:AR,Doors!$A:$A,$D177,Doors!$B:$B,$B177,Doors!$C:$C,$C177)*SUMIFS(Velocity!$I:$I,Velocity!$A:$A,$A177,Velocity!$B:$B,$C177)/Assumptions!$B$4*Assumptions!$B$6</f>
        <v>1.11666666666667</v>
      </c>
      <c r="AG177" s="7" t="n">
        <f aca="false">SUMIFS(Doors!AS:AS,Doors!$A:$A,$D177,Doors!$B:$B,$B177,Doors!$C:$C,$C177)*SUMIFS(Velocity!$I:$I,Velocity!$A:$A,$A177,Velocity!$B:$B,$C177)/Assumptions!$B$4*Assumptions!$B$6</f>
        <v>1.11666666666667</v>
      </c>
      <c r="AH177" s="7" t="n">
        <f aca="false">SUMIFS(Doors!AT:AT,Doors!$A:$A,$D177,Doors!$B:$B,$B177,Doors!$C:$C,$C177)*SUMIFS(Velocity!$I:$I,Velocity!$A:$A,$A177,Velocity!$B:$B,$C177)/Assumptions!$B$4*Assumptions!$B$6</f>
        <v>1.11666666666667</v>
      </c>
      <c r="AI177" s="7" t="n">
        <f aca="false">SUMIFS(Doors!AU:AU,Doors!$A:$A,$D177,Doors!$B:$B,$B177,Doors!$C:$C,$C177)*SUMIFS(Velocity!$I:$I,Velocity!$A:$A,$A177,Velocity!$B:$B,$C177)/Assumptions!$B$4*Assumptions!$B$6</f>
        <v>1.11666666666667</v>
      </c>
      <c r="AJ177" s="7" t="n">
        <f aca="false">SUMIFS(Doors!AV:AV,Doors!$A:$A,$D177,Doors!$B:$B,$B177,Doors!$C:$C,$C177)*SUMIFS(Velocity!$I:$I,Velocity!$A:$A,$A177,Velocity!$B:$B,$C177)/Assumptions!$B$4*Assumptions!$B$6</f>
        <v>1.39583333333333</v>
      </c>
      <c r="AK177" s="7" t="n">
        <f aca="false">SUMIFS(Doors!AW:AW,Doors!$A:$A,$D177,Doors!$B:$B,$B177,Doors!$C:$C,$C177)*SUMIFS(Velocity!$I:$I,Velocity!$A:$A,$A177,Velocity!$B:$B,$C177)/Assumptions!$B$4*Assumptions!$B$6</f>
        <v>1.39583333333333</v>
      </c>
      <c r="AL177" s="7" t="n">
        <f aca="false">SUMIFS(Doors!AX:AX,Doors!$A:$A,$D177,Doors!$B:$B,$B177,Doors!$C:$C,$C177)*SUMIFS(Velocity!$I:$I,Velocity!$A:$A,$A177,Velocity!$B:$B,$C177)/Assumptions!$B$4*Assumptions!$B$6</f>
        <v>1.39583333333333</v>
      </c>
      <c r="AM177" s="7" t="n">
        <f aca="false">SUMIFS(Doors!AY:AY,Doors!$A:$A,$D177,Doors!$B:$B,$B177,Doors!$C:$C,$C177)*SUMIFS(Velocity!$I:$I,Velocity!$A:$A,$A177,Velocity!$B:$B,$C177)/Assumptions!$B$4*Assumptions!$B$6</f>
        <v>1.39583333333333</v>
      </c>
      <c r="AN177" s="7" t="n">
        <f aca="false">SUMIFS(Doors!AZ:AZ,Doors!$A:$A,$D177,Doors!$B:$B,$B177,Doors!$C:$C,$C177)*SUMIFS(Velocity!$I:$I,Velocity!$A:$A,$A177,Velocity!$B:$B,$C177)/Assumptions!$B$4*Assumptions!$B$6</f>
        <v>1.675</v>
      </c>
      <c r="AO177" s="7" t="n">
        <f aca="false">SUMIFS(Doors!BA:BA,Doors!$A:$A,$D177,Doors!$B:$B,$B177,Doors!$C:$C,$C177)*SUMIFS(Velocity!$I:$I,Velocity!$A:$A,$A177,Velocity!$B:$B,$C177)/Assumptions!$B$4*Assumptions!$B$6</f>
        <v>1.675</v>
      </c>
      <c r="AP177" s="7" t="n">
        <f aca="false">SUMIFS(Doors!BB:BB,Doors!$A:$A,$D177,Doors!$B:$B,$B177,Doors!$C:$C,$C177)*SUMIFS(Velocity!$I:$I,Velocity!$A:$A,$A177,Velocity!$B:$B,$C177)/Assumptions!$B$4*Assumptions!$B$6</f>
        <v>1.675</v>
      </c>
      <c r="AQ177" s="7" t="n">
        <f aca="false">SUMIFS(Doors!BC:BC,Doors!$A:$A,$D177,Doors!$B:$B,$B177,Doors!$C:$C,$C177)*SUMIFS(Velocity!$I:$I,Velocity!$A:$A,$A177,Velocity!$B:$B,$C177)/Assumptions!$B$4*Assumptions!$B$6</f>
        <v>1.675</v>
      </c>
      <c r="AR177" s="7" t="n">
        <f aca="false">SUMIFS(Doors!BD:BD,Doors!$A:$A,$D177,Doors!$B:$B,$B177,Doors!$C:$C,$C177)*SUMIFS(Velocity!$I:$I,Velocity!$A:$A,$A177,Velocity!$B:$B,$C177)/Assumptions!$B$4*Assumptions!$B$6</f>
        <v>1.675</v>
      </c>
      <c r="AS177" s="7" t="n">
        <f aca="false">SUMIFS(Doors!BE:BE,Doors!$A:$A,$D177,Doors!$B:$B,$B177,Doors!$C:$C,$C177)*SUMIFS(Velocity!$I:$I,Velocity!$A:$A,$A177,Velocity!$B:$B,$C177)/Assumptions!$B$4*Assumptions!$B$6</f>
        <v>1.675</v>
      </c>
      <c r="AT177" s="7" t="n">
        <f aca="false">SUMIFS(Doors!BF:BF,Doors!$A:$A,$D177,Doors!$B:$B,$B177,Doors!$C:$C,$C177)*SUMIFS(Velocity!$I:$I,Velocity!$A:$A,$A177,Velocity!$B:$B,$C177)/Assumptions!$B$4*Assumptions!$B$6</f>
        <v>1.675</v>
      </c>
      <c r="AU177" s="7" t="n">
        <f aca="false">SUMIFS(Doors!BG:BG,Doors!$A:$A,$D177,Doors!$B:$B,$B177,Doors!$C:$C,$C177)*SUMIFS(Velocity!$I:$I,Velocity!$A:$A,$A177,Velocity!$B:$B,$C177)/Assumptions!$B$4*Assumptions!$B$6</f>
        <v>1.675</v>
      </c>
      <c r="AV177" s="7" t="n">
        <f aca="false">SUMIFS(Doors!BH:BH,Doors!$A:$A,$D177,Doors!$B:$B,$B177,Doors!$C:$C,$C177)*SUMIFS(Velocity!$I:$I,Velocity!$A:$A,$A177,Velocity!$B:$B,$C177)/Assumptions!$B$4*Assumptions!$B$6</f>
        <v>1.675</v>
      </c>
      <c r="AW177" s="7" t="n">
        <f aca="false">SUMIFS(Doors!BI:BI,Doors!$A:$A,$D177,Doors!$B:$B,$B177,Doors!$C:$C,$C177)*SUMIFS(Velocity!$I:$I,Velocity!$A:$A,$A177,Velocity!$B:$B,$C177)/Assumptions!$B$4*Assumptions!$B$6</f>
        <v>1.95416666666667</v>
      </c>
      <c r="AX177" s="7" t="n">
        <f aca="false">SUMIFS(Doors!BJ:BJ,Doors!$A:$A,$D177,Doors!$B:$B,$B177,Doors!$C:$C,$C177)*SUMIFS(Velocity!$I:$I,Velocity!$A:$A,$A177,Velocity!$B:$B,$C177)/Assumptions!$B$4*Assumptions!$B$6</f>
        <v>1.95416666666667</v>
      </c>
      <c r="AY177" s="7" t="n">
        <f aca="false">SUMIFS(Doors!BK:BK,Doors!$A:$A,$D177,Doors!$B:$B,$B177,Doors!$C:$C,$C177)*SUMIFS(Velocity!$I:$I,Velocity!$A:$A,$A177,Velocity!$B:$B,$C177)/Assumptions!$B$4*Assumptions!$B$6</f>
        <v>1.95416666666667</v>
      </c>
      <c r="AZ177" s="7" t="n">
        <f aca="false">SUMIFS(Doors!BL:BL,Doors!$A:$A,$D177,Doors!$B:$B,$B177,Doors!$C:$C,$C177)*SUMIFS(Velocity!$I:$I,Velocity!$A:$A,$A177,Velocity!$B:$B,$C177)/Assumptions!$B$4*Assumptions!$B$6</f>
        <v>1.95416666666667</v>
      </c>
      <c r="BA177" s="7" t="n">
        <f aca="false">SUMIFS(Doors!BM:BM,Doors!$A:$A,$D177,Doors!$B:$B,$B177,Doors!$C:$C,$C177)*SUMIFS(Velocity!$I:$I,Velocity!$A:$A,$A177,Velocity!$B:$B,$C177)/Assumptions!$B$4*Assumptions!$B$6</f>
        <v>1.95416666666667</v>
      </c>
      <c r="BB177" s="7" t="n">
        <f aca="false">SUMIFS(Doors!BN:BN,Doors!$A:$A,$D177,Doors!$B:$B,$B177,Doors!$C:$C,$C177)*SUMIFS(Velocity!$I:$I,Velocity!$A:$A,$A177,Velocity!$B:$B,$C177)/Assumptions!$B$4*Assumptions!$B$6</f>
        <v>1.95416666666667</v>
      </c>
      <c r="BC177" s="7" t="n">
        <f aca="false">SUMIFS(Doors!BO:BO,Doors!$A:$A,$D177,Doors!$B:$B,$B177,Doors!$C:$C,$C177)*SUMIFS(Velocity!$I:$I,Velocity!$A:$A,$A177,Velocity!$B:$B,$C177)/Assumptions!$B$4*Assumptions!$B$6</f>
        <v>1.95416666666667</v>
      </c>
      <c r="BD177" s="7" t="n">
        <f aca="false">SUMIFS(Doors!BP:BP,Doors!$A:$A,$D177,Doors!$B:$B,$B177,Doors!$C:$C,$C177)*SUMIFS(Velocity!$I:$I,Velocity!$A:$A,$A177,Velocity!$B:$B,$C177)/Assumptions!$B$4*Assumptions!$B$6</f>
        <v>1.95416666666667</v>
      </c>
    </row>
    <row r="178" customFormat="false" ht="15" hidden="false" customHeight="false" outlineLevel="0" collapsed="false">
      <c r="A178" s="0" t="s">
        <v>109</v>
      </c>
      <c r="B178" s="0" t="s">
        <v>135</v>
      </c>
      <c r="C178" s="0" t="s">
        <v>116</v>
      </c>
      <c r="D178" s="0" t="s">
        <v>235</v>
      </c>
      <c r="E178" s="7" t="n">
        <f aca="false">SUMIFS(Doors!Q:Q,Doors!$A:$A,$D178,Doors!$B:$B,$B178,Doors!$C:$C,$C178)*SUMIFS(Velocity!$I:$I,Velocity!$A:$A,$A178,Velocity!$B:$B,$C178)/Assumptions!$B$4*Assumptions!$B$6</f>
        <v>0</v>
      </c>
      <c r="F178" s="7" t="n">
        <f aca="false">SUMIFS(Doors!R:R,Doors!$A:$A,$D178,Doors!$B:$B,$B178,Doors!$C:$C,$C178)*SUMIFS(Velocity!$I:$I,Velocity!$A:$A,$A178,Velocity!$B:$B,$C178)/Assumptions!$B$4*Assumptions!$B$6</f>
        <v>0</v>
      </c>
      <c r="G178" s="7" t="n">
        <f aca="false">SUMIFS(Doors!S:S,Doors!$A:$A,$D178,Doors!$B:$B,$B178,Doors!$C:$C,$C178)*SUMIFS(Velocity!$I:$I,Velocity!$A:$A,$A178,Velocity!$B:$B,$C178)/Assumptions!$B$4*Assumptions!$B$6</f>
        <v>0</v>
      </c>
      <c r="H178" s="7" t="n">
        <f aca="false">SUMIFS(Doors!T:T,Doors!$A:$A,$D178,Doors!$B:$B,$B178,Doors!$C:$C,$C178)*SUMIFS(Velocity!$I:$I,Velocity!$A:$A,$A178,Velocity!$B:$B,$C178)/Assumptions!$B$4*Assumptions!$B$6</f>
        <v>0</v>
      </c>
      <c r="I178" s="7" t="n">
        <f aca="false">SUMIFS(Doors!U:U,Doors!$A:$A,$D178,Doors!$B:$B,$B178,Doors!$C:$C,$C178)*SUMIFS(Velocity!$I:$I,Velocity!$A:$A,$A178,Velocity!$B:$B,$C178)/Assumptions!$B$4*Assumptions!$B$6</f>
        <v>0</v>
      </c>
      <c r="J178" s="7" t="n">
        <f aca="false">SUMIFS(Doors!V:V,Doors!$A:$A,$D178,Doors!$B:$B,$B178,Doors!$C:$C,$C178)*SUMIFS(Velocity!$I:$I,Velocity!$A:$A,$A178,Velocity!$B:$B,$C178)/Assumptions!$B$4*Assumptions!$B$6</f>
        <v>0</v>
      </c>
      <c r="K178" s="7" t="n">
        <f aca="false">SUMIFS(Doors!W:W,Doors!$A:$A,$D178,Doors!$B:$B,$B178,Doors!$C:$C,$C178)*SUMIFS(Velocity!$I:$I,Velocity!$A:$A,$A178,Velocity!$B:$B,$C178)/Assumptions!$B$4*Assumptions!$B$6</f>
        <v>0</v>
      </c>
      <c r="L178" s="7" t="n">
        <f aca="false">SUMIFS(Doors!X:X,Doors!$A:$A,$D178,Doors!$B:$B,$B178,Doors!$C:$C,$C178)*SUMIFS(Velocity!$I:$I,Velocity!$A:$A,$A178,Velocity!$B:$B,$C178)/Assumptions!$B$4*Assumptions!$B$6</f>
        <v>0</v>
      </c>
      <c r="M178" s="7" t="n">
        <f aca="false">SUMIFS(Doors!Y:Y,Doors!$A:$A,$D178,Doors!$B:$B,$B178,Doors!$C:$C,$C178)*SUMIFS(Velocity!$I:$I,Velocity!$A:$A,$A178,Velocity!$B:$B,$C178)/Assumptions!$B$4*Assumptions!$B$6</f>
        <v>0</v>
      </c>
      <c r="N178" s="7" t="n">
        <f aca="false">SUMIFS(Doors!Z:Z,Doors!$A:$A,$D178,Doors!$B:$B,$B178,Doors!$C:$C,$C178)*SUMIFS(Velocity!$I:$I,Velocity!$A:$A,$A178,Velocity!$B:$B,$C178)/Assumptions!$B$4*Assumptions!$B$6</f>
        <v>0</v>
      </c>
      <c r="O178" s="7" t="n">
        <f aca="false">SUMIFS(Doors!AA:AA,Doors!$A:$A,$D178,Doors!$B:$B,$B178,Doors!$C:$C,$C178)*SUMIFS(Velocity!$I:$I,Velocity!$A:$A,$A178,Velocity!$B:$B,$C178)/Assumptions!$B$4*Assumptions!$B$6</f>
        <v>0</v>
      </c>
      <c r="P178" s="7" t="n">
        <f aca="false">SUMIFS(Doors!AB:AB,Doors!$A:$A,$D178,Doors!$B:$B,$B178,Doors!$C:$C,$C178)*SUMIFS(Velocity!$I:$I,Velocity!$A:$A,$A178,Velocity!$B:$B,$C178)/Assumptions!$B$4*Assumptions!$B$6</f>
        <v>0</v>
      </c>
      <c r="Q178" s="7" t="n">
        <f aca="false">SUMIFS(Doors!AC:AC,Doors!$A:$A,$D178,Doors!$B:$B,$B178,Doors!$C:$C,$C178)*SUMIFS(Velocity!$I:$I,Velocity!$A:$A,$A178,Velocity!$B:$B,$C178)/Assumptions!$B$4*Assumptions!$B$6</f>
        <v>0</v>
      </c>
      <c r="R178" s="7" t="n">
        <f aca="false">SUMIFS(Doors!AD:AD,Doors!$A:$A,$D178,Doors!$B:$B,$B178,Doors!$C:$C,$C178)*SUMIFS(Velocity!$I:$I,Velocity!$A:$A,$A178,Velocity!$B:$B,$C178)/Assumptions!$B$4*Assumptions!$B$6</f>
        <v>0</v>
      </c>
      <c r="S178" s="7" t="n">
        <f aca="false">SUMIFS(Doors!AE:AE,Doors!$A:$A,$D178,Doors!$B:$B,$B178,Doors!$C:$C,$C178)*SUMIFS(Velocity!$I:$I,Velocity!$A:$A,$A178,Velocity!$B:$B,$C178)/Assumptions!$B$4*Assumptions!$B$6</f>
        <v>0</v>
      </c>
      <c r="T178" s="7" t="n">
        <f aca="false">SUMIFS(Doors!AF:AF,Doors!$A:$A,$D178,Doors!$B:$B,$B178,Doors!$C:$C,$C178)*SUMIFS(Velocity!$I:$I,Velocity!$A:$A,$A178,Velocity!$B:$B,$C178)/Assumptions!$B$4*Assumptions!$B$6</f>
        <v>0</v>
      </c>
      <c r="U178" s="7" t="n">
        <f aca="false">SUMIFS(Doors!AG:AG,Doors!$A:$A,$D178,Doors!$B:$B,$B178,Doors!$C:$C,$C178)*SUMIFS(Velocity!$I:$I,Velocity!$A:$A,$A178,Velocity!$B:$B,$C178)/Assumptions!$B$4*Assumptions!$B$6</f>
        <v>0</v>
      </c>
      <c r="V178" s="7" t="n">
        <f aca="false">SUMIFS(Doors!AH:AH,Doors!$A:$A,$D178,Doors!$B:$B,$B178,Doors!$C:$C,$C178)*SUMIFS(Velocity!$I:$I,Velocity!$A:$A,$A178,Velocity!$B:$B,$C178)/Assumptions!$B$4*Assumptions!$B$6</f>
        <v>0</v>
      </c>
      <c r="W178" s="7" t="n">
        <f aca="false">SUMIFS(Doors!AI:AI,Doors!$A:$A,$D178,Doors!$B:$B,$B178,Doors!$C:$C,$C178)*SUMIFS(Velocity!$I:$I,Velocity!$A:$A,$A178,Velocity!$B:$B,$C178)/Assumptions!$B$4*Assumptions!$B$6</f>
        <v>0.270833333333333</v>
      </c>
      <c r="X178" s="7" t="n">
        <f aca="false">SUMIFS(Doors!AJ:AJ,Doors!$A:$A,$D178,Doors!$B:$B,$B178,Doors!$C:$C,$C178)*SUMIFS(Velocity!$I:$I,Velocity!$A:$A,$A178,Velocity!$B:$B,$C178)/Assumptions!$B$4*Assumptions!$B$6</f>
        <v>0.270833333333333</v>
      </c>
      <c r="Y178" s="7" t="n">
        <f aca="false">SUMIFS(Doors!AK:AK,Doors!$A:$A,$D178,Doors!$B:$B,$B178,Doors!$C:$C,$C178)*SUMIFS(Velocity!$I:$I,Velocity!$A:$A,$A178,Velocity!$B:$B,$C178)/Assumptions!$B$4*Assumptions!$B$6</f>
        <v>0.270833333333333</v>
      </c>
      <c r="Z178" s="7" t="n">
        <f aca="false">SUMIFS(Doors!AL:AL,Doors!$A:$A,$D178,Doors!$B:$B,$B178,Doors!$C:$C,$C178)*SUMIFS(Velocity!$I:$I,Velocity!$A:$A,$A178,Velocity!$B:$B,$C178)/Assumptions!$B$4*Assumptions!$B$6</f>
        <v>0.270833333333333</v>
      </c>
      <c r="AA178" s="7" t="n">
        <f aca="false">SUMIFS(Doors!AM:AM,Doors!$A:$A,$D178,Doors!$B:$B,$B178,Doors!$C:$C,$C178)*SUMIFS(Velocity!$I:$I,Velocity!$A:$A,$A178,Velocity!$B:$B,$C178)/Assumptions!$B$4*Assumptions!$B$6</f>
        <v>0.541666666666667</v>
      </c>
      <c r="AB178" s="7" t="n">
        <f aca="false">SUMIFS(Doors!AN:AN,Doors!$A:$A,$D178,Doors!$B:$B,$B178,Doors!$C:$C,$C178)*SUMIFS(Velocity!$I:$I,Velocity!$A:$A,$A178,Velocity!$B:$B,$C178)/Assumptions!$B$4*Assumptions!$B$6</f>
        <v>0.541666666666667</v>
      </c>
      <c r="AC178" s="7" t="n">
        <f aca="false">SUMIFS(Doors!AO:AO,Doors!$A:$A,$D178,Doors!$B:$B,$B178,Doors!$C:$C,$C178)*SUMIFS(Velocity!$I:$I,Velocity!$A:$A,$A178,Velocity!$B:$B,$C178)/Assumptions!$B$4*Assumptions!$B$6</f>
        <v>0.541666666666667</v>
      </c>
      <c r="AD178" s="7" t="n">
        <f aca="false">SUMIFS(Doors!AP:AP,Doors!$A:$A,$D178,Doors!$B:$B,$B178,Doors!$C:$C,$C178)*SUMIFS(Velocity!$I:$I,Velocity!$A:$A,$A178,Velocity!$B:$B,$C178)/Assumptions!$B$4*Assumptions!$B$6</f>
        <v>0.541666666666667</v>
      </c>
      <c r="AE178" s="7" t="n">
        <f aca="false">SUMIFS(Doors!AQ:AQ,Doors!$A:$A,$D178,Doors!$B:$B,$B178,Doors!$C:$C,$C178)*SUMIFS(Velocity!$I:$I,Velocity!$A:$A,$A178,Velocity!$B:$B,$C178)/Assumptions!$B$4*Assumptions!$B$6</f>
        <v>0.541666666666667</v>
      </c>
      <c r="AF178" s="7" t="n">
        <f aca="false">SUMIFS(Doors!AR:AR,Doors!$A:$A,$D178,Doors!$B:$B,$B178,Doors!$C:$C,$C178)*SUMIFS(Velocity!$I:$I,Velocity!$A:$A,$A178,Velocity!$B:$B,$C178)/Assumptions!$B$4*Assumptions!$B$6</f>
        <v>0.541666666666667</v>
      </c>
      <c r="AG178" s="7" t="n">
        <f aca="false">SUMIFS(Doors!AS:AS,Doors!$A:$A,$D178,Doors!$B:$B,$B178,Doors!$C:$C,$C178)*SUMIFS(Velocity!$I:$I,Velocity!$A:$A,$A178,Velocity!$B:$B,$C178)/Assumptions!$B$4*Assumptions!$B$6</f>
        <v>0.541666666666667</v>
      </c>
      <c r="AH178" s="7" t="n">
        <f aca="false">SUMIFS(Doors!AT:AT,Doors!$A:$A,$D178,Doors!$B:$B,$B178,Doors!$C:$C,$C178)*SUMIFS(Velocity!$I:$I,Velocity!$A:$A,$A178,Velocity!$B:$B,$C178)/Assumptions!$B$4*Assumptions!$B$6</f>
        <v>0.541666666666667</v>
      </c>
      <c r="AI178" s="7" t="n">
        <f aca="false">SUMIFS(Doors!AU:AU,Doors!$A:$A,$D178,Doors!$B:$B,$B178,Doors!$C:$C,$C178)*SUMIFS(Velocity!$I:$I,Velocity!$A:$A,$A178,Velocity!$B:$B,$C178)/Assumptions!$B$4*Assumptions!$B$6</f>
        <v>0.541666666666667</v>
      </c>
      <c r="AJ178" s="7" t="n">
        <f aca="false">SUMIFS(Doors!AV:AV,Doors!$A:$A,$D178,Doors!$B:$B,$B178,Doors!$C:$C,$C178)*SUMIFS(Velocity!$I:$I,Velocity!$A:$A,$A178,Velocity!$B:$B,$C178)/Assumptions!$B$4*Assumptions!$B$6</f>
        <v>0.8125</v>
      </c>
      <c r="AK178" s="7" t="n">
        <f aca="false">SUMIFS(Doors!AW:AW,Doors!$A:$A,$D178,Doors!$B:$B,$B178,Doors!$C:$C,$C178)*SUMIFS(Velocity!$I:$I,Velocity!$A:$A,$A178,Velocity!$B:$B,$C178)/Assumptions!$B$4*Assumptions!$B$6</f>
        <v>0.8125</v>
      </c>
      <c r="AL178" s="7" t="n">
        <f aca="false">SUMIFS(Doors!AX:AX,Doors!$A:$A,$D178,Doors!$B:$B,$B178,Doors!$C:$C,$C178)*SUMIFS(Velocity!$I:$I,Velocity!$A:$A,$A178,Velocity!$B:$B,$C178)/Assumptions!$B$4*Assumptions!$B$6</f>
        <v>0.8125</v>
      </c>
      <c r="AM178" s="7" t="n">
        <f aca="false">SUMIFS(Doors!AY:AY,Doors!$A:$A,$D178,Doors!$B:$B,$B178,Doors!$C:$C,$C178)*SUMIFS(Velocity!$I:$I,Velocity!$A:$A,$A178,Velocity!$B:$B,$C178)/Assumptions!$B$4*Assumptions!$B$6</f>
        <v>0.8125</v>
      </c>
      <c r="AN178" s="7" t="n">
        <f aca="false">SUMIFS(Doors!AZ:AZ,Doors!$A:$A,$D178,Doors!$B:$B,$B178,Doors!$C:$C,$C178)*SUMIFS(Velocity!$I:$I,Velocity!$A:$A,$A178,Velocity!$B:$B,$C178)/Assumptions!$B$4*Assumptions!$B$6</f>
        <v>0.8125</v>
      </c>
      <c r="AO178" s="7" t="n">
        <f aca="false">SUMIFS(Doors!BA:BA,Doors!$A:$A,$D178,Doors!$B:$B,$B178,Doors!$C:$C,$C178)*SUMIFS(Velocity!$I:$I,Velocity!$A:$A,$A178,Velocity!$B:$B,$C178)/Assumptions!$B$4*Assumptions!$B$6</f>
        <v>0.8125</v>
      </c>
      <c r="AP178" s="7" t="n">
        <f aca="false">SUMIFS(Doors!BB:BB,Doors!$A:$A,$D178,Doors!$B:$B,$B178,Doors!$C:$C,$C178)*SUMIFS(Velocity!$I:$I,Velocity!$A:$A,$A178,Velocity!$B:$B,$C178)/Assumptions!$B$4*Assumptions!$B$6</f>
        <v>0.8125</v>
      </c>
      <c r="AQ178" s="7" t="n">
        <f aca="false">SUMIFS(Doors!BC:BC,Doors!$A:$A,$D178,Doors!$B:$B,$B178,Doors!$C:$C,$C178)*SUMIFS(Velocity!$I:$I,Velocity!$A:$A,$A178,Velocity!$B:$B,$C178)/Assumptions!$B$4*Assumptions!$B$6</f>
        <v>0.8125</v>
      </c>
      <c r="AR178" s="7" t="n">
        <f aca="false">SUMIFS(Doors!BD:BD,Doors!$A:$A,$D178,Doors!$B:$B,$B178,Doors!$C:$C,$C178)*SUMIFS(Velocity!$I:$I,Velocity!$A:$A,$A178,Velocity!$B:$B,$C178)/Assumptions!$B$4*Assumptions!$B$6</f>
        <v>1.08333333333333</v>
      </c>
      <c r="AS178" s="7" t="n">
        <f aca="false">SUMIFS(Doors!BE:BE,Doors!$A:$A,$D178,Doors!$B:$B,$B178,Doors!$C:$C,$C178)*SUMIFS(Velocity!$I:$I,Velocity!$A:$A,$A178,Velocity!$B:$B,$C178)/Assumptions!$B$4*Assumptions!$B$6</f>
        <v>1.08333333333333</v>
      </c>
      <c r="AT178" s="7" t="n">
        <f aca="false">SUMIFS(Doors!BF:BF,Doors!$A:$A,$D178,Doors!$B:$B,$B178,Doors!$C:$C,$C178)*SUMIFS(Velocity!$I:$I,Velocity!$A:$A,$A178,Velocity!$B:$B,$C178)/Assumptions!$B$4*Assumptions!$B$6</f>
        <v>1.08333333333333</v>
      </c>
      <c r="AU178" s="7" t="n">
        <f aca="false">SUMIFS(Doors!BG:BG,Doors!$A:$A,$D178,Doors!$B:$B,$B178,Doors!$C:$C,$C178)*SUMIFS(Velocity!$I:$I,Velocity!$A:$A,$A178,Velocity!$B:$B,$C178)/Assumptions!$B$4*Assumptions!$B$6</f>
        <v>1.08333333333333</v>
      </c>
      <c r="AV178" s="7" t="n">
        <f aca="false">SUMIFS(Doors!BH:BH,Doors!$A:$A,$D178,Doors!$B:$B,$B178,Doors!$C:$C,$C178)*SUMIFS(Velocity!$I:$I,Velocity!$A:$A,$A178,Velocity!$B:$B,$C178)/Assumptions!$B$4*Assumptions!$B$6</f>
        <v>1.08333333333333</v>
      </c>
      <c r="AW178" s="7" t="n">
        <f aca="false">SUMIFS(Doors!BI:BI,Doors!$A:$A,$D178,Doors!$B:$B,$B178,Doors!$C:$C,$C178)*SUMIFS(Velocity!$I:$I,Velocity!$A:$A,$A178,Velocity!$B:$B,$C178)/Assumptions!$B$4*Assumptions!$B$6</f>
        <v>1.08333333333333</v>
      </c>
      <c r="AX178" s="7" t="n">
        <f aca="false">SUMIFS(Doors!BJ:BJ,Doors!$A:$A,$D178,Doors!$B:$B,$B178,Doors!$C:$C,$C178)*SUMIFS(Velocity!$I:$I,Velocity!$A:$A,$A178,Velocity!$B:$B,$C178)/Assumptions!$B$4*Assumptions!$B$6</f>
        <v>1.08333333333333</v>
      </c>
      <c r="AY178" s="7" t="n">
        <f aca="false">SUMIFS(Doors!BK:BK,Doors!$A:$A,$D178,Doors!$B:$B,$B178,Doors!$C:$C,$C178)*SUMIFS(Velocity!$I:$I,Velocity!$A:$A,$A178,Velocity!$B:$B,$C178)/Assumptions!$B$4*Assumptions!$B$6</f>
        <v>1.08333333333333</v>
      </c>
      <c r="AZ178" s="7" t="n">
        <f aca="false">SUMIFS(Doors!BL:BL,Doors!$A:$A,$D178,Doors!$B:$B,$B178,Doors!$C:$C,$C178)*SUMIFS(Velocity!$I:$I,Velocity!$A:$A,$A178,Velocity!$B:$B,$C178)/Assumptions!$B$4*Assumptions!$B$6</f>
        <v>1.08333333333333</v>
      </c>
      <c r="BA178" s="7" t="n">
        <f aca="false">SUMIFS(Doors!BM:BM,Doors!$A:$A,$D178,Doors!$B:$B,$B178,Doors!$C:$C,$C178)*SUMIFS(Velocity!$I:$I,Velocity!$A:$A,$A178,Velocity!$B:$B,$C178)/Assumptions!$B$4*Assumptions!$B$6</f>
        <v>1.08333333333333</v>
      </c>
      <c r="BB178" s="7" t="n">
        <f aca="false">SUMIFS(Doors!BN:BN,Doors!$A:$A,$D178,Doors!$B:$B,$B178,Doors!$C:$C,$C178)*SUMIFS(Velocity!$I:$I,Velocity!$A:$A,$A178,Velocity!$B:$B,$C178)/Assumptions!$B$4*Assumptions!$B$6</f>
        <v>1.08333333333333</v>
      </c>
      <c r="BC178" s="7" t="n">
        <f aca="false">SUMIFS(Doors!BO:BO,Doors!$A:$A,$D178,Doors!$B:$B,$B178,Doors!$C:$C,$C178)*SUMIFS(Velocity!$I:$I,Velocity!$A:$A,$A178,Velocity!$B:$B,$C178)/Assumptions!$B$4*Assumptions!$B$6</f>
        <v>1.08333333333333</v>
      </c>
      <c r="BD178" s="7" t="n">
        <f aca="false">SUMIFS(Doors!BP:BP,Doors!$A:$A,$D178,Doors!$B:$B,$B178,Doors!$C:$C,$C178)*SUMIFS(Velocity!$I:$I,Velocity!$A:$A,$A178,Velocity!$B:$B,$C178)/Assumptions!$B$4*Assumptions!$B$6</f>
        <v>1.08333333333333</v>
      </c>
    </row>
    <row r="179" customFormat="false" ht="15" hidden="false" customHeight="false" outlineLevel="0" collapsed="false">
      <c r="A179" s="0" t="s">
        <v>109</v>
      </c>
      <c r="B179" s="0" t="s">
        <v>135</v>
      </c>
      <c r="C179" s="0" t="s">
        <v>117</v>
      </c>
      <c r="D179" s="0" t="s">
        <v>235</v>
      </c>
      <c r="E179" s="7" t="n">
        <f aca="false">SUMIFS(Doors!Q:Q,Doors!$A:$A,$D179,Doors!$B:$B,$B179,Doors!$C:$C,$C179)*SUMIFS(Velocity!$I:$I,Velocity!$A:$A,$A179,Velocity!$B:$B,$C179)/Assumptions!$B$4*Assumptions!$B$6</f>
        <v>0</v>
      </c>
      <c r="F179" s="7" t="n">
        <f aca="false">SUMIFS(Doors!R:R,Doors!$A:$A,$D179,Doors!$B:$B,$B179,Doors!$C:$C,$C179)*SUMIFS(Velocity!$I:$I,Velocity!$A:$A,$A179,Velocity!$B:$B,$C179)/Assumptions!$B$4*Assumptions!$B$6</f>
        <v>0</v>
      </c>
      <c r="G179" s="7" t="n">
        <f aca="false">SUMIFS(Doors!S:S,Doors!$A:$A,$D179,Doors!$B:$B,$B179,Doors!$C:$C,$C179)*SUMIFS(Velocity!$I:$I,Velocity!$A:$A,$A179,Velocity!$B:$B,$C179)/Assumptions!$B$4*Assumptions!$B$6</f>
        <v>0</v>
      </c>
      <c r="H179" s="7" t="n">
        <f aca="false">SUMIFS(Doors!T:T,Doors!$A:$A,$D179,Doors!$B:$B,$B179,Doors!$C:$C,$C179)*SUMIFS(Velocity!$I:$I,Velocity!$A:$A,$A179,Velocity!$B:$B,$C179)/Assumptions!$B$4*Assumptions!$B$6</f>
        <v>0</v>
      </c>
      <c r="I179" s="7" t="n">
        <f aca="false">SUMIFS(Doors!U:U,Doors!$A:$A,$D179,Doors!$B:$B,$B179,Doors!$C:$C,$C179)*SUMIFS(Velocity!$I:$I,Velocity!$A:$A,$A179,Velocity!$B:$B,$C179)/Assumptions!$B$4*Assumptions!$B$6</f>
        <v>0</v>
      </c>
      <c r="J179" s="7" t="n">
        <f aca="false">SUMIFS(Doors!V:V,Doors!$A:$A,$D179,Doors!$B:$B,$B179,Doors!$C:$C,$C179)*SUMIFS(Velocity!$I:$I,Velocity!$A:$A,$A179,Velocity!$B:$B,$C179)/Assumptions!$B$4*Assumptions!$B$6</f>
        <v>0</v>
      </c>
      <c r="K179" s="7" t="n">
        <f aca="false">SUMIFS(Doors!W:W,Doors!$A:$A,$D179,Doors!$B:$B,$B179,Doors!$C:$C,$C179)*SUMIFS(Velocity!$I:$I,Velocity!$A:$A,$A179,Velocity!$B:$B,$C179)/Assumptions!$B$4*Assumptions!$B$6</f>
        <v>0</v>
      </c>
      <c r="L179" s="7" t="n">
        <f aca="false">SUMIFS(Doors!X:X,Doors!$A:$A,$D179,Doors!$B:$B,$B179,Doors!$C:$C,$C179)*SUMIFS(Velocity!$I:$I,Velocity!$A:$A,$A179,Velocity!$B:$B,$C179)/Assumptions!$B$4*Assumptions!$B$6</f>
        <v>0</v>
      </c>
      <c r="M179" s="7" t="n">
        <f aca="false">SUMIFS(Doors!Y:Y,Doors!$A:$A,$D179,Doors!$B:$B,$B179,Doors!$C:$C,$C179)*SUMIFS(Velocity!$I:$I,Velocity!$A:$A,$A179,Velocity!$B:$B,$C179)/Assumptions!$B$4*Assumptions!$B$6</f>
        <v>0</v>
      </c>
      <c r="N179" s="7" t="n">
        <f aca="false">SUMIFS(Doors!Z:Z,Doors!$A:$A,$D179,Doors!$B:$B,$B179,Doors!$C:$C,$C179)*SUMIFS(Velocity!$I:$I,Velocity!$A:$A,$A179,Velocity!$B:$B,$C179)/Assumptions!$B$4*Assumptions!$B$6</f>
        <v>0</v>
      </c>
      <c r="O179" s="7" t="n">
        <f aca="false">SUMIFS(Doors!AA:AA,Doors!$A:$A,$D179,Doors!$B:$B,$B179,Doors!$C:$C,$C179)*SUMIFS(Velocity!$I:$I,Velocity!$A:$A,$A179,Velocity!$B:$B,$C179)/Assumptions!$B$4*Assumptions!$B$6</f>
        <v>0</v>
      </c>
      <c r="P179" s="7" t="n">
        <f aca="false">SUMIFS(Doors!AB:AB,Doors!$A:$A,$D179,Doors!$B:$B,$B179,Doors!$C:$C,$C179)*SUMIFS(Velocity!$I:$I,Velocity!$A:$A,$A179,Velocity!$B:$B,$C179)/Assumptions!$B$4*Assumptions!$B$6</f>
        <v>0</v>
      </c>
      <c r="Q179" s="7" t="n">
        <f aca="false">SUMIFS(Doors!AC:AC,Doors!$A:$A,$D179,Doors!$B:$B,$B179,Doors!$C:$C,$C179)*SUMIFS(Velocity!$I:$I,Velocity!$A:$A,$A179,Velocity!$B:$B,$C179)/Assumptions!$B$4*Assumptions!$B$6</f>
        <v>0</v>
      </c>
      <c r="R179" s="7" t="n">
        <f aca="false">SUMIFS(Doors!AD:AD,Doors!$A:$A,$D179,Doors!$B:$B,$B179,Doors!$C:$C,$C179)*SUMIFS(Velocity!$I:$I,Velocity!$A:$A,$A179,Velocity!$B:$B,$C179)/Assumptions!$B$4*Assumptions!$B$6</f>
        <v>0</v>
      </c>
      <c r="S179" s="7" t="n">
        <f aca="false">SUMIFS(Doors!AE:AE,Doors!$A:$A,$D179,Doors!$B:$B,$B179,Doors!$C:$C,$C179)*SUMIFS(Velocity!$I:$I,Velocity!$A:$A,$A179,Velocity!$B:$B,$C179)/Assumptions!$B$4*Assumptions!$B$6</f>
        <v>0</v>
      </c>
      <c r="T179" s="7" t="n">
        <f aca="false">SUMIFS(Doors!AF:AF,Doors!$A:$A,$D179,Doors!$B:$B,$B179,Doors!$C:$C,$C179)*SUMIFS(Velocity!$I:$I,Velocity!$A:$A,$A179,Velocity!$B:$B,$C179)/Assumptions!$B$4*Assumptions!$B$6</f>
        <v>0</v>
      </c>
      <c r="U179" s="7" t="n">
        <f aca="false">SUMIFS(Doors!AG:AG,Doors!$A:$A,$D179,Doors!$B:$B,$B179,Doors!$C:$C,$C179)*SUMIFS(Velocity!$I:$I,Velocity!$A:$A,$A179,Velocity!$B:$B,$C179)/Assumptions!$B$4*Assumptions!$B$6</f>
        <v>0</v>
      </c>
      <c r="V179" s="7" t="n">
        <f aca="false">SUMIFS(Doors!AH:AH,Doors!$A:$A,$D179,Doors!$B:$B,$B179,Doors!$C:$C,$C179)*SUMIFS(Velocity!$I:$I,Velocity!$A:$A,$A179,Velocity!$B:$B,$C179)/Assumptions!$B$4*Assumptions!$B$6</f>
        <v>0</v>
      </c>
      <c r="W179" s="7" t="n">
        <f aca="false">SUMIFS(Doors!AI:AI,Doors!$A:$A,$D179,Doors!$B:$B,$B179,Doors!$C:$C,$C179)*SUMIFS(Velocity!$I:$I,Velocity!$A:$A,$A179,Velocity!$B:$B,$C179)/Assumptions!$B$4*Assumptions!$B$6</f>
        <v>0</v>
      </c>
      <c r="X179" s="7" t="n">
        <f aca="false">SUMIFS(Doors!AJ:AJ,Doors!$A:$A,$D179,Doors!$B:$B,$B179,Doors!$C:$C,$C179)*SUMIFS(Velocity!$I:$I,Velocity!$A:$A,$A179,Velocity!$B:$B,$C179)/Assumptions!$B$4*Assumptions!$B$6</f>
        <v>0</v>
      </c>
      <c r="Y179" s="7" t="n">
        <f aca="false">SUMIFS(Doors!AK:AK,Doors!$A:$A,$D179,Doors!$B:$B,$B179,Doors!$C:$C,$C179)*SUMIFS(Velocity!$I:$I,Velocity!$A:$A,$A179,Velocity!$B:$B,$C179)/Assumptions!$B$4*Assumptions!$B$6</f>
        <v>0</v>
      </c>
      <c r="Z179" s="7" t="n">
        <f aca="false">SUMIFS(Doors!AL:AL,Doors!$A:$A,$D179,Doors!$B:$B,$B179,Doors!$C:$C,$C179)*SUMIFS(Velocity!$I:$I,Velocity!$A:$A,$A179,Velocity!$B:$B,$C179)/Assumptions!$B$4*Assumptions!$B$6</f>
        <v>0</v>
      </c>
      <c r="AA179" s="7" t="n">
        <f aca="false">SUMIFS(Doors!AM:AM,Doors!$A:$A,$D179,Doors!$B:$B,$B179,Doors!$C:$C,$C179)*SUMIFS(Velocity!$I:$I,Velocity!$A:$A,$A179,Velocity!$B:$B,$C179)/Assumptions!$B$4*Assumptions!$B$6</f>
        <v>0</v>
      </c>
      <c r="AB179" s="7" t="n">
        <f aca="false">SUMIFS(Doors!AN:AN,Doors!$A:$A,$D179,Doors!$B:$B,$B179,Doors!$C:$C,$C179)*SUMIFS(Velocity!$I:$I,Velocity!$A:$A,$A179,Velocity!$B:$B,$C179)/Assumptions!$B$4*Assumptions!$B$6</f>
        <v>0</v>
      </c>
      <c r="AC179" s="7" t="n">
        <f aca="false">SUMIFS(Doors!AO:AO,Doors!$A:$A,$D179,Doors!$B:$B,$B179,Doors!$C:$C,$C179)*SUMIFS(Velocity!$I:$I,Velocity!$A:$A,$A179,Velocity!$B:$B,$C179)/Assumptions!$B$4*Assumptions!$B$6</f>
        <v>0</v>
      </c>
      <c r="AD179" s="7" t="n">
        <f aca="false">SUMIFS(Doors!AP:AP,Doors!$A:$A,$D179,Doors!$B:$B,$B179,Doors!$C:$C,$C179)*SUMIFS(Velocity!$I:$I,Velocity!$A:$A,$A179,Velocity!$B:$B,$C179)/Assumptions!$B$4*Assumptions!$B$6</f>
        <v>0</v>
      </c>
      <c r="AE179" s="7" t="n">
        <f aca="false">SUMIFS(Doors!AQ:AQ,Doors!$A:$A,$D179,Doors!$B:$B,$B179,Doors!$C:$C,$C179)*SUMIFS(Velocity!$I:$I,Velocity!$A:$A,$A179,Velocity!$B:$B,$C179)/Assumptions!$B$4*Assumptions!$B$6</f>
        <v>0.566666666666667</v>
      </c>
      <c r="AF179" s="7" t="n">
        <f aca="false">SUMIFS(Doors!AR:AR,Doors!$A:$A,$D179,Doors!$B:$B,$B179,Doors!$C:$C,$C179)*SUMIFS(Velocity!$I:$I,Velocity!$A:$A,$A179,Velocity!$B:$B,$C179)/Assumptions!$B$4*Assumptions!$B$6</f>
        <v>0.566666666666667</v>
      </c>
      <c r="AG179" s="7" t="n">
        <f aca="false">SUMIFS(Doors!AS:AS,Doors!$A:$A,$D179,Doors!$B:$B,$B179,Doors!$C:$C,$C179)*SUMIFS(Velocity!$I:$I,Velocity!$A:$A,$A179,Velocity!$B:$B,$C179)/Assumptions!$B$4*Assumptions!$B$6</f>
        <v>0.566666666666667</v>
      </c>
      <c r="AH179" s="7" t="n">
        <f aca="false">SUMIFS(Doors!AT:AT,Doors!$A:$A,$D179,Doors!$B:$B,$B179,Doors!$C:$C,$C179)*SUMIFS(Velocity!$I:$I,Velocity!$A:$A,$A179,Velocity!$B:$B,$C179)/Assumptions!$B$4*Assumptions!$B$6</f>
        <v>0.566666666666667</v>
      </c>
      <c r="AI179" s="7" t="n">
        <f aca="false">SUMIFS(Doors!AU:AU,Doors!$A:$A,$D179,Doors!$B:$B,$B179,Doors!$C:$C,$C179)*SUMIFS(Velocity!$I:$I,Velocity!$A:$A,$A179,Velocity!$B:$B,$C179)/Assumptions!$B$4*Assumptions!$B$6</f>
        <v>0.566666666666667</v>
      </c>
      <c r="AJ179" s="7" t="n">
        <f aca="false">SUMIFS(Doors!AV:AV,Doors!$A:$A,$D179,Doors!$B:$B,$B179,Doors!$C:$C,$C179)*SUMIFS(Velocity!$I:$I,Velocity!$A:$A,$A179,Velocity!$B:$B,$C179)/Assumptions!$B$4*Assumptions!$B$6</f>
        <v>1.13333333333333</v>
      </c>
      <c r="AK179" s="7" t="n">
        <f aca="false">SUMIFS(Doors!AW:AW,Doors!$A:$A,$D179,Doors!$B:$B,$B179,Doors!$C:$C,$C179)*SUMIFS(Velocity!$I:$I,Velocity!$A:$A,$A179,Velocity!$B:$B,$C179)/Assumptions!$B$4*Assumptions!$B$6</f>
        <v>1.13333333333333</v>
      </c>
      <c r="AL179" s="7" t="n">
        <f aca="false">SUMIFS(Doors!AX:AX,Doors!$A:$A,$D179,Doors!$B:$B,$B179,Doors!$C:$C,$C179)*SUMIFS(Velocity!$I:$I,Velocity!$A:$A,$A179,Velocity!$B:$B,$C179)/Assumptions!$B$4*Assumptions!$B$6</f>
        <v>1.13333333333333</v>
      </c>
      <c r="AM179" s="7" t="n">
        <f aca="false">SUMIFS(Doors!AY:AY,Doors!$A:$A,$D179,Doors!$B:$B,$B179,Doors!$C:$C,$C179)*SUMIFS(Velocity!$I:$I,Velocity!$A:$A,$A179,Velocity!$B:$B,$C179)/Assumptions!$B$4*Assumptions!$B$6</f>
        <v>1.13333333333333</v>
      </c>
      <c r="AN179" s="7" t="n">
        <f aca="false">SUMIFS(Doors!AZ:AZ,Doors!$A:$A,$D179,Doors!$B:$B,$B179,Doors!$C:$C,$C179)*SUMIFS(Velocity!$I:$I,Velocity!$A:$A,$A179,Velocity!$B:$B,$C179)/Assumptions!$B$4*Assumptions!$B$6</f>
        <v>1.13333333333333</v>
      </c>
      <c r="AO179" s="7" t="n">
        <f aca="false">SUMIFS(Doors!BA:BA,Doors!$A:$A,$D179,Doors!$B:$B,$B179,Doors!$C:$C,$C179)*SUMIFS(Velocity!$I:$I,Velocity!$A:$A,$A179,Velocity!$B:$B,$C179)/Assumptions!$B$4*Assumptions!$B$6</f>
        <v>1.13333333333333</v>
      </c>
      <c r="AP179" s="7" t="n">
        <f aca="false">SUMIFS(Doors!BB:BB,Doors!$A:$A,$D179,Doors!$B:$B,$B179,Doors!$C:$C,$C179)*SUMIFS(Velocity!$I:$I,Velocity!$A:$A,$A179,Velocity!$B:$B,$C179)/Assumptions!$B$4*Assumptions!$B$6</f>
        <v>1.13333333333333</v>
      </c>
      <c r="AQ179" s="7" t="n">
        <f aca="false">SUMIFS(Doors!BC:BC,Doors!$A:$A,$D179,Doors!$B:$B,$B179,Doors!$C:$C,$C179)*SUMIFS(Velocity!$I:$I,Velocity!$A:$A,$A179,Velocity!$B:$B,$C179)/Assumptions!$B$4*Assumptions!$B$6</f>
        <v>1.13333333333333</v>
      </c>
      <c r="AR179" s="7" t="n">
        <f aca="false">SUMIFS(Doors!BD:BD,Doors!$A:$A,$D179,Doors!$B:$B,$B179,Doors!$C:$C,$C179)*SUMIFS(Velocity!$I:$I,Velocity!$A:$A,$A179,Velocity!$B:$B,$C179)/Assumptions!$B$4*Assumptions!$B$6</f>
        <v>1.7</v>
      </c>
      <c r="AS179" s="7" t="n">
        <f aca="false">SUMIFS(Doors!BE:BE,Doors!$A:$A,$D179,Doors!$B:$B,$B179,Doors!$C:$C,$C179)*SUMIFS(Velocity!$I:$I,Velocity!$A:$A,$A179,Velocity!$B:$B,$C179)/Assumptions!$B$4*Assumptions!$B$6</f>
        <v>1.7</v>
      </c>
      <c r="AT179" s="7" t="n">
        <f aca="false">SUMIFS(Doors!BF:BF,Doors!$A:$A,$D179,Doors!$B:$B,$B179,Doors!$C:$C,$C179)*SUMIFS(Velocity!$I:$I,Velocity!$A:$A,$A179,Velocity!$B:$B,$C179)/Assumptions!$B$4*Assumptions!$B$6</f>
        <v>1.7</v>
      </c>
      <c r="AU179" s="7" t="n">
        <f aca="false">SUMIFS(Doors!BG:BG,Doors!$A:$A,$D179,Doors!$B:$B,$B179,Doors!$C:$C,$C179)*SUMIFS(Velocity!$I:$I,Velocity!$A:$A,$A179,Velocity!$B:$B,$C179)/Assumptions!$B$4*Assumptions!$B$6</f>
        <v>1.7</v>
      </c>
      <c r="AV179" s="7" t="n">
        <f aca="false">SUMIFS(Doors!BH:BH,Doors!$A:$A,$D179,Doors!$B:$B,$B179,Doors!$C:$C,$C179)*SUMIFS(Velocity!$I:$I,Velocity!$A:$A,$A179,Velocity!$B:$B,$C179)/Assumptions!$B$4*Assumptions!$B$6</f>
        <v>1.7</v>
      </c>
      <c r="AW179" s="7" t="n">
        <f aca="false">SUMIFS(Doors!BI:BI,Doors!$A:$A,$D179,Doors!$B:$B,$B179,Doors!$C:$C,$C179)*SUMIFS(Velocity!$I:$I,Velocity!$A:$A,$A179,Velocity!$B:$B,$C179)/Assumptions!$B$4*Assumptions!$B$6</f>
        <v>1.7</v>
      </c>
      <c r="AX179" s="7" t="n">
        <f aca="false">SUMIFS(Doors!BJ:BJ,Doors!$A:$A,$D179,Doors!$B:$B,$B179,Doors!$C:$C,$C179)*SUMIFS(Velocity!$I:$I,Velocity!$A:$A,$A179,Velocity!$B:$B,$C179)/Assumptions!$B$4*Assumptions!$B$6</f>
        <v>1.7</v>
      </c>
      <c r="AY179" s="7" t="n">
        <f aca="false">SUMIFS(Doors!BK:BK,Doors!$A:$A,$D179,Doors!$B:$B,$B179,Doors!$C:$C,$C179)*SUMIFS(Velocity!$I:$I,Velocity!$A:$A,$A179,Velocity!$B:$B,$C179)/Assumptions!$B$4*Assumptions!$B$6</f>
        <v>1.7</v>
      </c>
      <c r="AZ179" s="7" t="n">
        <f aca="false">SUMIFS(Doors!BL:BL,Doors!$A:$A,$D179,Doors!$B:$B,$B179,Doors!$C:$C,$C179)*SUMIFS(Velocity!$I:$I,Velocity!$A:$A,$A179,Velocity!$B:$B,$C179)/Assumptions!$B$4*Assumptions!$B$6</f>
        <v>1.7</v>
      </c>
      <c r="BA179" s="7" t="n">
        <f aca="false">SUMIFS(Doors!BM:BM,Doors!$A:$A,$D179,Doors!$B:$B,$B179,Doors!$C:$C,$C179)*SUMIFS(Velocity!$I:$I,Velocity!$A:$A,$A179,Velocity!$B:$B,$C179)/Assumptions!$B$4*Assumptions!$B$6</f>
        <v>1.7</v>
      </c>
      <c r="BB179" s="7" t="n">
        <f aca="false">SUMIFS(Doors!BN:BN,Doors!$A:$A,$D179,Doors!$B:$B,$B179,Doors!$C:$C,$C179)*SUMIFS(Velocity!$I:$I,Velocity!$A:$A,$A179,Velocity!$B:$B,$C179)/Assumptions!$B$4*Assumptions!$B$6</f>
        <v>1.7</v>
      </c>
      <c r="BC179" s="7" t="n">
        <f aca="false">SUMIFS(Doors!BO:BO,Doors!$A:$A,$D179,Doors!$B:$B,$B179,Doors!$C:$C,$C179)*SUMIFS(Velocity!$I:$I,Velocity!$A:$A,$A179,Velocity!$B:$B,$C179)/Assumptions!$B$4*Assumptions!$B$6</f>
        <v>1.7</v>
      </c>
      <c r="BD179" s="7" t="n">
        <f aca="false">SUMIFS(Doors!BP:BP,Doors!$A:$A,$D179,Doors!$B:$B,$B179,Doors!$C:$C,$C179)*SUMIFS(Velocity!$I:$I,Velocity!$A:$A,$A179,Velocity!$B:$B,$C179)/Assumptions!$B$4*Assumptions!$B$6</f>
        <v>1.7</v>
      </c>
    </row>
    <row r="180" customFormat="false" ht="15" hidden="false" customHeight="false" outlineLevel="0" collapsed="false">
      <c r="A180" s="0" t="s">
        <v>109</v>
      </c>
      <c r="B180" s="0" t="s">
        <v>135</v>
      </c>
      <c r="C180" s="0" t="s">
        <v>118</v>
      </c>
      <c r="D180" s="0" t="s">
        <v>235</v>
      </c>
      <c r="E180" s="7" t="n">
        <f aca="false">SUMIFS(Doors!Q:Q,Doors!$A:$A,$D180,Doors!$B:$B,$B180,Doors!$C:$C,$C180)*SUMIFS(Velocity!$I:$I,Velocity!$A:$A,$A180,Velocity!$B:$B,$C180)/Assumptions!$B$4*Assumptions!$B$6</f>
        <v>0</v>
      </c>
      <c r="F180" s="7" t="n">
        <f aca="false">SUMIFS(Doors!R:R,Doors!$A:$A,$D180,Doors!$B:$B,$B180,Doors!$C:$C,$C180)*SUMIFS(Velocity!$I:$I,Velocity!$A:$A,$A180,Velocity!$B:$B,$C180)/Assumptions!$B$4*Assumptions!$B$6</f>
        <v>0</v>
      </c>
      <c r="G180" s="7" t="n">
        <f aca="false">SUMIFS(Doors!S:S,Doors!$A:$A,$D180,Doors!$B:$B,$B180,Doors!$C:$C,$C180)*SUMIFS(Velocity!$I:$I,Velocity!$A:$A,$A180,Velocity!$B:$B,$C180)/Assumptions!$B$4*Assumptions!$B$6</f>
        <v>0</v>
      </c>
      <c r="H180" s="7" t="n">
        <f aca="false">SUMIFS(Doors!T:T,Doors!$A:$A,$D180,Doors!$B:$B,$B180,Doors!$C:$C,$C180)*SUMIFS(Velocity!$I:$I,Velocity!$A:$A,$A180,Velocity!$B:$B,$C180)/Assumptions!$B$4*Assumptions!$B$6</f>
        <v>0</v>
      </c>
      <c r="I180" s="7" t="n">
        <f aca="false">SUMIFS(Doors!U:U,Doors!$A:$A,$D180,Doors!$B:$B,$B180,Doors!$C:$C,$C180)*SUMIFS(Velocity!$I:$I,Velocity!$A:$A,$A180,Velocity!$B:$B,$C180)/Assumptions!$B$4*Assumptions!$B$6</f>
        <v>0</v>
      </c>
      <c r="J180" s="7" t="n">
        <f aca="false">SUMIFS(Doors!V:V,Doors!$A:$A,$D180,Doors!$B:$B,$B180,Doors!$C:$C,$C180)*SUMIFS(Velocity!$I:$I,Velocity!$A:$A,$A180,Velocity!$B:$B,$C180)/Assumptions!$B$4*Assumptions!$B$6</f>
        <v>0</v>
      </c>
      <c r="K180" s="7" t="n">
        <f aca="false">SUMIFS(Doors!W:W,Doors!$A:$A,$D180,Doors!$B:$B,$B180,Doors!$C:$C,$C180)*SUMIFS(Velocity!$I:$I,Velocity!$A:$A,$A180,Velocity!$B:$B,$C180)/Assumptions!$B$4*Assumptions!$B$6</f>
        <v>0</v>
      </c>
      <c r="L180" s="7" t="n">
        <f aca="false">SUMIFS(Doors!X:X,Doors!$A:$A,$D180,Doors!$B:$B,$B180,Doors!$C:$C,$C180)*SUMIFS(Velocity!$I:$I,Velocity!$A:$A,$A180,Velocity!$B:$B,$C180)/Assumptions!$B$4*Assumptions!$B$6</f>
        <v>0</v>
      </c>
      <c r="M180" s="7" t="n">
        <f aca="false">SUMIFS(Doors!Y:Y,Doors!$A:$A,$D180,Doors!$B:$B,$B180,Doors!$C:$C,$C180)*SUMIFS(Velocity!$I:$I,Velocity!$A:$A,$A180,Velocity!$B:$B,$C180)/Assumptions!$B$4*Assumptions!$B$6</f>
        <v>0</v>
      </c>
      <c r="N180" s="7" t="n">
        <f aca="false">SUMIFS(Doors!Z:Z,Doors!$A:$A,$D180,Doors!$B:$B,$B180,Doors!$C:$C,$C180)*SUMIFS(Velocity!$I:$I,Velocity!$A:$A,$A180,Velocity!$B:$B,$C180)/Assumptions!$B$4*Assumptions!$B$6</f>
        <v>0</v>
      </c>
      <c r="O180" s="7" t="n">
        <f aca="false">SUMIFS(Doors!AA:AA,Doors!$A:$A,$D180,Doors!$B:$B,$B180,Doors!$C:$C,$C180)*SUMIFS(Velocity!$I:$I,Velocity!$A:$A,$A180,Velocity!$B:$B,$C180)/Assumptions!$B$4*Assumptions!$B$6</f>
        <v>0</v>
      </c>
      <c r="P180" s="7" t="n">
        <f aca="false">SUMIFS(Doors!AB:AB,Doors!$A:$A,$D180,Doors!$B:$B,$B180,Doors!$C:$C,$C180)*SUMIFS(Velocity!$I:$I,Velocity!$A:$A,$A180,Velocity!$B:$B,$C180)/Assumptions!$B$4*Assumptions!$B$6</f>
        <v>0</v>
      </c>
      <c r="Q180" s="7" t="n">
        <f aca="false">SUMIFS(Doors!AC:AC,Doors!$A:$A,$D180,Doors!$B:$B,$B180,Doors!$C:$C,$C180)*SUMIFS(Velocity!$I:$I,Velocity!$A:$A,$A180,Velocity!$B:$B,$C180)/Assumptions!$B$4*Assumptions!$B$6</f>
        <v>0</v>
      </c>
      <c r="R180" s="7" t="n">
        <f aca="false">SUMIFS(Doors!AD:AD,Doors!$A:$A,$D180,Doors!$B:$B,$B180,Doors!$C:$C,$C180)*SUMIFS(Velocity!$I:$I,Velocity!$A:$A,$A180,Velocity!$B:$B,$C180)/Assumptions!$B$4*Assumptions!$B$6</f>
        <v>0</v>
      </c>
      <c r="S180" s="7" t="n">
        <f aca="false">SUMIFS(Doors!AE:AE,Doors!$A:$A,$D180,Doors!$B:$B,$B180,Doors!$C:$C,$C180)*SUMIFS(Velocity!$I:$I,Velocity!$A:$A,$A180,Velocity!$B:$B,$C180)/Assumptions!$B$4*Assumptions!$B$6</f>
        <v>0</v>
      </c>
      <c r="T180" s="7" t="n">
        <f aca="false">SUMIFS(Doors!AF:AF,Doors!$A:$A,$D180,Doors!$B:$B,$B180,Doors!$C:$C,$C180)*SUMIFS(Velocity!$I:$I,Velocity!$A:$A,$A180,Velocity!$B:$B,$C180)/Assumptions!$B$4*Assumptions!$B$6</f>
        <v>0</v>
      </c>
      <c r="U180" s="7" t="n">
        <f aca="false">SUMIFS(Doors!AG:AG,Doors!$A:$A,$D180,Doors!$B:$B,$B180,Doors!$C:$C,$C180)*SUMIFS(Velocity!$I:$I,Velocity!$A:$A,$A180,Velocity!$B:$B,$C180)/Assumptions!$B$4*Assumptions!$B$6</f>
        <v>0</v>
      </c>
      <c r="V180" s="7" t="n">
        <f aca="false">SUMIFS(Doors!AH:AH,Doors!$A:$A,$D180,Doors!$B:$B,$B180,Doors!$C:$C,$C180)*SUMIFS(Velocity!$I:$I,Velocity!$A:$A,$A180,Velocity!$B:$B,$C180)/Assumptions!$B$4*Assumptions!$B$6</f>
        <v>0</v>
      </c>
      <c r="W180" s="7" t="n">
        <f aca="false">SUMIFS(Doors!AI:AI,Doors!$A:$A,$D180,Doors!$B:$B,$B180,Doors!$C:$C,$C180)*SUMIFS(Velocity!$I:$I,Velocity!$A:$A,$A180,Velocity!$B:$B,$C180)/Assumptions!$B$4*Assumptions!$B$6</f>
        <v>0</v>
      </c>
      <c r="X180" s="7" t="n">
        <f aca="false">SUMIFS(Doors!AJ:AJ,Doors!$A:$A,$D180,Doors!$B:$B,$B180,Doors!$C:$C,$C180)*SUMIFS(Velocity!$I:$I,Velocity!$A:$A,$A180,Velocity!$B:$B,$C180)/Assumptions!$B$4*Assumptions!$B$6</f>
        <v>0</v>
      </c>
      <c r="Y180" s="7" t="n">
        <f aca="false">SUMIFS(Doors!AK:AK,Doors!$A:$A,$D180,Doors!$B:$B,$B180,Doors!$C:$C,$C180)*SUMIFS(Velocity!$I:$I,Velocity!$A:$A,$A180,Velocity!$B:$B,$C180)/Assumptions!$B$4*Assumptions!$B$6</f>
        <v>0</v>
      </c>
      <c r="Z180" s="7" t="n">
        <f aca="false">SUMIFS(Doors!AL:AL,Doors!$A:$A,$D180,Doors!$B:$B,$B180,Doors!$C:$C,$C180)*SUMIFS(Velocity!$I:$I,Velocity!$A:$A,$A180,Velocity!$B:$B,$C180)/Assumptions!$B$4*Assumptions!$B$6</f>
        <v>0</v>
      </c>
      <c r="AA180" s="7" t="n">
        <f aca="false">SUMIFS(Doors!AM:AM,Doors!$A:$A,$D180,Doors!$B:$B,$B180,Doors!$C:$C,$C180)*SUMIFS(Velocity!$I:$I,Velocity!$A:$A,$A180,Velocity!$B:$B,$C180)/Assumptions!$B$4*Assumptions!$B$6</f>
        <v>0</v>
      </c>
      <c r="AB180" s="7" t="n">
        <f aca="false">SUMIFS(Doors!AN:AN,Doors!$A:$A,$D180,Doors!$B:$B,$B180,Doors!$C:$C,$C180)*SUMIFS(Velocity!$I:$I,Velocity!$A:$A,$A180,Velocity!$B:$B,$C180)/Assumptions!$B$4*Assumptions!$B$6</f>
        <v>0</v>
      </c>
      <c r="AC180" s="7" t="n">
        <f aca="false">SUMIFS(Doors!AO:AO,Doors!$A:$A,$D180,Doors!$B:$B,$B180,Doors!$C:$C,$C180)*SUMIFS(Velocity!$I:$I,Velocity!$A:$A,$A180,Velocity!$B:$B,$C180)/Assumptions!$B$4*Assumptions!$B$6</f>
        <v>0</v>
      </c>
      <c r="AD180" s="7" t="n">
        <f aca="false">SUMIFS(Doors!AP:AP,Doors!$A:$A,$D180,Doors!$B:$B,$B180,Doors!$C:$C,$C180)*SUMIFS(Velocity!$I:$I,Velocity!$A:$A,$A180,Velocity!$B:$B,$C180)/Assumptions!$B$4*Assumptions!$B$6</f>
        <v>0</v>
      </c>
      <c r="AE180" s="7" t="n">
        <f aca="false">SUMIFS(Doors!AQ:AQ,Doors!$A:$A,$D180,Doors!$B:$B,$B180,Doors!$C:$C,$C180)*SUMIFS(Velocity!$I:$I,Velocity!$A:$A,$A180,Velocity!$B:$B,$C180)/Assumptions!$B$4*Assumptions!$B$6</f>
        <v>0</v>
      </c>
      <c r="AF180" s="7" t="n">
        <f aca="false">SUMIFS(Doors!AR:AR,Doors!$A:$A,$D180,Doors!$B:$B,$B180,Doors!$C:$C,$C180)*SUMIFS(Velocity!$I:$I,Velocity!$A:$A,$A180,Velocity!$B:$B,$C180)/Assumptions!$B$4*Assumptions!$B$6</f>
        <v>0</v>
      </c>
      <c r="AG180" s="7" t="n">
        <f aca="false">SUMIFS(Doors!AS:AS,Doors!$A:$A,$D180,Doors!$B:$B,$B180,Doors!$C:$C,$C180)*SUMIFS(Velocity!$I:$I,Velocity!$A:$A,$A180,Velocity!$B:$B,$C180)/Assumptions!$B$4*Assumptions!$B$6</f>
        <v>0</v>
      </c>
      <c r="AH180" s="7" t="n">
        <f aca="false">SUMIFS(Doors!AT:AT,Doors!$A:$A,$D180,Doors!$B:$B,$B180,Doors!$C:$C,$C180)*SUMIFS(Velocity!$I:$I,Velocity!$A:$A,$A180,Velocity!$B:$B,$C180)/Assumptions!$B$4*Assumptions!$B$6</f>
        <v>0</v>
      </c>
      <c r="AI180" s="7" t="n">
        <f aca="false">SUMIFS(Doors!AU:AU,Doors!$A:$A,$D180,Doors!$B:$B,$B180,Doors!$C:$C,$C180)*SUMIFS(Velocity!$I:$I,Velocity!$A:$A,$A180,Velocity!$B:$B,$C180)/Assumptions!$B$4*Assumptions!$B$6</f>
        <v>0</v>
      </c>
      <c r="AJ180" s="7" t="n">
        <f aca="false">SUMIFS(Doors!AV:AV,Doors!$A:$A,$D180,Doors!$B:$B,$B180,Doors!$C:$C,$C180)*SUMIFS(Velocity!$I:$I,Velocity!$A:$A,$A180,Velocity!$B:$B,$C180)/Assumptions!$B$4*Assumptions!$B$6</f>
        <v>0</v>
      </c>
      <c r="AK180" s="7" t="n">
        <f aca="false">SUMIFS(Doors!AW:AW,Doors!$A:$A,$D180,Doors!$B:$B,$B180,Doors!$C:$C,$C180)*SUMIFS(Velocity!$I:$I,Velocity!$A:$A,$A180,Velocity!$B:$B,$C180)/Assumptions!$B$4*Assumptions!$B$6</f>
        <v>0</v>
      </c>
      <c r="AL180" s="7" t="n">
        <f aca="false">SUMIFS(Doors!AX:AX,Doors!$A:$A,$D180,Doors!$B:$B,$B180,Doors!$C:$C,$C180)*SUMIFS(Velocity!$I:$I,Velocity!$A:$A,$A180,Velocity!$B:$B,$C180)/Assumptions!$B$4*Assumptions!$B$6</f>
        <v>0</v>
      </c>
      <c r="AM180" s="7" t="n">
        <f aca="false">SUMIFS(Doors!AY:AY,Doors!$A:$A,$D180,Doors!$B:$B,$B180,Doors!$C:$C,$C180)*SUMIFS(Velocity!$I:$I,Velocity!$A:$A,$A180,Velocity!$B:$B,$C180)/Assumptions!$B$4*Assumptions!$B$6</f>
        <v>0</v>
      </c>
      <c r="AN180" s="7" t="n">
        <f aca="false">SUMIFS(Doors!AZ:AZ,Doors!$A:$A,$D180,Doors!$B:$B,$B180,Doors!$C:$C,$C180)*SUMIFS(Velocity!$I:$I,Velocity!$A:$A,$A180,Velocity!$B:$B,$C180)/Assumptions!$B$4*Assumptions!$B$6</f>
        <v>0</v>
      </c>
      <c r="AO180" s="7" t="n">
        <f aca="false">SUMIFS(Doors!BA:BA,Doors!$A:$A,$D180,Doors!$B:$B,$B180,Doors!$C:$C,$C180)*SUMIFS(Velocity!$I:$I,Velocity!$A:$A,$A180,Velocity!$B:$B,$C180)/Assumptions!$B$4*Assumptions!$B$6</f>
        <v>0</v>
      </c>
      <c r="AP180" s="7" t="n">
        <f aca="false">SUMIFS(Doors!BB:BB,Doors!$A:$A,$D180,Doors!$B:$B,$B180,Doors!$C:$C,$C180)*SUMIFS(Velocity!$I:$I,Velocity!$A:$A,$A180,Velocity!$B:$B,$C180)/Assumptions!$B$4*Assumptions!$B$6</f>
        <v>0</v>
      </c>
      <c r="AQ180" s="7" t="n">
        <f aca="false">SUMIFS(Doors!BC:BC,Doors!$A:$A,$D180,Doors!$B:$B,$B180,Doors!$C:$C,$C180)*SUMIFS(Velocity!$I:$I,Velocity!$A:$A,$A180,Velocity!$B:$B,$C180)/Assumptions!$B$4*Assumptions!$B$6</f>
        <v>0</v>
      </c>
      <c r="AR180" s="7" t="n">
        <f aca="false">SUMIFS(Doors!BD:BD,Doors!$A:$A,$D180,Doors!$B:$B,$B180,Doors!$C:$C,$C180)*SUMIFS(Velocity!$I:$I,Velocity!$A:$A,$A180,Velocity!$B:$B,$C180)/Assumptions!$B$4*Assumptions!$B$6</f>
        <v>0</v>
      </c>
      <c r="AS180" s="7" t="n">
        <f aca="false">SUMIFS(Doors!BE:BE,Doors!$A:$A,$D180,Doors!$B:$B,$B180,Doors!$C:$C,$C180)*SUMIFS(Velocity!$I:$I,Velocity!$A:$A,$A180,Velocity!$B:$B,$C180)/Assumptions!$B$4*Assumptions!$B$6</f>
        <v>0</v>
      </c>
      <c r="AT180" s="7" t="n">
        <f aca="false">SUMIFS(Doors!BF:BF,Doors!$A:$A,$D180,Doors!$B:$B,$B180,Doors!$C:$C,$C180)*SUMIFS(Velocity!$I:$I,Velocity!$A:$A,$A180,Velocity!$B:$B,$C180)/Assumptions!$B$4*Assumptions!$B$6</f>
        <v>0</v>
      </c>
      <c r="AU180" s="7" t="n">
        <f aca="false">SUMIFS(Doors!BG:BG,Doors!$A:$A,$D180,Doors!$B:$B,$B180,Doors!$C:$C,$C180)*SUMIFS(Velocity!$I:$I,Velocity!$A:$A,$A180,Velocity!$B:$B,$C180)/Assumptions!$B$4*Assumptions!$B$6</f>
        <v>0</v>
      </c>
      <c r="AV180" s="7" t="n">
        <f aca="false">SUMIFS(Doors!BH:BH,Doors!$A:$A,$D180,Doors!$B:$B,$B180,Doors!$C:$C,$C180)*SUMIFS(Velocity!$I:$I,Velocity!$A:$A,$A180,Velocity!$B:$B,$C180)/Assumptions!$B$4*Assumptions!$B$6</f>
        <v>0</v>
      </c>
      <c r="AW180" s="7" t="n">
        <f aca="false">SUMIFS(Doors!BI:BI,Doors!$A:$A,$D180,Doors!$B:$B,$B180,Doors!$C:$C,$C180)*SUMIFS(Velocity!$I:$I,Velocity!$A:$A,$A180,Velocity!$B:$B,$C180)/Assumptions!$B$4*Assumptions!$B$6</f>
        <v>0</v>
      </c>
      <c r="AX180" s="7" t="n">
        <f aca="false">SUMIFS(Doors!BJ:BJ,Doors!$A:$A,$D180,Doors!$B:$B,$B180,Doors!$C:$C,$C180)*SUMIFS(Velocity!$I:$I,Velocity!$A:$A,$A180,Velocity!$B:$B,$C180)/Assumptions!$B$4*Assumptions!$B$6</f>
        <v>0</v>
      </c>
      <c r="AY180" s="7" t="n">
        <f aca="false">SUMIFS(Doors!BK:BK,Doors!$A:$A,$D180,Doors!$B:$B,$B180,Doors!$C:$C,$C180)*SUMIFS(Velocity!$I:$I,Velocity!$A:$A,$A180,Velocity!$B:$B,$C180)/Assumptions!$B$4*Assumptions!$B$6</f>
        <v>0</v>
      </c>
      <c r="AZ180" s="7" t="n">
        <f aca="false">SUMIFS(Doors!BL:BL,Doors!$A:$A,$D180,Doors!$B:$B,$B180,Doors!$C:$C,$C180)*SUMIFS(Velocity!$I:$I,Velocity!$A:$A,$A180,Velocity!$B:$B,$C180)/Assumptions!$B$4*Assumptions!$B$6</f>
        <v>0</v>
      </c>
      <c r="BA180" s="7" t="n">
        <f aca="false">SUMIFS(Doors!BM:BM,Doors!$A:$A,$D180,Doors!$B:$B,$B180,Doors!$C:$C,$C180)*SUMIFS(Velocity!$I:$I,Velocity!$A:$A,$A180,Velocity!$B:$B,$C180)/Assumptions!$B$4*Assumptions!$B$6</f>
        <v>0</v>
      </c>
      <c r="BB180" s="7" t="n">
        <f aca="false">SUMIFS(Doors!BN:BN,Doors!$A:$A,$D180,Doors!$B:$B,$B180,Doors!$C:$C,$C180)*SUMIFS(Velocity!$I:$I,Velocity!$A:$A,$A180,Velocity!$B:$B,$C180)/Assumptions!$B$4*Assumptions!$B$6</f>
        <v>0</v>
      </c>
      <c r="BC180" s="7" t="n">
        <f aca="false">SUMIFS(Doors!BO:BO,Doors!$A:$A,$D180,Doors!$B:$B,$B180,Doors!$C:$C,$C180)*SUMIFS(Velocity!$I:$I,Velocity!$A:$A,$A180,Velocity!$B:$B,$C180)/Assumptions!$B$4*Assumptions!$B$6</f>
        <v>0</v>
      </c>
      <c r="BD180" s="7" t="n">
        <f aca="false">SUMIFS(Doors!BP:BP,Doors!$A:$A,$D180,Doors!$B:$B,$B180,Doors!$C:$C,$C180)*SUMIFS(Velocity!$I:$I,Velocity!$A:$A,$A180,Velocity!$B:$B,$C180)/Assumptions!$B$4*Assumptions!$B$6</f>
        <v>0</v>
      </c>
    </row>
    <row r="181" customFormat="false" ht="15" hidden="false" customHeight="false" outlineLevel="0" collapsed="false">
      <c r="A181" s="0" t="s">
        <v>109</v>
      </c>
      <c r="B181" s="0" t="s">
        <v>135</v>
      </c>
      <c r="C181" s="0" t="s">
        <v>119</v>
      </c>
      <c r="D181" s="0" t="s">
        <v>235</v>
      </c>
      <c r="E181" s="7" t="n">
        <f aca="false">SUMIFS(Doors!Q:Q,Doors!$A:$A,$D181,Doors!$B:$B,$B181,Doors!$C:$C,$C181)*SUMIFS(Velocity!$I:$I,Velocity!$A:$A,$A181,Velocity!$B:$B,$C181)/Assumptions!$B$4*Assumptions!$B$6</f>
        <v>0.166666666666667</v>
      </c>
      <c r="F181" s="7" t="n">
        <f aca="false">SUMIFS(Doors!R:R,Doors!$A:$A,$D181,Doors!$B:$B,$B181,Doors!$C:$C,$C181)*SUMIFS(Velocity!$I:$I,Velocity!$A:$A,$A181,Velocity!$B:$B,$C181)/Assumptions!$B$4*Assumptions!$B$6</f>
        <v>0.166666666666667</v>
      </c>
      <c r="G181" s="7" t="n">
        <f aca="false">SUMIFS(Doors!S:S,Doors!$A:$A,$D181,Doors!$B:$B,$B181,Doors!$C:$C,$C181)*SUMIFS(Velocity!$I:$I,Velocity!$A:$A,$A181,Velocity!$B:$B,$C181)/Assumptions!$B$4*Assumptions!$B$6</f>
        <v>0.166666666666667</v>
      </c>
      <c r="H181" s="7" t="n">
        <f aca="false">SUMIFS(Doors!T:T,Doors!$A:$A,$D181,Doors!$B:$B,$B181,Doors!$C:$C,$C181)*SUMIFS(Velocity!$I:$I,Velocity!$A:$A,$A181,Velocity!$B:$B,$C181)/Assumptions!$B$4*Assumptions!$B$6</f>
        <v>0.166666666666667</v>
      </c>
      <c r="I181" s="7" t="n">
        <f aca="false">SUMIFS(Doors!U:U,Doors!$A:$A,$D181,Doors!$B:$B,$B181,Doors!$C:$C,$C181)*SUMIFS(Velocity!$I:$I,Velocity!$A:$A,$A181,Velocity!$B:$B,$C181)/Assumptions!$B$4*Assumptions!$B$6</f>
        <v>0.166666666666667</v>
      </c>
      <c r="J181" s="7" t="n">
        <f aca="false">SUMIFS(Doors!V:V,Doors!$A:$A,$D181,Doors!$B:$B,$B181,Doors!$C:$C,$C181)*SUMIFS(Velocity!$I:$I,Velocity!$A:$A,$A181,Velocity!$B:$B,$C181)/Assumptions!$B$4*Assumptions!$B$6</f>
        <v>0.166666666666667</v>
      </c>
      <c r="K181" s="7" t="n">
        <f aca="false">SUMIFS(Doors!W:W,Doors!$A:$A,$D181,Doors!$B:$B,$B181,Doors!$C:$C,$C181)*SUMIFS(Velocity!$I:$I,Velocity!$A:$A,$A181,Velocity!$B:$B,$C181)/Assumptions!$B$4*Assumptions!$B$6</f>
        <v>0.166666666666667</v>
      </c>
      <c r="L181" s="7" t="n">
        <f aca="false">SUMIFS(Doors!X:X,Doors!$A:$A,$D181,Doors!$B:$B,$B181,Doors!$C:$C,$C181)*SUMIFS(Velocity!$I:$I,Velocity!$A:$A,$A181,Velocity!$B:$B,$C181)/Assumptions!$B$4*Assumptions!$B$6</f>
        <v>0.166666666666667</v>
      </c>
      <c r="M181" s="7" t="n">
        <f aca="false">SUMIFS(Doors!Y:Y,Doors!$A:$A,$D181,Doors!$B:$B,$B181,Doors!$C:$C,$C181)*SUMIFS(Velocity!$I:$I,Velocity!$A:$A,$A181,Velocity!$B:$B,$C181)/Assumptions!$B$4*Assumptions!$B$6</f>
        <v>0.166666666666667</v>
      </c>
      <c r="N181" s="7" t="n">
        <f aca="false">SUMIFS(Doors!Z:Z,Doors!$A:$A,$D181,Doors!$B:$B,$B181,Doors!$C:$C,$C181)*SUMIFS(Velocity!$I:$I,Velocity!$A:$A,$A181,Velocity!$B:$B,$C181)/Assumptions!$B$4*Assumptions!$B$6</f>
        <v>0.333333333333333</v>
      </c>
      <c r="O181" s="7" t="n">
        <f aca="false">SUMIFS(Doors!AA:AA,Doors!$A:$A,$D181,Doors!$B:$B,$B181,Doors!$C:$C,$C181)*SUMIFS(Velocity!$I:$I,Velocity!$A:$A,$A181,Velocity!$B:$B,$C181)/Assumptions!$B$4*Assumptions!$B$6</f>
        <v>0.333333333333333</v>
      </c>
      <c r="P181" s="7" t="n">
        <f aca="false">SUMIFS(Doors!AB:AB,Doors!$A:$A,$D181,Doors!$B:$B,$B181,Doors!$C:$C,$C181)*SUMIFS(Velocity!$I:$I,Velocity!$A:$A,$A181,Velocity!$B:$B,$C181)/Assumptions!$B$4*Assumptions!$B$6</f>
        <v>0.333333333333333</v>
      </c>
      <c r="Q181" s="7" t="n">
        <f aca="false">SUMIFS(Doors!AC:AC,Doors!$A:$A,$D181,Doors!$B:$B,$B181,Doors!$C:$C,$C181)*SUMIFS(Velocity!$I:$I,Velocity!$A:$A,$A181,Velocity!$B:$B,$C181)/Assumptions!$B$4*Assumptions!$B$6</f>
        <v>0.333333333333333</v>
      </c>
      <c r="R181" s="7" t="n">
        <f aca="false">SUMIFS(Doors!AD:AD,Doors!$A:$A,$D181,Doors!$B:$B,$B181,Doors!$C:$C,$C181)*SUMIFS(Velocity!$I:$I,Velocity!$A:$A,$A181,Velocity!$B:$B,$C181)/Assumptions!$B$4*Assumptions!$B$6</f>
        <v>0.333333333333333</v>
      </c>
      <c r="S181" s="7" t="n">
        <f aca="false">SUMIFS(Doors!AE:AE,Doors!$A:$A,$D181,Doors!$B:$B,$B181,Doors!$C:$C,$C181)*SUMIFS(Velocity!$I:$I,Velocity!$A:$A,$A181,Velocity!$B:$B,$C181)/Assumptions!$B$4*Assumptions!$B$6</f>
        <v>0.333333333333333</v>
      </c>
      <c r="T181" s="7" t="n">
        <f aca="false">SUMIFS(Doors!AF:AF,Doors!$A:$A,$D181,Doors!$B:$B,$B181,Doors!$C:$C,$C181)*SUMIFS(Velocity!$I:$I,Velocity!$A:$A,$A181,Velocity!$B:$B,$C181)/Assumptions!$B$4*Assumptions!$B$6</f>
        <v>0.333333333333333</v>
      </c>
      <c r="U181" s="7" t="n">
        <f aca="false">SUMIFS(Doors!AG:AG,Doors!$A:$A,$D181,Doors!$B:$B,$B181,Doors!$C:$C,$C181)*SUMIFS(Velocity!$I:$I,Velocity!$A:$A,$A181,Velocity!$B:$B,$C181)/Assumptions!$B$4*Assumptions!$B$6</f>
        <v>0.333333333333333</v>
      </c>
      <c r="V181" s="7" t="n">
        <f aca="false">SUMIFS(Doors!AH:AH,Doors!$A:$A,$D181,Doors!$B:$B,$B181,Doors!$C:$C,$C181)*SUMIFS(Velocity!$I:$I,Velocity!$A:$A,$A181,Velocity!$B:$B,$C181)/Assumptions!$B$4*Assumptions!$B$6</f>
        <v>0.333333333333333</v>
      </c>
      <c r="W181" s="7" t="n">
        <f aca="false">SUMIFS(Doors!AI:AI,Doors!$A:$A,$D181,Doors!$B:$B,$B181,Doors!$C:$C,$C181)*SUMIFS(Velocity!$I:$I,Velocity!$A:$A,$A181,Velocity!$B:$B,$C181)/Assumptions!$B$4*Assumptions!$B$6</f>
        <v>0.5</v>
      </c>
      <c r="X181" s="7" t="n">
        <f aca="false">SUMIFS(Doors!AJ:AJ,Doors!$A:$A,$D181,Doors!$B:$B,$B181,Doors!$C:$C,$C181)*SUMIFS(Velocity!$I:$I,Velocity!$A:$A,$A181,Velocity!$B:$B,$C181)/Assumptions!$B$4*Assumptions!$B$6</f>
        <v>0.5</v>
      </c>
      <c r="Y181" s="7" t="n">
        <f aca="false">SUMIFS(Doors!AK:AK,Doors!$A:$A,$D181,Doors!$B:$B,$B181,Doors!$C:$C,$C181)*SUMIFS(Velocity!$I:$I,Velocity!$A:$A,$A181,Velocity!$B:$B,$C181)/Assumptions!$B$4*Assumptions!$B$6</f>
        <v>0.5</v>
      </c>
      <c r="Z181" s="7" t="n">
        <f aca="false">SUMIFS(Doors!AL:AL,Doors!$A:$A,$D181,Doors!$B:$B,$B181,Doors!$C:$C,$C181)*SUMIFS(Velocity!$I:$I,Velocity!$A:$A,$A181,Velocity!$B:$B,$C181)/Assumptions!$B$4*Assumptions!$B$6</f>
        <v>0.5</v>
      </c>
      <c r="AA181" s="7" t="n">
        <f aca="false">SUMIFS(Doors!AM:AM,Doors!$A:$A,$D181,Doors!$B:$B,$B181,Doors!$C:$C,$C181)*SUMIFS(Velocity!$I:$I,Velocity!$A:$A,$A181,Velocity!$B:$B,$C181)/Assumptions!$B$4*Assumptions!$B$6</f>
        <v>0.5</v>
      </c>
      <c r="AB181" s="7" t="n">
        <f aca="false">SUMIFS(Doors!AN:AN,Doors!$A:$A,$D181,Doors!$B:$B,$B181,Doors!$C:$C,$C181)*SUMIFS(Velocity!$I:$I,Velocity!$A:$A,$A181,Velocity!$B:$B,$C181)/Assumptions!$B$4*Assumptions!$B$6</f>
        <v>0.5</v>
      </c>
      <c r="AC181" s="7" t="n">
        <f aca="false">SUMIFS(Doors!AO:AO,Doors!$A:$A,$D181,Doors!$B:$B,$B181,Doors!$C:$C,$C181)*SUMIFS(Velocity!$I:$I,Velocity!$A:$A,$A181,Velocity!$B:$B,$C181)/Assumptions!$B$4*Assumptions!$B$6</f>
        <v>0.5</v>
      </c>
      <c r="AD181" s="7" t="n">
        <f aca="false">SUMIFS(Doors!AP:AP,Doors!$A:$A,$D181,Doors!$B:$B,$B181,Doors!$C:$C,$C181)*SUMIFS(Velocity!$I:$I,Velocity!$A:$A,$A181,Velocity!$B:$B,$C181)/Assumptions!$B$4*Assumptions!$B$6</f>
        <v>0.5</v>
      </c>
      <c r="AE181" s="7" t="n">
        <f aca="false">SUMIFS(Doors!AQ:AQ,Doors!$A:$A,$D181,Doors!$B:$B,$B181,Doors!$C:$C,$C181)*SUMIFS(Velocity!$I:$I,Velocity!$A:$A,$A181,Velocity!$B:$B,$C181)/Assumptions!$B$4*Assumptions!$B$6</f>
        <v>0.666666666666667</v>
      </c>
      <c r="AF181" s="7" t="n">
        <f aca="false">SUMIFS(Doors!AR:AR,Doors!$A:$A,$D181,Doors!$B:$B,$B181,Doors!$C:$C,$C181)*SUMIFS(Velocity!$I:$I,Velocity!$A:$A,$A181,Velocity!$B:$B,$C181)/Assumptions!$B$4*Assumptions!$B$6</f>
        <v>0.666666666666667</v>
      </c>
      <c r="AG181" s="7" t="n">
        <f aca="false">SUMIFS(Doors!AS:AS,Doors!$A:$A,$D181,Doors!$B:$B,$B181,Doors!$C:$C,$C181)*SUMIFS(Velocity!$I:$I,Velocity!$A:$A,$A181,Velocity!$B:$B,$C181)/Assumptions!$B$4*Assumptions!$B$6</f>
        <v>0.666666666666667</v>
      </c>
      <c r="AH181" s="7" t="n">
        <f aca="false">SUMIFS(Doors!AT:AT,Doors!$A:$A,$D181,Doors!$B:$B,$B181,Doors!$C:$C,$C181)*SUMIFS(Velocity!$I:$I,Velocity!$A:$A,$A181,Velocity!$B:$B,$C181)/Assumptions!$B$4*Assumptions!$B$6</f>
        <v>0.666666666666667</v>
      </c>
      <c r="AI181" s="7" t="n">
        <f aca="false">SUMIFS(Doors!AU:AU,Doors!$A:$A,$D181,Doors!$B:$B,$B181,Doors!$C:$C,$C181)*SUMIFS(Velocity!$I:$I,Velocity!$A:$A,$A181,Velocity!$B:$B,$C181)/Assumptions!$B$4*Assumptions!$B$6</f>
        <v>0.666666666666667</v>
      </c>
      <c r="AJ181" s="7" t="n">
        <f aca="false">SUMIFS(Doors!AV:AV,Doors!$A:$A,$D181,Doors!$B:$B,$B181,Doors!$C:$C,$C181)*SUMIFS(Velocity!$I:$I,Velocity!$A:$A,$A181,Velocity!$B:$B,$C181)/Assumptions!$B$4*Assumptions!$B$6</f>
        <v>0.666666666666667</v>
      </c>
      <c r="AK181" s="7" t="n">
        <f aca="false">SUMIFS(Doors!AW:AW,Doors!$A:$A,$D181,Doors!$B:$B,$B181,Doors!$C:$C,$C181)*SUMIFS(Velocity!$I:$I,Velocity!$A:$A,$A181,Velocity!$B:$B,$C181)/Assumptions!$B$4*Assumptions!$B$6</f>
        <v>0.666666666666667</v>
      </c>
      <c r="AL181" s="7" t="n">
        <f aca="false">SUMIFS(Doors!AX:AX,Doors!$A:$A,$D181,Doors!$B:$B,$B181,Doors!$C:$C,$C181)*SUMIFS(Velocity!$I:$I,Velocity!$A:$A,$A181,Velocity!$B:$B,$C181)/Assumptions!$B$4*Assumptions!$B$6</f>
        <v>0.666666666666667</v>
      </c>
      <c r="AM181" s="7" t="n">
        <f aca="false">SUMIFS(Doors!AY:AY,Doors!$A:$A,$D181,Doors!$B:$B,$B181,Doors!$C:$C,$C181)*SUMIFS(Velocity!$I:$I,Velocity!$A:$A,$A181,Velocity!$B:$B,$C181)/Assumptions!$B$4*Assumptions!$B$6</f>
        <v>0.666666666666667</v>
      </c>
      <c r="AN181" s="7" t="n">
        <f aca="false">SUMIFS(Doors!AZ:AZ,Doors!$A:$A,$D181,Doors!$B:$B,$B181,Doors!$C:$C,$C181)*SUMIFS(Velocity!$I:$I,Velocity!$A:$A,$A181,Velocity!$B:$B,$C181)/Assumptions!$B$4*Assumptions!$B$6</f>
        <v>0.666666666666667</v>
      </c>
      <c r="AO181" s="7" t="n">
        <f aca="false">SUMIFS(Doors!BA:BA,Doors!$A:$A,$D181,Doors!$B:$B,$B181,Doors!$C:$C,$C181)*SUMIFS(Velocity!$I:$I,Velocity!$A:$A,$A181,Velocity!$B:$B,$C181)/Assumptions!$B$4*Assumptions!$B$6</f>
        <v>0.666666666666667</v>
      </c>
      <c r="AP181" s="7" t="n">
        <f aca="false">SUMIFS(Doors!BB:BB,Doors!$A:$A,$D181,Doors!$B:$B,$B181,Doors!$C:$C,$C181)*SUMIFS(Velocity!$I:$I,Velocity!$A:$A,$A181,Velocity!$B:$B,$C181)/Assumptions!$B$4*Assumptions!$B$6</f>
        <v>0.666666666666667</v>
      </c>
      <c r="AQ181" s="7" t="n">
        <f aca="false">SUMIFS(Doors!BC:BC,Doors!$A:$A,$D181,Doors!$B:$B,$B181,Doors!$C:$C,$C181)*SUMIFS(Velocity!$I:$I,Velocity!$A:$A,$A181,Velocity!$B:$B,$C181)/Assumptions!$B$4*Assumptions!$B$6</f>
        <v>0.666666666666667</v>
      </c>
      <c r="AR181" s="7" t="n">
        <f aca="false">SUMIFS(Doors!BD:BD,Doors!$A:$A,$D181,Doors!$B:$B,$B181,Doors!$C:$C,$C181)*SUMIFS(Velocity!$I:$I,Velocity!$A:$A,$A181,Velocity!$B:$B,$C181)/Assumptions!$B$4*Assumptions!$B$6</f>
        <v>0.833333333333333</v>
      </c>
      <c r="AS181" s="7" t="n">
        <f aca="false">SUMIFS(Doors!BE:BE,Doors!$A:$A,$D181,Doors!$B:$B,$B181,Doors!$C:$C,$C181)*SUMIFS(Velocity!$I:$I,Velocity!$A:$A,$A181,Velocity!$B:$B,$C181)/Assumptions!$B$4*Assumptions!$B$6</f>
        <v>0.833333333333333</v>
      </c>
      <c r="AT181" s="7" t="n">
        <f aca="false">SUMIFS(Doors!BF:BF,Doors!$A:$A,$D181,Doors!$B:$B,$B181,Doors!$C:$C,$C181)*SUMIFS(Velocity!$I:$I,Velocity!$A:$A,$A181,Velocity!$B:$B,$C181)/Assumptions!$B$4*Assumptions!$B$6</f>
        <v>0.833333333333333</v>
      </c>
      <c r="AU181" s="7" t="n">
        <f aca="false">SUMIFS(Doors!BG:BG,Doors!$A:$A,$D181,Doors!$B:$B,$B181,Doors!$C:$C,$C181)*SUMIFS(Velocity!$I:$I,Velocity!$A:$A,$A181,Velocity!$B:$B,$C181)/Assumptions!$B$4*Assumptions!$B$6</f>
        <v>0.833333333333333</v>
      </c>
      <c r="AV181" s="7" t="n">
        <f aca="false">SUMIFS(Doors!BH:BH,Doors!$A:$A,$D181,Doors!$B:$B,$B181,Doors!$C:$C,$C181)*SUMIFS(Velocity!$I:$I,Velocity!$A:$A,$A181,Velocity!$B:$B,$C181)/Assumptions!$B$4*Assumptions!$B$6</f>
        <v>0.833333333333333</v>
      </c>
      <c r="AW181" s="7" t="n">
        <f aca="false">SUMIFS(Doors!BI:BI,Doors!$A:$A,$D181,Doors!$B:$B,$B181,Doors!$C:$C,$C181)*SUMIFS(Velocity!$I:$I,Velocity!$A:$A,$A181,Velocity!$B:$B,$C181)/Assumptions!$B$4*Assumptions!$B$6</f>
        <v>0.833333333333333</v>
      </c>
      <c r="AX181" s="7" t="n">
        <f aca="false">SUMIFS(Doors!BJ:BJ,Doors!$A:$A,$D181,Doors!$B:$B,$B181,Doors!$C:$C,$C181)*SUMIFS(Velocity!$I:$I,Velocity!$A:$A,$A181,Velocity!$B:$B,$C181)/Assumptions!$B$4*Assumptions!$B$6</f>
        <v>0.833333333333333</v>
      </c>
      <c r="AY181" s="7" t="n">
        <f aca="false">SUMIFS(Doors!BK:BK,Doors!$A:$A,$D181,Doors!$B:$B,$B181,Doors!$C:$C,$C181)*SUMIFS(Velocity!$I:$I,Velocity!$A:$A,$A181,Velocity!$B:$B,$C181)/Assumptions!$B$4*Assumptions!$B$6</f>
        <v>0.833333333333333</v>
      </c>
      <c r="AZ181" s="7" t="n">
        <f aca="false">SUMIFS(Doors!BL:BL,Doors!$A:$A,$D181,Doors!$B:$B,$B181,Doors!$C:$C,$C181)*SUMIFS(Velocity!$I:$I,Velocity!$A:$A,$A181,Velocity!$B:$B,$C181)/Assumptions!$B$4*Assumptions!$B$6</f>
        <v>0.833333333333333</v>
      </c>
      <c r="BA181" s="7" t="n">
        <f aca="false">SUMIFS(Doors!BM:BM,Doors!$A:$A,$D181,Doors!$B:$B,$B181,Doors!$C:$C,$C181)*SUMIFS(Velocity!$I:$I,Velocity!$A:$A,$A181,Velocity!$B:$B,$C181)/Assumptions!$B$4*Assumptions!$B$6</f>
        <v>0.833333333333333</v>
      </c>
      <c r="BB181" s="7" t="n">
        <f aca="false">SUMIFS(Doors!BN:BN,Doors!$A:$A,$D181,Doors!$B:$B,$B181,Doors!$C:$C,$C181)*SUMIFS(Velocity!$I:$I,Velocity!$A:$A,$A181,Velocity!$B:$B,$C181)/Assumptions!$B$4*Assumptions!$B$6</f>
        <v>0.833333333333333</v>
      </c>
      <c r="BC181" s="7" t="n">
        <f aca="false">SUMIFS(Doors!BO:BO,Doors!$A:$A,$D181,Doors!$B:$B,$B181,Doors!$C:$C,$C181)*SUMIFS(Velocity!$I:$I,Velocity!$A:$A,$A181,Velocity!$B:$B,$C181)/Assumptions!$B$4*Assumptions!$B$6</f>
        <v>0.833333333333333</v>
      </c>
      <c r="BD181" s="7" t="n">
        <f aca="false">SUMIFS(Doors!BP:BP,Doors!$A:$A,$D181,Doors!$B:$B,$B181,Doors!$C:$C,$C181)*SUMIFS(Velocity!$I:$I,Velocity!$A:$A,$A181,Velocity!$B:$B,$C181)/Assumptions!$B$4*Assumptions!$B$6</f>
        <v>0.833333333333333</v>
      </c>
    </row>
    <row r="182" customFormat="false" ht="15" hidden="false" customHeight="false" outlineLevel="0" collapsed="false">
      <c r="A182" s="0" t="s">
        <v>109</v>
      </c>
      <c r="B182" s="0" t="s">
        <v>135</v>
      </c>
      <c r="C182" s="0" t="s">
        <v>120</v>
      </c>
      <c r="D182" s="0" t="s">
        <v>235</v>
      </c>
      <c r="E182" s="7" t="n">
        <f aca="false">SUMIFS(Doors!Q:Q,Doors!$A:$A,$D182,Doors!$B:$B,$B182,Doors!$C:$C,$C182)*SUMIFS(Velocity!$I:$I,Velocity!$A:$A,$A182,Velocity!$B:$B,$C182)/Assumptions!$B$4*Assumptions!$B$6</f>
        <v>0.197916666666667</v>
      </c>
      <c r="F182" s="7" t="n">
        <f aca="false">SUMIFS(Doors!R:R,Doors!$A:$A,$D182,Doors!$B:$B,$B182,Doors!$C:$C,$C182)*SUMIFS(Velocity!$I:$I,Velocity!$A:$A,$A182,Velocity!$B:$B,$C182)/Assumptions!$B$4*Assumptions!$B$6</f>
        <v>0.197916666666667</v>
      </c>
      <c r="G182" s="7" t="n">
        <f aca="false">SUMIFS(Doors!S:S,Doors!$A:$A,$D182,Doors!$B:$B,$B182,Doors!$C:$C,$C182)*SUMIFS(Velocity!$I:$I,Velocity!$A:$A,$A182,Velocity!$B:$B,$C182)/Assumptions!$B$4*Assumptions!$B$6</f>
        <v>0.197916666666667</v>
      </c>
      <c r="H182" s="7" t="n">
        <f aca="false">SUMIFS(Doors!T:T,Doors!$A:$A,$D182,Doors!$B:$B,$B182,Doors!$C:$C,$C182)*SUMIFS(Velocity!$I:$I,Velocity!$A:$A,$A182,Velocity!$B:$B,$C182)/Assumptions!$B$4*Assumptions!$B$6</f>
        <v>0.197916666666667</v>
      </c>
      <c r="I182" s="7" t="n">
        <f aca="false">SUMIFS(Doors!U:U,Doors!$A:$A,$D182,Doors!$B:$B,$B182,Doors!$C:$C,$C182)*SUMIFS(Velocity!$I:$I,Velocity!$A:$A,$A182,Velocity!$B:$B,$C182)/Assumptions!$B$4*Assumptions!$B$6</f>
        <v>0.197916666666667</v>
      </c>
      <c r="J182" s="7" t="n">
        <f aca="false">SUMIFS(Doors!V:V,Doors!$A:$A,$D182,Doors!$B:$B,$B182,Doors!$C:$C,$C182)*SUMIFS(Velocity!$I:$I,Velocity!$A:$A,$A182,Velocity!$B:$B,$C182)/Assumptions!$B$4*Assumptions!$B$6</f>
        <v>0.395833333333333</v>
      </c>
      <c r="K182" s="7" t="n">
        <f aca="false">SUMIFS(Doors!W:W,Doors!$A:$A,$D182,Doors!$B:$B,$B182,Doors!$C:$C,$C182)*SUMIFS(Velocity!$I:$I,Velocity!$A:$A,$A182,Velocity!$B:$B,$C182)/Assumptions!$B$4*Assumptions!$B$6</f>
        <v>0.395833333333333</v>
      </c>
      <c r="L182" s="7" t="n">
        <f aca="false">SUMIFS(Doors!X:X,Doors!$A:$A,$D182,Doors!$B:$B,$B182,Doors!$C:$C,$C182)*SUMIFS(Velocity!$I:$I,Velocity!$A:$A,$A182,Velocity!$B:$B,$C182)/Assumptions!$B$4*Assumptions!$B$6</f>
        <v>0.395833333333333</v>
      </c>
      <c r="M182" s="7" t="n">
        <f aca="false">SUMIFS(Doors!Y:Y,Doors!$A:$A,$D182,Doors!$B:$B,$B182,Doors!$C:$C,$C182)*SUMIFS(Velocity!$I:$I,Velocity!$A:$A,$A182,Velocity!$B:$B,$C182)/Assumptions!$B$4*Assumptions!$B$6</f>
        <v>0.395833333333333</v>
      </c>
      <c r="N182" s="7" t="n">
        <f aca="false">SUMIFS(Doors!Z:Z,Doors!$A:$A,$D182,Doors!$B:$B,$B182,Doors!$C:$C,$C182)*SUMIFS(Velocity!$I:$I,Velocity!$A:$A,$A182,Velocity!$B:$B,$C182)/Assumptions!$B$4*Assumptions!$B$6</f>
        <v>0.395833333333333</v>
      </c>
      <c r="O182" s="7" t="n">
        <f aca="false">SUMIFS(Doors!AA:AA,Doors!$A:$A,$D182,Doors!$B:$B,$B182,Doors!$C:$C,$C182)*SUMIFS(Velocity!$I:$I,Velocity!$A:$A,$A182,Velocity!$B:$B,$C182)/Assumptions!$B$4*Assumptions!$B$6</f>
        <v>0.395833333333333</v>
      </c>
      <c r="P182" s="7" t="n">
        <f aca="false">SUMIFS(Doors!AB:AB,Doors!$A:$A,$D182,Doors!$B:$B,$B182,Doors!$C:$C,$C182)*SUMIFS(Velocity!$I:$I,Velocity!$A:$A,$A182,Velocity!$B:$B,$C182)/Assumptions!$B$4*Assumptions!$B$6</f>
        <v>0.395833333333333</v>
      </c>
      <c r="Q182" s="7" t="n">
        <f aca="false">SUMIFS(Doors!AC:AC,Doors!$A:$A,$D182,Doors!$B:$B,$B182,Doors!$C:$C,$C182)*SUMIFS(Velocity!$I:$I,Velocity!$A:$A,$A182,Velocity!$B:$B,$C182)/Assumptions!$B$4*Assumptions!$B$6</f>
        <v>0.395833333333333</v>
      </c>
      <c r="R182" s="7" t="n">
        <f aca="false">SUMIFS(Doors!AD:AD,Doors!$A:$A,$D182,Doors!$B:$B,$B182,Doors!$C:$C,$C182)*SUMIFS(Velocity!$I:$I,Velocity!$A:$A,$A182,Velocity!$B:$B,$C182)/Assumptions!$B$4*Assumptions!$B$6</f>
        <v>0.59375</v>
      </c>
      <c r="S182" s="7" t="n">
        <f aca="false">SUMIFS(Doors!AE:AE,Doors!$A:$A,$D182,Doors!$B:$B,$B182,Doors!$C:$C,$C182)*SUMIFS(Velocity!$I:$I,Velocity!$A:$A,$A182,Velocity!$B:$B,$C182)/Assumptions!$B$4*Assumptions!$B$6</f>
        <v>0.59375</v>
      </c>
      <c r="T182" s="7" t="n">
        <f aca="false">SUMIFS(Doors!AF:AF,Doors!$A:$A,$D182,Doors!$B:$B,$B182,Doors!$C:$C,$C182)*SUMIFS(Velocity!$I:$I,Velocity!$A:$A,$A182,Velocity!$B:$B,$C182)/Assumptions!$B$4*Assumptions!$B$6</f>
        <v>0.59375</v>
      </c>
      <c r="U182" s="7" t="n">
        <f aca="false">SUMIFS(Doors!AG:AG,Doors!$A:$A,$D182,Doors!$B:$B,$B182,Doors!$C:$C,$C182)*SUMIFS(Velocity!$I:$I,Velocity!$A:$A,$A182,Velocity!$B:$B,$C182)/Assumptions!$B$4*Assumptions!$B$6</f>
        <v>0.59375</v>
      </c>
      <c r="V182" s="7" t="n">
        <f aca="false">SUMIFS(Doors!AH:AH,Doors!$A:$A,$D182,Doors!$B:$B,$B182,Doors!$C:$C,$C182)*SUMIFS(Velocity!$I:$I,Velocity!$A:$A,$A182,Velocity!$B:$B,$C182)/Assumptions!$B$4*Assumptions!$B$6</f>
        <v>0.59375</v>
      </c>
      <c r="W182" s="7" t="n">
        <f aca="false">SUMIFS(Doors!AI:AI,Doors!$A:$A,$D182,Doors!$B:$B,$B182,Doors!$C:$C,$C182)*SUMIFS(Velocity!$I:$I,Velocity!$A:$A,$A182,Velocity!$B:$B,$C182)/Assumptions!$B$4*Assumptions!$B$6</f>
        <v>0.59375</v>
      </c>
      <c r="X182" s="7" t="n">
        <f aca="false">SUMIFS(Doors!AJ:AJ,Doors!$A:$A,$D182,Doors!$B:$B,$B182,Doors!$C:$C,$C182)*SUMIFS(Velocity!$I:$I,Velocity!$A:$A,$A182,Velocity!$B:$B,$C182)/Assumptions!$B$4*Assumptions!$B$6</f>
        <v>0.59375</v>
      </c>
      <c r="Y182" s="7" t="n">
        <f aca="false">SUMIFS(Doors!AK:AK,Doors!$A:$A,$D182,Doors!$B:$B,$B182,Doors!$C:$C,$C182)*SUMIFS(Velocity!$I:$I,Velocity!$A:$A,$A182,Velocity!$B:$B,$C182)/Assumptions!$B$4*Assumptions!$B$6</f>
        <v>0.59375</v>
      </c>
      <c r="Z182" s="7" t="n">
        <f aca="false">SUMIFS(Doors!AL:AL,Doors!$A:$A,$D182,Doors!$B:$B,$B182,Doors!$C:$C,$C182)*SUMIFS(Velocity!$I:$I,Velocity!$A:$A,$A182,Velocity!$B:$B,$C182)/Assumptions!$B$4*Assumptions!$B$6</f>
        <v>0.59375</v>
      </c>
      <c r="AA182" s="7" t="n">
        <f aca="false">SUMIFS(Doors!AM:AM,Doors!$A:$A,$D182,Doors!$B:$B,$B182,Doors!$C:$C,$C182)*SUMIFS(Velocity!$I:$I,Velocity!$A:$A,$A182,Velocity!$B:$B,$C182)/Assumptions!$B$4*Assumptions!$B$6</f>
        <v>0.791666666666667</v>
      </c>
      <c r="AB182" s="7" t="n">
        <f aca="false">SUMIFS(Doors!AN:AN,Doors!$A:$A,$D182,Doors!$B:$B,$B182,Doors!$C:$C,$C182)*SUMIFS(Velocity!$I:$I,Velocity!$A:$A,$A182,Velocity!$B:$B,$C182)/Assumptions!$B$4*Assumptions!$B$6</f>
        <v>0.791666666666667</v>
      </c>
      <c r="AC182" s="7" t="n">
        <f aca="false">SUMIFS(Doors!AO:AO,Doors!$A:$A,$D182,Doors!$B:$B,$B182,Doors!$C:$C,$C182)*SUMIFS(Velocity!$I:$I,Velocity!$A:$A,$A182,Velocity!$B:$B,$C182)/Assumptions!$B$4*Assumptions!$B$6</f>
        <v>0.791666666666667</v>
      </c>
      <c r="AD182" s="7" t="n">
        <f aca="false">SUMIFS(Doors!AP:AP,Doors!$A:$A,$D182,Doors!$B:$B,$B182,Doors!$C:$C,$C182)*SUMIFS(Velocity!$I:$I,Velocity!$A:$A,$A182,Velocity!$B:$B,$C182)/Assumptions!$B$4*Assumptions!$B$6</f>
        <v>0.791666666666667</v>
      </c>
      <c r="AE182" s="7" t="n">
        <f aca="false">SUMIFS(Doors!AQ:AQ,Doors!$A:$A,$D182,Doors!$B:$B,$B182,Doors!$C:$C,$C182)*SUMIFS(Velocity!$I:$I,Velocity!$A:$A,$A182,Velocity!$B:$B,$C182)/Assumptions!$B$4*Assumptions!$B$6</f>
        <v>0.791666666666667</v>
      </c>
      <c r="AF182" s="7" t="n">
        <f aca="false">SUMIFS(Doors!AR:AR,Doors!$A:$A,$D182,Doors!$B:$B,$B182,Doors!$C:$C,$C182)*SUMIFS(Velocity!$I:$I,Velocity!$A:$A,$A182,Velocity!$B:$B,$C182)/Assumptions!$B$4*Assumptions!$B$6</f>
        <v>0.791666666666667</v>
      </c>
      <c r="AG182" s="7" t="n">
        <f aca="false">SUMIFS(Doors!AS:AS,Doors!$A:$A,$D182,Doors!$B:$B,$B182,Doors!$C:$C,$C182)*SUMIFS(Velocity!$I:$I,Velocity!$A:$A,$A182,Velocity!$B:$B,$C182)/Assumptions!$B$4*Assumptions!$B$6</f>
        <v>0.791666666666667</v>
      </c>
      <c r="AH182" s="7" t="n">
        <f aca="false">SUMIFS(Doors!AT:AT,Doors!$A:$A,$D182,Doors!$B:$B,$B182,Doors!$C:$C,$C182)*SUMIFS(Velocity!$I:$I,Velocity!$A:$A,$A182,Velocity!$B:$B,$C182)/Assumptions!$B$4*Assumptions!$B$6</f>
        <v>0.791666666666667</v>
      </c>
      <c r="AI182" s="7" t="n">
        <f aca="false">SUMIFS(Doors!AU:AU,Doors!$A:$A,$D182,Doors!$B:$B,$B182,Doors!$C:$C,$C182)*SUMIFS(Velocity!$I:$I,Velocity!$A:$A,$A182,Velocity!$B:$B,$C182)/Assumptions!$B$4*Assumptions!$B$6</f>
        <v>0.791666666666667</v>
      </c>
      <c r="AJ182" s="7" t="n">
        <f aca="false">SUMIFS(Doors!AV:AV,Doors!$A:$A,$D182,Doors!$B:$B,$B182,Doors!$C:$C,$C182)*SUMIFS(Velocity!$I:$I,Velocity!$A:$A,$A182,Velocity!$B:$B,$C182)/Assumptions!$B$4*Assumptions!$B$6</f>
        <v>0.989583333333333</v>
      </c>
      <c r="AK182" s="7" t="n">
        <f aca="false">SUMIFS(Doors!AW:AW,Doors!$A:$A,$D182,Doors!$B:$B,$B182,Doors!$C:$C,$C182)*SUMIFS(Velocity!$I:$I,Velocity!$A:$A,$A182,Velocity!$B:$B,$C182)/Assumptions!$B$4*Assumptions!$B$6</f>
        <v>0.989583333333333</v>
      </c>
      <c r="AL182" s="7" t="n">
        <f aca="false">SUMIFS(Doors!AX:AX,Doors!$A:$A,$D182,Doors!$B:$B,$B182,Doors!$C:$C,$C182)*SUMIFS(Velocity!$I:$I,Velocity!$A:$A,$A182,Velocity!$B:$B,$C182)/Assumptions!$B$4*Assumptions!$B$6</f>
        <v>0.989583333333333</v>
      </c>
      <c r="AM182" s="7" t="n">
        <f aca="false">SUMIFS(Doors!AY:AY,Doors!$A:$A,$D182,Doors!$B:$B,$B182,Doors!$C:$C,$C182)*SUMIFS(Velocity!$I:$I,Velocity!$A:$A,$A182,Velocity!$B:$B,$C182)/Assumptions!$B$4*Assumptions!$B$6</f>
        <v>0.989583333333333</v>
      </c>
      <c r="AN182" s="7" t="n">
        <f aca="false">SUMIFS(Doors!AZ:AZ,Doors!$A:$A,$D182,Doors!$B:$B,$B182,Doors!$C:$C,$C182)*SUMIFS(Velocity!$I:$I,Velocity!$A:$A,$A182,Velocity!$B:$B,$C182)/Assumptions!$B$4*Assumptions!$B$6</f>
        <v>0.989583333333333</v>
      </c>
      <c r="AO182" s="7" t="n">
        <f aca="false">SUMIFS(Doors!BA:BA,Doors!$A:$A,$D182,Doors!$B:$B,$B182,Doors!$C:$C,$C182)*SUMIFS(Velocity!$I:$I,Velocity!$A:$A,$A182,Velocity!$B:$B,$C182)/Assumptions!$B$4*Assumptions!$B$6</f>
        <v>0.989583333333333</v>
      </c>
      <c r="AP182" s="7" t="n">
        <f aca="false">SUMIFS(Doors!BB:BB,Doors!$A:$A,$D182,Doors!$B:$B,$B182,Doors!$C:$C,$C182)*SUMIFS(Velocity!$I:$I,Velocity!$A:$A,$A182,Velocity!$B:$B,$C182)/Assumptions!$B$4*Assumptions!$B$6</f>
        <v>0.989583333333333</v>
      </c>
      <c r="AQ182" s="7" t="n">
        <f aca="false">SUMIFS(Doors!BC:BC,Doors!$A:$A,$D182,Doors!$B:$B,$B182,Doors!$C:$C,$C182)*SUMIFS(Velocity!$I:$I,Velocity!$A:$A,$A182,Velocity!$B:$B,$C182)/Assumptions!$B$4*Assumptions!$B$6</f>
        <v>0.989583333333333</v>
      </c>
      <c r="AR182" s="7" t="n">
        <f aca="false">SUMIFS(Doors!BD:BD,Doors!$A:$A,$D182,Doors!$B:$B,$B182,Doors!$C:$C,$C182)*SUMIFS(Velocity!$I:$I,Velocity!$A:$A,$A182,Velocity!$B:$B,$C182)/Assumptions!$B$4*Assumptions!$B$6</f>
        <v>0.989583333333333</v>
      </c>
      <c r="AS182" s="7" t="n">
        <f aca="false">SUMIFS(Doors!BE:BE,Doors!$A:$A,$D182,Doors!$B:$B,$B182,Doors!$C:$C,$C182)*SUMIFS(Velocity!$I:$I,Velocity!$A:$A,$A182,Velocity!$B:$B,$C182)/Assumptions!$B$4*Assumptions!$B$6</f>
        <v>0.989583333333333</v>
      </c>
      <c r="AT182" s="7" t="n">
        <f aca="false">SUMIFS(Doors!BF:BF,Doors!$A:$A,$D182,Doors!$B:$B,$B182,Doors!$C:$C,$C182)*SUMIFS(Velocity!$I:$I,Velocity!$A:$A,$A182,Velocity!$B:$B,$C182)/Assumptions!$B$4*Assumptions!$B$6</f>
        <v>0.989583333333333</v>
      </c>
      <c r="AU182" s="7" t="n">
        <f aca="false">SUMIFS(Doors!BG:BG,Doors!$A:$A,$D182,Doors!$B:$B,$B182,Doors!$C:$C,$C182)*SUMIFS(Velocity!$I:$I,Velocity!$A:$A,$A182,Velocity!$B:$B,$C182)/Assumptions!$B$4*Assumptions!$B$6</f>
        <v>0.989583333333333</v>
      </c>
      <c r="AV182" s="7" t="n">
        <f aca="false">SUMIFS(Doors!BH:BH,Doors!$A:$A,$D182,Doors!$B:$B,$B182,Doors!$C:$C,$C182)*SUMIFS(Velocity!$I:$I,Velocity!$A:$A,$A182,Velocity!$B:$B,$C182)/Assumptions!$B$4*Assumptions!$B$6</f>
        <v>0.989583333333333</v>
      </c>
      <c r="AW182" s="7" t="n">
        <f aca="false">SUMIFS(Doors!BI:BI,Doors!$A:$A,$D182,Doors!$B:$B,$B182,Doors!$C:$C,$C182)*SUMIFS(Velocity!$I:$I,Velocity!$A:$A,$A182,Velocity!$B:$B,$C182)/Assumptions!$B$4*Assumptions!$B$6</f>
        <v>0.989583333333333</v>
      </c>
      <c r="AX182" s="7" t="n">
        <f aca="false">SUMIFS(Doors!BJ:BJ,Doors!$A:$A,$D182,Doors!$B:$B,$B182,Doors!$C:$C,$C182)*SUMIFS(Velocity!$I:$I,Velocity!$A:$A,$A182,Velocity!$B:$B,$C182)/Assumptions!$B$4*Assumptions!$B$6</f>
        <v>0.989583333333333</v>
      </c>
      <c r="AY182" s="7" t="n">
        <f aca="false">SUMIFS(Doors!BK:BK,Doors!$A:$A,$D182,Doors!$B:$B,$B182,Doors!$C:$C,$C182)*SUMIFS(Velocity!$I:$I,Velocity!$A:$A,$A182,Velocity!$B:$B,$C182)/Assumptions!$B$4*Assumptions!$B$6</f>
        <v>0.989583333333333</v>
      </c>
      <c r="AZ182" s="7" t="n">
        <f aca="false">SUMIFS(Doors!BL:BL,Doors!$A:$A,$D182,Doors!$B:$B,$B182,Doors!$C:$C,$C182)*SUMIFS(Velocity!$I:$I,Velocity!$A:$A,$A182,Velocity!$B:$B,$C182)/Assumptions!$B$4*Assumptions!$B$6</f>
        <v>0.989583333333333</v>
      </c>
      <c r="BA182" s="7" t="n">
        <f aca="false">SUMIFS(Doors!BM:BM,Doors!$A:$A,$D182,Doors!$B:$B,$B182,Doors!$C:$C,$C182)*SUMIFS(Velocity!$I:$I,Velocity!$A:$A,$A182,Velocity!$B:$B,$C182)/Assumptions!$B$4*Assumptions!$B$6</f>
        <v>0.989583333333333</v>
      </c>
      <c r="BB182" s="7" t="n">
        <f aca="false">SUMIFS(Doors!BN:BN,Doors!$A:$A,$D182,Doors!$B:$B,$B182,Doors!$C:$C,$C182)*SUMIFS(Velocity!$I:$I,Velocity!$A:$A,$A182,Velocity!$B:$B,$C182)/Assumptions!$B$4*Assumptions!$B$6</f>
        <v>0.989583333333333</v>
      </c>
      <c r="BC182" s="7" t="n">
        <f aca="false">SUMIFS(Doors!BO:BO,Doors!$A:$A,$D182,Doors!$B:$B,$B182,Doors!$C:$C,$C182)*SUMIFS(Velocity!$I:$I,Velocity!$A:$A,$A182,Velocity!$B:$B,$C182)/Assumptions!$B$4*Assumptions!$B$6</f>
        <v>0.989583333333333</v>
      </c>
      <c r="BD182" s="7" t="n">
        <f aca="false">SUMIFS(Doors!BP:BP,Doors!$A:$A,$D182,Doors!$B:$B,$B182,Doors!$C:$C,$C182)*SUMIFS(Velocity!$I:$I,Velocity!$A:$A,$A182,Velocity!$B:$B,$C182)/Assumptions!$B$4*Assumptions!$B$6</f>
        <v>0.989583333333333</v>
      </c>
    </row>
    <row r="183" customFormat="false" ht="15" hidden="false" customHeight="false" outlineLevel="0" collapsed="false">
      <c r="A183" s="0" t="s">
        <v>109</v>
      </c>
      <c r="B183" s="0" t="s">
        <v>135</v>
      </c>
      <c r="C183" s="0" t="s">
        <v>121</v>
      </c>
      <c r="D183" s="0" t="s">
        <v>235</v>
      </c>
      <c r="E183" s="7" t="n">
        <f aca="false">SUMIFS(Doors!Q:Q,Doors!$A:$A,$D183,Doors!$B:$B,$B183,Doors!$C:$C,$C183)*SUMIFS(Velocity!$I:$I,Velocity!$A:$A,$A183,Velocity!$B:$B,$C183)/Assumptions!$B$4*Assumptions!$B$6</f>
        <v>0</v>
      </c>
      <c r="F183" s="7" t="n">
        <f aca="false">SUMIFS(Doors!R:R,Doors!$A:$A,$D183,Doors!$B:$B,$B183,Doors!$C:$C,$C183)*SUMIFS(Velocity!$I:$I,Velocity!$A:$A,$A183,Velocity!$B:$B,$C183)/Assumptions!$B$4*Assumptions!$B$6</f>
        <v>0</v>
      </c>
      <c r="G183" s="7" t="n">
        <f aca="false">SUMIFS(Doors!S:S,Doors!$A:$A,$D183,Doors!$B:$B,$B183,Doors!$C:$C,$C183)*SUMIFS(Velocity!$I:$I,Velocity!$A:$A,$A183,Velocity!$B:$B,$C183)/Assumptions!$B$4*Assumptions!$B$6</f>
        <v>0</v>
      </c>
      <c r="H183" s="7" t="n">
        <f aca="false">SUMIFS(Doors!T:T,Doors!$A:$A,$D183,Doors!$B:$B,$B183,Doors!$C:$C,$C183)*SUMIFS(Velocity!$I:$I,Velocity!$A:$A,$A183,Velocity!$B:$B,$C183)/Assumptions!$B$4*Assumptions!$B$6</f>
        <v>0</v>
      </c>
      <c r="I183" s="7" t="n">
        <f aca="false">SUMIFS(Doors!U:U,Doors!$A:$A,$D183,Doors!$B:$B,$B183,Doors!$C:$C,$C183)*SUMIFS(Velocity!$I:$I,Velocity!$A:$A,$A183,Velocity!$B:$B,$C183)/Assumptions!$B$4*Assumptions!$B$6</f>
        <v>0</v>
      </c>
      <c r="J183" s="7" t="n">
        <f aca="false">SUMIFS(Doors!V:V,Doors!$A:$A,$D183,Doors!$B:$B,$B183,Doors!$C:$C,$C183)*SUMIFS(Velocity!$I:$I,Velocity!$A:$A,$A183,Velocity!$B:$B,$C183)/Assumptions!$B$4*Assumptions!$B$6</f>
        <v>0</v>
      </c>
      <c r="K183" s="7" t="n">
        <f aca="false">SUMIFS(Doors!W:W,Doors!$A:$A,$D183,Doors!$B:$B,$B183,Doors!$C:$C,$C183)*SUMIFS(Velocity!$I:$I,Velocity!$A:$A,$A183,Velocity!$B:$B,$C183)/Assumptions!$B$4*Assumptions!$B$6</f>
        <v>0</v>
      </c>
      <c r="L183" s="7" t="n">
        <f aca="false">SUMIFS(Doors!X:X,Doors!$A:$A,$D183,Doors!$B:$B,$B183,Doors!$C:$C,$C183)*SUMIFS(Velocity!$I:$I,Velocity!$A:$A,$A183,Velocity!$B:$B,$C183)/Assumptions!$B$4*Assumptions!$B$6</f>
        <v>0</v>
      </c>
      <c r="M183" s="7" t="n">
        <f aca="false">SUMIFS(Doors!Y:Y,Doors!$A:$A,$D183,Doors!$B:$B,$B183,Doors!$C:$C,$C183)*SUMIFS(Velocity!$I:$I,Velocity!$A:$A,$A183,Velocity!$B:$B,$C183)/Assumptions!$B$4*Assumptions!$B$6</f>
        <v>0</v>
      </c>
      <c r="N183" s="7" t="n">
        <f aca="false">SUMIFS(Doors!Z:Z,Doors!$A:$A,$D183,Doors!$B:$B,$B183,Doors!$C:$C,$C183)*SUMIFS(Velocity!$I:$I,Velocity!$A:$A,$A183,Velocity!$B:$B,$C183)/Assumptions!$B$4*Assumptions!$B$6</f>
        <v>0.304166666666667</v>
      </c>
      <c r="O183" s="7" t="n">
        <f aca="false">SUMIFS(Doors!AA:AA,Doors!$A:$A,$D183,Doors!$B:$B,$B183,Doors!$C:$C,$C183)*SUMIFS(Velocity!$I:$I,Velocity!$A:$A,$A183,Velocity!$B:$B,$C183)/Assumptions!$B$4*Assumptions!$B$6</f>
        <v>0.304166666666667</v>
      </c>
      <c r="P183" s="7" t="n">
        <f aca="false">SUMIFS(Doors!AB:AB,Doors!$A:$A,$D183,Doors!$B:$B,$B183,Doors!$C:$C,$C183)*SUMIFS(Velocity!$I:$I,Velocity!$A:$A,$A183,Velocity!$B:$B,$C183)/Assumptions!$B$4*Assumptions!$B$6</f>
        <v>0.304166666666667</v>
      </c>
      <c r="Q183" s="7" t="n">
        <f aca="false">SUMIFS(Doors!AC:AC,Doors!$A:$A,$D183,Doors!$B:$B,$B183,Doors!$C:$C,$C183)*SUMIFS(Velocity!$I:$I,Velocity!$A:$A,$A183,Velocity!$B:$B,$C183)/Assumptions!$B$4*Assumptions!$B$6</f>
        <v>0.304166666666667</v>
      </c>
      <c r="R183" s="7" t="n">
        <f aca="false">SUMIFS(Doors!AD:AD,Doors!$A:$A,$D183,Doors!$B:$B,$B183,Doors!$C:$C,$C183)*SUMIFS(Velocity!$I:$I,Velocity!$A:$A,$A183,Velocity!$B:$B,$C183)/Assumptions!$B$4*Assumptions!$B$6</f>
        <v>0.304166666666667</v>
      </c>
      <c r="S183" s="7" t="n">
        <f aca="false">SUMIFS(Doors!AE:AE,Doors!$A:$A,$D183,Doors!$B:$B,$B183,Doors!$C:$C,$C183)*SUMIFS(Velocity!$I:$I,Velocity!$A:$A,$A183,Velocity!$B:$B,$C183)/Assumptions!$B$4*Assumptions!$B$6</f>
        <v>0.304166666666667</v>
      </c>
      <c r="T183" s="7" t="n">
        <f aca="false">SUMIFS(Doors!AF:AF,Doors!$A:$A,$D183,Doors!$B:$B,$B183,Doors!$C:$C,$C183)*SUMIFS(Velocity!$I:$I,Velocity!$A:$A,$A183,Velocity!$B:$B,$C183)/Assumptions!$B$4*Assumptions!$B$6</f>
        <v>0.304166666666667</v>
      </c>
      <c r="U183" s="7" t="n">
        <f aca="false">SUMIFS(Doors!AG:AG,Doors!$A:$A,$D183,Doors!$B:$B,$B183,Doors!$C:$C,$C183)*SUMIFS(Velocity!$I:$I,Velocity!$A:$A,$A183,Velocity!$B:$B,$C183)/Assumptions!$B$4*Assumptions!$B$6</f>
        <v>0.304166666666667</v>
      </c>
      <c r="V183" s="7" t="n">
        <f aca="false">SUMIFS(Doors!AH:AH,Doors!$A:$A,$D183,Doors!$B:$B,$B183,Doors!$C:$C,$C183)*SUMIFS(Velocity!$I:$I,Velocity!$A:$A,$A183,Velocity!$B:$B,$C183)/Assumptions!$B$4*Assumptions!$B$6</f>
        <v>0.304166666666667</v>
      </c>
      <c r="W183" s="7" t="n">
        <f aca="false">SUMIFS(Doors!AI:AI,Doors!$A:$A,$D183,Doors!$B:$B,$B183,Doors!$C:$C,$C183)*SUMIFS(Velocity!$I:$I,Velocity!$A:$A,$A183,Velocity!$B:$B,$C183)/Assumptions!$B$4*Assumptions!$B$6</f>
        <v>0.608333333333333</v>
      </c>
      <c r="X183" s="7" t="n">
        <f aca="false">SUMIFS(Doors!AJ:AJ,Doors!$A:$A,$D183,Doors!$B:$B,$B183,Doors!$C:$C,$C183)*SUMIFS(Velocity!$I:$I,Velocity!$A:$A,$A183,Velocity!$B:$B,$C183)/Assumptions!$B$4*Assumptions!$B$6</f>
        <v>0.608333333333333</v>
      </c>
      <c r="Y183" s="7" t="n">
        <f aca="false">SUMIFS(Doors!AK:AK,Doors!$A:$A,$D183,Doors!$B:$B,$B183,Doors!$C:$C,$C183)*SUMIFS(Velocity!$I:$I,Velocity!$A:$A,$A183,Velocity!$B:$B,$C183)/Assumptions!$B$4*Assumptions!$B$6</f>
        <v>0.608333333333333</v>
      </c>
      <c r="Z183" s="7" t="n">
        <f aca="false">SUMIFS(Doors!AL:AL,Doors!$A:$A,$D183,Doors!$B:$B,$B183,Doors!$C:$C,$C183)*SUMIFS(Velocity!$I:$I,Velocity!$A:$A,$A183,Velocity!$B:$B,$C183)/Assumptions!$B$4*Assumptions!$B$6</f>
        <v>0.608333333333333</v>
      </c>
      <c r="AA183" s="7" t="n">
        <f aca="false">SUMIFS(Doors!AM:AM,Doors!$A:$A,$D183,Doors!$B:$B,$B183,Doors!$C:$C,$C183)*SUMIFS(Velocity!$I:$I,Velocity!$A:$A,$A183,Velocity!$B:$B,$C183)/Assumptions!$B$4*Assumptions!$B$6</f>
        <v>0.608333333333333</v>
      </c>
      <c r="AB183" s="7" t="n">
        <f aca="false">SUMIFS(Doors!AN:AN,Doors!$A:$A,$D183,Doors!$B:$B,$B183,Doors!$C:$C,$C183)*SUMIFS(Velocity!$I:$I,Velocity!$A:$A,$A183,Velocity!$B:$B,$C183)/Assumptions!$B$4*Assumptions!$B$6</f>
        <v>0.608333333333333</v>
      </c>
      <c r="AC183" s="7" t="n">
        <f aca="false">SUMIFS(Doors!AO:AO,Doors!$A:$A,$D183,Doors!$B:$B,$B183,Doors!$C:$C,$C183)*SUMIFS(Velocity!$I:$I,Velocity!$A:$A,$A183,Velocity!$B:$B,$C183)/Assumptions!$B$4*Assumptions!$B$6</f>
        <v>0.608333333333333</v>
      </c>
      <c r="AD183" s="7" t="n">
        <f aca="false">SUMIFS(Doors!AP:AP,Doors!$A:$A,$D183,Doors!$B:$B,$B183,Doors!$C:$C,$C183)*SUMIFS(Velocity!$I:$I,Velocity!$A:$A,$A183,Velocity!$B:$B,$C183)/Assumptions!$B$4*Assumptions!$B$6</f>
        <v>0.608333333333333</v>
      </c>
      <c r="AE183" s="7" t="n">
        <f aca="false">SUMIFS(Doors!AQ:AQ,Doors!$A:$A,$D183,Doors!$B:$B,$B183,Doors!$C:$C,$C183)*SUMIFS(Velocity!$I:$I,Velocity!$A:$A,$A183,Velocity!$B:$B,$C183)/Assumptions!$B$4*Assumptions!$B$6</f>
        <v>0.608333333333333</v>
      </c>
      <c r="AF183" s="7" t="n">
        <f aca="false">SUMIFS(Doors!AR:AR,Doors!$A:$A,$D183,Doors!$B:$B,$B183,Doors!$C:$C,$C183)*SUMIFS(Velocity!$I:$I,Velocity!$A:$A,$A183,Velocity!$B:$B,$C183)/Assumptions!$B$4*Assumptions!$B$6</f>
        <v>0.608333333333333</v>
      </c>
      <c r="AG183" s="7" t="n">
        <f aca="false">SUMIFS(Doors!AS:AS,Doors!$A:$A,$D183,Doors!$B:$B,$B183,Doors!$C:$C,$C183)*SUMIFS(Velocity!$I:$I,Velocity!$A:$A,$A183,Velocity!$B:$B,$C183)/Assumptions!$B$4*Assumptions!$B$6</f>
        <v>0.608333333333333</v>
      </c>
      <c r="AH183" s="7" t="n">
        <f aca="false">SUMIFS(Doors!AT:AT,Doors!$A:$A,$D183,Doors!$B:$B,$B183,Doors!$C:$C,$C183)*SUMIFS(Velocity!$I:$I,Velocity!$A:$A,$A183,Velocity!$B:$B,$C183)/Assumptions!$B$4*Assumptions!$B$6</f>
        <v>0.608333333333333</v>
      </c>
      <c r="AI183" s="7" t="n">
        <f aca="false">SUMIFS(Doors!AU:AU,Doors!$A:$A,$D183,Doors!$B:$B,$B183,Doors!$C:$C,$C183)*SUMIFS(Velocity!$I:$I,Velocity!$A:$A,$A183,Velocity!$B:$B,$C183)/Assumptions!$B$4*Assumptions!$B$6</f>
        <v>0.608333333333333</v>
      </c>
      <c r="AJ183" s="7" t="n">
        <f aca="false">SUMIFS(Doors!AV:AV,Doors!$A:$A,$D183,Doors!$B:$B,$B183,Doors!$C:$C,$C183)*SUMIFS(Velocity!$I:$I,Velocity!$A:$A,$A183,Velocity!$B:$B,$C183)/Assumptions!$B$4*Assumptions!$B$6</f>
        <v>0.9125</v>
      </c>
      <c r="AK183" s="7" t="n">
        <f aca="false">SUMIFS(Doors!AW:AW,Doors!$A:$A,$D183,Doors!$B:$B,$B183,Doors!$C:$C,$C183)*SUMIFS(Velocity!$I:$I,Velocity!$A:$A,$A183,Velocity!$B:$B,$C183)/Assumptions!$B$4*Assumptions!$B$6</f>
        <v>0.9125</v>
      </c>
      <c r="AL183" s="7" t="n">
        <f aca="false">SUMIFS(Doors!AX:AX,Doors!$A:$A,$D183,Doors!$B:$B,$B183,Doors!$C:$C,$C183)*SUMIFS(Velocity!$I:$I,Velocity!$A:$A,$A183,Velocity!$B:$B,$C183)/Assumptions!$B$4*Assumptions!$B$6</f>
        <v>0.9125</v>
      </c>
      <c r="AM183" s="7" t="n">
        <f aca="false">SUMIFS(Doors!AY:AY,Doors!$A:$A,$D183,Doors!$B:$B,$B183,Doors!$C:$C,$C183)*SUMIFS(Velocity!$I:$I,Velocity!$A:$A,$A183,Velocity!$B:$B,$C183)/Assumptions!$B$4*Assumptions!$B$6</f>
        <v>0.9125</v>
      </c>
      <c r="AN183" s="7" t="n">
        <f aca="false">SUMIFS(Doors!AZ:AZ,Doors!$A:$A,$D183,Doors!$B:$B,$B183,Doors!$C:$C,$C183)*SUMIFS(Velocity!$I:$I,Velocity!$A:$A,$A183,Velocity!$B:$B,$C183)/Assumptions!$B$4*Assumptions!$B$6</f>
        <v>0.9125</v>
      </c>
      <c r="AO183" s="7" t="n">
        <f aca="false">SUMIFS(Doors!BA:BA,Doors!$A:$A,$D183,Doors!$B:$B,$B183,Doors!$C:$C,$C183)*SUMIFS(Velocity!$I:$I,Velocity!$A:$A,$A183,Velocity!$B:$B,$C183)/Assumptions!$B$4*Assumptions!$B$6</f>
        <v>0.9125</v>
      </c>
      <c r="AP183" s="7" t="n">
        <f aca="false">SUMIFS(Doors!BB:BB,Doors!$A:$A,$D183,Doors!$B:$B,$B183,Doors!$C:$C,$C183)*SUMIFS(Velocity!$I:$I,Velocity!$A:$A,$A183,Velocity!$B:$B,$C183)/Assumptions!$B$4*Assumptions!$B$6</f>
        <v>0.9125</v>
      </c>
      <c r="AQ183" s="7" t="n">
        <f aca="false">SUMIFS(Doors!BC:BC,Doors!$A:$A,$D183,Doors!$B:$B,$B183,Doors!$C:$C,$C183)*SUMIFS(Velocity!$I:$I,Velocity!$A:$A,$A183,Velocity!$B:$B,$C183)/Assumptions!$B$4*Assumptions!$B$6</f>
        <v>0.9125</v>
      </c>
      <c r="AR183" s="7" t="n">
        <f aca="false">SUMIFS(Doors!BD:BD,Doors!$A:$A,$D183,Doors!$B:$B,$B183,Doors!$C:$C,$C183)*SUMIFS(Velocity!$I:$I,Velocity!$A:$A,$A183,Velocity!$B:$B,$C183)/Assumptions!$B$4*Assumptions!$B$6</f>
        <v>0.9125</v>
      </c>
      <c r="AS183" s="7" t="n">
        <f aca="false">SUMIFS(Doors!BE:BE,Doors!$A:$A,$D183,Doors!$B:$B,$B183,Doors!$C:$C,$C183)*SUMIFS(Velocity!$I:$I,Velocity!$A:$A,$A183,Velocity!$B:$B,$C183)/Assumptions!$B$4*Assumptions!$B$6</f>
        <v>0.9125</v>
      </c>
      <c r="AT183" s="7" t="n">
        <f aca="false">SUMIFS(Doors!BF:BF,Doors!$A:$A,$D183,Doors!$B:$B,$B183,Doors!$C:$C,$C183)*SUMIFS(Velocity!$I:$I,Velocity!$A:$A,$A183,Velocity!$B:$B,$C183)/Assumptions!$B$4*Assumptions!$B$6</f>
        <v>0.9125</v>
      </c>
      <c r="AU183" s="7" t="n">
        <f aca="false">SUMIFS(Doors!BG:BG,Doors!$A:$A,$D183,Doors!$B:$B,$B183,Doors!$C:$C,$C183)*SUMIFS(Velocity!$I:$I,Velocity!$A:$A,$A183,Velocity!$B:$B,$C183)/Assumptions!$B$4*Assumptions!$B$6</f>
        <v>0.9125</v>
      </c>
      <c r="AV183" s="7" t="n">
        <f aca="false">SUMIFS(Doors!BH:BH,Doors!$A:$A,$D183,Doors!$B:$B,$B183,Doors!$C:$C,$C183)*SUMIFS(Velocity!$I:$I,Velocity!$A:$A,$A183,Velocity!$B:$B,$C183)/Assumptions!$B$4*Assumptions!$B$6</f>
        <v>0.9125</v>
      </c>
      <c r="AW183" s="7" t="n">
        <f aca="false">SUMIFS(Doors!BI:BI,Doors!$A:$A,$D183,Doors!$B:$B,$B183,Doors!$C:$C,$C183)*SUMIFS(Velocity!$I:$I,Velocity!$A:$A,$A183,Velocity!$B:$B,$C183)/Assumptions!$B$4*Assumptions!$B$6</f>
        <v>0.9125</v>
      </c>
      <c r="AX183" s="7" t="n">
        <f aca="false">SUMIFS(Doors!BJ:BJ,Doors!$A:$A,$D183,Doors!$B:$B,$B183,Doors!$C:$C,$C183)*SUMIFS(Velocity!$I:$I,Velocity!$A:$A,$A183,Velocity!$B:$B,$C183)/Assumptions!$B$4*Assumptions!$B$6</f>
        <v>0.9125</v>
      </c>
      <c r="AY183" s="7" t="n">
        <f aca="false">SUMIFS(Doors!BK:BK,Doors!$A:$A,$D183,Doors!$B:$B,$B183,Doors!$C:$C,$C183)*SUMIFS(Velocity!$I:$I,Velocity!$A:$A,$A183,Velocity!$B:$B,$C183)/Assumptions!$B$4*Assumptions!$B$6</f>
        <v>0.9125</v>
      </c>
      <c r="AZ183" s="7" t="n">
        <f aca="false">SUMIFS(Doors!BL:BL,Doors!$A:$A,$D183,Doors!$B:$B,$B183,Doors!$C:$C,$C183)*SUMIFS(Velocity!$I:$I,Velocity!$A:$A,$A183,Velocity!$B:$B,$C183)/Assumptions!$B$4*Assumptions!$B$6</f>
        <v>0.9125</v>
      </c>
      <c r="BA183" s="7" t="n">
        <f aca="false">SUMIFS(Doors!BM:BM,Doors!$A:$A,$D183,Doors!$B:$B,$B183,Doors!$C:$C,$C183)*SUMIFS(Velocity!$I:$I,Velocity!$A:$A,$A183,Velocity!$B:$B,$C183)/Assumptions!$B$4*Assumptions!$B$6</f>
        <v>0.9125</v>
      </c>
      <c r="BB183" s="7" t="n">
        <f aca="false">SUMIFS(Doors!BN:BN,Doors!$A:$A,$D183,Doors!$B:$B,$B183,Doors!$C:$C,$C183)*SUMIFS(Velocity!$I:$I,Velocity!$A:$A,$A183,Velocity!$B:$B,$C183)/Assumptions!$B$4*Assumptions!$B$6</f>
        <v>0.9125</v>
      </c>
      <c r="BC183" s="7" t="n">
        <f aca="false">SUMIFS(Doors!BO:BO,Doors!$A:$A,$D183,Doors!$B:$B,$B183,Doors!$C:$C,$C183)*SUMIFS(Velocity!$I:$I,Velocity!$A:$A,$A183,Velocity!$B:$B,$C183)/Assumptions!$B$4*Assumptions!$B$6</f>
        <v>0.9125</v>
      </c>
      <c r="BD183" s="7" t="n">
        <f aca="false">SUMIFS(Doors!BP:BP,Doors!$A:$A,$D183,Doors!$B:$B,$B183,Doors!$C:$C,$C183)*SUMIFS(Velocity!$I:$I,Velocity!$A:$A,$A183,Velocity!$B:$B,$C183)/Assumptions!$B$4*Assumptions!$B$6</f>
        <v>0.9125</v>
      </c>
    </row>
    <row r="184" customFormat="false" ht="15" hidden="false" customHeight="false" outlineLevel="0" collapsed="false">
      <c r="A184" s="0" t="s">
        <v>109</v>
      </c>
      <c r="B184" s="0" t="s">
        <v>135</v>
      </c>
      <c r="C184" s="0" t="s">
        <v>122</v>
      </c>
      <c r="D184" s="0" t="s">
        <v>235</v>
      </c>
      <c r="E184" s="7" t="n">
        <f aca="false">SUMIFS(Doors!Q:Q,Doors!$A:$A,$D184,Doors!$B:$B,$B184,Doors!$C:$C,$C184)*SUMIFS(Velocity!$I:$I,Velocity!$A:$A,$A184,Velocity!$B:$B,$C184)/Assumptions!$B$4*Assumptions!$B$6</f>
        <v>0</v>
      </c>
      <c r="F184" s="7" t="n">
        <f aca="false">SUMIFS(Doors!R:R,Doors!$A:$A,$D184,Doors!$B:$B,$B184,Doors!$C:$C,$C184)*SUMIFS(Velocity!$I:$I,Velocity!$A:$A,$A184,Velocity!$B:$B,$C184)/Assumptions!$B$4*Assumptions!$B$6</f>
        <v>0</v>
      </c>
      <c r="G184" s="7" t="n">
        <f aca="false">SUMIFS(Doors!S:S,Doors!$A:$A,$D184,Doors!$B:$B,$B184,Doors!$C:$C,$C184)*SUMIFS(Velocity!$I:$I,Velocity!$A:$A,$A184,Velocity!$B:$B,$C184)/Assumptions!$B$4*Assumptions!$B$6</f>
        <v>0</v>
      </c>
      <c r="H184" s="7" t="n">
        <f aca="false">SUMIFS(Doors!T:T,Doors!$A:$A,$D184,Doors!$B:$B,$B184,Doors!$C:$C,$C184)*SUMIFS(Velocity!$I:$I,Velocity!$A:$A,$A184,Velocity!$B:$B,$C184)/Assumptions!$B$4*Assumptions!$B$6</f>
        <v>0</v>
      </c>
      <c r="I184" s="7" t="n">
        <f aca="false">SUMIFS(Doors!U:U,Doors!$A:$A,$D184,Doors!$B:$B,$B184,Doors!$C:$C,$C184)*SUMIFS(Velocity!$I:$I,Velocity!$A:$A,$A184,Velocity!$B:$B,$C184)/Assumptions!$B$4*Assumptions!$B$6</f>
        <v>0</v>
      </c>
      <c r="J184" s="7" t="n">
        <f aca="false">SUMIFS(Doors!V:V,Doors!$A:$A,$D184,Doors!$B:$B,$B184,Doors!$C:$C,$C184)*SUMIFS(Velocity!$I:$I,Velocity!$A:$A,$A184,Velocity!$B:$B,$C184)/Assumptions!$B$4*Assumptions!$B$6</f>
        <v>0</v>
      </c>
      <c r="K184" s="7" t="n">
        <f aca="false">SUMIFS(Doors!W:W,Doors!$A:$A,$D184,Doors!$B:$B,$B184,Doors!$C:$C,$C184)*SUMIFS(Velocity!$I:$I,Velocity!$A:$A,$A184,Velocity!$B:$B,$C184)/Assumptions!$B$4*Assumptions!$B$6</f>
        <v>0</v>
      </c>
      <c r="L184" s="7" t="n">
        <f aca="false">SUMIFS(Doors!X:X,Doors!$A:$A,$D184,Doors!$B:$B,$B184,Doors!$C:$C,$C184)*SUMIFS(Velocity!$I:$I,Velocity!$A:$A,$A184,Velocity!$B:$B,$C184)/Assumptions!$B$4*Assumptions!$B$6</f>
        <v>0</v>
      </c>
      <c r="M184" s="7" t="n">
        <f aca="false">SUMIFS(Doors!Y:Y,Doors!$A:$A,$D184,Doors!$B:$B,$B184,Doors!$C:$C,$C184)*SUMIFS(Velocity!$I:$I,Velocity!$A:$A,$A184,Velocity!$B:$B,$C184)/Assumptions!$B$4*Assumptions!$B$6</f>
        <v>0</v>
      </c>
      <c r="N184" s="7" t="n">
        <f aca="false">SUMIFS(Doors!Z:Z,Doors!$A:$A,$D184,Doors!$B:$B,$B184,Doors!$C:$C,$C184)*SUMIFS(Velocity!$I:$I,Velocity!$A:$A,$A184,Velocity!$B:$B,$C184)/Assumptions!$B$4*Assumptions!$B$6</f>
        <v>0</v>
      </c>
      <c r="O184" s="7" t="n">
        <f aca="false">SUMIFS(Doors!AA:AA,Doors!$A:$A,$D184,Doors!$B:$B,$B184,Doors!$C:$C,$C184)*SUMIFS(Velocity!$I:$I,Velocity!$A:$A,$A184,Velocity!$B:$B,$C184)/Assumptions!$B$4*Assumptions!$B$6</f>
        <v>0</v>
      </c>
      <c r="P184" s="7" t="n">
        <f aca="false">SUMIFS(Doors!AB:AB,Doors!$A:$A,$D184,Doors!$B:$B,$B184,Doors!$C:$C,$C184)*SUMIFS(Velocity!$I:$I,Velocity!$A:$A,$A184,Velocity!$B:$B,$C184)/Assumptions!$B$4*Assumptions!$B$6</f>
        <v>0</v>
      </c>
      <c r="Q184" s="7" t="n">
        <f aca="false">SUMIFS(Doors!AC:AC,Doors!$A:$A,$D184,Doors!$B:$B,$B184,Doors!$C:$C,$C184)*SUMIFS(Velocity!$I:$I,Velocity!$A:$A,$A184,Velocity!$B:$B,$C184)/Assumptions!$B$4*Assumptions!$B$6</f>
        <v>0</v>
      </c>
      <c r="R184" s="7" t="n">
        <f aca="false">SUMIFS(Doors!AD:AD,Doors!$A:$A,$D184,Doors!$B:$B,$B184,Doors!$C:$C,$C184)*SUMIFS(Velocity!$I:$I,Velocity!$A:$A,$A184,Velocity!$B:$B,$C184)/Assumptions!$B$4*Assumptions!$B$6</f>
        <v>0</v>
      </c>
      <c r="S184" s="7" t="n">
        <f aca="false">SUMIFS(Doors!AE:AE,Doors!$A:$A,$D184,Doors!$B:$B,$B184,Doors!$C:$C,$C184)*SUMIFS(Velocity!$I:$I,Velocity!$A:$A,$A184,Velocity!$B:$B,$C184)/Assumptions!$B$4*Assumptions!$B$6</f>
        <v>0</v>
      </c>
      <c r="T184" s="7" t="n">
        <f aca="false">SUMIFS(Doors!AF:AF,Doors!$A:$A,$D184,Doors!$B:$B,$B184,Doors!$C:$C,$C184)*SUMIFS(Velocity!$I:$I,Velocity!$A:$A,$A184,Velocity!$B:$B,$C184)/Assumptions!$B$4*Assumptions!$B$6</f>
        <v>0</v>
      </c>
      <c r="U184" s="7" t="n">
        <f aca="false">SUMIFS(Doors!AG:AG,Doors!$A:$A,$D184,Doors!$B:$B,$B184,Doors!$C:$C,$C184)*SUMIFS(Velocity!$I:$I,Velocity!$A:$A,$A184,Velocity!$B:$B,$C184)/Assumptions!$B$4*Assumptions!$B$6</f>
        <v>0</v>
      </c>
      <c r="V184" s="7" t="n">
        <f aca="false">SUMIFS(Doors!AH:AH,Doors!$A:$A,$D184,Doors!$B:$B,$B184,Doors!$C:$C,$C184)*SUMIFS(Velocity!$I:$I,Velocity!$A:$A,$A184,Velocity!$B:$B,$C184)/Assumptions!$B$4*Assumptions!$B$6</f>
        <v>0</v>
      </c>
      <c r="W184" s="7" t="n">
        <f aca="false">SUMIFS(Doors!AI:AI,Doors!$A:$A,$D184,Doors!$B:$B,$B184,Doors!$C:$C,$C184)*SUMIFS(Velocity!$I:$I,Velocity!$A:$A,$A184,Velocity!$B:$B,$C184)/Assumptions!$B$4*Assumptions!$B$6</f>
        <v>0</v>
      </c>
      <c r="X184" s="7" t="n">
        <f aca="false">SUMIFS(Doors!AJ:AJ,Doors!$A:$A,$D184,Doors!$B:$B,$B184,Doors!$C:$C,$C184)*SUMIFS(Velocity!$I:$I,Velocity!$A:$A,$A184,Velocity!$B:$B,$C184)/Assumptions!$B$4*Assumptions!$B$6</f>
        <v>0</v>
      </c>
      <c r="Y184" s="7" t="n">
        <f aca="false">SUMIFS(Doors!AK:AK,Doors!$A:$A,$D184,Doors!$B:$B,$B184,Doors!$C:$C,$C184)*SUMIFS(Velocity!$I:$I,Velocity!$A:$A,$A184,Velocity!$B:$B,$C184)/Assumptions!$B$4*Assumptions!$B$6</f>
        <v>0</v>
      </c>
      <c r="Z184" s="7" t="n">
        <f aca="false">SUMIFS(Doors!AL:AL,Doors!$A:$A,$D184,Doors!$B:$B,$B184,Doors!$C:$C,$C184)*SUMIFS(Velocity!$I:$I,Velocity!$A:$A,$A184,Velocity!$B:$B,$C184)/Assumptions!$B$4*Assumptions!$B$6</f>
        <v>0</v>
      </c>
      <c r="AA184" s="7" t="n">
        <f aca="false">SUMIFS(Doors!AM:AM,Doors!$A:$A,$D184,Doors!$B:$B,$B184,Doors!$C:$C,$C184)*SUMIFS(Velocity!$I:$I,Velocity!$A:$A,$A184,Velocity!$B:$B,$C184)/Assumptions!$B$4*Assumptions!$B$6</f>
        <v>0</v>
      </c>
      <c r="AB184" s="7" t="n">
        <f aca="false">SUMIFS(Doors!AN:AN,Doors!$A:$A,$D184,Doors!$B:$B,$B184,Doors!$C:$C,$C184)*SUMIFS(Velocity!$I:$I,Velocity!$A:$A,$A184,Velocity!$B:$B,$C184)/Assumptions!$B$4*Assumptions!$B$6</f>
        <v>0</v>
      </c>
      <c r="AC184" s="7" t="n">
        <f aca="false">SUMIFS(Doors!AO:AO,Doors!$A:$A,$D184,Doors!$B:$B,$B184,Doors!$C:$C,$C184)*SUMIFS(Velocity!$I:$I,Velocity!$A:$A,$A184,Velocity!$B:$B,$C184)/Assumptions!$B$4*Assumptions!$B$6</f>
        <v>0</v>
      </c>
      <c r="AD184" s="7" t="n">
        <f aca="false">SUMIFS(Doors!AP:AP,Doors!$A:$A,$D184,Doors!$B:$B,$B184,Doors!$C:$C,$C184)*SUMIFS(Velocity!$I:$I,Velocity!$A:$A,$A184,Velocity!$B:$B,$C184)/Assumptions!$B$4*Assumptions!$B$6</f>
        <v>0</v>
      </c>
      <c r="AE184" s="7" t="n">
        <f aca="false">SUMIFS(Doors!AQ:AQ,Doors!$A:$A,$D184,Doors!$B:$B,$B184,Doors!$C:$C,$C184)*SUMIFS(Velocity!$I:$I,Velocity!$A:$A,$A184,Velocity!$B:$B,$C184)/Assumptions!$B$4*Assumptions!$B$6</f>
        <v>0</v>
      </c>
      <c r="AF184" s="7" t="n">
        <f aca="false">SUMIFS(Doors!AR:AR,Doors!$A:$A,$D184,Doors!$B:$B,$B184,Doors!$C:$C,$C184)*SUMIFS(Velocity!$I:$I,Velocity!$A:$A,$A184,Velocity!$B:$B,$C184)/Assumptions!$B$4*Assumptions!$B$6</f>
        <v>0</v>
      </c>
      <c r="AG184" s="7" t="n">
        <f aca="false">SUMIFS(Doors!AS:AS,Doors!$A:$A,$D184,Doors!$B:$B,$B184,Doors!$C:$C,$C184)*SUMIFS(Velocity!$I:$I,Velocity!$A:$A,$A184,Velocity!$B:$B,$C184)/Assumptions!$B$4*Assumptions!$B$6</f>
        <v>0</v>
      </c>
      <c r="AH184" s="7" t="n">
        <f aca="false">SUMIFS(Doors!AT:AT,Doors!$A:$A,$D184,Doors!$B:$B,$B184,Doors!$C:$C,$C184)*SUMIFS(Velocity!$I:$I,Velocity!$A:$A,$A184,Velocity!$B:$B,$C184)/Assumptions!$B$4*Assumptions!$B$6</f>
        <v>0</v>
      </c>
      <c r="AI184" s="7" t="n">
        <f aca="false">SUMIFS(Doors!AU:AU,Doors!$A:$A,$D184,Doors!$B:$B,$B184,Doors!$C:$C,$C184)*SUMIFS(Velocity!$I:$I,Velocity!$A:$A,$A184,Velocity!$B:$B,$C184)/Assumptions!$B$4*Assumptions!$B$6</f>
        <v>0</v>
      </c>
      <c r="AJ184" s="7" t="n">
        <f aca="false">SUMIFS(Doors!AV:AV,Doors!$A:$A,$D184,Doors!$B:$B,$B184,Doors!$C:$C,$C184)*SUMIFS(Velocity!$I:$I,Velocity!$A:$A,$A184,Velocity!$B:$B,$C184)/Assumptions!$B$4*Assumptions!$B$6</f>
        <v>0</v>
      </c>
      <c r="AK184" s="7" t="n">
        <f aca="false">SUMIFS(Doors!AW:AW,Doors!$A:$A,$D184,Doors!$B:$B,$B184,Doors!$C:$C,$C184)*SUMIFS(Velocity!$I:$I,Velocity!$A:$A,$A184,Velocity!$B:$B,$C184)/Assumptions!$B$4*Assumptions!$B$6</f>
        <v>0</v>
      </c>
      <c r="AL184" s="7" t="n">
        <f aca="false">SUMIFS(Doors!AX:AX,Doors!$A:$A,$D184,Doors!$B:$B,$B184,Doors!$C:$C,$C184)*SUMIFS(Velocity!$I:$I,Velocity!$A:$A,$A184,Velocity!$B:$B,$C184)/Assumptions!$B$4*Assumptions!$B$6</f>
        <v>0</v>
      </c>
      <c r="AM184" s="7" t="n">
        <f aca="false">SUMIFS(Doors!AY:AY,Doors!$A:$A,$D184,Doors!$B:$B,$B184,Doors!$C:$C,$C184)*SUMIFS(Velocity!$I:$I,Velocity!$A:$A,$A184,Velocity!$B:$B,$C184)/Assumptions!$B$4*Assumptions!$B$6</f>
        <v>0</v>
      </c>
      <c r="AN184" s="7" t="n">
        <f aca="false">SUMIFS(Doors!AZ:AZ,Doors!$A:$A,$D184,Doors!$B:$B,$B184,Doors!$C:$C,$C184)*SUMIFS(Velocity!$I:$I,Velocity!$A:$A,$A184,Velocity!$B:$B,$C184)/Assumptions!$B$4*Assumptions!$B$6</f>
        <v>0</v>
      </c>
      <c r="AO184" s="7" t="n">
        <f aca="false">SUMIFS(Doors!BA:BA,Doors!$A:$A,$D184,Doors!$B:$B,$B184,Doors!$C:$C,$C184)*SUMIFS(Velocity!$I:$I,Velocity!$A:$A,$A184,Velocity!$B:$B,$C184)/Assumptions!$B$4*Assumptions!$B$6</f>
        <v>0</v>
      </c>
      <c r="AP184" s="7" t="n">
        <f aca="false">SUMIFS(Doors!BB:BB,Doors!$A:$A,$D184,Doors!$B:$B,$B184,Doors!$C:$C,$C184)*SUMIFS(Velocity!$I:$I,Velocity!$A:$A,$A184,Velocity!$B:$B,$C184)/Assumptions!$B$4*Assumptions!$B$6</f>
        <v>0</v>
      </c>
      <c r="AQ184" s="7" t="n">
        <f aca="false">SUMIFS(Doors!BC:BC,Doors!$A:$A,$D184,Doors!$B:$B,$B184,Doors!$C:$C,$C184)*SUMIFS(Velocity!$I:$I,Velocity!$A:$A,$A184,Velocity!$B:$B,$C184)/Assumptions!$B$4*Assumptions!$B$6</f>
        <v>0</v>
      </c>
      <c r="AR184" s="7" t="n">
        <f aca="false">SUMIFS(Doors!BD:BD,Doors!$A:$A,$D184,Doors!$B:$B,$B184,Doors!$C:$C,$C184)*SUMIFS(Velocity!$I:$I,Velocity!$A:$A,$A184,Velocity!$B:$B,$C184)/Assumptions!$B$4*Assumptions!$B$6</f>
        <v>0</v>
      </c>
      <c r="AS184" s="7" t="n">
        <f aca="false">SUMIFS(Doors!BE:BE,Doors!$A:$A,$D184,Doors!$B:$B,$B184,Doors!$C:$C,$C184)*SUMIFS(Velocity!$I:$I,Velocity!$A:$A,$A184,Velocity!$B:$B,$C184)/Assumptions!$B$4*Assumptions!$B$6</f>
        <v>0</v>
      </c>
      <c r="AT184" s="7" t="n">
        <f aca="false">SUMIFS(Doors!BF:BF,Doors!$A:$A,$D184,Doors!$B:$B,$B184,Doors!$C:$C,$C184)*SUMIFS(Velocity!$I:$I,Velocity!$A:$A,$A184,Velocity!$B:$B,$C184)/Assumptions!$B$4*Assumptions!$B$6</f>
        <v>0</v>
      </c>
      <c r="AU184" s="7" t="n">
        <f aca="false">SUMIFS(Doors!BG:BG,Doors!$A:$A,$D184,Doors!$B:$B,$B184,Doors!$C:$C,$C184)*SUMIFS(Velocity!$I:$I,Velocity!$A:$A,$A184,Velocity!$B:$B,$C184)/Assumptions!$B$4*Assumptions!$B$6</f>
        <v>0</v>
      </c>
      <c r="AV184" s="7" t="n">
        <f aca="false">SUMIFS(Doors!BH:BH,Doors!$A:$A,$D184,Doors!$B:$B,$B184,Doors!$C:$C,$C184)*SUMIFS(Velocity!$I:$I,Velocity!$A:$A,$A184,Velocity!$B:$B,$C184)/Assumptions!$B$4*Assumptions!$B$6</f>
        <v>0</v>
      </c>
      <c r="AW184" s="7" t="n">
        <f aca="false">SUMIFS(Doors!BI:BI,Doors!$A:$A,$D184,Doors!$B:$B,$B184,Doors!$C:$C,$C184)*SUMIFS(Velocity!$I:$I,Velocity!$A:$A,$A184,Velocity!$B:$B,$C184)/Assumptions!$B$4*Assumptions!$B$6</f>
        <v>0</v>
      </c>
      <c r="AX184" s="7" t="n">
        <f aca="false">SUMIFS(Doors!BJ:BJ,Doors!$A:$A,$D184,Doors!$B:$B,$B184,Doors!$C:$C,$C184)*SUMIFS(Velocity!$I:$I,Velocity!$A:$A,$A184,Velocity!$B:$B,$C184)/Assumptions!$B$4*Assumptions!$B$6</f>
        <v>0</v>
      </c>
      <c r="AY184" s="7" t="n">
        <f aca="false">SUMIFS(Doors!BK:BK,Doors!$A:$A,$D184,Doors!$B:$B,$B184,Doors!$C:$C,$C184)*SUMIFS(Velocity!$I:$I,Velocity!$A:$A,$A184,Velocity!$B:$B,$C184)/Assumptions!$B$4*Assumptions!$B$6</f>
        <v>0</v>
      </c>
      <c r="AZ184" s="7" t="n">
        <f aca="false">SUMIFS(Doors!BL:BL,Doors!$A:$A,$D184,Doors!$B:$B,$B184,Doors!$C:$C,$C184)*SUMIFS(Velocity!$I:$I,Velocity!$A:$A,$A184,Velocity!$B:$B,$C184)/Assumptions!$B$4*Assumptions!$B$6</f>
        <v>0</v>
      </c>
      <c r="BA184" s="7" t="n">
        <f aca="false">SUMIFS(Doors!BM:BM,Doors!$A:$A,$D184,Doors!$B:$B,$B184,Doors!$C:$C,$C184)*SUMIFS(Velocity!$I:$I,Velocity!$A:$A,$A184,Velocity!$B:$B,$C184)/Assumptions!$B$4*Assumptions!$B$6</f>
        <v>0</v>
      </c>
      <c r="BB184" s="7" t="n">
        <f aca="false">SUMIFS(Doors!BN:BN,Doors!$A:$A,$D184,Doors!$B:$B,$B184,Doors!$C:$C,$C184)*SUMIFS(Velocity!$I:$I,Velocity!$A:$A,$A184,Velocity!$B:$B,$C184)/Assumptions!$B$4*Assumptions!$B$6</f>
        <v>0</v>
      </c>
      <c r="BC184" s="7" t="n">
        <f aca="false">SUMIFS(Doors!BO:BO,Doors!$A:$A,$D184,Doors!$B:$B,$B184,Doors!$C:$C,$C184)*SUMIFS(Velocity!$I:$I,Velocity!$A:$A,$A184,Velocity!$B:$B,$C184)/Assumptions!$B$4*Assumptions!$B$6</f>
        <v>0</v>
      </c>
      <c r="BD184" s="7" t="n">
        <f aca="false">SUMIFS(Doors!BP:BP,Doors!$A:$A,$D184,Doors!$B:$B,$B184,Doors!$C:$C,$C184)*SUMIFS(Velocity!$I:$I,Velocity!$A:$A,$A184,Velocity!$B:$B,$C184)/Assumptions!$B$4*Assumptions!$B$6</f>
        <v>0</v>
      </c>
    </row>
    <row r="185" customFormat="false" ht="15" hidden="false" customHeight="false" outlineLevel="0" collapsed="false">
      <c r="A185" s="0" t="s">
        <v>109</v>
      </c>
      <c r="B185" s="0" t="s">
        <v>135</v>
      </c>
      <c r="C185" s="0" t="s">
        <v>123</v>
      </c>
      <c r="D185" s="0" t="s">
        <v>235</v>
      </c>
      <c r="E185" s="7" t="n">
        <f aca="false">SUMIFS(Doors!Q:Q,Doors!$A:$A,$D185,Doors!$B:$B,$B185,Doors!$C:$C,$C185)*SUMIFS(Velocity!$I:$I,Velocity!$A:$A,$A185,Velocity!$B:$B,$C185)/Assumptions!$B$4*Assumptions!$B$6</f>
        <v>0</v>
      </c>
      <c r="F185" s="7" t="n">
        <f aca="false">SUMIFS(Doors!R:R,Doors!$A:$A,$D185,Doors!$B:$B,$B185,Doors!$C:$C,$C185)*SUMIFS(Velocity!$I:$I,Velocity!$A:$A,$A185,Velocity!$B:$B,$C185)/Assumptions!$B$4*Assumptions!$B$6</f>
        <v>0</v>
      </c>
      <c r="G185" s="7" t="n">
        <f aca="false">SUMIFS(Doors!S:S,Doors!$A:$A,$D185,Doors!$B:$B,$B185,Doors!$C:$C,$C185)*SUMIFS(Velocity!$I:$I,Velocity!$A:$A,$A185,Velocity!$B:$B,$C185)/Assumptions!$B$4*Assumptions!$B$6</f>
        <v>0</v>
      </c>
      <c r="H185" s="7" t="n">
        <f aca="false">SUMIFS(Doors!T:T,Doors!$A:$A,$D185,Doors!$B:$B,$B185,Doors!$C:$C,$C185)*SUMIFS(Velocity!$I:$I,Velocity!$A:$A,$A185,Velocity!$B:$B,$C185)/Assumptions!$B$4*Assumptions!$B$6</f>
        <v>0</v>
      </c>
      <c r="I185" s="7" t="n">
        <f aca="false">SUMIFS(Doors!U:U,Doors!$A:$A,$D185,Doors!$B:$B,$B185,Doors!$C:$C,$C185)*SUMIFS(Velocity!$I:$I,Velocity!$A:$A,$A185,Velocity!$B:$B,$C185)/Assumptions!$B$4*Assumptions!$B$6</f>
        <v>0</v>
      </c>
      <c r="J185" s="7" t="n">
        <f aca="false">SUMIFS(Doors!V:V,Doors!$A:$A,$D185,Doors!$B:$B,$B185,Doors!$C:$C,$C185)*SUMIFS(Velocity!$I:$I,Velocity!$A:$A,$A185,Velocity!$B:$B,$C185)/Assumptions!$B$4*Assumptions!$B$6</f>
        <v>0</v>
      </c>
      <c r="K185" s="7" t="n">
        <f aca="false">SUMIFS(Doors!W:W,Doors!$A:$A,$D185,Doors!$B:$B,$B185,Doors!$C:$C,$C185)*SUMIFS(Velocity!$I:$I,Velocity!$A:$A,$A185,Velocity!$B:$B,$C185)/Assumptions!$B$4*Assumptions!$B$6</f>
        <v>0</v>
      </c>
      <c r="L185" s="7" t="n">
        <f aca="false">SUMIFS(Doors!X:X,Doors!$A:$A,$D185,Doors!$B:$B,$B185,Doors!$C:$C,$C185)*SUMIFS(Velocity!$I:$I,Velocity!$A:$A,$A185,Velocity!$B:$B,$C185)/Assumptions!$B$4*Assumptions!$B$6</f>
        <v>0</v>
      </c>
      <c r="M185" s="7" t="n">
        <f aca="false">SUMIFS(Doors!Y:Y,Doors!$A:$A,$D185,Doors!$B:$B,$B185,Doors!$C:$C,$C185)*SUMIFS(Velocity!$I:$I,Velocity!$A:$A,$A185,Velocity!$B:$B,$C185)/Assumptions!$B$4*Assumptions!$B$6</f>
        <v>0</v>
      </c>
      <c r="N185" s="7" t="n">
        <f aca="false">SUMIFS(Doors!Z:Z,Doors!$A:$A,$D185,Doors!$B:$B,$B185,Doors!$C:$C,$C185)*SUMIFS(Velocity!$I:$I,Velocity!$A:$A,$A185,Velocity!$B:$B,$C185)/Assumptions!$B$4*Assumptions!$B$6</f>
        <v>0</v>
      </c>
      <c r="O185" s="7" t="n">
        <f aca="false">SUMIFS(Doors!AA:AA,Doors!$A:$A,$D185,Doors!$B:$B,$B185,Doors!$C:$C,$C185)*SUMIFS(Velocity!$I:$I,Velocity!$A:$A,$A185,Velocity!$B:$B,$C185)/Assumptions!$B$4*Assumptions!$B$6</f>
        <v>0</v>
      </c>
      <c r="P185" s="7" t="n">
        <f aca="false">SUMIFS(Doors!AB:AB,Doors!$A:$A,$D185,Doors!$B:$B,$B185,Doors!$C:$C,$C185)*SUMIFS(Velocity!$I:$I,Velocity!$A:$A,$A185,Velocity!$B:$B,$C185)/Assumptions!$B$4*Assumptions!$B$6</f>
        <v>0</v>
      </c>
      <c r="Q185" s="7" t="n">
        <f aca="false">SUMIFS(Doors!AC:AC,Doors!$A:$A,$D185,Doors!$B:$B,$B185,Doors!$C:$C,$C185)*SUMIFS(Velocity!$I:$I,Velocity!$A:$A,$A185,Velocity!$B:$B,$C185)/Assumptions!$B$4*Assumptions!$B$6</f>
        <v>0</v>
      </c>
      <c r="R185" s="7" t="n">
        <f aca="false">SUMIFS(Doors!AD:AD,Doors!$A:$A,$D185,Doors!$B:$B,$B185,Doors!$C:$C,$C185)*SUMIFS(Velocity!$I:$I,Velocity!$A:$A,$A185,Velocity!$B:$B,$C185)/Assumptions!$B$4*Assumptions!$B$6</f>
        <v>0</v>
      </c>
      <c r="S185" s="7" t="n">
        <f aca="false">SUMIFS(Doors!AE:AE,Doors!$A:$A,$D185,Doors!$B:$B,$B185,Doors!$C:$C,$C185)*SUMIFS(Velocity!$I:$I,Velocity!$A:$A,$A185,Velocity!$B:$B,$C185)/Assumptions!$B$4*Assumptions!$B$6</f>
        <v>0</v>
      </c>
      <c r="T185" s="7" t="n">
        <f aca="false">SUMIFS(Doors!AF:AF,Doors!$A:$A,$D185,Doors!$B:$B,$B185,Doors!$C:$C,$C185)*SUMIFS(Velocity!$I:$I,Velocity!$A:$A,$A185,Velocity!$B:$B,$C185)/Assumptions!$B$4*Assumptions!$B$6</f>
        <v>0</v>
      </c>
      <c r="U185" s="7" t="n">
        <f aca="false">SUMIFS(Doors!AG:AG,Doors!$A:$A,$D185,Doors!$B:$B,$B185,Doors!$C:$C,$C185)*SUMIFS(Velocity!$I:$I,Velocity!$A:$A,$A185,Velocity!$B:$B,$C185)/Assumptions!$B$4*Assumptions!$B$6</f>
        <v>0</v>
      </c>
      <c r="V185" s="7" t="n">
        <f aca="false">SUMIFS(Doors!AH:AH,Doors!$A:$A,$D185,Doors!$B:$B,$B185,Doors!$C:$C,$C185)*SUMIFS(Velocity!$I:$I,Velocity!$A:$A,$A185,Velocity!$B:$B,$C185)/Assumptions!$B$4*Assumptions!$B$6</f>
        <v>0</v>
      </c>
      <c r="W185" s="7" t="n">
        <f aca="false">SUMIFS(Doors!AI:AI,Doors!$A:$A,$D185,Doors!$B:$B,$B185,Doors!$C:$C,$C185)*SUMIFS(Velocity!$I:$I,Velocity!$A:$A,$A185,Velocity!$B:$B,$C185)/Assumptions!$B$4*Assumptions!$B$6</f>
        <v>0</v>
      </c>
      <c r="X185" s="7" t="n">
        <f aca="false">SUMIFS(Doors!AJ:AJ,Doors!$A:$A,$D185,Doors!$B:$B,$B185,Doors!$C:$C,$C185)*SUMIFS(Velocity!$I:$I,Velocity!$A:$A,$A185,Velocity!$B:$B,$C185)/Assumptions!$B$4*Assumptions!$B$6</f>
        <v>0</v>
      </c>
      <c r="Y185" s="7" t="n">
        <f aca="false">SUMIFS(Doors!AK:AK,Doors!$A:$A,$D185,Doors!$B:$B,$B185,Doors!$C:$C,$C185)*SUMIFS(Velocity!$I:$I,Velocity!$A:$A,$A185,Velocity!$B:$B,$C185)/Assumptions!$B$4*Assumptions!$B$6</f>
        <v>0</v>
      </c>
      <c r="Z185" s="7" t="n">
        <f aca="false">SUMIFS(Doors!AL:AL,Doors!$A:$A,$D185,Doors!$B:$B,$B185,Doors!$C:$C,$C185)*SUMIFS(Velocity!$I:$I,Velocity!$A:$A,$A185,Velocity!$B:$B,$C185)/Assumptions!$B$4*Assumptions!$B$6</f>
        <v>0</v>
      </c>
      <c r="AA185" s="7" t="n">
        <f aca="false">SUMIFS(Doors!AM:AM,Doors!$A:$A,$D185,Doors!$B:$B,$B185,Doors!$C:$C,$C185)*SUMIFS(Velocity!$I:$I,Velocity!$A:$A,$A185,Velocity!$B:$B,$C185)/Assumptions!$B$4*Assumptions!$B$6</f>
        <v>0</v>
      </c>
      <c r="AB185" s="7" t="n">
        <f aca="false">SUMIFS(Doors!AN:AN,Doors!$A:$A,$D185,Doors!$B:$B,$B185,Doors!$C:$C,$C185)*SUMIFS(Velocity!$I:$I,Velocity!$A:$A,$A185,Velocity!$B:$B,$C185)/Assumptions!$B$4*Assumptions!$B$6</f>
        <v>0</v>
      </c>
      <c r="AC185" s="7" t="n">
        <f aca="false">SUMIFS(Doors!AO:AO,Doors!$A:$A,$D185,Doors!$B:$B,$B185,Doors!$C:$C,$C185)*SUMIFS(Velocity!$I:$I,Velocity!$A:$A,$A185,Velocity!$B:$B,$C185)/Assumptions!$B$4*Assumptions!$B$6</f>
        <v>0</v>
      </c>
      <c r="AD185" s="7" t="n">
        <f aca="false">SUMIFS(Doors!AP:AP,Doors!$A:$A,$D185,Doors!$B:$B,$B185,Doors!$C:$C,$C185)*SUMIFS(Velocity!$I:$I,Velocity!$A:$A,$A185,Velocity!$B:$B,$C185)/Assumptions!$B$4*Assumptions!$B$6</f>
        <v>0</v>
      </c>
      <c r="AE185" s="7" t="n">
        <f aca="false">SUMIFS(Doors!AQ:AQ,Doors!$A:$A,$D185,Doors!$B:$B,$B185,Doors!$C:$C,$C185)*SUMIFS(Velocity!$I:$I,Velocity!$A:$A,$A185,Velocity!$B:$B,$C185)/Assumptions!$B$4*Assumptions!$B$6</f>
        <v>0</v>
      </c>
      <c r="AF185" s="7" t="n">
        <f aca="false">SUMIFS(Doors!AR:AR,Doors!$A:$A,$D185,Doors!$B:$B,$B185,Doors!$C:$C,$C185)*SUMIFS(Velocity!$I:$I,Velocity!$A:$A,$A185,Velocity!$B:$B,$C185)/Assumptions!$B$4*Assumptions!$B$6</f>
        <v>0</v>
      </c>
      <c r="AG185" s="7" t="n">
        <f aca="false">SUMIFS(Doors!AS:AS,Doors!$A:$A,$D185,Doors!$B:$B,$B185,Doors!$C:$C,$C185)*SUMIFS(Velocity!$I:$I,Velocity!$A:$A,$A185,Velocity!$B:$B,$C185)/Assumptions!$B$4*Assumptions!$B$6</f>
        <v>0</v>
      </c>
      <c r="AH185" s="7" t="n">
        <f aca="false">SUMIFS(Doors!AT:AT,Doors!$A:$A,$D185,Doors!$B:$B,$B185,Doors!$C:$C,$C185)*SUMIFS(Velocity!$I:$I,Velocity!$A:$A,$A185,Velocity!$B:$B,$C185)/Assumptions!$B$4*Assumptions!$B$6</f>
        <v>0</v>
      </c>
      <c r="AI185" s="7" t="n">
        <f aca="false">SUMIFS(Doors!AU:AU,Doors!$A:$A,$D185,Doors!$B:$B,$B185,Doors!$C:$C,$C185)*SUMIFS(Velocity!$I:$I,Velocity!$A:$A,$A185,Velocity!$B:$B,$C185)/Assumptions!$B$4*Assumptions!$B$6</f>
        <v>0</v>
      </c>
      <c r="AJ185" s="7" t="n">
        <f aca="false">SUMIFS(Doors!AV:AV,Doors!$A:$A,$D185,Doors!$B:$B,$B185,Doors!$C:$C,$C185)*SUMIFS(Velocity!$I:$I,Velocity!$A:$A,$A185,Velocity!$B:$B,$C185)/Assumptions!$B$4*Assumptions!$B$6</f>
        <v>0</v>
      </c>
      <c r="AK185" s="7" t="n">
        <f aca="false">SUMIFS(Doors!AW:AW,Doors!$A:$A,$D185,Doors!$B:$B,$B185,Doors!$C:$C,$C185)*SUMIFS(Velocity!$I:$I,Velocity!$A:$A,$A185,Velocity!$B:$B,$C185)/Assumptions!$B$4*Assumptions!$B$6</f>
        <v>0</v>
      </c>
      <c r="AL185" s="7" t="n">
        <f aca="false">SUMIFS(Doors!AX:AX,Doors!$A:$A,$D185,Doors!$B:$B,$B185,Doors!$C:$C,$C185)*SUMIFS(Velocity!$I:$I,Velocity!$A:$A,$A185,Velocity!$B:$B,$C185)/Assumptions!$B$4*Assumptions!$B$6</f>
        <v>0</v>
      </c>
      <c r="AM185" s="7" t="n">
        <f aca="false">SUMIFS(Doors!AY:AY,Doors!$A:$A,$D185,Doors!$B:$B,$B185,Doors!$C:$C,$C185)*SUMIFS(Velocity!$I:$I,Velocity!$A:$A,$A185,Velocity!$B:$B,$C185)/Assumptions!$B$4*Assumptions!$B$6</f>
        <v>0</v>
      </c>
      <c r="AN185" s="7" t="n">
        <f aca="false">SUMIFS(Doors!AZ:AZ,Doors!$A:$A,$D185,Doors!$B:$B,$B185,Doors!$C:$C,$C185)*SUMIFS(Velocity!$I:$I,Velocity!$A:$A,$A185,Velocity!$B:$B,$C185)/Assumptions!$B$4*Assumptions!$B$6</f>
        <v>0</v>
      </c>
      <c r="AO185" s="7" t="n">
        <f aca="false">SUMIFS(Doors!BA:BA,Doors!$A:$A,$D185,Doors!$B:$B,$B185,Doors!$C:$C,$C185)*SUMIFS(Velocity!$I:$I,Velocity!$A:$A,$A185,Velocity!$B:$B,$C185)/Assumptions!$B$4*Assumptions!$B$6</f>
        <v>0</v>
      </c>
      <c r="AP185" s="7" t="n">
        <f aca="false">SUMIFS(Doors!BB:BB,Doors!$A:$A,$D185,Doors!$B:$B,$B185,Doors!$C:$C,$C185)*SUMIFS(Velocity!$I:$I,Velocity!$A:$A,$A185,Velocity!$B:$B,$C185)/Assumptions!$B$4*Assumptions!$B$6</f>
        <v>0</v>
      </c>
      <c r="AQ185" s="7" t="n">
        <f aca="false">SUMIFS(Doors!BC:BC,Doors!$A:$A,$D185,Doors!$B:$B,$B185,Doors!$C:$C,$C185)*SUMIFS(Velocity!$I:$I,Velocity!$A:$A,$A185,Velocity!$B:$B,$C185)/Assumptions!$B$4*Assumptions!$B$6</f>
        <v>0</v>
      </c>
      <c r="AR185" s="7" t="n">
        <f aca="false">SUMIFS(Doors!BD:BD,Doors!$A:$A,$D185,Doors!$B:$B,$B185,Doors!$C:$C,$C185)*SUMIFS(Velocity!$I:$I,Velocity!$A:$A,$A185,Velocity!$B:$B,$C185)/Assumptions!$B$4*Assumptions!$B$6</f>
        <v>0</v>
      </c>
      <c r="AS185" s="7" t="n">
        <f aca="false">SUMIFS(Doors!BE:BE,Doors!$A:$A,$D185,Doors!$B:$B,$B185,Doors!$C:$C,$C185)*SUMIFS(Velocity!$I:$I,Velocity!$A:$A,$A185,Velocity!$B:$B,$C185)/Assumptions!$B$4*Assumptions!$B$6</f>
        <v>0</v>
      </c>
      <c r="AT185" s="7" t="n">
        <f aca="false">SUMIFS(Doors!BF:BF,Doors!$A:$A,$D185,Doors!$B:$B,$B185,Doors!$C:$C,$C185)*SUMIFS(Velocity!$I:$I,Velocity!$A:$A,$A185,Velocity!$B:$B,$C185)/Assumptions!$B$4*Assumptions!$B$6</f>
        <v>0</v>
      </c>
      <c r="AU185" s="7" t="n">
        <f aca="false">SUMIFS(Doors!BG:BG,Doors!$A:$A,$D185,Doors!$B:$B,$B185,Doors!$C:$C,$C185)*SUMIFS(Velocity!$I:$I,Velocity!$A:$A,$A185,Velocity!$B:$B,$C185)/Assumptions!$B$4*Assumptions!$B$6</f>
        <v>0</v>
      </c>
      <c r="AV185" s="7" t="n">
        <f aca="false">SUMIFS(Doors!BH:BH,Doors!$A:$A,$D185,Doors!$B:$B,$B185,Doors!$C:$C,$C185)*SUMIFS(Velocity!$I:$I,Velocity!$A:$A,$A185,Velocity!$B:$B,$C185)/Assumptions!$B$4*Assumptions!$B$6</f>
        <v>0</v>
      </c>
      <c r="AW185" s="7" t="n">
        <f aca="false">SUMIFS(Doors!BI:BI,Doors!$A:$A,$D185,Doors!$B:$B,$B185,Doors!$C:$C,$C185)*SUMIFS(Velocity!$I:$I,Velocity!$A:$A,$A185,Velocity!$B:$B,$C185)/Assumptions!$B$4*Assumptions!$B$6</f>
        <v>0</v>
      </c>
      <c r="AX185" s="7" t="n">
        <f aca="false">SUMIFS(Doors!BJ:BJ,Doors!$A:$A,$D185,Doors!$B:$B,$B185,Doors!$C:$C,$C185)*SUMIFS(Velocity!$I:$I,Velocity!$A:$A,$A185,Velocity!$B:$B,$C185)/Assumptions!$B$4*Assumptions!$B$6</f>
        <v>0</v>
      </c>
      <c r="AY185" s="7" t="n">
        <f aca="false">SUMIFS(Doors!BK:BK,Doors!$A:$A,$D185,Doors!$B:$B,$B185,Doors!$C:$C,$C185)*SUMIFS(Velocity!$I:$I,Velocity!$A:$A,$A185,Velocity!$B:$B,$C185)/Assumptions!$B$4*Assumptions!$B$6</f>
        <v>0</v>
      </c>
      <c r="AZ185" s="7" t="n">
        <f aca="false">SUMIFS(Doors!BL:BL,Doors!$A:$A,$D185,Doors!$B:$B,$B185,Doors!$C:$C,$C185)*SUMIFS(Velocity!$I:$I,Velocity!$A:$A,$A185,Velocity!$B:$B,$C185)/Assumptions!$B$4*Assumptions!$B$6</f>
        <v>0</v>
      </c>
      <c r="BA185" s="7" t="n">
        <f aca="false">SUMIFS(Doors!BM:BM,Doors!$A:$A,$D185,Doors!$B:$B,$B185,Doors!$C:$C,$C185)*SUMIFS(Velocity!$I:$I,Velocity!$A:$A,$A185,Velocity!$B:$B,$C185)/Assumptions!$B$4*Assumptions!$B$6</f>
        <v>0</v>
      </c>
      <c r="BB185" s="7" t="n">
        <f aca="false">SUMIFS(Doors!BN:BN,Doors!$A:$A,$D185,Doors!$B:$B,$B185,Doors!$C:$C,$C185)*SUMIFS(Velocity!$I:$I,Velocity!$A:$A,$A185,Velocity!$B:$B,$C185)/Assumptions!$B$4*Assumptions!$B$6</f>
        <v>0</v>
      </c>
      <c r="BC185" s="7" t="n">
        <f aca="false">SUMIFS(Doors!BO:BO,Doors!$A:$A,$D185,Doors!$B:$B,$B185,Doors!$C:$C,$C185)*SUMIFS(Velocity!$I:$I,Velocity!$A:$A,$A185,Velocity!$B:$B,$C185)/Assumptions!$B$4*Assumptions!$B$6</f>
        <v>0</v>
      </c>
      <c r="BD185" s="7" t="n">
        <f aca="false">SUMIFS(Doors!BP:BP,Doors!$A:$A,$D185,Doors!$B:$B,$B185,Doors!$C:$C,$C185)*SUMIFS(Velocity!$I:$I,Velocity!$A:$A,$A185,Velocity!$B:$B,$C185)/Assumptions!$B$4*Assumptions!$B$6</f>
        <v>0</v>
      </c>
    </row>
    <row r="186" customFormat="false" ht="15" hidden="false" customHeight="false" outlineLevel="0" collapsed="false">
      <c r="A186" s="0" t="s">
        <v>110</v>
      </c>
      <c r="B186" s="0" t="s">
        <v>126</v>
      </c>
      <c r="C186" s="0" t="s">
        <v>115</v>
      </c>
      <c r="D186" s="0" t="s">
        <v>235</v>
      </c>
      <c r="E186" s="7" t="n">
        <f aca="false">SUMIFS(Doors!Q:Q,Doors!$A:$A,$D186,Doors!$B:$B,$B186,Doors!$C:$C,$C186)*SUMIFS(Velocity!$I:$I,Velocity!$A:$A,$A186,Velocity!$B:$B,$C186)/Assumptions!$B$4*Assumptions!$B$6</f>
        <v>29.3333333333333</v>
      </c>
      <c r="F186" s="7" t="n">
        <f aca="false">SUMIFS(Doors!R:R,Doors!$A:$A,$D186,Doors!$B:$B,$B186,Doors!$C:$C,$C186)*SUMIFS(Velocity!$I:$I,Velocity!$A:$A,$A186,Velocity!$B:$B,$C186)/Assumptions!$B$4*Assumptions!$B$6</f>
        <v>29.3333333333333</v>
      </c>
      <c r="G186" s="7" t="n">
        <f aca="false">SUMIFS(Doors!S:S,Doors!$A:$A,$D186,Doors!$B:$B,$B186,Doors!$C:$C,$C186)*SUMIFS(Velocity!$I:$I,Velocity!$A:$A,$A186,Velocity!$B:$B,$C186)/Assumptions!$B$4*Assumptions!$B$6</f>
        <v>29.3333333333333</v>
      </c>
      <c r="H186" s="7" t="n">
        <f aca="false">SUMIFS(Doors!T:T,Doors!$A:$A,$D186,Doors!$B:$B,$B186,Doors!$C:$C,$C186)*SUMIFS(Velocity!$I:$I,Velocity!$A:$A,$A186,Velocity!$B:$B,$C186)/Assumptions!$B$4*Assumptions!$B$6</f>
        <v>29.3333333333333</v>
      </c>
      <c r="I186" s="7" t="n">
        <f aca="false">SUMIFS(Doors!U:U,Doors!$A:$A,$D186,Doors!$B:$B,$B186,Doors!$C:$C,$C186)*SUMIFS(Velocity!$I:$I,Velocity!$A:$A,$A186,Velocity!$B:$B,$C186)/Assumptions!$B$4*Assumptions!$B$6</f>
        <v>29.3333333333333</v>
      </c>
      <c r="J186" s="7" t="n">
        <f aca="false">SUMIFS(Doors!V:V,Doors!$A:$A,$D186,Doors!$B:$B,$B186,Doors!$C:$C,$C186)*SUMIFS(Velocity!$I:$I,Velocity!$A:$A,$A186,Velocity!$B:$B,$C186)/Assumptions!$B$4*Assumptions!$B$6</f>
        <v>34.8333333333333</v>
      </c>
      <c r="K186" s="7" t="n">
        <f aca="false">SUMIFS(Doors!W:W,Doors!$A:$A,$D186,Doors!$B:$B,$B186,Doors!$C:$C,$C186)*SUMIFS(Velocity!$I:$I,Velocity!$A:$A,$A186,Velocity!$B:$B,$C186)/Assumptions!$B$4*Assumptions!$B$6</f>
        <v>34.8333333333333</v>
      </c>
      <c r="L186" s="7" t="n">
        <f aca="false">SUMIFS(Doors!X:X,Doors!$A:$A,$D186,Doors!$B:$B,$B186,Doors!$C:$C,$C186)*SUMIFS(Velocity!$I:$I,Velocity!$A:$A,$A186,Velocity!$B:$B,$C186)/Assumptions!$B$4*Assumptions!$B$6</f>
        <v>34.8333333333333</v>
      </c>
      <c r="M186" s="7" t="n">
        <f aca="false">SUMIFS(Doors!Y:Y,Doors!$A:$A,$D186,Doors!$B:$B,$B186,Doors!$C:$C,$C186)*SUMIFS(Velocity!$I:$I,Velocity!$A:$A,$A186,Velocity!$B:$B,$C186)/Assumptions!$B$4*Assumptions!$B$6</f>
        <v>34.8333333333333</v>
      </c>
      <c r="N186" s="7" t="n">
        <f aca="false">SUMIFS(Doors!Z:Z,Doors!$A:$A,$D186,Doors!$B:$B,$B186,Doors!$C:$C,$C186)*SUMIFS(Velocity!$I:$I,Velocity!$A:$A,$A186,Velocity!$B:$B,$C186)/Assumptions!$B$4*Assumptions!$B$6</f>
        <v>40.3333333333333</v>
      </c>
      <c r="O186" s="7" t="n">
        <f aca="false">SUMIFS(Doors!AA:AA,Doors!$A:$A,$D186,Doors!$B:$B,$B186,Doors!$C:$C,$C186)*SUMIFS(Velocity!$I:$I,Velocity!$A:$A,$A186,Velocity!$B:$B,$C186)/Assumptions!$B$4*Assumptions!$B$6</f>
        <v>40.3333333333333</v>
      </c>
      <c r="P186" s="7" t="n">
        <f aca="false">SUMIFS(Doors!AB:AB,Doors!$A:$A,$D186,Doors!$B:$B,$B186,Doors!$C:$C,$C186)*SUMIFS(Velocity!$I:$I,Velocity!$A:$A,$A186,Velocity!$B:$B,$C186)/Assumptions!$B$4*Assumptions!$B$6</f>
        <v>40.3333333333333</v>
      </c>
      <c r="Q186" s="7" t="n">
        <f aca="false">SUMIFS(Doors!AC:AC,Doors!$A:$A,$D186,Doors!$B:$B,$B186,Doors!$C:$C,$C186)*SUMIFS(Velocity!$I:$I,Velocity!$A:$A,$A186,Velocity!$B:$B,$C186)/Assumptions!$B$4*Assumptions!$B$6</f>
        <v>40.3333333333333</v>
      </c>
      <c r="R186" s="7" t="n">
        <f aca="false">SUMIFS(Doors!AD:AD,Doors!$A:$A,$D186,Doors!$B:$B,$B186,Doors!$C:$C,$C186)*SUMIFS(Velocity!$I:$I,Velocity!$A:$A,$A186,Velocity!$B:$B,$C186)/Assumptions!$B$4*Assumptions!$B$6</f>
        <v>45.8333333333333</v>
      </c>
      <c r="S186" s="7" t="n">
        <f aca="false">SUMIFS(Doors!AE:AE,Doors!$A:$A,$D186,Doors!$B:$B,$B186,Doors!$C:$C,$C186)*SUMIFS(Velocity!$I:$I,Velocity!$A:$A,$A186,Velocity!$B:$B,$C186)/Assumptions!$B$4*Assumptions!$B$6</f>
        <v>45.8333333333333</v>
      </c>
      <c r="T186" s="7" t="n">
        <f aca="false">SUMIFS(Doors!AF:AF,Doors!$A:$A,$D186,Doors!$B:$B,$B186,Doors!$C:$C,$C186)*SUMIFS(Velocity!$I:$I,Velocity!$A:$A,$A186,Velocity!$B:$B,$C186)/Assumptions!$B$4*Assumptions!$B$6</f>
        <v>45.8333333333333</v>
      </c>
      <c r="U186" s="7" t="n">
        <f aca="false">SUMIFS(Doors!AG:AG,Doors!$A:$A,$D186,Doors!$B:$B,$B186,Doors!$C:$C,$C186)*SUMIFS(Velocity!$I:$I,Velocity!$A:$A,$A186,Velocity!$B:$B,$C186)/Assumptions!$B$4*Assumptions!$B$6</f>
        <v>45.8333333333333</v>
      </c>
      <c r="V186" s="7" t="n">
        <f aca="false">SUMIFS(Doors!AH:AH,Doors!$A:$A,$D186,Doors!$B:$B,$B186,Doors!$C:$C,$C186)*SUMIFS(Velocity!$I:$I,Velocity!$A:$A,$A186,Velocity!$B:$B,$C186)/Assumptions!$B$4*Assumptions!$B$6</f>
        <v>45.8333333333333</v>
      </c>
      <c r="W186" s="7" t="n">
        <f aca="false">SUMIFS(Doors!AI:AI,Doors!$A:$A,$D186,Doors!$B:$B,$B186,Doors!$C:$C,$C186)*SUMIFS(Velocity!$I:$I,Velocity!$A:$A,$A186,Velocity!$B:$B,$C186)/Assumptions!$B$4*Assumptions!$B$6</f>
        <v>51.3333333333333</v>
      </c>
      <c r="X186" s="7" t="n">
        <f aca="false">SUMIFS(Doors!AJ:AJ,Doors!$A:$A,$D186,Doors!$B:$B,$B186,Doors!$C:$C,$C186)*SUMIFS(Velocity!$I:$I,Velocity!$A:$A,$A186,Velocity!$B:$B,$C186)/Assumptions!$B$4*Assumptions!$B$6</f>
        <v>51.3333333333333</v>
      </c>
      <c r="Y186" s="7" t="n">
        <f aca="false">SUMIFS(Doors!AK:AK,Doors!$A:$A,$D186,Doors!$B:$B,$B186,Doors!$C:$C,$C186)*SUMIFS(Velocity!$I:$I,Velocity!$A:$A,$A186,Velocity!$B:$B,$C186)/Assumptions!$B$4*Assumptions!$B$6</f>
        <v>51.3333333333333</v>
      </c>
      <c r="Z186" s="7" t="n">
        <f aca="false">SUMIFS(Doors!AL:AL,Doors!$A:$A,$D186,Doors!$B:$B,$B186,Doors!$C:$C,$C186)*SUMIFS(Velocity!$I:$I,Velocity!$A:$A,$A186,Velocity!$B:$B,$C186)/Assumptions!$B$4*Assumptions!$B$6</f>
        <v>51.3333333333333</v>
      </c>
      <c r="AA186" s="7" t="n">
        <f aca="false">SUMIFS(Doors!AM:AM,Doors!$A:$A,$D186,Doors!$B:$B,$B186,Doors!$C:$C,$C186)*SUMIFS(Velocity!$I:$I,Velocity!$A:$A,$A186,Velocity!$B:$B,$C186)/Assumptions!$B$4*Assumptions!$B$6</f>
        <v>56.8333333333333</v>
      </c>
      <c r="AB186" s="7" t="n">
        <f aca="false">SUMIFS(Doors!AN:AN,Doors!$A:$A,$D186,Doors!$B:$B,$B186,Doors!$C:$C,$C186)*SUMIFS(Velocity!$I:$I,Velocity!$A:$A,$A186,Velocity!$B:$B,$C186)/Assumptions!$B$4*Assumptions!$B$6</f>
        <v>56.8333333333333</v>
      </c>
      <c r="AC186" s="7" t="n">
        <f aca="false">SUMIFS(Doors!AO:AO,Doors!$A:$A,$D186,Doors!$B:$B,$B186,Doors!$C:$C,$C186)*SUMIFS(Velocity!$I:$I,Velocity!$A:$A,$A186,Velocity!$B:$B,$C186)/Assumptions!$B$4*Assumptions!$B$6</f>
        <v>56.8333333333333</v>
      </c>
      <c r="AD186" s="7" t="n">
        <f aca="false">SUMIFS(Doors!AP:AP,Doors!$A:$A,$D186,Doors!$B:$B,$B186,Doors!$C:$C,$C186)*SUMIFS(Velocity!$I:$I,Velocity!$A:$A,$A186,Velocity!$B:$B,$C186)/Assumptions!$B$4*Assumptions!$B$6</f>
        <v>56.8333333333333</v>
      </c>
      <c r="AE186" s="7" t="n">
        <f aca="false">SUMIFS(Doors!AQ:AQ,Doors!$A:$A,$D186,Doors!$B:$B,$B186,Doors!$C:$C,$C186)*SUMIFS(Velocity!$I:$I,Velocity!$A:$A,$A186,Velocity!$B:$B,$C186)/Assumptions!$B$4*Assumptions!$B$6</f>
        <v>62.3333333333333</v>
      </c>
      <c r="AF186" s="7" t="n">
        <f aca="false">SUMIFS(Doors!AR:AR,Doors!$A:$A,$D186,Doors!$B:$B,$B186,Doors!$C:$C,$C186)*SUMIFS(Velocity!$I:$I,Velocity!$A:$A,$A186,Velocity!$B:$B,$C186)/Assumptions!$B$4*Assumptions!$B$6</f>
        <v>62.3333333333333</v>
      </c>
      <c r="AG186" s="7" t="n">
        <f aca="false">SUMIFS(Doors!AS:AS,Doors!$A:$A,$D186,Doors!$B:$B,$B186,Doors!$C:$C,$C186)*SUMIFS(Velocity!$I:$I,Velocity!$A:$A,$A186,Velocity!$B:$B,$C186)/Assumptions!$B$4*Assumptions!$B$6</f>
        <v>62.3333333333333</v>
      </c>
      <c r="AH186" s="7" t="n">
        <f aca="false">SUMIFS(Doors!AT:AT,Doors!$A:$A,$D186,Doors!$B:$B,$B186,Doors!$C:$C,$C186)*SUMIFS(Velocity!$I:$I,Velocity!$A:$A,$A186,Velocity!$B:$B,$C186)/Assumptions!$B$4*Assumptions!$B$6</f>
        <v>62.3333333333333</v>
      </c>
      <c r="AI186" s="7" t="n">
        <f aca="false">SUMIFS(Doors!AU:AU,Doors!$A:$A,$D186,Doors!$B:$B,$B186,Doors!$C:$C,$C186)*SUMIFS(Velocity!$I:$I,Velocity!$A:$A,$A186,Velocity!$B:$B,$C186)/Assumptions!$B$4*Assumptions!$B$6</f>
        <v>62.3333333333333</v>
      </c>
      <c r="AJ186" s="7" t="n">
        <f aca="false">SUMIFS(Doors!AV:AV,Doors!$A:$A,$D186,Doors!$B:$B,$B186,Doors!$C:$C,$C186)*SUMIFS(Velocity!$I:$I,Velocity!$A:$A,$A186,Velocity!$B:$B,$C186)/Assumptions!$B$4*Assumptions!$B$6</f>
        <v>66</v>
      </c>
      <c r="AK186" s="7" t="n">
        <f aca="false">SUMIFS(Doors!AW:AW,Doors!$A:$A,$D186,Doors!$B:$B,$B186,Doors!$C:$C,$C186)*SUMIFS(Velocity!$I:$I,Velocity!$A:$A,$A186,Velocity!$B:$B,$C186)/Assumptions!$B$4*Assumptions!$B$6</f>
        <v>66</v>
      </c>
      <c r="AL186" s="7" t="n">
        <f aca="false">SUMIFS(Doors!AX:AX,Doors!$A:$A,$D186,Doors!$B:$B,$B186,Doors!$C:$C,$C186)*SUMIFS(Velocity!$I:$I,Velocity!$A:$A,$A186,Velocity!$B:$B,$C186)/Assumptions!$B$4*Assumptions!$B$6</f>
        <v>66</v>
      </c>
      <c r="AM186" s="7" t="n">
        <f aca="false">SUMIFS(Doors!AY:AY,Doors!$A:$A,$D186,Doors!$B:$B,$B186,Doors!$C:$C,$C186)*SUMIFS(Velocity!$I:$I,Velocity!$A:$A,$A186,Velocity!$B:$B,$C186)/Assumptions!$B$4*Assumptions!$B$6</f>
        <v>66</v>
      </c>
      <c r="AN186" s="7" t="n">
        <f aca="false">SUMIFS(Doors!AZ:AZ,Doors!$A:$A,$D186,Doors!$B:$B,$B186,Doors!$C:$C,$C186)*SUMIFS(Velocity!$I:$I,Velocity!$A:$A,$A186,Velocity!$B:$B,$C186)/Assumptions!$B$4*Assumptions!$B$6</f>
        <v>69.6666666666667</v>
      </c>
      <c r="AO186" s="7" t="n">
        <f aca="false">SUMIFS(Doors!BA:BA,Doors!$A:$A,$D186,Doors!$B:$B,$B186,Doors!$C:$C,$C186)*SUMIFS(Velocity!$I:$I,Velocity!$A:$A,$A186,Velocity!$B:$B,$C186)/Assumptions!$B$4*Assumptions!$B$6</f>
        <v>69.6666666666667</v>
      </c>
      <c r="AP186" s="7" t="n">
        <f aca="false">SUMIFS(Doors!BB:BB,Doors!$A:$A,$D186,Doors!$B:$B,$B186,Doors!$C:$C,$C186)*SUMIFS(Velocity!$I:$I,Velocity!$A:$A,$A186,Velocity!$B:$B,$C186)/Assumptions!$B$4*Assumptions!$B$6</f>
        <v>69.6666666666667</v>
      </c>
      <c r="AQ186" s="7" t="n">
        <f aca="false">SUMIFS(Doors!BC:BC,Doors!$A:$A,$D186,Doors!$B:$B,$B186,Doors!$C:$C,$C186)*SUMIFS(Velocity!$I:$I,Velocity!$A:$A,$A186,Velocity!$B:$B,$C186)/Assumptions!$B$4*Assumptions!$B$6</f>
        <v>69.6666666666667</v>
      </c>
      <c r="AR186" s="7" t="n">
        <f aca="false">SUMIFS(Doors!BD:BD,Doors!$A:$A,$D186,Doors!$B:$B,$B186,Doors!$C:$C,$C186)*SUMIFS(Velocity!$I:$I,Velocity!$A:$A,$A186,Velocity!$B:$B,$C186)/Assumptions!$B$4*Assumptions!$B$6</f>
        <v>71.5</v>
      </c>
      <c r="AS186" s="7" t="n">
        <f aca="false">SUMIFS(Doors!BE:BE,Doors!$A:$A,$D186,Doors!$B:$B,$B186,Doors!$C:$C,$C186)*SUMIFS(Velocity!$I:$I,Velocity!$A:$A,$A186,Velocity!$B:$B,$C186)/Assumptions!$B$4*Assumptions!$B$6</f>
        <v>71.5</v>
      </c>
      <c r="AT186" s="7" t="n">
        <f aca="false">SUMIFS(Doors!BF:BF,Doors!$A:$A,$D186,Doors!$B:$B,$B186,Doors!$C:$C,$C186)*SUMIFS(Velocity!$I:$I,Velocity!$A:$A,$A186,Velocity!$B:$B,$C186)/Assumptions!$B$4*Assumptions!$B$6</f>
        <v>71.5</v>
      </c>
      <c r="AU186" s="7" t="n">
        <f aca="false">SUMIFS(Doors!BG:BG,Doors!$A:$A,$D186,Doors!$B:$B,$B186,Doors!$C:$C,$C186)*SUMIFS(Velocity!$I:$I,Velocity!$A:$A,$A186,Velocity!$B:$B,$C186)/Assumptions!$B$4*Assumptions!$B$6</f>
        <v>71.5</v>
      </c>
      <c r="AV186" s="7" t="n">
        <f aca="false">SUMIFS(Doors!BH:BH,Doors!$A:$A,$D186,Doors!$B:$B,$B186,Doors!$C:$C,$C186)*SUMIFS(Velocity!$I:$I,Velocity!$A:$A,$A186,Velocity!$B:$B,$C186)/Assumptions!$B$4*Assumptions!$B$6</f>
        <v>71.5</v>
      </c>
      <c r="AW186" s="7" t="n">
        <f aca="false">SUMIFS(Doors!BI:BI,Doors!$A:$A,$D186,Doors!$B:$B,$B186,Doors!$C:$C,$C186)*SUMIFS(Velocity!$I:$I,Velocity!$A:$A,$A186,Velocity!$B:$B,$C186)/Assumptions!$B$4*Assumptions!$B$6</f>
        <v>73.3333333333333</v>
      </c>
      <c r="AX186" s="7" t="n">
        <f aca="false">SUMIFS(Doors!BJ:BJ,Doors!$A:$A,$D186,Doors!$B:$B,$B186,Doors!$C:$C,$C186)*SUMIFS(Velocity!$I:$I,Velocity!$A:$A,$A186,Velocity!$B:$B,$C186)/Assumptions!$B$4*Assumptions!$B$6</f>
        <v>73.3333333333333</v>
      </c>
      <c r="AY186" s="7" t="n">
        <f aca="false">SUMIFS(Doors!BK:BK,Doors!$A:$A,$D186,Doors!$B:$B,$B186,Doors!$C:$C,$C186)*SUMIFS(Velocity!$I:$I,Velocity!$A:$A,$A186,Velocity!$B:$B,$C186)/Assumptions!$B$4*Assumptions!$B$6</f>
        <v>73.3333333333333</v>
      </c>
      <c r="AZ186" s="7" t="n">
        <f aca="false">SUMIFS(Doors!BL:BL,Doors!$A:$A,$D186,Doors!$B:$B,$B186,Doors!$C:$C,$C186)*SUMIFS(Velocity!$I:$I,Velocity!$A:$A,$A186,Velocity!$B:$B,$C186)/Assumptions!$B$4*Assumptions!$B$6</f>
        <v>73.3333333333333</v>
      </c>
      <c r="BA186" s="7" t="n">
        <f aca="false">SUMIFS(Doors!BM:BM,Doors!$A:$A,$D186,Doors!$B:$B,$B186,Doors!$C:$C,$C186)*SUMIFS(Velocity!$I:$I,Velocity!$A:$A,$A186,Velocity!$B:$B,$C186)/Assumptions!$B$4*Assumptions!$B$6</f>
        <v>73.3333333333333</v>
      </c>
      <c r="BB186" s="7" t="n">
        <f aca="false">SUMIFS(Doors!BN:BN,Doors!$A:$A,$D186,Doors!$B:$B,$B186,Doors!$C:$C,$C186)*SUMIFS(Velocity!$I:$I,Velocity!$A:$A,$A186,Velocity!$B:$B,$C186)/Assumptions!$B$4*Assumptions!$B$6</f>
        <v>73.3333333333333</v>
      </c>
      <c r="BC186" s="7" t="n">
        <f aca="false">SUMIFS(Doors!BO:BO,Doors!$A:$A,$D186,Doors!$B:$B,$B186,Doors!$C:$C,$C186)*SUMIFS(Velocity!$I:$I,Velocity!$A:$A,$A186,Velocity!$B:$B,$C186)/Assumptions!$B$4*Assumptions!$B$6</f>
        <v>73.3333333333333</v>
      </c>
      <c r="BD186" s="7" t="n">
        <f aca="false">SUMIFS(Doors!BP:BP,Doors!$A:$A,$D186,Doors!$B:$B,$B186,Doors!$C:$C,$C186)*SUMIFS(Velocity!$I:$I,Velocity!$A:$A,$A186,Velocity!$B:$B,$C186)/Assumptions!$B$4*Assumptions!$B$6</f>
        <v>73.3333333333333</v>
      </c>
    </row>
    <row r="187" customFormat="false" ht="15" hidden="false" customHeight="false" outlineLevel="0" collapsed="false">
      <c r="A187" s="0" t="s">
        <v>110</v>
      </c>
      <c r="B187" s="0" t="s">
        <v>126</v>
      </c>
      <c r="C187" s="0" t="s">
        <v>116</v>
      </c>
      <c r="D187" s="0" t="s">
        <v>235</v>
      </c>
      <c r="E187" s="7" t="n">
        <f aca="false">SUMIFS(Doors!Q:Q,Doors!$A:$A,$D187,Doors!$B:$B,$B187,Doors!$C:$C,$C187)*SUMIFS(Velocity!$I:$I,Velocity!$A:$A,$A187,Velocity!$B:$B,$C187)/Assumptions!$B$4*Assumptions!$B$6</f>
        <v>3.16666666666667</v>
      </c>
      <c r="F187" s="7" t="n">
        <f aca="false">SUMIFS(Doors!R:R,Doors!$A:$A,$D187,Doors!$B:$B,$B187,Doors!$C:$C,$C187)*SUMIFS(Velocity!$I:$I,Velocity!$A:$A,$A187,Velocity!$B:$B,$C187)/Assumptions!$B$4*Assumptions!$B$6</f>
        <v>3.16666666666667</v>
      </c>
      <c r="G187" s="7" t="n">
        <f aca="false">SUMIFS(Doors!S:S,Doors!$A:$A,$D187,Doors!$B:$B,$B187,Doors!$C:$C,$C187)*SUMIFS(Velocity!$I:$I,Velocity!$A:$A,$A187,Velocity!$B:$B,$C187)/Assumptions!$B$4*Assumptions!$B$6</f>
        <v>3.16666666666667</v>
      </c>
      <c r="H187" s="7" t="n">
        <f aca="false">SUMIFS(Doors!T:T,Doors!$A:$A,$D187,Doors!$B:$B,$B187,Doors!$C:$C,$C187)*SUMIFS(Velocity!$I:$I,Velocity!$A:$A,$A187,Velocity!$B:$B,$C187)/Assumptions!$B$4*Assumptions!$B$6</f>
        <v>3.16666666666667</v>
      </c>
      <c r="I187" s="7" t="n">
        <f aca="false">SUMIFS(Doors!U:U,Doors!$A:$A,$D187,Doors!$B:$B,$B187,Doors!$C:$C,$C187)*SUMIFS(Velocity!$I:$I,Velocity!$A:$A,$A187,Velocity!$B:$B,$C187)/Assumptions!$B$4*Assumptions!$B$6</f>
        <v>3.16666666666667</v>
      </c>
      <c r="J187" s="7" t="n">
        <f aca="false">SUMIFS(Doors!V:V,Doors!$A:$A,$D187,Doors!$B:$B,$B187,Doors!$C:$C,$C187)*SUMIFS(Velocity!$I:$I,Velocity!$A:$A,$A187,Velocity!$B:$B,$C187)/Assumptions!$B$4*Assumptions!$B$6</f>
        <v>4.75</v>
      </c>
      <c r="K187" s="7" t="n">
        <f aca="false">SUMIFS(Doors!W:W,Doors!$A:$A,$D187,Doors!$B:$B,$B187,Doors!$C:$C,$C187)*SUMIFS(Velocity!$I:$I,Velocity!$A:$A,$A187,Velocity!$B:$B,$C187)/Assumptions!$B$4*Assumptions!$B$6</f>
        <v>4.75</v>
      </c>
      <c r="L187" s="7" t="n">
        <f aca="false">SUMIFS(Doors!X:X,Doors!$A:$A,$D187,Doors!$B:$B,$B187,Doors!$C:$C,$C187)*SUMIFS(Velocity!$I:$I,Velocity!$A:$A,$A187,Velocity!$B:$B,$C187)/Assumptions!$B$4*Assumptions!$B$6</f>
        <v>4.75</v>
      </c>
      <c r="M187" s="7" t="n">
        <f aca="false">SUMIFS(Doors!Y:Y,Doors!$A:$A,$D187,Doors!$B:$B,$B187,Doors!$C:$C,$C187)*SUMIFS(Velocity!$I:$I,Velocity!$A:$A,$A187,Velocity!$B:$B,$C187)/Assumptions!$B$4*Assumptions!$B$6</f>
        <v>4.75</v>
      </c>
      <c r="N187" s="7" t="n">
        <f aca="false">SUMIFS(Doors!Z:Z,Doors!$A:$A,$D187,Doors!$B:$B,$B187,Doors!$C:$C,$C187)*SUMIFS(Velocity!$I:$I,Velocity!$A:$A,$A187,Velocity!$B:$B,$C187)/Assumptions!$B$4*Assumptions!$B$6</f>
        <v>6.33333333333333</v>
      </c>
      <c r="O187" s="7" t="n">
        <f aca="false">SUMIFS(Doors!AA:AA,Doors!$A:$A,$D187,Doors!$B:$B,$B187,Doors!$C:$C,$C187)*SUMIFS(Velocity!$I:$I,Velocity!$A:$A,$A187,Velocity!$B:$B,$C187)/Assumptions!$B$4*Assumptions!$B$6</f>
        <v>6.33333333333333</v>
      </c>
      <c r="P187" s="7" t="n">
        <f aca="false">SUMIFS(Doors!AB:AB,Doors!$A:$A,$D187,Doors!$B:$B,$B187,Doors!$C:$C,$C187)*SUMIFS(Velocity!$I:$I,Velocity!$A:$A,$A187,Velocity!$B:$B,$C187)/Assumptions!$B$4*Assumptions!$B$6</f>
        <v>6.33333333333333</v>
      </c>
      <c r="Q187" s="7" t="n">
        <f aca="false">SUMIFS(Doors!AC:AC,Doors!$A:$A,$D187,Doors!$B:$B,$B187,Doors!$C:$C,$C187)*SUMIFS(Velocity!$I:$I,Velocity!$A:$A,$A187,Velocity!$B:$B,$C187)/Assumptions!$B$4*Assumptions!$B$6</f>
        <v>6.33333333333333</v>
      </c>
      <c r="R187" s="7" t="n">
        <f aca="false">SUMIFS(Doors!AD:AD,Doors!$A:$A,$D187,Doors!$B:$B,$B187,Doors!$C:$C,$C187)*SUMIFS(Velocity!$I:$I,Velocity!$A:$A,$A187,Velocity!$B:$B,$C187)/Assumptions!$B$4*Assumptions!$B$6</f>
        <v>7.91666666666667</v>
      </c>
      <c r="S187" s="7" t="n">
        <f aca="false">SUMIFS(Doors!AE:AE,Doors!$A:$A,$D187,Doors!$B:$B,$B187,Doors!$C:$C,$C187)*SUMIFS(Velocity!$I:$I,Velocity!$A:$A,$A187,Velocity!$B:$B,$C187)/Assumptions!$B$4*Assumptions!$B$6</f>
        <v>7.91666666666667</v>
      </c>
      <c r="T187" s="7" t="n">
        <f aca="false">SUMIFS(Doors!AF:AF,Doors!$A:$A,$D187,Doors!$B:$B,$B187,Doors!$C:$C,$C187)*SUMIFS(Velocity!$I:$I,Velocity!$A:$A,$A187,Velocity!$B:$B,$C187)/Assumptions!$B$4*Assumptions!$B$6</f>
        <v>7.91666666666667</v>
      </c>
      <c r="U187" s="7" t="n">
        <f aca="false">SUMIFS(Doors!AG:AG,Doors!$A:$A,$D187,Doors!$B:$B,$B187,Doors!$C:$C,$C187)*SUMIFS(Velocity!$I:$I,Velocity!$A:$A,$A187,Velocity!$B:$B,$C187)/Assumptions!$B$4*Assumptions!$B$6</f>
        <v>7.91666666666667</v>
      </c>
      <c r="V187" s="7" t="n">
        <f aca="false">SUMIFS(Doors!AH:AH,Doors!$A:$A,$D187,Doors!$B:$B,$B187,Doors!$C:$C,$C187)*SUMIFS(Velocity!$I:$I,Velocity!$A:$A,$A187,Velocity!$B:$B,$C187)/Assumptions!$B$4*Assumptions!$B$6</f>
        <v>7.91666666666667</v>
      </c>
      <c r="W187" s="7" t="n">
        <f aca="false">SUMIFS(Doors!AI:AI,Doors!$A:$A,$D187,Doors!$B:$B,$B187,Doors!$C:$C,$C187)*SUMIFS(Velocity!$I:$I,Velocity!$A:$A,$A187,Velocity!$B:$B,$C187)/Assumptions!$B$4*Assumptions!$B$6</f>
        <v>9.5</v>
      </c>
      <c r="X187" s="7" t="n">
        <f aca="false">SUMIFS(Doors!AJ:AJ,Doors!$A:$A,$D187,Doors!$B:$B,$B187,Doors!$C:$C,$C187)*SUMIFS(Velocity!$I:$I,Velocity!$A:$A,$A187,Velocity!$B:$B,$C187)/Assumptions!$B$4*Assumptions!$B$6</f>
        <v>9.5</v>
      </c>
      <c r="Y187" s="7" t="n">
        <f aca="false">SUMIFS(Doors!AK:AK,Doors!$A:$A,$D187,Doors!$B:$B,$B187,Doors!$C:$C,$C187)*SUMIFS(Velocity!$I:$I,Velocity!$A:$A,$A187,Velocity!$B:$B,$C187)/Assumptions!$B$4*Assumptions!$B$6</f>
        <v>9.5</v>
      </c>
      <c r="Z187" s="7" t="n">
        <f aca="false">SUMIFS(Doors!AL:AL,Doors!$A:$A,$D187,Doors!$B:$B,$B187,Doors!$C:$C,$C187)*SUMIFS(Velocity!$I:$I,Velocity!$A:$A,$A187,Velocity!$B:$B,$C187)/Assumptions!$B$4*Assumptions!$B$6</f>
        <v>9.5</v>
      </c>
      <c r="AA187" s="7" t="n">
        <f aca="false">SUMIFS(Doors!AM:AM,Doors!$A:$A,$D187,Doors!$B:$B,$B187,Doors!$C:$C,$C187)*SUMIFS(Velocity!$I:$I,Velocity!$A:$A,$A187,Velocity!$B:$B,$C187)/Assumptions!$B$4*Assumptions!$B$6</f>
        <v>11.0833333333333</v>
      </c>
      <c r="AB187" s="7" t="n">
        <f aca="false">SUMIFS(Doors!AN:AN,Doors!$A:$A,$D187,Doors!$B:$B,$B187,Doors!$C:$C,$C187)*SUMIFS(Velocity!$I:$I,Velocity!$A:$A,$A187,Velocity!$B:$B,$C187)/Assumptions!$B$4*Assumptions!$B$6</f>
        <v>11.0833333333333</v>
      </c>
      <c r="AC187" s="7" t="n">
        <f aca="false">SUMIFS(Doors!AO:AO,Doors!$A:$A,$D187,Doors!$B:$B,$B187,Doors!$C:$C,$C187)*SUMIFS(Velocity!$I:$I,Velocity!$A:$A,$A187,Velocity!$B:$B,$C187)/Assumptions!$B$4*Assumptions!$B$6</f>
        <v>11.0833333333333</v>
      </c>
      <c r="AD187" s="7" t="n">
        <f aca="false">SUMIFS(Doors!AP:AP,Doors!$A:$A,$D187,Doors!$B:$B,$B187,Doors!$C:$C,$C187)*SUMIFS(Velocity!$I:$I,Velocity!$A:$A,$A187,Velocity!$B:$B,$C187)/Assumptions!$B$4*Assumptions!$B$6</f>
        <v>11.0833333333333</v>
      </c>
      <c r="AE187" s="7" t="n">
        <f aca="false">SUMIFS(Doors!AQ:AQ,Doors!$A:$A,$D187,Doors!$B:$B,$B187,Doors!$C:$C,$C187)*SUMIFS(Velocity!$I:$I,Velocity!$A:$A,$A187,Velocity!$B:$B,$C187)/Assumptions!$B$4*Assumptions!$B$6</f>
        <v>13.3</v>
      </c>
      <c r="AF187" s="7" t="n">
        <f aca="false">SUMIFS(Doors!AR:AR,Doors!$A:$A,$D187,Doors!$B:$B,$B187,Doors!$C:$C,$C187)*SUMIFS(Velocity!$I:$I,Velocity!$A:$A,$A187,Velocity!$B:$B,$C187)/Assumptions!$B$4*Assumptions!$B$6</f>
        <v>13.3</v>
      </c>
      <c r="AG187" s="7" t="n">
        <f aca="false">SUMIFS(Doors!AS:AS,Doors!$A:$A,$D187,Doors!$B:$B,$B187,Doors!$C:$C,$C187)*SUMIFS(Velocity!$I:$I,Velocity!$A:$A,$A187,Velocity!$B:$B,$C187)/Assumptions!$B$4*Assumptions!$B$6</f>
        <v>13.3</v>
      </c>
      <c r="AH187" s="7" t="n">
        <f aca="false">SUMIFS(Doors!AT:AT,Doors!$A:$A,$D187,Doors!$B:$B,$B187,Doors!$C:$C,$C187)*SUMIFS(Velocity!$I:$I,Velocity!$A:$A,$A187,Velocity!$B:$B,$C187)/Assumptions!$B$4*Assumptions!$B$6</f>
        <v>13.3</v>
      </c>
      <c r="AI187" s="7" t="n">
        <f aca="false">SUMIFS(Doors!AU:AU,Doors!$A:$A,$D187,Doors!$B:$B,$B187,Doors!$C:$C,$C187)*SUMIFS(Velocity!$I:$I,Velocity!$A:$A,$A187,Velocity!$B:$B,$C187)/Assumptions!$B$4*Assumptions!$B$6</f>
        <v>13.3</v>
      </c>
      <c r="AJ187" s="7" t="n">
        <f aca="false">SUMIFS(Doors!AV:AV,Doors!$A:$A,$D187,Doors!$B:$B,$B187,Doors!$C:$C,$C187)*SUMIFS(Velocity!$I:$I,Velocity!$A:$A,$A187,Velocity!$B:$B,$C187)/Assumptions!$B$4*Assumptions!$B$6</f>
        <v>15.2</v>
      </c>
      <c r="AK187" s="7" t="n">
        <f aca="false">SUMIFS(Doors!AW:AW,Doors!$A:$A,$D187,Doors!$B:$B,$B187,Doors!$C:$C,$C187)*SUMIFS(Velocity!$I:$I,Velocity!$A:$A,$A187,Velocity!$B:$B,$C187)/Assumptions!$B$4*Assumptions!$B$6</f>
        <v>15.2</v>
      </c>
      <c r="AL187" s="7" t="n">
        <f aca="false">SUMIFS(Doors!AX:AX,Doors!$A:$A,$D187,Doors!$B:$B,$B187,Doors!$C:$C,$C187)*SUMIFS(Velocity!$I:$I,Velocity!$A:$A,$A187,Velocity!$B:$B,$C187)/Assumptions!$B$4*Assumptions!$B$6</f>
        <v>15.2</v>
      </c>
      <c r="AM187" s="7" t="n">
        <f aca="false">SUMIFS(Doors!AY:AY,Doors!$A:$A,$D187,Doors!$B:$B,$B187,Doors!$C:$C,$C187)*SUMIFS(Velocity!$I:$I,Velocity!$A:$A,$A187,Velocity!$B:$B,$C187)/Assumptions!$B$4*Assumptions!$B$6</f>
        <v>15.2</v>
      </c>
      <c r="AN187" s="7" t="n">
        <f aca="false">SUMIFS(Doors!AZ:AZ,Doors!$A:$A,$D187,Doors!$B:$B,$B187,Doors!$C:$C,$C187)*SUMIFS(Velocity!$I:$I,Velocity!$A:$A,$A187,Velocity!$B:$B,$C187)/Assumptions!$B$4*Assumptions!$B$6</f>
        <v>16.4666666666667</v>
      </c>
      <c r="AO187" s="7" t="n">
        <f aca="false">SUMIFS(Doors!BA:BA,Doors!$A:$A,$D187,Doors!$B:$B,$B187,Doors!$C:$C,$C187)*SUMIFS(Velocity!$I:$I,Velocity!$A:$A,$A187,Velocity!$B:$B,$C187)/Assumptions!$B$4*Assumptions!$B$6</f>
        <v>16.4666666666667</v>
      </c>
      <c r="AP187" s="7" t="n">
        <f aca="false">SUMIFS(Doors!BB:BB,Doors!$A:$A,$D187,Doors!$B:$B,$B187,Doors!$C:$C,$C187)*SUMIFS(Velocity!$I:$I,Velocity!$A:$A,$A187,Velocity!$B:$B,$C187)/Assumptions!$B$4*Assumptions!$B$6</f>
        <v>16.4666666666667</v>
      </c>
      <c r="AQ187" s="7" t="n">
        <f aca="false">SUMIFS(Doors!BC:BC,Doors!$A:$A,$D187,Doors!$B:$B,$B187,Doors!$C:$C,$C187)*SUMIFS(Velocity!$I:$I,Velocity!$A:$A,$A187,Velocity!$B:$B,$C187)/Assumptions!$B$4*Assumptions!$B$6</f>
        <v>16.4666666666667</v>
      </c>
      <c r="AR187" s="7" t="n">
        <f aca="false">SUMIFS(Doors!BD:BD,Doors!$A:$A,$D187,Doors!$B:$B,$B187,Doors!$C:$C,$C187)*SUMIFS(Velocity!$I:$I,Velocity!$A:$A,$A187,Velocity!$B:$B,$C187)/Assumptions!$B$4*Assumptions!$B$6</f>
        <v>17.7333333333333</v>
      </c>
      <c r="AS187" s="7" t="n">
        <f aca="false">SUMIFS(Doors!BE:BE,Doors!$A:$A,$D187,Doors!$B:$B,$B187,Doors!$C:$C,$C187)*SUMIFS(Velocity!$I:$I,Velocity!$A:$A,$A187,Velocity!$B:$B,$C187)/Assumptions!$B$4*Assumptions!$B$6</f>
        <v>17.7333333333333</v>
      </c>
      <c r="AT187" s="7" t="n">
        <f aca="false">SUMIFS(Doors!BF:BF,Doors!$A:$A,$D187,Doors!$B:$B,$B187,Doors!$C:$C,$C187)*SUMIFS(Velocity!$I:$I,Velocity!$A:$A,$A187,Velocity!$B:$B,$C187)/Assumptions!$B$4*Assumptions!$B$6</f>
        <v>17.7333333333333</v>
      </c>
      <c r="AU187" s="7" t="n">
        <f aca="false">SUMIFS(Doors!BG:BG,Doors!$A:$A,$D187,Doors!$B:$B,$B187,Doors!$C:$C,$C187)*SUMIFS(Velocity!$I:$I,Velocity!$A:$A,$A187,Velocity!$B:$B,$C187)/Assumptions!$B$4*Assumptions!$B$6</f>
        <v>17.7333333333333</v>
      </c>
      <c r="AV187" s="7" t="n">
        <f aca="false">SUMIFS(Doors!BH:BH,Doors!$A:$A,$D187,Doors!$B:$B,$B187,Doors!$C:$C,$C187)*SUMIFS(Velocity!$I:$I,Velocity!$A:$A,$A187,Velocity!$B:$B,$C187)/Assumptions!$B$4*Assumptions!$B$6</f>
        <v>17.7333333333333</v>
      </c>
      <c r="AW187" s="7" t="n">
        <f aca="false">SUMIFS(Doors!BI:BI,Doors!$A:$A,$D187,Doors!$B:$B,$B187,Doors!$C:$C,$C187)*SUMIFS(Velocity!$I:$I,Velocity!$A:$A,$A187,Velocity!$B:$B,$C187)/Assumptions!$B$4*Assumptions!$B$6</f>
        <v>18.3666666666667</v>
      </c>
      <c r="AX187" s="7" t="n">
        <f aca="false">SUMIFS(Doors!BJ:BJ,Doors!$A:$A,$D187,Doors!$B:$B,$B187,Doors!$C:$C,$C187)*SUMIFS(Velocity!$I:$I,Velocity!$A:$A,$A187,Velocity!$B:$B,$C187)/Assumptions!$B$4*Assumptions!$B$6</f>
        <v>18.3666666666667</v>
      </c>
      <c r="AY187" s="7" t="n">
        <f aca="false">SUMIFS(Doors!BK:BK,Doors!$A:$A,$D187,Doors!$B:$B,$B187,Doors!$C:$C,$C187)*SUMIFS(Velocity!$I:$I,Velocity!$A:$A,$A187,Velocity!$B:$B,$C187)/Assumptions!$B$4*Assumptions!$B$6</f>
        <v>18.3666666666667</v>
      </c>
      <c r="AZ187" s="7" t="n">
        <f aca="false">SUMIFS(Doors!BL:BL,Doors!$A:$A,$D187,Doors!$B:$B,$B187,Doors!$C:$C,$C187)*SUMIFS(Velocity!$I:$I,Velocity!$A:$A,$A187,Velocity!$B:$B,$C187)/Assumptions!$B$4*Assumptions!$B$6</f>
        <v>18.3666666666667</v>
      </c>
      <c r="BA187" s="7" t="n">
        <f aca="false">SUMIFS(Doors!BM:BM,Doors!$A:$A,$D187,Doors!$B:$B,$B187,Doors!$C:$C,$C187)*SUMIFS(Velocity!$I:$I,Velocity!$A:$A,$A187,Velocity!$B:$B,$C187)/Assumptions!$B$4*Assumptions!$B$6</f>
        <v>19</v>
      </c>
      <c r="BB187" s="7" t="n">
        <f aca="false">SUMIFS(Doors!BN:BN,Doors!$A:$A,$D187,Doors!$B:$B,$B187,Doors!$C:$C,$C187)*SUMIFS(Velocity!$I:$I,Velocity!$A:$A,$A187,Velocity!$B:$B,$C187)/Assumptions!$B$4*Assumptions!$B$6</f>
        <v>19</v>
      </c>
      <c r="BC187" s="7" t="n">
        <f aca="false">SUMIFS(Doors!BO:BO,Doors!$A:$A,$D187,Doors!$B:$B,$B187,Doors!$C:$C,$C187)*SUMIFS(Velocity!$I:$I,Velocity!$A:$A,$A187,Velocity!$B:$B,$C187)/Assumptions!$B$4*Assumptions!$B$6</f>
        <v>19</v>
      </c>
      <c r="BD187" s="7" t="n">
        <f aca="false">SUMIFS(Doors!BP:BP,Doors!$A:$A,$D187,Doors!$B:$B,$B187,Doors!$C:$C,$C187)*SUMIFS(Velocity!$I:$I,Velocity!$A:$A,$A187,Velocity!$B:$B,$C187)/Assumptions!$B$4*Assumptions!$B$6</f>
        <v>19</v>
      </c>
    </row>
    <row r="188" customFormat="false" ht="15" hidden="false" customHeight="false" outlineLevel="0" collapsed="false">
      <c r="A188" s="0" t="s">
        <v>110</v>
      </c>
      <c r="B188" s="0" t="s">
        <v>126</v>
      </c>
      <c r="C188" s="0" t="s">
        <v>117</v>
      </c>
      <c r="D188" s="0" t="s">
        <v>235</v>
      </c>
      <c r="E188" s="7" t="n">
        <f aca="false">SUMIFS(Doors!Q:Q,Doors!$A:$A,$D188,Doors!$B:$B,$B188,Doors!$C:$C,$C188)*SUMIFS(Velocity!$I:$I,Velocity!$A:$A,$A188,Velocity!$B:$B,$C188)/Assumptions!$B$4*Assumptions!$B$6</f>
        <v>0</v>
      </c>
      <c r="F188" s="7" t="n">
        <f aca="false">SUMIFS(Doors!R:R,Doors!$A:$A,$D188,Doors!$B:$B,$B188,Doors!$C:$C,$C188)*SUMIFS(Velocity!$I:$I,Velocity!$A:$A,$A188,Velocity!$B:$B,$C188)/Assumptions!$B$4*Assumptions!$B$6</f>
        <v>0</v>
      </c>
      <c r="G188" s="7" t="n">
        <f aca="false">SUMIFS(Doors!S:S,Doors!$A:$A,$D188,Doors!$B:$B,$B188,Doors!$C:$C,$C188)*SUMIFS(Velocity!$I:$I,Velocity!$A:$A,$A188,Velocity!$B:$B,$C188)/Assumptions!$B$4*Assumptions!$B$6</f>
        <v>0</v>
      </c>
      <c r="H188" s="7" t="n">
        <f aca="false">SUMIFS(Doors!T:T,Doors!$A:$A,$D188,Doors!$B:$B,$B188,Doors!$C:$C,$C188)*SUMIFS(Velocity!$I:$I,Velocity!$A:$A,$A188,Velocity!$B:$B,$C188)/Assumptions!$B$4*Assumptions!$B$6</f>
        <v>0</v>
      </c>
      <c r="I188" s="7" t="n">
        <f aca="false">SUMIFS(Doors!U:U,Doors!$A:$A,$D188,Doors!$B:$B,$B188,Doors!$C:$C,$C188)*SUMIFS(Velocity!$I:$I,Velocity!$A:$A,$A188,Velocity!$B:$B,$C188)/Assumptions!$B$4*Assumptions!$B$6</f>
        <v>0</v>
      </c>
      <c r="J188" s="7" t="n">
        <f aca="false">SUMIFS(Doors!V:V,Doors!$A:$A,$D188,Doors!$B:$B,$B188,Doors!$C:$C,$C188)*SUMIFS(Velocity!$I:$I,Velocity!$A:$A,$A188,Velocity!$B:$B,$C188)/Assumptions!$B$4*Assumptions!$B$6</f>
        <v>0</v>
      </c>
      <c r="K188" s="7" t="n">
        <f aca="false">SUMIFS(Doors!W:W,Doors!$A:$A,$D188,Doors!$B:$B,$B188,Doors!$C:$C,$C188)*SUMIFS(Velocity!$I:$I,Velocity!$A:$A,$A188,Velocity!$B:$B,$C188)/Assumptions!$B$4*Assumptions!$B$6</f>
        <v>0</v>
      </c>
      <c r="L188" s="7" t="n">
        <f aca="false">SUMIFS(Doors!X:X,Doors!$A:$A,$D188,Doors!$B:$B,$B188,Doors!$C:$C,$C188)*SUMIFS(Velocity!$I:$I,Velocity!$A:$A,$A188,Velocity!$B:$B,$C188)/Assumptions!$B$4*Assumptions!$B$6</f>
        <v>0</v>
      </c>
      <c r="M188" s="7" t="n">
        <f aca="false">SUMIFS(Doors!Y:Y,Doors!$A:$A,$D188,Doors!$B:$B,$B188,Doors!$C:$C,$C188)*SUMIFS(Velocity!$I:$I,Velocity!$A:$A,$A188,Velocity!$B:$B,$C188)/Assumptions!$B$4*Assumptions!$B$6</f>
        <v>0</v>
      </c>
      <c r="N188" s="7" t="n">
        <f aca="false">SUMIFS(Doors!Z:Z,Doors!$A:$A,$D188,Doors!$B:$B,$B188,Doors!$C:$C,$C188)*SUMIFS(Velocity!$I:$I,Velocity!$A:$A,$A188,Velocity!$B:$B,$C188)/Assumptions!$B$4*Assumptions!$B$6</f>
        <v>5.48333333333333</v>
      </c>
      <c r="O188" s="7" t="n">
        <f aca="false">SUMIFS(Doors!AA:AA,Doors!$A:$A,$D188,Doors!$B:$B,$B188,Doors!$C:$C,$C188)*SUMIFS(Velocity!$I:$I,Velocity!$A:$A,$A188,Velocity!$B:$B,$C188)/Assumptions!$B$4*Assumptions!$B$6</f>
        <v>5.48333333333333</v>
      </c>
      <c r="P188" s="7" t="n">
        <f aca="false">SUMIFS(Doors!AB:AB,Doors!$A:$A,$D188,Doors!$B:$B,$B188,Doors!$C:$C,$C188)*SUMIFS(Velocity!$I:$I,Velocity!$A:$A,$A188,Velocity!$B:$B,$C188)/Assumptions!$B$4*Assumptions!$B$6</f>
        <v>5.48333333333333</v>
      </c>
      <c r="Q188" s="7" t="n">
        <f aca="false">SUMIFS(Doors!AC:AC,Doors!$A:$A,$D188,Doors!$B:$B,$B188,Doors!$C:$C,$C188)*SUMIFS(Velocity!$I:$I,Velocity!$A:$A,$A188,Velocity!$B:$B,$C188)/Assumptions!$B$4*Assumptions!$B$6</f>
        <v>5.48333333333333</v>
      </c>
      <c r="R188" s="7" t="n">
        <f aca="false">SUMIFS(Doors!AD:AD,Doors!$A:$A,$D188,Doors!$B:$B,$B188,Doors!$C:$C,$C188)*SUMIFS(Velocity!$I:$I,Velocity!$A:$A,$A188,Velocity!$B:$B,$C188)/Assumptions!$B$4*Assumptions!$B$6</f>
        <v>10.28125</v>
      </c>
      <c r="S188" s="7" t="n">
        <f aca="false">SUMIFS(Doors!AE:AE,Doors!$A:$A,$D188,Doors!$B:$B,$B188,Doors!$C:$C,$C188)*SUMIFS(Velocity!$I:$I,Velocity!$A:$A,$A188,Velocity!$B:$B,$C188)/Assumptions!$B$4*Assumptions!$B$6</f>
        <v>10.28125</v>
      </c>
      <c r="T188" s="7" t="n">
        <f aca="false">SUMIFS(Doors!AF:AF,Doors!$A:$A,$D188,Doors!$B:$B,$B188,Doors!$C:$C,$C188)*SUMIFS(Velocity!$I:$I,Velocity!$A:$A,$A188,Velocity!$B:$B,$C188)/Assumptions!$B$4*Assumptions!$B$6</f>
        <v>10.28125</v>
      </c>
      <c r="U188" s="7" t="n">
        <f aca="false">SUMIFS(Doors!AG:AG,Doors!$A:$A,$D188,Doors!$B:$B,$B188,Doors!$C:$C,$C188)*SUMIFS(Velocity!$I:$I,Velocity!$A:$A,$A188,Velocity!$B:$B,$C188)/Assumptions!$B$4*Assumptions!$B$6</f>
        <v>10.28125</v>
      </c>
      <c r="V188" s="7" t="n">
        <f aca="false">SUMIFS(Doors!AH:AH,Doors!$A:$A,$D188,Doors!$B:$B,$B188,Doors!$C:$C,$C188)*SUMIFS(Velocity!$I:$I,Velocity!$A:$A,$A188,Velocity!$B:$B,$C188)/Assumptions!$B$4*Assumptions!$B$6</f>
        <v>10.28125</v>
      </c>
      <c r="W188" s="7" t="n">
        <f aca="false">SUMIFS(Doors!AI:AI,Doors!$A:$A,$D188,Doors!$B:$B,$B188,Doors!$C:$C,$C188)*SUMIFS(Velocity!$I:$I,Velocity!$A:$A,$A188,Velocity!$B:$B,$C188)/Assumptions!$B$4*Assumptions!$B$6</f>
        <v>13.7083333333333</v>
      </c>
      <c r="X188" s="7" t="n">
        <f aca="false">SUMIFS(Doors!AJ:AJ,Doors!$A:$A,$D188,Doors!$B:$B,$B188,Doors!$C:$C,$C188)*SUMIFS(Velocity!$I:$I,Velocity!$A:$A,$A188,Velocity!$B:$B,$C188)/Assumptions!$B$4*Assumptions!$B$6</f>
        <v>13.7083333333333</v>
      </c>
      <c r="Y188" s="7" t="n">
        <f aca="false">SUMIFS(Doors!AK:AK,Doors!$A:$A,$D188,Doors!$B:$B,$B188,Doors!$C:$C,$C188)*SUMIFS(Velocity!$I:$I,Velocity!$A:$A,$A188,Velocity!$B:$B,$C188)/Assumptions!$B$4*Assumptions!$B$6</f>
        <v>13.7083333333333</v>
      </c>
      <c r="Z188" s="7" t="n">
        <f aca="false">SUMIFS(Doors!AL:AL,Doors!$A:$A,$D188,Doors!$B:$B,$B188,Doors!$C:$C,$C188)*SUMIFS(Velocity!$I:$I,Velocity!$A:$A,$A188,Velocity!$B:$B,$C188)/Assumptions!$B$4*Assumptions!$B$6</f>
        <v>13.7083333333333</v>
      </c>
      <c r="AA188" s="7" t="n">
        <f aca="false">SUMIFS(Doors!AM:AM,Doors!$A:$A,$D188,Doors!$B:$B,$B188,Doors!$C:$C,$C188)*SUMIFS(Velocity!$I:$I,Velocity!$A:$A,$A188,Velocity!$B:$B,$C188)/Assumptions!$B$4*Assumptions!$B$6</f>
        <v>17.1354166666667</v>
      </c>
      <c r="AB188" s="7" t="n">
        <f aca="false">SUMIFS(Doors!AN:AN,Doors!$A:$A,$D188,Doors!$B:$B,$B188,Doors!$C:$C,$C188)*SUMIFS(Velocity!$I:$I,Velocity!$A:$A,$A188,Velocity!$B:$B,$C188)/Assumptions!$B$4*Assumptions!$B$6</f>
        <v>17.1354166666667</v>
      </c>
      <c r="AC188" s="7" t="n">
        <f aca="false">SUMIFS(Doors!AO:AO,Doors!$A:$A,$D188,Doors!$B:$B,$B188,Doors!$C:$C,$C188)*SUMIFS(Velocity!$I:$I,Velocity!$A:$A,$A188,Velocity!$B:$B,$C188)/Assumptions!$B$4*Assumptions!$B$6</f>
        <v>17.1354166666667</v>
      </c>
      <c r="AD188" s="7" t="n">
        <f aca="false">SUMIFS(Doors!AP:AP,Doors!$A:$A,$D188,Doors!$B:$B,$B188,Doors!$C:$C,$C188)*SUMIFS(Velocity!$I:$I,Velocity!$A:$A,$A188,Velocity!$B:$B,$C188)/Assumptions!$B$4*Assumptions!$B$6</f>
        <v>17.1354166666667</v>
      </c>
      <c r="AE188" s="7" t="n">
        <f aca="false">SUMIFS(Doors!AQ:AQ,Doors!$A:$A,$D188,Doors!$B:$B,$B188,Doors!$C:$C,$C188)*SUMIFS(Velocity!$I:$I,Velocity!$A:$A,$A188,Velocity!$B:$B,$C188)/Assumptions!$B$4*Assumptions!$B$6</f>
        <v>19.1916666666667</v>
      </c>
      <c r="AF188" s="7" t="n">
        <f aca="false">SUMIFS(Doors!AR:AR,Doors!$A:$A,$D188,Doors!$B:$B,$B188,Doors!$C:$C,$C188)*SUMIFS(Velocity!$I:$I,Velocity!$A:$A,$A188,Velocity!$B:$B,$C188)/Assumptions!$B$4*Assumptions!$B$6</f>
        <v>19.1916666666667</v>
      </c>
      <c r="AG188" s="7" t="n">
        <f aca="false">SUMIFS(Doors!AS:AS,Doors!$A:$A,$D188,Doors!$B:$B,$B188,Doors!$C:$C,$C188)*SUMIFS(Velocity!$I:$I,Velocity!$A:$A,$A188,Velocity!$B:$B,$C188)/Assumptions!$B$4*Assumptions!$B$6</f>
        <v>19.1916666666667</v>
      </c>
      <c r="AH188" s="7" t="n">
        <f aca="false">SUMIFS(Doors!AT:AT,Doors!$A:$A,$D188,Doors!$B:$B,$B188,Doors!$C:$C,$C188)*SUMIFS(Velocity!$I:$I,Velocity!$A:$A,$A188,Velocity!$B:$B,$C188)/Assumptions!$B$4*Assumptions!$B$6</f>
        <v>19.1916666666667</v>
      </c>
      <c r="AI188" s="7" t="n">
        <f aca="false">SUMIFS(Doors!AU:AU,Doors!$A:$A,$D188,Doors!$B:$B,$B188,Doors!$C:$C,$C188)*SUMIFS(Velocity!$I:$I,Velocity!$A:$A,$A188,Velocity!$B:$B,$C188)/Assumptions!$B$4*Assumptions!$B$6</f>
        <v>19.1916666666667</v>
      </c>
      <c r="AJ188" s="7" t="n">
        <f aca="false">SUMIFS(Doors!AV:AV,Doors!$A:$A,$D188,Doors!$B:$B,$B188,Doors!$C:$C,$C188)*SUMIFS(Velocity!$I:$I,Velocity!$A:$A,$A188,Velocity!$B:$B,$C188)/Assumptions!$B$4*Assumptions!$B$6</f>
        <v>20.5625</v>
      </c>
      <c r="AK188" s="7" t="n">
        <f aca="false">SUMIFS(Doors!AW:AW,Doors!$A:$A,$D188,Doors!$B:$B,$B188,Doors!$C:$C,$C188)*SUMIFS(Velocity!$I:$I,Velocity!$A:$A,$A188,Velocity!$B:$B,$C188)/Assumptions!$B$4*Assumptions!$B$6</f>
        <v>20.5625</v>
      </c>
      <c r="AL188" s="7" t="n">
        <f aca="false">SUMIFS(Doors!AX:AX,Doors!$A:$A,$D188,Doors!$B:$B,$B188,Doors!$C:$C,$C188)*SUMIFS(Velocity!$I:$I,Velocity!$A:$A,$A188,Velocity!$B:$B,$C188)/Assumptions!$B$4*Assumptions!$B$6</f>
        <v>20.5625</v>
      </c>
      <c r="AM188" s="7" t="n">
        <f aca="false">SUMIFS(Doors!AY:AY,Doors!$A:$A,$D188,Doors!$B:$B,$B188,Doors!$C:$C,$C188)*SUMIFS(Velocity!$I:$I,Velocity!$A:$A,$A188,Velocity!$B:$B,$C188)/Assumptions!$B$4*Assumptions!$B$6</f>
        <v>20.5625</v>
      </c>
      <c r="AN188" s="7" t="n">
        <f aca="false">SUMIFS(Doors!AZ:AZ,Doors!$A:$A,$D188,Doors!$B:$B,$B188,Doors!$C:$C,$C188)*SUMIFS(Velocity!$I:$I,Velocity!$A:$A,$A188,Velocity!$B:$B,$C188)/Assumptions!$B$4*Assumptions!$B$6</f>
        <v>22.61875</v>
      </c>
      <c r="AO188" s="7" t="n">
        <f aca="false">SUMIFS(Doors!BA:BA,Doors!$A:$A,$D188,Doors!$B:$B,$B188,Doors!$C:$C,$C188)*SUMIFS(Velocity!$I:$I,Velocity!$A:$A,$A188,Velocity!$B:$B,$C188)/Assumptions!$B$4*Assumptions!$B$6</f>
        <v>22.61875</v>
      </c>
      <c r="AP188" s="7" t="n">
        <f aca="false">SUMIFS(Doors!BB:BB,Doors!$A:$A,$D188,Doors!$B:$B,$B188,Doors!$C:$C,$C188)*SUMIFS(Velocity!$I:$I,Velocity!$A:$A,$A188,Velocity!$B:$B,$C188)/Assumptions!$B$4*Assumptions!$B$6</f>
        <v>22.61875</v>
      </c>
      <c r="AQ188" s="7" t="n">
        <f aca="false">SUMIFS(Doors!BC:BC,Doors!$A:$A,$D188,Doors!$B:$B,$B188,Doors!$C:$C,$C188)*SUMIFS(Velocity!$I:$I,Velocity!$A:$A,$A188,Velocity!$B:$B,$C188)/Assumptions!$B$4*Assumptions!$B$6</f>
        <v>22.61875</v>
      </c>
      <c r="AR188" s="7" t="n">
        <f aca="false">SUMIFS(Doors!BD:BD,Doors!$A:$A,$D188,Doors!$B:$B,$B188,Doors!$C:$C,$C188)*SUMIFS(Velocity!$I:$I,Velocity!$A:$A,$A188,Velocity!$B:$B,$C188)/Assumptions!$B$4*Assumptions!$B$6</f>
        <v>24.675</v>
      </c>
      <c r="AS188" s="7" t="n">
        <f aca="false">SUMIFS(Doors!BE:BE,Doors!$A:$A,$D188,Doors!$B:$B,$B188,Doors!$C:$C,$C188)*SUMIFS(Velocity!$I:$I,Velocity!$A:$A,$A188,Velocity!$B:$B,$C188)/Assumptions!$B$4*Assumptions!$B$6</f>
        <v>24.675</v>
      </c>
      <c r="AT188" s="7" t="n">
        <f aca="false">SUMIFS(Doors!BF:BF,Doors!$A:$A,$D188,Doors!$B:$B,$B188,Doors!$C:$C,$C188)*SUMIFS(Velocity!$I:$I,Velocity!$A:$A,$A188,Velocity!$B:$B,$C188)/Assumptions!$B$4*Assumptions!$B$6</f>
        <v>24.675</v>
      </c>
      <c r="AU188" s="7" t="n">
        <f aca="false">SUMIFS(Doors!BG:BG,Doors!$A:$A,$D188,Doors!$B:$B,$B188,Doors!$C:$C,$C188)*SUMIFS(Velocity!$I:$I,Velocity!$A:$A,$A188,Velocity!$B:$B,$C188)/Assumptions!$B$4*Assumptions!$B$6</f>
        <v>24.675</v>
      </c>
      <c r="AV188" s="7" t="n">
        <f aca="false">SUMIFS(Doors!BH:BH,Doors!$A:$A,$D188,Doors!$B:$B,$B188,Doors!$C:$C,$C188)*SUMIFS(Velocity!$I:$I,Velocity!$A:$A,$A188,Velocity!$B:$B,$C188)/Assumptions!$B$4*Assumptions!$B$6</f>
        <v>24.675</v>
      </c>
      <c r="AW188" s="7" t="n">
        <f aca="false">SUMIFS(Doors!BI:BI,Doors!$A:$A,$D188,Doors!$B:$B,$B188,Doors!$C:$C,$C188)*SUMIFS(Velocity!$I:$I,Velocity!$A:$A,$A188,Velocity!$B:$B,$C188)/Assumptions!$B$4*Assumptions!$B$6</f>
        <v>26.0458333333333</v>
      </c>
      <c r="AX188" s="7" t="n">
        <f aca="false">SUMIFS(Doors!BJ:BJ,Doors!$A:$A,$D188,Doors!$B:$B,$B188,Doors!$C:$C,$C188)*SUMIFS(Velocity!$I:$I,Velocity!$A:$A,$A188,Velocity!$B:$B,$C188)/Assumptions!$B$4*Assumptions!$B$6</f>
        <v>26.0458333333333</v>
      </c>
      <c r="AY188" s="7" t="n">
        <f aca="false">SUMIFS(Doors!BK:BK,Doors!$A:$A,$D188,Doors!$B:$B,$B188,Doors!$C:$C,$C188)*SUMIFS(Velocity!$I:$I,Velocity!$A:$A,$A188,Velocity!$B:$B,$C188)/Assumptions!$B$4*Assumptions!$B$6</f>
        <v>26.0458333333333</v>
      </c>
      <c r="AZ188" s="7" t="n">
        <f aca="false">SUMIFS(Doors!BL:BL,Doors!$A:$A,$D188,Doors!$B:$B,$B188,Doors!$C:$C,$C188)*SUMIFS(Velocity!$I:$I,Velocity!$A:$A,$A188,Velocity!$B:$B,$C188)/Assumptions!$B$4*Assumptions!$B$6</f>
        <v>26.0458333333333</v>
      </c>
      <c r="BA188" s="7" t="n">
        <f aca="false">SUMIFS(Doors!BM:BM,Doors!$A:$A,$D188,Doors!$B:$B,$B188,Doors!$C:$C,$C188)*SUMIFS(Velocity!$I:$I,Velocity!$A:$A,$A188,Velocity!$B:$B,$C188)/Assumptions!$B$4*Assumptions!$B$6</f>
        <v>27.4166666666667</v>
      </c>
      <c r="BB188" s="7" t="n">
        <f aca="false">SUMIFS(Doors!BN:BN,Doors!$A:$A,$D188,Doors!$B:$B,$B188,Doors!$C:$C,$C188)*SUMIFS(Velocity!$I:$I,Velocity!$A:$A,$A188,Velocity!$B:$B,$C188)/Assumptions!$B$4*Assumptions!$B$6</f>
        <v>27.4166666666667</v>
      </c>
      <c r="BC188" s="7" t="n">
        <f aca="false">SUMIFS(Doors!BO:BO,Doors!$A:$A,$D188,Doors!$B:$B,$B188,Doors!$C:$C,$C188)*SUMIFS(Velocity!$I:$I,Velocity!$A:$A,$A188,Velocity!$B:$B,$C188)/Assumptions!$B$4*Assumptions!$B$6</f>
        <v>27.4166666666667</v>
      </c>
      <c r="BD188" s="7" t="n">
        <f aca="false">SUMIFS(Doors!BP:BP,Doors!$A:$A,$D188,Doors!$B:$B,$B188,Doors!$C:$C,$C188)*SUMIFS(Velocity!$I:$I,Velocity!$A:$A,$A188,Velocity!$B:$B,$C188)/Assumptions!$B$4*Assumptions!$B$6</f>
        <v>27.4166666666667</v>
      </c>
    </row>
    <row r="189" customFormat="false" ht="15" hidden="false" customHeight="false" outlineLevel="0" collapsed="false">
      <c r="A189" s="0" t="s">
        <v>110</v>
      </c>
      <c r="B189" s="0" t="s">
        <v>126</v>
      </c>
      <c r="C189" s="0" t="s">
        <v>118</v>
      </c>
      <c r="D189" s="0" t="s">
        <v>235</v>
      </c>
      <c r="E189" s="7" t="n">
        <f aca="false">SUMIFS(Doors!Q:Q,Doors!$A:$A,$D189,Doors!$B:$B,$B189,Doors!$C:$C,$C189)*SUMIFS(Velocity!$I:$I,Velocity!$A:$A,$A189,Velocity!$B:$B,$C189)/Assumptions!$B$4*Assumptions!$B$6</f>
        <v>0</v>
      </c>
      <c r="F189" s="7" t="n">
        <f aca="false">SUMIFS(Doors!R:R,Doors!$A:$A,$D189,Doors!$B:$B,$B189,Doors!$C:$C,$C189)*SUMIFS(Velocity!$I:$I,Velocity!$A:$A,$A189,Velocity!$B:$B,$C189)/Assumptions!$B$4*Assumptions!$B$6</f>
        <v>0</v>
      </c>
      <c r="G189" s="7" t="n">
        <f aca="false">SUMIFS(Doors!S:S,Doors!$A:$A,$D189,Doors!$B:$B,$B189,Doors!$C:$C,$C189)*SUMIFS(Velocity!$I:$I,Velocity!$A:$A,$A189,Velocity!$B:$B,$C189)/Assumptions!$B$4*Assumptions!$B$6</f>
        <v>0</v>
      </c>
      <c r="H189" s="7" t="n">
        <f aca="false">SUMIFS(Doors!T:T,Doors!$A:$A,$D189,Doors!$B:$B,$B189,Doors!$C:$C,$C189)*SUMIFS(Velocity!$I:$I,Velocity!$A:$A,$A189,Velocity!$B:$B,$C189)/Assumptions!$B$4*Assumptions!$B$6</f>
        <v>0</v>
      </c>
      <c r="I189" s="7" t="n">
        <f aca="false">SUMIFS(Doors!U:U,Doors!$A:$A,$D189,Doors!$B:$B,$B189,Doors!$C:$C,$C189)*SUMIFS(Velocity!$I:$I,Velocity!$A:$A,$A189,Velocity!$B:$B,$C189)/Assumptions!$B$4*Assumptions!$B$6</f>
        <v>0</v>
      </c>
      <c r="J189" s="7" t="n">
        <f aca="false">SUMIFS(Doors!V:V,Doors!$A:$A,$D189,Doors!$B:$B,$B189,Doors!$C:$C,$C189)*SUMIFS(Velocity!$I:$I,Velocity!$A:$A,$A189,Velocity!$B:$B,$C189)/Assumptions!$B$4*Assumptions!$B$6</f>
        <v>0</v>
      </c>
      <c r="K189" s="7" t="n">
        <f aca="false">SUMIFS(Doors!W:W,Doors!$A:$A,$D189,Doors!$B:$B,$B189,Doors!$C:$C,$C189)*SUMIFS(Velocity!$I:$I,Velocity!$A:$A,$A189,Velocity!$B:$B,$C189)/Assumptions!$B$4*Assumptions!$B$6</f>
        <v>0</v>
      </c>
      <c r="L189" s="7" t="n">
        <f aca="false">SUMIFS(Doors!X:X,Doors!$A:$A,$D189,Doors!$B:$B,$B189,Doors!$C:$C,$C189)*SUMIFS(Velocity!$I:$I,Velocity!$A:$A,$A189,Velocity!$B:$B,$C189)/Assumptions!$B$4*Assumptions!$B$6</f>
        <v>0</v>
      </c>
      <c r="M189" s="7" t="n">
        <f aca="false">SUMIFS(Doors!Y:Y,Doors!$A:$A,$D189,Doors!$B:$B,$B189,Doors!$C:$C,$C189)*SUMIFS(Velocity!$I:$I,Velocity!$A:$A,$A189,Velocity!$B:$B,$C189)/Assumptions!$B$4*Assumptions!$B$6</f>
        <v>0</v>
      </c>
      <c r="N189" s="7" t="n">
        <f aca="false">SUMIFS(Doors!Z:Z,Doors!$A:$A,$D189,Doors!$B:$B,$B189,Doors!$C:$C,$C189)*SUMIFS(Velocity!$I:$I,Velocity!$A:$A,$A189,Velocity!$B:$B,$C189)/Assumptions!$B$4*Assumptions!$B$6</f>
        <v>0</v>
      </c>
      <c r="O189" s="7" t="n">
        <f aca="false">SUMIFS(Doors!AA:AA,Doors!$A:$A,$D189,Doors!$B:$B,$B189,Doors!$C:$C,$C189)*SUMIFS(Velocity!$I:$I,Velocity!$A:$A,$A189,Velocity!$B:$B,$C189)/Assumptions!$B$4*Assumptions!$B$6</f>
        <v>0</v>
      </c>
      <c r="P189" s="7" t="n">
        <f aca="false">SUMIFS(Doors!AB:AB,Doors!$A:$A,$D189,Doors!$B:$B,$B189,Doors!$C:$C,$C189)*SUMIFS(Velocity!$I:$I,Velocity!$A:$A,$A189,Velocity!$B:$B,$C189)/Assumptions!$B$4*Assumptions!$B$6</f>
        <v>0</v>
      </c>
      <c r="Q189" s="7" t="n">
        <f aca="false">SUMIFS(Doors!AC:AC,Doors!$A:$A,$D189,Doors!$B:$B,$B189,Doors!$C:$C,$C189)*SUMIFS(Velocity!$I:$I,Velocity!$A:$A,$A189,Velocity!$B:$B,$C189)/Assumptions!$B$4*Assumptions!$B$6</f>
        <v>0</v>
      </c>
      <c r="R189" s="7" t="n">
        <f aca="false">SUMIFS(Doors!AD:AD,Doors!$A:$A,$D189,Doors!$B:$B,$B189,Doors!$C:$C,$C189)*SUMIFS(Velocity!$I:$I,Velocity!$A:$A,$A189,Velocity!$B:$B,$C189)/Assumptions!$B$4*Assumptions!$B$6</f>
        <v>0</v>
      </c>
      <c r="S189" s="7" t="n">
        <f aca="false">SUMIFS(Doors!AE:AE,Doors!$A:$A,$D189,Doors!$B:$B,$B189,Doors!$C:$C,$C189)*SUMIFS(Velocity!$I:$I,Velocity!$A:$A,$A189,Velocity!$B:$B,$C189)/Assumptions!$B$4*Assumptions!$B$6</f>
        <v>0</v>
      </c>
      <c r="T189" s="7" t="n">
        <f aca="false">SUMIFS(Doors!AF:AF,Doors!$A:$A,$D189,Doors!$B:$B,$B189,Doors!$C:$C,$C189)*SUMIFS(Velocity!$I:$I,Velocity!$A:$A,$A189,Velocity!$B:$B,$C189)/Assumptions!$B$4*Assumptions!$B$6</f>
        <v>0</v>
      </c>
      <c r="U189" s="7" t="n">
        <f aca="false">SUMIFS(Doors!AG:AG,Doors!$A:$A,$D189,Doors!$B:$B,$B189,Doors!$C:$C,$C189)*SUMIFS(Velocity!$I:$I,Velocity!$A:$A,$A189,Velocity!$B:$B,$C189)/Assumptions!$B$4*Assumptions!$B$6</f>
        <v>0</v>
      </c>
      <c r="V189" s="7" t="n">
        <f aca="false">SUMIFS(Doors!AH:AH,Doors!$A:$A,$D189,Doors!$B:$B,$B189,Doors!$C:$C,$C189)*SUMIFS(Velocity!$I:$I,Velocity!$A:$A,$A189,Velocity!$B:$B,$C189)/Assumptions!$B$4*Assumptions!$B$6</f>
        <v>0</v>
      </c>
      <c r="W189" s="7" t="n">
        <f aca="false">SUMIFS(Doors!AI:AI,Doors!$A:$A,$D189,Doors!$B:$B,$B189,Doors!$C:$C,$C189)*SUMIFS(Velocity!$I:$I,Velocity!$A:$A,$A189,Velocity!$B:$B,$C189)/Assumptions!$B$4*Assumptions!$B$6</f>
        <v>0</v>
      </c>
      <c r="X189" s="7" t="n">
        <f aca="false">SUMIFS(Doors!AJ:AJ,Doors!$A:$A,$D189,Doors!$B:$B,$B189,Doors!$C:$C,$C189)*SUMIFS(Velocity!$I:$I,Velocity!$A:$A,$A189,Velocity!$B:$B,$C189)/Assumptions!$B$4*Assumptions!$B$6</f>
        <v>0</v>
      </c>
      <c r="Y189" s="7" t="n">
        <f aca="false">SUMIFS(Doors!AK:AK,Doors!$A:$A,$D189,Doors!$B:$B,$B189,Doors!$C:$C,$C189)*SUMIFS(Velocity!$I:$I,Velocity!$A:$A,$A189,Velocity!$B:$B,$C189)/Assumptions!$B$4*Assumptions!$B$6</f>
        <v>0</v>
      </c>
      <c r="Z189" s="7" t="n">
        <f aca="false">SUMIFS(Doors!AL:AL,Doors!$A:$A,$D189,Doors!$B:$B,$B189,Doors!$C:$C,$C189)*SUMIFS(Velocity!$I:$I,Velocity!$A:$A,$A189,Velocity!$B:$B,$C189)/Assumptions!$B$4*Assumptions!$B$6</f>
        <v>0</v>
      </c>
      <c r="AA189" s="7" t="n">
        <f aca="false">SUMIFS(Doors!AM:AM,Doors!$A:$A,$D189,Doors!$B:$B,$B189,Doors!$C:$C,$C189)*SUMIFS(Velocity!$I:$I,Velocity!$A:$A,$A189,Velocity!$B:$B,$C189)/Assumptions!$B$4*Assumptions!$B$6</f>
        <v>0</v>
      </c>
      <c r="AB189" s="7" t="n">
        <f aca="false">SUMIFS(Doors!AN:AN,Doors!$A:$A,$D189,Doors!$B:$B,$B189,Doors!$C:$C,$C189)*SUMIFS(Velocity!$I:$I,Velocity!$A:$A,$A189,Velocity!$B:$B,$C189)/Assumptions!$B$4*Assumptions!$B$6</f>
        <v>0</v>
      </c>
      <c r="AC189" s="7" t="n">
        <f aca="false">SUMIFS(Doors!AO:AO,Doors!$A:$A,$D189,Doors!$B:$B,$B189,Doors!$C:$C,$C189)*SUMIFS(Velocity!$I:$I,Velocity!$A:$A,$A189,Velocity!$B:$B,$C189)/Assumptions!$B$4*Assumptions!$B$6</f>
        <v>0</v>
      </c>
      <c r="AD189" s="7" t="n">
        <f aca="false">SUMIFS(Doors!AP:AP,Doors!$A:$A,$D189,Doors!$B:$B,$B189,Doors!$C:$C,$C189)*SUMIFS(Velocity!$I:$I,Velocity!$A:$A,$A189,Velocity!$B:$B,$C189)/Assumptions!$B$4*Assumptions!$B$6</f>
        <v>0</v>
      </c>
      <c r="AE189" s="7" t="n">
        <f aca="false">SUMIFS(Doors!AQ:AQ,Doors!$A:$A,$D189,Doors!$B:$B,$B189,Doors!$C:$C,$C189)*SUMIFS(Velocity!$I:$I,Velocity!$A:$A,$A189,Velocity!$B:$B,$C189)/Assumptions!$B$4*Assumptions!$B$6</f>
        <v>505</v>
      </c>
      <c r="AF189" s="7" t="n">
        <f aca="false">SUMIFS(Doors!AR:AR,Doors!$A:$A,$D189,Doors!$B:$B,$B189,Doors!$C:$C,$C189)*SUMIFS(Velocity!$I:$I,Velocity!$A:$A,$A189,Velocity!$B:$B,$C189)/Assumptions!$B$4*Assumptions!$B$6</f>
        <v>505</v>
      </c>
      <c r="AG189" s="7" t="n">
        <f aca="false">SUMIFS(Doors!AS:AS,Doors!$A:$A,$D189,Doors!$B:$B,$B189,Doors!$C:$C,$C189)*SUMIFS(Velocity!$I:$I,Velocity!$A:$A,$A189,Velocity!$B:$B,$C189)/Assumptions!$B$4*Assumptions!$B$6</f>
        <v>505</v>
      </c>
      <c r="AH189" s="7" t="n">
        <f aca="false">SUMIFS(Doors!AT:AT,Doors!$A:$A,$D189,Doors!$B:$B,$B189,Doors!$C:$C,$C189)*SUMIFS(Velocity!$I:$I,Velocity!$A:$A,$A189,Velocity!$B:$B,$C189)/Assumptions!$B$4*Assumptions!$B$6</f>
        <v>505</v>
      </c>
      <c r="AI189" s="7" t="n">
        <f aca="false">SUMIFS(Doors!AU:AU,Doors!$A:$A,$D189,Doors!$B:$B,$B189,Doors!$C:$C,$C189)*SUMIFS(Velocity!$I:$I,Velocity!$A:$A,$A189,Velocity!$B:$B,$C189)/Assumptions!$B$4*Assumptions!$B$6</f>
        <v>505</v>
      </c>
      <c r="AJ189" s="7" t="n">
        <f aca="false">SUMIFS(Doors!AV:AV,Doors!$A:$A,$D189,Doors!$B:$B,$B189,Doors!$C:$C,$C189)*SUMIFS(Velocity!$I:$I,Velocity!$A:$A,$A189,Velocity!$B:$B,$C189)/Assumptions!$B$4*Assumptions!$B$6</f>
        <v>0</v>
      </c>
      <c r="AK189" s="7" t="n">
        <f aca="false">SUMIFS(Doors!AW:AW,Doors!$A:$A,$D189,Doors!$B:$B,$B189,Doors!$C:$C,$C189)*SUMIFS(Velocity!$I:$I,Velocity!$A:$A,$A189,Velocity!$B:$B,$C189)/Assumptions!$B$4*Assumptions!$B$6</f>
        <v>0</v>
      </c>
      <c r="AL189" s="7" t="n">
        <f aca="false">SUMIFS(Doors!AX:AX,Doors!$A:$A,$D189,Doors!$B:$B,$B189,Doors!$C:$C,$C189)*SUMIFS(Velocity!$I:$I,Velocity!$A:$A,$A189,Velocity!$B:$B,$C189)/Assumptions!$B$4*Assumptions!$B$6</f>
        <v>0</v>
      </c>
      <c r="AM189" s="7" t="n">
        <f aca="false">SUMIFS(Doors!AY:AY,Doors!$A:$A,$D189,Doors!$B:$B,$B189,Doors!$C:$C,$C189)*SUMIFS(Velocity!$I:$I,Velocity!$A:$A,$A189,Velocity!$B:$B,$C189)/Assumptions!$B$4*Assumptions!$B$6</f>
        <v>0</v>
      </c>
      <c r="AN189" s="7" t="n">
        <f aca="false">SUMIFS(Doors!AZ:AZ,Doors!$A:$A,$D189,Doors!$B:$B,$B189,Doors!$C:$C,$C189)*SUMIFS(Velocity!$I:$I,Velocity!$A:$A,$A189,Velocity!$B:$B,$C189)/Assumptions!$B$4*Assumptions!$B$6</f>
        <v>0</v>
      </c>
      <c r="AO189" s="7" t="n">
        <f aca="false">SUMIFS(Doors!BA:BA,Doors!$A:$A,$D189,Doors!$B:$B,$B189,Doors!$C:$C,$C189)*SUMIFS(Velocity!$I:$I,Velocity!$A:$A,$A189,Velocity!$B:$B,$C189)/Assumptions!$B$4*Assumptions!$B$6</f>
        <v>0</v>
      </c>
      <c r="AP189" s="7" t="n">
        <f aca="false">SUMIFS(Doors!BB:BB,Doors!$A:$A,$D189,Doors!$B:$B,$B189,Doors!$C:$C,$C189)*SUMIFS(Velocity!$I:$I,Velocity!$A:$A,$A189,Velocity!$B:$B,$C189)/Assumptions!$B$4*Assumptions!$B$6</f>
        <v>0</v>
      </c>
      <c r="AQ189" s="7" t="n">
        <f aca="false">SUMIFS(Doors!BC:BC,Doors!$A:$A,$D189,Doors!$B:$B,$B189,Doors!$C:$C,$C189)*SUMIFS(Velocity!$I:$I,Velocity!$A:$A,$A189,Velocity!$B:$B,$C189)/Assumptions!$B$4*Assumptions!$B$6</f>
        <v>0</v>
      </c>
      <c r="AR189" s="7" t="n">
        <f aca="false">SUMIFS(Doors!BD:BD,Doors!$A:$A,$D189,Doors!$B:$B,$B189,Doors!$C:$C,$C189)*SUMIFS(Velocity!$I:$I,Velocity!$A:$A,$A189,Velocity!$B:$B,$C189)/Assumptions!$B$4*Assumptions!$B$6</f>
        <v>210.416666666667</v>
      </c>
      <c r="AS189" s="7" t="n">
        <f aca="false">SUMIFS(Doors!BE:BE,Doors!$A:$A,$D189,Doors!$B:$B,$B189,Doors!$C:$C,$C189)*SUMIFS(Velocity!$I:$I,Velocity!$A:$A,$A189,Velocity!$B:$B,$C189)/Assumptions!$B$4*Assumptions!$B$6</f>
        <v>210.416666666667</v>
      </c>
      <c r="AT189" s="7" t="n">
        <f aca="false">SUMIFS(Doors!BF:BF,Doors!$A:$A,$D189,Doors!$B:$B,$B189,Doors!$C:$C,$C189)*SUMIFS(Velocity!$I:$I,Velocity!$A:$A,$A189,Velocity!$B:$B,$C189)/Assumptions!$B$4*Assumptions!$B$6</f>
        <v>210.416666666667</v>
      </c>
      <c r="AU189" s="7" t="n">
        <f aca="false">SUMIFS(Doors!BG:BG,Doors!$A:$A,$D189,Doors!$B:$B,$B189,Doors!$C:$C,$C189)*SUMIFS(Velocity!$I:$I,Velocity!$A:$A,$A189,Velocity!$B:$B,$C189)/Assumptions!$B$4*Assumptions!$B$6</f>
        <v>210.416666666667</v>
      </c>
      <c r="AV189" s="7" t="n">
        <f aca="false">SUMIFS(Doors!BH:BH,Doors!$A:$A,$D189,Doors!$B:$B,$B189,Doors!$C:$C,$C189)*SUMIFS(Velocity!$I:$I,Velocity!$A:$A,$A189,Velocity!$B:$B,$C189)/Assumptions!$B$4*Assumptions!$B$6</f>
        <v>210.416666666667</v>
      </c>
      <c r="AW189" s="7" t="n">
        <f aca="false">SUMIFS(Doors!BI:BI,Doors!$A:$A,$D189,Doors!$B:$B,$B189,Doors!$C:$C,$C189)*SUMIFS(Velocity!$I:$I,Velocity!$A:$A,$A189,Velocity!$B:$B,$C189)/Assumptions!$B$4*Assumptions!$B$6</f>
        <v>210.416666666667</v>
      </c>
      <c r="AX189" s="7" t="n">
        <f aca="false">SUMIFS(Doors!BJ:BJ,Doors!$A:$A,$D189,Doors!$B:$B,$B189,Doors!$C:$C,$C189)*SUMIFS(Velocity!$I:$I,Velocity!$A:$A,$A189,Velocity!$B:$B,$C189)/Assumptions!$B$4*Assumptions!$B$6</f>
        <v>210.416666666667</v>
      </c>
      <c r="AY189" s="7" t="n">
        <f aca="false">SUMIFS(Doors!BK:BK,Doors!$A:$A,$D189,Doors!$B:$B,$B189,Doors!$C:$C,$C189)*SUMIFS(Velocity!$I:$I,Velocity!$A:$A,$A189,Velocity!$B:$B,$C189)/Assumptions!$B$4*Assumptions!$B$6</f>
        <v>210.416666666667</v>
      </c>
      <c r="AZ189" s="7" t="n">
        <f aca="false">SUMIFS(Doors!BL:BL,Doors!$A:$A,$D189,Doors!$B:$B,$B189,Doors!$C:$C,$C189)*SUMIFS(Velocity!$I:$I,Velocity!$A:$A,$A189,Velocity!$B:$B,$C189)/Assumptions!$B$4*Assumptions!$B$6</f>
        <v>210.416666666667</v>
      </c>
      <c r="BA189" s="7" t="n">
        <f aca="false">SUMIFS(Doors!BM:BM,Doors!$A:$A,$D189,Doors!$B:$B,$B189,Doors!$C:$C,$C189)*SUMIFS(Velocity!$I:$I,Velocity!$A:$A,$A189,Velocity!$B:$B,$C189)/Assumptions!$B$4*Assumptions!$B$6</f>
        <v>210.416666666667</v>
      </c>
      <c r="BB189" s="7" t="n">
        <f aca="false">SUMIFS(Doors!BN:BN,Doors!$A:$A,$D189,Doors!$B:$B,$B189,Doors!$C:$C,$C189)*SUMIFS(Velocity!$I:$I,Velocity!$A:$A,$A189,Velocity!$B:$B,$C189)/Assumptions!$B$4*Assumptions!$B$6</f>
        <v>210.416666666667</v>
      </c>
      <c r="BC189" s="7" t="n">
        <f aca="false">SUMIFS(Doors!BO:BO,Doors!$A:$A,$D189,Doors!$B:$B,$B189,Doors!$C:$C,$C189)*SUMIFS(Velocity!$I:$I,Velocity!$A:$A,$A189,Velocity!$B:$B,$C189)/Assumptions!$B$4*Assumptions!$B$6</f>
        <v>210.416666666667</v>
      </c>
      <c r="BD189" s="7" t="n">
        <f aca="false">SUMIFS(Doors!BP:BP,Doors!$A:$A,$D189,Doors!$B:$B,$B189,Doors!$C:$C,$C189)*SUMIFS(Velocity!$I:$I,Velocity!$A:$A,$A189,Velocity!$B:$B,$C189)/Assumptions!$B$4*Assumptions!$B$6</f>
        <v>210.416666666667</v>
      </c>
    </row>
    <row r="190" customFormat="false" ht="15" hidden="false" customHeight="false" outlineLevel="0" collapsed="false">
      <c r="A190" s="0" t="s">
        <v>110</v>
      </c>
      <c r="B190" s="0" t="s">
        <v>126</v>
      </c>
      <c r="C190" s="0" t="s">
        <v>119</v>
      </c>
      <c r="D190" s="0" t="s">
        <v>235</v>
      </c>
      <c r="E190" s="7" t="n">
        <f aca="false">SUMIFS(Doors!Q:Q,Doors!$A:$A,$D190,Doors!$B:$B,$B190,Doors!$C:$C,$C190)*SUMIFS(Velocity!$I:$I,Velocity!$A:$A,$A190,Velocity!$B:$B,$C190)/Assumptions!$B$4*Assumptions!$B$6</f>
        <v>5</v>
      </c>
      <c r="F190" s="7" t="n">
        <f aca="false">SUMIFS(Doors!R:R,Doors!$A:$A,$D190,Doors!$B:$B,$B190,Doors!$C:$C,$C190)*SUMIFS(Velocity!$I:$I,Velocity!$A:$A,$A190,Velocity!$B:$B,$C190)/Assumptions!$B$4*Assumptions!$B$6</f>
        <v>5</v>
      </c>
      <c r="G190" s="7" t="n">
        <f aca="false">SUMIFS(Doors!S:S,Doors!$A:$A,$D190,Doors!$B:$B,$B190,Doors!$C:$C,$C190)*SUMIFS(Velocity!$I:$I,Velocity!$A:$A,$A190,Velocity!$B:$B,$C190)/Assumptions!$B$4*Assumptions!$B$6</f>
        <v>5</v>
      </c>
      <c r="H190" s="7" t="n">
        <f aca="false">SUMIFS(Doors!T:T,Doors!$A:$A,$D190,Doors!$B:$B,$B190,Doors!$C:$C,$C190)*SUMIFS(Velocity!$I:$I,Velocity!$A:$A,$A190,Velocity!$B:$B,$C190)/Assumptions!$B$4*Assumptions!$B$6</f>
        <v>5</v>
      </c>
      <c r="I190" s="7" t="n">
        <f aca="false">SUMIFS(Doors!U:U,Doors!$A:$A,$D190,Doors!$B:$B,$B190,Doors!$C:$C,$C190)*SUMIFS(Velocity!$I:$I,Velocity!$A:$A,$A190,Velocity!$B:$B,$C190)/Assumptions!$B$4*Assumptions!$B$6</f>
        <v>5</v>
      </c>
      <c r="J190" s="7" t="n">
        <f aca="false">SUMIFS(Doors!V:V,Doors!$A:$A,$D190,Doors!$B:$B,$B190,Doors!$C:$C,$C190)*SUMIFS(Velocity!$I:$I,Velocity!$A:$A,$A190,Velocity!$B:$B,$C190)/Assumptions!$B$4*Assumptions!$B$6</f>
        <v>6.66666666666667</v>
      </c>
      <c r="K190" s="7" t="n">
        <f aca="false">SUMIFS(Doors!W:W,Doors!$A:$A,$D190,Doors!$B:$B,$B190,Doors!$C:$C,$C190)*SUMIFS(Velocity!$I:$I,Velocity!$A:$A,$A190,Velocity!$B:$B,$C190)/Assumptions!$B$4*Assumptions!$B$6</f>
        <v>6.66666666666667</v>
      </c>
      <c r="L190" s="7" t="n">
        <f aca="false">SUMIFS(Doors!X:X,Doors!$A:$A,$D190,Doors!$B:$B,$B190,Doors!$C:$C,$C190)*SUMIFS(Velocity!$I:$I,Velocity!$A:$A,$A190,Velocity!$B:$B,$C190)/Assumptions!$B$4*Assumptions!$B$6</f>
        <v>6.66666666666667</v>
      </c>
      <c r="M190" s="7" t="n">
        <f aca="false">SUMIFS(Doors!Y:Y,Doors!$A:$A,$D190,Doors!$B:$B,$B190,Doors!$C:$C,$C190)*SUMIFS(Velocity!$I:$I,Velocity!$A:$A,$A190,Velocity!$B:$B,$C190)/Assumptions!$B$4*Assumptions!$B$6</f>
        <v>6.66666666666667</v>
      </c>
      <c r="N190" s="7" t="n">
        <f aca="false">SUMIFS(Doors!Z:Z,Doors!$A:$A,$D190,Doors!$B:$B,$B190,Doors!$C:$C,$C190)*SUMIFS(Velocity!$I:$I,Velocity!$A:$A,$A190,Velocity!$B:$B,$C190)/Assumptions!$B$4*Assumptions!$B$6</f>
        <v>9.16666666666667</v>
      </c>
      <c r="O190" s="7" t="n">
        <f aca="false">SUMIFS(Doors!AA:AA,Doors!$A:$A,$D190,Doors!$B:$B,$B190,Doors!$C:$C,$C190)*SUMIFS(Velocity!$I:$I,Velocity!$A:$A,$A190,Velocity!$B:$B,$C190)/Assumptions!$B$4*Assumptions!$B$6</f>
        <v>9.16666666666667</v>
      </c>
      <c r="P190" s="7" t="n">
        <f aca="false">SUMIFS(Doors!AB:AB,Doors!$A:$A,$D190,Doors!$B:$B,$B190,Doors!$C:$C,$C190)*SUMIFS(Velocity!$I:$I,Velocity!$A:$A,$A190,Velocity!$B:$B,$C190)/Assumptions!$B$4*Assumptions!$B$6</f>
        <v>9.16666666666667</v>
      </c>
      <c r="Q190" s="7" t="n">
        <f aca="false">SUMIFS(Doors!AC:AC,Doors!$A:$A,$D190,Doors!$B:$B,$B190,Doors!$C:$C,$C190)*SUMIFS(Velocity!$I:$I,Velocity!$A:$A,$A190,Velocity!$B:$B,$C190)/Assumptions!$B$4*Assumptions!$B$6</f>
        <v>9.16666666666667</v>
      </c>
      <c r="R190" s="7" t="n">
        <f aca="false">SUMIFS(Doors!AD:AD,Doors!$A:$A,$D190,Doors!$B:$B,$B190,Doors!$C:$C,$C190)*SUMIFS(Velocity!$I:$I,Velocity!$A:$A,$A190,Velocity!$B:$B,$C190)/Assumptions!$B$4*Assumptions!$B$6</f>
        <v>11.6666666666667</v>
      </c>
      <c r="S190" s="7" t="n">
        <f aca="false">SUMIFS(Doors!AE:AE,Doors!$A:$A,$D190,Doors!$B:$B,$B190,Doors!$C:$C,$C190)*SUMIFS(Velocity!$I:$I,Velocity!$A:$A,$A190,Velocity!$B:$B,$C190)/Assumptions!$B$4*Assumptions!$B$6</f>
        <v>11.6666666666667</v>
      </c>
      <c r="T190" s="7" t="n">
        <f aca="false">SUMIFS(Doors!AF:AF,Doors!$A:$A,$D190,Doors!$B:$B,$B190,Doors!$C:$C,$C190)*SUMIFS(Velocity!$I:$I,Velocity!$A:$A,$A190,Velocity!$B:$B,$C190)/Assumptions!$B$4*Assumptions!$B$6</f>
        <v>11.6666666666667</v>
      </c>
      <c r="U190" s="7" t="n">
        <f aca="false">SUMIFS(Doors!AG:AG,Doors!$A:$A,$D190,Doors!$B:$B,$B190,Doors!$C:$C,$C190)*SUMIFS(Velocity!$I:$I,Velocity!$A:$A,$A190,Velocity!$B:$B,$C190)/Assumptions!$B$4*Assumptions!$B$6</f>
        <v>11.6666666666667</v>
      </c>
      <c r="V190" s="7" t="n">
        <f aca="false">SUMIFS(Doors!AH:AH,Doors!$A:$A,$D190,Doors!$B:$B,$B190,Doors!$C:$C,$C190)*SUMIFS(Velocity!$I:$I,Velocity!$A:$A,$A190,Velocity!$B:$B,$C190)/Assumptions!$B$4*Assumptions!$B$6</f>
        <v>11.6666666666667</v>
      </c>
      <c r="W190" s="7" t="n">
        <f aca="false">SUMIFS(Doors!AI:AI,Doors!$A:$A,$D190,Doors!$B:$B,$B190,Doors!$C:$C,$C190)*SUMIFS(Velocity!$I:$I,Velocity!$A:$A,$A190,Velocity!$B:$B,$C190)/Assumptions!$B$4*Assumptions!$B$6</f>
        <v>13.3333333333333</v>
      </c>
      <c r="X190" s="7" t="n">
        <f aca="false">SUMIFS(Doors!AJ:AJ,Doors!$A:$A,$D190,Doors!$B:$B,$B190,Doors!$C:$C,$C190)*SUMIFS(Velocity!$I:$I,Velocity!$A:$A,$A190,Velocity!$B:$B,$C190)/Assumptions!$B$4*Assumptions!$B$6</f>
        <v>13.3333333333333</v>
      </c>
      <c r="Y190" s="7" t="n">
        <f aca="false">SUMIFS(Doors!AK:AK,Doors!$A:$A,$D190,Doors!$B:$B,$B190,Doors!$C:$C,$C190)*SUMIFS(Velocity!$I:$I,Velocity!$A:$A,$A190,Velocity!$B:$B,$C190)/Assumptions!$B$4*Assumptions!$B$6</f>
        <v>13.3333333333333</v>
      </c>
      <c r="Z190" s="7" t="n">
        <f aca="false">SUMIFS(Doors!AL:AL,Doors!$A:$A,$D190,Doors!$B:$B,$B190,Doors!$C:$C,$C190)*SUMIFS(Velocity!$I:$I,Velocity!$A:$A,$A190,Velocity!$B:$B,$C190)/Assumptions!$B$4*Assumptions!$B$6</f>
        <v>13.3333333333333</v>
      </c>
      <c r="AA190" s="7" t="n">
        <f aca="false">SUMIFS(Doors!AM:AM,Doors!$A:$A,$D190,Doors!$B:$B,$B190,Doors!$C:$C,$C190)*SUMIFS(Velocity!$I:$I,Velocity!$A:$A,$A190,Velocity!$B:$B,$C190)/Assumptions!$B$4*Assumptions!$B$6</f>
        <v>15</v>
      </c>
      <c r="AB190" s="7" t="n">
        <f aca="false">SUMIFS(Doors!AN:AN,Doors!$A:$A,$D190,Doors!$B:$B,$B190,Doors!$C:$C,$C190)*SUMIFS(Velocity!$I:$I,Velocity!$A:$A,$A190,Velocity!$B:$B,$C190)/Assumptions!$B$4*Assumptions!$B$6</f>
        <v>15</v>
      </c>
      <c r="AC190" s="7" t="n">
        <f aca="false">SUMIFS(Doors!AO:AO,Doors!$A:$A,$D190,Doors!$B:$B,$B190,Doors!$C:$C,$C190)*SUMIFS(Velocity!$I:$I,Velocity!$A:$A,$A190,Velocity!$B:$B,$C190)/Assumptions!$B$4*Assumptions!$B$6</f>
        <v>15</v>
      </c>
      <c r="AD190" s="7" t="n">
        <f aca="false">SUMIFS(Doors!AP:AP,Doors!$A:$A,$D190,Doors!$B:$B,$B190,Doors!$C:$C,$C190)*SUMIFS(Velocity!$I:$I,Velocity!$A:$A,$A190,Velocity!$B:$B,$C190)/Assumptions!$B$4*Assumptions!$B$6</f>
        <v>15</v>
      </c>
      <c r="AE190" s="7" t="n">
        <f aca="false">SUMIFS(Doors!AQ:AQ,Doors!$A:$A,$D190,Doors!$B:$B,$B190,Doors!$C:$C,$C190)*SUMIFS(Velocity!$I:$I,Velocity!$A:$A,$A190,Velocity!$B:$B,$C190)/Assumptions!$B$4*Assumptions!$B$6</f>
        <v>16.6666666666667</v>
      </c>
      <c r="AF190" s="7" t="n">
        <f aca="false">SUMIFS(Doors!AR:AR,Doors!$A:$A,$D190,Doors!$B:$B,$B190,Doors!$C:$C,$C190)*SUMIFS(Velocity!$I:$I,Velocity!$A:$A,$A190,Velocity!$B:$B,$C190)/Assumptions!$B$4*Assumptions!$B$6</f>
        <v>16.6666666666667</v>
      </c>
      <c r="AG190" s="7" t="n">
        <f aca="false">SUMIFS(Doors!AS:AS,Doors!$A:$A,$D190,Doors!$B:$B,$B190,Doors!$C:$C,$C190)*SUMIFS(Velocity!$I:$I,Velocity!$A:$A,$A190,Velocity!$B:$B,$C190)/Assumptions!$B$4*Assumptions!$B$6</f>
        <v>16.6666666666667</v>
      </c>
      <c r="AH190" s="7" t="n">
        <f aca="false">SUMIFS(Doors!AT:AT,Doors!$A:$A,$D190,Doors!$B:$B,$B190,Doors!$C:$C,$C190)*SUMIFS(Velocity!$I:$I,Velocity!$A:$A,$A190,Velocity!$B:$B,$C190)/Assumptions!$B$4*Assumptions!$B$6</f>
        <v>16.6666666666667</v>
      </c>
      <c r="AI190" s="7" t="n">
        <f aca="false">SUMIFS(Doors!AU:AU,Doors!$A:$A,$D190,Doors!$B:$B,$B190,Doors!$C:$C,$C190)*SUMIFS(Velocity!$I:$I,Velocity!$A:$A,$A190,Velocity!$B:$B,$C190)/Assumptions!$B$4*Assumptions!$B$6</f>
        <v>16.6666666666667</v>
      </c>
      <c r="AJ190" s="7" t="n">
        <f aca="false">SUMIFS(Doors!AV:AV,Doors!$A:$A,$D190,Doors!$B:$B,$B190,Doors!$C:$C,$C190)*SUMIFS(Velocity!$I:$I,Velocity!$A:$A,$A190,Velocity!$B:$B,$C190)/Assumptions!$B$4*Assumptions!$B$6</f>
        <v>17.5</v>
      </c>
      <c r="AK190" s="7" t="n">
        <f aca="false">SUMIFS(Doors!AW:AW,Doors!$A:$A,$D190,Doors!$B:$B,$B190,Doors!$C:$C,$C190)*SUMIFS(Velocity!$I:$I,Velocity!$A:$A,$A190,Velocity!$B:$B,$C190)/Assumptions!$B$4*Assumptions!$B$6</f>
        <v>17.5</v>
      </c>
      <c r="AL190" s="7" t="n">
        <f aca="false">SUMIFS(Doors!AX:AX,Doors!$A:$A,$D190,Doors!$B:$B,$B190,Doors!$C:$C,$C190)*SUMIFS(Velocity!$I:$I,Velocity!$A:$A,$A190,Velocity!$B:$B,$C190)/Assumptions!$B$4*Assumptions!$B$6</f>
        <v>17.5</v>
      </c>
      <c r="AM190" s="7" t="n">
        <f aca="false">SUMIFS(Doors!AY:AY,Doors!$A:$A,$D190,Doors!$B:$B,$B190,Doors!$C:$C,$C190)*SUMIFS(Velocity!$I:$I,Velocity!$A:$A,$A190,Velocity!$B:$B,$C190)/Assumptions!$B$4*Assumptions!$B$6</f>
        <v>17.5</v>
      </c>
      <c r="AN190" s="7" t="n">
        <f aca="false">SUMIFS(Doors!AZ:AZ,Doors!$A:$A,$D190,Doors!$B:$B,$B190,Doors!$C:$C,$C190)*SUMIFS(Velocity!$I:$I,Velocity!$A:$A,$A190,Velocity!$B:$B,$C190)/Assumptions!$B$4*Assumptions!$B$6</f>
        <v>18.3333333333333</v>
      </c>
      <c r="AO190" s="7" t="n">
        <f aca="false">SUMIFS(Doors!BA:BA,Doors!$A:$A,$D190,Doors!$B:$B,$B190,Doors!$C:$C,$C190)*SUMIFS(Velocity!$I:$I,Velocity!$A:$A,$A190,Velocity!$B:$B,$C190)/Assumptions!$B$4*Assumptions!$B$6</f>
        <v>18.3333333333333</v>
      </c>
      <c r="AP190" s="7" t="n">
        <f aca="false">SUMIFS(Doors!BB:BB,Doors!$A:$A,$D190,Doors!$B:$B,$B190,Doors!$C:$C,$C190)*SUMIFS(Velocity!$I:$I,Velocity!$A:$A,$A190,Velocity!$B:$B,$C190)/Assumptions!$B$4*Assumptions!$B$6</f>
        <v>18.3333333333333</v>
      </c>
      <c r="AQ190" s="7" t="n">
        <f aca="false">SUMIFS(Doors!BC:BC,Doors!$A:$A,$D190,Doors!$B:$B,$B190,Doors!$C:$C,$C190)*SUMIFS(Velocity!$I:$I,Velocity!$A:$A,$A190,Velocity!$B:$B,$C190)/Assumptions!$B$4*Assumptions!$B$6</f>
        <v>18.3333333333333</v>
      </c>
      <c r="AR190" s="7" t="n">
        <f aca="false">SUMIFS(Doors!BD:BD,Doors!$A:$A,$D190,Doors!$B:$B,$B190,Doors!$C:$C,$C190)*SUMIFS(Velocity!$I:$I,Velocity!$A:$A,$A190,Velocity!$B:$B,$C190)/Assumptions!$B$4*Assumptions!$B$6</f>
        <v>19.1666666666667</v>
      </c>
      <c r="AS190" s="7" t="n">
        <f aca="false">SUMIFS(Doors!BE:BE,Doors!$A:$A,$D190,Doors!$B:$B,$B190,Doors!$C:$C,$C190)*SUMIFS(Velocity!$I:$I,Velocity!$A:$A,$A190,Velocity!$B:$B,$C190)/Assumptions!$B$4*Assumptions!$B$6</f>
        <v>19.1666666666667</v>
      </c>
      <c r="AT190" s="7" t="n">
        <f aca="false">SUMIFS(Doors!BF:BF,Doors!$A:$A,$D190,Doors!$B:$B,$B190,Doors!$C:$C,$C190)*SUMIFS(Velocity!$I:$I,Velocity!$A:$A,$A190,Velocity!$B:$B,$C190)/Assumptions!$B$4*Assumptions!$B$6</f>
        <v>19.1666666666667</v>
      </c>
      <c r="AU190" s="7" t="n">
        <f aca="false">SUMIFS(Doors!BG:BG,Doors!$A:$A,$D190,Doors!$B:$B,$B190,Doors!$C:$C,$C190)*SUMIFS(Velocity!$I:$I,Velocity!$A:$A,$A190,Velocity!$B:$B,$C190)/Assumptions!$B$4*Assumptions!$B$6</f>
        <v>19.1666666666667</v>
      </c>
      <c r="AV190" s="7" t="n">
        <f aca="false">SUMIFS(Doors!BH:BH,Doors!$A:$A,$D190,Doors!$B:$B,$B190,Doors!$C:$C,$C190)*SUMIFS(Velocity!$I:$I,Velocity!$A:$A,$A190,Velocity!$B:$B,$C190)/Assumptions!$B$4*Assumptions!$B$6</f>
        <v>19.1666666666667</v>
      </c>
      <c r="AW190" s="7" t="n">
        <f aca="false">SUMIFS(Doors!BI:BI,Doors!$A:$A,$D190,Doors!$B:$B,$B190,Doors!$C:$C,$C190)*SUMIFS(Velocity!$I:$I,Velocity!$A:$A,$A190,Velocity!$B:$B,$C190)/Assumptions!$B$4*Assumptions!$B$6</f>
        <v>19.6666666666667</v>
      </c>
      <c r="AX190" s="7" t="n">
        <f aca="false">SUMIFS(Doors!BJ:BJ,Doors!$A:$A,$D190,Doors!$B:$B,$B190,Doors!$C:$C,$C190)*SUMIFS(Velocity!$I:$I,Velocity!$A:$A,$A190,Velocity!$B:$B,$C190)/Assumptions!$B$4*Assumptions!$B$6</f>
        <v>19.6666666666667</v>
      </c>
      <c r="AY190" s="7" t="n">
        <f aca="false">SUMIFS(Doors!BK:BK,Doors!$A:$A,$D190,Doors!$B:$B,$B190,Doors!$C:$C,$C190)*SUMIFS(Velocity!$I:$I,Velocity!$A:$A,$A190,Velocity!$B:$B,$C190)/Assumptions!$B$4*Assumptions!$B$6</f>
        <v>19.6666666666667</v>
      </c>
      <c r="AZ190" s="7" t="n">
        <f aca="false">SUMIFS(Doors!BL:BL,Doors!$A:$A,$D190,Doors!$B:$B,$B190,Doors!$C:$C,$C190)*SUMIFS(Velocity!$I:$I,Velocity!$A:$A,$A190,Velocity!$B:$B,$C190)/Assumptions!$B$4*Assumptions!$B$6</f>
        <v>19.6666666666667</v>
      </c>
      <c r="BA190" s="7" t="n">
        <f aca="false">SUMIFS(Doors!BM:BM,Doors!$A:$A,$D190,Doors!$B:$B,$B190,Doors!$C:$C,$C190)*SUMIFS(Velocity!$I:$I,Velocity!$A:$A,$A190,Velocity!$B:$B,$C190)/Assumptions!$B$4*Assumptions!$B$6</f>
        <v>20</v>
      </c>
      <c r="BB190" s="7" t="n">
        <f aca="false">SUMIFS(Doors!BN:BN,Doors!$A:$A,$D190,Doors!$B:$B,$B190,Doors!$C:$C,$C190)*SUMIFS(Velocity!$I:$I,Velocity!$A:$A,$A190,Velocity!$B:$B,$C190)/Assumptions!$B$4*Assumptions!$B$6</f>
        <v>20</v>
      </c>
      <c r="BC190" s="7" t="n">
        <f aca="false">SUMIFS(Doors!BO:BO,Doors!$A:$A,$D190,Doors!$B:$B,$B190,Doors!$C:$C,$C190)*SUMIFS(Velocity!$I:$I,Velocity!$A:$A,$A190,Velocity!$B:$B,$C190)/Assumptions!$B$4*Assumptions!$B$6</f>
        <v>20</v>
      </c>
      <c r="BD190" s="7" t="n">
        <f aca="false">SUMIFS(Doors!BP:BP,Doors!$A:$A,$D190,Doors!$B:$B,$B190,Doors!$C:$C,$C190)*SUMIFS(Velocity!$I:$I,Velocity!$A:$A,$A190,Velocity!$B:$B,$C190)/Assumptions!$B$4*Assumptions!$B$6</f>
        <v>20</v>
      </c>
    </row>
    <row r="191" customFormat="false" ht="15" hidden="false" customHeight="false" outlineLevel="0" collapsed="false">
      <c r="A191" s="0" t="s">
        <v>110</v>
      </c>
      <c r="B191" s="0" t="s">
        <v>126</v>
      </c>
      <c r="C191" s="0" t="s">
        <v>120</v>
      </c>
      <c r="D191" s="0" t="s">
        <v>235</v>
      </c>
      <c r="E191" s="7" t="n">
        <f aca="false">SUMIFS(Doors!Q:Q,Doors!$A:$A,$D191,Doors!$B:$B,$B191,Doors!$C:$C,$C191)*SUMIFS(Velocity!$I:$I,Velocity!$A:$A,$A191,Velocity!$B:$B,$C191)/Assumptions!$B$4*Assumptions!$B$6</f>
        <v>3.95833333333333</v>
      </c>
      <c r="F191" s="7" t="n">
        <f aca="false">SUMIFS(Doors!R:R,Doors!$A:$A,$D191,Doors!$B:$B,$B191,Doors!$C:$C,$C191)*SUMIFS(Velocity!$I:$I,Velocity!$A:$A,$A191,Velocity!$B:$B,$C191)/Assumptions!$B$4*Assumptions!$B$6</f>
        <v>3.95833333333333</v>
      </c>
      <c r="G191" s="7" t="n">
        <f aca="false">SUMIFS(Doors!S:S,Doors!$A:$A,$D191,Doors!$B:$B,$B191,Doors!$C:$C,$C191)*SUMIFS(Velocity!$I:$I,Velocity!$A:$A,$A191,Velocity!$B:$B,$C191)/Assumptions!$B$4*Assumptions!$B$6</f>
        <v>3.95833333333333</v>
      </c>
      <c r="H191" s="7" t="n">
        <f aca="false">SUMIFS(Doors!T:T,Doors!$A:$A,$D191,Doors!$B:$B,$B191,Doors!$C:$C,$C191)*SUMIFS(Velocity!$I:$I,Velocity!$A:$A,$A191,Velocity!$B:$B,$C191)/Assumptions!$B$4*Assumptions!$B$6</f>
        <v>3.95833333333333</v>
      </c>
      <c r="I191" s="7" t="n">
        <f aca="false">SUMIFS(Doors!U:U,Doors!$A:$A,$D191,Doors!$B:$B,$B191,Doors!$C:$C,$C191)*SUMIFS(Velocity!$I:$I,Velocity!$A:$A,$A191,Velocity!$B:$B,$C191)/Assumptions!$B$4*Assumptions!$B$6</f>
        <v>3.95833333333333</v>
      </c>
      <c r="J191" s="7" t="n">
        <f aca="false">SUMIFS(Doors!V:V,Doors!$A:$A,$D191,Doors!$B:$B,$B191,Doors!$C:$C,$C191)*SUMIFS(Velocity!$I:$I,Velocity!$A:$A,$A191,Velocity!$B:$B,$C191)/Assumptions!$B$4*Assumptions!$B$6</f>
        <v>5.9375</v>
      </c>
      <c r="K191" s="7" t="n">
        <f aca="false">SUMIFS(Doors!W:W,Doors!$A:$A,$D191,Doors!$B:$B,$B191,Doors!$C:$C,$C191)*SUMIFS(Velocity!$I:$I,Velocity!$A:$A,$A191,Velocity!$B:$B,$C191)/Assumptions!$B$4*Assumptions!$B$6</f>
        <v>5.9375</v>
      </c>
      <c r="L191" s="7" t="n">
        <f aca="false">SUMIFS(Doors!X:X,Doors!$A:$A,$D191,Doors!$B:$B,$B191,Doors!$C:$C,$C191)*SUMIFS(Velocity!$I:$I,Velocity!$A:$A,$A191,Velocity!$B:$B,$C191)/Assumptions!$B$4*Assumptions!$B$6</f>
        <v>5.9375</v>
      </c>
      <c r="M191" s="7" t="n">
        <f aca="false">SUMIFS(Doors!Y:Y,Doors!$A:$A,$D191,Doors!$B:$B,$B191,Doors!$C:$C,$C191)*SUMIFS(Velocity!$I:$I,Velocity!$A:$A,$A191,Velocity!$B:$B,$C191)/Assumptions!$B$4*Assumptions!$B$6</f>
        <v>5.9375</v>
      </c>
      <c r="N191" s="7" t="n">
        <f aca="false">SUMIFS(Doors!Z:Z,Doors!$A:$A,$D191,Doors!$B:$B,$B191,Doors!$C:$C,$C191)*SUMIFS(Velocity!$I:$I,Velocity!$A:$A,$A191,Velocity!$B:$B,$C191)/Assumptions!$B$4*Assumptions!$B$6</f>
        <v>8.90625</v>
      </c>
      <c r="O191" s="7" t="n">
        <f aca="false">SUMIFS(Doors!AA:AA,Doors!$A:$A,$D191,Doors!$B:$B,$B191,Doors!$C:$C,$C191)*SUMIFS(Velocity!$I:$I,Velocity!$A:$A,$A191,Velocity!$B:$B,$C191)/Assumptions!$B$4*Assumptions!$B$6</f>
        <v>8.90625</v>
      </c>
      <c r="P191" s="7" t="n">
        <f aca="false">SUMIFS(Doors!AB:AB,Doors!$A:$A,$D191,Doors!$B:$B,$B191,Doors!$C:$C,$C191)*SUMIFS(Velocity!$I:$I,Velocity!$A:$A,$A191,Velocity!$B:$B,$C191)/Assumptions!$B$4*Assumptions!$B$6</f>
        <v>8.90625</v>
      </c>
      <c r="Q191" s="7" t="n">
        <f aca="false">SUMIFS(Doors!AC:AC,Doors!$A:$A,$D191,Doors!$B:$B,$B191,Doors!$C:$C,$C191)*SUMIFS(Velocity!$I:$I,Velocity!$A:$A,$A191,Velocity!$B:$B,$C191)/Assumptions!$B$4*Assumptions!$B$6</f>
        <v>8.90625</v>
      </c>
      <c r="R191" s="7" t="n">
        <f aca="false">SUMIFS(Doors!AD:AD,Doors!$A:$A,$D191,Doors!$B:$B,$B191,Doors!$C:$C,$C191)*SUMIFS(Velocity!$I:$I,Velocity!$A:$A,$A191,Velocity!$B:$B,$C191)/Assumptions!$B$4*Assumptions!$B$6</f>
        <v>11.875</v>
      </c>
      <c r="S191" s="7" t="n">
        <f aca="false">SUMIFS(Doors!AE:AE,Doors!$A:$A,$D191,Doors!$B:$B,$B191,Doors!$C:$C,$C191)*SUMIFS(Velocity!$I:$I,Velocity!$A:$A,$A191,Velocity!$B:$B,$C191)/Assumptions!$B$4*Assumptions!$B$6</f>
        <v>11.875</v>
      </c>
      <c r="T191" s="7" t="n">
        <f aca="false">SUMIFS(Doors!AF:AF,Doors!$A:$A,$D191,Doors!$B:$B,$B191,Doors!$C:$C,$C191)*SUMIFS(Velocity!$I:$I,Velocity!$A:$A,$A191,Velocity!$B:$B,$C191)/Assumptions!$B$4*Assumptions!$B$6</f>
        <v>11.875</v>
      </c>
      <c r="U191" s="7" t="n">
        <f aca="false">SUMIFS(Doors!AG:AG,Doors!$A:$A,$D191,Doors!$B:$B,$B191,Doors!$C:$C,$C191)*SUMIFS(Velocity!$I:$I,Velocity!$A:$A,$A191,Velocity!$B:$B,$C191)/Assumptions!$B$4*Assumptions!$B$6</f>
        <v>11.875</v>
      </c>
      <c r="V191" s="7" t="n">
        <f aca="false">SUMIFS(Doors!AH:AH,Doors!$A:$A,$D191,Doors!$B:$B,$B191,Doors!$C:$C,$C191)*SUMIFS(Velocity!$I:$I,Velocity!$A:$A,$A191,Velocity!$B:$B,$C191)/Assumptions!$B$4*Assumptions!$B$6</f>
        <v>11.875</v>
      </c>
      <c r="W191" s="7" t="n">
        <f aca="false">SUMIFS(Doors!AI:AI,Doors!$A:$A,$D191,Doors!$B:$B,$B191,Doors!$C:$C,$C191)*SUMIFS(Velocity!$I:$I,Velocity!$A:$A,$A191,Velocity!$B:$B,$C191)/Assumptions!$B$4*Assumptions!$B$6</f>
        <v>13.8541666666667</v>
      </c>
      <c r="X191" s="7" t="n">
        <f aca="false">SUMIFS(Doors!AJ:AJ,Doors!$A:$A,$D191,Doors!$B:$B,$B191,Doors!$C:$C,$C191)*SUMIFS(Velocity!$I:$I,Velocity!$A:$A,$A191,Velocity!$B:$B,$C191)/Assumptions!$B$4*Assumptions!$B$6</f>
        <v>13.8541666666667</v>
      </c>
      <c r="Y191" s="7" t="n">
        <f aca="false">SUMIFS(Doors!AK:AK,Doors!$A:$A,$D191,Doors!$B:$B,$B191,Doors!$C:$C,$C191)*SUMIFS(Velocity!$I:$I,Velocity!$A:$A,$A191,Velocity!$B:$B,$C191)/Assumptions!$B$4*Assumptions!$B$6</f>
        <v>13.8541666666667</v>
      </c>
      <c r="Z191" s="7" t="n">
        <f aca="false">SUMIFS(Doors!AL:AL,Doors!$A:$A,$D191,Doors!$B:$B,$B191,Doors!$C:$C,$C191)*SUMIFS(Velocity!$I:$I,Velocity!$A:$A,$A191,Velocity!$B:$B,$C191)/Assumptions!$B$4*Assumptions!$B$6</f>
        <v>13.8541666666667</v>
      </c>
      <c r="AA191" s="7" t="n">
        <f aca="false">SUMIFS(Doors!AM:AM,Doors!$A:$A,$D191,Doors!$B:$B,$B191,Doors!$C:$C,$C191)*SUMIFS(Velocity!$I:$I,Velocity!$A:$A,$A191,Velocity!$B:$B,$C191)/Assumptions!$B$4*Assumptions!$B$6</f>
        <v>15.8333333333333</v>
      </c>
      <c r="AB191" s="7" t="n">
        <f aca="false">SUMIFS(Doors!AN:AN,Doors!$A:$A,$D191,Doors!$B:$B,$B191,Doors!$C:$C,$C191)*SUMIFS(Velocity!$I:$I,Velocity!$A:$A,$A191,Velocity!$B:$B,$C191)/Assumptions!$B$4*Assumptions!$B$6</f>
        <v>15.8333333333333</v>
      </c>
      <c r="AC191" s="7" t="n">
        <f aca="false">SUMIFS(Doors!AO:AO,Doors!$A:$A,$D191,Doors!$B:$B,$B191,Doors!$C:$C,$C191)*SUMIFS(Velocity!$I:$I,Velocity!$A:$A,$A191,Velocity!$B:$B,$C191)/Assumptions!$B$4*Assumptions!$B$6</f>
        <v>15.8333333333333</v>
      </c>
      <c r="AD191" s="7" t="n">
        <f aca="false">SUMIFS(Doors!AP:AP,Doors!$A:$A,$D191,Doors!$B:$B,$B191,Doors!$C:$C,$C191)*SUMIFS(Velocity!$I:$I,Velocity!$A:$A,$A191,Velocity!$B:$B,$C191)/Assumptions!$B$4*Assumptions!$B$6</f>
        <v>15.8333333333333</v>
      </c>
      <c r="AE191" s="7" t="n">
        <f aca="false">SUMIFS(Doors!AQ:AQ,Doors!$A:$A,$D191,Doors!$B:$B,$B191,Doors!$C:$C,$C191)*SUMIFS(Velocity!$I:$I,Velocity!$A:$A,$A191,Velocity!$B:$B,$C191)/Assumptions!$B$4*Assumptions!$B$6</f>
        <v>17.4166666666667</v>
      </c>
      <c r="AF191" s="7" t="n">
        <f aca="false">SUMIFS(Doors!AR:AR,Doors!$A:$A,$D191,Doors!$B:$B,$B191,Doors!$C:$C,$C191)*SUMIFS(Velocity!$I:$I,Velocity!$A:$A,$A191,Velocity!$B:$B,$C191)/Assumptions!$B$4*Assumptions!$B$6</f>
        <v>17.4166666666667</v>
      </c>
      <c r="AG191" s="7" t="n">
        <f aca="false">SUMIFS(Doors!AS:AS,Doors!$A:$A,$D191,Doors!$B:$B,$B191,Doors!$C:$C,$C191)*SUMIFS(Velocity!$I:$I,Velocity!$A:$A,$A191,Velocity!$B:$B,$C191)/Assumptions!$B$4*Assumptions!$B$6</f>
        <v>17.4166666666667</v>
      </c>
      <c r="AH191" s="7" t="n">
        <f aca="false">SUMIFS(Doors!AT:AT,Doors!$A:$A,$D191,Doors!$B:$B,$B191,Doors!$C:$C,$C191)*SUMIFS(Velocity!$I:$I,Velocity!$A:$A,$A191,Velocity!$B:$B,$C191)/Assumptions!$B$4*Assumptions!$B$6</f>
        <v>17.4166666666667</v>
      </c>
      <c r="AI191" s="7" t="n">
        <f aca="false">SUMIFS(Doors!AU:AU,Doors!$A:$A,$D191,Doors!$B:$B,$B191,Doors!$C:$C,$C191)*SUMIFS(Velocity!$I:$I,Velocity!$A:$A,$A191,Velocity!$B:$B,$C191)/Assumptions!$B$4*Assumptions!$B$6</f>
        <v>17.4166666666667</v>
      </c>
      <c r="AJ191" s="7" t="n">
        <f aca="false">SUMIFS(Doors!AV:AV,Doors!$A:$A,$D191,Doors!$B:$B,$B191,Doors!$C:$C,$C191)*SUMIFS(Velocity!$I:$I,Velocity!$A:$A,$A191,Velocity!$B:$B,$C191)/Assumptions!$B$4*Assumptions!$B$6</f>
        <v>18.2083333333333</v>
      </c>
      <c r="AK191" s="7" t="n">
        <f aca="false">SUMIFS(Doors!AW:AW,Doors!$A:$A,$D191,Doors!$B:$B,$B191,Doors!$C:$C,$C191)*SUMIFS(Velocity!$I:$I,Velocity!$A:$A,$A191,Velocity!$B:$B,$C191)/Assumptions!$B$4*Assumptions!$B$6</f>
        <v>18.2083333333333</v>
      </c>
      <c r="AL191" s="7" t="n">
        <f aca="false">SUMIFS(Doors!AX:AX,Doors!$A:$A,$D191,Doors!$B:$B,$B191,Doors!$C:$C,$C191)*SUMIFS(Velocity!$I:$I,Velocity!$A:$A,$A191,Velocity!$B:$B,$C191)/Assumptions!$B$4*Assumptions!$B$6</f>
        <v>18.2083333333333</v>
      </c>
      <c r="AM191" s="7" t="n">
        <f aca="false">SUMIFS(Doors!AY:AY,Doors!$A:$A,$D191,Doors!$B:$B,$B191,Doors!$C:$C,$C191)*SUMIFS(Velocity!$I:$I,Velocity!$A:$A,$A191,Velocity!$B:$B,$C191)/Assumptions!$B$4*Assumptions!$B$6</f>
        <v>18.2083333333333</v>
      </c>
      <c r="AN191" s="7" t="n">
        <f aca="false">SUMIFS(Doors!AZ:AZ,Doors!$A:$A,$D191,Doors!$B:$B,$B191,Doors!$C:$C,$C191)*SUMIFS(Velocity!$I:$I,Velocity!$A:$A,$A191,Velocity!$B:$B,$C191)/Assumptions!$B$4*Assumptions!$B$6</f>
        <v>18.8020833333333</v>
      </c>
      <c r="AO191" s="7" t="n">
        <f aca="false">SUMIFS(Doors!BA:BA,Doors!$A:$A,$D191,Doors!$B:$B,$B191,Doors!$C:$C,$C191)*SUMIFS(Velocity!$I:$I,Velocity!$A:$A,$A191,Velocity!$B:$B,$C191)/Assumptions!$B$4*Assumptions!$B$6</f>
        <v>18.8020833333333</v>
      </c>
      <c r="AP191" s="7" t="n">
        <f aca="false">SUMIFS(Doors!BB:BB,Doors!$A:$A,$D191,Doors!$B:$B,$B191,Doors!$C:$C,$C191)*SUMIFS(Velocity!$I:$I,Velocity!$A:$A,$A191,Velocity!$B:$B,$C191)/Assumptions!$B$4*Assumptions!$B$6</f>
        <v>18.8020833333333</v>
      </c>
      <c r="AQ191" s="7" t="n">
        <f aca="false">SUMIFS(Doors!BC:BC,Doors!$A:$A,$D191,Doors!$B:$B,$B191,Doors!$C:$C,$C191)*SUMIFS(Velocity!$I:$I,Velocity!$A:$A,$A191,Velocity!$B:$B,$C191)/Assumptions!$B$4*Assumptions!$B$6</f>
        <v>18.8020833333333</v>
      </c>
      <c r="AR191" s="7" t="n">
        <f aca="false">SUMIFS(Doors!BD:BD,Doors!$A:$A,$D191,Doors!$B:$B,$B191,Doors!$C:$C,$C191)*SUMIFS(Velocity!$I:$I,Velocity!$A:$A,$A191,Velocity!$B:$B,$C191)/Assumptions!$B$4*Assumptions!$B$6</f>
        <v>19.3958333333333</v>
      </c>
      <c r="AS191" s="7" t="n">
        <f aca="false">SUMIFS(Doors!BE:BE,Doors!$A:$A,$D191,Doors!$B:$B,$B191,Doors!$C:$C,$C191)*SUMIFS(Velocity!$I:$I,Velocity!$A:$A,$A191,Velocity!$B:$B,$C191)/Assumptions!$B$4*Assumptions!$B$6</f>
        <v>19.3958333333333</v>
      </c>
      <c r="AT191" s="7" t="n">
        <f aca="false">SUMIFS(Doors!BF:BF,Doors!$A:$A,$D191,Doors!$B:$B,$B191,Doors!$C:$C,$C191)*SUMIFS(Velocity!$I:$I,Velocity!$A:$A,$A191,Velocity!$B:$B,$C191)/Assumptions!$B$4*Assumptions!$B$6</f>
        <v>19.3958333333333</v>
      </c>
      <c r="AU191" s="7" t="n">
        <f aca="false">SUMIFS(Doors!BG:BG,Doors!$A:$A,$D191,Doors!$B:$B,$B191,Doors!$C:$C,$C191)*SUMIFS(Velocity!$I:$I,Velocity!$A:$A,$A191,Velocity!$B:$B,$C191)/Assumptions!$B$4*Assumptions!$B$6</f>
        <v>19.3958333333333</v>
      </c>
      <c r="AV191" s="7" t="n">
        <f aca="false">SUMIFS(Doors!BH:BH,Doors!$A:$A,$D191,Doors!$B:$B,$B191,Doors!$C:$C,$C191)*SUMIFS(Velocity!$I:$I,Velocity!$A:$A,$A191,Velocity!$B:$B,$C191)/Assumptions!$B$4*Assumptions!$B$6</f>
        <v>19.3958333333333</v>
      </c>
      <c r="AW191" s="7" t="n">
        <f aca="false">SUMIFS(Doors!BI:BI,Doors!$A:$A,$D191,Doors!$B:$B,$B191,Doors!$C:$C,$C191)*SUMIFS(Velocity!$I:$I,Velocity!$A:$A,$A191,Velocity!$B:$B,$C191)/Assumptions!$B$4*Assumptions!$B$6</f>
        <v>19.7916666666667</v>
      </c>
      <c r="AX191" s="7" t="n">
        <f aca="false">SUMIFS(Doors!BJ:BJ,Doors!$A:$A,$D191,Doors!$B:$B,$B191,Doors!$C:$C,$C191)*SUMIFS(Velocity!$I:$I,Velocity!$A:$A,$A191,Velocity!$B:$B,$C191)/Assumptions!$B$4*Assumptions!$B$6</f>
        <v>19.7916666666667</v>
      </c>
      <c r="AY191" s="7" t="n">
        <f aca="false">SUMIFS(Doors!BK:BK,Doors!$A:$A,$D191,Doors!$B:$B,$B191,Doors!$C:$C,$C191)*SUMIFS(Velocity!$I:$I,Velocity!$A:$A,$A191,Velocity!$B:$B,$C191)/Assumptions!$B$4*Assumptions!$B$6</f>
        <v>19.7916666666667</v>
      </c>
      <c r="AZ191" s="7" t="n">
        <f aca="false">SUMIFS(Doors!BL:BL,Doors!$A:$A,$D191,Doors!$B:$B,$B191,Doors!$C:$C,$C191)*SUMIFS(Velocity!$I:$I,Velocity!$A:$A,$A191,Velocity!$B:$B,$C191)/Assumptions!$B$4*Assumptions!$B$6</f>
        <v>19.7916666666667</v>
      </c>
      <c r="BA191" s="7" t="n">
        <f aca="false">SUMIFS(Doors!BM:BM,Doors!$A:$A,$D191,Doors!$B:$B,$B191,Doors!$C:$C,$C191)*SUMIFS(Velocity!$I:$I,Velocity!$A:$A,$A191,Velocity!$B:$B,$C191)/Assumptions!$B$4*Assumptions!$B$6</f>
        <v>19.7916666666667</v>
      </c>
      <c r="BB191" s="7" t="n">
        <f aca="false">SUMIFS(Doors!BN:BN,Doors!$A:$A,$D191,Doors!$B:$B,$B191,Doors!$C:$C,$C191)*SUMIFS(Velocity!$I:$I,Velocity!$A:$A,$A191,Velocity!$B:$B,$C191)/Assumptions!$B$4*Assumptions!$B$6</f>
        <v>19.7916666666667</v>
      </c>
      <c r="BC191" s="7" t="n">
        <f aca="false">SUMIFS(Doors!BO:BO,Doors!$A:$A,$D191,Doors!$B:$B,$B191,Doors!$C:$C,$C191)*SUMIFS(Velocity!$I:$I,Velocity!$A:$A,$A191,Velocity!$B:$B,$C191)/Assumptions!$B$4*Assumptions!$B$6</f>
        <v>19.7916666666667</v>
      </c>
      <c r="BD191" s="7" t="n">
        <f aca="false">SUMIFS(Doors!BP:BP,Doors!$A:$A,$D191,Doors!$B:$B,$B191,Doors!$C:$C,$C191)*SUMIFS(Velocity!$I:$I,Velocity!$A:$A,$A191,Velocity!$B:$B,$C191)/Assumptions!$B$4*Assumptions!$B$6</f>
        <v>19.7916666666667</v>
      </c>
    </row>
    <row r="192" customFormat="false" ht="15" hidden="false" customHeight="false" outlineLevel="0" collapsed="false">
      <c r="A192" s="0" t="s">
        <v>110</v>
      </c>
      <c r="B192" s="0" t="s">
        <v>126</v>
      </c>
      <c r="C192" s="0" t="s">
        <v>121</v>
      </c>
      <c r="D192" s="0" t="s">
        <v>235</v>
      </c>
      <c r="E192" s="7" t="n">
        <f aca="false">SUMIFS(Doors!Q:Q,Doors!$A:$A,$D192,Doors!$B:$B,$B192,Doors!$C:$C,$C192)*SUMIFS(Velocity!$I:$I,Velocity!$A:$A,$A192,Velocity!$B:$B,$C192)/Assumptions!$B$4*Assumptions!$B$6</f>
        <v>4.5625</v>
      </c>
      <c r="F192" s="7" t="n">
        <f aca="false">SUMIFS(Doors!R:R,Doors!$A:$A,$D192,Doors!$B:$B,$B192,Doors!$C:$C,$C192)*SUMIFS(Velocity!$I:$I,Velocity!$A:$A,$A192,Velocity!$B:$B,$C192)/Assumptions!$B$4*Assumptions!$B$6</f>
        <v>4.5625</v>
      </c>
      <c r="G192" s="7" t="n">
        <f aca="false">SUMIFS(Doors!S:S,Doors!$A:$A,$D192,Doors!$B:$B,$B192,Doors!$C:$C,$C192)*SUMIFS(Velocity!$I:$I,Velocity!$A:$A,$A192,Velocity!$B:$B,$C192)/Assumptions!$B$4*Assumptions!$B$6</f>
        <v>4.5625</v>
      </c>
      <c r="H192" s="7" t="n">
        <f aca="false">SUMIFS(Doors!T:T,Doors!$A:$A,$D192,Doors!$B:$B,$B192,Doors!$C:$C,$C192)*SUMIFS(Velocity!$I:$I,Velocity!$A:$A,$A192,Velocity!$B:$B,$C192)/Assumptions!$B$4*Assumptions!$B$6</f>
        <v>4.5625</v>
      </c>
      <c r="I192" s="7" t="n">
        <f aca="false">SUMIFS(Doors!U:U,Doors!$A:$A,$D192,Doors!$B:$B,$B192,Doors!$C:$C,$C192)*SUMIFS(Velocity!$I:$I,Velocity!$A:$A,$A192,Velocity!$B:$B,$C192)/Assumptions!$B$4*Assumptions!$B$6</f>
        <v>4.5625</v>
      </c>
      <c r="J192" s="7" t="n">
        <f aca="false">SUMIFS(Doors!V:V,Doors!$A:$A,$D192,Doors!$B:$B,$B192,Doors!$C:$C,$C192)*SUMIFS(Velocity!$I:$I,Velocity!$A:$A,$A192,Velocity!$B:$B,$C192)/Assumptions!$B$4*Assumptions!$B$6</f>
        <v>6.69166666666667</v>
      </c>
      <c r="K192" s="7" t="n">
        <f aca="false">SUMIFS(Doors!W:W,Doors!$A:$A,$D192,Doors!$B:$B,$B192,Doors!$C:$C,$C192)*SUMIFS(Velocity!$I:$I,Velocity!$A:$A,$A192,Velocity!$B:$B,$C192)/Assumptions!$B$4*Assumptions!$B$6</f>
        <v>6.69166666666667</v>
      </c>
      <c r="L192" s="7" t="n">
        <f aca="false">SUMIFS(Doors!X:X,Doors!$A:$A,$D192,Doors!$B:$B,$B192,Doors!$C:$C,$C192)*SUMIFS(Velocity!$I:$I,Velocity!$A:$A,$A192,Velocity!$B:$B,$C192)/Assumptions!$B$4*Assumptions!$B$6</f>
        <v>6.69166666666667</v>
      </c>
      <c r="M192" s="7" t="n">
        <f aca="false">SUMIFS(Doors!Y:Y,Doors!$A:$A,$D192,Doors!$B:$B,$B192,Doors!$C:$C,$C192)*SUMIFS(Velocity!$I:$I,Velocity!$A:$A,$A192,Velocity!$B:$B,$C192)/Assumptions!$B$4*Assumptions!$B$6</f>
        <v>6.69166666666667</v>
      </c>
      <c r="N192" s="7" t="n">
        <f aca="false">SUMIFS(Doors!Z:Z,Doors!$A:$A,$D192,Doors!$B:$B,$B192,Doors!$C:$C,$C192)*SUMIFS(Velocity!$I:$I,Velocity!$A:$A,$A192,Velocity!$B:$B,$C192)/Assumptions!$B$4*Assumptions!$B$6</f>
        <v>9.125</v>
      </c>
      <c r="O192" s="7" t="n">
        <f aca="false">SUMIFS(Doors!AA:AA,Doors!$A:$A,$D192,Doors!$B:$B,$B192,Doors!$C:$C,$C192)*SUMIFS(Velocity!$I:$I,Velocity!$A:$A,$A192,Velocity!$B:$B,$C192)/Assumptions!$B$4*Assumptions!$B$6</f>
        <v>9.125</v>
      </c>
      <c r="P192" s="7" t="n">
        <f aca="false">SUMIFS(Doors!AB:AB,Doors!$A:$A,$D192,Doors!$B:$B,$B192,Doors!$C:$C,$C192)*SUMIFS(Velocity!$I:$I,Velocity!$A:$A,$A192,Velocity!$B:$B,$C192)/Assumptions!$B$4*Assumptions!$B$6</f>
        <v>9.125</v>
      </c>
      <c r="Q192" s="7" t="n">
        <f aca="false">SUMIFS(Doors!AC:AC,Doors!$A:$A,$D192,Doors!$B:$B,$B192,Doors!$C:$C,$C192)*SUMIFS(Velocity!$I:$I,Velocity!$A:$A,$A192,Velocity!$B:$B,$C192)/Assumptions!$B$4*Assumptions!$B$6</f>
        <v>9.125</v>
      </c>
      <c r="R192" s="7" t="n">
        <f aca="false">SUMIFS(Doors!AD:AD,Doors!$A:$A,$D192,Doors!$B:$B,$B192,Doors!$C:$C,$C192)*SUMIFS(Velocity!$I:$I,Velocity!$A:$A,$A192,Velocity!$B:$B,$C192)/Assumptions!$B$4*Assumptions!$B$6</f>
        <v>11.5583333333333</v>
      </c>
      <c r="S192" s="7" t="n">
        <f aca="false">SUMIFS(Doors!AE:AE,Doors!$A:$A,$D192,Doors!$B:$B,$B192,Doors!$C:$C,$C192)*SUMIFS(Velocity!$I:$I,Velocity!$A:$A,$A192,Velocity!$B:$B,$C192)/Assumptions!$B$4*Assumptions!$B$6</f>
        <v>11.5583333333333</v>
      </c>
      <c r="T192" s="7" t="n">
        <f aca="false">SUMIFS(Doors!AF:AF,Doors!$A:$A,$D192,Doors!$B:$B,$B192,Doors!$C:$C,$C192)*SUMIFS(Velocity!$I:$I,Velocity!$A:$A,$A192,Velocity!$B:$B,$C192)/Assumptions!$B$4*Assumptions!$B$6</f>
        <v>11.5583333333333</v>
      </c>
      <c r="U192" s="7" t="n">
        <f aca="false">SUMIFS(Doors!AG:AG,Doors!$A:$A,$D192,Doors!$B:$B,$B192,Doors!$C:$C,$C192)*SUMIFS(Velocity!$I:$I,Velocity!$A:$A,$A192,Velocity!$B:$B,$C192)/Assumptions!$B$4*Assumptions!$B$6</f>
        <v>11.5583333333333</v>
      </c>
      <c r="V192" s="7" t="n">
        <f aca="false">SUMIFS(Doors!AH:AH,Doors!$A:$A,$D192,Doors!$B:$B,$B192,Doors!$C:$C,$C192)*SUMIFS(Velocity!$I:$I,Velocity!$A:$A,$A192,Velocity!$B:$B,$C192)/Assumptions!$B$4*Assumptions!$B$6</f>
        <v>11.5583333333333</v>
      </c>
      <c r="W192" s="7" t="n">
        <f aca="false">SUMIFS(Doors!AI:AI,Doors!$A:$A,$D192,Doors!$B:$B,$B192,Doors!$C:$C,$C192)*SUMIFS(Velocity!$I:$I,Velocity!$A:$A,$A192,Velocity!$B:$B,$C192)/Assumptions!$B$4*Assumptions!$B$6</f>
        <v>13.3833333333333</v>
      </c>
      <c r="X192" s="7" t="n">
        <f aca="false">SUMIFS(Doors!AJ:AJ,Doors!$A:$A,$D192,Doors!$B:$B,$B192,Doors!$C:$C,$C192)*SUMIFS(Velocity!$I:$I,Velocity!$A:$A,$A192,Velocity!$B:$B,$C192)/Assumptions!$B$4*Assumptions!$B$6</f>
        <v>13.3833333333333</v>
      </c>
      <c r="Y192" s="7" t="n">
        <f aca="false">SUMIFS(Doors!AK:AK,Doors!$A:$A,$D192,Doors!$B:$B,$B192,Doors!$C:$C,$C192)*SUMIFS(Velocity!$I:$I,Velocity!$A:$A,$A192,Velocity!$B:$B,$C192)/Assumptions!$B$4*Assumptions!$B$6</f>
        <v>13.3833333333333</v>
      </c>
      <c r="Z192" s="7" t="n">
        <f aca="false">SUMIFS(Doors!AL:AL,Doors!$A:$A,$D192,Doors!$B:$B,$B192,Doors!$C:$C,$C192)*SUMIFS(Velocity!$I:$I,Velocity!$A:$A,$A192,Velocity!$B:$B,$C192)/Assumptions!$B$4*Assumptions!$B$6</f>
        <v>13.3833333333333</v>
      </c>
      <c r="AA192" s="7" t="n">
        <f aca="false">SUMIFS(Doors!AM:AM,Doors!$A:$A,$D192,Doors!$B:$B,$B192,Doors!$C:$C,$C192)*SUMIFS(Velocity!$I:$I,Velocity!$A:$A,$A192,Velocity!$B:$B,$C192)/Assumptions!$B$4*Assumptions!$B$6</f>
        <v>15.2083333333333</v>
      </c>
      <c r="AB192" s="7" t="n">
        <f aca="false">SUMIFS(Doors!AN:AN,Doors!$A:$A,$D192,Doors!$B:$B,$B192,Doors!$C:$C,$C192)*SUMIFS(Velocity!$I:$I,Velocity!$A:$A,$A192,Velocity!$B:$B,$C192)/Assumptions!$B$4*Assumptions!$B$6</f>
        <v>15.2083333333333</v>
      </c>
      <c r="AC192" s="7" t="n">
        <f aca="false">SUMIFS(Doors!AO:AO,Doors!$A:$A,$D192,Doors!$B:$B,$B192,Doors!$C:$C,$C192)*SUMIFS(Velocity!$I:$I,Velocity!$A:$A,$A192,Velocity!$B:$B,$C192)/Assumptions!$B$4*Assumptions!$B$6</f>
        <v>15.2083333333333</v>
      </c>
      <c r="AD192" s="7" t="n">
        <f aca="false">SUMIFS(Doors!AP:AP,Doors!$A:$A,$D192,Doors!$B:$B,$B192,Doors!$C:$C,$C192)*SUMIFS(Velocity!$I:$I,Velocity!$A:$A,$A192,Velocity!$B:$B,$C192)/Assumptions!$B$4*Assumptions!$B$6</f>
        <v>15.2083333333333</v>
      </c>
      <c r="AE192" s="7" t="n">
        <f aca="false">SUMIFS(Doors!AQ:AQ,Doors!$A:$A,$D192,Doors!$B:$B,$B192,Doors!$C:$C,$C192)*SUMIFS(Velocity!$I:$I,Velocity!$A:$A,$A192,Velocity!$B:$B,$C192)/Assumptions!$B$4*Assumptions!$B$6</f>
        <v>16.425</v>
      </c>
      <c r="AF192" s="7" t="n">
        <f aca="false">SUMIFS(Doors!AR:AR,Doors!$A:$A,$D192,Doors!$B:$B,$B192,Doors!$C:$C,$C192)*SUMIFS(Velocity!$I:$I,Velocity!$A:$A,$A192,Velocity!$B:$B,$C192)/Assumptions!$B$4*Assumptions!$B$6</f>
        <v>16.425</v>
      </c>
      <c r="AG192" s="7" t="n">
        <f aca="false">SUMIFS(Doors!AS:AS,Doors!$A:$A,$D192,Doors!$B:$B,$B192,Doors!$C:$C,$C192)*SUMIFS(Velocity!$I:$I,Velocity!$A:$A,$A192,Velocity!$B:$B,$C192)/Assumptions!$B$4*Assumptions!$B$6</f>
        <v>16.425</v>
      </c>
      <c r="AH192" s="7" t="n">
        <f aca="false">SUMIFS(Doors!AT:AT,Doors!$A:$A,$D192,Doors!$B:$B,$B192,Doors!$C:$C,$C192)*SUMIFS(Velocity!$I:$I,Velocity!$A:$A,$A192,Velocity!$B:$B,$C192)/Assumptions!$B$4*Assumptions!$B$6</f>
        <v>16.425</v>
      </c>
      <c r="AI192" s="7" t="n">
        <f aca="false">SUMIFS(Doors!AU:AU,Doors!$A:$A,$D192,Doors!$B:$B,$B192,Doors!$C:$C,$C192)*SUMIFS(Velocity!$I:$I,Velocity!$A:$A,$A192,Velocity!$B:$B,$C192)/Assumptions!$B$4*Assumptions!$B$6</f>
        <v>16.425</v>
      </c>
      <c r="AJ192" s="7" t="n">
        <f aca="false">SUMIFS(Doors!AV:AV,Doors!$A:$A,$D192,Doors!$B:$B,$B192,Doors!$C:$C,$C192)*SUMIFS(Velocity!$I:$I,Velocity!$A:$A,$A192,Velocity!$B:$B,$C192)/Assumptions!$B$4*Assumptions!$B$6</f>
        <v>17.0333333333333</v>
      </c>
      <c r="AK192" s="7" t="n">
        <f aca="false">SUMIFS(Doors!AW:AW,Doors!$A:$A,$D192,Doors!$B:$B,$B192,Doors!$C:$C,$C192)*SUMIFS(Velocity!$I:$I,Velocity!$A:$A,$A192,Velocity!$B:$B,$C192)/Assumptions!$B$4*Assumptions!$B$6</f>
        <v>17.0333333333333</v>
      </c>
      <c r="AL192" s="7" t="n">
        <f aca="false">SUMIFS(Doors!AX:AX,Doors!$A:$A,$D192,Doors!$B:$B,$B192,Doors!$C:$C,$C192)*SUMIFS(Velocity!$I:$I,Velocity!$A:$A,$A192,Velocity!$B:$B,$C192)/Assumptions!$B$4*Assumptions!$B$6</f>
        <v>17.0333333333333</v>
      </c>
      <c r="AM192" s="7" t="n">
        <f aca="false">SUMIFS(Doors!AY:AY,Doors!$A:$A,$D192,Doors!$B:$B,$B192,Doors!$C:$C,$C192)*SUMIFS(Velocity!$I:$I,Velocity!$A:$A,$A192,Velocity!$B:$B,$C192)/Assumptions!$B$4*Assumptions!$B$6</f>
        <v>17.0333333333333</v>
      </c>
      <c r="AN192" s="7" t="n">
        <f aca="false">SUMIFS(Doors!AZ:AZ,Doors!$A:$A,$D192,Doors!$B:$B,$B192,Doors!$C:$C,$C192)*SUMIFS(Velocity!$I:$I,Velocity!$A:$A,$A192,Velocity!$B:$B,$C192)/Assumptions!$B$4*Assumptions!$B$6</f>
        <v>17.6416666666667</v>
      </c>
      <c r="AO192" s="7" t="n">
        <f aca="false">SUMIFS(Doors!BA:BA,Doors!$A:$A,$D192,Doors!$B:$B,$B192,Doors!$C:$C,$C192)*SUMIFS(Velocity!$I:$I,Velocity!$A:$A,$A192,Velocity!$B:$B,$C192)/Assumptions!$B$4*Assumptions!$B$6</f>
        <v>17.6416666666667</v>
      </c>
      <c r="AP192" s="7" t="n">
        <f aca="false">SUMIFS(Doors!BB:BB,Doors!$A:$A,$D192,Doors!$B:$B,$B192,Doors!$C:$C,$C192)*SUMIFS(Velocity!$I:$I,Velocity!$A:$A,$A192,Velocity!$B:$B,$C192)/Assumptions!$B$4*Assumptions!$B$6</f>
        <v>17.6416666666667</v>
      </c>
      <c r="AQ192" s="7" t="n">
        <f aca="false">SUMIFS(Doors!BC:BC,Doors!$A:$A,$D192,Doors!$B:$B,$B192,Doors!$C:$C,$C192)*SUMIFS(Velocity!$I:$I,Velocity!$A:$A,$A192,Velocity!$B:$B,$C192)/Assumptions!$B$4*Assumptions!$B$6</f>
        <v>17.6416666666667</v>
      </c>
      <c r="AR192" s="7" t="n">
        <f aca="false">SUMIFS(Doors!BD:BD,Doors!$A:$A,$D192,Doors!$B:$B,$B192,Doors!$C:$C,$C192)*SUMIFS(Velocity!$I:$I,Velocity!$A:$A,$A192,Velocity!$B:$B,$C192)/Assumptions!$B$4*Assumptions!$B$6</f>
        <v>17.9458333333333</v>
      </c>
      <c r="AS192" s="7" t="n">
        <f aca="false">SUMIFS(Doors!BE:BE,Doors!$A:$A,$D192,Doors!$B:$B,$B192,Doors!$C:$C,$C192)*SUMIFS(Velocity!$I:$I,Velocity!$A:$A,$A192,Velocity!$B:$B,$C192)/Assumptions!$B$4*Assumptions!$B$6</f>
        <v>17.9458333333333</v>
      </c>
      <c r="AT192" s="7" t="n">
        <f aca="false">SUMIFS(Doors!BF:BF,Doors!$A:$A,$D192,Doors!$B:$B,$B192,Doors!$C:$C,$C192)*SUMIFS(Velocity!$I:$I,Velocity!$A:$A,$A192,Velocity!$B:$B,$C192)/Assumptions!$B$4*Assumptions!$B$6</f>
        <v>17.9458333333333</v>
      </c>
      <c r="AU192" s="7" t="n">
        <f aca="false">SUMIFS(Doors!BG:BG,Doors!$A:$A,$D192,Doors!$B:$B,$B192,Doors!$C:$C,$C192)*SUMIFS(Velocity!$I:$I,Velocity!$A:$A,$A192,Velocity!$B:$B,$C192)/Assumptions!$B$4*Assumptions!$B$6</f>
        <v>17.9458333333333</v>
      </c>
      <c r="AV192" s="7" t="n">
        <f aca="false">SUMIFS(Doors!BH:BH,Doors!$A:$A,$D192,Doors!$B:$B,$B192,Doors!$C:$C,$C192)*SUMIFS(Velocity!$I:$I,Velocity!$A:$A,$A192,Velocity!$B:$B,$C192)/Assumptions!$B$4*Assumptions!$B$6</f>
        <v>17.9458333333333</v>
      </c>
      <c r="AW192" s="7" t="n">
        <f aca="false">SUMIFS(Doors!BI:BI,Doors!$A:$A,$D192,Doors!$B:$B,$B192,Doors!$C:$C,$C192)*SUMIFS(Velocity!$I:$I,Velocity!$A:$A,$A192,Velocity!$B:$B,$C192)/Assumptions!$B$4*Assumptions!$B$6</f>
        <v>18.25</v>
      </c>
      <c r="AX192" s="7" t="n">
        <f aca="false">SUMIFS(Doors!BJ:BJ,Doors!$A:$A,$D192,Doors!$B:$B,$B192,Doors!$C:$C,$C192)*SUMIFS(Velocity!$I:$I,Velocity!$A:$A,$A192,Velocity!$B:$B,$C192)/Assumptions!$B$4*Assumptions!$B$6</f>
        <v>18.25</v>
      </c>
      <c r="AY192" s="7" t="n">
        <f aca="false">SUMIFS(Doors!BK:BK,Doors!$A:$A,$D192,Doors!$B:$B,$B192,Doors!$C:$C,$C192)*SUMIFS(Velocity!$I:$I,Velocity!$A:$A,$A192,Velocity!$B:$B,$C192)/Assumptions!$B$4*Assumptions!$B$6</f>
        <v>18.25</v>
      </c>
      <c r="AZ192" s="7" t="n">
        <f aca="false">SUMIFS(Doors!BL:BL,Doors!$A:$A,$D192,Doors!$B:$B,$B192,Doors!$C:$C,$C192)*SUMIFS(Velocity!$I:$I,Velocity!$A:$A,$A192,Velocity!$B:$B,$C192)/Assumptions!$B$4*Assumptions!$B$6</f>
        <v>18.25</v>
      </c>
      <c r="BA192" s="7" t="n">
        <f aca="false">SUMIFS(Doors!BM:BM,Doors!$A:$A,$D192,Doors!$B:$B,$B192,Doors!$C:$C,$C192)*SUMIFS(Velocity!$I:$I,Velocity!$A:$A,$A192,Velocity!$B:$B,$C192)/Assumptions!$B$4*Assumptions!$B$6</f>
        <v>18.25</v>
      </c>
      <c r="BB192" s="7" t="n">
        <f aca="false">SUMIFS(Doors!BN:BN,Doors!$A:$A,$D192,Doors!$B:$B,$B192,Doors!$C:$C,$C192)*SUMIFS(Velocity!$I:$I,Velocity!$A:$A,$A192,Velocity!$B:$B,$C192)/Assumptions!$B$4*Assumptions!$B$6</f>
        <v>18.25</v>
      </c>
      <c r="BC192" s="7" t="n">
        <f aca="false">SUMIFS(Doors!BO:BO,Doors!$A:$A,$D192,Doors!$B:$B,$B192,Doors!$C:$C,$C192)*SUMIFS(Velocity!$I:$I,Velocity!$A:$A,$A192,Velocity!$B:$B,$C192)/Assumptions!$B$4*Assumptions!$B$6</f>
        <v>18.25</v>
      </c>
      <c r="BD192" s="7" t="n">
        <f aca="false">SUMIFS(Doors!BP:BP,Doors!$A:$A,$D192,Doors!$B:$B,$B192,Doors!$C:$C,$C192)*SUMIFS(Velocity!$I:$I,Velocity!$A:$A,$A192,Velocity!$B:$B,$C192)/Assumptions!$B$4*Assumptions!$B$6</f>
        <v>18.25</v>
      </c>
    </row>
    <row r="193" customFormat="false" ht="15" hidden="false" customHeight="false" outlineLevel="0" collapsed="false">
      <c r="A193" s="0" t="s">
        <v>110</v>
      </c>
      <c r="B193" s="0" t="s">
        <v>126</v>
      </c>
      <c r="C193" s="0" t="s">
        <v>122</v>
      </c>
      <c r="D193" s="0" t="s">
        <v>235</v>
      </c>
      <c r="E193" s="7" t="n">
        <f aca="false">SUMIFS(Doors!Q:Q,Doors!$A:$A,$D193,Doors!$B:$B,$B193,Doors!$C:$C,$C193)*SUMIFS(Velocity!$I:$I,Velocity!$A:$A,$A193,Velocity!$B:$B,$C193)/Assumptions!$B$4*Assumptions!$B$6</f>
        <v>1.375</v>
      </c>
      <c r="F193" s="7" t="n">
        <f aca="false">SUMIFS(Doors!R:R,Doors!$A:$A,$D193,Doors!$B:$B,$B193,Doors!$C:$C,$C193)*SUMIFS(Velocity!$I:$I,Velocity!$A:$A,$A193,Velocity!$B:$B,$C193)/Assumptions!$B$4*Assumptions!$B$6</f>
        <v>1.375</v>
      </c>
      <c r="G193" s="7" t="n">
        <f aca="false">SUMIFS(Doors!S:S,Doors!$A:$A,$D193,Doors!$B:$B,$B193,Doors!$C:$C,$C193)*SUMIFS(Velocity!$I:$I,Velocity!$A:$A,$A193,Velocity!$B:$B,$C193)/Assumptions!$B$4*Assumptions!$B$6</f>
        <v>1.375</v>
      </c>
      <c r="H193" s="7" t="n">
        <f aca="false">SUMIFS(Doors!T:T,Doors!$A:$A,$D193,Doors!$B:$B,$B193,Doors!$C:$C,$C193)*SUMIFS(Velocity!$I:$I,Velocity!$A:$A,$A193,Velocity!$B:$B,$C193)/Assumptions!$B$4*Assumptions!$B$6</f>
        <v>1.375</v>
      </c>
      <c r="I193" s="7" t="n">
        <f aca="false">SUMIFS(Doors!U:U,Doors!$A:$A,$D193,Doors!$B:$B,$B193,Doors!$C:$C,$C193)*SUMIFS(Velocity!$I:$I,Velocity!$A:$A,$A193,Velocity!$B:$B,$C193)/Assumptions!$B$4*Assumptions!$B$6</f>
        <v>1.375</v>
      </c>
      <c r="J193" s="7" t="n">
        <f aca="false">SUMIFS(Doors!V:V,Doors!$A:$A,$D193,Doors!$B:$B,$B193,Doors!$C:$C,$C193)*SUMIFS(Velocity!$I:$I,Velocity!$A:$A,$A193,Velocity!$B:$B,$C193)/Assumptions!$B$4*Assumptions!$B$6</f>
        <v>2.0625</v>
      </c>
      <c r="K193" s="7" t="n">
        <f aca="false">SUMIFS(Doors!W:W,Doors!$A:$A,$D193,Doors!$B:$B,$B193,Doors!$C:$C,$C193)*SUMIFS(Velocity!$I:$I,Velocity!$A:$A,$A193,Velocity!$B:$B,$C193)/Assumptions!$B$4*Assumptions!$B$6</f>
        <v>2.0625</v>
      </c>
      <c r="L193" s="7" t="n">
        <f aca="false">SUMIFS(Doors!X:X,Doors!$A:$A,$D193,Doors!$B:$B,$B193,Doors!$C:$C,$C193)*SUMIFS(Velocity!$I:$I,Velocity!$A:$A,$A193,Velocity!$B:$B,$C193)/Assumptions!$B$4*Assumptions!$B$6</f>
        <v>2.0625</v>
      </c>
      <c r="M193" s="7" t="n">
        <f aca="false">SUMIFS(Doors!Y:Y,Doors!$A:$A,$D193,Doors!$B:$B,$B193,Doors!$C:$C,$C193)*SUMIFS(Velocity!$I:$I,Velocity!$A:$A,$A193,Velocity!$B:$B,$C193)/Assumptions!$B$4*Assumptions!$B$6</f>
        <v>2.0625</v>
      </c>
      <c r="N193" s="7" t="n">
        <f aca="false">SUMIFS(Doors!Z:Z,Doors!$A:$A,$D193,Doors!$B:$B,$B193,Doors!$C:$C,$C193)*SUMIFS(Velocity!$I:$I,Velocity!$A:$A,$A193,Velocity!$B:$B,$C193)/Assumptions!$B$4*Assumptions!$B$6</f>
        <v>3.025</v>
      </c>
      <c r="O193" s="7" t="n">
        <f aca="false">SUMIFS(Doors!AA:AA,Doors!$A:$A,$D193,Doors!$B:$B,$B193,Doors!$C:$C,$C193)*SUMIFS(Velocity!$I:$I,Velocity!$A:$A,$A193,Velocity!$B:$B,$C193)/Assumptions!$B$4*Assumptions!$B$6</f>
        <v>3.025</v>
      </c>
      <c r="P193" s="7" t="n">
        <f aca="false">SUMIFS(Doors!AB:AB,Doors!$A:$A,$D193,Doors!$B:$B,$B193,Doors!$C:$C,$C193)*SUMIFS(Velocity!$I:$I,Velocity!$A:$A,$A193,Velocity!$B:$B,$C193)/Assumptions!$B$4*Assumptions!$B$6</f>
        <v>3.025</v>
      </c>
      <c r="Q193" s="7" t="n">
        <f aca="false">SUMIFS(Doors!AC:AC,Doors!$A:$A,$D193,Doors!$B:$B,$B193,Doors!$C:$C,$C193)*SUMIFS(Velocity!$I:$I,Velocity!$A:$A,$A193,Velocity!$B:$B,$C193)/Assumptions!$B$4*Assumptions!$B$6</f>
        <v>3.025</v>
      </c>
      <c r="R193" s="7" t="n">
        <f aca="false">SUMIFS(Doors!AD:AD,Doors!$A:$A,$D193,Doors!$B:$B,$B193,Doors!$C:$C,$C193)*SUMIFS(Velocity!$I:$I,Velocity!$A:$A,$A193,Velocity!$B:$B,$C193)/Assumptions!$B$4*Assumptions!$B$6</f>
        <v>3.85</v>
      </c>
      <c r="S193" s="7" t="n">
        <f aca="false">SUMIFS(Doors!AE:AE,Doors!$A:$A,$D193,Doors!$B:$B,$B193,Doors!$C:$C,$C193)*SUMIFS(Velocity!$I:$I,Velocity!$A:$A,$A193,Velocity!$B:$B,$C193)/Assumptions!$B$4*Assumptions!$B$6</f>
        <v>3.85</v>
      </c>
      <c r="T193" s="7" t="n">
        <f aca="false">SUMIFS(Doors!AF:AF,Doors!$A:$A,$D193,Doors!$B:$B,$B193,Doors!$C:$C,$C193)*SUMIFS(Velocity!$I:$I,Velocity!$A:$A,$A193,Velocity!$B:$B,$C193)/Assumptions!$B$4*Assumptions!$B$6</f>
        <v>3.85</v>
      </c>
      <c r="U193" s="7" t="n">
        <f aca="false">SUMIFS(Doors!AG:AG,Doors!$A:$A,$D193,Doors!$B:$B,$B193,Doors!$C:$C,$C193)*SUMIFS(Velocity!$I:$I,Velocity!$A:$A,$A193,Velocity!$B:$B,$C193)/Assumptions!$B$4*Assumptions!$B$6</f>
        <v>3.85</v>
      </c>
      <c r="V193" s="7" t="n">
        <f aca="false">SUMIFS(Doors!AH:AH,Doors!$A:$A,$D193,Doors!$B:$B,$B193,Doors!$C:$C,$C193)*SUMIFS(Velocity!$I:$I,Velocity!$A:$A,$A193,Velocity!$B:$B,$C193)/Assumptions!$B$4*Assumptions!$B$6</f>
        <v>3.85</v>
      </c>
      <c r="W193" s="7" t="n">
        <f aca="false">SUMIFS(Doors!AI:AI,Doors!$A:$A,$D193,Doors!$B:$B,$B193,Doors!$C:$C,$C193)*SUMIFS(Velocity!$I:$I,Velocity!$A:$A,$A193,Velocity!$B:$B,$C193)/Assumptions!$B$4*Assumptions!$B$6</f>
        <v>4.675</v>
      </c>
      <c r="X193" s="7" t="n">
        <f aca="false">SUMIFS(Doors!AJ:AJ,Doors!$A:$A,$D193,Doors!$B:$B,$B193,Doors!$C:$C,$C193)*SUMIFS(Velocity!$I:$I,Velocity!$A:$A,$A193,Velocity!$B:$B,$C193)/Assumptions!$B$4*Assumptions!$B$6</f>
        <v>4.675</v>
      </c>
      <c r="Y193" s="7" t="n">
        <f aca="false">SUMIFS(Doors!AK:AK,Doors!$A:$A,$D193,Doors!$B:$B,$B193,Doors!$C:$C,$C193)*SUMIFS(Velocity!$I:$I,Velocity!$A:$A,$A193,Velocity!$B:$B,$C193)/Assumptions!$B$4*Assumptions!$B$6</f>
        <v>4.675</v>
      </c>
      <c r="Z193" s="7" t="n">
        <f aca="false">SUMIFS(Doors!AL:AL,Doors!$A:$A,$D193,Doors!$B:$B,$B193,Doors!$C:$C,$C193)*SUMIFS(Velocity!$I:$I,Velocity!$A:$A,$A193,Velocity!$B:$B,$C193)/Assumptions!$B$4*Assumptions!$B$6</f>
        <v>4.675</v>
      </c>
      <c r="AA193" s="7" t="n">
        <f aca="false">SUMIFS(Doors!AM:AM,Doors!$A:$A,$D193,Doors!$B:$B,$B193,Doors!$C:$C,$C193)*SUMIFS(Velocity!$I:$I,Velocity!$A:$A,$A193,Velocity!$B:$B,$C193)/Assumptions!$B$4*Assumptions!$B$6</f>
        <v>5.5</v>
      </c>
      <c r="AB193" s="7" t="n">
        <f aca="false">SUMIFS(Doors!AN:AN,Doors!$A:$A,$D193,Doors!$B:$B,$B193,Doors!$C:$C,$C193)*SUMIFS(Velocity!$I:$I,Velocity!$A:$A,$A193,Velocity!$B:$B,$C193)/Assumptions!$B$4*Assumptions!$B$6</f>
        <v>5.5</v>
      </c>
      <c r="AC193" s="7" t="n">
        <f aca="false">SUMIFS(Doors!AO:AO,Doors!$A:$A,$D193,Doors!$B:$B,$B193,Doors!$C:$C,$C193)*SUMIFS(Velocity!$I:$I,Velocity!$A:$A,$A193,Velocity!$B:$B,$C193)/Assumptions!$B$4*Assumptions!$B$6</f>
        <v>5.5</v>
      </c>
      <c r="AD193" s="7" t="n">
        <f aca="false">SUMIFS(Doors!AP:AP,Doors!$A:$A,$D193,Doors!$B:$B,$B193,Doors!$C:$C,$C193)*SUMIFS(Velocity!$I:$I,Velocity!$A:$A,$A193,Velocity!$B:$B,$C193)/Assumptions!$B$4*Assumptions!$B$6</f>
        <v>5.5</v>
      </c>
      <c r="AE193" s="7" t="n">
        <f aca="false">SUMIFS(Doors!AQ:AQ,Doors!$A:$A,$D193,Doors!$B:$B,$B193,Doors!$C:$C,$C193)*SUMIFS(Velocity!$I:$I,Velocity!$A:$A,$A193,Velocity!$B:$B,$C193)/Assumptions!$B$4*Assumptions!$B$6</f>
        <v>6.05</v>
      </c>
      <c r="AF193" s="7" t="n">
        <f aca="false">SUMIFS(Doors!AR:AR,Doors!$A:$A,$D193,Doors!$B:$B,$B193,Doors!$C:$C,$C193)*SUMIFS(Velocity!$I:$I,Velocity!$A:$A,$A193,Velocity!$B:$B,$C193)/Assumptions!$B$4*Assumptions!$B$6</f>
        <v>6.05</v>
      </c>
      <c r="AG193" s="7" t="n">
        <f aca="false">SUMIFS(Doors!AS:AS,Doors!$A:$A,$D193,Doors!$B:$B,$B193,Doors!$C:$C,$C193)*SUMIFS(Velocity!$I:$I,Velocity!$A:$A,$A193,Velocity!$B:$B,$C193)/Assumptions!$B$4*Assumptions!$B$6</f>
        <v>6.05</v>
      </c>
      <c r="AH193" s="7" t="n">
        <f aca="false">SUMIFS(Doors!AT:AT,Doors!$A:$A,$D193,Doors!$B:$B,$B193,Doors!$C:$C,$C193)*SUMIFS(Velocity!$I:$I,Velocity!$A:$A,$A193,Velocity!$B:$B,$C193)/Assumptions!$B$4*Assumptions!$B$6</f>
        <v>6.05</v>
      </c>
      <c r="AI193" s="7" t="n">
        <f aca="false">SUMIFS(Doors!AU:AU,Doors!$A:$A,$D193,Doors!$B:$B,$B193,Doors!$C:$C,$C193)*SUMIFS(Velocity!$I:$I,Velocity!$A:$A,$A193,Velocity!$B:$B,$C193)/Assumptions!$B$4*Assumptions!$B$6</f>
        <v>6.05</v>
      </c>
      <c r="AJ193" s="7" t="n">
        <f aca="false">SUMIFS(Doors!AV:AV,Doors!$A:$A,$D193,Doors!$B:$B,$B193,Doors!$C:$C,$C193)*SUMIFS(Velocity!$I:$I,Velocity!$A:$A,$A193,Velocity!$B:$B,$C193)/Assumptions!$B$4*Assumptions!$B$6</f>
        <v>6.4625</v>
      </c>
      <c r="AK193" s="7" t="n">
        <f aca="false">SUMIFS(Doors!AW:AW,Doors!$A:$A,$D193,Doors!$B:$B,$B193,Doors!$C:$C,$C193)*SUMIFS(Velocity!$I:$I,Velocity!$A:$A,$A193,Velocity!$B:$B,$C193)/Assumptions!$B$4*Assumptions!$B$6</f>
        <v>6.4625</v>
      </c>
      <c r="AL193" s="7" t="n">
        <f aca="false">SUMIFS(Doors!AX:AX,Doors!$A:$A,$D193,Doors!$B:$B,$B193,Doors!$C:$C,$C193)*SUMIFS(Velocity!$I:$I,Velocity!$A:$A,$A193,Velocity!$B:$B,$C193)/Assumptions!$B$4*Assumptions!$B$6</f>
        <v>6.4625</v>
      </c>
      <c r="AM193" s="7" t="n">
        <f aca="false">SUMIFS(Doors!AY:AY,Doors!$A:$A,$D193,Doors!$B:$B,$B193,Doors!$C:$C,$C193)*SUMIFS(Velocity!$I:$I,Velocity!$A:$A,$A193,Velocity!$B:$B,$C193)/Assumptions!$B$4*Assumptions!$B$6</f>
        <v>6.4625</v>
      </c>
      <c r="AN193" s="7" t="n">
        <f aca="false">SUMIFS(Doors!AZ:AZ,Doors!$A:$A,$D193,Doors!$B:$B,$B193,Doors!$C:$C,$C193)*SUMIFS(Velocity!$I:$I,Velocity!$A:$A,$A193,Velocity!$B:$B,$C193)/Assumptions!$B$4*Assumptions!$B$6</f>
        <v>6.7375</v>
      </c>
      <c r="AO193" s="7" t="n">
        <f aca="false">SUMIFS(Doors!BA:BA,Doors!$A:$A,$D193,Doors!$B:$B,$B193,Doors!$C:$C,$C193)*SUMIFS(Velocity!$I:$I,Velocity!$A:$A,$A193,Velocity!$B:$B,$C193)/Assumptions!$B$4*Assumptions!$B$6</f>
        <v>6.7375</v>
      </c>
      <c r="AP193" s="7" t="n">
        <f aca="false">SUMIFS(Doors!BB:BB,Doors!$A:$A,$D193,Doors!$B:$B,$B193,Doors!$C:$C,$C193)*SUMIFS(Velocity!$I:$I,Velocity!$A:$A,$A193,Velocity!$B:$B,$C193)/Assumptions!$B$4*Assumptions!$B$6</f>
        <v>6.7375</v>
      </c>
      <c r="AQ193" s="7" t="n">
        <f aca="false">SUMIFS(Doors!BC:BC,Doors!$A:$A,$D193,Doors!$B:$B,$B193,Doors!$C:$C,$C193)*SUMIFS(Velocity!$I:$I,Velocity!$A:$A,$A193,Velocity!$B:$B,$C193)/Assumptions!$B$4*Assumptions!$B$6</f>
        <v>6.7375</v>
      </c>
      <c r="AR193" s="7" t="n">
        <f aca="false">SUMIFS(Doors!BD:BD,Doors!$A:$A,$D193,Doors!$B:$B,$B193,Doors!$C:$C,$C193)*SUMIFS(Velocity!$I:$I,Velocity!$A:$A,$A193,Velocity!$B:$B,$C193)/Assumptions!$B$4*Assumptions!$B$6</f>
        <v>6.875</v>
      </c>
      <c r="AS193" s="7" t="n">
        <f aca="false">SUMIFS(Doors!BE:BE,Doors!$A:$A,$D193,Doors!$B:$B,$B193,Doors!$C:$C,$C193)*SUMIFS(Velocity!$I:$I,Velocity!$A:$A,$A193,Velocity!$B:$B,$C193)/Assumptions!$B$4*Assumptions!$B$6</f>
        <v>6.875</v>
      </c>
      <c r="AT193" s="7" t="n">
        <f aca="false">SUMIFS(Doors!BF:BF,Doors!$A:$A,$D193,Doors!$B:$B,$B193,Doors!$C:$C,$C193)*SUMIFS(Velocity!$I:$I,Velocity!$A:$A,$A193,Velocity!$B:$B,$C193)/Assumptions!$B$4*Assumptions!$B$6</f>
        <v>6.875</v>
      </c>
      <c r="AU193" s="7" t="n">
        <f aca="false">SUMIFS(Doors!BG:BG,Doors!$A:$A,$D193,Doors!$B:$B,$B193,Doors!$C:$C,$C193)*SUMIFS(Velocity!$I:$I,Velocity!$A:$A,$A193,Velocity!$B:$B,$C193)/Assumptions!$B$4*Assumptions!$B$6</f>
        <v>6.875</v>
      </c>
      <c r="AV193" s="7" t="n">
        <f aca="false">SUMIFS(Doors!BH:BH,Doors!$A:$A,$D193,Doors!$B:$B,$B193,Doors!$C:$C,$C193)*SUMIFS(Velocity!$I:$I,Velocity!$A:$A,$A193,Velocity!$B:$B,$C193)/Assumptions!$B$4*Assumptions!$B$6</f>
        <v>6.875</v>
      </c>
      <c r="AW193" s="7" t="n">
        <f aca="false">SUMIFS(Doors!BI:BI,Doors!$A:$A,$D193,Doors!$B:$B,$B193,Doors!$C:$C,$C193)*SUMIFS(Velocity!$I:$I,Velocity!$A:$A,$A193,Velocity!$B:$B,$C193)/Assumptions!$B$4*Assumptions!$B$6</f>
        <v>6.875</v>
      </c>
      <c r="AX193" s="7" t="n">
        <f aca="false">SUMIFS(Doors!BJ:BJ,Doors!$A:$A,$D193,Doors!$B:$B,$B193,Doors!$C:$C,$C193)*SUMIFS(Velocity!$I:$I,Velocity!$A:$A,$A193,Velocity!$B:$B,$C193)/Assumptions!$B$4*Assumptions!$B$6</f>
        <v>6.875</v>
      </c>
      <c r="AY193" s="7" t="n">
        <f aca="false">SUMIFS(Doors!BK:BK,Doors!$A:$A,$D193,Doors!$B:$B,$B193,Doors!$C:$C,$C193)*SUMIFS(Velocity!$I:$I,Velocity!$A:$A,$A193,Velocity!$B:$B,$C193)/Assumptions!$B$4*Assumptions!$B$6</f>
        <v>6.875</v>
      </c>
      <c r="AZ193" s="7" t="n">
        <f aca="false">SUMIFS(Doors!BL:BL,Doors!$A:$A,$D193,Doors!$B:$B,$B193,Doors!$C:$C,$C193)*SUMIFS(Velocity!$I:$I,Velocity!$A:$A,$A193,Velocity!$B:$B,$C193)/Assumptions!$B$4*Assumptions!$B$6</f>
        <v>6.875</v>
      </c>
      <c r="BA193" s="7" t="n">
        <f aca="false">SUMIFS(Doors!BM:BM,Doors!$A:$A,$D193,Doors!$B:$B,$B193,Doors!$C:$C,$C193)*SUMIFS(Velocity!$I:$I,Velocity!$A:$A,$A193,Velocity!$B:$B,$C193)/Assumptions!$B$4*Assumptions!$B$6</f>
        <v>6.875</v>
      </c>
      <c r="BB193" s="7" t="n">
        <f aca="false">SUMIFS(Doors!BN:BN,Doors!$A:$A,$D193,Doors!$B:$B,$B193,Doors!$C:$C,$C193)*SUMIFS(Velocity!$I:$I,Velocity!$A:$A,$A193,Velocity!$B:$B,$C193)/Assumptions!$B$4*Assumptions!$B$6</f>
        <v>6.875</v>
      </c>
      <c r="BC193" s="7" t="n">
        <f aca="false">SUMIFS(Doors!BO:BO,Doors!$A:$A,$D193,Doors!$B:$B,$B193,Doors!$C:$C,$C193)*SUMIFS(Velocity!$I:$I,Velocity!$A:$A,$A193,Velocity!$B:$B,$C193)/Assumptions!$B$4*Assumptions!$B$6</f>
        <v>6.875</v>
      </c>
      <c r="BD193" s="7" t="n">
        <f aca="false">SUMIFS(Doors!BP:BP,Doors!$A:$A,$D193,Doors!$B:$B,$B193,Doors!$C:$C,$C193)*SUMIFS(Velocity!$I:$I,Velocity!$A:$A,$A193,Velocity!$B:$B,$C193)/Assumptions!$B$4*Assumptions!$B$6</f>
        <v>6.875</v>
      </c>
    </row>
    <row r="194" customFormat="false" ht="15" hidden="false" customHeight="false" outlineLevel="0" collapsed="false">
      <c r="A194" s="0" t="s">
        <v>110</v>
      </c>
      <c r="B194" s="0" t="s">
        <v>126</v>
      </c>
      <c r="C194" s="0" t="s">
        <v>123</v>
      </c>
      <c r="D194" s="0" t="s">
        <v>235</v>
      </c>
      <c r="E194" s="7" t="n">
        <f aca="false">SUMIFS(Doors!Q:Q,Doors!$A:$A,$D194,Doors!$B:$B,$B194,Doors!$C:$C,$C194)*SUMIFS(Velocity!$I:$I,Velocity!$A:$A,$A194,Velocity!$B:$B,$C194)/Assumptions!$B$4*Assumptions!$B$6</f>
        <v>0</v>
      </c>
      <c r="F194" s="7" t="n">
        <f aca="false">SUMIFS(Doors!R:R,Doors!$A:$A,$D194,Doors!$B:$B,$B194,Doors!$C:$C,$C194)*SUMIFS(Velocity!$I:$I,Velocity!$A:$A,$A194,Velocity!$B:$B,$C194)/Assumptions!$B$4*Assumptions!$B$6</f>
        <v>0</v>
      </c>
      <c r="G194" s="7" t="n">
        <f aca="false">SUMIFS(Doors!S:S,Doors!$A:$A,$D194,Doors!$B:$B,$B194,Doors!$C:$C,$C194)*SUMIFS(Velocity!$I:$I,Velocity!$A:$A,$A194,Velocity!$B:$B,$C194)/Assumptions!$B$4*Assumptions!$B$6</f>
        <v>0</v>
      </c>
      <c r="H194" s="7" t="n">
        <f aca="false">SUMIFS(Doors!T:T,Doors!$A:$A,$D194,Doors!$B:$B,$B194,Doors!$C:$C,$C194)*SUMIFS(Velocity!$I:$I,Velocity!$A:$A,$A194,Velocity!$B:$B,$C194)/Assumptions!$B$4*Assumptions!$B$6</f>
        <v>0</v>
      </c>
      <c r="I194" s="7" t="n">
        <f aca="false">SUMIFS(Doors!U:U,Doors!$A:$A,$D194,Doors!$B:$B,$B194,Doors!$C:$C,$C194)*SUMIFS(Velocity!$I:$I,Velocity!$A:$A,$A194,Velocity!$B:$B,$C194)/Assumptions!$B$4*Assumptions!$B$6</f>
        <v>0</v>
      </c>
      <c r="J194" s="7" t="n">
        <f aca="false">SUMIFS(Doors!V:V,Doors!$A:$A,$D194,Doors!$B:$B,$B194,Doors!$C:$C,$C194)*SUMIFS(Velocity!$I:$I,Velocity!$A:$A,$A194,Velocity!$B:$B,$C194)/Assumptions!$B$4*Assumptions!$B$6</f>
        <v>0</v>
      </c>
      <c r="K194" s="7" t="n">
        <f aca="false">SUMIFS(Doors!W:W,Doors!$A:$A,$D194,Doors!$B:$B,$B194,Doors!$C:$C,$C194)*SUMIFS(Velocity!$I:$I,Velocity!$A:$A,$A194,Velocity!$B:$B,$C194)/Assumptions!$B$4*Assumptions!$B$6</f>
        <v>0</v>
      </c>
      <c r="L194" s="7" t="n">
        <f aca="false">SUMIFS(Doors!X:X,Doors!$A:$A,$D194,Doors!$B:$B,$B194,Doors!$C:$C,$C194)*SUMIFS(Velocity!$I:$I,Velocity!$A:$A,$A194,Velocity!$B:$B,$C194)/Assumptions!$B$4*Assumptions!$B$6</f>
        <v>0</v>
      </c>
      <c r="M194" s="7" t="n">
        <f aca="false">SUMIFS(Doors!Y:Y,Doors!$A:$A,$D194,Doors!$B:$B,$B194,Doors!$C:$C,$C194)*SUMIFS(Velocity!$I:$I,Velocity!$A:$A,$A194,Velocity!$B:$B,$C194)/Assumptions!$B$4*Assumptions!$B$6</f>
        <v>0</v>
      </c>
      <c r="N194" s="7" t="n">
        <f aca="false">SUMIFS(Doors!Z:Z,Doors!$A:$A,$D194,Doors!$B:$B,$B194,Doors!$C:$C,$C194)*SUMIFS(Velocity!$I:$I,Velocity!$A:$A,$A194,Velocity!$B:$B,$C194)/Assumptions!$B$4*Assumptions!$B$6</f>
        <v>0</v>
      </c>
      <c r="O194" s="7" t="n">
        <f aca="false">SUMIFS(Doors!AA:AA,Doors!$A:$A,$D194,Doors!$B:$B,$B194,Doors!$C:$C,$C194)*SUMIFS(Velocity!$I:$I,Velocity!$A:$A,$A194,Velocity!$B:$B,$C194)/Assumptions!$B$4*Assumptions!$B$6</f>
        <v>0</v>
      </c>
      <c r="P194" s="7" t="n">
        <f aca="false">SUMIFS(Doors!AB:AB,Doors!$A:$A,$D194,Doors!$B:$B,$B194,Doors!$C:$C,$C194)*SUMIFS(Velocity!$I:$I,Velocity!$A:$A,$A194,Velocity!$B:$B,$C194)/Assumptions!$B$4*Assumptions!$B$6</f>
        <v>0</v>
      </c>
      <c r="Q194" s="7" t="n">
        <f aca="false">SUMIFS(Doors!AC:AC,Doors!$A:$A,$D194,Doors!$B:$B,$B194,Doors!$C:$C,$C194)*SUMIFS(Velocity!$I:$I,Velocity!$A:$A,$A194,Velocity!$B:$B,$C194)/Assumptions!$B$4*Assumptions!$B$6</f>
        <v>0</v>
      </c>
      <c r="R194" s="7" t="n">
        <f aca="false">SUMIFS(Doors!AD:AD,Doors!$A:$A,$D194,Doors!$B:$B,$B194,Doors!$C:$C,$C194)*SUMIFS(Velocity!$I:$I,Velocity!$A:$A,$A194,Velocity!$B:$B,$C194)/Assumptions!$B$4*Assumptions!$B$6</f>
        <v>0</v>
      </c>
      <c r="S194" s="7" t="n">
        <f aca="false">SUMIFS(Doors!AE:AE,Doors!$A:$A,$D194,Doors!$B:$B,$B194,Doors!$C:$C,$C194)*SUMIFS(Velocity!$I:$I,Velocity!$A:$A,$A194,Velocity!$B:$B,$C194)/Assumptions!$B$4*Assumptions!$B$6</f>
        <v>0</v>
      </c>
      <c r="T194" s="7" t="n">
        <f aca="false">SUMIFS(Doors!AF:AF,Doors!$A:$A,$D194,Doors!$B:$B,$B194,Doors!$C:$C,$C194)*SUMIFS(Velocity!$I:$I,Velocity!$A:$A,$A194,Velocity!$B:$B,$C194)/Assumptions!$B$4*Assumptions!$B$6</f>
        <v>0</v>
      </c>
      <c r="U194" s="7" t="n">
        <f aca="false">SUMIFS(Doors!AG:AG,Doors!$A:$A,$D194,Doors!$B:$B,$B194,Doors!$C:$C,$C194)*SUMIFS(Velocity!$I:$I,Velocity!$A:$A,$A194,Velocity!$B:$B,$C194)/Assumptions!$B$4*Assumptions!$B$6</f>
        <v>0</v>
      </c>
      <c r="V194" s="7" t="n">
        <f aca="false">SUMIFS(Doors!AH:AH,Doors!$A:$A,$D194,Doors!$B:$B,$B194,Doors!$C:$C,$C194)*SUMIFS(Velocity!$I:$I,Velocity!$A:$A,$A194,Velocity!$B:$B,$C194)/Assumptions!$B$4*Assumptions!$B$6</f>
        <v>0</v>
      </c>
      <c r="W194" s="7" t="n">
        <f aca="false">SUMIFS(Doors!AI:AI,Doors!$A:$A,$D194,Doors!$B:$B,$B194,Doors!$C:$C,$C194)*SUMIFS(Velocity!$I:$I,Velocity!$A:$A,$A194,Velocity!$B:$B,$C194)/Assumptions!$B$4*Assumptions!$B$6</f>
        <v>0</v>
      </c>
      <c r="X194" s="7" t="n">
        <f aca="false">SUMIFS(Doors!AJ:AJ,Doors!$A:$A,$D194,Doors!$B:$B,$B194,Doors!$C:$C,$C194)*SUMIFS(Velocity!$I:$I,Velocity!$A:$A,$A194,Velocity!$B:$B,$C194)/Assumptions!$B$4*Assumptions!$B$6</f>
        <v>0</v>
      </c>
      <c r="Y194" s="7" t="n">
        <f aca="false">SUMIFS(Doors!AK:AK,Doors!$A:$A,$D194,Doors!$B:$B,$B194,Doors!$C:$C,$C194)*SUMIFS(Velocity!$I:$I,Velocity!$A:$A,$A194,Velocity!$B:$B,$C194)/Assumptions!$B$4*Assumptions!$B$6</f>
        <v>0</v>
      </c>
      <c r="Z194" s="7" t="n">
        <f aca="false">SUMIFS(Doors!AL:AL,Doors!$A:$A,$D194,Doors!$B:$B,$B194,Doors!$C:$C,$C194)*SUMIFS(Velocity!$I:$I,Velocity!$A:$A,$A194,Velocity!$B:$B,$C194)/Assumptions!$B$4*Assumptions!$B$6</f>
        <v>0</v>
      </c>
      <c r="AA194" s="7" t="n">
        <f aca="false">SUMIFS(Doors!AM:AM,Doors!$A:$A,$D194,Doors!$B:$B,$B194,Doors!$C:$C,$C194)*SUMIFS(Velocity!$I:$I,Velocity!$A:$A,$A194,Velocity!$B:$B,$C194)/Assumptions!$B$4*Assumptions!$B$6</f>
        <v>0</v>
      </c>
      <c r="AB194" s="7" t="n">
        <f aca="false">SUMIFS(Doors!AN:AN,Doors!$A:$A,$D194,Doors!$B:$B,$B194,Doors!$C:$C,$C194)*SUMIFS(Velocity!$I:$I,Velocity!$A:$A,$A194,Velocity!$B:$B,$C194)/Assumptions!$B$4*Assumptions!$B$6</f>
        <v>0</v>
      </c>
      <c r="AC194" s="7" t="n">
        <f aca="false">SUMIFS(Doors!AO:AO,Doors!$A:$A,$D194,Doors!$B:$B,$B194,Doors!$C:$C,$C194)*SUMIFS(Velocity!$I:$I,Velocity!$A:$A,$A194,Velocity!$B:$B,$C194)/Assumptions!$B$4*Assumptions!$B$6</f>
        <v>0</v>
      </c>
      <c r="AD194" s="7" t="n">
        <f aca="false">SUMIFS(Doors!AP:AP,Doors!$A:$A,$D194,Doors!$B:$B,$B194,Doors!$C:$C,$C194)*SUMIFS(Velocity!$I:$I,Velocity!$A:$A,$A194,Velocity!$B:$B,$C194)/Assumptions!$B$4*Assumptions!$B$6</f>
        <v>0</v>
      </c>
      <c r="AE194" s="7" t="n">
        <f aca="false">SUMIFS(Doors!AQ:AQ,Doors!$A:$A,$D194,Doors!$B:$B,$B194,Doors!$C:$C,$C194)*SUMIFS(Velocity!$I:$I,Velocity!$A:$A,$A194,Velocity!$B:$B,$C194)/Assumptions!$B$4*Assumptions!$B$6</f>
        <v>0</v>
      </c>
      <c r="AF194" s="7" t="n">
        <f aca="false">SUMIFS(Doors!AR:AR,Doors!$A:$A,$D194,Doors!$B:$B,$B194,Doors!$C:$C,$C194)*SUMIFS(Velocity!$I:$I,Velocity!$A:$A,$A194,Velocity!$B:$B,$C194)/Assumptions!$B$4*Assumptions!$B$6</f>
        <v>0</v>
      </c>
      <c r="AG194" s="7" t="n">
        <f aca="false">SUMIFS(Doors!AS:AS,Doors!$A:$A,$D194,Doors!$B:$B,$B194,Doors!$C:$C,$C194)*SUMIFS(Velocity!$I:$I,Velocity!$A:$A,$A194,Velocity!$B:$B,$C194)/Assumptions!$B$4*Assumptions!$B$6</f>
        <v>0</v>
      </c>
      <c r="AH194" s="7" t="n">
        <f aca="false">SUMIFS(Doors!AT:AT,Doors!$A:$A,$D194,Doors!$B:$B,$B194,Doors!$C:$C,$C194)*SUMIFS(Velocity!$I:$I,Velocity!$A:$A,$A194,Velocity!$B:$B,$C194)/Assumptions!$B$4*Assumptions!$B$6</f>
        <v>0</v>
      </c>
      <c r="AI194" s="7" t="n">
        <f aca="false">SUMIFS(Doors!AU:AU,Doors!$A:$A,$D194,Doors!$B:$B,$B194,Doors!$C:$C,$C194)*SUMIFS(Velocity!$I:$I,Velocity!$A:$A,$A194,Velocity!$B:$B,$C194)/Assumptions!$B$4*Assumptions!$B$6</f>
        <v>0</v>
      </c>
      <c r="AJ194" s="7" t="n">
        <f aca="false">SUMIFS(Doors!AV:AV,Doors!$A:$A,$D194,Doors!$B:$B,$B194,Doors!$C:$C,$C194)*SUMIFS(Velocity!$I:$I,Velocity!$A:$A,$A194,Velocity!$B:$B,$C194)/Assumptions!$B$4*Assumptions!$B$6</f>
        <v>0</v>
      </c>
      <c r="AK194" s="7" t="n">
        <f aca="false">SUMIFS(Doors!AW:AW,Doors!$A:$A,$D194,Doors!$B:$B,$B194,Doors!$C:$C,$C194)*SUMIFS(Velocity!$I:$I,Velocity!$A:$A,$A194,Velocity!$B:$B,$C194)/Assumptions!$B$4*Assumptions!$B$6</f>
        <v>0</v>
      </c>
      <c r="AL194" s="7" t="n">
        <f aca="false">SUMIFS(Doors!AX:AX,Doors!$A:$A,$D194,Doors!$B:$B,$B194,Doors!$C:$C,$C194)*SUMIFS(Velocity!$I:$I,Velocity!$A:$A,$A194,Velocity!$B:$B,$C194)/Assumptions!$B$4*Assumptions!$B$6</f>
        <v>0</v>
      </c>
      <c r="AM194" s="7" t="n">
        <f aca="false">SUMIFS(Doors!AY:AY,Doors!$A:$A,$D194,Doors!$B:$B,$B194,Doors!$C:$C,$C194)*SUMIFS(Velocity!$I:$I,Velocity!$A:$A,$A194,Velocity!$B:$B,$C194)/Assumptions!$B$4*Assumptions!$B$6</f>
        <v>0</v>
      </c>
      <c r="AN194" s="7" t="n">
        <f aca="false">SUMIFS(Doors!AZ:AZ,Doors!$A:$A,$D194,Doors!$B:$B,$B194,Doors!$C:$C,$C194)*SUMIFS(Velocity!$I:$I,Velocity!$A:$A,$A194,Velocity!$B:$B,$C194)/Assumptions!$B$4*Assumptions!$B$6</f>
        <v>0</v>
      </c>
      <c r="AO194" s="7" t="n">
        <f aca="false">SUMIFS(Doors!BA:BA,Doors!$A:$A,$D194,Doors!$B:$B,$B194,Doors!$C:$C,$C194)*SUMIFS(Velocity!$I:$I,Velocity!$A:$A,$A194,Velocity!$B:$B,$C194)/Assumptions!$B$4*Assumptions!$B$6</f>
        <v>0</v>
      </c>
      <c r="AP194" s="7" t="n">
        <f aca="false">SUMIFS(Doors!BB:BB,Doors!$A:$A,$D194,Doors!$B:$B,$B194,Doors!$C:$C,$C194)*SUMIFS(Velocity!$I:$I,Velocity!$A:$A,$A194,Velocity!$B:$B,$C194)/Assumptions!$B$4*Assumptions!$B$6</f>
        <v>0</v>
      </c>
      <c r="AQ194" s="7" t="n">
        <f aca="false">SUMIFS(Doors!BC:BC,Doors!$A:$A,$D194,Doors!$B:$B,$B194,Doors!$C:$C,$C194)*SUMIFS(Velocity!$I:$I,Velocity!$A:$A,$A194,Velocity!$B:$B,$C194)/Assumptions!$B$4*Assumptions!$B$6</f>
        <v>0</v>
      </c>
      <c r="AR194" s="7" t="n">
        <f aca="false">SUMIFS(Doors!BD:BD,Doors!$A:$A,$D194,Doors!$B:$B,$B194,Doors!$C:$C,$C194)*SUMIFS(Velocity!$I:$I,Velocity!$A:$A,$A194,Velocity!$B:$B,$C194)/Assumptions!$B$4*Assumptions!$B$6</f>
        <v>0</v>
      </c>
      <c r="AS194" s="7" t="n">
        <f aca="false">SUMIFS(Doors!BE:BE,Doors!$A:$A,$D194,Doors!$B:$B,$B194,Doors!$C:$C,$C194)*SUMIFS(Velocity!$I:$I,Velocity!$A:$A,$A194,Velocity!$B:$B,$C194)/Assumptions!$B$4*Assumptions!$B$6</f>
        <v>0</v>
      </c>
      <c r="AT194" s="7" t="n">
        <f aca="false">SUMIFS(Doors!BF:BF,Doors!$A:$A,$D194,Doors!$B:$B,$B194,Doors!$C:$C,$C194)*SUMIFS(Velocity!$I:$I,Velocity!$A:$A,$A194,Velocity!$B:$B,$C194)/Assumptions!$B$4*Assumptions!$B$6</f>
        <v>0</v>
      </c>
      <c r="AU194" s="7" t="n">
        <f aca="false">SUMIFS(Doors!BG:BG,Doors!$A:$A,$D194,Doors!$B:$B,$B194,Doors!$C:$C,$C194)*SUMIFS(Velocity!$I:$I,Velocity!$A:$A,$A194,Velocity!$B:$B,$C194)/Assumptions!$B$4*Assumptions!$B$6</f>
        <v>0</v>
      </c>
      <c r="AV194" s="7" t="n">
        <f aca="false">SUMIFS(Doors!BH:BH,Doors!$A:$A,$D194,Doors!$B:$B,$B194,Doors!$C:$C,$C194)*SUMIFS(Velocity!$I:$I,Velocity!$A:$A,$A194,Velocity!$B:$B,$C194)/Assumptions!$B$4*Assumptions!$B$6</f>
        <v>0</v>
      </c>
      <c r="AW194" s="7" t="n">
        <f aca="false">SUMIFS(Doors!BI:BI,Doors!$A:$A,$D194,Doors!$B:$B,$B194,Doors!$C:$C,$C194)*SUMIFS(Velocity!$I:$I,Velocity!$A:$A,$A194,Velocity!$B:$B,$C194)/Assumptions!$B$4*Assumptions!$B$6</f>
        <v>0</v>
      </c>
      <c r="AX194" s="7" t="n">
        <f aca="false">SUMIFS(Doors!BJ:BJ,Doors!$A:$A,$D194,Doors!$B:$B,$B194,Doors!$C:$C,$C194)*SUMIFS(Velocity!$I:$I,Velocity!$A:$A,$A194,Velocity!$B:$B,$C194)/Assumptions!$B$4*Assumptions!$B$6</f>
        <v>0</v>
      </c>
      <c r="AY194" s="7" t="n">
        <f aca="false">SUMIFS(Doors!BK:BK,Doors!$A:$A,$D194,Doors!$B:$B,$B194,Doors!$C:$C,$C194)*SUMIFS(Velocity!$I:$I,Velocity!$A:$A,$A194,Velocity!$B:$B,$C194)/Assumptions!$B$4*Assumptions!$B$6</f>
        <v>0</v>
      </c>
      <c r="AZ194" s="7" t="n">
        <f aca="false">SUMIFS(Doors!BL:BL,Doors!$A:$A,$D194,Doors!$B:$B,$B194,Doors!$C:$C,$C194)*SUMIFS(Velocity!$I:$I,Velocity!$A:$A,$A194,Velocity!$B:$B,$C194)/Assumptions!$B$4*Assumptions!$B$6</f>
        <v>0</v>
      </c>
      <c r="BA194" s="7" t="n">
        <f aca="false">SUMIFS(Doors!BM:BM,Doors!$A:$A,$D194,Doors!$B:$B,$B194,Doors!$C:$C,$C194)*SUMIFS(Velocity!$I:$I,Velocity!$A:$A,$A194,Velocity!$B:$B,$C194)/Assumptions!$B$4*Assumptions!$B$6</f>
        <v>0</v>
      </c>
      <c r="BB194" s="7" t="n">
        <f aca="false">SUMIFS(Doors!BN:BN,Doors!$A:$A,$D194,Doors!$B:$B,$B194,Doors!$C:$C,$C194)*SUMIFS(Velocity!$I:$I,Velocity!$A:$A,$A194,Velocity!$B:$B,$C194)/Assumptions!$B$4*Assumptions!$B$6</f>
        <v>0</v>
      </c>
      <c r="BC194" s="7" t="n">
        <f aca="false">SUMIFS(Doors!BO:BO,Doors!$A:$A,$D194,Doors!$B:$B,$B194,Doors!$C:$C,$C194)*SUMIFS(Velocity!$I:$I,Velocity!$A:$A,$A194,Velocity!$B:$B,$C194)/Assumptions!$B$4*Assumptions!$B$6</f>
        <v>0</v>
      </c>
      <c r="BD194" s="7" t="n">
        <f aca="false">SUMIFS(Doors!BP:BP,Doors!$A:$A,$D194,Doors!$B:$B,$B194,Doors!$C:$C,$C194)*SUMIFS(Velocity!$I:$I,Velocity!$A:$A,$A194,Velocity!$B:$B,$C194)/Assumptions!$B$4*Assumptions!$B$6</f>
        <v>0</v>
      </c>
    </row>
    <row r="195" customFormat="false" ht="15" hidden="false" customHeight="false" outlineLevel="0" collapsed="false">
      <c r="A195" s="0" t="s">
        <v>110</v>
      </c>
      <c r="B195" s="0" t="s">
        <v>127</v>
      </c>
      <c r="C195" s="0" t="s">
        <v>115</v>
      </c>
      <c r="D195" s="0" t="s">
        <v>235</v>
      </c>
      <c r="E195" s="7" t="n">
        <f aca="false">SUMIFS(Doors!Q:Q,Doors!$A:$A,$D195,Doors!$B:$B,$B195,Doors!$C:$C,$C195)*SUMIFS(Velocity!$I:$I,Velocity!$A:$A,$A195,Velocity!$B:$B,$C195)/Assumptions!$B$4*Assumptions!$B$6</f>
        <v>1.83333333333333</v>
      </c>
      <c r="F195" s="7" t="n">
        <f aca="false">SUMIFS(Doors!R:R,Doors!$A:$A,$D195,Doors!$B:$B,$B195,Doors!$C:$C,$C195)*SUMIFS(Velocity!$I:$I,Velocity!$A:$A,$A195,Velocity!$B:$B,$C195)/Assumptions!$B$4*Assumptions!$B$6</f>
        <v>1.83333333333333</v>
      </c>
      <c r="G195" s="7" t="n">
        <f aca="false">SUMIFS(Doors!S:S,Doors!$A:$A,$D195,Doors!$B:$B,$B195,Doors!$C:$C,$C195)*SUMIFS(Velocity!$I:$I,Velocity!$A:$A,$A195,Velocity!$B:$B,$C195)/Assumptions!$B$4*Assumptions!$B$6</f>
        <v>1.83333333333333</v>
      </c>
      <c r="H195" s="7" t="n">
        <f aca="false">SUMIFS(Doors!T:T,Doors!$A:$A,$D195,Doors!$B:$B,$B195,Doors!$C:$C,$C195)*SUMIFS(Velocity!$I:$I,Velocity!$A:$A,$A195,Velocity!$B:$B,$C195)/Assumptions!$B$4*Assumptions!$B$6</f>
        <v>1.83333333333333</v>
      </c>
      <c r="I195" s="7" t="n">
        <f aca="false">SUMIFS(Doors!U:U,Doors!$A:$A,$D195,Doors!$B:$B,$B195,Doors!$C:$C,$C195)*SUMIFS(Velocity!$I:$I,Velocity!$A:$A,$A195,Velocity!$B:$B,$C195)/Assumptions!$B$4*Assumptions!$B$6</f>
        <v>1.83333333333333</v>
      </c>
      <c r="J195" s="7" t="n">
        <f aca="false">SUMIFS(Doors!V:V,Doors!$A:$A,$D195,Doors!$B:$B,$B195,Doors!$C:$C,$C195)*SUMIFS(Velocity!$I:$I,Velocity!$A:$A,$A195,Velocity!$B:$B,$C195)/Assumptions!$B$4*Assumptions!$B$6</f>
        <v>3.66666666666667</v>
      </c>
      <c r="K195" s="7" t="n">
        <f aca="false">SUMIFS(Doors!W:W,Doors!$A:$A,$D195,Doors!$B:$B,$B195,Doors!$C:$C,$C195)*SUMIFS(Velocity!$I:$I,Velocity!$A:$A,$A195,Velocity!$B:$B,$C195)/Assumptions!$B$4*Assumptions!$B$6</f>
        <v>3.66666666666667</v>
      </c>
      <c r="L195" s="7" t="n">
        <f aca="false">SUMIFS(Doors!X:X,Doors!$A:$A,$D195,Doors!$B:$B,$B195,Doors!$C:$C,$C195)*SUMIFS(Velocity!$I:$I,Velocity!$A:$A,$A195,Velocity!$B:$B,$C195)/Assumptions!$B$4*Assumptions!$B$6</f>
        <v>3.66666666666667</v>
      </c>
      <c r="M195" s="7" t="n">
        <f aca="false">SUMIFS(Doors!Y:Y,Doors!$A:$A,$D195,Doors!$B:$B,$B195,Doors!$C:$C,$C195)*SUMIFS(Velocity!$I:$I,Velocity!$A:$A,$A195,Velocity!$B:$B,$C195)/Assumptions!$B$4*Assumptions!$B$6</f>
        <v>3.66666666666667</v>
      </c>
      <c r="N195" s="7" t="n">
        <f aca="false">SUMIFS(Doors!Z:Z,Doors!$A:$A,$D195,Doors!$B:$B,$B195,Doors!$C:$C,$C195)*SUMIFS(Velocity!$I:$I,Velocity!$A:$A,$A195,Velocity!$B:$B,$C195)/Assumptions!$B$4*Assumptions!$B$6</f>
        <v>6.6</v>
      </c>
      <c r="O195" s="7" t="n">
        <f aca="false">SUMIFS(Doors!AA:AA,Doors!$A:$A,$D195,Doors!$B:$B,$B195,Doors!$C:$C,$C195)*SUMIFS(Velocity!$I:$I,Velocity!$A:$A,$A195,Velocity!$B:$B,$C195)/Assumptions!$B$4*Assumptions!$B$6</f>
        <v>6.6</v>
      </c>
      <c r="P195" s="7" t="n">
        <f aca="false">SUMIFS(Doors!AB:AB,Doors!$A:$A,$D195,Doors!$B:$B,$B195,Doors!$C:$C,$C195)*SUMIFS(Velocity!$I:$I,Velocity!$A:$A,$A195,Velocity!$B:$B,$C195)/Assumptions!$B$4*Assumptions!$B$6</f>
        <v>6.6</v>
      </c>
      <c r="Q195" s="7" t="n">
        <f aca="false">SUMIFS(Doors!AC:AC,Doors!$A:$A,$D195,Doors!$B:$B,$B195,Doors!$C:$C,$C195)*SUMIFS(Velocity!$I:$I,Velocity!$A:$A,$A195,Velocity!$B:$B,$C195)/Assumptions!$B$4*Assumptions!$B$6</f>
        <v>6.6</v>
      </c>
      <c r="R195" s="7" t="n">
        <f aca="false">SUMIFS(Doors!AD:AD,Doors!$A:$A,$D195,Doors!$B:$B,$B195,Doors!$C:$C,$C195)*SUMIFS(Velocity!$I:$I,Velocity!$A:$A,$A195,Velocity!$B:$B,$C195)/Assumptions!$B$4*Assumptions!$B$6</f>
        <v>10.2666666666667</v>
      </c>
      <c r="S195" s="7" t="n">
        <f aca="false">SUMIFS(Doors!AE:AE,Doors!$A:$A,$D195,Doors!$B:$B,$B195,Doors!$C:$C,$C195)*SUMIFS(Velocity!$I:$I,Velocity!$A:$A,$A195,Velocity!$B:$B,$C195)/Assumptions!$B$4*Assumptions!$B$6</f>
        <v>10.2666666666667</v>
      </c>
      <c r="T195" s="7" t="n">
        <f aca="false">SUMIFS(Doors!AF:AF,Doors!$A:$A,$D195,Doors!$B:$B,$B195,Doors!$C:$C,$C195)*SUMIFS(Velocity!$I:$I,Velocity!$A:$A,$A195,Velocity!$B:$B,$C195)/Assumptions!$B$4*Assumptions!$B$6</f>
        <v>10.2666666666667</v>
      </c>
      <c r="U195" s="7" t="n">
        <f aca="false">SUMIFS(Doors!AG:AG,Doors!$A:$A,$D195,Doors!$B:$B,$B195,Doors!$C:$C,$C195)*SUMIFS(Velocity!$I:$I,Velocity!$A:$A,$A195,Velocity!$B:$B,$C195)/Assumptions!$B$4*Assumptions!$B$6</f>
        <v>10.2666666666667</v>
      </c>
      <c r="V195" s="7" t="n">
        <f aca="false">SUMIFS(Doors!AH:AH,Doors!$A:$A,$D195,Doors!$B:$B,$B195,Doors!$C:$C,$C195)*SUMIFS(Velocity!$I:$I,Velocity!$A:$A,$A195,Velocity!$B:$B,$C195)/Assumptions!$B$4*Assumptions!$B$6</f>
        <v>10.2666666666667</v>
      </c>
      <c r="W195" s="7" t="n">
        <f aca="false">SUMIFS(Doors!AI:AI,Doors!$A:$A,$D195,Doors!$B:$B,$B195,Doors!$C:$C,$C195)*SUMIFS(Velocity!$I:$I,Velocity!$A:$A,$A195,Velocity!$B:$B,$C195)/Assumptions!$B$4*Assumptions!$B$6</f>
        <v>13.9333333333333</v>
      </c>
      <c r="X195" s="7" t="n">
        <f aca="false">SUMIFS(Doors!AJ:AJ,Doors!$A:$A,$D195,Doors!$B:$B,$B195,Doors!$C:$C,$C195)*SUMIFS(Velocity!$I:$I,Velocity!$A:$A,$A195,Velocity!$B:$B,$C195)/Assumptions!$B$4*Assumptions!$B$6</f>
        <v>13.9333333333333</v>
      </c>
      <c r="Y195" s="7" t="n">
        <f aca="false">SUMIFS(Doors!AK:AK,Doors!$A:$A,$D195,Doors!$B:$B,$B195,Doors!$C:$C,$C195)*SUMIFS(Velocity!$I:$I,Velocity!$A:$A,$A195,Velocity!$B:$B,$C195)/Assumptions!$B$4*Assumptions!$B$6</f>
        <v>13.9333333333333</v>
      </c>
      <c r="Z195" s="7" t="n">
        <f aca="false">SUMIFS(Doors!AL:AL,Doors!$A:$A,$D195,Doors!$B:$B,$B195,Doors!$C:$C,$C195)*SUMIFS(Velocity!$I:$I,Velocity!$A:$A,$A195,Velocity!$B:$B,$C195)/Assumptions!$B$4*Assumptions!$B$6</f>
        <v>13.9333333333333</v>
      </c>
      <c r="AA195" s="7" t="n">
        <f aca="false">SUMIFS(Doors!AM:AM,Doors!$A:$A,$D195,Doors!$B:$B,$B195,Doors!$C:$C,$C195)*SUMIFS(Velocity!$I:$I,Velocity!$A:$A,$A195,Velocity!$B:$B,$C195)/Assumptions!$B$4*Assumptions!$B$6</f>
        <v>17.6</v>
      </c>
      <c r="AB195" s="7" t="n">
        <f aca="false">SUMIFS(Doors!AN:AN,Doors!$A:$A,$D195,Doors!$B:$B,$B195,Doors!$C:$C,$C195)*SUMIFS(Velocity!$I:$I,Velocity!$A:$A,$A195,Velocity!$B:$B,$C195)/Assumptions!$B$4*Assumptions!$B$6</f>
        <v>17.6</v>
      </c>
      <c r="AC195" s="7" t="n">
        <f aca="false">SUMIFS(Doors!AO:AO,Doors!$A:$A,$D195,Doors!$B:$B,$B195,Doors!$C:$C,$C195)*SUMIFS(Velocity!$I:$I,Velocity!$A:$A,$A195,Velocity!$B:$B,$C195)/Assumptions!$B$4*Assumptions!$B$6</f>
        <v>17.6</v>
      </c>
      <c r="AD195" s="7" t="n">
        <f aca="false">SUMIFS(Doors!AP:AP,Doors!$A:$A,$D195,Doors!$B:$B,$B195,Doors!$C:$C,$C195)*SUMIFS(Velocity!$I:$I,Velocity!$A:$A,$A195,Velocity!$B:$B,$C195)/Assumptions!$B$4*Assumptions!$B$6</f>
        <v>17.6</v>
      </c>
      <c r="AE195" s="7" t="n">
        <f aca="false">SUMIFS(Doors!AQ:AQ,Doors!$A:$A,$D195,Doors!$B:$B,$B195,Doors!$C:$C,$C195)*SUMIFS(Velocity!$I:$I,Velocity!$A:$A,$A195,Velocity!$B:$B,$C195)/Assumptions!$B$4*Assumptions!$B$6</f>
        <v>21.2666666666667</v>
      </c>
      <c r="AF195" s="7" t="n">
        <f aca="false">SUMIFS(Doors!AR:AR,Doors!$A:$A,$D195,Doors!$B:$B,$B195,Doors!$C:$C,$C195)*SUMIFS(Velocity!$I:$I,Velocity!$A:$A,$A195,Velocity!$B:$B,$C195)/Assumptions!$B$4*Assumptions!$B$6</f>
        <v>21.2666666666667</v>
      </c>
      <c r="AG195" s="7" t="n">
        <f aca="false">SUMIFS(Doors!AS:AS,Doors!$A:$A,$D195,Doors!$B:$B,$B195,Doors!$C:$C,$C195)*SUMIFS(Velocity!$I:$I,Velocity!$A:$A,$A195,Velocity!$B:$B,$C195)/Assumptions!$B$4*Assumptions!$B$6</f>
        <v>21.2666666666667</v>
      </c>
      <c r="AH195" s="7" t="n">
        <f aca="false">SUMIFS(Doors!AT:AT,Doors!$A:$A,$D195,Doors!$B:$B,$B195,Doors!$C:$C,$C195)*SUMIFS(Velocity!$I:$I,Velocity!$A:$A,$A195,Velocity!$B:$B,$C195)/Assumptions!$B$4*Assumptions!$B$6</f>
        <v>21.2666666666667</v>
      </c>
      <c r="AI195" s="7" t="n">
        <f aca="false">SUMIFS(Doors!AU:AU,Doors!$A:$A,$D195,Doors!$B:$B,$B195,Doors!$C:$C,$C195)*SUMIFS(Velocity!$I:$I,Velocity!$A:$A,$A195,Velocity!$B:$B,$C195)/Assumptions!$B$4*Assumptions!$B$6</f>
        <v>21.2666666666667</v>
      </c>
      <c r="AJ195" s="7" t="n">
        <f aca="false">SUMIFS(Doors!AV:AV,Doors!$A:$A,$D195,Doors!$B:$B,$B195,Doors!$C:$C,$C195)*SUMIFS(Velocity!$I:$I,Velocity!$A:$A,$A195,Velocity!$B:$B,$C195)/Assumptions!$B$4*Assumptions!$B$6</f>
        <v>24.9333333333333</v>
      </c>
      <c r="AK195" s="7" t="n">
        <f aca="false">SUMIFS(Doors!AW:AW,Doors!$A:$A,$D195,Doors!$B:$B,$B195,Doors!$C:$C,$C195)*SUMIFS(Velocity!$I:$I,Velocity!$A:$A,$A195,Velocity!$B:$B,$C195)/Assumptions!$B$4*Assumptions!$B$6</f>
        <v>24.9333333333333</v>
      </c>
      <c r="AL195" s="7" t="n">
        <f aca="false">SUMIFS(Doors!AX:AX,Doors!$A:$A,$D195,Doors!$B:$B,$B195,Doors!$C:$C,$C195)*SUMIFS(Velocity!$I:$I,Velocity!$A:$A,$A195,Velocity!$B:$B,$C195)/Assumptions!$B$4*Assumptions!$B$6</f>
        <v>24.9333333333333</v>
      </c>
      <c r="AM195" s="7" t="n">
        <f aca="false">SUMIFS(Doors!AY:AY,Doors!$A:$A,$D195,Doors!$B:$B,$B195,Doors!$C:$C,$C195)*SUMIFS(Velocity!$I:$I,Velocity!$A:$A,$A195,Velocity!$B:$B,$C195)/Assumptions!$B$4*Assumptions!$B$6</f>
        <v>24.9333333333333</v>
      </c>
      <c r="AN195" s="7" t="n">
        <f aca="false">SUMIFS(Doors!AZ:AZ,Doors!$A:$A,$D195,Doors!$B:$B,$B195,Doors!$C:$C,$C195)*SUMIFS(Velocity!$I:$I,Velocity!$A:$A,$A195,Velocity!$B:$B,$C195)/Assumptions!$B$4*Assumptions!$B$6</f>
        <v>27.5</v>
      </c>
      <c r="AO195" s="7" t="n">
        <f aca="false">SUMIFS(Doors!BA:BA,Doors!$A:$A,$D195,Doors!$B:$B,$B195,Doors!$C:$C,$C195)*SUMIFS(Velocity!$I:$I,Velocity!$A:$A,$A195,Velocity!$B:$B,$C195)/Assumptions!$B$4*Assumptions!$B$6</f>
        <v>27.5</v>
      </c>
      <c r="AP195" s="7" t="n">
        <f aca="false">SUMIFS(Doors!BB:BB,Doors!$A:$A,$D195,Doors!$B:$B,$B195,Doors!$C:$C,$C195)*SUMIFS(Velocity!$I:$I,Velocity!$A:$A,$A195,Velocity!$B:$B,$C195)/Assumptions!$B$4*Assumptions!$B$6</f>
        <v>27.5</v>
      </c>
      <c r="AQ195" s="7" t="n">
        <f aca="false">SUMIFS(Doors!BC:BC,Doors!$A:$A,$D195,Doors!$B:$B,$B195,Doors!$C:$C,$C195)*SUMIFS(Velocity!$I:$I,Velocity!$A:$A,$A195,Velocity!$B:$B,$C195)/Assumptions!$B$4*Assumptions!$B$6</f>
        <v>27.5</v>
      </c>
      <c r="AR195" s="7" t="n">
        <f aca="false">SUMIFS(Doors!BD:BD,Doors!$A:$A,$D195,Doors!$B:$B,$B195,Doors!$C:$C,$C195)*SUMIFS(Velocity!$I:$I,Velocity!$A:$A,$A195,Velocity!$B:$B,$C195)/Assumptions!$B$4*Assumptions!$B$6</f>
        <v>30.0666666666667</v>
      </c>
      <c r="AS195" s="7" t="n">
        <f aca="false">SUMIFS(Doors!BE:BE,Doors!$A:$A,$D195,Doors!$B:$B,$B195,Doors!$C:$C,$C195)*SUMIFS(Velocity!$I:$I,Velocity!$A:$A,$A195,Velocity!$B:$B,$C195)/Assumptions!$B$4*Assumptions!$B$6</f>
        <v>30.0666666666667</v>
      </c>
      <c r="AT195" s="7" t="n">
        <f aca="false">SUMIFS(Doors!BF:BF,Doors!$A:$A,$D195,Doors!$B:$B,$B195,Doors!$C:$C,$C195)*SUMIFS(Velocity!$I:$I,Velocity!$A:$A,$A195,Velocity!$B:$B,$C195)/Assumptions!$B$4*Assumptions!$B$6</f>
        <v>30.0666666666667</v>
      </c>
      <c r="AU195" s="7" t="n">
        <f aca="false">SUMIFS(Doors!BG:BG,Doors!$A:$A,$D195,Doors!$B:$B,$B195,Doors!$C:$C,$C195)*SUMIFS(Velocity!$I:$I,Velocity!$A:$A,$A195,Velocity!$B:$B,$C195)/Assumptions!$B$4*Assumptions!$B$6</f>
        <v>30.0666666666667</v>
      </c>
      <c r="AV195" s="7" t="n">
        <f aca="false">SUMIFS(Doors!BH:BH,Doors!$A:$A,$D195,Doors!$B:$B,$B195,Doors!$C:$C,$C195)*SUMIFS(Velocity!$I:$I,Velocity!$A:$A,$A195,Velocity!$B:$B,$C195)/Assumptions!$B$4*Assumptions!$B$6</f>
        <v>30.0666666666667</v>
      </c>
      <c r="AW195" s="7" t="n">
        <f aca="false">SUMIFS(Doors!BI:BI,Doors!$A:$A,$D195,Doors!$B:$B,$B195,Doors!$C:$C,$C195)*SUMIFS(Velocity!$I:$I,Velocity!$A:$A,$A195,Velocity!$B:$B,$C195)/Assumptions!$B$4*Assumptions!$B$6</f>
        <v>31.9</v>
      </c>
      <c r="AX195" s="7" t="n">
        <f aca="false">SUMIFS(Doors!BJ:BJ,Doors!$A:$A,$D195,Doors!$B:$B,$B195,Doors!$C:$C,$C195)*SUMIFS(Velocity!$I:$I,Velocity!$A:$A,$A195,Velocity!$B:$B,$C195)/Assumptions!$B$4*Assumptions!$B$6</f>
        <v>31.9</v>
      </c>
      <c r="AY195" s="7" t="n">
        <f aca="false">SUMIFS(Doors!BK:BK,Doors!$A:$A,$D195,Doors!$B:$B,$B195,Doors!$C:$C,$C195)*SUMIFS(Velocity!$I:$I,Velocity!$A:$A,$A195,Velocity!$B:$B,$C195)/Assumptions!$B$4*Assumptions!$B$6</f>
        <v>31.9</v>
      </c>
      <c r="AZ195" s="7" t="n">
        <f aca="false">SUMIFS(Doors!BL:BL,Doors!$A:$A,$D195,Doors!$B:$B,$B195,Doors!$C:$C,$C195)*SUMIFS(Velocity!$I:$I,Velocity!$A:$A,$A195,Velocity!$B:$B,$C195)/Assumptions!$B$4*Assumptions!$B$6</f>
        <v>31.9</v>
      </c>
      <c r="BA195" s="7" t="n">
        <f aca="false">SUMIFS(Doors!BM:BM,Doors!$A:$A,$D195,Doors!$B:$B,$B195,Doors!$C:$C,$C195)*SUMIFS(Velocity!$I:$I,Velocity!$A:$A,$A195,Velocity!$B:$B,$C195)/Assumptions!$B$4*Assumptions!$B$6</f>
        <v>33</v>
      </c>
      <c r="BB195" s="7" t="n">
        <f aca="false">SUMIFS(Doors!BN:BN,Doors!$A:$A,$D195,Doors!$B:$B,$B195,Doors!$C:$C,$C195)*SUMIFS(Velocity!$I:$I,Velocity!$A:$A,$A195,Velocity!$B:$B,$C195)/Assumptions!$B$4*Assumptions!$B$6</f>
        <v>33</v>
      </c>
      <c r="BC195" s="7" t="n">
        <f aca="false">SUMIFS(Doors!BO:BO,Doors!$A:$A,$D195,Doors!$B:$B,$B195,Doors!$C:$C,$C195)*SUMIFS(Velocity!$I:$I,Velocity!$A:$A,$A195,Velocity!$B:$B,$C195)/Assumptions!$B$4*Assumptions!$B$6</f>
        <v>33</v>
      </c>
      <c r="BD195" s="7" t="n">
        <f aca="false">SUMIFS(Doors!BP:BP,Doors!$A:$A,$D195,Doors!$B:$B,$B195,Doors!$C:$C,$C195)*SUMIFS(Velocity!$I:$I,Velocity!$A:$A,$A195,Velocity!$B:$B,$C195)/Assumptions!$B$4*Assumptions!$B$6</f>
        <v>33</v>
      </c>
    </row>
    <row r="196" customFormat="false" ht="15" hidden="false" customHeight="false" outlineLevel="0" collapsed="false">
      <c r="A196" s="0" t="s">
        <v>110</v>
      </c>
      <c r="B196" s="0" t="s">
        <v>127</v>
      </c>
      <c r="C196" s="0" t="s">
        <v>116</v>
      </c>
      <c r="D196" s="0" t="s">
        <v>235</v>
      </c>
      <c r="E196" s="7" t="n">
        <f aca="false">SUMIFS(Doors!Q:Q,Doors!$A:$A,$D196,Doors!$B:$B,$B196,Doors!$C:$C,$C196)*SUMIFS(Velocity!$I:$I,Velocity!$A:$A,$A196,Velocity!$B:$B,$C196)/Assumptions!$B$4*Assumptions!$B$6</f>
        <v>0.95</v>
      </c>
      <c r="F196" s="7" t="n">
        <f aca="false">SUMIFS(Doors!R:R,Doors!$A:$A,$D196,Doors!$B:$B,$B196,Doors!$C:$C,$C196)*SUMIFS(Velocity!$I:$I,Velocity!$A:$A,$A196,Velocity!$B:$B,$C196)/Assumptions!$B$4*Assumptions!$B$6</f>
        <v>0.95</v>
      </c>
      <c r="G196" s="7" t="n">
        <f aca="false">SUMIFS(Doors!S:S,Doors!$A:$A,$D196,Doors!$B:$B,$B196,Doors!$C:$C,$C196)*SUMIFS(Velocity!$I:$I,Velocity!$A:$A,$A196,Velocity!$B:$B,$C196)/Assumptions!$B$4*Assumptions!$B$6</f>
        <v>0.95</v>
      </c>
      <c r="H196" s="7" t="n">
        <f aca="false">SUMIFS(Doors!T:T,Doors!$A:$A,$D196,Doors!$B:$B,$B196,Doors!$C:$C,$C196)*SUMIFS(Velocity!$I:$I,Velocity!$A:$A,$A196,Velocity!$B:$B,$C196)/Assumptions!$B$4*Assumptions!$B$6</f>
        <v>0.95</v>
      </c>
      <c r="I196" s="7" t="n">
        <f aca="false">SUMIFS(Doors!U:U,Doors!$A:$A,$D196,Doors!$B:$B,$B196,Doors!$C:$C,$C196)*SUMIFS(Velocity!$I:$I,Velocity!$A:$A,$A196,Velocity!$B:$B,$C196)/Assumptions!$B$4*Assumptions!$B$6</f>
        <v>0.95</v>
      </c>
      <c r="J196" s="7" t="n">
        <f aca="false">SUMIFS(Doors!V:V,Doors!$A:$A,$D196,Doors!$B:$B,$B196,Doors!$C:$C,$C196)*SUMIFS(Velocity!$I:$I,Velocity!$A:$A,$A196,Velocity!$B:$B,$C196)/Assumptions!$B$4*Assumptions!$B$6</f>
        <v>1.58333333333333</v>
      </c>
      <c r="K196" s="7" t="n">
        <f aca="false">SUMIFS(Doors!W:W,Doors!$A:$A,$D196,Doors!$B:$B,$B196,Doors!$C:$C,$C196)*SUMIFS(Velocity!$I:$I,Velocity!$A:$A,$A196,Velocity!$B:$B,$C196)/Assumptions!$B$4*Assumptions!$B$6</f>
        <v>1.58333333333333</v>
      </c>
      <c r="L196" s="7" t="n">
        <f aca="false">SUMIFS(Doors!X:X,Doors!$A:$A,$D196,Doors!$B:$B,$B196,Doors!$C:$C,$C196)*SUMIFS(Velocity!$I:$I,Velocity!$A:$A,$A196,Velocity!$B:$B,$C196)/Assumptions!$B$4*Assumptions!$B$6</f>
        <v>1.58333333333333</v>
      </c>
      <c r="M196" s="7" t="n">
        <f aca="false">SUMIFS(Doors!Y:Y,Doors!$A:$A,$D196,Doors!$B:$B,$B196,Doors!$C:$C,$C196)*SUMIFS(Velocity!$I:$I,Velocity!$A:$A,$A196,Velocity!$B:$B,$C196)/Assumptions!$B$4*Assumptions!$B$6</f>
        <v>1.58333333333333</v>
      </c>
      <c r="N196" s="7" t="n">
        <f aca="false">SUMIFS(Doors!Z:Z,Doors!$A:$A,$D196,Doors!$B:$B,$B196,Doors!$C:$C,$C196)*SUMIFS(Velocity!$I:$I,Velocity!$A:$A,$A196,Velocity!$B:$B,$C196)/Assumptions!$B$4*Assumptions!$B$6</f>
        <v>2.53333333333333</v>
      </c>
      <c r="O196" s="7" t="n">
        <f aca="false">SUMIFS(Doors!AA:AA,Doors!$A:$A,$D196,Doors!$B:$B,$B196,Doors!$C:$C,$C196)*SUMIFS(Velocity!$I:$I,Velocity!$A:$A,$A196,Velocity!$B:$B,$C196)/Assumptions!$B$4*Assumptions!$B$6</f>
        <v>2.53333333333333</v>
      </c>
      <c r="P196" s="7" t="n">
        <f aca="false">SUMIFS(Doors!AB:AB,Doors!$A:$A,$D196,Doors!$B:$B,$B196,Doors!$C:$C,$C196)*SUMIFS(Velocity!$I:$I,Velocity!$A:$A,$A196,Velocity!$B:$B,$C196)/Assumptions!$B$4*Assumptions!$B$6</f>
        <v>2.53333333333333</v>
      </c>
      <c r="Q196" s="7" t="n">
        <f aca="false">SUMIFS(Doors!AC:AC,Doors!$A:$A,$D196,Doors!$B:$B,$B196,Doors!$C:$C,$C196)*SUMIFS(Velocity!$I:$I,Velocity!$A:$A,$A196,Velocity!$B:$B,$C196)/Assumptions!$B$4*Assumptions!$B$6</f>
        <v>2.53333333333333</v>
      </c>
      <c r="R196" s="7" t="n">
        <f aca="false">SUMIFS(Doors!AD:AD,Doors!$A:$A,$D196,Doors!$B:$B,$B196,Doors!$C:$C,$C196)*SUMIFS(Velocity!$I:$I,Velocity!$A:$A,$A196,Velocity!$B:$B,$C196)/Assumptions!$B$4*Assumptions!$B$6</f>
        <v>3.8</v>
      </c>
      <c r="S196" s="7" t="n">
        <f aca="false">SUMIFS(Doors!AE:AE,Doors!$A:$A,$D196,Doors!$B:$B,$B196,Doors!$C:$C,$C196)*SUMIFS(Velocity!$I:$I,Velocity!$A:$A,$A196,Velocity!$B:$B,$C196)/Assumptions!$B$4*Assumptions!$B$6</f>
        <v>3.8</v>
      </c>
      <c r="T196" s="7" t="n">
        <f aca="false">SUMIFS(Doors!AF:AF,Doors!$A:$A,$D196,Doors!$B:$B,$B196,Doors!$C:$C,$C196)*SUMIFS(Velocity!$I:$I,Velocity!$A:$A,$A196,Velocity!$B:$B,$C196)/Assumptions!$B$4*Assumptions!$B$6</f>
        <v>3.8</v>
      </c>
      <c r="U196" s="7" t="n">
        <f aca="false">SUMIFS(Doors!AG:AG,Doors!$A:$A,$D196,Doors!$B:$B,$B196,Doors!$C:$C,$C196)*SUMIFS(Velocity!$I:$I,Velocity!$A:$A,$A196,Velocity!$B:$B,$C196)/Assumptions!$B$4*Assumptions!$B$6</f>
        <v>3.8</v>
      </c>
      <c r="V196" s="7" t="n">
        <f aca="false">SUMIFS(Doors!AH:AH,Doors!$A:$A,$D196,Doors!$B:$B,$B196,Doors!$C:$C,$C196)*SUMIFS(Velocity!$I:$I,Velocity!$A:$A,$A196,Velocity!$B:$B,$C196)/Assumptions!$B$4*Assumptions!$B$6</f>
        <v>3.8</v>
      </c>
      <c r="W196" s="7" t="n">
        <f aca="false">SUMIFS(Doors!AI:AI,Doors!$A:$A,$D196,Doors!$B:$B,$B196,Doors!$C:$C,$C196)*SUMIFS(Velocity!$I:$I,Velocity!$A:$A,$A196,Velocity!$B:$B,$C196)/Assumptions!$B$4*Assumptions!$B$6</f>
        <v>5.06666666666667</v>
      </c>
      <c r="X196" s="7" t="n">
        <f aca="false">SUMIFS(Doors!AJ:AJ,Doors!$A:$A,$D196,Doors!$B:$B,$B196,Doors!$C:$C,$C196)*SUMIFS(Velocity!$I:$I,Velocity!$A:$A,$A196,Velocity!$B:$B,$C196)/Assumptions!$B$4*Assumptions!$B$6</f>
        <v>5.06666666666667</v>
      </c>
      <c r="Y196" s="7" t="n">
        <f aca="false">SUMIFS(Doors!AK:AK,Doors!$A:$A,$D196,Doors!$B:$B,$B196,Doors!$C:$C,$C196)*SUMIFS(Velocity!$I:$I,Velocity!$A:$A,$A196,Velocity!$B:$B,$C196)/Assumptions!$B$4*Assumptions!$B$6</f>
        <v>5.06666666666667</v>
      </c>
      <c r="Z196" s="7" t="n">
        <f aca="false">SUMIFS(Doors!AL:AL,Doors!$A:$A,$D196,Doors!$B:$B,$B196,Doors!$C:$C,$C196)*SUMIFS(Velocity!$I:$I,Velocity!$A:$A,$A196,Velocity!$B:$B,$C196)/Assumptions!$B$4*Assumptions!$B$6</f>
        <v>5.06666666666667</v>
      </c>
      <c r="AA196" s="7" t="n">
        <f aca="false">SUMIFS(Doors!AM:AM,Doors!$A:$A,$D196,Doors!$B:$B,$B196,Doors!$C:$C,$C196)*SUMIFS(Velocity!$I:$I,Velocity!$A:$A,$A196,Velocity!$B:$B,$C196)/Assumptions!$B$4*Assumptions!$B$6</f>
        <v>6.33333333333333</v>
      </c>
      <c r="AB196" s="7" t="n">
        <f aca="false">SUMIFS(Doors!AN:AN,Doors!$A:$A,$D196,Doors!$B:$B,$B196,Doors!$C:$C,$C196)*SUMIFS(Velocity!$I:$I,Velocity!$A:$A,$A196,Velocity!$B:$B,$C196)/Assumptions!$B$4*Assumptions!$B$6</f>
        <v>6.33333333333333</v>
      </c>
      <c r="AC196" s="7" t="n">
        <f aca="false">SUMIFS(Doors!AO:AO,Doors!$A:$A,$D196,Doors!$B:$B,$B196,Doors!$C:$C,$C196)*SUMIFS(Velocity!$I:$I,Velocity!$A:$A,$A196,Velocity!$B:$B,$C196)/Assumptions!$B$4*Assumptions!$B$6</f>
        <v>6.33333333333333</v>
      </c>
      <c r="AD196" s="7" t="n">
        <f aca="false">SUMIFS(Doors!AP:AP,Doors!$A:$A,$D196,Doors!$B:$B,$B196,Doors!$C:$C,$C196)*SUMIFS(Velocity!$I:$I,Velocity!$A:$A,$A196,Velocity!$B:$B,$C196)/Assumptions!$B$4*Assumptions!$B$6</f>
        <v>6.33333333333333</v>
      </c>
      <c r="AE196" s="7" t="n">
        <f aca="false">SUMIFS(Doors!AQ:AQ,Doors!$A:$A,$D196,Doors!$B:$B,$B196,Doors!$C:$C,$C196)*SUMIFS(Velocity!$I:$I,Velocity!$A:$A,$A196,Velocity!$B:$B,$C196)/Assumptions!$B$4*Assumptions!$B$6</f>
        <v>7.6</v>
      </c>
      <c r="AF196" s="7" t="n">
        <f aca="false">SUMIFS(Doors!AR:AR,Doors!$A:$A,$D196,Doors!$B:$B,$B196,Doors!$C:$C,$C196)*SUMIFS(Velocity!$I:$I,Velocity!$A:$A,$A196,Velocity!$B:$B,$C196)/Assumptions!$B$4*Assumptions!$B$6</f>
        <v>7.6</v>
      </c>
      <c r="AG196" s="7" t="n">
        <f aca="false">SUMIFS(Doors!AS:AS,Doors!$A:$A,$D196,Doors!$B:$B,$B196,Doors!$C:$C,$C196)*SUMIFS(Velocity!$I:$I,Velocity!$A:$A,$A196,Velocity!$B:$B,$C196)/Assumptions!$B$4*Assumptions!$B$6</f>
        <v>7.6</v>
      </c>
      <c r="AH196" s="7" t="n">
        <f aca="false">SUMIFS(Doors!AT:AT,Doors!$A:$A,$D196,Doors!$B:$B,$B196,Doors!$C:$C,$C196)*SUMIFS(Velocity!$I:$I,Velocity!$A:$A,$A196,Velocity!$B:$B,$C196)/Assumptions!$B$4*Assumptions!$B$6</f>
        <v>7.6</v>
      </c>
      <c r="AI196" s="7" t="n">
        <f aca="false">SUMIFS(Doors!AU:AU,Doors!$A:$A,$D196,Doors!$B:$B,$B196,Doors!$C:$C,$C196)*SUMIFS(Velocity!$I:$I,Velocity!$A:$A,$A196,Velocity!$B:$B,$C196)/Assumptions!$B$4*Assumptions!$B$6</f>
        <v>7.6</v>
      </c>
      <c r="AJ196" s="7" t="n">
        <f aca="false">SUMIFS(Doors!AV:AV,Doors!$A:$A,$D196,Doors!$B:$B,$B196,Doors!$C:$C,$C196)*SUMIFS(Velocity!$I:$I,Velocity!$A:$A,$A196,Velocity!$B:$B,$C196)/Assumptions!$B$4*Assumptions!$B$6</f>
        <v>8.55</v>
      </c>
      <c r="AK196" s="7" t="n">
        <f aca="false">SUMIFS(Doors!AW:AW,Doors!$A:$A,$D196,Doors!$B:$B,$B196,Doors!$C:$C,$C196)*SUMIFS(Velocity!$I:$I,Velocity!$A:$A,$A196,Velocity!$B:$B,$C196)/Assumptions!$B$4*Assumptions!$B$6</f>
        <v>8.55</v>
      </c>
      <c r="AL196" s="7" t="n">
        <f aca="false">SUMIFS(Doors!AX:AX,Doors!$A:$A,$D196,Doors!$B:$B,$B196,Doors!$C:$C,$C196)*SUMIFS(Velocity!$I:$I,Velocity!$A:$A,$A196,Velocity!$B:$B,$C196)/Assumptions!$B$4*Assumptions!$B$6</f>
        <v>8.55</v>
      </c>
      <c r="AM196" s="7" t="n">
        <f aca="false">SUMIFS(Doors!AY:AY,Doors!$A:$A,$D196,Doors!$B:$B,$B196,Doors!$C:$C,$C196)*SUMIFS(Velocity!$I:$I,Velocity!$A:$A,$A196,Velocity!$B:$B,$C196)/Assumptions!$B$4*Assumptions!$B$6</f>
        <v>8.55</v>
      </c>
      <c r="AN196" s="7" t="n">
        <f aca="false">SUMIFS(Doors!AZ:AZ,Doors!$A:$A,$D196,Doors!$B:$B,$B196,Doors!$C:$C,$C196)*SUMIFS(Velocity!$I:$I,Velocity!$A:$A,$A196,Velocity!$B:$B,$C196)/Assumptions!$B$4*Assumptions!$B$6</f>
        <v>9.5</v>
      </c>
      <c r="AO196" s="7" t="n">
        <f aca="false">SUMIFS(Doors!BA:BA,Doors!$A:$A,$D196,Doors!$B:$B,$B196,Doors!$C:$C,$C196)*SUMIFS(Velocity!$I:$I,Velocity!$A:$A,$A196,Velocity!$B:$B,$C196)/Assumptions!$B$4*Assumptions!$B$6</f>
        <v>9.5</v>
      </c>
      <c r="AP196" s="7" t="n">
        <f aca="false">SUMIFS(Doors!BB:BB,Doors!$A:$A,$D196,Doors!$B:$B,$B196,Doors!$C:$C,$C196)*SUMIFS(Velocity!$I:$I,Velocity!$A:$A,$A196,Velocity!$B:$B,$C196)/Assumptions!$B$4*Assumptions!$B$6</f>
        <v>9.5</v>
      </c>
      <c r="AQ196" s="7" t="n">
        <f aca="false">SUMIFS(Doors!BC:BC,Doors!$A:$A,$D196,Doors!$B:$B,$B196,Doors!$C:$C,$C196)*SUMIFS(Velocity!$I:$I,Velocity!$A:$A,$A196,Velocity!$B:$B,$C196)/Assumptions!$B$4*Assumptions!$B$6</f>
        <v>9.5</v>
      </c>
      <c r="AR196" s="7" t="n">
        <f aca="false">SUMIFS(Doors!BD:BD,Doors!$A:$A,$D196,Doors!$B:$B,$B196,Doors!$C:$C,$C196)*SUMIFS(Velocity!$I:$I,Velocity!$A:$A,$A196,Velocity!$B:$B,$C196)/Assumptions!$B$4*Assumptions!$B$6</f>
        <v>10.1333333333333</v>
      </c>
      <c r="AS196" s="7" t="n">
        <f aca="false">SUMIFS(Doors!BE:BE,Doors!$A:$A,$D196,Doors!$B:$B,$B196,Doors!$C:$C,$C196)*SUMIFS(Velocity!$I:$I,Velocity!$A:$A,$A196,Velocity!$B:$B,$C196)/Assumptions!$B$4*Assumptions!$B$6</f>
        <v>10.1333333333333</v>
      </c>
      <c r="AT196" s="7" t="n">
        <f aca="false">SUMIFS(Doors!BF:BF,Doors!$A:$A,$D196,Doors!$B:$B,$B196,Doors!$C:$C,$C196)*SUMIFS(Velocity!$I:$I,Velocity!$A:$A,$A196,Velocity!$B:$B,$C196)/Assumptions!$B$4*Assumptions!$B$6</f>
        <v>10.1333333333333</v>
      </c>
      <c r="AU196" s="7" t="n">
        <f aca="false">SUMIFS(Doors!BG:BG,Doors!$A:$A,$D196,Doors!$B:$B,$B196,Doors!$C:$C,$C196)*SUMIFS(Velocity!$I:$I,Velocity!$A:$A,$A196,Velocity!$B:$B,$C196)/Assumptions!$B$4*Assumptions!$B$6</f>
        <v>10.1333333333333</v>
      </c>
      <c r="AV196" s="7" t="n">
        <f aca="false">SUMIFS(Doors!BH:BH,Doors!$A:$A,$D196,Doors!$B:$B,$B196,Doors!$C:$C,$C196)*SUMIFS(Velocity!$I:$I,Velocity!$A:$A,$A196,Velocity!$B:$B,$C196)/Assumptions!$B$4*Assumptions!$B$6</f>
        <v>10.1333333333333</v>
      </c>
      <c r="AW196" s="7" t="n">
        <f aca="false">SUMIFS(Doors!BI:BI,Doors!$A:$A,$D196,Doors!$B:$B,$B196,Doors!$C:$C,$C196)*SUMIFS(Velocity!$I:$I,Velocity!$A:$A,$A196,Velocity!$B:$B,$C196)/Assumptions!$B$4*Assumptions!$B$6</f>
        <v>10.45</v>
      </c>
      <c r="AX196" s="7" t="n">
        <f aca="false">SUMIFS(Doors!BJ:BJ,Doors!$A:$A,$D196,Doors!$B:$B,$B196,Doors!$C:$C,$C196)*SUMIFS(Velocity!$I:$I,Velocity!$A:$A,$A196,Velocity!$B:$B,$C196)/Assumptions!$B$4*Assumptions!$B$6</f>
        <v>10.45</v>
      </c>
      <c r="AY196" s="7" t="n">
        <f aca="false">SUMIFS(Doors!BK:BK,Doors!$A:$A,$D196,Doors!$B:$B,$B196,Doors!$C:$C,$C196)*SUMIFS(Velocity!$I:$I,Velocity!$A:$A,$A196,Velocity!$B:$B,$C196)/Assumptions!$B$4*Assumptions!$B$6</f>
        <v>10.45</v>
      </c>
      <c r="AZ196" s="7" t="n">
        <f aca="false">SUMIFS(Doors!BL:BL,Doors!$A:$A,$D196,Doors!$B:$B,$B196,Doors!$C:$C,$C196)*SUMIFS(Velocity!$I:$I,Velocity!$A:$A,$A196,Velocity!$B:$B,$C196)/Assumptions!$B$4*Assumptions!$B$6</f>
        <v>10.45</v>
      </c>
      <c r="BA196" s="7" t="n">
        <f aca="false">SUMIFS(Doors!BM:BM,Doors!$A:$A,$D196,Doors!$B:$B,$B196,Doors!$C:$C,$C196)*SUMIFS(Velocity!$I:$I,Velocity!$A:$A,$A196,Velocity!$B:$B,$C196)/Assumptions!$B$4*Assumptions!$B$6</f>
        <v>11.0833333333333</v>
      </c>
      <c r="BB196" s="7" t="n">
        <f aca="false">SUMIFS(Doors!BN:BN,Doors!$A:$A,$D196,Doors!$B:$B,$B196,Doors!$C:$C,$C196)*SUMIFS(Velocity!$I:$I,Velocity!$A:$A,$A196,Velocity!$B:$B,$C196)/Assumptions!$B$4*Assumptions!$B$6</f>
        <v>11.0833333333333</v>
      </c>
      <c r="BC196" s="7" t="n">
        <f aca="false">SUMIFS(Doors!BO:BO,Doors!$A:$A,$D196,Doors!$B:$B,$B196,Doors!$C:$C,$C196)*SUMIFS(Velocity!$I:$I,Velocity!$A:$A,$A196,Velocity!$B:$B,$C196)/Assumptions!$B$4*Assumptions!$B$6</f>
        <v>11.0833333333333</v>
      </c>
      <c r="BD196" s="7" t="n">
        <f aca="false">SUMIFS(Doors!BP:BP,Doors!$A:$A,$D196,Doors!$B:$B,$B196,Doors!$C:$C,$C196)*SUMIFS(Velocity!$I:$I,Velocity!$A:$A,$A196,Velocity!$B:$B,$C196)/Assumptions!$B$4*Assumptions!$B$6</f>
        <v>11.0833333333333</v>
      </c>
    </row>
    <row r="197" customFormat="false" ht="15" hidden="false" customHeight="false" outlineLevel="0" collapsed="false">
      <c r="A197" s="0" t="s">
        <v>110</v>
      </c>
      <c r="B197" s="0" t="s">
        <v>127</v>
      </c>
      <c r="C197" s="0" t="s">
        <v>117</v>
      </c>
      <c r="D197" s="0" t="s">
        <v>235</v>
      </c>
      <c r="E197" s="7" t="n">
        <f aca="false">SUMIFS(Doors!Q:Q,Doors!$A:$A,$D197,Doors!$B:$B,$B197,Doors!$C:$C,$C197)*SUMIFS(Velocity!$I:$I,Velocity!$A:$A,$A197,Velocity!$B:$B,$C197)/Assumptions!$B$4*Assumptions!$B$6</f>
        <v>0</v>
      </c>
      <c r="F197" s="7" t="n">
        <f aca="false">SUMIFS(Doors!R:R,Doors!$A:$A,$D197,Doors!$B:$B,$B197,Doors!$C:$C,$C197)*SUMIFS(Velocity!$I:$I,Velocity!$A:$A,$A197,Velocity!$B:$B,$C197)/Assumptions!$B$4*Assumptions!$B$6</f>
        <v>0</v>
      </c>
      <c r="G197" s="7" t="n">
        <f aca="false">SUMIFS(Doors!S:S,Doors!$A:$A,$D197,Doors!$B:$B,$B197,Doors!$C:$C,$C197)*SUMIFS(Velocity!$I:$I,Velocity!$A:$A,$A197,Velocity!$B:$B,$C197)/Assumptions!$B$4*Assumptions!$B$6</f>
        <v>0</v>
      </c>
      <c r="H197" s="7" t="n">
        <f aca="false">SUMIFS(Doors!T:T,Doors!$A:$A,$D197,Doors!$B:$B,$B197,Doors!$C:$C,$C197)*SUMIFS(Velocity!$I:$I,Velocity!$A:$A,$A197,Velocity!$B:$B,$C197)/Assumptions!$B$4*Assumptions!$B$6</f>
        <v>0</v>
      </c>
      <c r="I197" s="7" t="n">
        <f aca="false">SUMIFS(Doors!U:U,Doors!$A:$A,$D197,Doors!$B:$B,$B197,Doors!$C:$C,$C197)*SUMIFS(Velocity!$I:$I,Velocity!$A:$A,$A197,Velocity!$B:$B,$C197)/Assumptions!$B$4*Assumptions!$B$6</f>
        <v>0</v>
      </c>
      <c r="J197" s="7" t="n">
        <f aca="false">SUMIFS(Doors!V:V,Doors!$A:$A,$D197,Doors!$B:$B,$B197,Doors!$C:$C,$C197)*SUMIFS(Velocity!$I:$I,Velocity!$A:$A,$A197,Velocity!$B:$B,$C197)/Assumptions!$B$4*Assumptions!$B$6</f>
        <v>0</v>
      </c>
      <c r="K197" s="7" t="n">
        <f aca="false">SUMIFS(Doors!W:W,Doors!$A:$A,$D197,Doors!$B:$B,$B197,Doors!$C:$C,$C197)*SUMIFS(Velocity!$I:$I,Velocity!$A:$A,$A197,Velocity!$B:$B,$C197)/Assumptions!$B$4*Assumptions!$B$6</f>
        <v>0</v>
      </c>
      <c r="L197" s="7" t="n">
        <f aca="false">SUMIFS(Doors!X:X,Doors!$A:$A,$D197,Doors!$B:$B,$B197,Doors!$C:$C,$C197)*SUMIFS(Velocity!$I:$I,Velocity!$A:$A,$A197,Velocity!$B:$B,$C197)/Assumptions!$B$4*Assumptions!$B$6</f>
        <v>0</v>
      </c>
      <c r="M197" s="7" t="n">
        <f aca="false">SUMIFS(Doors!Y:Y,Doors!$A:$A,$D197,Doors!$B:$B,$B197,Doors!$C:$C,$C197)*SUMIFS(Velocity!$I:$I,Velocity!$A:$A,$A197,Velocity!$B:$B,$C197)/Assumptions!$B$4*Assumptions!$B$6</f>
        <v>0</v>
      </c>
      <c r="N197" s="7" t="n">
        <f aca="false">SUMIFS(Doors!Z:Z,Doors!$A:$A,$D197,Doors!$B:$B,$B197,Doors!$C:$C,$C197)*SUMIFS(Velocity!$I:$I,Velocity!$A:$A,$A197,Velocity!$B:$B,$C197)/Assumptions!$B$4*Assumptions!$B$6</f>
        <v>0</v>
      </c>
      <c r="O197" s="7" t="n">
        <f aca="false">SUMIFS(Doors!AA:AA,Doors!$A:$A,$D197,Doors!$B:$B,$B197,Doors!$C:$C,$C197)*SUMIFS(Velocity!$I:$I,Velocity!$A:$A,$A197,Velocity!$B:$B,$C197)/Assumptions!$B$4*Assumptions!$B$6</f>
        <v>0</v>
      </c>
      <c r="P197" s="7" t="n">
        <f aca="false">SUMIFS(Doors!AB:AB,Doors!$A:$A,$D197,Doors!$B:$B,$B197,Doors!$C:$C,$C197)*SUMIFS(Velocity!$I:$I,Velocity!$A:$A,$A197,Velocity!$B:$B,$C197)/Assumptions!$B$4*Assumptions!$B$6</f>
        <v>0</v>
      </c>
      <c r="Q197" s="7" t="n">
        <f aca="false">SUMIFS(Doors!AC:AC,Doors!$A:$A,$D197,Doors!$B:$B,$B197,Doors!$C:$C,$C197)*SUMIFS(Velocity!$I:$I,Velocity!$A:$A,$A197,Velocity!$B:$B,$C197)/Assumptions!$B$4*Assumptions!$B$6</f>
        <v>0</v>
      </c>
      <c r="R197" s="7" t="n">
        <f aca="false">SUMIFS(Doors!AD:AD,Doors!$A:$A,$D197,Doors!$B:$B,$B197,Doors!$C:$C,$C197)*SUMIFS(Velocity!$I:$I,Velocity!$A:$A,$A197,Velocity!$B:$B,$C197)/Assumptions!$B$4*Assumptions!$B$6</f>
        <v>3.42708333333333</v>
      </c>
      <c r="S197" s="7" t="n">
        <f aca="false">SUMIFS(Doors!AE:AE,Doors!$A:$A,$D197,Doors!$B:$B,$B197,Doors!$C:$C,$C197)*SUMIFS(Velocity!$I:$I,Velocity!$A:$A,$A197,Velocity!$B:$B,$C197)/Assumptions!$B$4*Assumptions!$B$6</f>
        <v>3.42708333333333</v>
      </c>
      <c r="T197" s="7" t="n">
        <f aca="false">SUMIFS(Doors!AF:AF,Doors!$A:$A,$D197,Doors!$B:$B,$B197,Doors!$C:$C,$C197)*SUMIFS(Velocity!$I:$I,Velocity!$A:$A,$A197,Velocity!$B:$B,$C197)/Assumptions!$B$4*Assumptions!$B$6</f>
        <v>3.42708333333333</v>
      </c>
      <c r="U197" s="7" t="n">
        <f aca="false">SUMIFS(Doors!AG:AG,Doors!$A:$A,$D197,Doors!$B:$B,$B197,Doors!$C:$C,$C197)*SUMIFS(Velocity!$I:$I,Velocity!$A:$A,$A197,Velocity!$B:$B,$C197)/Assumptions!$B$4*Assumptions!$B$6</f>
        <v>3.42708333333333</v>
      </c>
      <c r="V197" s="7" t="n">
        <f aca="false">SUMIFS(Doors!AH:AH,Doors!$A:$A,$D197,Doors!$B:$B,$B197,Doors!$C:$C,$C197)*SUMIFS(Velocity!$I:$I,Velocity!$A:$A,$A197,Velocity!$B:$B,$C197)/Assumptions!$B$4*Assumptions!$B$6</f>
        <v>3.42708333333333</v>
      </c>
      <c r="W197" s="7" t="n">
        <f aca="false">SUMIFS(Doors!AI:AI,Doors!$A:$A,$D197,Doors!$B:$B,$B197,Doors!$C:$C,$C197)*SUMIFS(Velocity!$I:$I,Velocity!$A:$A,$A197,Velocity!$B:$B,$C197)/Assumptions!$B$4*Assumptions!$B$6</f>
        <v>6.85416666666667</v>
      </c>
      <c r="X197" s="7" t="n">
        <f aca="false">SUMIFS(Doors!AJ:AJ,Doors!$A:$A,$D197,Doors!$B:$B,$B197,Doors!$C:$C,$C197)*SUMIFS(Velocity!$I:$I,Velocity!$A:$A,$A197,Velocity!$B:$B,$C197)/Assumptions!$B$4*Assumptions!$B$6</f>
        <v>6.85416666666667</v>
      </c>
      <c r="Y197" s="7" t="n">
        <f aca="false">SUMIFS(Doors!AK:AK,Doors!$A:$A,$D197,Doors!$B:$B,$B197,Doors!$C:$C,$C197)*SUMIFS(Velocity!$I:$I,Velocity!$A:$A,$A197,Velocity!$B:$B,$C197)/Assumptions!$B$4*Assumptions!$B$6</f>
        <v>6.85416666666667</v>
      </c>
      <c r="Z197" s="7" t="n">
        <f aca="false">SUMIFS(Doors!AL:AL,Doors!$A:$A,$D197,Doors!$B:$B,$B197,Doors!$C:$C,$C197)*SUMIFS(Velocity!$I:$I,Velocity!$A:$A,$A197,Velocity!$B:$B,$C197)/Assumptions!$B$4*Assumptions!$B$6</f>
        <v>6.85416666666667</v>
      </c>
      <c r="AA197" s="7" t="n">
        <f aca="false">SUMIFS(Doors!AM:AM,Doors!$A:$A,$D197,Doors!$B:$B,$B197,Doors!$C:$C,$C197)*SUMIFS(Velocity!$I:$I,Velocity!$A:$A,$A197,Velocity!$B:$B,$C197)/Assumptions!$B$4*Assumptions!$B$6</f>
        <v>10.28125</v>
      </c>
      <c r="AB197" s="7" t="n">
        <f aca="false">SUMIFS(Doors!AN:AN,Doors!$A:$A,$D197,Doors!$B:$B,$B197,Doors!$C:$C,$C197)*SUMIFS(Velocity!$I:$I,Velocity!$A:$A,$A197,Velocity!$B:$B,$C197)/Assumptions!$B$4*Assumptions!$B$6</f>
        <v>10.28125</v>
      </c>
      <c r="AC197" s="7" t="n">
        <f aca="false">SUMIFS(Doors!AO:AO,Doors!$A:$A,$D197,Doors!$B:$B,$B197,Doors!$C:$C,$C197)*SUMIFS(Velocity!$I:$I,Velocity!$A:$A,$A197,Velocity!$B:$B,$C197)/Assumptions!$B$4*Assumptions!$B$6</f>
        <v>10.28125</v>
      </c>
      <c r="AD197" s="7" t="n">
        <f aca="false">SUMIFS(Doors!AP:AP,Doors!$A:$A,$D197,Doors!$B:$B,$B197,Doors!$C:$C,$C197)*SUMIFS(Velocity!$I:$I,Velocity!$A:$A,$A197,Velocity!$B:$B,$C197)/Assumptions!$B$4*Assumptions!$B$6</f>
        <v>10.28125</v>
      </c>
      <c r="AE197" s="7" t="n">
        <f aca="false">SUMIFS(Doors!AQ:AQ,Doors!$A:$A,$D197,Doors!$B:$B,$B197,Doors!$C:$C,$C197)*SUMIFS(Velocity!$I:$I,Velocity!$A:$A,$A197,Velocity!$B:$B,$C197)/Assumptions!$B$4*Assumptions!$B$6</f>
        <v>12.3375</v>
      </c>
      <c r="AF197" s="7" t="n">
        <f aca="false">SUMIFS(Doors!AR:AR,Doors!$A:$A,$D197,Doors!$B:$B,$B197,Doors!$C:$C,$C197)*SUMIFS(Velocity!$I:$I,Velocity!$A:$A,$A197,Velocity!$B:$B,$C197)/Assumptions!$B$4*Assumptions!$B$6</f>
        <v>12.3375</v>
      </c>
      <c r="AG197" s="7" t="n">
        <f aca="false">SUMIFS(Doors!AS:AS,Doors!$A:$A,$D197,Doors!$B:$B,$B197,Doors!$C:$C,$C197)*SUMIFS(Velocity!$I:$I,Velocity!$A:$A,$A197,Velocity!$B:$B,$C197)/Assumptions!$B$4*Assumptions!$B$6</f>
        <v>12.3375</v>
      </c>
      <c r="AH197" s="7" t="n">
        <f aca="false">SUMIFS(Doors!AT:AT,Doors!$A:$A,$D197,Doors!$B:$B,$B197,Doors!$C:$C,$C197)*SUMIFS(Velocity!$I:$I,Velocity!$A:$A,$A197,Velocity!$B:$B,$C197)/Assumptions!$B$4*Assumptions!$B$6</f>
        <v>12.3375</v>
      </c>
      <c r="AI197" s="7" t="n">
        <f aca="false">SUMIFS(Doors!AU:AU,Doors!$A:$A,$D197,Doors!$B:$B,$B197,Doors!$C:$C,$C197)*SUMIFS(Velocity!$I:$I,Velocity!$A:$A,$A197,Velocity!$B:$B,$C197)/Assumptions!$B$4*Assumptions!$B$6</f>
        <v>12.3375</v>
      </c>
      <c r="AJ197" s="7" t="n">
        <f aca="false">SUMIFS(Doors!AV:AV,Doors!$A:$A,$D197,Doors!$B:$B,$B197,Doors!$C:$C,$C197)*SUMIFS(Velocity!$I:$I,Velocity!$A:$A,$A197,Velocity!$B:$B,$C197)/Assumptions!$B$4*Assumptions!$B$6</f>
        <v>15.0791666666667</v>
      </c>
      <c r="AK197" s="7" t="n">
        <f aca="false">SUMIFS(Doors!AW:AW,Doors!$A:$A,$D197,Doors!$B:$B,$B197,Doors!$C:$C,$C197)*SUMIFS(Velocity!$I:$I,Velocity!$A:$A,$A197,Velocity!$B:$B,$C197)/Assumptions!$B$4*Assumptions!$B$6</f>
        <v>15.0791666666667</v>
      </c>
      <c r="AL197" s="7" t="n">
        <f aca="false">SUMIFS(Doors!AX:AX,Doors!$A:$A,$D197,Doors!$B:$B,$B197,Doors!$C:$C,$C197)*SUMIFS(Velocity!$I:$I,Velocity!$A:$A,$A197,Velocity!$B:$B,$C197)/Assumptions!$B$4*Assumptions!$B$6</f>
        <v>15.0791666666667</v>
      </c>
      <c r="AM197" s="7" t="n">
        <f aca="false">SUMIFS(Doors!AY:AY,Doors!$A:$A,$D197,Doors!$B:$B,$B197,Doors!$C:$C,$C197)*SUMIFS(Velocity!$I:$I,Velocity!$A:$A,$A197,Velocity!$B:$B,$C197)/Assumptions!$B$4*Assumptions!$B$6</f>
        <v>15.0791666666667</v>
      </c>
      <c r="AN197" s="7" t="n">
        <f aca="false">SUMIFS(Doors!AZ:AZ,Doors!$A:$A,$D197,Doors!$B:$B,$B197,Doors!$C:$C,$C197)*SUMIFS(Velocity!$I:$I,Velocity!$A:$A,$A197,Velocity!$B:$B,$C197)/Assumptions!$B$4*Assumptions!$B$6</f>
        <v>17.1354166666667</v>
      </c>
      <c r="AO197" s="7" t="n">
        <f aca="false">SUMIFS(Doors!BA:BA,Doors!$A:$A,$D197,Doors!$B:$B,$B197,Doors!$C:$C,$C197)*SUMIFS(Velocity!$I:$I,Velocity!$A:$A,$A197,Velocity!$B:$B,$C197)/Assumptions!$B$4*Assumptions!$B$6</f>
        <v>17.1354166666667</v>
      </c>
      <c r="AP197" s="7" t="n">
        <f aca="false">SUMIFS(Doors!BB:BB,Doors!$A:$A,$D197,Doors!$B:$B,$B197,Doors!$C:$C,$C197)*SUMIFS(Velocity!$I:$I,Velocity!$A:$A,$A197,Velocity!$B:$B,$C197)/Assumptions!$B$4*Assumptions!$B$6</f>
        <v>17.1354166666667</v>
      </c>
      <c r="AQ197" s="7" t="n">
        <f aca="false">SUMIFS(Doors!BC:BC,Doors!$A:$A,$D197,Doors!$B:$B,$B197,Doors!$C:$C,$C197)*SUMIFS(Velocity!$I:$I,Velocity!$A:$A,$A197,Velocity!$B:$B,$C197)/Assumptions!$B$4*Assumptions!$B$6</f>
        <v>17.1354166666667</v>
      </c>
      <c r="AR197" s="7" t="n">
        <f aca="false">SUMIFS(Doors!BD:BD,Doors!$A:$A,$D197,Doors!$B:$B,$B197,Doors!$C:$C,$C197)*SUMIFS(Velocity!$I:$I,Velocity!$A:$A,$A197,Velocity!$B:$B,$C197)/Assumptions!$B$4*Assumptions!$B$6</f>
        <v>18.50625</v>
      </c>
      <c r="AS197" s="7" t="n">
        <f aca="false">SUMIFS(Doors!BE:BE,Doors!$A:$A,$D197,Doors!$B:$B,$B197,Doors!$C:$C,$C197)*SUMIFS(Velocity!$I:$I,Velocity!$A:$A,$A197,Velocity!$B:$B,$C197)/Assumptions!$B$4*Assumptions!$B$6</f>
        <v>18.50625</v>
      </c>
      <c r="AT197" s="7" t="n">
        <f aca="false">SUMIFS(Doors!BF:BF,Doors!$A:$A,$D197,Doors!$B:$B,$B197,Doors!$C:$C,$C197)*SUMIFS(Velocity!$I:$I,Velocity!$A:$A,$A197,Velocity!$B:$B,$C197)/Assumptions!$B$4*Assumptions!$B$6</f>
        <v>18.50625</v>
      </c>
      <c r="AU197" s="7" t="n">
        <f aca="false">SUMIFS(Doors!BG:BG,Doors!$A:$A,$D197,Doors!$B:$B,$B197,Doors!$C:$C,$C197)*SUMIFS(Velocity!$I:$I,Velocity!$A:$A,$A197,Velocity!$B:$B,$C197)/Assumptions!$B$4*Assumptions!$B$6</f>
        <v>18.50625</v>
      </c>
      <c r="AV197" s="7" t="n">
        <f aca="false">SUMIFS(Doors!BH:BH,Doors!$A:$A,$D197,Doors!$B:$B,$B197,Doors!$C:$C,$C197)*SUMIFS(Velocity!$I:$I,Velocity!$A:$A,$A197,Velocity!$B:$B,$C197)/Assumptions!$B$4*Assumptions!$B$6</f>
        <v>18.50625</v>
      </c>
      <c r="AW197" s="7" t="n">
        <f aca="false">SUMIFS(Doors!BI:BI,Doors!$A:$A,$D197,Doors!$B:$B,$B197,Doors!$C:$C,$C197)*SUMIFS(Velocity!$I:$I,Velocity!$A:$A,$A197,Velocity!$B:$B,$C197)/Assumptions!$B$4*Assumptions!$B$6</f>
        <v>19.1916666666667</v>
      </c>
      <c r="AX197" s="7" t="n">
        <f aca="false">SUMIFS(Doors!BJ:BJ,Doors!$A:$A,$D197,Doors!$B:$B,$B197,Doors!$C:$C,$C197)*SUMIFS(Velocity!$I:$I,Velocity!$A:$A,$A197,Velocity!$B:$B,$C197)/Assumptions!$B$4*Assumptions!$B$6</f>
        <v>19.1916666666667</v>
      </c>
      <c r="AY197" s="7" t="n">
        <f aca="false">SUMIFS(Doors!BK:BK,Doors!$A:$A,$D197,Doors!$B:$B,$B197,Doors!$C:$C,$C197)*SUMIFS(Velocity!$I:$I,Velocity!$A:$A,$A197,Velocity!$B:$B,$C197)/Assumptions!$B$4*Assumptions!$B$6</f>
        <v>19.1916666666667</v>
      </c>
      <c r="AZ197" s="7" t="n">
        <f aca="false">SUMIFS(Doors!BL:BL,Doors!$A:$A,$D197,Doors!$B:$B,$B197,Doors!$C:$C,$C197)*SUMIFS(Velocity!$I:$I,Velocity!$A:$A,$A197,Velocity!$B:$B,$C197)/Assumptions!$B$4*Assumptions!$B$6</f>
        <v>19.1916666666667</v>
      </c>
      <c r="BA197" s="7" t="n">
        <f aca="false">SUMIFS(Doors!BM:BM,Doors!$A:$A,$D197,Doors!$B:$B,$B197,Doors!$C:$C,$C197)*SUMIFS(Velocity!$I:$I,Velocity!$A:$A,$A197,Velocity!$B:$B,$C197)/Assumptions!$B$4*Assumptions!$B$6</f>
        <v>20.5625</v>
      </c>
      <c r="BB197" s="7" t="n">
        <f aca="false">SUMIFS(Doors!BN:BN,Doors!$A:$A,$D197,Doors!$B:$B,$B197,Doors!$C:$C,$C197)*SUMIFS(Velocity!$I:$I,Velocity!$A:$A,$A197,Velocity!$B:$B,$C197)/Assumptions!$B$4*Assumptions!$B$6</f>
        <v>20.5625</v>
      </c>
      <c r="BC197" s="7" t="n">
        <f aca="false">SUMIFS(Doors!BO:BO,Doors!$A:$A,$D197,Doors!$B:$B,$B197,Doors!$C:$C,$C197)*SUMIFS(Velocity!$I:$I,Velocity!$A:$A,$A197,Velocity!$B:$B,$C197)/Assumptions!$B$4*Assumptions!$B$6</f>
        <v>20.5625</v>
      </c>
      <c r="BD197" s="7" t="n">
        <f aca="false">SUMIFS(Doors!BP:BP,Doors!$A:$A,$D197,Doors!$B:$B,$B197,Doors!$C:$C,$C197)*SUMIFS(Velocity!$I:$I,Velocity!$A:$A,$A197,Velocity!$B:$B,$C197)/Assumptions!$B$4*Assumptions!$B$6</f>
        <v>20.5625</v>
      </c>
    </row>
    <row r="198" customFormat="false" ht="15" hidden="false" customHeight="false" outlineLevel="0" collapsed="false">
      <c r="A198" s="0" t="s">
        <v>110</v>
      </c>
      <c r="B198" s="0" t="s">
        <v>127</v>
      </c>
      <c r="C198" s="0" t="s">
        <v>118</v>
      </c>
      <c r="D198" s="0" t="s">
        <v>235</v>
      </c>
      <c r="E198" s="7" t="n">
        <f aca="false">SUMIFS(Doors!Q:Q,Doors!$A:$A,$D198,Doors!$B:$B,$B198,Doors!$C:$C,$C198)*SUMIFS(Velocity!$I:$I,Velocity!$A:$A,$A198,Velocity!$B:$B,$C198)/Assumptions!$B$4*Assumptions!$B$6</f>
        <v>0</v>
      </c>
      <c r="F198" s="7" t="n">
        <f aca="false">SUMIFS(Doors!R:R,Doors!$A:$A,$D198,Doors!$B:$B,$B198,Doors!$C:$C,$C198)*SUMIFS(Velocity!$I:$I,Velocity!$A:$A,$A198,Velocity!$B:$B,$C198)/Assumptions!$B$4*Assumptions!$B$6</f>
        <v>0</v>
      </c>
      <c r="G198" s="7" t="n">
        <f aca="false">SUMIFS(Doors!S:S,Doors!$A:$A,$D198,Doors!$B:$B,$B198,Doors!$C:$C,$C198)*SUMIFS(Velocity!$I:$I,Velocity!$A:$A,$A198,Velocity!$B:$B,$C198)/Assumptions!$B$4*Assumptions!$B$6</f>
        <v>0</v>
      </c>
      <c r="H198" s="7" t="n">
        <f aca="false">SUMIFS(Doors!T:T,Doors!$A:$A,$D198,Doors!$B:$B,$B198,Doors!$C:$C,$C198)*SUMIFS(Velocity!$I:$I,Velocity!$A:$A,$A198,Velocity!$B:$B,$C198)/Assumptions!$B$4*Assumptions!$B$6</f>
        <v>0</v>
      </c>
      <c r="I198" s="7" t="n">
        <f aca="false">SUMIFS(Doors!U:U,Doors!$A:$A,$D198,Doors!$B:$B,$B198,Doors!$C:$C,$C198)*SUMIFS(Velocity!$I:$I,Velocity!$A:$A,$A198,Velocity!$B:$B,$C198)/Assumptions!$B$4*Assumptions!$B$6</f>
        <v>0</v>
      </c>
      <c r="J198" s="7" t="n">
        <f aca="false">SUMIFS(Doors!V:V,Doors!$A:$A,$D198,Doors!$B:$B,$B198,Doors!$C:$C,$C198)*SUMIFS(Velocity!$I:$I,Velocity!$A:$A,$A198,Velocity!$B:$B,$C198)/Assumptions!$B$4*Assumptions!$B$6</f>
        <v>0</v>
      </c>
      <c r="K198" s="7" t="n">
        <f aca="false">SUMIFS(Doors!W:W,Doors!$A:$A,$D198,Doors!$B:$B,$B198,Doors!$C:$C,$C198)*SUMIFS(Velocity!$I:$I,Velocity!$A:$A,$A198,Velocity!$B:$B,$C198)/Assumptions!$B$4*Assumptions!$B$6</f>
        <v>0</v>
      </c>
      <c r="L198" s="7" t="n">
        <f aca="false">SUMIFS(Doors!X:X,Doors!$A:$A,$D198,Doors!$B:$B,$B198,Doors!$C:$C,$C198)*SUMIFS(Velocity!$I:$I,Velocity!$A:$A,$A198,Velocity!$B:$B,$C198)/Assumptions!$B$4*Assumptions!$B$6</f>
        <v>0</v>
      </c>
      <c r="M198" s="7" t="n">
        <f aca="false">SUMIFS(Doors!Y:Y,Doors!$A:$A,$D198,Doors!$B:$B,$B198,Doors!$C:$C,$C198)*SUMIFS(Velocity!$I:$I,Velocity!$A:$A,$A198,Velocity!$B:$B,$C198)/Assumptions!$B$4*Assumptions!$B$6</f>
        <v>0</v>
      </c>
      <c r="N198" s="7" t="n">
        <f aca="false">SUMIFS(Doors!Z:Z,Doors!$A:$A,$D198,Doors!$B:$B,$B198,Doors!$C:$C,$C198)*SUMIFS(Velocity!$I:$I,Velocity!$A:$A,$A198,Velocity!$B:$B,$C198)/Assumptions!$B$4*Assumptions!$B$6</f>
        <v>0</v>
      </c>
      <c r="O198" s="7" t="n">
        <f aca="false">SUMIFS(Doors!AA:AA,Doors!$A:$A,$D198,Doors!$B:$B,$B198,Doors!$C:$C,$C198)*SUMIFS(Velocity!$I:$I,Velocity!$A:$A,$A198,Velocity!$B:$B,$C198)/Assumptions!$B$4*Assumptions!$B$6</f>
        <v>0</v>
      </c>
      <c r="P198" s="7" t="n">
        <f aca="false">SUMIFS(Doors!AB:AB,Doors!$A:$A,$D198,Doors!$B:$B,$B198,Doors!$C:$C,$C198)*SUMIFS(Velocity!$I:$I,Velocity!$A:$A,$A198,Velocity!$B:$B,$C198)/Assumptions!$B$4*Assumptions!$B$6</f>
        <v>0</v>
      </c>
      <c r="Q198" s="7" t="n">
        <f aca="false">SUMIFS(Doors!AC:AC,Doors!$A:$A,$D198,Doors!$B:$B,$B198,Doors!$C:$C,$C198)*SUMIFS(Velocity!$I:$I,Velocity!$A:$A,$A198,Velocity!$B:$B,$C198)/Assumptions!$B$4*Assumptions!$B$6</f>
        <v>0</v>
      </c>
      <c r="R198" s="7" t="n">
        <f aca="false">SUMIFS(Doors!AD:AD,Doors!$A:$A,$D198,Doors!$B:$B,$B198,Doors!$C:$C,$C198)*SUMIFS(Velocity!$I:$I,Velocity!$A:$A,$A198,Velocity!$B:$B,$C198)/Assumptions!$B$4*Assumptions!$B$6</f>
        <v>0</v>
      </c>
      <c r="S198" s="7" t="n">
        <f aca="false">SUMIFS(Doors!AE:AE,Doors!$A:$A,$D198,Doors!$B:$B,$B198,Doors!$C:$C,$C198)*SUMIFS(Velocity!$I:$I,Velocity!$A:$A,$A198,Velocity!$B:$B,$C198)/Assumptions!$B$4*Assumptions!$B$6</f>
        <v>0</v>
      </c>
      <c r="T198" s="7" t="n">
        <f aca="false">SUMIFS(Doors!AF:AF,Doors!$A:$A,$D198,Doors!$B:$B,$B198,Doors!$C:$C,$C198)*SUMIFS(Velocity!$I:$I,Velocity!$A:$A,$A198,Velocity!$B:$B,$C198)/Assumptions!$B$4*Assumptions!$B$6</f>
        <v>0</v>
      </c>
      <c r="U198" s="7" t="n">
        <f aca="false">SUMIFS(Doors!AG:AG,Doors!$A:$A,$D198,Doors!$B:$B,$B198,Doors!$C:$C,$C198)*SUMIFS(Velocity!$I:$I,Velocity!$A:$A,$A198,Velocity!$B:$B,$C198)/Assumptions!$B$4*Assumptions!$B$6</f>
        <v>0</v>
      </c>
      <c r="V198" s="7" t="n">
        <f aca="false">SUMIFS(Doors!AH:AH,Doors!$A:$A,$D198,Doors!$B:$B,$B198,Doors!$C:$C,$C198)*SUMIFS(Velocity!$I:$I,Velocity!$A:$A,$A198,Velocity!$B:$B,$C198)/Assumptions!$B$4*Assumptions!$B$6</f>
        <v>0</v>
      </c>
      <c r="W198" s="7" t="n">
        <f aca="false">SUMIFS(Doors!AI:AI,Doors!$A:$A,$D198,Doors!$B:$B,$B198,Doors!$C:$C,$C198)*SUMIFS(Velocity!$I:$I,Velocity!$A:$A,$A198,Velocity!$B:$B,$C198)/Assumptions!$B$4*Assumptions!$B$6</f>
        <v>0</v>
      </c>
      <c r="X198" s="7" t="n">
        <f aca="false">SUMIFS(Doors!AJ:AJ,Doors!$A:$A,$D198,Doors!$B:$B,$B198,Doors!$C:$C,$C198)*SUMIFS(Velocity!$I:$I,Velocity!$A:$A,$A198,Velocity!$B:$B,$C198)/Assumptions!$B$4*Assumptions!$B$6</f>
        <v>0</v>
      </c>
      <c r="Y198" s="7" t="n">
        <f aca="false">SUMIFS(Doors!AK:AK,Doors!$A:$A,$D198,Doors!$B:$B,$B198,Doors!$C:$C,$C198)*SUMIFS(Velocity!$I:$I,Velocity!$A:$A,$A198,Velocity!$B:$B,$C198)/Assumptions!$B$4*Assumptions!$B$6</f>
        <v>0</v>
      </c>
      <c r="Z198" s="7" t="n">
        <f aca="false">SUMIFS(Doors!AL:AL,Doors!$A:$A,$D198,Doors!$B:$B,$B198,Doors!$C:$C,$C198)*SUMIFS(Velocity!$I:$I,Velocity!$A:$A,$A198,Velocity!$B:$B,$C198)/Assumptions!$B$4*Assumptions!$B$6</f>
        <v>0</v>
      </c>
      <c r="AA198" s="7" t="n">
        <f aca="false">SUMIFS(Doors!AM:AM,Doors!$A:$A,$D198,Doors!$B:$B,$B198,Doors!$C:$C,$C198)*SUMIFS(Velocity!$I:$I,Velocity!$A:$A,$A198,Velocity!$B:$B,$C198)/Assumptions!$B$4*Assumptions!$B$6</f>
        <v>0</v>
      </c>
      <c r="AB198" s="7" t="n">
        <f aca="false">SUMIFS(Doors!AN:AN,Doors!$A:$A,$D198,Doors!$B:$B,$B198,Doors!$C:$C,$C198)*SUMIFS(Velocity!$I:$I,Velocity!$A:$A,$A198,Velocity!$B:$B,$C198)/Assumptions!$B$4*Assumptions!$B$6</f>
        <v>0</v>
      </c>
      <c r="AC198" s="7" t="n">
        <f aca="false">SUMIFS(Doors!AO:AO,Doors!$A:$A,$D198,Doors!$B:$B,$B198,Doors!$C:$C,$C198)*SUMIFS(Velocity!$I:$I,Velocity!$A:$A,$A198,Velocity!$B:$B,$C198)/Assumptions!$B$4*Assumptions!$B$6</f>
        <v>0</v>
      </c>
      <c r="AD198" s="7" t="n">
        <f aca="false">SUMIFS(Doors!AP:AP,Doors!$A:$A,$D198,Doors!$B:$B,$B198,Doors!$C:$C,$C198)*SUMIFS(Velocity!$I:$I,Velocity!$A:$A,$A198,Velocity!$B:$B,$C198)/Assumptions!$B$4*Assumptions!$B$6</f>
        <v>0</v>
      </c>
      <c r="AE198" s="7" t="n">
        <f aca="false">SUMIFS(Doors!AQ:AQ,Doors!$A:$A,$D198,Doors!$B:$B,$B198,Doors!$C:$C,$C198)*SUMIFS(Velocity!$I:$I,Velocity!$A:$A,$A198,Velocity!$B:$B,$C198)/Assumptions!$B$4*Assumptions!$B$6</f>
        <v>336.666666666667</v>
      </c>
      <c r="AF198" s="7" t="n">
        <f aca="false">SUMIFS(Doors!AR:AR,Doors!$A:$A,$D198,Doors!$B:$B,$B198,Doors!$C:$C,$C198)*SUMIFS(Velocity!$I:$I,Velocity!$A:$A,$A198,Velocity!$B:$B,$C198)/Assumptions!$B$4*Assumptions!$B$6</f>
        <v>336.666666666667</v>
      </c>
      <c r="AG198" s="7" t="n">
        <f aca="false">SUMIFS(Doors!AS:AS,Doors!$A:$A,$D198,Doors!$B:$B,$B198,Doors!$C:$C,$C198)*SUMIFS(Velocity!$I:$I,Velocity!$A:$A,$A198,Velocity!$B:$B,$C198)/Assumptions!$B$4*Assumptions!$B$6</f>
        <v>336.666666666667</v>
      </c>
      <c r="AH198" s="7" t="n">
        <f aca="false">SUMIFS(Doors!AT:AT,Doors!$A:$A,$D198,Doors!$B:$B,$B198,Doors!$C:$C,$C198)*SUMIFS(Velocity!$I:$I,Velocity!$A:$A,$A198,Velocity!$B:$B,$C198)/Assumptions!$B$4*Assumptions!$B$6</f>
        <v>336.666666666667</v>
      </c>
      <c r="AI198" s="7" t="n">
        <f aca="false">SUMIFS(Doors!AU:AU,Doors!$A:$A,$D198,Doors!$B:$B,$B198,Doors!$C:$C,$C198)*SUMIFS(Velocity!$I:$I,Velocity!$A:$A,$A198,Velocity!$B:$B,$C198)/Assumptions!$B$4*Assumptions!$B$6</f>
        <v>336.666666666667</v>
      </c>
      <c r="AJ198" s="7" t="n">
        <f aca="false">SUMIFS(Doors!AV:AV,Doors!$A:$A,$D198,Doors!$B:$B,$B198,Doors!$C:$C,$C198)*SUMIFS(Velocity!$I:$I,Velocity!$A:$A,$A198,Velocity!$B:$B,$C198)/Assumptions!$B$4*Assumptions!$B$6</f>
        <v>0</v>
      </c>
      <c r="AK198" s="7" t="n">
        <f aca="false">SUMIFS(Doors!AW:AW,Doors!$A:$A,$D198,Doors!$B:$B,$B198,Doors!$C:$C,$C198)*SUMIFS(Velocity!$I:$I,Velocity!$A:$A,$A198,Velocity!$B:$B,$C198)/Assumptions!$B$4*Assumptions!$B$6</f>
        <v>0</v>
      </c>
      <c r="AL198" s="7" t="n">
        <f aca="false">SUMIFS(Doors!AX:AX,Doors!$A:$A,$D198,Doors!$B:$B,$B198,Doors!$C:$C,$C198)*SUMIFS(Velocity!$I:$I,Velocity!$A:$A,$A198,Velocity!$B:$B,$C198)/Assumptions!$B$4*Assumptions!$B$6</f>
        <v>0</v>
      </c>
      <c r="AM198" s="7" t="n">
        <f aca="false">SUMIFS(Doors!AY:AY,Doors!$A:$A,$D198,Doors!$B:$B,$B198,Doors!$C:$C,$C198)*SUMIFS(Velocity!$I:$I,Velocity!$A:$A,$A198,Velocity!$B:$B,$C198)/Assumptions!$B$4*Assumptions!$B$6</f>
        <v>0</v>
      </c>
      <c r="AN198" s="7" t="n">
        <f aca="false">SUMIFS(Doors!AZ:AZ,Doors!$A:$A,$D198,Doors!$B:$B,$B198,Doors!$C:$C,$C198)*SUMIFS(Velocity!$I:$I,Velocity!$A:$A,$A198,Velocity!$B:$B,$C198)/Assumptions!$B$4*Assumptions!$B$6</f>
        <v>0</v>
      </c>
      <c r="AO198" s="7" t="n">
        <f aca="false">SUMIFS(Doors!BA:BA,Doors!$A:$A,$D198,Doors!$B:$B,$B198,Doors!$C:$C,$C198)*SUMIFS(Velocity!$I:$I,Velocity!$A:$A,$A198,Velocity!$B:$B,$C198)/Assumptions!$B$4*Assumptions!$B$6</f>
        <v>0</v>
      </c>
      <c r="AP198" s="7" t="n">
        <f aca="false">SUMIFS(Doors!BB:BB,Doors!$A:$A,$D198,Doors!$B:$B,$B198,Doors!$C:$C,$C198)*SUMIFS(Velocity!$I:$I,Velocity!$A:$A,$A198,Velocity!$B:$B,$C198)/Assumptions!$B$4*Assumptions!$B$6</f>
        <v>0</v>
      </c>
      <c r="AQ198" s="7" t="n">
        <f aca="false">SUMIFS(Doors!BC:BC,Doors!$A:$A,$D198,Doors!$B:$B,$B198,Doors!$C:$C,$C198)*SUMIFS(Velocity!$I:$I,Velocity!$A:$A,$A198,Velocity!$B:$B,$C198)/Assumptions!$B$4*Assumptions!$B$6</f>
        <v>0</v>
      </c>
      <c r="AR198" s="7" t="n">
        <f aca="false">SUMIFS(Doors!BD:BD,Doors!$A:$A,$D198,Doors!$B:$B,$B198,Doors!$C:$C,$C198)*SUMIFS(Velocity!$I:$I,Velocity!$A:$A,$A198,Velocity!$B:$B,$C198)/Assumptions!$B$4*Assumptions!$B$6</f>
        <v>168.333333333333</v>
      </c>
      <c r="AS198" s="7" t="n">
        <f aca="false">SUMIFS(Doors!BE:BE,Doors!$A:$A,$D198,Doors!$B:$B,$B198,Doors!$C:$C,$C198)*SUMIFS(Velocity!$I:$I,Velocity!$A:$A,$A198,Velocity!$B:$B,$C198)/Assumptions!$B$4*Assumptions!$B$6</f>
        <v>168.333333333333</v>
      </c>
      <c r="AT198" s="7" t="n">
        <f aca="false">SUMIFS(Doors!BF:BF,Doors!$A:$A,$D198,Doors!$B:$B,$B198,Doors!$C:$C,$C198)*SUMIFS(Velocity!$I:$I,Velocity!$A:$A,$A198,Velocity!$B:$B,$C198)/Assumptions!$B$4*Assumptions!$B$6</f>
        <v>168.333333333333</v>
      </c>
      <c r="AU198" s="7" t="n">
        <f aca="false">SUMIFS(Doors!BG:BG,Doors!$A:$A,$D198,Doors!$B:$B,$B198,Doors!$C:$C,$C198)*SUMIFS(Velocity!$I:$I,Velocity!$A:$A,$A198,Velocity!$B:$B,$C198)/Assumptions!$B$4*Assumptions!$B$6</f>
        <v>168.333333333333</v>
      </c>
      <c r="AV198" s="7" t="n">
        <f aca="false">SUMIFS(Doors!BH:BH,Doors!$A:$A,$D198,Doors!$B:$B,$B198,Doors!$C:$C,$C198)*SUMIFS(Velocity!$I:$I,Velocity!$A:$A,$A198,Velocity!$B:$B,$C198)/Assumptions!$B$4*Assumptions!$B$6</f>
        <v>168.333333333333</v>
      </c>
      <c r="AW198" s="7" t="n">
        <f aca="false">SUMIFS(Doors!BI:BI,Doors!$A:$A,$D198,Doors!$B:$B,$B198,Doors!$C:$C,$C198)*SUMIFS(Velocity!$I:$I,Velocity!$A:$A,$A198,Velocity!$B:$B,$C198)/Assumptions!$B$4*Assumptions!$B$6</f>
        <v>185.166666666667</v>
      </c>
      <c r="AX198" s="7" t="n">
        <f aca="false">SUMIFS(Doors!BJ:BJ,Doors!$A:$A,$D198,Doors!$B:$B,$B198,Doors!$C:$C,$C198)*SUMIFS(Velocity!$I:$I,Velocity!$A:$A,$A198,Velocity!$B:$B,$C198)/Assumptions!$B$4*Assumptions!$B$6</f>
        <v>185.166666666667</v>
      </c>
      <c r="AY198" s="7" t="n">
        <f aca="false">SUMIFS(Doors!BK:BK,Doors!$A:$A,$D198,Doors!$B:$B,$B198,Doors!$C:$C,$C198)*SUMIFS(Velocity!$I:$I,Velocity!$A:$A,$A198,Velocity!$B:$B,$C198)/Assumptions!$B$4*Assumptions!$B$6</f>
        <v>185.166666666667</v>
      </c>
      <c r="AZ198" s="7" t="n">
        <f aca="false">SUMIFS(Doors!BL:BL,Doors!$A:$A,$D198,Doors!$B:$B,$B198,Doors!$C:$C,$C198)*SUMIFS(Velocity!$I:$I,Velocity!$A:$A,$A198,Velocity!$B:$B,$C198)/Assumptions!$B$4*Assumptions!$B$6</f>
        <v>185.166666666667</v>
      </c>
      <c r="BA198" s="7" t="n">
        <f aca="false">SUMIFS(Doors!BM:BM,Doors!$A:$A,$D198,Doors!$B:$B,$B198,Doors!$C:$C,$C198)*SUMIFS(Velocity!$I:$I,Velocity!$A:$A,$A198,Velocity!$B:$B,$C198)/Assumptions!$B$4*Assumptions!$B$6</f>
        <v>185.166666666667</v>
      </c>
      <c r="BB198" s="7" t="n">
        <f aca="false">SUMIFS(Doors!BN:BN,Doors!$A:$A,$D198,Doors!$B:$B,$B198,Doors!$C:$C,$C198)*SUMIFS(Velocity!$I:$I,Velocity!$A:$A,$A198,Velocity!$B:$B,$C198)/Assumptions!$B$4*Assumptions!$B$6</f>
        <v>185.166666666667</v>
      </c>
      <c r="BC198" s="7" t="n">
        <f aca="false">SUMIFS(Doors!BO:BO,Doors!$A:$A,$D198,Doors!$B:$B,$B198,Doors!$C:$C,$C198)*SUMIFS(Velocity!$I:$I,Velocity!$A:$A,$A198,Velocity!$B:$B,$C198)/Assumptions!$B$4*Assumptions!$B$6</f>
        <v>185.166666666667</v>
      </c>
      <c r="BD198" s="7" t="n">
        <f aca="false">SUMIFS(Doors!BP:BP,Doors!$A:$A,$D198,Doors!$B:$B,$B198,Doors!$C:$C,$C198)*SUMIFS(Velocity!$I:$I,Velocity!$A:$A,$A198,Velocity!$B:$B,$C198)/Assumptions!$B$4*Assumptions!$B$6</f>
        <v>185.166666666667</v>
      </c>
    </row>
    <row r="199" customFormat="false" ht="15" hidden="false" customHeight="false" outlineLevel="0" collapsed="false">
      <c r="A199" s="0" t="s">
        <v>110</v>
      </c>
      <c r="B199" s="0" t="s">
        <v>127</v>
      </c>
      <c r="C199" s="0" t="s">
        <v>119</v>
      </c>
      <c r="D199" s="0" t="s">
        <v>235</v>
      </c>
      <c r="E199" s="7" t="n">
        <f aca="false">SUMIFS(Doors!Q:Q,Doors!$A:$A,$D199,Doors!$B:$B,$B199,Doors!$C:$C,$C199)*SUMIFS(Velocity!$I:$I,Velocity!$A:$A,$A199,Velocity!$B:$B,$C199)/Assumptions!$B$4*Assumptions!$B$6</f>
        <v>3.33333333333333</v>
      </c>
      <c r="F199" s="7" t="n">
        <f aca="false">SUMIFS(Doors!R:R,Doors!$A:$A,$D199,Doors!$B:$B,$B199,Doors!$C:$C,$C199)*SUMIFS(Velocity!$I:$I,Velocity!$A:$A,$A199,Velocity!$B:$B,$C199)/Assumptions!$B$4*Assumptions!$B$6</f>
        <v>3.33333333333333</v>
      </c>
      <c r="G199" s="7" t="n">
        <f aca="false">SUMIFS(Doors!S:S,Doors!$A:$A,$D199,Doors!$B:$B,$B199,Doors!$C:$C,$C199)*SUMIFS(Velocity!$I:$I,Velocity!$A:$A,$A199,Velocity!$B:$B,$C199)/Assumptions!$B$4*Assumptions!$B$6</f>
        <v>3.33333333333333</v>
      </c>
      <c r="H199" s="7" t="n">
        <f aca="false">SUMIFS(Doors!T:T,Doors!$A:$A,$D199,Doors!$B:$B,$B199,Doors!$C:$C,$C199)*SUMIFS(Velocity!$I:$I,Velocity!$A:$A,$A199,Velocity!$B:$B,$C199)/Assumptions!$B$4*Assumptions!$B$6</f>
        <v>3.33333333333333</v>
      </c>
      <c r="I199" s="7" t="n">
        <f aca="false">SUMIFS(Doors!U:U,Doors!$A:$A,$D199,Doors!$B:$B,$B199,Doors!$C:$C,$C199)*SUMIFS(Velocity!$I:$I,Velocity!$A:$A,$A199,Velocity!$B:$B,$C199)/Assumptions!$B$4*Assumptions!$B$6</f>
        <v>3.33333333333333</v>
      </c>
      <c r="J199" s="7" t="n">
        <f aca="false">SUMIFS(Doors!V:V,Doors!$A:$A,$D199,Doors!$B:$B,$B199,Doors!$C:$C,$C199)*SUMIFS(Velocity!$I:$I,Velocity!$A:$A,$A199,Velocity!$B:$B,$C199)/Assumptions!$B$4*Assumptions!$B$6</f>
        <v>4.66666666666667</v>
      </c>
      <c r="K199" s="7" t="n">
        <f aca="false">SUMIFS(Doors!W:W,Doors!$A:$A,$D199,Doors!$B:$B,$B199,Doors!$C:$C,$C199)*SUMIFS(Velocity!$I:$I,Velocity!$A:$A,$A199,Velocity!$B:$B,$C199)/Assumptions!$B$4*Assumptions!$B$6</f>
        <v>4.66666666666667</v>
      </c>
      <c r="L199" s="7" t="n">
        <f aca="false">SUMIFS(Doors!X:X,Doors!$A:$A,$D199,Doors!$B:$B,$B199,Doors!$C:$C,$C199)*SUMIFS(Velocity!$I:$I,Velocity!$A:$A,$A199,Velocity!$B:$B,$C199)/Assumptions!$B$4*Assumptions!$B$6</f>
        <v>4.66666666666667</v>
      </c>
      <c r="M199" s="7" t="n">
        <f aca="false">SUMIFS(Doors!Y:Y,Doors!$A:$A,$D199,Doors!$B:$B,$B199,Doors!$C:$C,$C199)*SUMIFS(Velocity!$I:$I,Velocity!$A:$A,$A199,Velocity!$B:$B,$C199)/Assumptions!$B$4*Assumptions!$B$6</f>
        <v>4.66666666666667</v>
      </c>
      <c r="N199" s="7" t="n">
        <f aca="false">SUMIFS(Doors!Z:Z,Doors!$A:$A,$D199,Doors!$B:$B,$B199,Doors!$C:$C,$C199)*SUMIFS(Velocity!$I:$I,Velocity!$A:$A,$A199,Velocity!$B:$B,$C199)/Assumptions!$B$4*Assumptions!$B$6</f>
        <v>6.33333333333333</v>
      </c>
      <c r="O199" s="7" t="n">
        <f aca="false">SUMIFS(Doors!AA:AA,Doors!$A:$A,$D199,Doors!$B:$B,$B199,Doors!$C:$C,$C199)*SUMIFS(Velocity!$I:$I,Velocity!$A:$A,$A199,Velocity!$B:$B,$C199)/Assumptions!$B$4*Assumptions!$B$6</f>
        <v>6.33333333333333</v>
      </c>
      <c r="P199" s="7" t="n">
        <f aca="false">SUMIFS(Doors!AB:AB,Doors!$A:$A,$D199,Doors!$B:$B,$B199,Doors!$C:$C,$C199)*SUMIFS(Velocity!$I:$I,Velocity!$A:$A,$A199,Velocity!$B:$B,$C199)/Assumptions!$B$4*Assumptions!$B$6</f>
        <v>6.33333333333333</v>
      </c>
      <c r="Q199" s="7" t="n">
        <f aca="false">SUMIFS(Doors!AC:AC,Doors!$A:$A,$D199,Doors!$B:$B,$B199,Doors!$C:$C,$C199)*SUMIFS(Velocity!$I:$I,Velocity!$A:$A,$A199,Velocity!$B:$B,$C199)/Assumptions!$B$4*Assumptions!$B$6</f>
        <v>6.33333333333333</v>
      </c>
      <c r="R199" s="7" t="n">
        <f aca="false">SUMIFS(Doors!AD:AD,Doors!$A:$A,$D199,Doors!$B:$B,$B199,Doors!$C:$C,$C199)*SUMIFS(Velocity!$I:$I,Velocity!$A:$A,$A199,Velocity!$B:$B,$C199)/Assumptions!$B$4*Assumptions!$B$6</f>
        <v>8</v>
      </c>
      <c r="S199" s="7" t="n">
        <f aca="false">SUMIFS(Doors!AE:AE,Doors!$A:$A,$D199,Doors!$B:$B,$B199,Doors!$C:$C,$C199)*SUMIFS(Velocity!$I:$I,Velocity!$A:$A,$A199,Velocity!$B:$B,$C199)/Assumptions!$B$4*Assumptions!$B$6</f>
        <v>8</v>
      </c>
      <c r="T199" s="7" t="n">
        <f aca="false">SUMIFS(Doors!AF:AF,Doors!$A:$A,$D199,Doors!$B:$B,$B199,Doors!$C:$C,$C199)*SUMIFS(Velocity!$I:$I,Velocity!$A:$A,$A199,Velocity!$B:$B,$C199)/Assumptions!$B$4*Assumptions!$B$6</f>
        <v>8</v>
      </c>
      <c r="U199" s="7" t="n">
        <f aca="false">SUMIFS(Doors!AG:AG,Doors!$A:$A,$D199,Doors!$B:$B,$B199,Doors!$C:$C,$C199)*SUMIFS(Velocity!$I:$I,Velocity!$A:$A,$A199,Velocity!$B:$B,$C199)/Assumptions!$B$4*Assumptions!$B$6</f>
        <v>8</v>
      </c>
      <c r="V199" s="7" t="n">
        <f aca="false">SUMIFS(Doors!AH:AH,Doors!$A:$A,$D199,Doors!$B:$B,$B199,Doors!$C:$C,$C199)*SUMIFS(Velocity!$I:$I,Velocity!$A:$A,$A199,Velocity!$B:$B,$C199)/Assumptions!$B$4*Assumptions!$B$6</f>
        <v>8</v>
      </c>
      <c r="W199" s="7" t="n">
        <f aca="false">SUMIFS(Doors!AI:AI,Doors!$A:$A,$D199,Doors!$B:$B,$B199,Doors!$C:$C,$C199)*SUMIFS(Velocity!$I:$I,Velocity!$A:$A,$A199,Velocity!$B:$B,$C199)/Assumptions!$B$4*Assumptions!$B$6</f>
        <v>9.33333333333333</v>
      </c>
      <c r="X199" s="7" t="n">
        <f aca="false">SUMIFS(Doors!AJ:AJ,Doors!$A:$A,$D199,Doors!$B:$B,$B199,Doors!$C:$C,$C199)*SUMIFS(Velocity!$I:$I,Velocity!$A:$A,$A199,Velocity!$B:$B,$C199)/Assumptions!$B$4*Assumptions!$B$6</f>
        <v>9.33333333333333</v>
      </c>
      <c r="Y199" s="7" t="n">
        <f aca="false">SUMIFS(Doors!AK:AK,Doors!$A:$A,$D199,Doors!$B:$B,$B199,Doors!$C:$C,$C199)*SUMIFS(Velocity!$I:$I,Velocity!$A:$A,$A199,Velocity!$B:$B,$C199)/Assumptions!$B$4*Assumptions!$B$6</f>
        <v>9.33333333333333</v>
      </c>
      <c r="Z199" s="7" t="n">
        <f aca="false">SUMIFS(Doors!AL:AL,Doors!$A:$A,$D199,Doors!$B:$B,$B199,Doors!$C:$C,$C199)*SUMIFS(Velocity!$I:$I,Velocity!$A:$A,$A199,Velocity!$B:$B,$C199)/Assumptions!$B$4*Assumptions!$B$6</f>
        <v>9.33333333333333</v>
      </c>
      <c r="AA199" s="7" t="n">
        <f aca="false">SUMIFS(Doors!AM:AM,Doors!$A:$A,$D199,Doors!$B:$B,$B199,Doors!$C:$C,$C199)*SUMIFS(Velocity!$I:$I,Velocity!$A:$A,$A199,Velocity!$B:$B,$C199)/Assumptions!$B$4*Assumptions!$B$6</f>
        <v>10.3333333333333</v>
      </c>
      <c r="AB199" s="7" t="n">
        <f aca="false">SUMIFS(Doors!AN:AN,Doors!$A:$A,$D199,Doors!$B:$B,$B199,Doors!$C:$C,$C199)*SUMIFS(Velocity!$I:$I,Velocity!$A:$A,$A199,Velocity!$B:$B,$C199)/Assumptions!$B$4*Assumptions!$B$6</f>
        <v>10.3333333333333</v>
      </c>
      <c r="AC199" s="7" t="n">
        <f aca="false">SUMIFS(Doors!AO:AO,Doors!$A:$A,$D199,Doors!$B:$B,$B199,Doors!$C:$C,$C199)*SUMIFS(Velocity!$I:$I,Velocity!$A:$A,$A199,Velocity!$B:$B,$C199)/Assumptions!$B$4*Assumptions!$B$6</f>
        <v>10.3333333333333</v>
      </c>
      <c r="AD199" s="7" t="n">
        <f aca="false">SUMIFS(Doors!AP:AP,Doors!$A:$A,$D199,Doors!$B:$B,$B199,Doors!$C:$C,$C199)*SUMIFS(Velocity!$I:$I,Velocity!$A:$A,$A199,Velocity!$B:$B,$C199)/Assumptions!$B$4*Assumptions!$B$6</f>
        <v>10.3333333333333</v>
      </c>
      <c r="AE199" s="7" t="n">
        <f aca="false">SUMIFS(Doors!AQ:AQ,Doors!$A:$A,$D199,Doors!$B:$B,$B199,Doors!$C:$C,$C199)*SUMIFS(Velocity!$I:$I,Velocity!$A:$A,$A199,Velocity!$B:$B,$C199)/Assumptions!$B$4*Assumptions!$B$6</f>
        <v>11.3333333333333</v>
      </c>
      <c r="AF199" s="7" t="n">
        <f aca="false">SUMIFS(Doors!AR:AR,Doors!$A:$A,$D199,Doors!$B:$B,$B199,Doors!$C:$C,$C199)*SUMIFS(Velocity!$I:$I,Velocity!$A:$A,$A199,Velocity!$B:$B,$C199)/Assumptions!$B$4*Assumptions!$B$6</f>
        <v>11.3333333333333</v>
      </c>
      <c r="AG199" s="7" t="n">
        <f aca="false">SUMIFS(Doors!AS:AS,Doors!$A:$A,$D199,Doors!$B:$B,$B199,Doors!$C:$C,$C199)*SUMIFS(Velocity!$I:$I,Velocity!$A:$A,$A199,Velocity!$B:$B,$C199)/Assumptions!$B$4*Assumptions!$B$6</f>
        <v>11.3333333333333</v>
      </c>
      <c r="AH199" s="7" t="n">
        <f aca="false">SUMIFS(Doors!AT:AT,Doors!$A:$A,$D199,Doors!$B:$B,$B199,Doors!$C:$C,$C199)*SUMIFS(Velocity!$I:$I,Velocity!$A:$A,$A199,Velocity!$B:$B,$C199)/Assumptions!$B$4*Assumptions!$B$6</f>
        <v>11.3333333333333</v>
      </c>
      <c r="AI199" s="7" t="n">
        <f aca="false">SUMIFS(Doors!AU:AU,Doors!$A:$A,$D199,Doors!$B:$B,$B199,Doors!$C:$C,$C199)*SUMIFS(Velocity!$I:$I,Velocity!$A:$A,$A199,Velocity!$B:$B,$C199)/Assumptions!$B$4*Assumptions!$B$6</f>
        <v>11.3333333333333</v>
      </c>
      <c r="AJ199" s="7" t="n">
        <f aca="false">SUMIFS(Doors!AV:AV,Doors!$A:$A,$D199,Doors!$B:$B,$B199,Doors!$C:$C,$C199)*SUMIFS(Velocity!$I:$I,Velocity!$A:$A,$A199,Velocity!$B:$B,$C199)/Assumptions!$B$4*Assumptions!$B$6</f>
        <v>12</v>
      </c>
      <c r="AK199" s="7" t="n">
        <f aca="false">SUMIFS(Doors!AW:AW,Doors!$A:$A,$D199,Doors!$B:$B,$B199,Doors!$C:$C,$C199)*SUMIFS(Velocity!$I:$I,Velocity!$A:$A,$A199,Velocity!$B:$B,$C199)/Assumptions!$B$4*Assumptions!$B$6</f>
        <v>12</v>
      </c>
      <c r="AL199" s="7" t="n">
        <f aca="false">SUMIFS(Doors!AX:AX,Doors!$A:$A,$D199,Doors!$B:$B,$B199,Doors!$C:$C,$C199)*SUMIFS(Velocity!$I:$I,Velocity!$A:$A,$A199,Velocity!$B:$B,$C199)/Assumptions!$B$4*Assumptions!$B$6</f>
        <v>12</v>
      </c>
      <c r="AM199" s="7" t="n">
        <f aca="false">SUMIFS(Doors!AY:AY,Doors!$A:$A,$D199,Doors!$B:$B,$B199,Doors!$C:$C,$C199)*SUMIFS(Velocity!$I:$I,Velocity!$A:$A,$A199,Velocity!$B:$B,$C199)/Assumptions!$B$4*Assumptions!$B$6</f>
        <v>12</v>
      </c>
      <c r="AN199" s="7" t="n">
        <f aca="false">SUMIFS(Doors!AZ:AZ,Doors!$A:$A,$D199,Doors!$B:$B,$B199,Doors!$C:$C,$C199)*SUMIFS(Velocity!$I:$I,Velocity!$A:$A,$A199,Velocity!$B:$B,$C199)/Assumptions!$B$4*Assumptions!$B$6</f>
        <v>12.5</v>
      </c>
      <c r="AO199" s="7" t="n">
        <f aca="false">SUMIFS(Doors!BA:BA,Doors!$A:$A,$D199,Doors!$B:$B,$B199,Doors!$C:$C,$C199)*SUMIFS(Velocity!$I:$I,Velocity!$A:$A,$A199,Velocity!$B:$B,$C199)/Assumptions!$B$4*Assumptions!$B$6</f>
        <v>12.5</v>
      </c>
      <c r="AP199" s="7" t="n">
        <f aca="false">SUMIFS(Doors!BB:BB,Doors!$A:$A,$D199,Doors!$B:$B,$B199,Doors!$C:$C,$C199)*SUMIFS(Velocity!$I:$I,Velocity!$A:$A,$A199,Velocity!$B:$B,$C199)/Assumptions!$B$4*Assumptions!$B$6</f>
        <v>12.5</v>
      </c>
      <c r="AQ199" s="7" t="n">
        <f aca="false">SUMIFS(Doors!BC:BC,Doors!$A:$A,$D199,Doors!$B:$B,$B199,Doors!$C:$C,$C199)*SUMIFS(Velocity!$I:$I,Velocity!$A:$A,$A199,Velocity!$B:$B,$C199)/Assumptions!$B$4*Assumptions!$B$6</f>
        <v>12.5</v>
      </c>
      <c r="AR199" s="7" t="n">
        <f aca="false">SUMIFS(Doors!BD:BD,Doors!$A:$A,$D199,Doors!$B:$B,$B199,Doors!$C:$C,$C199)*SUMIFS(Velocity!$I:$I,Velocity!$A:$A,$A199,Velocity!$B:$B,$C199)/Assumptions!$B$4*Assumptions!$B$6</f>
        <v>13</v>
      </c>
      <c r="AS199" s="7" t="n">
        <f aca="false">SUMIFS(Doors!BE:BE,Doors!$A:$A,$D199,Doors!$B:$B,$B199,Doors!$C:$C,$C199)*SUMIFS(Velocity!$I:$I,Velocity!$A:$A,$A199,Velocity!$B:$B,$C199)/Assumptions!$B$4*Assumptions!$B$6</f>
        <v>13</v>
      </c>
      <c r="AT199" s="7" t="n">
        <f aca="false">SUMIFS(Doors!BF:BF,Doors!$A:$A,$D199,Doors!$B:$B,$B199,Doors!$C:$C,$C199)*SUMIFS(Velocity!$I:$I,Velocity!$A:$A,$A199,Velocity!$B:$B,$C199)/Assumptions!$B$4*Assumptions!$B$6</f>
        <v>13</v>
      </c>
      <c r="AU199" s="7" t="n">
        <f aca="false">SUMIFS(Doors!BG:BG,Doors!$A:$A,$D199,Doors!$B:$B,$B199,Doors!$C:$C,$C199)*SUMIFS(Velocity!$I:$I,Velocity!$A:$A,$A199,Velocity!$B:$B,$C199)/Assumptions!$B$4*Assumptions!$B$6</f>
        <v>13</v>
      </c>
      <c r="AV199" s="7" t="n">
        <f aca="false">SUMIFS(Doors!BH:BH,Doors!$A:$A,$D199,Doors!$B:$B,$B199,Doors!$C:$C,$C199)*SUMIFS(Velocity!$I:$I,Velocity!$A:$A,$A199,Velocity!$B:$B,$C199)/Assumptions!$B$4*Assumptions!$B$6</f>
        <v>13</v>
      </c>
      <c r="AW199" s="7" t="n">
        <f aca="false">SUMIFS(Doors!BI:BI,Doors!$A:$A,$D199,Doors!$B:$B,$B199,Doors!$C:$C,$C199)*SUMIFS(Velocity!$I:$I,Velocity!$A:$A,$A199,Velocity!$B:$B,$C199)/Assumptions!$B$4*Assumptions!$B$6</f>
        <v>13.3333333333333</v>
      </c>
      <c r="AX199" s="7" t="n">
        <f aca="false">SUMIFS(Doors!BJ:BJ,Doors!$A:$A,$D199,Doors!$B:$B,$B199,Doors!$C:$C,$C199)*SUMIFS(Velocity!$I:$I,Velocity!$A:$A,$A199,Velocity!$B:$B,$C199)/Assumptions!$B$4*Assumptions!$B$6</f>
        <v>13.3333333333333</v>
      </c>
      <c r="AY199" s="7" t="n">
        <f aca="false">SUMIFS(Doors!BK:BK,Doors!$A:$A,$D199,Doors!$B:$B,$B199,Doors!$C:$C,$C199)*SUMIFS(Velocity!$I:$I,Velocity!$A:$A,$A199,Velocity!$B:$B,$C199)/Assumptions!$B$4*Assumptions!$B$6</f>
        <v>13.3333333333333</v>
      </c>
      <c r="AZ199" s="7" t="n">
        <f aca="false">SUMIFS(Doors!BL:BL,Doors!$A:$A,$D199,Doors!$B:$B,$B199,Doors!$C:$C,$C199)*SUMIFS(Velocity!$I:$I,Velocity!$A:$A,$A199,Velocity!$B:$B,$C199)/Assumptions!$B$4*Assumptions!$B$6</f>
        <v>13.3333333333333</v>
      </c>
      <c r="BA199" s="7" t="n">
        <f aca="false">SUMIFS(Doors!BM:BM,Doors!$A:$A,$D199,Doors!$B:$B,$B199,Doors!$C:$C,$C199)*SUMIFS(Velocity!$I:$I,Velocity!$A:$A,$A199,Velocity!$B:$B,$C199)/Assumptions!$B$4*Assumptions!$B$6</f>
        <v>13.6666666666667</v>
      </c>
      <c r="BB199" s="7" t="n">
        <f aca="false">SUMIFS(Doors!BN:BN,Doors!$A:$A,$D199,Doors!$B:$B,$B199,Doors!$C:$C,$C199)*SUMIFS(Velocity!$I:$I,Velocity!$A:$A,$A199,Velocity!$B:$B,$C199)/Assumptions!$B$4*Assumptions!$B$6</f>
        <v>13.6666666666667</v>
      </c>
      <c r="BC199" s="7" t="n">
        <f aca="false">SUMIFS(Doors!BO:BO,Doors!$A:$A,$D199,Doors!$B:$B,$B199,Doors!$C:$C,$C199)*SUMIFS(Velocity!$I:$I,Velocity!$A:$A,$A199,Velocity!$B:$B,$C199)/Assumptions!$B$4*Assumptions!$B$6</f>
        <v>13.6666666666667</v>
      </c>
      <c r="BD199" s="7" t="n">
        <f aca="false">SUMIFS(Doors!BP:BP,Doors!$A:$A,$D199,Doors!$B:$B,$B199,Doors!$C:$C,$C199)*SUMIFS(Velocity!$I:$I,Velocity!$A:$A,$A199,Velocity!$B:$B,$C199)/Assumptions!$B$4*Assumptions!$B$6</f>
        <v>13.6666666666667</v>
      </c>
    </row>
    <row r="200" customFormat="false" ht="15" hidden="false" customHeight="false" outlineLevel="0" collapsed="false">
      <c r="A200" s="0" t="s">
        <v>110</v>
      </c>
      <c r="B200" s="0" t="s">
        <v>127</v>
      </c>
      <c r="C200" s="0" t="s">
        <v>120</v>
      </c>
      <c r="D200" s="0" t="s">
        <v>235</v>
      </c>
      <c r="E200" s="7" t="n">
        <f aca="false">SUMIFS(Doors!Q:Q,Doors!$A:$A,$D200,Doors!$B:$B,$B200,Doors!$C:$C,$C200)*SUMIFS(Velocity!$I:$I,Velocity!$A:$A,$A200,Velocity!$B:$B,$C200)/Assumptions!$B$4*Assumptions!$B$6</f>
        <v>2.96875</v>
      </c>
      <c r="F200" s="7" t="n">
        <f aca="false">SUMIFS(Doors!R:R,Doors!$A:$A,$D200,Doors!$B:$B,$B200,Doors!$C:$C,$C200)*SUMIFS(Velocity!$I:$I,Velocity!$A:$A,$A200,Velocity!$B:$B,$C200)/Assumptions!$B$4*Assumptions!$B$6</f>
        <v>2.96875</v>
      </c>
      <c r="G200" s="7" t="n">
        <f aca="false">SUMIFS(Doors!S:S,Doors!$A:$A,$D200,Doors!$B:$B,$B200,Doors!$C:$C,$C200)*SUMIFS(Velocity!$I:$I,Velocity!$A:$A,$A200,Velocity!$B:$B,$C200)/Assumptions!$B$4*Assumptions!$B$6</f>
        <v>2.96875</v>
      </c>
      <c r="H200" s="7" t="n">
        <f aca="false">SUMIFS(Doors!T:T,Doors!$A:$A,$D200,Doors!$B:$B,$B200,Doors!$C:$C,$C200)*SUMIFS(Velocity!$I:$I,Velocity!$A:$A,$A200,Velocity!$B:$B,$C200)/Assumptions!$B$4*Assumptions!$B$6</f>
        <v>2.96875</v>
      </c>
      <c r="I200" s="7" t="n">
        <f aca="false">SUMIFS(Doors!U:U,Doors!$A:$A,$D200,Doors!$B:$B,$B200,Doors!$C:$C,$C200)*SUMIFS(Velocity!$I:$I,Velocity!$A:$A,$A200,Velocity!$B:$B,$C200)/Assumptions!$B$4*Assumptions!$B$6</f>
        <v>2.96875</v>
      </c>
      <c r="J200" s="7" t="n">
        <f aca="false">SUMIFS(Doors!V:V,Doors!$A:$A,$D200,Doors!$B:$B,$B200,Doors!$C:$C,$C200)*SUMIFS(Velocity!$I:$I,Velocity!$A:$A,$A200,Velocity!$B:$B,$C200)/Assumptions!$B$4*Assumptions!$B$6</f>
        <v>4.35416666666667</v>
      </c>
      <c r="K200" s="7" t="n">
        <f aca="false">SUMIFS(Doors!W:W,Doors!$A:$A,$D200,Doors!$B:$B,$B200,Doors!$C:$C,$C200)*SUMIFS(Velocity!$I:$I,Velocity!$A:$A,$A200,Velocity!$B:$B,$C200)/Assumptions!$B$4*Assumptions!$B$6</f>
        <v>4.35416666666667</v>
      </c>
      <c r="L200" s="7" t="n">
        <f aca="false">SUMIFS(Doors!X:X,Doors!$A:$A,$D200,Doors!$B:$B,$B200,Doors!$C:$C,$C200)*SUMIFS(Velocity!$I:$I,Velocity!$A:$A,$A200,Velocity!$B:$B,$C200)/Assumptions!$B$4*Assumptions!$B$6</f>
        <v>4.35416666666667</v>
      </c>
      <c r="M200" s="7" t="n">
        <f aca="false">SUMIFS(Doors!Y:Y,Doors!$A:$A,$D200,Doors!$B:$B,$B200,Doors!$C:$C,$C200)*SUMIFS(Velocity!$I:$I,Velocity!$A:$A,$A200,Velocity!$B:$B,$C200)/Assumptions!$B$4*Assumptions!$B$6</f>
        <v>4.35416666666667</v>
      </c>
      <c r="N200" s="7" t="n">
        <f aca="false">SUMIFS(Doors!Z:Z,Doors!$A:$A,$D200,Doors!$B:$B,$B200,Doors!$C:$C,$C200)*SUMIFS(Velocity!$I:$I,Velocity!$A:$A,$A200,Velocity!$B:$B,$C200)/Assumptions!$B$4*Assumptions!$B$6</f>
        <v>6.33333333333333</v>
      </c>
      <c r="O200" s="7" t="n">
        <f aca="false">SUMIFS(Doors!AA:AA,Doors!$A:$A,$D200,Doors!$B:$B,$B200,Doors!$C:$C,$C200)*SUMIFS(Velocity!$I:$I,Velocity!$A:$A,$A200,Velocity!$B:$B,$C200)/Assumptions!$B$4*Assumptions!$B$6</f>
        <v>6.33333333333333</v>
      </c>
      <c r="P200" s="7" t="n">
        <f aca="false">SUMIFS(Doors!AB:AB,Doors!$A:$A,$D200,Doors!$B:$B,$B200,Doors!$C:$C,$C200)*SUMIFS(Velocity!$I:$I,Velocity!$A:$A,$A200,Velocity!$B:$B,$C200)/Assumptions!$B$4*Assumptions!$B$6</f>
        <v>6.33333333333333</v>
      </c>
      <c r="Q200" s="7" t="n">
        <f aca="false">SUMIFS(Doors!AC:AC,Doors!$A:$A,$D200,Doors!$B:$B,$B200,Doors!$C:$C,$C200)*SUMIFS(Velocity!$I:$I,Velocity!$A:$A,$A200,Velocity!$B:$B,$C200)/Assumptions!$B$4*Assumptions!$B$6</f>
        <v>6.33333333333333</v>
      </c>
      <c r="R200" s="7" t="n">
        <f aca="false">SUMIFS(Doors!AD:AD,Doors!$A:$A,$D200,Doors!$B:$B,$B200,Doors!$C:$C,$C200)*SUMIFS(Velocity!$I:$I,Velocity!$A:$A,$A200,Velocity!$B:$B,$C200)/Assumptions!$B$4*Assumptions!$B$6</f>
        <v>8.90625</v>
      </c>
      <c r="S200" s="7" t="n">
        <f aca="false">SUMIFS(Doors!AE:AE,Doors!$A:$A,$D200,Doors!$B:$B,$B200,Doors!$C:$C,$C200)*SUMIFS(Velocity!$I:$I,Velocity!$A:$A,$A200,Velocity!$B:$B,$C200)/Assumptions!$B$4*Assumptions!$B$6</f>
        <v>8.90625</v>
      </c>
      <c r="T200" s="7" t="n">
        <f aca="false">SUMIFS(Doors!AF:AF,Doors!$A:$A,$D200,Doors!$B:$B,$B200,Doors!$C:$C,$C200)*SUMIFS(Velocity!$I:$I,Velocity!$A:$A,$A200,Velocity!$B:$B,$C200)/Assumptions!$B$4*Assumptions!$B$6</f>
        <v>8.90625</v>
      </c>
      <c r="U200" s="7" t="n">
        <f aca="false">SUMIFS(Doors!AG:AG,Doors!$A:$A,$D200,Doors!$B:$B,$B200,Doors!$C:$C,$C200)*SUMIFS(Velocity!$I:$I,Velocity!$A:$A,$A200,Velocity!$B:$B,$C200)/Assumptions!$B$4*Assumptions!$B$6</f>
        <v>8.90625</v>
      </c>
      <c r="V200" s="7" t="n">
        <f aca="false">SUMIFS(Doors!AH:AH,Doors!$A:$A,$D200,Doors!$B:$B,$B200,Doors!$C:$C,$C200)*SUMIFS(Velocity!$I:$I,Velocity!$A:$A,$A200,Velocity!$B:$B,$C200)/Assumptions!$B$4*Assumptions!$B$6</f>
        <v>8.90625</v>
      </c>
      <c r="W200" s="7" t="n">
        <f aca="false">SUMIFS(Doors!AI:AI,Doors!$A:$A,$D200,Doors!$B:$B,$B200,Doors!$C:$C,$C200)*SUMIFS(Velocity!$I:$I,Velocity!$A:$A,$A200,Velocity!$B:$B,$C200)/Assumptions!$B$4*Assumptions!$B$6</f>
        <v>10.8854166666667</v>
      </c>
      <c r="X200" s="7" t="n">
        <f aca="false">SUMIFS(Doors!AJ:AJ,Doors!$A:$A,$D200,Doors!$B:$B,$B200,Doors!$C:$C,$C200)*SUMIFS(Velocity!$I:$I,Velocity!$A:$A,$A200,Velocity!$B:$B,$C200)/Assumptions!$B$4*Assumptions!$B$6</f>
        <v>10.8854166666667</v>
      </c>
      <c r="Y200" s="7" t="n">
        <f aca="false">SUMIFS(Doors!AK:AK,Doors!$A:$A,$D200,Doors!$B:$B,$B200,Doors!$C:$C,$C200)*SUMIFS(Velocity!$I:$I,Velocity!$A:$A,$A200,Velocity!$B:$B,$C200)/Assumptions!$B$4*Assumptions!$B$6</f>
        <v>10.8854166666667</v>
      </c>
      <c r="Z200" s="7" t="n">
        <f aca="false">SUMIFS(Doors!AL:AL,Doors!$A:$A,$D200,Doors!$B:$B,$B200,Doors!$C:$C,$C200)*SUMIFS(Velocity!$I:$I,Velocity!$A:$A,$A200,Velocity!$B:$B,$C200)/Assumptions!$B$4*Assumptions!$B$6</f>
        <v>10.8854166666667</v>
      </c>
      <c r="AA200" s="7" t="n">
        <f aca="false">SUMIFS(Doors!AM:AM,Doors!$A:$A,$D200,Doors!$B:$B,$B200,Doors!$C:$C,$C200)*SUMIFS(Velocity!$I:$I,Velocity!$A:$A,$A200,Velocity!$B:$B,$C200)/Assumptions!$B$4*Assumptions!$B$6</f>
        <v>12.2708333333333</v>
      </c>
      <c r="AB200" s="7" t="n">
        <f aca="false">SUMIFS(Doors!AN:AN,Doors!$A:$A,$D200,Doors!$B:$B,$B200,Doors!$C:$C,$C200)*SUMIFS(Velocity!$I:$I,Velocity!$A:$A,$A200,Velocity!$B:$B,$C200)/Assumptions!$B$4*Assumptions!$B$6</f>
        <v>12.2708333333333</v>
      </c>
      <c r="AC200" s="7" t="n">
        <f aca="false">SUMIFS(Doors!AO:AO,Doors!$A:$A,$D200,Doors!$B:$B,$B200,Doors!$C:$C,$C200)*SUMIFS(Velocity!$I:$I,Velocity!$A:$A,$A200,Velocity!$B:$B,$C200)/Assumptions!$B$4*Assumptions!$B$6</f>
        <v>12.2708333333333</v>
      </c>
      <c r="AD200" s="7" t="n">
        <f aca="false">SUMIFS(Doors!AP:AP,Doors!$A:$A,$D200,Doors!$B:$B,$B200,Doors!$C:$C,$C200)*SUMIFS(Velocity!$I:$I,Velocity!$A:$A,$A200,Velocity!$B:$B,$C200)/Assumptions!$B$4*Assumptions!$B$6</f>
        <v>12.2708333333333</v>
      </c>
      <c r="AE200" s="7" t="n">
        <f aca="false">SUMIFS(Doors!AQ:AQ,Doors!$A:$A,$D200,Doors!$B:$B,$B200,Doors!$C:$C,$C200)*SUMIFS(Velocity!$I:$I,Velocity!$A:$A,$A200,Velocity!$B:$B,$C200)/Assumptions!$B$4*Assumptions!$B$6</f>
        <v>13.4583333333333</v>
      </c>
      <c r="AF200" s="7" t="n">
        <f aca="false">SUMIFS(Doors!AR:AR,Doors!$A:$A,$D200,Doors!$B:$B,$B200,Doors!$C:$C,$C200)*SUMIFS(Velocity!$I:$I,Velocity!$A:$A,$A200,Velocity!$B:$B,$C200)/Assumptions!$B$4*Assumptions!$B$6</f>
        <v>13.4583333333333</v>
      </c>
      <c r="AG200" s="7" t="n">
        <f aca="false">SUMIFS(Doors!AS:AS,Doors!$A:$A,$D200,Doors!$B:$B,$B200,Doors!$C:$C,$C200)*SUMIFS(Velocity!$I:$I,Velocity!$A:$A,$A200,Velocity!$B:$B,$C200)/Assumptions!$B$4*Assumptions!$B$6</f>
        <v>13.4583333333333</v>
      </c>
      <c r="AH200" s="7" t="n">
        <f aca="false">SUMIFS(Doors!AT:AT,Doors!$A:$A,$D200,Doors!$B:$B,$B200,Doors!$C:$C,$C200)*SUMIFS(Velocity!$I:$I,Velocity!$A:$A,$A200,Velocity!$B:$B,$C200)/Assumptions!$B$4*Assumptions!$B$6</f>
        <v>13.4583333333333</v>
      </c>
      <c r="AI200" s="7" t="n">
        <f aca="false">SUMIFS(Doors!AU:AU,Doors!$A:$A,$D200,Doors!$B:$B,$B200,Doors!$C:$C,$C200)*SUMIFS(Velocity!$I:$I,Velocity!$A:$A,$A200,Velocity!$B:$B,$C200)/Assumptions!$B$4*Assumptions!$B$6</f>
        <v>13.4583333333333</v>
      </c>
      <c r="AJ200" s="7" t="n">
        <f aca="false">SUMIFS(Doors!AV:AV,Doors!$A:$A,$D200,Doors!$B:$B,$B200,Doors!$C:$C,$C200)*SUMIFS(Velocity!$I:$I,Velocity!$A:$A,$A200,Velocity!$B:$B,$C200)/Assumptions!$B$4*Assumptions!$B$6</f>
        <v>14.25</v>
      </c>
      <c r="AK200" s="7" t="n">
        <f aca="false">SUMIFS(Doors!AW:AW,Doors!$A:$A,$D200,Doors!$B:$B,$B200,Doors!$C:$C,$C200)*SUMIFS(Velocity!$I:$I,Velocity!$A:$A,$A200,Velocity!$B:$B,$C200)/Assumptions!$B$4*Assumptions!$B$6</f>
        <v>14.25</v>
      </c>
      <c r="AL200" s="7" t="n">
        <f aca="false">SUMIFS(Doors!AX:AX,Doors!$A:$A,$D200,Doors!$B:$B,$B200,Doors!$C:$C,$C200)*SUMIFS(Velocity!$I:$I,Velocity!$A:$A,$A200,Velocity!$B:$B,$C200)/Assumptions!$B$4*Assumptions!$B$6</f>
        <v>14.25</v>
      </c>
      <c r="AM200" s="7" t="n">
        <f aca="false">SUMIFS(Doors!AY:AY,Doors!$A:$A,$D200,Doors!$B:$B,$B200,Doors!$C:$C,$C200)*SUMIFS(Velocity!$I:$I,Velocity!$A:$A,$A200,Velocity!$B:$B,$C200)/Assumptions!$B$4*Assumptions!$B$6</f>
        <v>14.25</v>
      </c>
      <c r="AN200" s="7" t="n">
        <f aca="false">SUMIFS(Doors!AZ:AZ,Doors!$A:$A,$D200,Doors!$B:$B,$B200,Doors!$C:$C,$C200)*SUMIFS(Velocity!$I:$I,Velocity!$A:$A,$A200,Velocity!$B:$B,$C200)/Assumptions!$B$4*Assumptions!$B$6</f>
        <v>14.84375</v>
      </c>
      <c r="AO200" s="7" t="n">
        <f aca="false">SUMIFS(Doors!BA:BA,Doors!$A:$A,$D200,Doors!$B:$B,$B200,Doors!$C:$C,$C200)*SUMIFS(Velocity!$I:$I,Velocity!$A:$A,$A200,Velocity!$B:$B,$C200)/Assumptions!$B$4*Assumptions!$B$6</f>
        <v>14.84375</v>
      </c>
      <c r="AP200" s="7" t="n">
        <f aca="false">SUMIFS(Doors!BB:BB,Doors!$A:$A,$D200,Doors!$B:$B,$B200,Doors!$C:$C,$C200)*SUMIFS(Velocity!$I:$I,Velocity!$A:$A,$A200,Velocity!$B:$B,$C200)/Assumptions!$B$4*Assumptions!$B$6</f>
        <v>14.84375</v>
      </c>
      <c r="AQ200" s="7" t="n">
        <f aca="false">SUMIFS(Doors!BC:BC,Doors!$A:$A,$D200,Doors!$B:$B,$B200,Doors!$C:$C,$C200)*SUMIFS(Velocity!$I:$I,Velocity!$A:$A,$A200,Velocity!$B:$B,$C200)/Assumptions!$B$4*Assumptions!$B$6</f>
        <v>14.84375</v>
      </c>
      <c r="AR200" s="7" t="n">
        <f aca="false">SUMIFS(Doors!BD:BD,Doors!$A:$A,$D200,Doors!$B:$B,$B200,Doors!$C:$C,$C200)*SUMIFS(Velocity!$I:$I,Velocity!$A:$A,$A200,Velocity!$B:$B,$C200)/Assumptions!$B$4*Assumptions!$B$6</f>
        <v>15.4375</v>
      </c>
      <c r="AS200" s="7" t="n">
        <f aca="false">SUMIFS(Doors!BE:BE,Doors!$A:$A,$D200,Doors!$B:$B,$B200,Doors!$C:$C,$C200)*SUMIFS(Velocity!$I:$I,Velocity!$A:$A,$A200,Velocity!$B:$B,$C200)/Assumptions!$B$4*Assumptions!$B$6</f>
        <v>15.4375</v>
      </c>
      <c r="AT200" s="7" t="n">
        <f aca="false">SUMIFS(Doors!BF:BF,Doors!$A:$A,$D200,Doors!$B:$B,$B200,Doors!$C:$C,$C200)*SUMIFS(Velocity!$I:$I,Velocity!$A:$A,$A200,Velocity!$B:$B,$C200)/Assumptions!$B$4*Assumptions!$B$6</f>
        <v>15.4375</v>
      </c>
      <c r="AU200" s="7" t="n">
        <f aca="false">SUMIFS(Doors!BG:BG,Doors!$A:$A,$D200,Doors!$B:$B,$B200,Doors!$C:$C,$C200)*SUMIFS(Velocity!$I:$I,Velocity!$A:$A,$A200,Velocity!$B:$B,$C200)/Assumptions!$B$4*Assumptions!$B$6</f>
        <v>15.4375</v>
      </c>
      <c r="AV200" s="7" t="n">
        <f aca="false">SUMIFS(Doors!BH:BH,Doors!$A:$A,$D200,Doors!$B:$B,$B200,Doors!$C:$C,$C200)*SUMIFS(Velocity!$I:$I,Velocity!$A:$A,$A200,Velocity!$B:$B,$C200)/Assumptions!$B$4*Assumptions!$B$6</f>
        <v>15.4375</v>
      </c>
      <c r="AW200" s="7" t="n">
        <f aca="false">SUMIFS(Doors!BI:BI,Doors!$A:$A,$D200,Doors!$B:$B,$B200,Doors!$C:$C,$C200)*SUMIFS(Velocity!$I:$I,Velocity!$A:$A,$A200,Velocity!$B:$B,$C200)/Assumptions!$B$4*Assumptions!$B$6</f>
        <v>15.8333333333333</v>
      </c>
      <c r="AX200" s="7" t="n">
        <f aca="false">SUMIFS(Doors!BJ:BJ,Doors!$A:$A,$D200,Doors!$B:$B,$B200,Doors!$C:$C,$C200)*SUMIFS(Velocity!$I:$I,Velocity!$A:$A,$A200,Velocity!$B:$B,$C200)/Assumptions!$B$4*Assumptions!$B$6</f>
        <v>15.8333333333333</v>
      </c>
      <c r="AY200" s="7" t="n">
        <f aca="false">SUMIFS(Doors!BK:BK,Doors!$A:$A,$D200,Doors!$B:$B,$B200,Doors!$C:$C,$C200)*SUMIFS(Velocity!$I:$I,Velocity!$A:$A,$A200,Velocity!$B:$B,$C200)/Assumptions!$B$4*Assumptions!$B$6</f>
        <v>15.8333333333333</v>
      </c>
      <c r="AZ200" s="7" t="n">
        <f aca="false">SUMIFS(Doors!BL:BL,Doors!$A:$A,$D200,Doors!$B:$B,$B200,Doors!$C:$C,$C200)*SUMIFS(Velocity!$I:$I,Velocity!$A:$A,$A200,Velocity!$B:$B,$C200)/Assumptions!$B$4*Assumptions!$B$6</f>
        <v>15.8333333333333</v>
      </c>
      <c r="BA200" s="7" t="n">
        <f aca="false">SUMIFS(Doors!BM:BM,Doors!$A:$A,$D200,Doors!$B:$B,$B200,Doors!$C:$C,$C200)*SUMIFS(Velocity!$I:$I,Velocity!$A:$A,$A200,Velocity!$B:$B,$C200)/Assumptions!$B$4*Assumptions!$B$6</f>
        <v>15.8333333333333</v>
      </c>
      <c r="BB200" s="7" t="n">
        <f aca="false">SUMIFS(Doors!BN:BN,Doors!$A:$A,$D200,Doors!$B:$B,$B200,Doors!$C:$C,$C200)*SUMIFS(Velocity!$I:$I,Velocity!$A:$A,$A200,Velocity!$B:$B,$C200)/Assumptions!$B$4*Assumptions!$B$6</f>
        <v>15.8333333333333</v>
      </c>
      <c r="BC200" s="7" t="n">
        <f aca="false">SUMIFS(Doors!BO:BO,Doors!$A:$A,$D200,Doors!$B:$B,$B200,Doors!$C:$C,$C200)*SUMIFS(Velocity!$I:$I,Velocity!$A:$A,$A200,Velocity!$B:$B,$C200)/Assumptions!$B$4*Assumptions!$B$6</f>
        <v>15.8333333333333</v>
      </c>
      <c r="BD200" s="7" t="n">
        <f aca="false">SUMIFS(Doors!BP:BP,Doors!$A:$A,$D200,Doors!$B:$B,$B200,Doors!$C:$C,$C200)*SUMIFS(Velocity!$I:$I,Velocity!$A:$A,$A200,Velocity!$B:$B,$C200)/Assumptions!$B$4*Assumptions!$B$6</f>
        <v>15.8333333333333</v>
      </c>
    </row>
    <row r="201" customFormat="false" ht="15" hidden="false" customHeight="false" outlineLevel="0" collapsed="false">
      <c r="A201" s="0" t="s">
        <v>110</v>
      </c>
      <c r="B201" s="0" t="s">
        <v>127</v>
      </c>
      <c r="C201" s="0" t="s">
        <v>121</v>
      </c>
      <c r="D201" s="0" t="s">
        <v>235</v>
      </c>
      <c r="E201" s="7" t="n">
        <f aca="false">SUMIFS(Doors!Q:Q,Doors!$A:$A,$D201,Doors!$B:$B,$B201,Doors!$C:$C,$C201)*SUMIFS(Velocity!$I:$I,Velocity!$A:$A,$A201,Velocity!$B:$B,$C201)/Assumptions!$B$4*Assumptions!$B$6</f>
        <v>3.04166666666667</v>
      </c>
      <c r="F201" s="7" t="n">
        <f aca="false">SUMIFS(Doors!R:R,Doors!$A:$A,$D201,Doors!$B:$B,$B201,Doors!$C:$C,$C201)*SUMIFS(Velocity!$I:$I,Velocity!$A:$A,$A201,Velocity!$B:$B,$C201)/Assumptions!$B$4*Assumptions!$B$6</f>
        <v>3.04166666666667</v>
      </c>
      <c r="G201" s="7" t="n">
        <f aca="false">SUMIFS(Doors!S:S,Doors!$A:$A,$D201,Doors!$B:$B,$B201,Doors!$C:$C,$C201)*SUMIFS(Velocity!$I:$I,Velocity!$A:$A,$A201,Velocity!$B:$B,$C201)/Assumptions!$B$4*Assumptions!$B$6</f>
        <v>3.04166666666667</v>
      </c>
      <c r="H201" s="7" t="n">
        <f aca="false">SUMIFS(Doors!T:T,Doors!$A:$A,$D201,Doors!$B:$B,$B201,Doors!$C:$C,$C201)*SUMIFS(Velocity!$I:$I,Velocity!$A:$A,$A201,Velocity!$B:$B,$C201)/Assumptions!$B$4*Assumptions!$B$6</f>
        <v>3.04166666666667</v>
      </c>
      <c r="I201" s="7" t="n">
        <f aca="false">SUMIFS(Doors!U:U,Doors!$A:$A,$D201,Doors!$B:$B,$B201,Doors!$C:$C,$C201)*SUMIFS(Velocity!$I:$I,Velocity!$A:$A,$A201,Velocity!$B:$B,$C201)/Assumptions!$B$4*Assumptions!$B$6</f>
        <v>3.04166666666667</v>
      </c>
      <c r="J201" s="7" t="n">
        <f aca="false">SUMIFS(Doors!V:V,Doors!$A:$A,$D201,Doors!$B:$B,$B201,Doors!$C:$C,$C201)*SUMIFS(Velocity!$I:$I,Velocity!$A:$A,$A201,Velocity!$B:$B,$C201)/Assumptions!$B$4*Assumptions!$B$6</f>
        <v>4.86666666666667</v>
      </c>
      <c r="K201" s="7" t="n">
        <f aca="false">SUMIFS(Doors!W:W,Doors!$A:$A,$D201,Doors!$B:$B,$B201,Doors!$C:$C,$C201)*SUMIFS(Velocity!$I:$I,Velocity!$A:$A,$A201,Velocity!$B:$B,$C201)/Assumptions!$B$4*Assumptions!$B$6</f>
        <v>4.86666666666667</v>
      </c>
      <c r="L201" s="7" t="n">
        <f aca="false">SUMIFS(Doors!X:X,Doors!$A:$A,$D201,Doors!$B:$B,$B201,Doors!$C:$C,$C201)*SUMIFS(Velocity!$I:$I,Velocity!$A:$A,$A201,Velocity!$B:$B,$C201)/Assumptions!$B$4*Assumptions!$B$6</f>
        <v>4.86666666666667</v>
      </c>
      <c r="M201" s="7" t="n">
        <f aca="false">SUMIFS(Doors!Y:Y,Doors!$A:$A,$D201,Doors!$B:$B,$B201,Doors!$C:$C,$C201)*SUMIFS(Velocity!$I:$I,Velocity!$A:$A,$A201,Velocity!$B:$B,$C201)/Assumptions!$B$4*Assumptions!$B$6</f>
        <v>4.86666666666667</v>
      </c>
      <c r="N201" s="7" t="n">
        <f aca="false">SUMIFS(Doors!Z:Z,Doors!$A:$A,$D201,Doors!$B:$B,$B201,Doors!$C:$C,$C201)*SUMIFS(Velocity!$I:$I,Velocity!$A:$A,$A201,Velocity!$B:$B,$C201)/Assumptions!$B$4*Assumptions!$B$6</f>
        <v>7.3</v>
      </c>
      <c r="O201" s="7" t="n">
        <f aca="false">SUMIFS(Doors!AA:AA,Doors!$A:$A,$D201,Doors!$B:$B,$B201,Doors!$C:$C,$C201)*SUMIFS(Velocity!$I:$I,Velocity!$A:$A,$A201,Velocity!$B:$B,$C201)/Assumptions!$B$4*Assumptions!$B$6</f>
        <v>7.3</v>
      </c>
      <c r="P201" s="7" t="n">
        <f aca="false">SUMIFS(Doors!AB:AB,Doors!$A:$A,$D201,Doors!$B:$B,$B201,Doors!$C:$C,$C201)*SUMIFS(Velocity!$I:$I,Velocity!$A:$A,$A201,Velocity!$B:$B,$C201)/Assumptions!$B$4*Assumptions!$B$6</f>
        <v>7.3</v>
      </c>
      <c r="Q201" s="7" t="n">
        <f aca="false">SUMIFS(Doors!AC:AC,Doors!$A:$A,$D201,Doors!$B:$B,$B201,Doors!$C:$C,$C201)*SUMIFS(Velocity!$I:$I,Velocity!$A:$A,$A201,Velocity!$B:$B,$C201)/Assumptions!$B$4*Assumptions!$B$6</f>
        <v>7.3</v>
      </c>
      <c r="R201" s="7" t="n">
        <f aca="false">SUMIFS(Doors!AD:AD,Doors!$A:$A,$D201,Doors!$B:$B,$B201,Doors!$C:$C,$C201)*SUMIFS(Velocity!$I:$I,Velocity!$A:$A,$A201,Velocity!$B:$B,$C201)/Assumptions!$B$4*Assumptions!$B$6</f>
        <v>9.73333333333333</v>
      </c>
      <c r="S201" s="7" t="n">
        <f aca="false">SUMIFS(Doors!AE:AE,Doors!$A:$A,$D201,Doors!$B:$B,$B201,Doors!$C:$C,$C201)*SUMIFS(Velocity!$I:$I,Velocity!$A:$A,$A201,Velocity!$B:$B,$C201)/Assumptions!$B$4*Assumptions!$B$6</f>
        <v>9.73333333333333</v>
      </c>
      <c r="T201" s="7" t="n">
        <f aca="false">SUMIFS(Doors!AF:AF,Doors!$A:$A,$D201,Doors!$B:$B,$B201,Doors!$C:$C,$C201)*SUMIFS(Velocity!$I:$I,Velocity!$A:$A,$A201,Velocity!$B:$B,$C201)/Assumptions!$B$4*Assumptions!$B$6</f>
        <v>9.73333333333333</v>
      </c>
      <c r="U201" s="7" t="n">
        <f aca="false">SUMIFS(Doors!AG:AG,Doors!$A:$A,$D201,Doors!$B:$B,$B201,Doors!$C:$C,$C201)*SUMIFS(Velocity!$I:$I,Velocity!$A:$A,$A201,Velocity!$B:$B,$C201)/Assumptions!$B$4*Assumptions!$B$6</f>
        <v>9.73333333333333</v>
      </c>
      <c r="V201" s="7" t="n">
        <f aca="false">SUMIFS(Doors!AH:AH,Doors!$A:$A,$D201,Doors!$B:$B,$B201,Doors!$C:$C,$C201)*SUMIFS(Velocity!$I:$I,Velocity!$A:$A,$A201,Velocity!$B:$B,$C201)/Assumptions!$B$4*Assumptions!$B$6</f>
        <v>9.73333333333333</v>
      </c>
      <c r="W201" s="7" t="n">
        <f aca="false">SUMIFS(Doors!AI:AI,Doors!$A:$A,$D201,Doors!$B:$B,$B201,Doors!$C:$C,$C201)*SUMIFS(Velocity!$I:$I,Velocity!$A:$A,$A201,Velocity!$B:$B,$C201)/Assumptions!$B$4*Assumptions!$B$6</f>
        <v>11.5583333333333</v>
      </c>
      <c r="X201" s="7" t="n">
        <f aca="false">SUMIFS(Doors!AJ:AJ,Doors!$A:$A,$D201,Doors!$B:$B,$B201,Doors!$C:$C,$C201)*SUMIFS(Velocity!$I:$I,Velocity!$A:$A,$A201,Velocity!$B:$B,$C201)/Assumptions!$B$4*Assumptions!$B$6</f>
        <v>11.5583333333333</v>
      </c>
      <c r="Y201" s="7" t="n">
        <f aca="false">SUMIFS(Doors!AK:AK,Doors!$A:$A,$D201,Doors!$B:$B,$B201,Doors!$C:$C,$C201)*SUMIFS(Velocity!$I:$I,Velocity!$A:$A,$A201,Velocity!$B:$B,$C201)/Assumptions!$B$4*Assumptions!$B$6</f>
        <v>11.5583333333333</v>
      </c>
      <c r="Z201" s="7" t="n">
        <f aca="false">SUMIFS(Doors!AL:AL,Doors!$A:$A,$D201,Doors!$B:$B,$B201,Doors!$C:$C,$C201)*SUMIFS(Velocity!$I:$I,Velocity!$A:$A,$A201,Velocity!$B:$B,$C201)/Assumptions!$B$4*Assumptions!$B$6</f>
        <v>11.5583333333333</v>
      </c>
      <c r="AA201" s="7" t="n">
        <f aca="false">SUMIFS(Doors!AM:AM,Doors!$A:$A,$D201,Doors!$B:$B,$B201,Doors!$C:$C,$C201)*SUMIFS(Velocity!$I:$I,Velocity!$A:$A,$A201,Velocity!$B:$B,$C201)/Assumptions!$B$4*Assumptions!$B$6</f>
        <v>12.775</v>
      </c>
      <c r="AB201" s="7" t="n">
        <f aca="false">SUMIFS(Doors!AN:AN,Doors!$A:$A,$D201,Doors!$B:$B,$B201,Doors!$C:$C,$C201)*SUMIFS(Velocity!$I:$I,Velocity!$A:$A,$A201,Velocity!$B:$B,$C201)/Assumptions!$B$4*Assumptions!$B$6</f>
        <v>12.775</v>
      </c>
      <c r="AC201" s="7" t="n">
        <f aca="false">SUMIFS(Doors!AO:AO,Doors!$A:$A,$D201,Doors!$B:$B,$B201,Doors!$C:$C,$C201)*SUMIFS(Velocity!$I:$I,Velocity!$A:$A,$A201,Velocity!$B:$B,$C201)/Assumptions!$B$4*Assumptions!$B$6</f>
        <v>12.775</v>
      </c>
      <c r="AD201" s="7" t="n">
        <f aca="false">SUMIFS(Doors!AP:AP,Doors!$A:$A,$D201,Doors!$B:$B,$B201,Doors!$C:$C,$C201)*SUMIFS(Velocity!$I:$I,Velocity!$A:$A,$A201,Velocity!$B:$B,$C201)/Assumptions!$B$4*Assumptions!$B$6</f>
        <v>12.775</v>
      </c>
      <c r="AE201" s="7" t="n">
        <f aca="false">SUMIFS(Doors!AQ:AQ,Doors!$A:$A,$D201,Doors!$B:$B,$B201,Doors!$C:$C,$C201)*SUMIFS(Velocity!$I:$I,Velocity!$A:$A,$A201,Velocity!$B:$B,$C201)/Assumptions!$B$4*Assumptions!$B$6</f>
        <v>13.6875</v>
      </c>
      <c r="AF201" s="7" t="n">
        <f aca="false">SUMIFS(Doors!AR:AR,Doors!$A:$A,$D201,Doors!$B:$B,$B201,Doors!$C:$C,$C201)*SUMIFS(Velocity!$I:$I,Velocity!$A:$A,$A201,Velocity!$B:$B,$C201)/Assumptions!$B$4*Assumptions!$B$6</f>
        <v>13.6875</v>
      </c>
      <c r="AG201" s="7" t="n">
        <f aca="false">SUMIFS(Doors!AS:AS,Doors!$A:$A,$D201,Doors!$B:$B,$B201,Doors!$C:$C,$C201)*SUMIFS(Velocity!$I:$I,Velocity!$A:$A,$A201,Velocity!$B:$B,$C201)/Assumptions!$B$4*Assumptions!$B$6</f>
        <v>13.6875</v>
      </c>
      <c r="AH201" s="7" t="n">
        <f aca="false">SUMIFS(Doors!AT:AT,Doors!$A:$A,$D201,Doors!$B:$B,$B201,Doors!$C:$C,$C201)*SUMIFS(Velocity!$I:$I,Velocity!$A:$A,$A201,Velocity!$B:$B,$C201)/Assumptions!$B$4*Assumptions!$B$6</f>
        <v>13.6875</v>
      </c>
      <c r="AI201" s="7" t="n">
        <f aca="false">SUMIFS(Doors!AU:AU,Doors!$A:$A,$D201,Doors!$B:$B,$B201,Doors!$C:$C,$C201)*SUMIFS(Velocity!$I:$I,Velocity!$A:$A,$A201,Velocity!$B:$B,$C201)/Assumptions!$B$4*Assumptions!$B$6</f>
        <v>13.6875</v>
      </c>
      <c r="AJ201" s="7" t="n">
        <f aca="false">SUMIFS(Doors!AV:AV,Doors!$A:$A,$D201,Doors!$B:$B,$B201,Doors!$C:$C,$C201)*SUMIFS(Velocity!$I:$I,Velocity!$A:$A,$A201,Velocity!$B:$B,$C201)/Assumptions!$B$4*Assumptions!$B$6</f>
        <v>14.2958333333333</v>
      </c>
      <c r="AK201" s="7" t="n">
        <f aca="false">SUMIFS(Doors!AW:AW,Doors!$A:$A,$D201,Doors!$B:$B,$B201,Doors!$C:$C,$C201)*SUMIFS(Velocity!$I:$I,Velocity!$A:$A,$A201,Velocity!$B:$B,$C201)/Assumptions!$B$4*Assumptions!$B$6</f>
        <v>14.2958333333333</v>
      </c>
      <c r="AL201" s="7" t="n">
        <f aca="false">SUMIFS(Doors!AX:AX,Doors!$A:$A,$D201,Doors!$B:$B,$B201,Doors!$C:$C,$C201)*SUMIFS(Velocity!$I:$I,Velocity!$A:$A,$A201,Velocity!$B:$B,$C201)/Assumptions!$B$4*Assumptions!$B$6</f>
        <v>14.2958333333333</v>
      </c>
      <c r="AM201" s="7" t="n">
        <f aca="false">SUMIFS(Doors!AY:AY,Doors!$A:$A,$D201,Doors!$B:$B,$B201,Doors!$C:$C,$C201)*SUMIFS(Velocity!$I:$I,Velocity!$A:$A,$A201,Velocity!$B:$B,$C201)/Assumptions!$B$4*Assumptions!$B$6</f>
        <v>14.2958333333333</v>
      </c>
      <c r="AN201" s="7" t="n">
        <f aca="false">SUMIFS(Doors!AZ:AZ,Doors!$A:$A,$D201,Doors!$B:$B,$B201,Doors!$C:$C,$C201)*SUMIFS(Velocity!$I:$I,Velocity!$A:$A,$A201,Velocity!$B:$B,$C201)/Assumptions!$B$4*Assumptions!$B$6</f>
        <v>14.9041666666667</v>
      </c>
      <c r="AO201" s="7" t="n">
        <f aca="false">SUMIFS(Doors!BA:BA,Doors!$A:$A,$D201,Doors!$B:$B,$B201,Doors!$C:$C,$C201)*SUMIFS(Velocity!$I:$I,Velocity!$A:$A,$A201,Velocity!$B:$B,$C201)/Assumptions!$B$4*Assumptions!$B$6</f>
        <v>14.9041666666667</v>
      </c>
      <c r="AP201" s="7" t="n">
        <f aca="false">SUMIFS(Doors!BB:BB,Doors!$A:$A,$D201,Doors!$B:$B,$B201,Doors!$C:$C,$C201)*SUMIFS(Velocity!$I:$I,Velocity!$A:$A,$A201,Velocity!$B:$B,$C201)/Assumptions!$B$4*Assumptions!$B$6</f>
        <v>14.9041666666667</v>
      </c>
      <c r="AQ201" s="7" t="n">
        <f aca="false">SUMIFS(Doors!BC:BC,Doors!$A:$A,$D201,Doors!$B:$B,$B201,Doors!$C:$C,$C201)*SUMIFS(Velocity!$I:$I,Velocity!$A:$A,$A201,Velocity!$B:$B,$C201)/Assumptions!$B$4*Assumptions!$B$6</f>
        <v>14.9041666666667</v>
      </c>
      <c r="AR201" s="7" t="n">
        <f aca="false">SUMIFS(Doors!BD:BD,Doors!$A:$A,$D201,Doors!$B:$B,$B201,Doors!$C:$C,$C201)*SUMIFS(Velocity!$I:$I,Velocity!$A:$A,$A201,Velocity!$B:$B,$C201)/Assumptions!$B$4*Assumptions!$B$6</f>
        <v>15.2083333333333</v>
      </c>
      <c r="AS201" s="7" t="n">
        <f aca="false">SUMIFS(Doors!BE:BE,Doors!$A:$A,$D201,Doors!$B:$B,$B201,Doors!$C:$C,$C201)*SUMIFS(Velocity!$I:$I,Velocity!$A:$A,$A201,Velocity!$B:$B,$C201)/Assumptions!$B$4*Assumptions!$B$6</f>
        <v>15.2083333333333</v>
      </c>
      <c r="AT201" s="7" t="n">
        <f aca="false">SUMIFS(Doors!BF:BF,Doors!$A:$A,$D201,Doors!$B:$B,$B201,Doors!$C:$C,$C201)*SUMIFS(Velocity!$I:$I,Velocity!$A:$A,$A201,Velocity!$B:$B,$C201)/Assumptions!$B$4*Assumptions!$B$6</f>
        <v>15.2083333333333</v>
      </c>
      <c r="AU201" s="7" t="n">
        <f aca="false">SUMIFS(Doors!BG:BG,Doors!$A:$A,$D201,Doors!$B:$B,$B201,Doors!$C:$C,$C201)*SUMIFS(Velocity!$I:$I,Velocity!$A:$A,$A201,Velocity!$B:$B,$C201)/Assumptions!$B$4*Assumptions!$B$6</f>
        <v>15.2083333333333</v>
      </c>
      <c r="AV201" s="7" t="n">
        <f aca="false">SUMIFS(Doors!BH:BH,Doors!$A:$A,$D201,Doors!$B:$B,$B201,Doors!$C:$C,$C201)*SUMIFS(Velocity!$I:$I,Velocity!$A:$A,$A201,Velocity!$B:$B,$C201)/Assumptions!$B$4*Assumptions!$B$6</f>
        <v>15.2083333333333</v>
      </c>
      <c r="AW201" s="7" t="n">
        <f aca="false">SUMIFS(Doors!BI:BI,Doors!$A:$A,$D201,Doors!$B:$B,$B201,Doors!$C:$C,$C201)*SUMIFS(Velocity!$I:$I,Velocity!$A:$A,$A201,Velocity!$B:$B,$C201)/Assumptions!$B$4*Assumptions!$B$6</f>
        <v>15.2083333333333</v>
      </c>
      <c r="AX201" s="7" t="n">
        <f aca="false">SUMIFS(Doors!BJ:BJ,Doors!$A:$A,$D201,Doors!$B:$B,$B201,Doors!$C:$C,$C201)*SUMIFS(Velocity!$I:$I,Velocity!$A:$A,$A201,Velocity!$B:$B,$C201)/Assumptions!$B$4*Assumptions!$B$6</f>
        <v>15.2083333333333</v>
      </c>
      <c r="AY201" s="7" t="n">
        <f aca="false">SUMIFS(Doors!BK:BK,Doors!$A:$A,$D201,Doors!$B:$B,$B201,Doors!$C:$C,$C201)*SUMIFS(Velocity!$I:$I,Velocity!$A:$A,$A201,Velocity!$B:$B,$C201)/Assumptions!$B$4*Assumptions!$B$6</f>
        <v>15.2083333333333</v>
      </c>
      <c r="AZ201" s="7" t="n">
        <f aca="false">SUMIFS(Doors!BL:BL,Doors!$A:$A,$D201,Doors!$B:$B,$B201,Doors!$C:$C,$C201)*SUMIFS(Velocity!$I:$I,Velocity!$A:$A,$A201,Velocity!$B:$B,$C201)/Assumptions!$B$4*Assumptions!$B$6</f>
        <v>15.2083333333333</v>
      </c>
      <c r="BA201" s="7" t="n">
        <f aca="false">SUMIFS(Doors!BM:BM,Doors!$A:$A,$D201,Doors!$B:$B,$B201,Doors!$C:$C,$C201)*SUMIFS(Velocity!$I:$I,Velocity!$A:$A,$A201,Velocity!$B:$B,$C201)/Assumptions!$B$4*Assumptions!$B$6</f>
        <v>15.2083333333333</v>
      </c>
      <c r="BB201" s="7" t="n">
        <f aca="false">SUMIFS(Doors!BN:BN,Doors!$A:$A,$D201,Doors!$B:$B,$B201,Doors!$C:$C,$C201)*SUMIFS(Velocity!$I:$I,Velocity!$A:$A,$A201,Velocity!$B:$B,$C201)/Assumptions!$B$4*Assumptions!$B$6</f>
        <v>15.2083333333333</v>
      </c>
      <c r="BC201" s="7" t="n">
        <f aca="false">SUMIFS(Doors!BO:BO,Doors!$A:$A,$D201,Doors!$B:$B,$B201,Doors!$C:$C,$C201)*SUMIFS(Velocity!$I:$I,Velocity!$A:$A,$A201,Velocity!$B:$B,$C201)/Assumptions!$B$4*Assumptions!$B$6</f>
        <v>15.2083333333333</v>
      </c>
      <c r="BD201" s="7" t="n">
        <f aca="false">SUMIFS(Doors!BP:BP,Doors!$A:$A,$D201,Doors!$B:$B,$B201,Doors!$C:$C,$C201)*SUMIFS(Velocity!$I:$I,Velocity!$A:$A,$A201,Velocity!$B:$B,$C201)/Assumptions!$B$4*Assumptions!$B$6</f>
        <v>15.2083333333333</v>
      </c>
    </row>
    <row r="202" customFormat="false" ht="15" hidden="false" customHeight="false" outlineLevel="0" collapsed="false">
      <c r="A202" s="0" t="s">
        <v>110</v>
      </c>
      <c r="B202" s="0" t="s">
        <v>127</v>
      </c>
      <c r="C202" s="0" t="s">
        <v>122</v>
      </c>
      <c r="D202" s="0" t="s">
        <v>235</v>
      </c>
      <c r="E202" s="7" t="n">
        <f aca="false">SUMIFS(Doors!Q:Q,Doors!$A:$A,$D202,Doors!$B:$B,$B202,Doors!$C:$C,$C202)*SUMIFS(Velocity!$I:$I,Velocity!$A:$A,$A202,Velocity!$B:$B,$C202)/Assumptions!$B$4*Assumptions!$B$6</f>
        <v>1.1</v>
      </c>
      <c r="F202" s="7" t="n">
        <f aca="false">SUMIFS(Doors!R:R,Doors!$A:$A,$D202,Doors!$B:$B,$B202,Doors!$C:$C,$C202)*SUMIFS(Velocity!$I:$I,Velocity!$A:$A,$A202,Velocity!$B:$B,$C202)/Assumptions!$B$4*Assumptions!$B$6</f>
        <v>1.1</v>
      </c>
      <c r="G202" s="7" t="n">
        <f aca="false">SUMIFS(Doors!S:S,Doors!$A:$A,$D202,Doors!$B:$B,$B202,Doors!$C:$C,$C202)*SUMIFS(Velocity!$I:$I,Velocity!$A:$A,$A202,Velocity!$B:$B,$C202)/Assumptions!$B$4*Assumptions!$B$6</f>
        <v>1.1</v>
      </c>
      <c r="H202" s="7" t="n">
        <f aca="false">SUMIFS(Doors!T:T,Doors!$A:$A,$D202,Doors!$B:$B,$B202,Doors!$C:$C,$C202)*SUMIFS(Velocity!$I:$I,Velocity!$A:$A,$A202,Velocity!$B:$B,$C202)/Assumptions!$B$4*Assumptions!$B$6</f>
        <v>1.1</v>
      </c>
      <c r="I202" s="7" t="n">
        <f aca="false">SUMIFS(Doors!U:U,Doors!$A:$A,$D202,Doors!$B:$B,$B202,Doors!$C:$C,$C202)*SUMIFS(Velocity!$I:$I,Velocity!$A:$A,$A202,Velocity!$B:$B,$C202)/Assumptions!$B$4*Assumptions!$B$6</f>
        <v>1.1</v>
      </c>
      <c r="J202" s="7" t="n">
        <f aca="false">SUMIFS(Doors!V:V,Doors!$A:$A,$D202,Doors!$B:$B,$B202,Doors!$C:$C,$C202)*SUMIFS(Velocity!$I:$I,Velocity!$A:$A,$A202,Velocity!$B:$B,$C202)/Assumptions!$B$4*Assumptions!$B$6</f>
        <v>1.65</v>
      </c>
      <c r="K202" s="7" t="n">
        <f aca="false">SUMIFS(Doors!W:W,Doors!$A:$A,$D202,Doors!$B:$B,$B202,Doors!$C:$C,$C202)*SUMIFS(Velocity!$I:$I,Velocity!$A:$A,$A202,Velocity!$B:$B,$C202)/Assumptions!$B$4*Assumptions!$B$6</f>
        <v>1.65</v>
      </c>
      <c r="L202" s="7" t="n">
        <f aca="false">SUMIFS(Doors!X:X,Doors!$A:$A,$D202,Doors!$B:$B,$B202,Doors!$C:$C,$C202)*SUMIFS(Velocity!$I:$I,Velocity!$A:$A,$A202,Velocity!$B:$B,$C202)/Assumptions!$B$4*Assumptions!$B$6</f>
        <v>1.65</v>
      </c>
      <c r="M202" s="7" t="n">
        <f aca="false">SUMIFS(Doors!Y:Y,Doors!$A:$A,$D202,Doors!$B:$B,$B202,Doors!$C:$C,$C202)*SUMIFS(Velocity!$I:$I,Velocity!$A:$A,$A202,Velocity!$B:$B,$C202)/Assumptions!$B$4*Assumptions!$B$6</f>
        <v>1.65</v>
      </c>
      <c r="N202" s="7" t="n">
        <f aca="false">SUMIFS(Doors!Z:Z,Doors!$A:$A,$D202,Doors!$B:$B,$B202,Doors!$C:$C,$C202)*SUMIFS(Velocity!$I:$I,Velocity!$A:$A,$A202,Velocity!$B:$B,$C202)/Assumptions!$B$4*Assumptions!$B$6</f>
        <v>2.475</v>
      </c>
      <c r="O202" s="7" t="n">
        <f aca="false">SUMIFS(Doors!AA:AA,Doors!$A:$A,$D202,Doors!$B:$B,$B202,Doors!$C:$C,$C202)*SUMIFS(Velocity!$I:$I,Velocity!$A:$A,$A202,Velocity!$B:$B,$C202)/Assumptions!$B$4*Assumptions!$B$6</f>
        <v>2.475</v>
      </c>
      <c r="P202" s="7" t="n">
        <f aca="false">SUMIFS(Doors!AB:AB,Doors!$A:$A,$D202,Doors!$B:$B,$B202,Doors!$C:$C,$C202)*SUMIFS(Velocity!$I:$I,Velocity!$A:$A,$A202,Velocity!$B:$B,$C202)/Assumptions!$B$4*Assumptions!$B$6</f>
        <v>2.475</v>
      </c>
      <c r="Q202" s="7" t="n">
        <f aca="false">SUMIFS(Doors!AC:AC,Doors!$A:$A,$D202,Doors!$B:$B,$B202,Doors!$C:$C,$C202)*SUMIFS(Velocity!$I:$I,Velocity!$A:$A,$A202,Velocity!$B:$B,$C202)/Assumptions!$B$4*Assumptions!$B$6</f>
        <v>2.475</v>
      </c>
      <c r="R202" s="7" t="n">
        <f aca="false">SUMIFS(Doors!AD:AD,Doors!$A:$A,$D202,Doors!$B:$B,$B202,Doors!$C:$C,$C202)*SUMIFS(Velocity!$I:$I,Velocity!$A:$A,$A202,Velocity!$B:$B,$C202)/Assumptions!$B$4*Assumptions!$B$6</f>
        <v>3.3</v>
      </c>
      <c r="S202" s="7" t="n">
        <f aca="false">SUMIFS(Doors!AE:AE,Doors!$A:$A,$D202,Doors!$B:$B,$B202,Doors!$C:$C,$C202)*SUMIFS(Velocity!$I:$I,Velocity!$A:$A,$A202,Velocity!$B:$B,$C202)/Assumptions!$B$4*Assumptions!$B$6</f>
        <v>3.3</v>
      </c>
      <c r="T202" s="7" t="n">
        <f aca="false">SUMIFS(Doors!AF:AF,Doors!$A:$A,$D202,Doors!$B:$B,$B202,Doors!$C:$C,$C202)*SUMIFS(Velocity!$I:$I,Velocity!$A:$A,$A202,Velocity!$B:$B,$C202)/Assumptions!$B$4*Assumptions!$B$6</f>
        <v>3.3</v>
      </c>
      <c r="U202" s="7" t="n">
        <f aca="false">SUMIFS(Doors!AG:AG,Doors!$A:$A,$D202,Doors!$B:$B,$B202,Doors!$C:$C,$C202)*SUMIFS(Velocity!$I:$I,Velocity!$A:$A,$A202,Velocity!$B:$B,$C202)/Assumptions!$B$4*Assumptions!$B$6</f>
        <v>3.3</v>
      </c>
      <c r="V202" s="7" t="n">
        <f aca="false">SUMIFS(Doors!AH:AH,Doors!$A:$A,$D202,Doors!$B:$B,$B202,Doors!$C:$C,$C202)*SUMIFS(Velocity!$I:$I,Velocity!$A:$A,$A202,Velocity!$B:$B,$C202)/Assumptions!$B$4*Assumptions!$B$6</f>
        <v>3.3</v>
      </c>
      <c r="W202" s="7" t="n">
        <f aca="false">SUMIFS(Doors!AI:AI,Doors!$A:$A,$D202,Doors!$B:$B,$B202,Doors!$C:$C,$C202)*SUMIFS(Velocity!$I:$I,Velocity!$A:$A,$A202,Velocity!$B:$B,$C202)/Assumptions!$B$4*Assumptions!$B$6</f>
        <v>4.125</v>
      </c>
      <c r="X202" s="7" t="n">
        <f aca="false">SUMIFS(Doors!AJ:AJ,Doors!$A:$A,$D202,Doors!$B:$B,$B202,Doors!$C:$C,$C202)*SUMIFS(Velocity!$I:$I,Velocity!$A:$A,$A202,Velocity!$B:$B,$C202)/Assumptions!$B$4*Assumptions!$B$6</f>
        <v>4.125</v>
      </c>
      <c r="Y202" s="7" t="n">
        <f aca="false">SUMIFS(Doors!AK:AK,Doors!$A:$A,$D202,Doors!$B:$B,$B202,Doors!$C:$C,$C202)*SUMIFS(Velocity!$I:$I,Velocity!$A:$A,$A202,Velocity!$B:$B,$C202)/Assumptions!$B$4*Assumptions!$B$6</f>
        <v>4.125</v>
      </c>
      <c r="Z202" s="7" t="n">
        <f aca="false">SUMIFS(Doors!AL:AL,Doors!$A:$A,$D202,Doors!$B:$B,$B202,Doors!$C:$C,$C202)*SUMIFS(Velocity!$I:$I,Velocity!$A:$A,$A202,Velocity!$B:$B,$C202)/Assumptions!$B$4*Assumptions!$B$6</f>
        <v>4.125</v>
      </c>
      <c r="AA202" s="7" t="n">
        <f aca="false">SUMIFS(Doors!AM:AM,Doors!$A:$A,$D202,Doors!$B:$B,$B202,Doors!$C:$C,$C202)*SUMIFS(Velocity!$I:$I,Velocity!$A:$A,$A202,Velocity!$B:$B,$C202)/Assumptions!$B$4*Assumptions!$B$6</f>
        <v>4.675</v>
      </c>
      <c r="AB202" s="7" t="n">
        <f aca="false">SUMIFS(Doors!AN:AN,Doors!$A:$A,$D202,Doors!$B:$B,$B202,Doors!$C:$C,$C202)*SUMIFS(Velocity!$I:$I,Velocity!$A:$A,$A202,Velocity!$B:$B,$C202)/Assumptions!$B$4*Assumptions!$B$6</f>
        <v>4.675</v>
      </c>
      <c r="AC202" s="7" t="n">
        <f aca="false">SUMIFS(Doors!AO:AO,Doors!$A:$A,$D202,Doors!$B:$B,$B202,Doors!$C:$C,$C202)*SUMIFS(Velocity!$I:$I,Velocity!$A:$A,$A202,Velocity!$B:$B,$C202)/Assumptions!$B$4*Assumptions!$B$6</f>
        <v>4.675</v>
      </c>
      <c r="AD202" s="7" t="n">
        <f aca="false">SUMIFS(Doors!AP:AP,Doors!$A:$A,$D202,Doors!$B:$B,$B202,Doors!$C:$C,$C202)*SUMIFS(Velocity!$I:$I,Velocity!$A:$A,$A202,Velocity!$B:$B,$C202)/Assumptions!$B$4*Assumptions!$B$6</f>
        <v>4.675</v>
      </c>
      <c r="AE202" s="7" t="n">
        <f aca="false">SUMIFS(Doors!AQ:AQ,Doors!$A:$A,$D202,Doors!$B:$B,$B202,Doors!$C:$C,$C202)*SUMIFS(Velocity!$I:$I,Velocity!$A:$A,$A202,Velocity!$B:$B,$C202)/Assumptions!$B$4*Assumptions!$B$6</f>
        <v>5.0875</v>
      </c>
      <c r="AF202" s="7" t="n">
        <f aca="false">SUMIFS(Doors!AR:AR,Doors!$A:$A,$D202,Doors!$B:$B,$B202,Doors!$C:$C,$C202)*SUMIFS(Velocity!$I:$I,Velocity!$A:$A,$A202,Velocity!$B:$B,$C202)/Assumptions!$B$4*Assumptions!$B$6</f>
        <v>5.0875</v>
      </c>
      <c r="AG202" s="7" t="n">
        <f aca="false">SUMIFS(Doors!AS:AS,Doors!$A:$A,$D202,Doors!$B:$B,$B202,Doors!$C:$C,$C202)*SUMIFS(Velocity!$I:$I,Velocity!$A:$A,$A202,Velocity!$B:$B,$C202)/Assumptions!$B$4*Assumptions!$B$6</f>
        <v>5.0875</v>
      </c>
      <c r="AH202" s="7" t="n">
        <f aca="false">SUMIFS(Doors!AT:AT,Doors!$A:$A,$D202,Doors!$B:$B,$B202,Doors!$C:$C,$C202)*SUMIFS(Velocity!$I:$I,Velocity!$A:$A,$A202,Velocity!$B:$B,$C202)/Assumptions!$B$4*Assumptions!$B$6</f>
        <v>5.0875</v>
      </c>
      <c r="AI202" s="7" t="n">
        <f aca="false">SUMIFS(Doors!AU:AU,Doors!$A:$A,$D202,Doors!$B:$B,$B202,Doors!$C:$C,$C202)*SUMIFS(Velocity!$I:$I,Velocity!$A:$A,$A202,Velocity!$B:$B,$C202)/Assumptions!$B$4*Assumptions!$B$6</f>
        <v>5.0875</v>
      </c>
      <c r="AJ202" s="7" t="n">
        <f aca="false">SUMIFS(Doors!AV:AV,Doors!$A:$A,$D202,Doors!$B:$B,$B202,Doors!$C:$C,$C202)*SUMIFS(Velocity!$I:$I,Velocity!$A:$A,$A202,Velocity!$B:$B,$C202)/Assumptions!$B$4*Assumptions!$B$6</f>
        <v>5.3625</v>
      </c>
      <c r="AK202" s="7" t="n">
        <f aca="false">SUMIFS(Doors!AW:AW,Doors!$A:$A,$D202,Doors!$B:$B,$B202,Doors!$C:$C,$C202)*SUMIFS(Velocity!$I:$I,Velocity!$A:$A,$A202,Velocity!$B:$B,$C202)/Assumptions!$B$4*Assumptions!$B$6</f>
        <v>5.3625</v>
      </c>
      <c r="AL202" s="7" t="n">
        <f aca="false">SUMIFS(Doors!AX:AX,Doors!$A:$A,$D202,Doors!$B:$B,$B202,Doors!$C:$C,$C202)*SUMIFS(Velocity!$I:$I,Velocity!$A:$A,$A202,Velocity!$B:$B,$C202)/Assumptions!$B$4*Assumptions!$B$6</f>
        <v>5.3625</v>
      </c>
      <c r="AM202" s="7" t="n">
        <f aca="false">SUMIFS(Doors!AY:AY,Doors!$A:$A,$D202,Doors!$B:$B,$B202,Doors!$C:$C,$C202)*SUMIFS(Velocity!$I:$I,Velocity!$A:$A,$A202,Velocity!$B:$B,$C202)/Assumptions!$B$4*Assumptions!$B$6</f>
        <v>5.3625</v>
      </c>
      <c r="AN202" s="7" t="n">
        <f aca="false">SUMIFS(Doors!AZ:AZ,Doors!$A:$A,$D202,Doors!$B:$B,$B202,Doors!$C:$C,$C202)*SUMIFS(Velocity!$I:$I,Velocity!$A:$A,$A202,Velocity!$B:$B,$C202)/Assumptions!$B$4*Assumptions!$B$6</f>
        <v>5.5</v>
      </c>
      <c r="AO202" s="7" t="n">
        <f aca="false">SUMIFS(Doors!BA:BA,Doors!$A:$A,$D202,Doors!$B:$B,$B202,Doors!$C:$C,$C202)*SUMIFS(Velocity!$I:$I,Velocity!$A:$A,$A202,Velocity!$B:$B,$C202)/Assumptions!$B$4*Assumptions!$B$6</f>
        <v>5.5</v>
      </c>
      <c r="AP202" s="7" t="n">
        <f aca="false">SUMIFS(Doors!BB:BB,Doors!$A:$A,$D202,Doors!$B:$B,$B202,Doors!$C:$C,$C202)*SUMIFS(Velocity!$I:$I,Velocity!$A:$A,$A202,Velocity!$B:$B,$C202)/Assumptions!$B$4*Assumptions!$B$6</f>
        <v>5.5</v>
      </c>
      <c r="AQ202" s="7" t="n">
        <f aca="false">SUMIFS(Doors!BC:BC,Doors!$A:$A,$D202,Doors!$B:$B,$B202,Doors!$C:$C,$C202)*SUMIFS(Velocity!$I:$I,Velocity!$A:$A,$A202,Velocity!$B:$B,$C202)/Assumptions!$B$4*Assumptions!$B$6</f>
        <v>5.5</v>
      </c>
      <c r="AR202" s="7" t="n">
        <f aca="false">SUMIFS(Doors!BD:BD,Doors!$A:$A,$D202,Doors!$B:$B,$B202,Doors!$C:$C,$C202)*SUMIFS(Velocity!$I:$I,Velocity!$A:$A,$A202,Velocity!$B:$B,$C202)/Assumptions!$B$4*Assumptions!$B$6</f>
        <v>5.5</v>
      </c>
      <c r="AS202" s="7" t="n">
        <f aca="false">SUMIFS(Doors!BE:BE,Doors!$A:$A,$D202,Doors!$B:$B,$B202,Doors!$C:$C,$C202)*SUMIFS(Velocity!$I:$I,Velocity!$A:$A,$A202,Velocity!$B:$B,$C202)/Assumptions!$B$4*Assumptions!$B$6</f>
        <v>5.5</v>
      </c>
      <c r="AT202" s="7" t="n">
        <f aca="false">SUMIFS(Doors!BF:BF,Doors!$A:$A,$D202,Doors!$B:$B,$B202,Doors!$C:$C,$C202)*SUMIFS(Velocity!$I:$I,Velocity!$A:$A,$A202,Velocity!$B:$B,$C202)/Assumptions!$B$4*Assumptions!$B$6</f>
        <v>5.5</v>
      </c>
      <c r="AU202" s="7" t="n">
        <f aca="false">SUMIFS(Doors!BG:BG,Doors!$A:$A,$D202,Doors!$B:$B,$B202,Doors!$C:$C,$C202)*SUMIFS(Velocity!$I:$I,Velocity!$A:$A,$A202,Velocity!$B:$B,$C202)/Assumptions!$B$4*Assumptions!$B$6</f>
        <v>5.5</v>
      </c>
      <c r="AV202" s="7" t="n">
        <f aca="false">SUMIFS(Doors!BH:BH,Doors!$A:$A,$D202,Doors!$B:$B,$B202,Doors!$C:$C,$C202)*SUMIFS(Velocity!$I:$I,Velocity!$A:$A,$A202,Velocity!$B:$B,$C202)/Assumptions!$B$4*Assumptions!$B$6</f>
        <v>5.5</v>
      </c>
      <c r="AW202" s="7" t="n">
        <f aca="false">SUMIFS(Doors!BI:BI,Doors!$A:$A,$D202,Doors!$B:$B,$B202,Doors!$C:$C,$C202)*SUMIFS(Velocity!$I:$I,Velocity!$A:$A,$A202,Velocity!$B:$B,$C202)/Assumptions!$B$4*Assumptions!$B$6</f>
        <v>5.5</v>
      </c>
      <c r="AX202" s="7" t="n">
        <f aca="false">SUMIFS(Doors!BJ:BJ,Doors!$A:$A,$D202,Doors!$B:$B,$B202,Doors!$C:$C,$C202)*SUMIFS(Velocity!$I:$I,Velocity!$A:$A,$A202,Velocity!$B:$B,$C202)/Assumptions!$B$4*Assumptions!$B$6</f>
        <v>5.5</v>
      </c>
      <c r="AY202" s="7" t="n">
        <f aca="false">SUMIFS(Doors!BK:BK,Doors!$A:$A,$D202,Doors!$B:$B,$B202,Doors!$C:$C,$C202)*SUMIFS(Velocity!$I:$I,Velocity!$A:$A,$A202,Velocity!$B:$B,$C202)/Assumptions!$B$4*Assumptions!$B$6</f>
        <v>5.5</v>
      </c>
      <c r="AZ202" s="7" t="n">
        <f aca="false">SUMIFS(Doors!BL:BL,Doors!$A:$A,$D202,Doors!$B:$B,$B202,Doors!$C:$C,$C202)*SUMIFS(Velocity!$I:$I,Velocity!$A:$A,$A202,Velocity!$B:$B,$C202)/Assumptions!$B$4*Assumptions!$B$6</f>
        <v>5.5</v>
      </c>
      <c r="BA202" s="7" t="n">
        <f aca="false">SUMIFS(Doors!BM:BM,Doors!$A:$A,$D202,Doors!$B:$B,$B202,Doors!$C:$C,$C202)*SUMIFS(Velocity!$I:$I,Velocity!$A:$A,$A202,Velocity!$B:$B,$C202)/Assumptions!$B$4*Assumptions!$B$6</f>
        <v>5.5</v>
      </c>
      <c r="BB202" s="7" t="n">
        <f aca="false">SUMIFS(Doors!BN:BN,Doors!$A:$A,$D202,Doors!$B:$B,$B202,Doors!$C:$C,$C202)*SUMIFS(Velocity!$I:$I,Velocity!$A:$A,$A202,Velocity!$B:$B,$C202)/Assumptions!$B$4*Assumptions!$B$6</f>
        <v>5.5</v>
      </c>
      <c r="BC202" s="7" t="n">
        <f aca="false">SUMIFS(Doors!BO:BO,Doors!$A:$A,$D202,Doors!$B:$B,$B202,Doors!$C:$C,$C202)*SUMIFS(Velocity!$I:$I,Velocity!$A:$A,$A202,Velocity!$B:$B,$C202)/Assumptions!$B$4*Assumptions!$B$6</f>
        <v>5.5</v>
      </c>
      <c r="BD202" s="7" t="n">
        <f aca="false">SUMIFS(Doors!BP:BP,Doors!$A:$A,$D202,Doors!$B:$B,$B202,Doors!$C:$C,$C202)*SUMIFS(Velocity!$I:$I,Velocity!$A:$A,$A202,Velocity!$B:$B,$C202)/Assumptions!$B$4*Assumptions!$B$6</f>
        <v>5.5</v>
      </c>
    </row>
    <row r="203" customFormat="false" ht="15" hidden="false" customHeight="false" outlineLevel="0" collapsed="false">
      <c r="A203" s="0" t="s">
        <v>110</v>
      </c>
      <c r="B203" s="0" t="s">
        <v>127</v>
      </c>
      <c r="C203" s="0" t="s">
        <v>123</v>
      </c>
      <c r="D203" s="0" t="s">
        <v>235</v>
      </c>
      <c r="E203" s="7" t="n">
        <f aca="false">SUMIFS(Doors!Q:Q,Doors!$A:$A,$D203,Doors!$B:$B,$B203,Doors!$C:$C,$C203)*SUMIFS(Velocity!$I:$I,Velocity!$A:$A,$A203,Velocity!$B:$B,$C203)/Assumptions!$B$4*Assumptions!$B$6</f>
        <v>0</v>
      </c>
      <c r="F203" s="7" t="n">
        <f aca="false">SUMIFS(Doors!R:R,Doors!$A:$A,$D203,Doors!$B:$B,$B203,Doors!$C:$C,$C203)*SUMIFS(Velocity!$I:$I,Velocity!$A:$A,$A203,Velocity!$B:$B,$C203)/Assumptions!$B$4*Assumptions!$B$6</f>
        <v>0</v>
      </c>
      <c r="G203" s="7" t="n">
        <f aca="false">SUMIFS(Doors!S:S,Doors!$A:$A,$D203,Doors!$B:$B,$B203,Doors!$C:$C,$C203)*SUMIFS(Velocity!$I:$I,Velocity!$A:$A,$A203,Velocity!$B:$B,$C203)/Assumptions!$B$4*Assumptions!$B$6</f>
        <v>0</v>
      </c>
      <c r="H203" s="7" t="n">
        <f aca="false">SUMIFS(Doors!T:T,Doors!$A:$A,$D203,Doors!$B:$B,$B203,Doors!$C:$C,$C203)*SUMIFS(Velocity!$I:$I,Velocity!$A:$A,$A203,Velocity!$B:$B,$C203)/Assumptions!$B$4*Assumptions!$B$6</f>
        <v>0</v>
      </c>
      <c r="I203" s="7" t="n">
        <f aca="false">SUMIFS(Doors!U:U,Doors!$A:$A,$D203,Doors!$B:$B,$B203,Doors!$C:$C,$C203)*SUMIFS(Velocity!$I:$I,Velocity!$A:$A,$A203,Velocity!$B:$B,$C203)/Assumptions!$B$4*Assumptions!$B$6</f>
        <v>0</v>
      </c>
      <c r="J203" s="7" t="n">
        <f aca="false">SUMIFS(Doors!V:V,Doors!$A:$A,$D203,Doors!$B:$B,$B203,Doors!$C:$C,$C203)*SUMIFS(Velocity!$I:$I,Velocity!$A:$A,$A203,Velocity!$B:$B,$C203)/Assumptions!$B$4*Assumptions!$B$6</f>
        <v>0</v>
      </c>
      <c r="K203" s="7" t="n">
        <f aca="false">SUMIFS(Doors!W:W,Doors!$A:$A,$D203,Doors!$B:$B,$B203,Doors!$C:$C,$C203)*SUMIFS(Velocity!$I:$I,Velocity!$A:$A,$A203,Velocity!$B:$B,$C203)/Assumptions!$B$4*Assumptions!$B$6</f>
        <v>0</v>
      </c>
      <c r="L203" s="7" t="n">
        <f aca="false">SUMIFS(Doors!X:X,Doors!$A:$A,$D203,Doors!$B:$B,$B203,Doors!$C:$C,$C203)*SUMIFS(Velocity!$I:$I,Velocity!$A:$A,$A203,Velocity!$B:$B,$C203)/Assumptions!$B$4*Assumptions!$B$6</f>
        <v>0</v>
      </c>
      <c r="M203" s="7" t="n">
        <f aca="false">SUMIFS(Doors!Y:Y,Doors!$A:$A,$D203,Doors!$B:$B,$B203,Doors!$C:$C,$C203)*SUMIFS(Velocity!$I:$I,Velocity!$A:$A,$A203,Velocity!$B:$B,$C203)/Assumptions!$B$4*Assumptions!$B$6</f>
        <v>0</v>
      </c>
      <c r="N203" s="7" t="n">
        <f aca="false">SUMIFS(Doors!Z:Z,Doors!$A:$A,$D203,Doors!$B:$B,$B203,Doors!$C:$C,$C203)*SUMIFS(Velocity!$I:$I,Velocity!$A:$A,$A203,Velocity!$B:$B,$C203)/Assumptions!$B$4*Assumptions!$B$6</f>
        <v>0</v>
      </c>
      <c r="O203" s="7" t="n">
        <f aca="false">SUMIFS(Doors!AA:AA,Doors!$A:$A,$D203,Doors!$B:$B,$B203,Doors!$C:$C,$C203)*SUMIFS(Velocity!$I:$I,Velocity!$A:$A,$A203,Velocity!$B:$B,$C203)/Assumptions!$B$4*Assumptions!$B$6</f>
        <v>0</v>
      </c>
      <c r="P203" s="7" t="n">
        <f aca="false">SUMIFS(Doors!AB:AB,Doors!$A:$A,$D203,Doors!$B:$B,$B203,Doors!$C:$C,$C203)*SUMIFS(Velocity!$I:$I,Velocity!$A:$A,$A203,Velocity!$B:$B,$C203)/Assumptions!$B$4*Assumptions!$B$6</f>
        <v>0</v>
      </c>
      <c r="Q203" s="7" t="n">
        <f aca="false">SUMIFS(Doors!AC:AC,Doors!$A:$A,$D203,Doors!$B:$B,$B203,Doors!$C:$C,$C203)*SUMIFS(Velocity!$I:$I,Velocity!$A:$A,$A203,Velocity!$B:$B,$C203)/Assumptions!$B$4*Assumptions!$B$6</f>
        <v>0</v>
      </c>
      <c r="R203" s="7" t="n">
        <f aca="false">SUMIFS(Doors!AD:AD,Doors!$A:$A,$D203,Doors!$B:$B,$B203,Doors!$C:$C,$C203)*SUMIFS(Velocity!$I:$I,Velocity!$A:$A,$A203,Velocity!$B:$B,$C203)/Assumptions!$B$4*Assumptions!$B$6</f>
        <v>0</v>
      </c>
      <c r="S203" s="7" t="n">
        <f aca="false">SUMIFS(Doors!AE:AE,Doors!$A:$A,$D203,Doors!$B:$B,$B203,Doors!$C:$C,$C203)*SUMIFS(Velocity!$I:$I,Velocity!$A:$A,$A203,Velocity!$B:$B,$C203)/Assumptions!$B$4*Assumptions!$B$6</f>
        <v>0</v>
      </c>
      <c r="T203" s="7" t="n">
        <f aca="false">SUMIFS(Doors!AF:AF,Doors!$A:$A,$D203,Doors!$B:$B,$B203,Doors!$C:$C,$C203)*SUMIFS(Velocity!$I:$I,Velocity!$A:$A,$A203,Velocity!$B:$B,$C203)/Assumptions!$B$4*Assumptions!$B$6</f>
        <v>0</v>
      </c>
      <c r="U203" s="7" t="n">
        <f aca="false">SUMIFS(Doors!AG:AG,Doors!$A:$A,$D203,Doors!$B:$B,$B203,Doors!$C:$C,$C203)*SUMIFS(Velocity!$I:$I,Velocity!$A:$A,$A203,Velocity!$B:$B,$C203)/Assumptions!$B$4*Assumptions!$B$6</f>
        <v>0</v>
      </c>
      <c r="V203" s="7" t="n">
        <f aca="false">SUMIFS(Doors!AH:AH,Doors!$A:$A,$D203,Doors!$B:$B,$B203,Doors!$C:$C,$C203)*SUMIFS(Velocity!$I:$I,Velocity!$A:$A,$A203,Velocity!$B:$B,$C203)/Assumptions!$B$4*Assumptions!$B$6</f>
        <v>0</v>
      </c>
      <c r="W203" s="7" t="n">
        <f aca="false">SUMIFS(Doors!AI:AI,Doors!$A:$A,$D203,Doors!$B:$B,$B203,Doors!$C:$C,$C203)*SUMIFS(Velocity!$I:$I,Velocity!$A:$A,$A203,Velocity!$B:$B,$C203)/Assumptions!$B$4*Assumptions!$B$6</f>
        <v>0</v>
      </c>
      <c r="X203" s="7" t="n">
        <f aca="false">SUMIFS(Doors!AJ:AJ,Doors!$A:$A,$D203,Doors!$B:$B,$B203,Doors!$C:$C,$C203)*SUMIFS(Velocity!$I:$I,Velocity!$A:$A,$A203,Velocity!$B:$B,$C203)/Assumptions!$B$4*Assumptions!$B$6</f>
        <v>0</v>
      </c>
      <c r="Y203" s="7" t="n">
        <f aca="false">SUMIFS(Doors!AK:AK,Doors!$A:$A,$D203,Doors!$B:$B,$B203,Doors!$C:$C,$C203)*SUMIFS(Velocity!$I:$I,Velocity!$A:$A,$A203,Velocity!$B:$B,$C203)/Assumptions!$B$4*Assumptions!$B$6</f>
        <v>0</v>
      </c>
      <c r="Z203" s="7" t="n">
        <f aca="false">SUMIFS(Doors!AL:AL,Doors!$A:$A,$D203,Doors!$B:$B,$B203,Doors!$C:$C,$C203)*SUMIFS(Velocity!$I:$I,Velocity!$A:$A,$A203,Velocity!$B:$B,$C203)/Assumptions!$B$4*Assumptions!$B$6</f>
        <v>0</v>
      </c>
      <c r="AA203" s="7" t="n">
        <f aca="false">SUMIFS(Doors!AM:AM,Doors!$A:$A,$D203,Doors!$B:$B,$B203,Doors!$C:$C,$C203)*SUMIFS(Velocity!$I:$I,Velocity!$A:$A,$A203,Velocity!$B:$B,$C203)/Assumptions!$B$4*Assumptions!$B$6</f>
        <v>0</v>
      </c>
      <c r="AB203" s="7" t="n">
        <f aca="false">SUMIFS(Doors!AN:AN,Doors!$A:$A,$D203,Doors!$B:$B,$B203,Doors!$C:$C,$C203)*SUMIFS(Velocity!$I:$I,Velocity!$A:$A,$A203,Velocity!$B:$B,$C203)/Assumptions!$B$4*Assumptions!$B$6</f>
        <v>0</v>
      </c>
      <c r="AC203" s="7" t="n">
        <f aca="false">SUMIFS(Doors!AO:AO,Doors!$A:$A,$D203,Doors!$B:$B,$B203,Doors!$C:$C,$C203)*SUMIFS(Velocity!$I:$I,Velocity!$A:$A,$A203,Velocity!$B:$B,$C203)/Assumptions!$B$4*Assumptions!$B$6</f>
        <v>0</v>
      </c>
      <c r="AD203" s="7" t="n">
        <f aca="false">SUMIFS(Doors!AP:AP,Doors!$A:$A,$D203,Doors!$B:$B,$B203,Doors!$C:$C,$C203)*SUMIFS(Velocity!$I:$I,Velocity!$A:$A,$A203,Velocity!$B:$B,$C203)/Assumptions!$B$4*Assumptions!$B$6</f>
        <v>0</v>
      </c>
      <c r="AE203" s="7" t="n">
        <f aca="false">SUMIFS(Doors!AQ:AQ,Doors!$A:$A,$D203,Doors!$B:$B,$B203,Doors!$C:$C,$C203)*SUMIFS(Velocity!$I:$I,Velocity!$A:$A,$A203,Velocity!$B:$B,$C203)/Assumptions!$B$4*Assumptions!$B$6</f>
        <v>0</v>
      </c>
      <c r="AF203" s="7" t="n">
        <f aca="false">SUMIFS(Doors!AR:AR,Doors!$A:$A,$D203,Doors!$B:$B,$B203,Doors!$C:$C,$C203)*SUMIFS(Velocity!$I:$I,Velocity!$A:$A,$A203,Velocity!$B:$B,$C203)/Assumptions!$B$4*Assumptions!$B$6</f>
        <v>0</v>
      </c>
      <c r="AG203" s="7" t="n">
        <f aca="false">SUMIFS(Doors!AS:AS,Doors!$A:$A,$D203,Doors!$B:$B,$B203,Doors!$C:$C,$C203)*SUMIFS(Velocity!$I:$I,Velocity!$A:$A,$A203,Velocity!$B:$B,$C203)/Assumptions!$B$4*Assumptions!$B$6</f>
        <v>0</v>
      </c>
      <c r="AH203" s="7" t="n">
        <f aca="false">SUMIFS(Doors!AT:AT,Doors!$A:$A,$D203,Doors!$B:$B,$B203,Doors!$C:$C,$C203)*SUMIFS(Velocity!$I:$I,Velocity!$A:$A,$A203,Velocity!$B:$B,$C203)/Assumptions!$B$4*Assumptions!$B$6</f>
        <v>0</v>
      </c>
      <c r="AI203" s="7" t="n">
        <f aca="false">SUMIFS(Doors!AU:AU,Doors!$A:$A,$D203,Doors!$B:$B,$B203,Doors!$C:$C,$C203)*SUMIFS(Velocity!$I:$I,Velocity!$A:$A,$A203,Velocity!$B:$B,$C203)/Assumptions!$B$4*Assumptions!$B$6</f>
        <v>0</v>
      </c>
      <c r="AJ203" s="7" t="n">
        <f aca="false">SUMIFS(Doors!AV:AV,Doors!$A:$A,$D203,Doors!$B:$B,$B203,Doors!$C:$C,$C203)*SUMIFS(Velocity!$I:$I,Velocity!$A:$A,$A203,Velocity!$B:$B,$C203)/Assumptions!$B$4*Assumptions!$B$6</f>
        <v>0</v>
      </c>
      <c r="AK203" s="7" t="n">
        <f aca="false">SUMIFS(Doors!AW:AW,Doors!$A:$A,$D203,Doors!$B:$B,$B203,Doors!$C:$C,$C203)*SUMIFS(Velocity!$I:$I,Velocity!$A:$A,$A203,Velocity!$B:$B,$C203)/Assumptions!$B$4*Assumptions!$B$6</f>
        <v>0</v>
      </c>
      <c r="AL203" s="7" t="n">
        <f aca="false">SUMIFS(Doors!AX:AX,Doors!$A:$A,$D203,Doors!$B:$B,$B203,Doors!$C:$C,$C203)*SUMIFS(Velocity!$I:$I,Velocity!$A:$A,$A203,Velocity!$B:$B,$C203)/Assumptions!$B$4*Assumptions!$B$6</f>
        <v>0</v>
      </c>
      <c r="AM203" s="7" t="n">
        <f aca="false">SUMIFS(Doors!AY:AY,Doors!$A:$A,$D203,Doors!$B:$B,$B203,Doors!$C:$C,$C203)*SUMIFS(Velocity!$I:$I,Velocity!$A:$A,$A203,Velocity!$B:$B,$C203)/Assumptions!$B$4*Assumptions!$B$6</f>
        <v>0</v>
      </c>
      <c r="AN203" s="7" t="n">
        <f aca="false">SUMIFS(Doors!AZ:AZ,Doors!$A:$A,$D203,Doors!$B:$B,$B203,Doors!$C:$C,$C203)*SUMIFS(Velocity!$I:$I,Velocity!$A:$A,$A203,Velocity!$B:$B,$C203)/Assumptions!$B$4*Assumptions!$B$6</f>
        <v>0</v>
      </c>
      <c r="AO203" s="7" t="n">
        <f aca="false">SUMIFS(Doors!BA:BA,Doors!$A:$A,$D203,Doors!$B:$B,$B203,Doors!$C:$C,$C203)*SUMIFS(Velocity!$I:$I,Velocity!$A:$A,$A203,Velocity!$B:$B,$C203)/Assumptions!$B$4*Assumptions!$B$6</f>
        <v>0</v>
      </c>
      <c r="AP203" s="7" t="n">
        <f aca="false">SUMIFS(Doors!BB:BB,Doors!$A:$A,$D203,Doors!$B:$B,$B203,Doors!$C:$C,$C203)*SUMIFS(Velocity!$I:$I,Velocity!$A:$A,$A203,Velocity!$B:$B,$C203)/Assumptions!$B$4*Assumptions!$B$6</f>
        <v>0</v>
      </c>
      <c r="AQ203" s="7" t="n">
        <f aca="false">SUMIFS(Doors!BC:BC,Doors!$A:$A,$D203,Doors!$B:$B,$B203,Doors!$C:$C,$C203)*SUMIFS(Velocity!$I:$I,Velocity!$A:$A,$A203,Velocity!$B:$B,$C203)/Assumptions!$B$4*Assumptions!$B$6</f>
        <v>0</v>
      </c>
      <c r="AR203" s="7" t="n">
        <f aca="false">SUMIFS(Doors!BD:BD,Doors!$A:$A,$D203,Doors!$B:$B,$B203,Doors!$C:$C,$C203)*SUMIFS(Velocity!$I:$I,Velocity!$A:$A,$A203,Velocity!$B:$B,$C203)/Assumptions!$B$4*Assumptions!$B$6</f>
        <v>0</v>
      </c>
      <c r="AS203" s="7" t="n">
        <f aca="false">SUMIFS(Doors!BE:BE,Doors!$A:$A,$D203,Doors!$B:$B,$B203,Doors!$C:$C,$C203)*SUMIFS(Velocity!$I:$I,Velocity!$A:$A,$A203,Velocity!$B:$B,$C203)/Assumptions!$B$4*Assumptions!$B$6</f>
        <v>0</v>
      </c>
      <c r="AT203" s="7" t="n">
        <f aca="false">SUMIFS(Doors!BF:BF,Doors!$A:$A,$D203,Doors!$B:$B,$B203,Doors!$C:$C,$C203)*SUMIFS(Velocity!$I:$I,Velocity!$A:$A,$A203,Velocity!$B:$B,$C203)/Assumptions!$B$4*Assumptions!$B$6</f>
        <v>0</v>
      </c>
      <c r="AU203" s="7" t="n">
        <f aca="false">SUMIFS(Doors!BG:BG,Doors!$A:$A,$D203,Doors!$B:$B,$B203,Doors!$C:$C,$C203)*SUMIFS(Velocity!$I:$I,Velocity!$A:$A,$A203,Velocity!$B:$B,$C203)/Assumptions!$B$4*Assumptions!$B$6</f>
        <v>0</v>
      </c>
      <c r="AV203" s="7" t="n">
        <f aca="false">SUMIFS(Doors!BH:BH,Doors!$A:$A,$D203,Doors!$B:$B,$B203,Doors!$C:$C,$C203)*SUMIFS(Velocity!$I:$I,Velocity!$A:$A,$A203,Velocity!$B:$B,$C203)/Assumptions!$B$4*Assumptions!$B$6</f>
        <v>0</v>
      </c>
      <c r="AW203" s="7" t="n">
        <f aca="false">SUMIFS(Doors!BI:BI,Doors!$A:$A,$D203,Doors!$B:$B,$B203,Doors!$C:$C,$C203)*SUMIFS(Velocity!$I:$I,Velocity!$A:$A,$A203,Velocity!$B:$B,$C203)/Assumptions!$B$4*Assumptions!$B$6</f>
        <v>0</v>
      </c>
      <c r="AX203" s="7" t="n">
        <f aca="false">SUMIFS(Doors!BJ:BJ,Doors!$A:$A,$D203,Doors!$B:$B,$B203,Doors!$C:$C,$C203)*SUMIFS(Velocity!$I:$I,Velocity!$A:$A,$A203,Velocity!$B:$B,$C203)/Assumptions!$B$4*Assumptions!$B$6</f>
        <v>0</v>
      </c>
      <c r="AY203" s="7" t="n">
        <f aca="false">SUMIFS(Doors!BK:BK,Doors!$A:$A,$D203,Doors!$B:$B,$B203,Doors!$C:$C,$C203)*SUMIFS(Velocity!$I:$I,Velocity!$A:$A,$A203,Velocity!$B:$B,$C203)/Assumptions!$B$4*Assumptions!$B$6</f>
        <v>0</v>
      </c>
      <c r="AZ203" s="7" t="n">
        <f aca="false">SUMIFS(Doors!BL:BL,Doors!$A:$A,$D203,Doors!$B:$B,$B203,Doors!$C:$C,$C203)*SUMIFS(Velocity!$I:$I,Velocity!$A:$A,$A203,Velocity!$B:$B,$C203)/Assumptions!$B$4*Assumptions!$B$6</f>
        <v>0</v>
      </c>
      <c r="BA203" s="7" t="n">
        <f aca="false">SUMIFS(Doors!BM:BM,Doors!$A:$A,$D203,Doors!$B:$B,$B203,Doors!$C:$C,$C203)*SUMIFS(Velocity!$I:$I,Velocity!$A:$A,$A203,Velocity!$B:$B,$C203)/Assumptions!$B$4*Assumptions!$B$6</f>
        <v>0</v>
      </c>
      <c r="BB203" s="7" t="n">
        <f aca="false">SUMIFS(Doors!BN:BN,Doors!$A:$A,$D203,Doors!$B:$B,$B203,Doors!$C:$C,$C203)*SUMIFS(Velocity!$I:$I,Velocity!$A:$A,$A203,Velocity!$B:$B,$C203)/Assumptions!$B$4*Assumptions!$B$6</f>
        <v>0</v>
      </c>
      <c r="BC203" s="7" t="n">
        <f aca="false">SUMIFS(Doors!BO:BO,Doors!$A:$A,$D203,Doors!$B:$B,$B203,Doors!$C:$C,$C203)*SUMIFS(Velocity!$I:$I,Velocity!$A:$A,$A203,Velocity!$B:$B,$C203)/Assumptions!$B$4*Assumptions!$B$6</f>
        <v>0</v>
      </c>
      <c r="BD203" s="7" t="n">
        <f aca="false">SUMIFS(Doors!BP:BP,Doors!$A:$A,$D203,Doors!$B:$B,$B203,Doors!$C:$C,$C203)*SUMIFS(Velocity!$I:$I,Velocity!$A:$A,$A203,Velocity!$B:$B,$C203)/Assumptions!$B$4*Assumptions!$B$6</f>
        <v>0</v>
      </c>
    </row>
    <row r="204" customFormat="false" ht="15" hidden="false" customHeight="false" outlineLevel="0" collapsed="false">
      <c r="A204" s="0" t="s">
        <v>110</v>
      </c>
      <c r="B204" s="0" t="s">
        <v>128</v>
      </c>
      <c r="C204" s="0" t="s">
        <v>115</v>
      </c>
      <c r="D204" s="0" t="s">
        <v>235</v>
      </c>
      <c r="E204" s="7" t="n">
        <f aca="false">SUMIFS(Doors!Q:Q,Doors!$A:$A,$D204,Doors!$B:$B,$B204,Doors!$C:$C,$C204)*SUMIFS(Velocity!$I:$I,Velocity!$A:$A,$A204,Velocity!$B:$B,$C204)/Assumptions!$B$4*Assumptions!$B$6</f>
        <v>0</v>
      </c>
      <c r="F204" s="7" t="n">
        <f aca="false">SUMIFS(Doors!R:R,Doors!$A:$A,$D204,Doors!$B:$B,$B204,Doors!$C:$C,$C204)*SUMIFS(Velocity!$I:$I,Velocity!$A:$A,$A204,Velocity!$B:$B,$C204)/Assumptions!$B$4*Assumptions!$B$6</f>
        <v>0</v>
      </c>
      <c r="G204" s="7" t="n">
        <f aca="false">SUMIFS(Doors!S:S,Doors!$A:$A,$D204,Doors!$B:$B,$B204,Doors!$C:$C,$C204)*SUMIFS(Velocity!$I:$I,Velocity!$A:$A,$A204,Velocity!$B:$B,$C204)/Assumptions!$B$4*Assumptions!$B$6</f>
        <v>0</v>
      </c>
      <c r="H204" s="7" t="n">
        <f aca="false">SUMIFS(Doors!T:T,Doors!$A:$A,$D204,Doors!$B:$B,$B204,Doors!$C:$C,$C204)*SUMIFS(Velocity!$I:$I,Velocity!$A:$A,$A204,Velocity!$B:$B,$C204)/Assumptions!$B$4*Assumptions!$B$6</f>
        <v>0</v>
      </c>
      <c r="I204" s="7" t="n">
        <f aca="false">SUMIFS(Doors!U:U,Doors!$A:$A,$D204,Doors!$B:$B,$B204,Doors!$C:$C,$C204)*SUMIFS(Velocity!$I:$I,Velocity!$A:$A,$A204,Velocity!$B:$B,$C204)/Assumptions!$B$4*Assumptions!$B$6</f>
        <v>0</v>
      </c>
      <c r="J204" s="7" t="n">
        <f aca="false">SUMIFS(Doors!V:V,Doors!$A:$A,$D204,Doors!$B:$B,$B204,Doors!$C:$C,$C204)*SUMIFS(Velocity!$I:$I,Velocity!$A:$A,$A204,Velocity!$B:$B,$C204)/Assumptions!$B$4*Assumptions!$B$6</f>
        <v>0</v>
      </c>
      <c r="K204" s="7" t="n">
        <f aca="false">SUMIFS(Doors!W:W,Doors!$A:$A,$D204,Doors!$B:$B,$B204,Doors!$C:$C,$C204)*SUMIFS(Velocity!$I:$I,Velocity!$A:$A,$A204,Velocity!$B:$B,$C204)/Assumptions!$B$4*Assumptions!$B$6</f>
        <v>0</v>
      </c>
      <c r="L204" s="7" t="n">
        <f aca="false">SUMIFS(Doors!X:X,Doors!$A:$A,$D204,Doors!$B:$B,$B204,Doors!$C:$C,$C204)*SUMIFS(Velocity!$I:$I,Velocity!$A:$A,$A204,Velocity!$B:$B,$C204)/Assumptions!$B$4*Assumptions!$B$6</f>
        <v>0</v>
      </c>
      <c r="M204" s="7" t="n">
        <f aca="false">SUMIFS(Doors!Y:Y,Doors!$A:$A,$D204,Doors!$B:$B,$B204,Doors!$C:$C,$C204)*SUMIFS(Velocity!$I:$I,Velocity!$A:$A,$A204,Velocity!$B:$B,$C204)/Assumptions!$B$4*Assumptions!$B$6</f>
        <v>0</v>
      </c>
      <c r="N204" s="7" t="n">
        <f aca="false">SUMIFS(Doors!Z:Z,Doors!$A:$A,$D204,Doors!$B:$B,$B204,Doors!$C:$C,$C204)*SUMIFS(Velocity!$I:$I,Velocity!$A:$A,$A204,Velocity!$B:$B,$C204)/Assumptions!$B$4*Assumptions!$B$6</f>
        <v>0.733333333333333</v>
      </c>
      <c r="O204" s="7" t="n">
        <f aca="false">SUMIFS(Doors!AA:AA,Doors!$A:$A,$D204,Doors!$B:$B,$B204,Doors!$C:$C,$C204)*SUMIFS(Velocity!$I:$I,Velocity!$A:$A,$A204,Velocity!$B:$B,$C204)/Assumptions!$B$4*Assumptions!$B$6</f>
        <v>0.733333333333333</v>
      </c>
      <c r="P204" s="7" t="n">
        <f aca="false">SUMIFS(Doors!AB:AB,Doors!$A:$A,$D204,Doors!$B:$B,$B204,Doors!$C:$C,$C204)*SUMIFS(Velocity!$I:$I,Velocity!$A:$A,$A204,Velocity!$B:$B,$C204)/Assumptions!$B$4*Assumptions!$B$6</f>
        <v>0.733333333333333</v>
      </c>
      <c r="Q204" s="7" t="n">
        <f aca="false">SUMIFS(Doors!AC:AC,Doors!$A:$A,$D204,Doors!$B:$B,$B204,Doors!$C:$C,$C204)*SUMIFS(Velocity!$I:$I,Velocity!$A:$A,$A204,Velocity!$B:$B,$C204)/Assumptions!$B$4*Assumptions!$B$6</f>
        <v>0.733333333333333</v>
      </c>
      <c r="R204" s="7" t="n">
        <f aca="false">SUMIFS(Doors!AD:AD,Doors!$A:$A,$D204,Doors!$B:$B,$B204,Doors!$C:$C,$C204)*SUMIFS(Velocity!$I:$I,Velocity!$A:$A,$A204,Velocity!$B:$B,$C204)/Assumptions!$B$4*Assumptions!$B$6</f>
        <v>1.83333333333333</v>
      </c>
      <c r="S204" s="7" t="n">
        <f aca="false">SUMIFS(Doors!AE:AE,Doors!$A:$A,$D204,Doors!$B:$B,$B204,Doors!$C:$C,$C204)*SUMIFS(Velocity!$I:$I,Velocity!$A:$A,$A204,Velocity!$B:$B,$C204)/Assumptions!$B$4*Assumptions!$B$6</f>
        <v>1.83333333333333</v>
      </c>
      <c r="T204" s="7" t="n">
        <f aca="false">SUMIFS(Doors!AF:AF,Doors!$A:$A,$D204,Doors!$B:$B,$B204,Doors!$C:$C,$C204)*SUMIFS(Velocity!$I:$I,Velocity!$A:$A,$A204,Velocity!$B:$B,$C204)/Assumptions!$B$4*Assumptions!$B$6</f>
        <v>1.83333333333333</v>
      </c>
      <c r="U204" s="7" t="n">
        <f aca="false">SUMIFS(Doors!AG:AG,Doors!$A:$A,$D204,Doors!$B:$B,$B204,Doors!$C:$C,$C204)*SUMIFS(Velocity!$I:$I,Velocity!$A:$A,$A204,Velocity!$B:$B,$C204)/Assumptions!$B$4*Assumptions!$B$6</f>
        <v>1.83333333333333</v>
      </c>
      <c r="V204" s="7" t="n">
        <f aca="false">SUMIFS(Doors!AH:AH,Doors!$A:$A,$D204,Doors!$B:$B,$B204,Doors!$C:$C,$C204)*SUMIFS(Velocity!$I:$I,Velocity!$A:$A,$A204,Velocity!$B:$B,$C204)/Assumptions!$B$4*Assumptions!$B$6</f>
        <v>1.83333333333333</v>
      </c>
      <c r="W204" s="7" t="n">
        <f aca="false">SUMIFS(Doors!AI:AI,Doors!$A:$A,$D204,Doors!$B:$B,$B204,Doors!$C:$C,$C204)*SUMIFS(Velocity!$I:$I,Velocity!$A:$A,$A204,Velocity!$B:$B,$C204)/Assumptions!$B$4*Assumptions!$B$6</f>
        <v>2.93333333333333</v>
      </c>
      <c r="X204" s="7" t="n">
        <f aca="false">SUMIFS(Doors!AJ:AJ,Doors!$A:$A,$D204,Doors!$B:$B,$B204,Doors!$C:$C,$C204)*SUMIFS(Velocity!$I:$I,Velocity!$A:$A,$A204,Velocity!$B:$B,$C204)/Assumptions!$B$4*Assumptions!$B$6</f>
        <v>2.93333333333333</v>
      </c>
      <c r="Y204" s="7" t="n">
        <f aca="false">SUMIFS(Doors!AK:AK,Doors!$A:$A,$D204,Doors!$B:$B,$B204,Doors!$C:$C,$C204)*SUMIFS(Velocity!$I:$I,Velocity!$A:$A,$A204,Velocity!$B:$B,$C204)/Assumptions!$B$4*Assumptions!$B$6</f>
        <v>2.93333333333333</v>
      </c>
      <c r="Z204" s="7" t="n">
        <f aca="false">SUMIFS(Doors!AL:AL,Doors!$A:$A,$D204,Doors!$B:$B,$B204,Doors!$C:$C,$C204)*SUMIFS(Velocity!$I:$I,Velocity!$A:$A,$A204,Velocity!$B:$B,$C204)/Assumptions!$B$4*Assumptions!$B$6</f>
        <v>2.93333333333333</v>
      </c>
      <c r="AA204" s="7" t="n">
        <f aca="false">SUMIFS(Doors!AM:AM,Doors!$A:$A,$D204,Doors!$B:$B,$B204,Doors!$C:$C,$C204)*SUMIFS(Velocity!$I:$I,Velocity!$A:$A,$A204,Velocity!$B:$B,$C204)/Assumptions!$B$4*Assumptions!$B$6</f>
        <v>4.4</v>
      </c>
      <c r="AB204" s="7" t="n">
        <f aca="false">SUMIFS(Doors!AN:AN,Doors!$A:$A,$D204,Doors!$B:$B,$B204,Doors!$C:$C,$C204)*SUMIFS(Velocity!$I:$I,Velocity!$A:$A,$A204,Velocity!$B:$B,$C204)/Assumptions!$B$4*Assumptions!$B$6</f>
        <v>4.4</v>
      </c>
      <c r="AC204" s="7" t="n">
        <f aca="false">SUMIFS(Doors!AO:AO,Doors!$A:$A,$D204,Doors!$B:$B,$B204,Doors!$C:$C,$C204)*SUMIFS(Velocity!$I:$I,Velocity!$A:$A,$A204,Velocity!$B:$B,$C204)/Assumptions!$B$4*Assumptions!$B$6</f>
        <v>4.4</v>
      </c>
      <c r="AD204" s="7" t="n">
        <f aca="false">SUMIFS(Doors!AP:AP,Doors!$A:$A,$D204,Doors!$B:$B,$B204,Doors!$C:$C,$C204)*SUMIFS(Velocity!$I:$I,Velocity!$A:$A,$A204,Velocity!$B:$B,$C204)/Assumptions!$B$4*Assumptions!$B$6</f>
        <v>4.4</v>
      </c>
      <c r="AE204" s="7" t="n">
        <f aca="false">SUMIFS(Doors!AQ:AQ,Doors!$A:$A,$D204,Doors!$B:$B,$B204,Doors!$C:$C,$C204)*SUMIFS(Velocity!$I:$I,Velocity!$A:$A,$A204,Velocity!$B:$B,$C204)/Assumptions!$B$4*Assumptions!$B$6</f>
        <v>5.5</v>
      </c>
      <c r="AF204" s="7" t="n">
        <f aca="false">SUMIFS(Doors!AR:AR,Doors!$A:$A,$D204,Doors!$B:$B,$B204,Doors!$C:$C,$C204)*SUMIFS(Velocity!$I:$I,Velocity!$A:$A,$A204,Velocity!$B:$B,$C204)/Assumptions!$B$4*Assumptions!$B$6</f>
        <v>5.5</v>
      </c>
      <c r="AG204" s="7" t="n">
        <f aca="false">SUMIFS(Doors!AS:AS,Doors!$A:$A,$D204,Doors!$B:$B,$B204,Doors!$C:$C,$C204)*SUMIFS(Velocity!$I:$I,Velocity!$A:$A,$A204,Velocity!$B:$B,$C204)/Assumptions!$B$4*Assumptions!$B$6</f>
        <v>5.5</v>
      </c>
      <c r="AH204" s="7" t="n">
        <f aca="false">SUMIFS(Doors!AT:AT,Doors!$A:$A,$D204,Doors!$B:$B,$B204,Doors!$C:$C,$C204)*SUMIFS(Velocity!$I:$I,Velocity!$A:$A,$A204,Velocity!$B:$B,$C204)/Assumptions!$B$4*Assumptions!$B$6</f>
        <v>5.5</v>
      </c>
      <c r="AI204" s="7" t="n">
        <f aca="false">SUMIFS(Doors!AU:AU,Doors!$A:$A,$D204,Doors!$B:$B,$B204,Doors!$C:$C,$C204)*SUMIFS(Velocity!$I:$I,Velocity!$A:$A,$A204,Velocity!$B:$B,$C204)/Assumptions!$B$4*Assumptions!$B$6</f>
        <v>5.5</v>
      </c>
      <c r="AJ204" s="7" t="n">
        <f aca="false">SUMIFS(Doors!AV:AV,Doors!$A:$A,$D204,Doors!$B:$B,$B204,Doors!$C:$C,$C204)*SUMIFS(Velocity!$I:$I,Velocity!$A:$A,$A204,Velocity!$B:$B,$C204)/Assumptions!$B$4*Assumptions!$B$6</f>
        <v>6.6</v>
      </c>
      <c r="AK204" s="7" t="n">
        <f aca="false">SUMIFS(Doors!AW:AW,Doors!$A:$A,$D204,Doors!$B:$B,$B204,Doors!$C:$C,$C204)*SUMIFS(Velocity!$I:$I,Velocity!$A:$A,$A204,Velocity!$B:$B,$C204)/Assumptions!$B$4*Assumptions!$B$6</f>
        <v>6.6</v>
      </c>
      <c r="AL204" s="7" t="n">
        <f aca="false">SUMIFS(Doors!AX:AX,Doors!$A:$A,$D204,Doors!$B:$B,$B204,Doors!$C:$C,$C204)*SUMIFS(Velocity!$I:$I,Velocity!$A:$A,$A204,Velocity!$B:$B,$C204)/Assumptions!$B$4*Assumptions!$B$6</f>
        <v>6.6</v>
      </c>
      <c r="AM204" s="7" t="n">
        <f aca="false">SUMIFS(Doors!AY:AY,Doors!$A:$A,$D204,Doors!$B:$B,$B204,Doors!$C:$C,$C204)*SUMIFS(Velocity!$I:$I,Velocity!$A:$A,$A204,Velocity!$B:$B,$C204)/Assumptions!$B$4*Assumptions!$B$6</f>
        <v>6.6</v>
      </c>
      <c r="AN204" s="7" t="n">
        <f aca="false">SUMIFS(Doors!AZ:AZ,Doors!$A:$A,$D204,Doors!$B:$B,$B204,Doors!$C:$C,$C204)*SUMIFS(Velocity!$I:$I,Velocity!$A:$A,$A204,Velocity!$B:$B,$C204)/Assumptions!$B$4*Assumptions!$B$6</f>
        <v>7.33333333333333</v>
      </c>
      <c r="AO204" s="7" t="n">
        <f aca="false">SUMIFS(Doors!BA:BA,Doors!$A:$A,$D204,Doors!$B:$B,$B204,Doors!$C:$C,$C204)*SUMIFS(Velocity!$I:$I,Velocity!$A:$A,$A204,Velocity!$B:$B,$C204)/Assumptions!$B$4*Assumptions!$B$6</f>
        <v>7.33333333333333</v>
      </c>
      <c r="AP204" s="7" t="n">
        <f aca="false">SUMIFS(Doors!BB:BB,Doors!$A:$A,$D204,Doors!$B:$B,$B204,Doors!$C:$C,$C204)*SUMIFS(Velocity!$I:$I,Velocity!$A:$A,$A204,Velocity!$B:$B,$C204)/Assumptions!$B$4*Assumptions!$B$6</f>
        <v>7.33333333333333</v>
      </c>
      <c r="AQ204" s="7" t="n">
        <f aca="false">SUMIFS(Doors!BC:BC,Doors!$A:$A,$D204,Doors!$B:$B,$B204,Doors!$C:$C,$C204)*SUMIFS(Velocity!$I:$I,Velocity!$A:$A,$A204,Velocity!$B:$B,$C204)/Assumptions!$B$4*Assumptions!$B$6</f>
        <v>7.33333333333333</v>
      </c>
      <c r="AR204" s="7" t="n">
        <f aca="false">SUMIFS(Doors!BD:BD,Doors!$A:$A,$D204,Doors!$B:$B,$B204,Doors!$C:$C,$C204)*SUMIFS(Velocity!$I:$I,Velocity!$A:$A,$A204,Velocity!$B:$B,$C204)/Assumptions!$B$4*Assumptions!$B$6</f>
        <v>8.06666666666667</v>
      </c>
      <c r="AS204" s="7" t="n">
        <f aca="false">SUMIFS(Doors!BE:BE,Doors!$A:$A,$D204,Doors!$B:$B,$B204,Doors!$C:$C,$C204)*SUMIFS(Velocity!$I:$I,Velocity!$A:$A,$A204,Velocity!$B:$B,$C204)/Assumptions!$B$4*Assumptions!$B$6</f>
        <v>8.06666666666667</v>
      </c>
      <c r="AT204" s="7" t="n">
        <f aca="false">SUMIFS(Doors!BF:BF,Doors!$A:$A,$D204,Doors!$B:$B,$B204,Doors!$C:$C,$C204)*SUMIFS(Velocity!$I:$I,Velocity!$A:$A,$A204,Velocity!$B:$B,$C204)/Assumptions!$B$4*Assumptions!$B$6</f>
        <v>8.06666666666667</v>
      </c>
      <c r="AU204" s="7" t="n">
        <f aca="false">SUMIFS(Doors!BG:BG,Doors!$A:$A,$D204,Doors!$B:$B,$B204,Doors!$C:$C,$C204)*SUMIFS(Velocity!$I:$I,Velocity!$A:$A,$A204,Velocity!$B:$B,$C204)/Assumptions!$B$4*Assumptions!$B$6</f>
        <v>8.06666666666667</v>
      </c>
      <c r="AV204" s="7" t="n">
        <f aca="false">SUMIFS(Doors!BH:BH,Doors!$A:$A,$D204,Doors!$B:$B,$B204,Doors!$C:$C,$C204)*SUMIFS(Velocity!$I:$I,Velocity!$A:$A,$A204,Velocity!$B:$B,$C204)/Assumptions!$B$4*Assumptions!$B$6</f>
        <v>8.06666666666667</v>
      </c>
      <c r="AW204" s="7" t="n">
        <f aca="false">SUMIFS(Doors!BI:BI,Doors!$A:$A,$D204,Doors!$B:$B,$B204,Doors!$C:$C,$C204)*SUMIFS(Velocity!$I:$I,Velocity!$A:$A,$A204,Velocity!$B:$B,$C204)/Assumptions!$B$4*Assumptions!$B$6</f>
        <v>8.8</v>
      </c>
      <c r="AX204" s="7" t="n">
        <f aca="false">SUMIFS(Doors!BJ:BJ,Doors!$A:$A,$D204,Doors!$B:$B,$B204,Doors!$C:$C,$C204)*SUMIFS(Velocity!$I:$I,Velocity!$A:$A,$A204,Velocity!$B:$B,$C204)/Assumptions!$B$4*Assumptions!$B$6</f>
        <v>8.8</v>
      </c>
      <c r="AY204" s="7" t="n">
        <f aca="false">SUMIFS(Doors!BK:BK,Doors!$A:$A,$D204,Doors!$B:$B,$B204,Doors!$C:$C,$C204)*SUMIFS(Velocity!$I:$I,Velocity!$A:$A,$A204,Velocity!$B:$B,$C204)/Assumptions!$B$4*Assumptions!$B$6</f>
        <v>8.8</v>
      </c>
      <c r="AZ204" s="7" t="n">
        <f aca="false">SUMIFS(Doors!BL:BL,Doors!$A:$A,$D204,Doors!$B:$B,$B204,Doors!$C:$C,$C204)*SUMIFS(Velocity!$I:$I,Velocity!$A:$A,$A204,Velocity!$B:$B,$C204)/Assumptions!$B$4*Assumptions!$B$6</f>
        <v>8.8</v>
      </c>
      <c r="BA204" s="7" t="n">
        <f aca="false">SUMIFS(Doors!BM:BM,Doors!$A:$A,$D204,Doors!$B:$B,$B204,Doors!$C:$C,$C204)*SUMIFS(Velocity!$I:$I,Velocity!$A:$A,$A204,Velocity!$B:$B,$C204)/Assumptions!$B$4*Assumptions!$B$6</f>
        <v>9.16666666666667</v>
      </c>
      <c r="BB204" s="7" t="n">
        <f aca="false">SUMIFS(Doors!BN:BN,Doors!$A:$A,$D204,Doors!$B:$B,$B204,Doors!$C:$C,$C204)*SUMIFS(Velocity!$I:$I,Velocity!$A:$A,$A204,Velocity!$B:$B,$C204)/Assumptions!$B$4*Assumptions!$B$6</f>
        <v>9.16666666666667</v>
      </c>
      <c r="BC204" s="7" t="n">
        <f aca="false">SUMIFS(Doors!BO:BO,Doors!$A:$A,$D204,Doors!$B:$B,$B204,Doors!$C:$C,$C204)*SUMIFS(Velocity!$I:$I,Velocity!$A:$A,$A204,Velocity!$B:$B,$C204)/Assumptions!$B$4*Assumptions!$B$6</f>
        <v>9.16666666666667</v>
      </c>
      <c r="BD204" s="7" t="n">
        <f aca="false">SUMIFS(Doors!BP:BP,Doors!$A:$A,$D204,Doors!$B:$B,$B204,Doors!$C:$C,$C204)*SUMIFS(Velocity!$I:$I,Velocity!$A:$A,$A204,Velocity!$B:$B,$C204)/Assumptions!$B$4*Assumptions!$B$6</f>
        <v>9.16666666666667</v>
      </c>
    </row>
    <row r="205" customFormat="false" ht="15" hidden="false" customHeight="false" outlineLevel="0" collapsed="false">
      <c r="A205" s="0" t="s">
        <v>110</v>
      </c>
      <c r="B205" s="0" t="s">
        <v>128</v>
      </c>
      <c r="C205" s="0" t="s">
        <v>116</v>
      </c>
      <c r="D205" s="0" t="s">
        <v>235</v>
      </c>
      <c r="E205" s="7" t="n">
        <f aca="false">SUMIFS(Doors!Q:Q,Doors!$A:$A,$D205,Doors!$B:$B,$B205,Doors!$C:$C,$C205)*SUMIFS(Velocity!$I:$I,Velocity!$A:$A,$A205,Velocity!$B:$B,$C205)/Assumptions!$B$4*Assumptions!$B$6</f>
        <v>0</v>
      </c>
      <c r="F205" s="7" t="n">
        <f aca="false">SUMIFS(Doors!R:R,Doors!$A:$A,$D205,Doors!$B:$B,$B205,Doors!$C:$C,$C205)*SUMIFS(Velocity!$I:$I,Velocity!$A:$A,$A205,Velocity!$B:$B,$C205)/Assumptions!$B$4*Assumptions!$B$6</f>
        <v>0</v>
      </c>
      <c r="G205" s="7" t="n">
        <f aca="false">SUMIFS(Doors!S:S,Doors!$A:$A,$D205,Doors!$B:$B,$B205,Doors!$C:$C,$C205)*SUMIFS(Velocity!$I:$I,Velocity!$A:$A,$A205,Velocity!$B:$B,$C205)/Assumptions!$B$4*Assumptions!$B$6</f>
        <v>0</v>
      </c>
      <c r="H205" s="7" t="n">
        <f aca="false">SUMIFS(Doors!T:T,Doors!$A:$A,$D205,Doors!$B:$B,$B205,Doors!$C:$C,$C205)*SUMIFS(Velocity!$I:$I,Velocity!$A:$A,$A205,Velocity!$B:$B,$C205)/Assumptions!$B$4*Assumptions!$B$6</f>
        <v>0</v>
      </c>
      <c r="I205" s="7" t="n">
        <f aca="false">SUMIFS(Doors!U:U,Doors!$A:$A,$D205,Doors!$B:$B,$B205,Doors!$C:$C,$C205)*SUMIFS(Velocity!$I:$I,Velocity!$A:$A,$A205,Velocity!$B:$B,$C205)/Assumptions!$B$4*Assumptions!$B$6</f>
        <v>0</v>
      </c>
      <c r="J205" s="7" t="n">
        <f aca="false">SUMIFS(Doors!V:V,Doors!$A:$A,$D205,Doors!$B:$B,$B205,Doors!$C:$C,$C205)*SUMIFS(Velocity!$I:$I,Velocity!$A:$A,$A205,Velocity!$B:$B,$C205)/Assumptions!$B$4*Assumptions!$B$6</f>
        <v>0</v>
      </c>
      <c r="K205" s="7" t="n">
        <f aca="false">SUMIFS(Doors!W:W,Doors!$A:$A,$D205,Doors!$B:$B,$B205,Doors!$C:$C,$C205)*SUMIFS(Velocity!$I:$I,Velocity!$A:$A,$A205,Velocity!$B:$B,$C205)/Assumptions!$B$4*Assumptions!$B$6</f>
        <v>0</v>
      </c>
      <c r="L205" s="7" t="n">
        <f aca="false">SUMIFS(Doors!X:X,Doors!$A:$A,$D205,Doors!$B:$B,$B205,Doors!$C:$C,$C205)*SUMIFS(Velocity!$I:$I,Velocity!$A:$A,$A205,Velocity!$B:$B,$C205)/Assumptions!$B$4*Assumptions!$B$6</f>
        <v>0</v>
      </c>
      <c r="M205" s="7" t="n">
        <f aca="false">SUMIFS(Doors!Y:Y,Doors!$A:$A,$D205,Doors!$B:$B,$B205,Doors!$C:$C,$C205)*SUMIFS(Velocity!$I:$I,Velocity!$A:$A,$A205,Velocity!$B:$B,$C205)/Assumptions!$B$4*Assumptions!$B$6</f>
        <v>0</v>
      </c>
      <c r="N205" s="7" t="n">
        <f aca="false">SUMIFS(Doors!Z:Z,Doors!$A:$A,$D205,Doors!$B:$B,$B205,Doors!$C:$C,$C205)*SUMIFS(Velocity!$I:$I,Velocity!$A:$A,$A205,Velocity!$B:$B,$C205)/Assumptions!$B$4*Assumptions!$B$6</f>
        <v>0.316666666666667</v>
      </c>
      <c r="O205" s="7" t="n">
        <f aca="false">SUMIFS(Doors!AA:AA,Doors!$A:$A,$D205,Doors!$B:$B,$B205,Doors!$C:$C,$C205)*SUMIFS(Velocity!$I:$I,Velocity!$A:$A,$A205,Velocity!$B:$B,$C205)/Assumptions!$B$4*Assumptions!$B$6</f>
        <v>0.316666666666667</v>
      </c>
      <c r="P205" s="7" t="n">
        <f aca="false">SUMIFS(Doors!AB:AB,Doors!$A:$A,$D205,Doors!$B:$B,$B205,Doors!$C:$C,$C205)*SUMIFS(Velocity!$I:$I,Velocity!$A:$A,$A205,Velocity!$B:$B,$C205)/Assumptions!$B$4*Assumptions!$B$6</f>
        <v>0.316666666666667</v>
      </c>
      <c r="Q205" s="7" t="n">
        <f aca="false">SUMIFS(Doors!AC:AC,Doors!$A:$A,$D205,Doors!$B:$B,$B205,Doors!$C:$C,$C205)*SUMIFS(Velocity!$I:$I,Velocity!$A:$A,$A205,Velocity!$B:$B,$C205)/Assumptions!$B$4*Assumptions!$B$6</f>
        <v>0.316666666666667</v>
      </c>
      <c r="R205" s="7" t="n">
        <f aca="false">SUMIFS(Doors!AD:AD,Doors!$A:$A,$D205,Doors!$B:$B,$B205,Doors!$C:$C,$C205)*SUMIFS(Velocity!$I:$I,Velocity!$A:$A,$A205,Velocity!$B:$B,$C205)/Assumptions!$B$4*Assumptions!$B$6</f>
        <v>0.633333333333333</v>
      </c>
      <c r="S205" s="7" t="n">
        <f aca="false">SUMIFS(Doors!AE:AE,Doors!$A:$A,$D205,Doors!$B:$B,$B205,Doors!$C:$C,$C205)*SUMIFS(Velocity!$I:$I,Velocity!$A:$A,$A205,Velocity!$B:$B,$C205)/Assumptions!$B$4*Assumptions!$B$6</f>
        <v>0.633333333333333</v>
      </c>
      <c r="T205" s="7" t="n">
        <f aca="false">SUMIFS(Doors!AF:AF,Doors!$A:$A,$D205,Doors!$B:$B,$B205,Doors!$C:$C,$C205)*SUMIFS(Velocity!$I:$I,Velocity!$A:$A,$A205,Velocity!$B:$B,$C205)/Assumptions!$B$4*Assumptions!$B$6</f>
        <v>0.633333333333333</v>
      </c>
      <c r="U205" s="7" t="n">
        <f aca="false">SUMIFS(Doors!AG:AG,Doors!$A:$A,$D205,Doors!$B:$B,$B205,Doors!$C:$C,$C205)*SUMIFS(Velocity!$I:$I,Velocity!$A:$A,$A205,Velocity!$B:$B,$C205)/Assumptions!$B$4*Assumptions!$B$6</f>
        <v>0.633333333333333</v>
      </c>
      <c r="V205" s="7" t="n">
        <f aca="false">SUMIFS(Doors!AH:AH,Doors!$A:$A,$D205,Doors!$B:$B,$B205,Doors!$C:$C,$C205)*SUMIFS(Velocity!$I:$I,Velocity!$A:$A,$A205,Velocity!$B:$B,$C205)/Assumptions!$B$4*Assumptions!$B$6</f>
        <v>0.633333333333333</v>
      </c>
      <c r="W205" s="7" t="n">
        <f aca="false">SUMIFS(Doors!AI:AI,Doors!$A:$A,$D205,Doors!$B:$B,$B205,Doors!$C:$C,$C205)*SUMIFS(Velocity!$I:$I,Velocity!$A:$A,$A205,Velocity!$B:$B,$C205)/Assumptions!$B$4*Assumptions!$B$6</f>
        <v>1.26666666666667</v>
      </c>
      <c r="X205" s="7" t="n">
        <f aca="false">SUMIFS(Doors!AJ:AJ,Doors!$A:$A,$D205,Doors!$B:$B,$B205,Doors!$C:$C,$C205)*SUMIFS(Velocity!$I:$I,Velocity!$A:$A,$A205,Velocity!$B:$B,$C205)/Assumptions!$B$4*Assumptions!$B$6</f>
        <v>1.26666666666667</v>
      </c>
      <c r="Y205" s="7" t="n">
        <f aca="false">SUMIFS(Doors!AK:AK,Doors!$A:$A,$D205,Doors!$B:$B,$B205,Doors!$C:$C,$C205)*SUMIFS(Velocity!$I:$I,Velocity!$A:$A,$A205,Velocity!$B:$B,$C205)/Assumptions!$B$4*Assumptions!$B$6</f>
        <v>1.26666666666667</v>
      </c>
      <c r="Z205" s="7" t="n">
        <f aca="false">SUMIFS(Doors!AL:AL,Doors!$A:$A,$D205,Doors!$B:$B,$B205,Doors!$C:$C,$C205)*SUMIFS(Velocity!$I:$I,Velocity!$A:$A,$A205,Velocity!$B:$B,$C205)/Assumptions!$B$4*Assumptions!$B$6</f>
        <v>1.26666666666667</v>
      </c>
      <c r="AA205" s="7" t="n">
        <f aca="false">SUMIFS(Doors!AM:AM,Doors!$A:$A,$D205,Doors!$B:$B,$B205,Doors!$C:$C,$C205)*SUMIFS(Velocity!$I:$I,Velocity!$A:$A,$A205,Velocity!$B:$B,$C205)/Assumptions!$B$4*Assumptions!$B$6</f>
        <v>1.9</v>
      </c>
      <c r="AB205" s="7" t="n">
        <f aca="false">SUMIFS(Doors!AN:AN,Doors!$A:$A,$D205,Doors!$B:$B,$B205,Doors!$C:$C,$C205)*SUMIFS(Velocity!$I:$I,Velocity!$A:$A,$A205,Velocity!$B:$B,$C205)/Assumptions!$B$4*Assumptions!$B$6</f>
        <v>1.9</v>
      </c>
      <c r="AC205" s="7" t="n">
        <f aca="false">SUMIFS(Doors!AO:AO,Doors!$A:$A,$D205,Doors!$B:$B,$B205,Doors!$C:$C,$C205)*SUMIFS(Velocity!$I:$I,Velocity!$A:$A,$A205,Velocity!$B:$B,$C205)/Assumptions!$B$4*Assumptions!$B$6</f>
        <v>1.9</v>
      </c>
      <c r="AD205" s="7" t="n">
        <f aca="false">SUMIFS(Doors!AP:AP,Doors!$A:$A,$D205,Doors!$B:$B,$B205,Doors!$C:$C,$C205)*SUMIFS(Velocity!$I:$I,Velocity!$A:$A,$A205,Velocity!$B:$B,$C205)/Assumptions!$B$4*Assumptions!$B$6</f>
        <v>1.9</v>
      </c>
      <c r="AE205" s="7" t="n">
        <f aca="false">SUMIFS(Doors!AQ:AQ,Doors!$A:$A,$D205,Doors!$B:$B,$B205,Doors!$C:$C,$C205)*SUMIFS(Velocity!$I:$I,Velocity!$A:$A,$A205,Velocity!$B:$B,$C205)/Assumptions!$B$4*Assumptions!$B$6</f>
        <v>2.53333333333333</v>
      </c>
      <c r="AF205" s="7" t="n">
        <f aca="false">SUMIFS(Doors!AR:AR,Doors!$A:$A,$D205,Doors!$B:$B,$B205,Doors!$C:$C,$C205)*SUMIFS(Velocity!$I:$I,Velocity!$A:$A,$A205,Velocity!$B:$B,$C205)/Assumptions!$B$4*Assumptions!$B$6</f>
        <v>2.53333333333333</v>
      </c>
      <c r="AG205" s="7" t="n">
        <f aca="false">SUMIFS(Doors!AS:AS,Doors!$A:$A,$D205,Doors!$B:$B,$B205,Doors!$C:$C,$C205)*SUMIFS(Velocity!$I:$I,Velocity!$A:$A,$A205,Velocity!$B:$B,$C205)/Assumptions!$B$4*Assumptions!$B$6</f>
        <v>2.53333333333333</v>
      </c>
      <c r="AH205" s="7" t="n">
        <f aca="false">SUMIFS(Doors!AT:AT,Doors!$A:$A,$D205,Doors!$B:$B,$B205,Doors!$C:$C,$C205)*SUMIFS(Velocity!$I:$I,Velocity!$A:$A,$A205,Velocity!$B:$B,$C205)/Assumptions!$B$4*Assumptions!$B$6</f>
        <v>2.53333333333333</v>
      </c>
      <c r="AI205" s="7" t="n">
        <f aca="false">SUMIFS(Doors!AU:AU,Doors!$A:$A,$D205,Doors!$B:$B,$B205,Doors!$C:$C,$C205)*SUMIFS(Velocity!$I:$I,Velocity!$A:$A,$A205,Velocity!$B:$B,$C205)/Assumptions!$B$4*Assumptions!$B$6</f>
        <v>2.53333333333333</v>
      </c>
      <c r="AJ205" s="7" t="n">
        <f aca="false">SUMIFS(Doors!AV:AV,Doors!$A:$A,$D205,Doors!$B:$B,$B205,Doors!$C:$C,$C205)*SUMIFS(Velocity!$I:$I,Velocity!$A:$A,$A205,Velocity!$B:$B,$C205)/Assumptions!$B$4*Assumptions!$B$6</f>
        <v>3.16666666666667</v>
      </c>
      <c r="AK205" s="7" t="n">
        <f aca="false">SUMIFS(Doors!AW:AW,Doors!$A:$A,$D205,Doors!$B:$B,$B205,Doors!$C:$C,$C205)*SUMIFS(Velocity!$I:$I,Velocity!$A:$A,$A205,Velocity!$B:$B,$C205)/Assumptions!$B$4*Assumptions!$B$6</f>
        <v>3.16666666666667</v>
      </c>
      <c r="AL205" s="7" t="n">
        <f aca="false">SUMIFS(Doors!AX:AX,Doors!$A:$A,$D205,Doors!$B:$B,$B205,Doors!$C:$C,$C205)*SUMIFS(Velocity!$I:$I,Velocity!$A:$A,$A205,Velocity!$B:$B,$C205)/Assumptions!$B$4*Assumptions!$B$6</f>
        <v>3.16666666666667</v>
      </c>
      <c r="AM205" s="7" t="n">
        <f aca="false">SUMIFS(Doors!AY:AY,Doors!$A:$A,$D205,Doors!$B:$B,$B205,Doors!$C:$C,$C205)*SUMIFS(Velocity!$I:$I,Velocity!$A:$A,$A205,Velocity!$B:$B,$C205)/Assumptions!$B$4*Assumptions!$B$6</f>
        <v>3.16666666666667</v>
      </c>
      <c r="AN205" s="7" t="n">
        <f aca="false">SUMIFS(Doors!AZ:AZ,Doors!$A:$A,$D205,Doors!$B:$B,$B205,Doors!$C:$C,$C205)*SUMIFS(Velocity!$I:$I,Velocity!$A:$A,$A205,Velocity!$B:$B,$C205)/Assumptions!$B$4*Assumptions!$B$6</f>
        <v>3.8</v>
      </c>
      <c r="AO205" s="7" t="n">
        <f aca="false">SUMIFS(Doors!BA:BA,Doors!$A:$A,$D205,Doors!$B:$B,$B205,Doors!$C:$C,$C205)*SUMIFS(Velocity!$I:$I,Velocity!$A:$A,$A205,Velocity!$B:$B,$C205)/Assumptions!$B$4*Assumptions!$B$6</f>
        <v>3.8</v>
      </c>
      <c r="AP205" s="7" t="n">
        <f aca="false">SUMIFS(Doors!BB:BB,Doors!$A:$A,$D205,Doors!$B:$B,$B205,Doors!$C:$C,$C205)*SUMIFS(Velocity!$I:$I,Velocity!$A:$A,$A205,Velocity!$B:$B,$C205)/Assumptions!$B$4*Assumptions!$B$6</f>
        <v>3.8</v>
      </c>
      <c r="AQ205" s="7" t="n">
        <f aca="false">SUMIFS(Doors!BC:BC,Doors!$A:$A,$D205,Doors!$B:$B,$B205,Doors!$C:$C,$C205)*SUMIFS(Velocity!$I:$I,Velocity!$A:$A,$A205,Velocity!$B:$B,$C205)/Assumptions!$B$4*Assumptions!$B$6</f>
        <v>3.8</v>
      </c>
      <c r="AR205" s="7" t="n">
        <f aca="false">SUMIFS(Doors!BD:BD,Doors!$A:$A,$D205,Doors!$B:$B,$B205,Doors!$C:$C,$C205)*SUMIFS(Velocity!$I:$I,Velocity!$A:$A,$A205,Velocity!$B:$B,$C205)/Assumptions!$B$4*Assumptions!$B$6</f>
        <v>4.11666666666667</v>
      </c>
      <c r="AS205" s="7" t="n">
        <f aca="false">SUMIFS(Doors!BE:BE,Doors!$A:$A,$D205,Doors!$B:$B,$B205,Doors!$C:$C,$C205)*SUMIFS(Velocity!$I:$I,Velocity!$A:$A,$A205,Velocity!$B:$B,$C205)/Assumptions!$B$4*Assumptions!$B$6</f>
        <v>4.11666666666667</v>
      </c>
      <c r="AT205" s="7" t="n">
        <f aca="false">SUMIFS(Doors!BF:BF,Doors!$A:$A,$D205,Doors!$B:$B,$B205,Doors!$C:$C,$C205)*SUMIFS(Velocity!$I:$I,Velocity!$A:$A,$A205,Velocity!$B:$B,$C205)/Assumptions!$B$4*Assumptions!$B$6</f>
        <v>4.11666666666667</v>
      </c>
      <c r="AU205" s="7" t="n">
        <f aca="false">SUMIFS(Doors!BG:BG,Doors!$A:$A,$D205,Doors!$B:$B,$B205,Doors!$C:$C,$C205)*SUMIFS(Velocity!$I:$I,Velocity!$A:$A,$A205,Velocity!$B:$B,$C205)/Assumptions!$B$4*Assumptions!$B$6</f>
        <v>4.11666666666667</v>
      </c>
      <c r="AV205" s="7" t="n">
        <f aca="false">SUMIFS(Doors!BH:BH,Doors!$A:$A,$D205,Doors!$B:$B,$B205,Doors!$C:$C,$C205)*SUMIFS(Velocity!$I:$I,Velocity!$A:$A,$A205,Velocity!$B:$B,$C205)/Assumptions!$B$4*Assumptions!$B$6</f>
        <v>4.11666666666667</v>
      </c>
      <c r="AW205" s="7" t="n">
        <f aca="false">SUMIFS(Doors!BI:BI,Doors!$A:$A,$D205,Doors!$B:$B,$B205,Doors!$C:$C,$C205)*SUMIFS(Velocity!$I:$I,Velocity!$A:$A,$A205,Velocity!$B:$B,$C205)/Assumptions!$B$4*Assumptions!$B$6</f>
        <v>4.43333333333333</v>
      </c>
      <c r="AX205" s="7" t="n">
        <f aca="false">SUMIFS(Doors!BJ:BJ,Doors!$A:$A,$D205,Doors!$B:$B,$B205,Doors!$C:$C,$C205)*SUMIFS(Velocity!$I:$I,Velocity!$A:$A,$A205,Velocity!$B:$B,$C205)/Assumptions!$B$4*Assumptions!$B$6</f>
        <v>4.43333333333333</v>
      </c>
      <c r="AY205" s="7" t="n">
        <f aca="false">SUMIFS(Doors!BK:BK,Doors!$A:$A,$D205,Doors!$B:$B,$B205,Doors!$C:$C,$C205)*SUMIFS(Velocity!$I:$I,Velocity!$A:$A,$A205,Velocity!$B:$B,$C205)/Assumptions!$B$4*Assumptions!$B$6</f>
        <v>4.43333333333333</v>
      </c>
      <c r="AZ205" s="7" t="n">
        <f aca="false">SUMIFS(Doors!BL:BL,Doors!$A:$A,$D205,Doors!$B:$B,$B205,Doors!$C:$C,$C205)*SUMIFS(Velocity!$I:$I,Velocity!$A:$A,$A205,Velocity!$B:$B,$C205)/Assumptions!$B$4*Assumptions!$B$6</f>
        <v>4.43333333333333</v>
      </c>
      <c r="BA205" s="7" t="n">
        <f aca="false">SUMIFS(Doors!BM:BM,Doors!$A:$A,$D205,Doors!$B:$B,$B205,Doors!$C:$C,$C205)*SUMIFS(Velocity!$I:$I,Velocity!$A:$A,$A205,Velocity!$B:$B,$C205)/Assumptions!$B$4*Assumptions!$B$6</f>
        <v>4.75</v>
      </c>
      <c r="BB205" s="7" t="n">
        <f aca="false">SUMIFS(Doors!BN:BN,Doors!$A:$A,$D205,Doors!$B:$B,$B205,Doors!$C:$C,$C205)*SUMIFS(Velocity!$I:$I,Velocity!$A:$A,$A205,Velocity!$B:$B,$C205)/Assumptions!$B$4*Assumptions!$B$6</f>
        <v>4.75</v>
      </c>
      <c r="BC205" s="7" t="n">
        <f aca="false">SUMIFS(Doors!BO:BO,Doors!$A:$A,$D205,Doors!$B:$B,$B205,Doors!$C:$C,$C205)*SUMIFS(Velocity!$I:$I,Velocity!$A:$A,$A205,Velocity!$B:$B,$C205)/Assumptions!$B$4*Assumptions!$B$6</f>
        <v>4.75</v>
      </c>
      <c r="BD205" s="7" t="n">
        <f aca="false">SUMIFS(Doors!BP:BP,Doors!$A:$A,$D205,Doors!$B:$B,$B205,Doors!$C:$C,$C205)*SUMIFS(Velocity!$I:$I,Velocity!$A:$A,$A205,Velocity!$B:$B,$C205)/Assumptions!$B$4*Assumptions!$B$6</f>
        <v>4.75</v>
      </c>
    </row>
    <row r="206" customFormat="false" ht="15" hidden="false" customHeight="false" outlineLevel="0" collapsed="false">
      <c r="A206" s="0" t="s">
        <v>110</v>
      </c>
      <c r="B206" s="0" t="s">
        <v>128</v>
      </c>
      <c r="C206" s="0" t="s">
        <v>117</v>
      </c>
      <c r="D206" s="0" t="s">
        <v>235</v>
      </c>
      <c r="E206" s="7" t="n">
        <f aca="false">SUMIFS(Doors!Q:Q,Doors!$A:$A,$D206,Doors!$B:$B,$B206,Doors!$C:$C,$C206)*SUMIFS(Velocity!$I:$I,Velocity!$A:$A,$A206,Velocity!$B:$B,$C206)/Assumptions!$B$4*Assumptions!$B$6</f>
        <v>0</v>
      </c>
      <c r="F206" s="7" t="n">
        <f aca="false">SUMIFS(Doors!R:R,Doors!$A:$A,$D206,Doors!$B:$B,$B206,Doors!$C:$C,$C206)*SUMIFS(Velocity!$I:$I,Velocity!$A:$A,$A206,Velocity!$B:$B,$C206)/Assumptions!$B$4*Assumptions!$B$6</f>
        <v>0</v>
      </c>
      <c r="G206" s="7" t="n">
        <f aca="false">SUMIFS(Doors!S:S,Doors!$A:$A,$D206,Doors!$B:$B,$B206,Doors!$C:$C,$C206)*SUMIFS(Velocity!$I:$I,Velocity!$A:$A,$A206,Velocity!$B:$B,$C206)/Assumptions!$B$4*Assumptions!$B$6</f>
        <v>0</v>
      </c>
      <c r="H206" s="7" t="n">
        <f aca="false">SUMIFS(Doors!T:T,Doors!$A:$A,$D206,Doors!$B:$B,$B206,Doors!$C:$C,$C206)*SUMIFS(Velocity!$I:$I,Velocity!$A:$A,$A206,Velocity!$B:$B,$C206)/Assumptions!$B$4*Assumptions!$B$6</f>
        <v>0</v>
      </c>
      <c r="I206" s="7" t="n">
        <f aca="false">SUMIFS(Doors!U:U,Doors!$A:$A,$D206,Doors!$B:$B,$B206,Doors!$C:$C,$C206)*SUMIFS(Velocity!$I:$I,Velocity!$A:$A,$A206,Velocity!$B:$B,$C206)/Assumptions!$B$4*Assumptions!$B$6</f>
        <v>0</v>
      </c>
      <c r="J206" s="7" t="n">
        <f aca="false">SUMIFS(Doors!V:V,Doors!$A:$A,$D206,Doors!$B:$B,$B206,Doors!$C:$C,$C206)*SUMIFS(Velocity!$I:$I,Velocity!$A:$A,$A206,Velocity!$B:$B,$C206)/Assumptions!$B$4*Assumptions!$B$6</f>
        <v>0</v>
      </c>
      <c r="K206" s="7" t="n">
        <f aca="false">SUMIFS(Doors!W:W,Doors!$A:$A,$D206,Doors!$B:$B,$B206,Doors!$C:$C,$C206)*SUMIFS(Velocity!$I:$I,Velocity!$A:$A,$A206,Velocity!$B:$B,$C206)/Assumptions!$B$4*Assumptions!$B$6</f>
        <v>0</v>
      </c>
      <c r="L206" s="7" t="n">
        <f aca="false">SUMIFS(Doors!X:X,Doors!$A:$A,$D206,Doors!$B:$B,$B206,Doors!$C:$C,$C206)*SUMIFS(Velocity!$I:$I,Velocity!$A:$A,$A206,Velocity!$B:$B,$C206)/Assumptions!$B$4*Assumptions!$B$6</f>
        <v>0</v>
      </c>
      <c r="M206" s="7" t="n">
        <f aca="false">SUMIFS(Doors!Y:Y,Doors!$A:$A,$D206,Doors!$B:$B,$B206,Doors!$C:$C,$C206)*SUMIFS(Velocity!$I:$I,Velocity!$A:$A,$A206,Velocity!$B:$B,$C206)/Assumptions!$B$4*Assumptions!$B$6</f>
        <v>0</v>
      </c>
      <c r="N206" s="7" t="n">
        <f aca="false">SUMIFS(Doors!Z:Z,Doors!$A:$A,$D206,Doors!$B:$B,$B206,Doors!$C:$C,$C206)*SUMIFS(Velocity!$I:$I,Velocity!$A:$A,$A206,Velocity!$B:$B,$C206)/Assumptions!$B$4*Assumptions!$B$6</f>
        <v>0</v>
      </c>
      <c r="O206" s="7" t="n">
        <f aca="false">SUMIFS(Doors!AA:AA,Doors!$A:$A,$D206,Doors!$B:$B,$B206,Doors!$C:$C,$C206)*SUMIFS(Velocity!$I:$I,Velocity!$A:$A,$A206,Velocity!$B:$B,$C206)/Assumptions!$B$4*Assumptions!$B$6</f>
        <v>0</v>
      </c>
      <c r="P206" s="7" t="n">
        <f aca="false">SUMIFS(Doors!AB:AB,Doors!$A:$A,$D206,Doors!$B:$B,$B206,Doors!$C:$C,$C206)*SUMIFS(Velocity!$I:$I,Velocity!$A:$A,$A206,Velocity!$B:$B,$C206)/Assumptions!$B$4*Assumptions!$B$6</f>
        <v>0</v>
      </c>
      <c r="Q206" s="7" t="n">
        <f aca="false">SUMIFS(Doors!AC:AC,Doors!$A:$A,$D206,Doors!$B:$B,$B206,Doors!$C:$C,$C206)*SUMIFS(Velocity!$I:$I,Velocity!$A:$A,$A206,Velocity!$B:$B,$C206)/Assumptions!$B$4*Assumptions!$B$6</f>
        <v>0</v>
      </c>
      <c r="R206" s="7" t="n">
        <f aca="false">SUMIFS(Doors!AD:AD,Doors!$A:$A,$D206,Doors!$B:$B,$B206,Doors!$C:$C,$C206)*SUMIFS(Velocity!$I:$I,Velocity!$A:$A,$A206,Velocity!$B:$B,$C206)/Assumptions!$B$4*Assumptions!$B$6</f>
        <v>0</v>
      </c>
      <c r="S206" s="7" t="n">
        <f aca="false">SUMIFS(Doors!AE:AE,Doors!$A:$A,$D206,Doors!$B:$B,$B206,Doors!$C:$C,$C206)*SUMIFS(Velocity!$I:$I,Velocity!$A:$A,$A206,Velocity!$B:$B,$C206)/Assumptions!$B$4*Assumptions!$B$6</f>
        <v>0</v>
      </c>
      <c r="T206" s="7" t="n">
        <f aca="false">SUMIFS(Doors!AF:AF,Doors!$A:$A,$D206,Doors!$B:$B,$B206,Doors!$C:$C,$C206)*SUMIFS(Velocity!$I:$I,Velocity!$A:$A,$A206,Velocity!$B:$B,$C206)/Assumptions!$B$4*Assumptions!$B$6</f>
        <v>0</v>
      </c>
      <c r="U206" s="7" t="n">
        <f aca="false">SUMIFS(Doors!AG:AG,Doors!$A:$A,$D206,Doors!$B:$B,$B206,Doors!$C:$C,$C206)*SUMIFS(Velocity!$I:$I,Velocity!$A:$A,$A206,Velocity!$B:$B,$C206)/Assumptions!$B$4*Assumptions!$B$6</f>
        <v>0</v>
      </c>
      <c r="V206" s="7" t="n">
        <f aca="false">SUMIFS(Doors!AH:AH,Doors!$A:$A,$D206,Doors!$B:$B,$B206,Doors!$C:$C,$C206)*SUMIFS(Velocity!$I:$I,Velocity!$A:$A,$A206,Velocity!$B:$B,$C206)/Assumptions!$B$4*Assumptions!$B$6</f>
        <v>0</v>
      </c>
      <c r="W206" s="7" t="n">
        <f aca="false">SUMIFS(Doors!AI:AI,Doors!$A:$A,$D206,Doors!$B:$B,$B206,Doors!$C:$C,$C206)*SUMIFS(Velocity!$I:$I,Velocity!$A:$A,$A206,Velocity!$B:$B,$C206)/Assumptions!$B$4*Assumptions!$B$6</f>
        <v>1.37083333333333</v>
      </c>
      <c r="X206" s="7" t="n">
        <f aca="false">SUMIFS(Doors!AJ:AJ,Doors!$A:$A,$D206,Doors!$B:$B,$B206,Doors!$C:$C,$C206)*SUMIFS(Velocity!$I:$I,Velocity!$A:$A,$A206,Velocity!$B:$B,$C206)/Assumptions!$B$4*Assumptions!$B$6</f>
        <v>1.37083333333333</v>
      </c>
      <c r="Y206" s="7" t="n">
        <f aca="false">SUMIFS(Doors!AK:AK,Doors!$A:$A,$D206,Doors!$B:$B,$B206,Doors!$C:$C,$C206)*SUMIFS(Velocity!$I:$I,Velocity!$A:$A,$A206,Velocity!$B:$B,$C206)/Assumptions!$B$4*Assumptions!$B$6</f>
        <v>1.37083333333333</v>
      </c>
      <c r="Z206" s="7" t="n">
        <f aca="false">SUMIFS(Doors!AL:AL,Doors!$A:$A,$D206,Doors!$B:$B,$B206,Doors!$C:$C,$C206)*SUMIFS(Velocity!$I:$I,Velocity!$A:$A,$A206,Velocity!$B:$B,$C206)/Assumptions!$B$4*Assumptions!$B$6</f>
        <v>1.37083333333333</v>
      </c>
      <c r="AA206" s="7" t="n">
        <f aca="false">SUMIFS(Doors!AM:AM,Doors!$A:$A,$D206,Doors!$B:$B,$B206,Doors!$C:$C,$C206)*SUMIFS(Velocity!$I:$I,Velocity!$A:$A,$A206,Velocity!$B:$B,$C206)/Assumptions!$B$4*Assumptions!$B$6</f>
        <v>3.42708333333333</v>
      </c>
      <c r="AB206" s="7" t="n">
        <f aca="false">SUMIFS(Doors!AN:AN,Doors!$A:$A,$D206,Doors!$B:$B,$B206,Doors!$C:$C,$C206)*SUMIFS(Velocity!$I:$I,Velocity!$A:$A,$A206,Velocity!$B:$B,$C206)/Assumptions!$B$4*Assumptions!$B$6</f>
        <v>3.42708333333333</v>
      </c>
      <c r="AC206" s="7" t="n">
        <f aca="false">SUMIFS(Doors!AO:AO,Doors!$A:$A,$D206,Doors!$B:$B,$B206,Doors!$C:$C,$C206)*SUMIFS(Velocity!$I:$I,Velocity!$A:$A,$A206,Velocity!$B:$B,$C206)/Assumptions!$B$4*Assumptions!$B$6</f>
        <v>3.42708333333333</v>
      </c>
      <c r="AD206" s="7" t="n">
        <f aca="false">SUMIFS(Doors!AP:AP,Doors!$A:$A,$D206,Doors!$B:$B,$B206,Doors!$C:$C,$C206)*SUMIFS(Velocity!$I:$I,Velocity!$A:$A,$A206,Velocity!$B:$B,$C206)/Assumptions!$B$4*Assumptions!$B$6</f>
        <v>3.42708333333333</v>
      </c>
      <c r="AE206" s="7" t="n">
        <f aca="false">SUMIFS(Doors!AQ:AQ,Doors!$A:$A,$D206,Doors!$B:$B,$B206,Doors!$C:$C,$C206)*SUMIFS(Velocity!$I:$I,Velocity!$A:$A,$A206,Velocity!$B:$B,$C206)/Assumptions!$B$4*Assumptions!$B$6</f>
        <v>4.79791666666667</v>
      </c>
      <c r="AF206" s="7" t="n">
        <f aca="false">SUMIFS(Doors!AR:AR,Doors!$A:$A,$D206,Doors!$B:$B,$B206,Doors!$C:$C,$C206)*SUMIFS(Velocity!$I:$I,Velocity!$A:$A,$A206,Velocity!$B:$B,$C206)/Assumptions!$B$4*Assumptions!$B$6</f>
        <v>4.79791666666667</v>
      </c>
      <c r="AG206" s="7" t="n">
        <f aca="false">SUMIFS(Doors!AS:AS,Doors!$A:$A,$D206,Doors!$B:$B,$B206,Doors!$C:$C,$C206)*SUMIFS(Velocity!$I:$I,Velocity!$A:$A,$A206,Velocity!$B:$B,$C206)/Assumptions!$B$4*Assumptions!$B$6</f>
        <v>4.79791666666667</v>
      </c>
      <c r="AH206" s="7" t="n">
        <f aca="false">SUMIFS(Doors!AT:AT,Doors!$A:$A,$D206,Doors!$B:$B,$B206,Doors!$C:$C,$C206)*SUMIFS(Velocity!$I:$I,Velocity!$A:$A,$A206,Velocity!$B:$B,$C206)/Assumptions!$B$4*Assumptions!$B$6</f>
        <v>4.79791666666667</v>
      </c>
      <c r="AI206" s="7" t="n">
        <f aca="false">SUMIFS(Doors!AU:AU,Doors!$A:$A,$D206,Doors!$B:$B,$B206,Doors!$C:$C,$C206)*SUMIFS(Velocity!$I:$I,Velocity!$A:$A,$A206,Velocity!$B:$B,$C206)/Assumptions!$B$4*Assumptions!$B$6</f>
        <v>4.79791666666667</v>
      </c>
      <c r="AJ206" s="7" t="n">
        <f aca="false">SUMIFS(Doors!AV:AV,Doors!$A:$A,$D206,Doors!$B:$B,$B206,Doors!$C:$C,$C206)*SUMIFS(Velocity!$I:$I,Velocity!$A:$A,$A206,Velocity!$B:$B,$C206)/Assumptions!$B$4*Assumptions!$B$6</f>
        <v>6.85416666666667</v>
      </c>
      <c r="AK206" s="7" t="n">
        <f aca="false">SUMIFS(Doors!AW:AW,Doors!$A:$A,$D206,Doors!$B:$B,$B206,Doors!$C:$C,$C206)*SUMIFS(Velocity!$I:$I,Velocity!$A:$A,$A206,Velocity!$B:$B,$C206)/Assumptions!$B$4*Assumptions!$B$6</f>
        <v>6.85416666666667</v>
      </c>
      <c r="AL206" s="7" t="n">
        <f aca="false">SUMIFS(Doors!AX:AX,Doors!$A:$A,$D206,Doors!$B:$B,$B206,Doors!$C:$C,$C206)*SUMIFS(Velocity!$I:$I,Velocity!$A:$A,$A206,Velocity!$B:$B,$C206)/Assumptions!$B$4*Assumptions!$B$6</f>
        <v>6.85416666666667</v>
      </c>
      <c r="AM206" s="7" t="n">
        <f aca="false">SUMIFS(Doors!AY:AY,Doors!$A:$A,$D206,Doors!$B:$B,$B206,Doors!$C:$C,$C206)*SUMIFS(Velocity!$I:$I,Velocity!$A:$A,$A206,Velocity!$B:$B,$C206)/Assumptions!$B$4*Assumptions!$B$6</f>
        <v>6.85416666666667</v>
      </c>
      <c r="AN206" s="7" t="n">
        <f aca="false">SUMIFS(Doors!AZ:AZ,Doors!$A:$A,$D206,Doors!$B:$B,$B206,Doors!$C:$C,$C206)*SUMIFS(Velocity!$I:$I,Velocity!$A:$A,$A206,Velocity!$B:$B,$C206)/Assumptions!$B$4*Assumptions!$B$6</f>
        <v>8.225</v>
      </c>
      <c r="AO206" s="7" t="n">
        <f aca="false">SUMIFS(Doors!BA:BA,Doors!$A:$A,$D206,Doors!$B:$B,$B206,Doors!$C:$C,$C206)*SUMIFS(Velocity!$I:$I,Velocity!$A:$A,$A206,Velocity!$B:$B,$C206)/Assumptions!$B$4*Assumptions!$B$6</f>
        <v>8.225</v>
      </c>
      <c r="AP206" s="7" t="n">
        <f aca="false">SUMIFS(Doors!BB:BB,Doors!$A:$A,$D206,Doors!$B:$B,$B206,Doors!$C:$C,$C206)*SUMIFS(Velocity!$I:$I,Velocity!$A:$A,$A206,Velocity!$B:$B,$C206)/Assumptions!$B$4*Assumptions!$B$6</f>
        <v>8.225</v>
      </c>
      <c r="AQ206" s="7" t="n">
        <f aca="false">SUMIFS(Doors!BC:BC,Doors!$A:$A,$D206,Doors!$B:$B,$B206,Doors!$C:$C,$C206)*SUMIFS(Velocity!$I:$I,Velocity!$A:$A,$A206,Velocity!$B:$B,$C206)/Assumptions!$B$4*Assumptions!$B$6</f>
        <v>8.225</v>
      </c>
      <c r="AR206" s="7" t="n">
        <f aca="false">SUMIFS(Doors!BD:BD,Doors!$A:$A,$D206,Doors!$B:$B,$B206,Doors!$C:$C,$C206)*SUMIFS(Velocity!$I:$I,Velocity!$A:$A,$A206,Velocity!$B:$B,$C206)/Assumptions!$B$4*Assumptions!$B$6</f>
        <v>8.91041666666667</v>
      </c>
      <c r="AS206" s="7" t="n">
        <f aca="false">SUMIFS(Doors!BE:BE,Doors!$A:$A,$D206,Doors!$B:$B,$B206,Doors!$C:$C,$C206)*SUMIFS(Velocity!$I:$I,Velocity!$A:$A,$A206,Velocity!$B:$B,$C206)/Assumptions!$B$4*Assumptions!$B$6</f>
        <v>8.91041666666667</v>
      </c>
      <c r="AT206" s="7" t="n">
        <f aca="false">SUMIFS(Doors!BF:BF,Doors!$A:$A,$D206,Doors!$B:$B,$B206,Doors!$C:$C,$C206)*SUMIFS(Velocity!$I:$I,Velocity!$A:$A,$A206,Velocity!$B:$B,$C206)/Assumptions!$B$4*Assumptions!$B$6</f>
        <v>8.91041666666667</v>
      </c>
      <c r="AU206" s="7" t="n">
        <f aca="false">SUMIFS(Doors!BG:BG,Doors!$A:$A,$D206,Doors!$B:$B,$B206,Doors!$C:$C,$C206)*SUMIFS(Velocity!$I:$I,Velocity!$A:$A,$A206,Velocity!$B:$B,$C206)/Assumptions!$B$4*Assumptions!$B$6</f>
        <v>8.91041666666667</v>
      </c>
      <c r="AV206" s="7" t="n">
        <f aca="false">SUMIFS(Doors!BH:BH,Doors!$A:$A,$D206,Doors!$B:$B,$B206,Doors!$C:$C,$C206)*SUMIFS(Velocity!$I:$I,Velocity!$A:$A,$A206,Velocity!$B:$B,$C206)/Assumptions!$B$4*Assumptions!$B$6</f>
        <v>8.91041666666667</v>
      </c>
      <c r="AW206" s="7" t="n">
        <f aca="false">SUMIFS(Doors!BI:BI,Doors!$A:$A,$D206,Doors!$B:$B,$B206,Doors!$C:$C,$C206)*SUMIFS(Velocity!$I:$I,Velocity!$A:$A,$A206,Velocity!$B:$B,$C206)/Assumptions!$B$4*Assumptions!$B$6</f>
        <v>9.59583333333333</v>
      </c>
      <c r="AX206" s="7" t="n">
        <f aca="false">SUMIFS(Doors!BJ:BJ,Doors!$A:$A,$D206,Doors!$B:$B,$B206,Doors!$C:$C,$C206)*SUMIFS(Velocity!$I:$I,Velocity!$A:$A,$A206,Velocity!$B:$B,$C206)/Assumptions!$B$4*Assumptions!$B$6</f>
        <v>9.59583333333333</v>
      </c>
      <c r="AY206" s="7" t="n">
        <f aca="false">SUMIFS(Doors!BK:BK,Doors!$A:$A,$D206,Doors!$B:$B,$B206,Doors!$C:$C,$C206)*SUMIFS(Velocity!$I:$I,Velocity!$A:$A,$A206,Velocity!$B:$B,$C206)/Assumptions!$B$4*Assumptions!$B$6</f>
        <v>9.59583333333333</v>
      </c>
      <c r="AZ206" s="7" t="n">
        <f aca="false">SUMIFS(Doors!BL:BL,Doors!$A:$A,$D206,Doors!$B:$B,$B206,Doors!$C:$C,$C206)*SUMIFS(Velocity!$I:$I,Velocity!$A:$A,$A206,Velocity!$B:$B,$C206)/Assumptions!$B$4*Assumptions!$B$6</f>
        <v>9.59583333333333</v>
      </c>
      <c r="BA206" s="7" t="n">
        <f aca="false">SUMIFS(Doors!BM:BM,Doors!$A:$A,$D206,Doors!$B:$B,$B206,Doors!$C:$C,$C206)*SUMIFS(Velocity!$I:$I,Velocity!$A:$A,$A206,Velocity!$B:$B,$C206)/Assumptions!$B$4*Assumptions!$B$6</f>
        <v>10.28125</v>
      </c>
      <c r="BB206" s="7" t="n">
        <f aca="false">SUMIFS(Doors!BN:BN,Doors!$A:$A,$D206,Doors!$B:$B,$B206,Doors!$C:$C,$C206)*SUMIFS(Velocity!$I:$I,Velocity!$A:$A,$A206,Velocity!$B:$B,$C206)/Assumptions!$B$4*Assumptions!$B$6</f>
        <v>10.28125</v>
      </c>
      <c r="BC206" s="7" t="n">
        <f aca="false">SUMIFS(Doors!BO:BO,Doors!$A:$A,$D206,Doors!$B:$B,$B206,Doors!$C:$C,$C206)*SUMIFS(Velocity!$I:$I,Velocity!$A:$A,$A206,Velocity!$B:$B,$C206)/Assumptions!$B$4*Assumptions!$B$6</f>
        <v>10.28125</v>
      </c>
      <c r="BD206" s="7" t="n">
        <f aca="false">SUMIFS(Doors!BP:BP,Doors!$A:$A,$D206,Doors!$B:$B,$B206,Doors!$C:$C,$C206)*SUMIFS(Velocity!$I:$I,Velocity!$A:$A,$A206,Velocity!$B:$B,$C206)/Assumptions!$B$4*Assumptions!$B$6</f>
        <v>10.28125</v>
      </c>
    </row>
    <row r="207" customFormat="false" ht="15" hidden="false" customHeight="false" outlineLevel="0" collapsed="false">
      <c r="A207" s="0" t="s">
        <v>110</v>
      </c>
      <c r="B207" s="0" t="s">
        <v>128</v>
      </c>
      <c r="C207" s="0" t="s">
        <v>118</v>
      </c>
      <c r="D207" s="0" t="s">
        <v>235</v>
      </c>
      <c r="E207" s="7" t="n">
        <f aca="false">SUMIFS(Doors!Q:Q,Doors!$A:$A,$D207,Doors!$B:$B,$B207,Doors!$C:$C,$C207)*SUMIFS(Velocity!$I:$I,Velocity!$A:$A,$A207,Velocity!$B:$B,$C207)/Assumptions!$B$4*Assumptions!$B$6</f>
        <v>0</v>
      </c>
      <c r="F207" s="7" t="n">
        <f aca="false">SUMIFS(Doors!R:R,Doors!$A:$A,$D207,Doors!$B:$B,$B207,Doors!$C:$C,$C207)*SUMIFS(Velocity!$I:$I,Velocity!$A:$A,$A207,Velocity!$B:$B,$C207)/Assumptions!$B$4*Assumptions!$B$6</f>
        <v>0</v>
      </c>
      <c r="G207" s="7" t="n">
        <f aca="false">SUMIFS(Doors!S:S,Doors!$A:$A,$D207,Doors!$B:$B,$B207,Doors!$C:$C,$C207)*SUMIFS(Velocity!$I:$I,Velocity!$A:$A,$A207,Velocity!$B:$B,$C207)/Assumptions!$B$4*Assumptions!$B$6</f>
        <v>0</v>
      </c>
      <c r="H207" s="7" t="n">
        <f aca="false">SUMIFS(Doors!T:T,Doors!$A:$A,$D207,Doors!$B:$B,$B207,Doors!$C:$C,$C207)*SUMIFS(Velocity!$I:$I,Velocity!$A:$A,$A207,Velocity!$B:$B,$C207)/Assumptions!$B$4*Assumptions!$B$6</f>
        <v>0</v>
      </c>
      <c r="I207" s="7" t="n">
        <f aca="false">SUMIFS(Doors!U:U,Doors!$A:$A,$D207,Doors!$B:$B,$B207,Doors!$C:$C,$C207)*SUMIFS(Velocity!$I:$I,Velocity!$A:$A,$A207,Velocity!$B:$B,$C207)/Assumptions!$B$4*Assumptions!$B$6</f>
        <v>0</v>
      </c>
      <c r="J207" s="7" t="n">
        <f aca="false">SUMIFS(Doors!V:V,Doors!$A:$A,$D207,Doors!$B:$B,$B207,Doors!$C:$C,$C207)*SUMIFS(Velocity!$I:$I,Velocity!$A:$A,$A207,Velocity!$B:$B,$C207)/Assumptions!$B$4*Assumptions!$B$6</f>
        <v>0</v>
      </c>
      <c r="K207" s="7" t="n">
        <f aca="false">SUMIFS(Doors!W:W,Doors!$A:$A,$D207,Doors!$B:$B,$B207,Doors!$C:$C,$C207)*SUMIFS(Velocity!$I:$I,Velocity!$A:$A,$A207,Velocity!$B:$B,$C207)/Assumptions!$B$4*Assumptions!$B$6</f>
        <v>0</v>
      </c>
      <c r="L207" s="7" t="n">
        <f aca="false">SUMIFS(Doors!X:X,Doors!$A:$A,$D207,Doors!$B:$B,$B207,Doors!$C:$C,$C207)*SUMIFS(Velocity!$I:$I,Velocity!$A:$A,$A207,Velocity!$B:$B,$C207)/Assumptions!$B$4*Assumptions!$B$6</f>
        <v>0</v>
      </c>
      <c r="M207" s="7" t="n">
        <f aca="false">SUMIFS(Doors!Y:Y,Doors!$A:$A,$D207,Doors!$B:$B,$B207,Doors!$C:$C,$C207)*SUMIFS(Velocity!$I:$I,Velocity!$A:$A,$A207,Velocity!$B:$B,$C207)/Assumptions!$B$4*Assumptions!$B$6</f>
        <v>0</v>
      </c>
      <c r="N207" s="7" t="n">
        <f aca="false">SUMIFS(Doors!Z:Z,Doors!$A:$A,$D207,Doors!$B:$B,$B207,Doors!$C:$C,$C207)*SUMIFS(Velocity!$I:$I,Velocity!$A:$A,$A207,Velocity!$B:$B,$C207)/Assumptions!$B$4*Assumptions!$B$6</f>
        <v>0</v>
      </c>
      <c r="O207" s="7" t="n">
        <f aca="false">SUMIFS(Doors!AA:AA,Doors!$A:$A,$D207,Doors!$B:$B,$B207,Doors!$C:$C,$C207)*SUMIFS(Velocity!$I:$I,Velocity!$A:$A,$A207,Velocity!$B:$B,$C207)/Assumptions!$B$4*Assumptions!$B$6</f>
        <v>0</v>
      </c>
      <c r="P207" s="7" t="n">
        <f aca="false">SUMIFS(Doors!AB:AB,Doors!$A:$A,$D207,Doors!$B:$B,$B207,Doors!$C:$C,$C207)*SUMIFS(Velocity!$I:$I,Velocity!$A:$A,$A207,Velocity!$B:$B,$C207)/Assumptions!$B$4*Assumptions!$B$6</f>
        <v>0</v>
      </c>
      <c r="Q207" s="7" t="n">
        <f aca="false">SUMIFS(Doors!AC:AC,Doors!$A:$A,$D207,Doors!$B:$B,$B207,Doors!$C:$C,$C207)*SUMIFS(Velocity!$I:$I,Velocity!$A:$A,$A207,Velocity!$B:$B,$C207)/Assumptions!$B$4*Assumptions!$B$6</f>
        <v>0</v>
      </c>
      <c r="R207" s="7" t="n">
        <f aca="false">SUMIFS(Doors!AD:AD,Doors!$A:$A,$D207,Doors!$B:$B,$B207,Doors!$C:$C,$C207)*SUMIFS(Velocity!$I:$I,Velocity!$A:$A,$A207,Velocity!$B:$B,$C207)/Assumptions!$B$4*Assumptions!$B$6</f>
        <v>0</v>
      </c>
      <c r="S207" s="7" t="n">
        <f aca="false">SUMIFS(Doors!AE:AE,Doors!$A:$A,$D207,Doors!$B:$B,$B207,Doors!$C:$C,$C207)*SUMIFS(Velocity!$I:$I,Velocity!$A:$A,$A207,Velocity!$B:$B,$C207)/Assumptions!$B$4*Assumptions!$B$6</f>
        <v>0</v>
      </c>
      <c r="T207" s="7" t="n">
        <f aca="false">SUMIFS(Doors!AF:AF,Doors!$A:$A,$D207,Doors!$B:$B,$B207,Doors!$C:$C,$C207)*SUMIFS(Velocity!$I:$I,Velocity!$A:$A,$A207,Velocity!$B:$B,$C207)/Assumptions!$B$4*Assumptions!$B$6</f>
        <v>0</v>
      </c>
      <c r="U207" s="7" t="n">
        <f aca="false">SUMIFS(Doors!AG:AG,Doors!$A:$A,$D207,Doors!$B:$B,$B207,Doors!$C:$C,$C207)*SUMIFS(Velocity!$I:$I,Velocity!$A:$A,$A207,Velocity!$B:$B,$C207)/Assumptions!$B$4*Assumptions!$B$6</f>
        <v>0</v>
      </c>
      <c r="V207" s="7" t="n">
        <f aca="false">SUMIFS(Doors!AH:AH,Doors!$A:$A,$D207,Doors!$B:$B,$B207,Doors!$C:$C,$C207)*SUMIFS(Velocity!$I:$I,Velocity!$A:$A,$A207,Velocity!$B:$B,$C207)/Assumptions!$B$4*Assumptions!$B$6</f>
        <v>0</v>
      </c>
      <c r="W207" s="7" t="n">
        <f aca="false">SUMIFS(Doors!AI:AI,Doors!$A:$A,$D207,Doors!$B:$B,$B207,Doors!$C:$C,$C207)*SUMIFS(Velocity!$I:$I,Velocity!$A:$A,$A207,Velocity!$B:$B,$C207)/Assumptions!$B$4*Assumptions!$B$6</f>
        <v>0</v>
      </c>
      <c r="X207" s="7" t="n">
        <f aca="false">SUMIFS(Doors!AJ:AJ,Doors!$A:$A,$D207,Doors!$B:$B,$B207,Doors!$C:$C,$C207)*SUMIFS(Velocity!$I:$I,Velocity!$A:$A,$A207,Velocity!$B:$B,$C207)/Assumptions!$B$4*Assumptions!$B$6</f>
        <v>0</v>
      </c>
      <c r="Y207" s="7" t="n">
        <f aca="false">SUMIFS(Doors!AK:AK,Doors!$A:$A,$D207,Doors!$B:$B,$B207,Doors!$C:$C,$C207)*SUMIFS(Velocity!$I:$I,Velocity!$A:$A,$A207,Velocity!$B:$B,$C207)/Assumptions!$B$4*Assumptions!$B$6</f>
        <v>0</v>
      </c>
      <c r="Z207" s="7" t="n">
        <f aca="false">SUMIFS(Doors!AL:AL,Doors!$A:$A,$D207,Doors!$B:$B,$B207,Doors!$C:$C,$C207)*SUMIFS(Velocity!$I:$I,Velocity!$A:$A,$A207,Velocity!$B:$B,$C207)/Assumptions!$B$4*Assumptions!$B$6</f>
        <v>0</v>
      </c>
      <c r="AA207" s="7" t="n">
        <f aca="false">SUMIFS(Doors!AM:AM,Doors!$A:$A,$D207,Doors!$B:$B,$B207,Doors!$C:$C,$C207)*SUMIFS(Velocity!$I:$I,Velocity!$A:$A,$A207,Velocity!$B:$B,$C207)/Assumptions!$B$4*Assumptions!$B$6</f>
        <v>0</v>
      </c>
      <c r="AB207" s="7" t="n">
        <f aca="false">SUMIFS(Doors!AN:AN,Doors!$A:$A,$D207,Doors!$B:$B,$B207,Doors!$C:$C,$C207)*SUMIFS(Velocity!$I:$I,Velocity!$A:$A,$A207,Velocity!$B:$B,$C207)/Assumptions!$B$4*Assumptions!$B$6</f>
        <v>0</v>
      </c>
      <c r="AC207" s="7" t="n">
        <f aca="false">SUMIFS(Doors!AO:AO,Doors!$A:$A,$D207,Doors!$B:$B,$B207,Doors!$C:$C,$C207)*SUMIFS(Velocity!$I:$I,Velocity!$A:$A,$A207,Velocity!$B:$B,$C207)/Assumptions!$B$4*Assumptions!$B$6</f>
        <v>0</v>
      </c>
      <c r="AD207" s="7" t="n">
        <f aca="false">SUMIFS(Doors!AP:AP,Doors!$A:$A,$D207,Doors!$B:$B,$B207,Doors!$C:$C,$C207)*SUMIFS(Velocity!$I:$I,Velocity!$A:$A,$A207,Velocity!$B:$B,$C207)/Assumptions!$B$4*Assumptions!$B$6</f>
        <v>0</v>
      </c>
      <c r="AE207" s="7" t="n">
        <f aca="false">SUMIFS(Doors!AQ:AQ,Doors!$A:$A,$D207,Doors!$B:$B,$B207,Doors!$C:$C,$C207)*SUMIFS(Velocity!$I:$I,Velocity!$A:$A,$A207,Velocity!$B:$B,$C207)/Assumptions!$B$4*Assumptions!$B$6</f>
        <v>0</v>
      </c>
      <c r="AF207" s="7" t="n">
        <f aca="false">SUMIFS(Doors!AR:AR,Doors!$A:$A,$D207,Doors!$B:$B,$B207,Doors!$C:$C,$C207)*SUMIFS(Velocity!$I:$I,Velocity!$A:$A,$A207,Velocity!$B:$B,$C207)/Assumptions!$B$4*Assumptions!$B$6</f>
        <v>0</v>
      </c>
      <c r="AG207" s="7" t="n">
        <f aca="false">SUMIFS(Doors!AS:AS,Doors!$A:$A,$D207,Doors!$B:$B,$B207,Doors!$C:$C,$C207)*SUMIFS(Velocity!$I:$I,Velocity!$A:$A,$A207,Velocity!$B:$B,$C207)/Assumptions!$B$4*Assumptions!$B$6</f>
        <v>0</v>
      </c>
      <c r="AH207" s="7" t="n">
        <f aca="false">SUMIFS(Doors!AT:AT,Doors!$A:$A,$D207,Doors!$B:$B,$B207,Doors!$C:$C,$C207)*SUMIFS(Velocity!$I:$I,Velocity!$A:$A,$A207,Velocity!$B:$B,$C207)/Assumptions!$B$4*Assumptions!$B$6</f>
        <v>0</v>
      </c>
      <c r="AI207" s="7" t="n">
        <f aca="false">SUMIFS(Doors!AU:AU,Doors!$A:$A,$D207,Doors!$B:$B,$B207,Doors!$C:$C,$C207)*SUMIFS(Velocity!$I:$I,Velocity!$A:$A,$A207,Velocity!$B:$B,$C207)/Assumptions!$B$4*Assumptions!$B$6</f>
        <v>0</v>
      </c>
      <c r="AJ207" s="7" t="n">
        <f aca="false">SUMIFS(Doors!AV:AV,Doors!$A:$A,$D207,Doors!$B:$B,$B207,Doors!$C:$C,$C207)*SUMIFS(Velocity!$I:$I,Velocity!$A:$A,$A207,Velocity!$B:$B,$C207)/Assumptions!$B$4*Assumptions!$B$6</f>
        <v>0</v>
      </c>
      <c r="AK207" s="7" t="n">
        <f aca="false">SUMIFS(Doors!AW:AW,Doors!$A:$A,$D207,Doors!$B:$B,$B207,Doors!$C:$C,$C207)*SUMIFS(Velocity!$I:$I,Velocity!$A:$A,$A207,Velocity!$B:$B,$C207)/Assumptions!$B$4*Assumptions!$B$6</f>
        <v>0</v>
      </c>
      <c r="AL207" s="7" t="n">
        <f aca="false">SUMIFS(Doors!AX:AX,Doors!$A:$A,$D207,Doors!$B:$B,$B207,Doors!$C:$C,$C207)*SUMIFS(Velocity!$I:$I,Velocity!$A:$A,$A207,Velocity!$B:$B,$C207)/Assumptions!$B$4*Assumptions!$B$6</f>
        <v>0</v>
      </c>
      <c r="AM207" s="7" t="n">
        <f aca="false">SUMIFS(Doors!AY:AY,Doors!$A:$A,$D207,Doors!$B:$B,$B207,Doors!$C:$C,$C207)*SUMIFS(Velocity!$I:$I,Velocity!$A:$A,$A207,Velocity!$B:$B,$C207)/Assumptions!$B$4*Assumptions!$B$6</f>
        <v>0</v>
      </c>
      <c r="AN207" s="7" t="n">
        <f aca="false">SUMIFS(Doors!AZ:AZ,Doors!$A:$A,$D207,Doors!$B:$B,$B207,Doors!$C:$C,$C207)*SUMIFS(Velocity!$I:$I,Velocity!$A:$A,$A207,Velocity!$B:$B,$C207)/Assumptions!$B$4*Assumptions!$B$6</f>
        <v>0</v>
      </c>
      <c r="AO207" s="7" t="n">
        <f aca="false">SUMIFS(Doors!BA:BA,Doors!$A:$A,$D207,Doors!$B:$B,$B207,Doors!$C:$C,$C207)*SUMIFS(Velocity!$I:$I,Velocity!$A:$A,$A207,Velocity!$B:$B,$C207)/Assumptions!$B$4*Assumptions!$B$6</f>
        <v>0</v>
      </c>
      <c r="AP207" s="7" t="n">
        <f aca="false">SUMIFS(Doors!BB:BB,Doors!$A:$A,$D207,Doors!$B:$B,$B207,Doors!$C:$C,$C207)*SUMIFS(Velocity!$I:$I,Velocity!$A:$A,$A207,Velocity!$B:$B,$C207)/Assumptions!$B$4*Assumptions!$B$6</f>
        <v>0</v>
      </c>
      <c r="AQ207" s="7" t="n">
        <f aca="false">SUMIFS(Doors!BC:BC,Doors!$A:$A,$D207,Doors!$B:$B,$B207,Doors!$C:$C,$C207)*SUMIFS(Velocity!$I:$I,Velocity!$A:$A,$A207,Velocity!$B:$B,$C207)/Assumptions!$B$4*Assumptions!$B$6</f>
        <v>0</v>
      </c>
      <c r="AR207" s="7" t="n">
        <f aca="false">SUMIFS(Doors!BD:BD,Doors!$A:$A,$D207,Doors!$B:$B,$B207,Doors!$C:$C,$C207)*SUMIFS(Velocity!$I:$I,Velocity!$A:$A,$A207,Velocity!$B:$B,$C207)/Assumptions!$B$4*Assumptions!$B$6</f>
        <v>42.0833333333333</v>
      </c>
      <c r="AS207" s="7" t="n">
        <f aca="false">SUMIFS(Doors!BE:BE,Doors!$A:$A,$D207,Doors!$B:$B,$B207,Doors!$C:$C,$C207)*SUMIFS(Velocity!$I:$I,Velocity!$A:$A,$A207,Velocity!$B:$B,$C207)/Assumptions!$B$4*Assumptions!$B$6</f>
        <v>42.0833333333333</v>
      </c>
      <c r="AT207" s="7" t="n">
        <f aca="false">SUMIFS(Doors!BF:BF,Doors!$A:$A,$D207,Doors!$B:$B,$B207,Doors!$C:$C,$C207)*SUMIFS(Velocity!$I:$I,Velocity!$A:$A,$A207,Velocity!$B:$B,$C207)/Assumptions!$B$4*Assumptions!$B$6</f>
        <v>42.0833333333333</v>
      </c>
      <c r="AU207" s="7" t="n">
        <f aca="false">SUMIFS(Doors!BG:BG,Doors!$A:$A,$D207,Doors!$B:$B,$B207,Doors!$C:$C,$C207)*SUMIFS(Velocity!$I:$I,Velocity!$A:$A,$A207,Velocity!$B:$B,$C207)/Assumptions!$B$4*Assumptions!$B$6</f>
        <v>42.0833333333333</v>
      </c>
      <c r="AV207" s="7" t="n">
        <f aca="false">SUMIFS(Doors!BH:BH,Doors!$A:$A,$D207,Doors!$B:$B,$B207,Doors!$C:$C,$C207)*SUMIFS(Velocity!$I:$I,Velocity!$A:$A,$A207,Velocity!$B:$B,$C207)/Assumptions!$B$4*Assumptions!$B$6</f>
        <v>42.0833333333333</v>
      </c>
      <c r="AW207" s="7" t="n">
        <f aca="false">SUMIFS(Doors!BI:BI,Doors!$A:$A,$D207,Doors!$B:$B,$B207,Doors!$C:$C,$C207)*SUMIFS(Velocity!$I:$I,Velocity!$A:$A,$A207,Velocity!$B:$B,$C207)/Assumptions!$B$4*Assumptions!$B$6</f>
        <v>50.5</v>
      </c>
      <c r="AX207" s="7" t="n">
        <f aca="false">SUMIFS(Doors!BJ:BJ,Doors!$A:$A,$D207,Doors!$B:$B,$B207,Doors!$C:$C,$C207)*SUMIFS(Velocity!$I:$I,Velocity!$A:$A,$A207,Velocity!$B:$B,$C207)/Assumptions!$B$4*Assumptions!$B$6</f>
        <v>50.5</v>
      </c>
      <c r="AY207" s="7" t="n">
        <f aca="false">SUMIFS(Doors!BK:BK,Doors!$A:$A,$D207,Doors!$B:$B,$B207,Doors!$C:$C,$C207)*SUMIFS(Velocity!$I:$I,Velocity!$A:$A,$A207,Velocity!$B:$B,$C207)/Assumptions!$B$4*Assumptions!$B$6</f>
        <v>50.5</v>
      </c>
      <c r="AZ207" s="7" t="n">
        <f aca="false">SUMIFS(Doors!BL:BL,Doors!$A:$A,$D207,Doors!$B:$B,$B207,Doors!$C:$C,$C207)*SUMIFS(Velocity!$I:$I,Velocity!$A:$A,$A207,Velocity!$B:$B,$C207)/Assumptions!$B$4*Assumptions!$B$6</f>
        <v>50.5</v>
      </c>
      <c r="BA207" s="7" t="n">
        <f aca="false">SUMIFS(Doors!BM:BM,Doors!$A:$A,$D207,Doors!$B:$B,$B207,Doors!$C:$C,$C207)*SUMIFS(Velocity!$I:$I,Velocity!$A:$A,$A207,Velocity!$B:$B,$C207)/Assumptions!$B$4*Assumptions!$B$6</f>
        <v>58.9166666666667</v>
      </c>
      <c r="BB207" s="7" t="n">
        <f aca="false">SUMIFS(Doors!BN:BN,Doors!$A:$A,$D207,Doors!$B:$B,$B207,Doors!$C:$C,$C207)*SUMIFS(Velocity!$I:$I,Velocity!$A:$A,$A207,Velocity!$B:$B,$C207)/Assumptions!$B$4*Assumptions!$B$6</f>
        <v>58.9166666666667</v>
      </c>
      <c r="BC207" s="7" t="n">
        <f aca="false">SUMIFS(Doors!BO:BO,Doors!$A:$A,$D207,Doors!$B:$B,$B207,Doors!$C:$C,$C207)*SUMIFS(Velocity!$I:$I,Velocity!$A:$A,$A207,Velocity!$B:$B,$C207)/Assumptions!$B$4*Assumptions!$B$6</f>
        <v>58.9166666666667</v>
      </c>
      <c r="BD207" s="7" t="n">
        <f aca="false">SUMIFS(Doors!BP:BP,Doors!$A:$A,$D207,Doors!$B:$B,$B207,Doors!$C:$C,$C207)*SUMIFS(Velocity!$I:$I,Velocity!$A:$A,$A207,Velocity!$B:$B,$C207)/Assumptions!$B$4*Assumptions!$B$6</f>
        <v>58.9166666666667</v>
      </c>
    </row>
    <row r="208" customFormat="false" ht="15" hidden="false" customHeight="false" outlineLevel="0" collapsed="false">
      <c r="A208" s="0" t="s">
        <v>110</v>
      </c>
      <c r="B208" s="0" t="s">
        <v>128</v>
      </c>
      <c r="C208" s="0" t="s">
        <v>119</v>
      </c>
      <c r="D208" s="0" t="s">
        <v>235</v>
      </c>
      <c r="E208" s="7" t="n">
        <f aca="false">SUMIFS(Doors!Q:Q,Doors!$A:$A,$D208,Doors!$B:$B,$B208,Doors!$C:$C,$C208)*SUMIFS(Velocity!$I:$I,Velocity!$A:$A,$A208,Velocity!$B:$B,$C208)/Assumptions!$B$4*Assumptions!$B$6</f>
        <v>0.833333333333333</v>
      </c>
      <c r="F208" s="7" t="n">
        <f aca="false">SUMIFS(Doors!R:R,Doors!$A:$A,$D208,Doors!$B:$B,$B208,Doors!$C:$C,$C208)*SUMIFS(Velocity!$I:$I,Velocity!$A:$A,$A208,Velocity!$B:$B,$C208)/Assumptions!$B$4*Assumptions!$B$6</f>
        <v>0.833333333333333</v>
      </c>
      <c r="G208" s="7" t="n">
        <f aca="false">SUMIFS(Doors!S:S,Doors!$A:$A,$D208,Doors!$B:$B,$B208,Doors!$C:$C,$C208)*SUMIFS(Velocity!$I:$I,Velocity!$A:$A,$A208,Velocity!$B:$B,$C208)/Assumptions!$B$4*Assumptions!$B$6</f>
        <v>0.833333333333333</v>
      </c>
      <c r="H208" s="7" t="n">
        <f aca="false">SUMIFS(Doors!T:T,Doors!$A:$A,$D208,Doors!$B:$B,$B208,Doors!$C:$C,$C208)*SUMIFS(Velocity!$I:$I,Velocity!$A:$A,$A208,Velocity!$B:$B,$C208)/Assumptions!$B$4*Assumptions!$B$6</f>
        <v>0.833333333333333</v>
      </c>
      <c r="I208" s="7" t="n">
        <f aca="false">SUMIFS(Doors!U:U,Doors!$A:$A,$D208,Doors!$B:$B,$B208,Doors!$C:$C,$C208)*SUMIFS(Velocity!$I:$I,Velocity!$A:$A,$A208,Velocity!$B:$B,$C208)/Assumptions!$B$4*Assumptions!$B$6</f>
        <v>0.833333333333333</v>
      </c>
      <c r="J208" s="7" t="n">
        <f aca="false">SUMIFS(Doors!V:V,Doors!$A:$A,$D208,Doors!$B:$B,$B208,Doors!$C:$C,$C208)*SUMIFS(Velocity!$I:$I,Velocity!$A:$A,$A208,Velocity!$B:$B,$C208)/Assumptions!$B$4*Assumptions!$B$6</f>
        <v>1.33333333333333</v>
      </c>
      <c r="K208" s="7" t="n">
        <f aca="false">SUMIFS(Doors!W:W,Doors!$A:$A,$D208,Doors!$B:$B,$B208,Doors!$C:$C,$C208)*SUMIFS(Velocity!$I:$I,Velocity!$A:$A,$A208,Velocity!$B:$B,$C208)/Assumptions!$B$4*Assumptions!$B$6</f>
        <v>1.33333333333333</v>
      </c>
      <c r="L208" s="7" t="n">
        <f aca="false">SUMIFS(Doors!X:X,Doors!$A:$A,$D208,Doors!$B:$B,$B208,Doors!$C:$C,$C208)*SUMIFS(Velocity!$I:$I,Velocity!$A:$A,$A208,Velocity!$B:$B,$C208)/Assumptions!$B$4*Assumptions!$B$6</f>
        <v>1.33333333333333</v>
      </c>
      <c r="M208" s="7" t="n">
        <f aca="false">SUMIFS(Doors!Y:Y,Doors!$A:$A,$D208,Doors!$B:$B,$B208,Doors!$C:$C,$C208)*SUMIFS(Velocity!$I:$I,Velocity!$A:$A,$A208,Velocity!$B:$B,$C208)/Assumptions!$B$4*Assumptions!$B$6</f>
        <v>1.33333333333333</v>
      </c>
      <c r="N208" s="7" t="n">
        <f aca="false">SUMIFS(Doors!Z:Z,Doors!$A:$A,$D208,Doors!$B:$B,$B208,Doors!$C:$C,$C208)*SUMIFS(Velocity!$I:$I,Velocity!$A:$A,$A208,Velocity!$B:$B,$C208)/Assumptions!$B$4*Assumptions!$B$6</f>
        <v>2</v>
      </c>
      <c r="O208" s="7" t="n">
        <f aca="false">SUMIFS(Doors!AA:AA,Doors!$A:$A,$D208,Doors!$B:$B,$B208,Doors!$C:$C,$C208)*SUMIFS(Velocity!$I:$I,Velocity!$A:$A,$A208,Velocity!$B:$B,$C208)/Assumptions!$B$4*Assumptions!$B$6</f>
        <v>2</v>
      </c>
      <c r="P208" s="7" t="n">
        <f aca="false">SUMIFS(Doors!AB:AB,Doors!$A:$A,$D208,Doors!$B:$B,$B208,Doors!$C:$C,$C208)*SUMIFS(Velocity!$I:$I,Velocity!$A:$A,$A208,Velocity!$B:$B,$C208)/Assumptions!$B$4*Assumptions!$B$6</f>
        <v>2</v>
      </c>
      <c r="Q208" s="7" t="n">
        <f aca="false">SUMIFS(Doors!AC:AC,Doors!$A:$A,$D208,Doors!$B:$B,$B208,Doors!$C:$C,$C208)*SUMIFS(Velocity!$I:$I,Velocity!$A:$A,$A208,Velocity!$B:$B,$C208)/Assumptions!$B$4*Assumptions!$B$6</f>
        <v>2</v>
      </c>
      <c r="R208" s="7" t="n">
        <f aca="false">SUMIFS(Doors!AD:AD,Doors!$A:$A,$D208,Doors!$B:$B,$B208,Doors!$C:$C,$C208)*SUMIFS(Velocity!$I:$I,Velocity!$A:$A,$A208,Velocity!$B:$B,$C208)/Assumptions!$B$4*Assumptions!$B$6</f>
        <v>2.5</v>
      </c>
      <c r="S208" s="7" t="n">
        <f aca="false">SUMIFS(Doors!AE:AE,Doors!$A:$A,$D208,Doors!$B:$B,$B208,Doors!$C:$C,$C208)*SUMIFS(Velocity!$I:$I,Velocity!$A:$A,$A208,Velocity!$B:$B,$C208)/Assumptions!$B$4*Assumptions!$B$6</f>
        <v>2.5</v>
      </c>
      <c r="T208" s="7" t="n">
        <f aca="false">SUMIFS(Doors!AF:AF,Doors!$A:$A,$D208,Doors!$B:$B,$B208,Doors!$C:$C,$C208)*SUMIFS(Velocity!$I:$I,Velocity!$A:$A,$A208,Velocity!$B:$B,$C208)/Assumptions!$B$4*Assumptions!$B$6</f>
        <v>2.5</v>
      </c>
      <c r="U208" s="7" t="n">
        <f aca="false">SUMIFS(Doors!AG:AG,Doors!$A:$A,$D208,Doors!$B:$B,$B208,Doors!$C:$C,$C208)*SUMIFS(Velocity!$I:$I,Velocity!$A:$A,$A208,Velocity!$B:$B,$C208)/Assumptions!$B$4*Assumptions!$B$6</f>
        <v>2.5</v>
      </c>
      <c r="V208" s="7" t="n">
        <f aca="false">SUMIFS(Doors!AH:AH,Doors!$A:$A,$D208,Doors!$B:$B,$B208,Doors!$C:$C,$C208)*SUMIFS(Velocity!$I:$I,Velocity!$A:$A,$A208,Velocity!$B:$B,$C208)/Assumptions!$B$4*Assumptions!$B$6</f>
        <v>2.5</v>
      </c>
      <c r="W208" s="7" t="n">
        <f aca="false">SUMIFS(Doors!AI:AI,Doors!$A:$A,$D208,Doors!$B:$B,$B208,Doors!$C:$C,$C208)*SUMIFS(Velocity!$I:$I,Velocity!$A:$A,$A208,Velocity!$B:$B,$C208)/Assumptions!$B$4*Assumptions!$B$6</f>
        <v>3</v>
      </c>
      <c r="X208" s="7" t="n">
        <f aca="false">SUMIFS(Doors!AJ:AJ,Doors!$A:$A,$D208,Doors!$B:$B,$B208,Doors!$C:$C,$C208)*SUMIFS(Velocity!$I:$I,Velocity!$A:$A,$A208,Velocity!$B:$B,$C208)/Assumptions!$B$4*Assumptions!$B$6</f>
        <v>3</v>
      </c>
      <c r="Y208" s="7" t="n">
        <f aca="false">SUMIFS(Doors!AK:AK,Doors!$A:$A,$D208,Doors!$B:$B,$B208,Doors!$C:$C,$C208)*SUMIFS(Velocity!$I:$I,Velocity!$A:$A,$A208,Velocity!$B:$B,$C208)/Assumptions!$B$4*Assumptions!$B$6</f>
        <v>3</v>
      </c>
      <c r="Z208" s="7" t="n">
        <f aca="false">SUMIFS(Doors!AL:AL,Doors!$A:$A,$D208,Doors!$B:$B,$B208,Doors!$C:$C,$C208)*SUMIFS(Velocity!$I:$I,Velocity!$A:$A,$A208,Velocity!$B:$B,$C208)/Assumptions!$B$4*Assumptions!$B$6</f>
        <v>3</v>
      </c>
      <c r="AA208" s="7" t="n">
        <f aca="false">SUMIFS(Doors!AM:AM,Doors!$A:$A,$D208,Doors!$B:$B,$B208,Doors!$C:$C,$C208)*SUMIFS(Velocity!$I:$I,Velocity!$A:$A,$A208,Velocity!$B:$B,$C208)/Assumptions!$B$4*Assumptions!$B$6</f>
        <v>3.5</v>
      </c>
      <c r="AB208" s="7" t="n">
        <f aca="false">SUMIFS(Doors!AN:AN,Doors!$A:$A,$D208,Doors!$B:$B,$B208,Doors!$C:$C,$C208)*SUMIFS(Velocity!$I:$I,Velocity!$A:$A,$A208,Velocity!$B:$B,$C208)/Assumptions!$B$4*Assumptions!$B$6</f>
        <v>3.5</v>
      </c>
      <c r="AC208" s="7" t="n">
        <f aca="false">SUMIFS(Doors!AO:AO,Doors!$A:$A,$D208,Doors!$B:$B,$B208,Doors!$C:$C,$C208)*SUMIFS(Velocity!$I:$I,Velocity!$A:$A,$A208,Velocity!$B:$B,$C208)/Assumptions!$B$4*Assumptions!$B$6</f>
        <v>3.5</v>
      </c>
      <c r="AD208" s="7" t="n">
        <f aca="false">SUMIFS(Doors!AP:AP,Doors!$A:$A,$D208,Doors!$B:$B,$B208,Doors!$C:$C,$C208)*SUMIFS(Velocity!$I:$I,Velocity!$A:$A,$A208,Velocity!$B:$B,$C208)/Assumptions!$B$4*Assumptions!$B$6</f>
        <v>3.5</v>
      </c>
      <c r="AE208" s="7" t="n">
        <f aca="false">SUMIFS(Doors!AQ:AQ,Doors!$A:$A,$D208,Doors!$B:$B,$B208,Doors!$C:$C,$C208)*SUMIFS(Velocity!$I:$I,Velocity!$A:$A,$A208,Velocity!$B:$B,$C208)/Assumptions!$B$4*Assumptions!$B$6</f>
        <v>4</v>
      </c>
      <c r="AF208" s="7" t="n">
        <f aca="false">SUMIFS(Doors!AR:AR,Doors!$A:$A,$D208,Doors!$B:$B,$B208,Doors!$C:$C,$C208)*SUMIFS(Velocity!$I:$I,Velocity!$A:$A,$A208,Velocity!$B:$B,$C208)/Assumptions!$B$4*Assumptions!$B$6</f>
        <v>4</v>
      </c>
      <c r="AG208" s="7" t="n">
        <f aca="false">SUMIFS(Doors!AS:AS,Doors!$A:$A,$D208,Doors!$B:$B,$B208,Doors!$C:$C,$C208)*SUMIFS(Velocity!$I:$I,Velocity!$A:$A,$A208,Velocity!$B:$B,$C208)/Assumptions!$B$4*Assumptions!$B$6</f>
        <v>4</v>
      </c>
      <c r="AH208" s="7" t="n">
        <f aca="false">SUMIFS(Doors!AT:AT,Doors!$A:$A,$D208,Doors!$B:$B,$B208,Doors!$C:$C,$C208)*SUMIFS(Velocity!$I:$I,Velocity!$A:$A,$A208,Velocity!$B:$B,$C208)/Assumptions!$B$4*Assumptions!$B$6</f>
        <v>4</v>
      </c>
      <c r="AI208" s="7" t="n">
        <f aca="false">SUMIFS(Doors!AU:AU,Doors!$A:$A,$D208,Doors!$B:$B,$B208,Doors!$C:$C,$C208)*SUMIFS(Velocity!$I:$I,Velocity!$A:$A,$A208,Velocity!$B:$B,$C208)/Assumptions!$B$4*Assumptions!$B$6</f>
        <v>4</v>
      </c>
      <c r="AJ208" s="7" t="n">
        <f aca="false">SUMIFS(Doors!AV:AV,Doors!$A:$A,$D208,Doors!$B:$B,$B208,Doors!$C:$C,$C208)*SUMIFS(Velocity!$I:$I,Velocity!$A:$A,$A208,Velocity!$B:$B,$C208)/Assumptions!$B$4*Assumptions!$B$6</f>
        <v>4.33333333333333</v>
      </c>
      <c r="AK208" s="7" t="n">
        <f aca="false">SUMIFS(Doors!AW:AW,Doors!$A:$A,$D208,Doors!$B:$B,$B208,Doors!$C:$C,$C208)*SUMIFS(Velocity!$I:$I,Velocity!$A:$A,$A208,Velocity!$B:$B,$C208)/Assumptions!$B$4*Assumptions!$B$6</f>
        <v>4.33333333333333</v>
      </c>
      <c r="AL208" s="7" t="n">
        <f aca="false">SUMIFS(Doors!AX:AX,Doors!$A:$A,$D208,Doors!$B:$B,$B208,Doors!$C:$C,$C208)*SUMIFS(Velocity!$I:$I,Velocity!$A:$A,$A208,Velocity!$B:$B,$C208)/Assumptions!$B$4*Assumptions!$B$6</f>
        <v>4.33333333333333</v>
      </c>
      <c r="AM208" s="7" t="n">
        <f aca="false">SUMIFS(Doors!AY:AY,Doors!$A:$A,$D208,Doors!$B:$B,$B208,Doors!$C:$C,$C208)*SUMIFS(Velocity!$I:$I,Velocity!$A:$A,$A208,Velocity!$B:$B,$C208)/Assumptions!$B$4*Assumptions!$B$6</f>
        <v>4.33333333333333</v>
      </c>
      <c r="AN208" s="7" t="n">
        <f aca="false">SUMIFS(Doors!AZ:AZ,Doors!$A:$A,$D208,Doors!$B:$B,$B208,Doors!$C:$C,$C208)*SUMIFS(Velocity!$I:$I,Velocity!$A:$A,$A208,Velocity!$B:$B,$C208)/Assumptions!$B$4*Assumptions!$B$6</f>
        <v>4.66666666666667</v>
      </c>
      <c r="AO208" s="7" t="n">
        <f aca="false">SUMIFS(Doors!BA:BA,Doors!$A:$A,$D208,Doors!$B:$B,$B208,Doors!$C:$C,$C208)*SUMIFS(Velocity!$I:$I,Velocity!$A:$A,$A208,Velocity!$B:$B,$C208)/Assumptions!$B$4*Assumptions!$B$6</f>
        <v>4.66666666666667</v>
      </c>
      <c r="AP208" s="7" t="n">
        <f aca="false">SUMIFS(Doors!BB:BB,Doors!$A:$A,$D208,Doors!$B:$B,$B208,Doors!$C:$C,$C208)*SUMIFS(Velocity!$I:$I,Velocity!$A:$A,$A208,Velocity!$B:$B,$C208)/Assumptions!$B$4*Assumptions!$B$6</f>
        <v>4.66666666666667</v>
      </c>
      <c r="AQ208" s="7" t="n">
        <f aca="false">SUMIFS(Doors!BC:BC,Doors!$A:$A,$D208,Doors!$B:$B,$B208,Doors!$C:$C,$C208)*SUMIFS(Velocity!$I:$I,Velocity!$A:$A,$A208,Velocity!$B:$B,$C208)/Assumptions!$B$4*Assumptions!$B$6</f>
        <v>4.66666666666667</v>
      </c>
      <c r="AR208" s="7" t="n">
        <f aca="false">SUMIFS(Doors!BD:BD,Doors!$A:$A,$D208,Doors!$B:$B,$B208,Doors!$C:$C,$C208)*SUMIFS(Velocity!$I:$I,Velocity!$A:$A,$A208,Velocity!$B:$B,$C208)/Assumptions!$B$4*Assumptions!$B$6</f>
        <v>4.83333333333333</v>
      </c>
      <c r="AS208" s="7" t="n">
        <f aca="false">SUMIFS(Doors!BE:BE,Doors!$A:$A,$D208,Doors!$B:$B,$B208,Doors!$C:$C,$C208)*SUMIFS(Velocity!$I:$I,Velocity!$A:$A,$A208,Velocity!$B:$B,$C208)/Assumptions!$B$4*Assumptions!$B$6</f>
        <v>4.83333333333333</v>
      </c>
      <c r="AT208" s="7" t="n">
        <f aca="false">SUMIFS(Doors!BF:BF,Doors!$A:$A,$D208,Doors!$B:$B,$B208,Doors!$C:$C,$C208)*SUMIFS(Velocity!$I:$I,Velocity!$A:$A,$A208,Velocity!$B:$B,$C208)/Assumptions!$B$4*Assumptions!$B$6</f>
        <v>4.83333333333333</v>
      </c>
      <c r="AU208" s="7" t="n">
        <f aca="false">SUMIFS(Doors!BG:BG,Doors!$A:$A,$D208,Doors!$B:$B,$B208,Doors!$C:$C,$C208)*SUMIFS(Velocity!$I:$I,Velocity!$A:$A,$A208,Velocity!$B:$B,$C208)/Assumptions!$B$4*Assumptions!$B$6</f>
        <v>4.83333333333333</v>
      </c>
      <c r="AV208" s="7" t="n">
        <f aca="false">SUMIFS(Doors!BH:BH,Doors!$A:$A,$D208,Doors!$B:$B,$B208,Doors!$C:$C,$C208)*SUMIFS(Velocity!$I:$I,Velocity!$A:$A,$A208,Velocity!$B:$B,$C208)/Assumptions!$B$4*Assumptions!$B$6</f>
        <v>4.83333333333333</v>
      </c>
      <c r="AW208" s="7" t="n">
        <f aca="false">SUMIFS(Doors!BI:BI,Doors!$A:$A,$D208,Doors!$B:$B,$B208,Doors!$C:$C,$C208)*SUMIFS(Velocity!$I:$I,Velocity!$A:$A,$A208,Velocity!$B:$B,$C208)/Assumptions!$B$4*Assumptions!$B$6</f>
        <v>5</v>
      </c>
      <c r="AX208" s="7" t="n">
        <f aca="false">SUMIFS(Doors!BJ:BJ,Doors!$A:$A,$D208,Doors!$B:$B,$B208,Doors!$C:$C,$C208)*SUMIFS(Velocity!$I:$I,Velocity!$A:$A,$A208,Velocity!$B:$B,$C208)/Assumptions!$B$4*Assumptions!$B$6</f>
        <v>5</v>
      </c>
      <c r="AY208" s="7" t="n">
        <f aca="false">SUMIFS(Doors!BK:BK,Doors!$A:$A,$D208,Doors!$B:$B,$B208,Doors!$C:$C,$C208)*SUMIFS(Velocity!$I:$I,Velocity!$A:$A,$A208,Velocity!$B:$B,$C208)/Assumptions!$B$4*Assumptions!$B$6</f>
        <v>5</v>
      </c>
      <c r="AZ208" s="7" t="n">
        <f aca="false">SUMIFS(Doors!BL:BL,Doors!$A:$A,$D208,Doors!$B:$B,$B208,Doors!$C:$C,$C208)*SUMIFS(Velocity!$I:$I,Velocity!$A:$A,$A208,Velocity!$B:$B,$C208)/Assumptions!$B$4*Assumptions!$B$6</f>
        <v>5</v>
      </c>
      <c r="BA208" s="7" t="n">
        <f aca="false">SUMIFS(Doors!BM:BM,Doors!$A:$A,$D208,Doors!$B:$B,$B208,Doors!$C:$C,$C208)*SUMIFS(Velocity!$I:$I,Velocity!$A:$A,$A208,Velocity!$B:$B,$C208)/Assumptions!$B$4*Assumptions!$B$6</f>
        <v>5</v>
      </c>
      <c r="BB208" s="7" t="n">
        <f aca="false">SUMIFS(Doors!BN:BN,Doors!$A:$A,$D208,Doors!$B:$B,$B208,Doors!$C:$C,$C208)*SUMIFS(Velocity!$I:$I,Velocity!$A:$A,$A208,Velocity!$B:$B,$C208)/Assumptions!$B$4*Assumptions!$B$6</f>
        <v>5</v>
      </c>
      <c r="BC208" s="7" t="n">
        <f aca="false">SUMIFS(Doors!BO:BO,Doors!$A:$A,$D208,Doors!$B:$B,$B208,Doors!$C:$C,$C208)*SUMIFS(Velocity!$I:$I,Velocity!$A:$A,$A208,Velocity!$B:$B,$C208)/Assumptions!$B$4*Assumptions!$B$6</f>
        <v>5</v>
      </c>
      <c r="BD208" s="7" t="n">
        <f aca="false">SUMIFS(Doors!BP:BP,Doors!$A:$A,$D208,Doors!$B:$B,$B208,Doors!$C:$C,$C208)*SUMIFS(Velocity!$I:$I,Velocity!$A:$A,$A208,Velocity!$B:$B,$C208)/Assumptions!$B$4*Assumptions!$B$6</f>
        <v>5</v>
      </c>
    </row>
    <row r="209" customFormat="false" ht="15" hidden="false" customHeight="false" outlineLevel="0" collapsed="false">
      <c r="A209" s="0" t="s">
        <v>110</v>
      </c>
      <c r="B209" s="0" t="s">
        <v>128</v>
      </c>
      <c r="C209" s="0" t="s">
        <v>120</v>
      </c>
      <c r="D209" s="0" t="s">
        <v>235</v>
      </c>
      <c r="E209" s="7" t="n">
        <f aca="false">SUMIFS(Doors!Q:Q,Doors!$A:$A,$D209,Doors!$B:$B,$B209,Doors!$C:$C,$C209)*SUMIFS(Velocity!$I:$I,Velocity!$A:$A,$A209,Velocity!$B:$B,$C209)/Assumptions!$B$4*Assumptions!$B$6</f>
        <v>0.989583333333333</v>
      </c>
      <c r="F209" s="7" t="n">
        <f aca="false">SUMIFS(Doors!R:R,Doors!$A:$A,$D209,Doors!$B:$B,$B209,Doors!$C:$C,$C209)*SUMIFS(Velocity!$I:$I,Velocity!$A:$A,$A209,Velocity!$B:$B,$C209)/Assumptions!$B$4*Assumptions!$B$6</f>
        <v>0.989583333333333</v>
      </c>
      <c r="G209" s="7" t="n">
        <f aca="false">SUMIFS(Doors!S:S,Doors!$A:$A,$D209,Doors!$B:$B,$B209,Doors!$C:$C,$C209)*SUMIFS(Velocity!$I:$I,Velocity!$A:$A,$A209,Velocity!$B:$B,$C209)/Assumptions!$B$4*Assumptions!$B$6</f>
        <v>0.989583333333333</v>
      </c>
      <c r="H209" s="7" t="n">
        <f aca="false">SUMIFS(Doors!T:T,Doors!$A:$A,$D209,Doors!$B:$B,$B209,Doors!$C:$C,$C209)*SUMIFS(Velocity!$I:$I,Velocity!$A:$A,$A209,Velocity!$B:$B,$C209)/Assumptions!$B$4*Assumptions!$B$6</f>
        <v>0.989583333333333</v>
      </c>
      <c r="I209" s="7" t="n">
        <f aca="false">SUMIFS(Doors!U:U,Doors!$A:$A,$D209,Doors!$B:$B,$B209,Doors!$C:$C,$C209)*SUMIFS(Velocity!$I:$I,Velocity!$A:$A,$A209,Velocity!$B:$B,$C209)/Assumptions!$B$4*Assumptions!$B$6</f>
        <v>0.989583333333333</v>
      </c>
      <c r="J209" s="7" t="n">
        <f aca="false">SUMIFS(Doors!V:V,Doors!$A:$A,$D209,Doors!$B:$B,$B209,Doors!$C:$C,$C209)*SUMIFS(Velocity!$I:$I,Velocity!$A:$A,$A209,Velocity!$B:$B,$C209)/Assumptions!$B$4*Assumptions!$B$6</f>
        <v>1.58333333333333</v>
      </c>
      <c r="K209" s="7" t="n">
        <f aca="false">SUMIFS(Doors!W:W,Doors!$A:$A,$D209,Doors!$B:$B,$B209,Doors!$C:$C,$C209)*SUMIFS(Velocity!$I:$I,Velocity!$A:$A,$A209,Velocity!$B:$B,$C209)/Assumptions!$B$4*Assumptions!$B$6</f>
        <v>1.58333333333333</v>
      </c>
      <c r="L209" s="7" t="n">
        <f aca="false">SUMIFS(Doors!X:X,Doors!$A:$A,$D209,Doors!$B:$B,$B209,Doors!$C:$C,$C209)*SUMIFS(Velocity!$I:$I,Velocity!$A:$A,$A209,Velocity!$B:$B,$C209)/Assumptions!$B$4*Assumptions!$B$6</f>
        <v>1.58333333333333</v>
      </c>
      <c r="M209" s="7" t="n">
        <f aca="false">SUMIFS(Doors!Y:Y,Doors!$A:$A,$D209,Doors!$B:$B,$B209,Doors!$C:$C,$C209)*SUMIFS(Velocity!$I:$I,Velocity!$A:$A,$A209,Velocity!$B:$B,$C209)/Assumptions!$B$4*Assumptions!$B$6</f>
        <v>1.58333333333333</v>
      </c>
      <c r="N209" s="7" t="n">
        <f aca="false">SUMIFS(Doors!Z:Z,Doors!$A:$A,$D209,Doors!$B:$B,$B209,Doors!$C:$C,$C209)*SUMIFS(Velocity!$I:$I,Velocity!$A:$A,$A209,Velocity!$B:$B,$C209)/Assumptions!$B$4*Assumptions!$B$6</f>
        <v>2.375</v>
      </c>
      <c r="O209" s="7" t="n">
        <f aca="false">SUMIFS(Doors!AA:AA,Doors!$A:$A,$D209,Doors!$B:$B,$B209,Doors!$C:$C,$C209)*SUMIFS(Velocity!$I:$I,Velocity!$A:$A,$A209,Velocity!$B:$B,$C209)/Assumptions!$B$4*Assumptions!$B$6</f>
        <v>2.375</v>
      </c>
      <c r="P209" s="7" t="n">
        <f aca="false">SUMIFS(Doors!AB:AB,Doors!$A:$A,$D209,Doors!$B:$B,$B209,Doors!$C:$C,$C209)*SUMIFS(Velocity!$I:$I,Velocity!$A:$A,$A209,Velocity!$B:$B,$C209)/Assumptions!$B$4*Assumptions!$B$6</f>
        <v>2.375</v>
      </c>
      <c r="Q209" s="7" t="n">
        <f aca="false">SUMIFS(Doors!AC:AC,Doors!$A:$A,$D209,Doors!$B:$B,$B209,Doors!$C:$C,$C209)*SUMIFS(Velocity!$I:$I,Velocity!$A:$A,$A209,Velocity!$B:$B,$C209)/Assumptions!$B$4*Assumptions!$B$6</f>
        <v>2.375</v>
      </c>
      <c r="R209" s="7" t="n">
        <f aca="false">SUMIFS(Doors!AD:AD,Doors!$A:$A,$D209,Doors!$B:$B,$B209,Doors!$C:$C,$C209)*SUMIFS(Velocity!$I:$I,Velocity!$A:$A,$A209,Velocity!$B:$B,$C209)/Assumptions!$B$4*Assumptions!$B$6</f>
        <v>3.16666666666667</v>
      </c>
      <c r="S209" s="7" t="n">
        <f aca="false">SUMIFS(Doors!AE:AE,Doors!$A:$A,$D209,Doors!$B:$B,$B209,Doors!$C:$C,$C209)*SUMIFS(Velocity!$I:$I,Velocity!$A:$A,$A209,Velocity!$B:$B,$C209)/Assumptions!$B$4*Assumptions!$B$6</f>
        <v>3.16666666666667</v>
      </c>
      <c r="T209" s="7" t="n">
        <f aca="false">SUMIFS(Doors!AF:AF,Doors!$A:$A,$D209,Doors!$B:$B,$B209,Doors!$C:$C,$C209)*SUMIFS(Velocity!$I:$I,Velocity!$A:$A,$A209,Velocity!$B:$B,$C209)/Assumptions!$B$4*Assumptions!$B$6</f>
        <v>3.16666666666667</v>
      </c>
      <c r="U209" s="7" t="n">
        <f aca="false">SUMIFS(Doors!AG:AG,Doors!$A:$A,$D209,Doors!$B:$B,$B209,Doors!$C:$C,$C209)*SUMIFS(Velocity!$I:$I,Velocity!$A:$A,$A209,Velocity!$B:$B,$C209)/Assumptions!$B$4*Assumptions!$B$6</f>
        <v>3.16666666666667</v>
      </c>
      <c r="V209" s="7" t="n">
        <f aca="false">SUMIFS(Doors!AH:AH,Doors!$A:$A,$D209,Doors!$B:$B,$B209,Doors!$C:$C,$C209)*SUMIFS(Velocity!$I:$I,Velocity!$A:$A,$A209,Velocity!$B:$B,$C209)/Assumptions!$B$4*Assumptions!$B$6</f>
        <v>3.16666666666667</v>
      </c>
      <c r="W209" s="7" t="n">
        <f aca="false">SUMIFS(Doors!AI:AI,Doors!$A:$A,$D209,Doors!$B:$B,$B209,Doors!$C:$C,$C209)*SUMIFS(Velocity!$I:$I,Velocity!$A:$A,$A209,Velocity!$B:$B,$C209)/Assumptions!$B$4*Assumptions!$B$6</f>
        <v>3.95833333333333</v>
      </c>
      <c r="X209" s="7" t="n">
        <f aca="false">SUMIFS(Doors!AJ:AJ,Doors!$A:$A,$D209,Doors!$B:$B,$B209,Doors!$C:$C,$C209)*SUMIFS(Velocity!$I:$I,Velocity!$A:$A,$A209,Velocity!$B:$B,$C209)/Assumptions!$B$4*Assumptions!$B$6</f>
        <v>3.95833333333333</v>
      </c>
      <c r="Y209" s="7" t="n">
        <f aca="false">SUMIFS(Doors!AK:AK,Doors!$A:$A,$D209,Doors!$B:$B,$B209,Doors!$C:$C,$C209)*SUMIFS(Velocity!$I:$I,Velocity!$A:$A,$A209,Velocity!$B:$B,$C209)/Assumptions!$B$4*Assumptions!$B$6</f>
        <v>3.95833333333333</v>
      </c>
      <c r="Z209" s="7" t="n">
        <f aca="false">SUMIFS(Doors!AL:AL,Doors!$A:$A,$D209,Doors!$B:$B,$B209,Doors!$C:$C,$C209)*SUMIFS(Velocity!$I:$I,Velocity!$A:$A,$A209,Velocity!$B:$B,$C209)/Assumptions!$B$4*Assumptions!$B$6</f>
        <v>3.95833333333333</v>
      </c>
      <c r="AA209" s="7" t="n">
        <f aca="false">SUMIFS(Doors!AM:AM,Doors!$A:$A,$D209,Doors!$B:$B,$B209,Doors!$C:$C,$C209)*SUMIFS(Velocity!$I:$I,Velocity!$A:$A,$A209,Velocity!$B:$B,$C209)/Assumptions!$B$4*Assumptions!$B$6</f>
        <v>4.55208333333333</v>
      </c>
      <c r="AB209" s="7" t="n">
        <f aca="false">SUMIFS(Doors!AN:AN,Doors!$A:$A,$D209,Doors!$B:$B,$B209,Doors!$C:$C,$C209)*SUMIFS(Velocity!$I:$I,Velocity!$A:$A,$A209,Velocity!$B:$B,$C209)/Assumptions!$B$4*Assumptions!$B$6</f>
        <v>4.55208333333333</v>
      </c>
      <c r="AC209" s="7" t="n">
        <f aca="false">SUMIFS(Doors!AO:AO,Doors!$A:$A,$D209,Doors!$B:$B,$B209,Doors!$C:$C,$C209)*SUMIFS(Velocity!$I:$I,Velocity!$A:$A,$A209,Velocity!$B:$B,$C209)/Assumptions!$B$4*Assumptions!$B$6</f>
        <v>4.55208333333333</v>
      </c>
      <c r="AD209" s="7" t="n">
        <f aca="false">SUMIFS(Doors!AP:AP,Doors!$A:$A,$D209,Doors!$B:$B,$B209,Doors!$C:$C,$C209)*SUMIFS(Velocity!$I:$I,Velocity!$A:$A,$A209,Velocity!$B:$B,$C209)/Assumptions!$B$4*Assumptions!$B$6</f>
        <v>4.55208333333333</v>
      </c>
      <c r="AE209" s="7" t="n">
        <f aca="false">SUMIFS(Doors!AQ:AQ,Doors!$A:$A,$D209,Doors!$B:$B,$B209,Doors!$C:$C,$C209)*SUMIFS(Velocity!$I:$I,Velocity!$A:$A,$A209,Velocity!$B:$B,$C209)/Assumptions!$B$4*Assumptions!$B$6</f>
        <v>4.94791666666667</v>
      </c>
      <c r="AF209" s="7" t="n">
        <f aca="false">SUMIFS(Doors!AR:AR,Doors!$A:$A,$D209,Doors!$B:$B,$B209,Doors!$C:$C,$C209)*SUMIFS(Velocity!$I:$I,Velocity!$A:$A,$A209,Velocity!$B:$B,$C209)/Assumptions!$B$4*Assumptions!$B$6</f>
        <v>4.94791666666667</v>
      </c>
      <c r="AG209" s="7" t="n">
        <f aca="false">SUMIFS(Doors!AS:AS,Doors!$A:$A,$D209,Doors!$B:$B,$B209,Doors!$C:$C,$C209)*SUMIFS(Velocity!$I:$I,Velocity!$A:$A,$A209,Velocity!$B:$B,$C209)/Assumptions!$B$4*Assumptions!$B$6</f>
        <v>4.94791666666667</v>
      </c>
      <c r="AH209" s="7" t="n">
        <f aca="false">SUMIFS(Doors!AT:AT,Doors!$A:$A,$D209,Doors!$B:$B,$B209,Doors!$C:$C,$C209)*SUMIFS(Velocity!$I:$I,Velocity!$A:$A,$A209,Velocity!$B:$B,$C209)/Assumptions!$B$4*Assumptions!$B$6</f>
        <v>4.94791666666667</v>
      </c>
      <c r="AI209" s="7" t="n">
        <f aca="false">SUMIFS(Doors!AU:AU,Doors!$A:$A,$D209,Doors!$B:$B,$B209,Doors!$C:$C,$C209)*SUMIFS(Velocity!$I:$I,Velocity!$A:$A,$A209,Velocity!$B:$B,$C209)/Assumptions!$B$4*Assumptions!$B$6</f>
        <v>4.94791666666667</v>
      </c>
      <c r="AJ209" s="7" t="n">
        <f aca="false">SUMIFS(Doors!AV:AV,Doors!$A:$A,$D209,Doors!$B:$B,$B209,Doors!$C:$C,$C209)*SUMIFS(Velocity!$I:$I,Velocity!$A:$A,$A209,Velocity!$B:$B,$C209)/Assumptions!$B$4*Assumptions!$B$6</f>
        <v>5.34375</v>
      </c>
      <c r="AK209" s="7" t="n">
        <f aca="false">SUMIFS(Doors!AW:AW,Doors!$A:$A,$D209,Doors!$B:$B,$B209,Doors!$C:$C,$C209)*SUMIFS(Velocity!$I:$I,Velocity!$A:$A,$A209,Velocity!$B:$B,$C209)/Assumptions!$B$4*Assumptions!$B$6</f>
        <v>5.34375</v>
      </c>
      <c r="AL209" s="7" t="n">
        <f aca="false">SUMIFS(Doors!AX:AX,Doors!$A:$A,$D209,Doors!$B:$B,$B209,Doors!$C:$C,$C209)*SUMIFS(Velocity!$I:$I,Velocity!$A:$A,$A209,Velocity!$B:$B,$C209)/Assumptions!$B$4*Assumptions!$B$6</f>
        <v>5.34375</v>
      </c>
      <c r="AM209" s="7" t="n">
        <f aca="false">SUMIFS(Doors!AY:AY,Doors!$A:$A,$D209,Doors!$B:$B,$B209,Doors!$C:$C,$C209)*SUMIFS(Velocity!$I:$I,Velocity!$A:$A,$A209,Velocity!$B:$B,$C209)/Assumptions!$B$4*Assumptions!$B$6</f>
        <v>5.34375</v>
      </c>
      <c r="AN209" s="7" t="n">
        <f aca="false">SUMIFS(Doors!AZ:AZ,Doors!$A:$A,$D209,Doors!$B:$B,$B209,Doors!$C:$C,$C209)*SUMIFS(Velocity!$I:$I,Velocity!$A:$A,$A209,Velocity!$B:$B,$C209)/Assumptions!$B$4*Assumptions!$B$6</f>
        <v>5.54166666666667</v>
      </c>
      <c r="AO209" s="7" t="n">
        <f aca="false">SUMIFS(Doors!BA:BA,Doors!$A:$A,$D209,Doors!$B:$B,$B209,Doors!$C:$C,$C209)*SUMIFS(Velocity!$I:$I,Velocity!$A:$A,$A209,Velocity!$B:$B,$C209)/Assumptions!$B$4*Assumptions!$B$6</f>
        <v>5.54166666666667</v>
      </c>
      <c r="AP209" s="7" t="n">
        <f aca="false">SUMIFS(Doors!BB:BB,Doors!$A:$A,$D209,Doors!$B:$B,$B209,Doors!$C:$C,$C209)*SUMIFS(Velocity!$I:$I,Velocity!$A:$A,$A209,Velocity!$B:$B,$C209)/Assumptions!$B$4*Assumptions!$B$6</f>
        <v>5.54166666666667</v>
      </c>
      <c r="AQ209" s="7" t="n">
        <f aca="false">SUMIFS(Doors!BC:BC,Doors!$A:$A,$D209,Doors!$B:$B,$B209,Doors!$C:$C,$C209)*SUMIFS(Velocity!$I:$I,Velocity!$A:$A,$A209,Velocity!$B:$B,$C209)/Assumptions!$B$4*Assumptions!$B$6</f>
        <v>5.54166666666667</v>
      </c>
      <c r="AR209" s="7" t="n">
        <f aca="false">SUMIFS(Doors!BD:BD,Doors!$A:$A,$D209,Doors!$B:$B,$B209,Doors!$C:$C,$C209)*SUMIFS(Velocity!$I:$I,Velocity!$A:$A,$A209,Velocity!$B:$B,$C209)/Assumptions!$B$4*Assumptions!$B$6</f>
        <v>5.73958333333333</v>
      </c>
      <c r="AS209" s="7" t="n">
        <f aca="false">SUMIFS(Doors!BE:BE,Doors!$A:$A,$D209,Doors!$B:$B,$B209,Doors!$C:$C,$C209)*SUMIFS(Velocity!$I:$I,Velocity!$A:$A,$A209,Velocity!$B:$B,$C209)/Assumptions!$B$4*Assumptions!$B$6</f>
        <v>5.73958333333333</v>
      </c>
      <c r="AT209" s="7" t="n">
        <f aca="false">SUMIFS(Doors!BF:BF,Doors!$A:$A,$D209,Doors!$B:$B,$B209,Doors!$C:$C,$C209)*SUMIFS(Velocity!$I:$I,Velocity!$A:$A,$A209,Velocity!$B:$B,$C209)/Assumptions!$B$4*Assumptions!$B$6</f>
        <v>5.73958333333333</v>
      </c>
      <c r="AU209" s="7" t="n">
        <f aca="false">SUMIFS(Doors!BG:BG,Doors!$A:$A,$D209,Doors!$B:$B,$B209,Doors!$C:$C,$C209)*SUMIFS(Velocity!$I:$I,Velocity!$A:$A,$A209,Velocity!$B:$B,$C209)/Assumptions!$B$4*Assumptions!$B$6</f>
        <v>5.73958333333333</v>
      </c>
      <c r="AV209" s="7" t="n">
        <f aca="false">SUMIFS(Doors!BH:BH,Doors!$A:$A,$D209,Doors!$B:$B,$B209,Doors!$C:$C,$C209)*SUMIFS(Velocity!$I:$I,Velocity!$A:$A,$A209,Velocity!$B:$B,$C209)/Assumptions!$B$4*Assumptions!$B$6</f>
        <v>5.73958333333333</v>
      </c>
      <c r="AW209" s="7" t="n">
        <f aca="false">SUMIFS(Doors!BI:BI,Doors!$A:$A,$D209,Doors!$B:$B,$B209,Doors!$C:$C,$C209)*SUMIFS(Velocity!$I:$I,Velocity!$A:$A,$A209,Velocity!$B:$B,$C209)/Assumptions!$B$4*Assumptions!$B$6</f>
        <v>5.9375</v>
      </c>
      <c r="AX209" s="7" t="n">
        <f aca="false">SUMIFS(Doors!BJ:BJ,Doors!$A:$A,$D209,Doors!$B:$B,$B209,Doors!$C:$C,$C209)*SUMIFS(Velocity!$I:$I,Velocity!$A:$A,$A209,Velocity!$B:$B,$C209)/Assumptions!$B$4*Assumptions!$B$6</f>
        <v>5.9375</v>
      </c>
      <c r="AY209" s="7" t="n">
        <f aca="false">SUMIFS(Doors!BK:BK,Doors!$A:$A,$D209,Doors!$B:$B,$B209,Doors!$C:$C,$C209)*SUMIFS(Velocity!$I:$I,Velocity!$A:$A,$A209,Velocity!$B:$B,$C209)/Assumptions!$B$4*Assumptions!$B$6</f>
        <v>5.9375</v>
      </c>
      <c r="AZ209" s="7" t="n">
        <f aca="false">SUMIFS(Doors!BL:BL,Doors!$A:$A,$D209,Doors!$B:$B,$B209,Doors!$C:$C,$C209)*SUMIFS(Velocity!$I:$I,Velocity!$A:$A,$A209,Velocity!$B:$B,$C209)/Assumptions!$B$4*Assumptions!$B$6</f>
        <v>5.9375</v>
      </c>
      <c r="BA209" s="7" t="n">
        <f aca="false">SUMIFS(Doors!BM:BM,Doors!$A:$A,$D209,Doors!$B:$B,$B209,Doors!$C:$C,$C209)*SUMIFS(Velocity!$I:$I,Velocity!$A:$A,$A209,Velocity!$B:$B,$C209)/Assumptions!$B$4*Assumptions!$B$6</f>
        <v>5.9375</v>
      </c>
      <c r="BB209" s="7" t="n">
        <f aca="false">SUMIFS(Doors!BN:BN,Doors!$A:$A,$D209,Doors!$B:$B,$B209,Doors!$C:$C,$C209)*SUMIFS(Velocity!$I:$I,Velocity!$A:$A,$A209,Velocity!$B:$B,$C209)/Assumptions!$B$4*Assumptions!$B$6</f>
        <v>5.9375</v>
      </c>
      <c r="BC209" s="7" t="n">
        <f aca="false">SUMIFS(Doors!BO:BO,Doors!$A:$A,$D209,Doors!$B:$B,$B209,Doors!$C:$C,$C209)*SUMIFS(Velocity!$I:$I,Velocity!$A:$A,$A209,Velocity!$B:$B,$C209)/Assumptions!$B$4*Assumptions!$B$6</f>
        <v>5.9375</v>
      </c>
      <c r="BD209" s="7" t="n">
        <f aca="false">SUMIFS(Doors!BP:BP,Doors!$A:$A,$D209,Doors!$B:$B,$B209,Doors!$C:$C,$C209)*SUMIFS(Velocity!$I:$I,Velocity!$A:$A,$A209,Velocity!$B:$B,$C209)/Assumptions!$B$4*Assumptions!$B$6</f>
        <v>5.9375</v>
      </c>
    </row>
    <row r="210" customFormat="false" ht="15" hidden="false" customHeight="false" outlineLevel="0" collapsed="false">
      <c r="A210" s="0" t="s">
        <v>110</v>
      </c>
      <c r="B210" s="0" t="s">
        <v>128</v>
      </c>
      <c r="C210" s="0" t="s">
        <v>121</v>
      </c>
      <c r="D210" s="0" t="s">
        <v>235</v>
      </c>
      <c r="E210" s="7" t="n">
        <f aca="false">SUMIFS(Doors!Q:Q,Doors!$A:$A,$D210,Doors!$B:$B,$B210,Doors!$C:$C,$C210)*SUMIFS(Velocity!$I:$I,Velocity!$A:$A,$A210,Velocity!$B:$B,$C210)/Assumptions!$B$4*Assumptions!$B$6</f>
        <v>0.9125</v>
      </c>
      <c r="F210" s="7" t="n">
        <f aca="false">SUMIFS(Doors!R:R,Doors!$A:$A,$D210,Doors!$B:$B,$B210,Doors!$C:$C,$C210)*SUMIFS(Velocity!$I:$I,Velocity!$A:$A,$A210,Velocity!$B:$B,$C210)/Assumptions!$B$4*Assumptions!$B$6</f>
        <v>0.9125</v>
      </c>
      <c r="G210" s="7" t="n">
        <f aca="false">SUMIFS(Doors!S:S,Doors!$A:$A,$D210,Doors!$B:$B,$B210,Doors!$C:$C,$C210)*SUMIFS(Velocity!$I:$I,Velocity!$A:$A,$A210,Velocity!$B:$B,$C210)/Assumptions!$B$4*Assumptions!$B$6</f>
        <v>0.9125</v>
      </c>
      <c r="H210" s="7" t="n">
        <f aca="false">SUMIFS(Doors!T:T,Doors!$A:$A,$D210,Doors!$B:$B,$B210,Doors!$C:$C,$C210)*SUMIFS(Velocity!$I:$I,Velocity!$A:$A,$A210,Velocity!$B:$B,$C210)/Assumptions!$B$4*Assumptions!$B$6</f>
        <v>0.9125</v>
      </c>
      <c r="I210" s="7" t="n">
        <f aca="false">SUMIFS(Doors!U:U,Doors!$A:$A,$D210,Doors!$B:$B,$B210,Doors!$C:$C,$C210)*SUMIFS(Velocity!$I:$I,Velocity!$A:$A,$A210,Velocity!$B:$B,$C210)/Assumptions!$B$4*Assumptions!$B$6</f>
        <v>0.9125</v>
      </c>
      <c r="J210" s="7" t="n">
        <f aca="false">SUMIFS(Doors!V:V,Doors!$A:$A,$D210,Doors!$B:$B,$B210,Doors!$C:$C,$C210)*SUMIFS(Velocity!$I:$I,Velocity!$A:$A,$A210,Velocity!$B:$B,$C210)/Assumptions!$B$4*Assumptions!$B$6</f>
        <v>1.52083333333333</v>
      </c>
      <c r="K210" s="7" t="n">
        <f aca="false">SUMIFS(Doors!W:W,Doors!$A:$A,$D210,Doors!$B:$B,$B210,Doors!$C:$C,$C210)*SUMIFS(Velocity!$I:$I,Velocity!$A:$A,$A210,Velocity!$B:$B,$C210)/Assumptions!$B$4*Assumptions!$B$6</f>
        <v>1.52083333333333</v>
      </c>
      <c r="L210" s="7" t="n">
        <f aca="false">SUMIFS(Doors!X:X,Doors!$A:$A,$D210,Doors!$B:$B,$B210,Doors!$C:$C,$C210)*SUMIFS(Velocity!$I:$I,Velocity!$A:$A,$A210,Velocity!$B:$B,$C210)/Assumptions!$B$4*Assumptions!$B$6</f>
        <v>1.52083333333333</v>
      </c>
      <c r="M210" s="7" t="n">
        <f aca="false">SUMIFS(Doors!Y:Y,Doors!$A:$A,$D210,Doors!$B:$B,$B210,Doors!$C:$C,$C210)*SUMIFS(Velocity!$I:$I,Velocity!$A:$A,$A210,Velocity!$B:$B,$C210)/Assumptions!$B$4*Assumptions!$B$6</f>
        <v>1.52083333333333</v>
      </c>
      <c r="N210" s="7" t="n">
        <f aca="false">SUMIFS(Doors!Z:Z,Doors!$A:$A,$D210,Doors!$B:$B,$B210,Doors!$C:$C,$C210)*SUMIFS(Velocity!$I:$I,Velocity!$A:$A,$A210,Velocity!$B:$B,$C210)/Assumptions!$B$4*Assumptions!$B$6</f>
        <v>2.12916666666667</v>
      </c>
      <c r="O210" s="7" t="n">
        <f aca="false">SUMIFS(Doors!AA:AA,Doors!$A:$A,$D210,Doors!$B:$B,$B210,Doors!$C:$C,$C210)*SUMIFS(Velocity!$I:$I,Velocity!$A:$A,$A210,Velocity!$B:$B,$C210)/Assumptions!$B$4*Assumptions!$B$6</f>
        <v>2.12916666666667</v>
      </c>
      <c r="P210" s="7" t="n">
        <f aca="false">SUMIFS(Doors!AB:AB,Doors!$A:$A,$D210,Doors!$B:$B,$B210,Doors!$C:$C,$C210)*SUMIFS(Velocity!$I:$I,Velocity!$A:$A,$A210,Velocity!$B:$B,$C210)/Assumptions!$B$4*Assumptions!$B$6</f>
        <v>2.12916666666667</v>
      </c>
      <c r="Q210" s="7" t="n">
        <f aca="false">SUMIFS(Doors!AC:AC,Doors!$A:$A,$D210,Doors!$B:$B,$B210,Doors!$C:$C,$C210)*SUMIFS(Velocity!$I:$I,Velocity!$A:$A,$A210,Velocity!$B:$B,$C210)/Assumptions!$B$4*Assumptions!$B$6</f>
        <v>2.12916666666667</v>
      </c>
      <c r="R210" s="7" t="n">
        <f aca="false">SUMIFS(Doors!AD:AD,Doors!$A:$A,$D210,Doors!$B:$B,$B210,Doors!$C:$C,$C210)*SUMIFS(Velocity!$I:$I,Velocity!$A:$A,$A210,Velocity!$B:$B,$C210)/Assumptions!$B$4*Assumptions!$B$6</f>
        <v>2.7375</v>
      </c>
      <c r="S210" s="7" t="n">
        <f aca="false">SUMIFS(Doors!AE:AE,Doors!$A:$A,$D210,Doors!$B:$B,$B210,Doors!$C:$C,$C210)*SUMIFS(Velocity!$I:$I,Velocity!$A:$A,$A210,Velocity!$B:$B,$C210)/Assumptions!$B$4*Assumptions!$B$6</f>
        <v>2.7375</v>
      </c>
      <c r="T210" s="7" t="n">
        <f aca="false">SUMIFS(Doors!AF:AF,Doors!$A:$A,$D210,Doors!$B:$B,$B210,Doors!$C:$C,$C210)*SUMIFS(Velocity!$I:$I,Velocity!$A:$A,$A210,Velocity!$B:$B,$C210)/Assumptions!$B$4*Assumptions!$B$6</f>
        <v>2.7375</v>
      </c>
      <c r="U210" s="7" t="n">
        <f aca="false">SUMIFS(Doors!AG:AG,Doors!$A:$A,$D210,Doors!$B:$B,$B210,Doors!$C:$C,$C210)*SUMIFS(Velocity!$I:$I,Velocity!$A:$A,$A210,Velocity!$B:$B,$C210)/Assumptions!$B$4*Assumptions!$B$6</f>
        <v>2.7375</v>
      </c>
      <c r="V210" s="7" t="n">
        <f aca="false">SUMIFS(Doors!AH:AH,Doors!$A:$A,$D210,Doors!$B:$B,$B210,Doors!$C:$C,$C210)*SUMIFS(Velocity!$I:$I,Velocity!$A:$A,$A210,Velocity!$B:$B,$C210)/Assumptions!$B$4*Assumptions!$B$6</f>
        <v>2.7375</v>
      </c>
      <c r="W210" s="7" t="n">
        <f aca="false">SUMIFS(Doors!AI:AI,Doors!$A:$A,$D210,Doors!$B:$B,$B210,Doors!$C:$C,$C210)*SUMIFS(Velocity!$I:$I,Velocity!$A:$A,$A210,Velocity!$B:$B,$C210)/Assumptions!$B$4*Assumptions!$B$6</f>
        <v>3.34583333333333</v>
      </c>
      <c r="X210" s="7" t="n">
        <f aca="false">SUMIFS(Doors!AJ:AJ,Doors!$A:$A,$D210,Doors!$B:$B,$B210,Doors!$C:$C,$C210)*SUMIFS(Velocity!$I:$I,Velocity!$A:$A,$A210,Velocity!$B:$B,$C210)/Assumptions!$B$4*Assumptions!$B$6</f>
        <v>3.34583333333333</v>
      </c>
      <c r="Y210" s="7" t="n">
        <f aca="false">SUMIFS(Doors!AK:AK,Doors!$A:$A,$D210,Doors!$B:$B,$B210,Doors!$C:$C,$C210)*SUMIFS(Velocity!$I:$I,Velocity!$A:$A,$A210,Velocity!$B:$B,$C210)/Assumptions!$B$4*Assumptions!$B$6</f>
        <v>3.34583333333333</v>
      </c>
      <c r="Z210" s="7" t="n">
        <f aca="false">SUMIFS(Doors!AL:AL,Doors!$A:$A,$D210,Doors!$B:$B,$B210,Doors!$C:$C,$C210)*SUMIFS(Velocity!$I:$I,Velocity!$A:$A,$A210,Velocity!$B:$B,$C210)/Assumptions!$B$4*Assumptions!$B$6</f>
        <v>3.34583333333333</v>
      </c>
      <c r="AA210" s="7" t="n">
        <f aca="false">SUMIFS(Doors!AM:AM,Doors!$A:$A,$D210,Doors!$B:$B,$B210,Doors!$C:$C,$C210)*SUMIFS(Velocity!$I:$I,Velocity!$A:$A,$A210,Velocity!$B:$B,$C210)/Assumptions!$B$4*Assumptions!$B$6</f>
        <v>3.65</v>
      </c>
      <c r="AB210" s="7" t="n">
        <f aca="false">SUMIFS(Doors!AN:AN,Doors!$A:$A,$D210,Doors!$B:$B,$B210,Doors!$C:$C,$C210)*SUMIFS(Velocity!$I:$I,Velocity!$A:$A,$A210,Velocity!$B:$B,$C210)/Assumptions!$B$4*Assumptions!$B$6</f>
        <v>3.65</v>
      </c>
      <c r="AC210" s="7" t="n">
        <f aca="false">SUMIFS(Doors!AO:AO,Doors!$A:$A,$D210,Doors!$B:$B,$B210,Doors!$C:$C,$C210)*SUMIFS(Velocity!$I:$I,Velocity!$A:$A,$A210,Velocity!$B:$B,$C210)/Assumptions!$B$4*Assumptions!$B$6</f>
        <v>3.65</v>
      </c>
      <c r="AD210" s="7" t="n">
        <f aca="false">SUMIFS(Doors!AP:AP,Doors!$A:$A,$D210,Doors!$B:$B,$B210,Doors!$C:$C,$C210)*SUMIFS(Velocity!$I:$I,Velocity!$A:$A,$A210,Velocity!$B:$B,$C210)/Assumptions!$B$4*Assumptions!$B$6</f>
        <v>3.65</v>
      </c>
      <c r="AE210" s="7" t="n">
        <f aca="false">SUMIFS(Doors!AQ:AQ,Doors!$A:$A,$D210,Doors!$B:$B,$B210,Doors!$C:$C,$C210)*SUMIFS(Velocity!$I:$I,Velocity!$A:$A,$A210,Velocity!$B:$B,$C210)/Assumptions!$B$4*Assumptions!$B$6</f>
        <v>3.95416666666667</v>
      </c>
      <c r="AF210" s="7" t="n">
        <f aca="false">SUMIFS(Doors!AR:AR,Doors!$A:$A,$D210,Doors!$B:$B,$B210,Doors!$C:$C,$C210)*SUMIFS(Velocity!$I:$I,Velocity!$A:$A,$A210,Velocity!$B:$B,$C210)/Assumptions!$B$4*Assumptions!$B$6</f>
        <v>3.95416666666667</v>
      </c>
      <c r="AG210" s="7" t="n">
        <f aca="false">SUMIFS(Doors!AS:AS,Doors!$A:$A,$D210,Doors!$B:$B,$B210,Doors!$C:$C,$C210)*SUMIFS(Velocity!$I:$I,Velocity!$A:$A,$A210,Velocity!$B:$B,$C210)/Assumptions!$B$4*Assumptions!$B$6</f>
        <v>3.95416666666667</v>
      </c>
      <c r="AH210" s="7" t="n">
        <f aca="false">SUMIFS(Doors!AT:AT,Doors!$A:$A,$D210,Doors!$B:$B,$B210,Doors!$C:$C,$C210)*SUMIFS(Velocity!$I:$I,Velocity!$A:$A,$A210,Velocity!$B:$B,$C210)/Assumptions!$B$4*Assumptions!$B$6</f>
        <v>3.95416666666667</v>
      </c>
      <c r="AI210" s="7" t="n">
        <f aca="false">SUMIFS(Doors!AU:AU,Doors!$A:$A,$D210,Doors!$B:$B,$B210,Doors!$C:$C,$C210)*SUMIFS(Velocity!$I:$I,Velocity!$A:$A,$A210,Velocity!$B:$B,$C210)/Assumptions!$B$4*Assumptions!$B$6</f>
        <v>3.95416666666667</v>
      </c>
      <c r="AJ210" s="7" t="n">
        <f aca="false">SUMIFS(Doors!AV:AV,Doors!$A:$A,$D210,Doors!$B:$B,$B210,Doors!$C:$C,$C210)*SUMIFS(Velocity!$I:$I,Velocity!$A:$A,$A210,Velocity!$B:$B,$C210)/Assumptions!$B$4*Assumptions!$B$6</f>
        <v>4.25833333333333</v>
      </c>
      <c r="AK210" s="7" t="n">
        <f aca="false">SUMIFS(Doors!AW:AW,Doors!$A:$A,$D210,Doors!$B:$B,$B210,Doors!$C:$C,$C210)*SUMIFS(Velocity!$I:$I,Velocity!$A:$A,$A210,Velocity!$B:$B,$C210)/Assumptions!$B$4*Assumptions!$B$6</f>
        <v>4.25833333333333</v>
      </c>
      <c r="AL210" s="7" t="n">
        <f aca="false">SUMIFS(Doors!AX:AX,Doors!$A:$A,$D210,Doors!$B:$B,$B210,Doors!$C:$C,$C210)*SUMIFS(Velocity!$I:$I,Velocity!$A:$A,$A210,Velocity!$B:$B,$C210)/Assumptions!$B$4*Assumptions!$B$6</f>
        <v>4.25833333333333</v>
      </c>
      <c r="AM210" s="7" t="n">
        <f aca="false">SUMIFS(Doors!AY:AY,Doors!$A:$A,$D210,Doors!$B:$B,$B210,Doors!$C:$C,$C210)*SUMIFS(Velocity!$I:$I,Velocity!$A:$A,$A210,Velocity!$B:$B,$C210)/Assumptions!$B$4*Assumptions!$B$6</f>
        <v>4.25833333333333</v>
      </c>
      <c r="AN210" s="7" t="n">
        <f aca="false">SUMIFS(Doors!AZ:AZ,Doors!$A:$A,$D210,Doors!$B:$B,$B210,Doors!$C:$C,$C210)*SUMIFS(Velocity!$I:$I,Velocity!$A:$A,$A210,Velocity!$B:$B,$C210)/Assumptions!$B$4*Assumptions!$B$6</f>
        <v>4.25833333333333</v>
      </c>
      <c r="AO210" s="7" t="n">
        <f aca="false">SUMIFS(Doors!BA:BA,Doors!$A:$A,$D210,Doors!$B:$B,$B210,Doors!$C:$C,$C210)*SUMIFS(Velocity!$I:$I,Velocity!$A:$A,$A210,Velocity!$B:$B,$C210)/Assumptions!$B$4*Assumptions!$B$6</f>
        <v>4.25833333333333</v>
      </c>
      <c r="AP210" s="7" t="n">
        <f aca="false">SUMIFS(Doors!BB:BB,Doors!$A:$A,$D210,Doors!$B:$B,$B210,Doors!$C:$C,$C210)*SUMIFS(Velocity!$I:$I,Velocity!$A:$A,$A210,Velocity!$B:$B,$C210)/Assumptions!$B$4*Assumptions!$B$6</f>
        <v>4.25833333333333</v>
      </c>
      <c r="AQ210" s="7" t="n">
        <f aca="false">SUMIFS(Doors!BC:BC,Doors!$A:$A,$D210,Doors!$B:$B,$B210,Doors!$C:$C,$C210)*SUMIFS(Velocity!$I:$I,Velocity!$A:$A,$A210,Velocity!$B:$B,$C210)/Assumptions!$B$4*Assumptions!$B$6</f>
        <v>4.25833333333333</v>
      </c>
      <c r="AR210" s="7" t="n">
        <f aca="false">SUMIFS(Doors!BD:BD,Doors!$A:$A,$D210,Doors!$B:$B,$B210,Doors!$C:$C,$C210)*SUMIFS(Velocity!$I:$I,Velocity!$A:$A,$A210,Velocity!$B:$B,$C210)/Assumptions!$B$4*Assumptions!$B$6</f>
        <v>4.5625</v>
      </c>
      <c r="AS210" s="7" t="n">
        <f aca="false">SUMIFS(Doors!BE:BE,Doors!$A:$A,$D210,Doors!$B:$B,$B210,Doors!$C:$C,$C210)*SUMIFS(Velocity!$I:$I,Velocity!$A:$A,$A210,Velocity!$B:$B,$C210)/Assumptions!$B$4*Assumptions!$B$6</f>
        <v>4.5625</v>
      </c>
      <c r="AT210" s="7" t="n">
        <f aca="false">SUMIFS(Doors!BF:BF,Doors!$A:$A,$D210,Doors!$B:$B,$B210,Doors!$C:$C,$C210)*SUMIFS(Velocity!$I:$I,Velocity!$A:$A,$A210,Velocity!$B:$B,$C210)/Assumptions!$B$4*Assumptions!$B$6</f>
        <v>4.5625</v>
      </c>
      <c r="AU210" s="7" t="n">
        <f aca="false">SUMIFS(Doors!BG:BG,Doors!$A:$A,$D210,Doors!$B:$B,$B210,Doors!$C:$C,$C210)*SUMIFS(Velocity!$I:$I,Velocity!$A:$A,$A210,Velocity!$B:$B,$C210)/Assumptions!$B$4*Assumptions!$B$6</f>
        <v>4.5625</v>
      </c>
      <c r="AV210" s="7" t="n">
        <f aca="false">SUMIFS(Doors!BH:BH,Doors!$A:$A,$D210,Doors!$B:$B,$B210,Doors!$C:$C,$C210)*SUMIFS(Velocity!$I:$I,Velocity!$A:$A,$A210,Velocity!$B:$B,$C210)/Assumptions!$B$4*Assumptions!$B$6</f>
        <v>4.5625</v>
      </c>
      <c r="AW210" s="7" t="n">
        <f aca="false">SUMIFS(Doors!BI:BI,Doors!$A:$A,$D210,Doors!$B:$B,$B210,Doors!$C:$C,$C210)*SUMIFS(Velocity!$I:$I,Velocity!$A:$A,$A210,Velocity!$B:$B,$C210)/Assumptions!$B$4*Assumptions!$B$6</f>
        <v>4.5625</v>
      </c>
      <c r="AX210" s="7" t="n">
        <f aca="false">SUMIFS(Doors!BJ:BJ,Doors!$A:$A,$D210,Doors!$B:$B,$B210,Doors!$C:$C,$C210)*SUMIFS(Velocity!$I:$I,Velocity!$A:$A,$A210,Velocity!$B:$B,$C210)/Assumptions!$B$4*Assumptions!$B$6</f>
        <v>4.5625</v>
      </c>
      <c r="AY210" s="7" t="n">
        <f aca="false">SUMIFS(Doors!BK:BK,Doors!$A:$A,$D210,Doors!$B:$B,$B210,Doors!$C:$C,$C210)*SUMIFS(Velocity!$I:$I,Velocity!$A:$A,$A210,Velocity!$B:$B,$C210)/Assumptions!$B$4*Assumptions!$B$6</f>
        <v>4.5625</v>
      </c>
      <c r="AZ210" s="7" t="n">
        <f aca="false">SUMIFS(Doors!BL:BL,Doors!$A:$A,$D210,Doors!$B:$B,$B210,Doors!$C:$C,$C210)*SUMIFS(Velocity!$I:$I,Velocity!$A:$A,$A210,Velocity!$B:$B,$C210)/Assumptions!$B$4*Assumptions!$B$6</f>
        <v>4.5625</v>
      </c>
      <c r="BA210" s="7" t="n">
        <f aca="false">SUMIFS(Doors!BM:BM,Doors!$A:$A,$D210,Doors!$B:$B,$B210,Doors!$C:$C,$C210)*SUMIFS(Velocity!$I:$I,Velocity!$A:$A,$A210,Velocity!$B:$B,$C210)/Assumptions!$B$4*Assumptions!$B$6</f>
        <v>4.5625</v>
      </c>
      <c r="BB210" s="7" t="n">
        <f aca="false">SUMIFS(Doors!BN:BN,Doors!$A:$A,$D210,Doors!$B:$B,$B210,Doors!$C:$C,$C210)*SUMIFS(Velocity!$I:$I,Velocity!$A:$A,$A210,Velocity!$B:$B,$C210)/Assumptions!$B$4*Assumptions!$B$6</f>
        <v>4.5625</v>
      </c>
      <c r="BC210" s="7" t="n">
        <f aca="false">SUMIFS(Doors!BO:BO,Doors!$A:$A,$D210,Doors!$B:$B,$B210,Doors!$C:$C,$C210)*SUMIFS(Velocity!$I:$I,Velocity!$A:$A,$A210,Velocity!$B:$B,$C210)/Assumptions!$B$4*Assumptions!$B$6</f>
        <v>4.5625</v>
      </c>
      <c r="BD210" s="7" t="n">
        <f aca="false">SUMIFS(Doors!BP:BP,Doors!$A:$A,$D210,Doors!$B:$B,$B210,Doors!$C:$C,$C210)*SUMIFS(Velocity!$I:$I,Velocity!$A:$A,$A210,Velocity!$B:$B,$C210)/Assumptions!$B$4*Assumptions!$B$6</f>
        <v>4.5625</v>
      </c>
    </row>
    <row r="211" customFormat="false" ht="15" hidden="false" customHeight="false" outlineLevel="0" collapsed="false">
      <c r="A211" s="0" t="s">
        <v>110</v>
      </c>
      <c r="B211" s="0" t="s">
        <v>128</v>
      </c>
      <c r="C211" s="0" t="s">
        <v>122</v>
      </c>
      <c r="D211" s="0" t="s">
        <v>235</v>
      </c>
      <c r="E211" s="7" t="n">
        <f aca="false">SUMIFS(Doors!Q:Q,Doors!$A:$A,$D211,Doors!$B:$B,$B211,Doors!$C:$C,$C211)*SUMIFS(Velocity!$I:$I,Velocity!$A:$A,$A211,Velocity!$B:$B,$C211)/Assumptions!$B$4*Assumptions!$B$6</f>
        <v>0</v>
      </c>
      <c r="F211" s="7" t="n">
        <f aca="false">SUMIFS(Doors!R:R,Doors!$A:$A,$D211,Doors!$B:$B,$B211,Doors!$C:$C,$C211)*SUMIFS(Velocity!$I:$I,Velocity!$A:$A,$A211,Velocity!$B:$B,$C211)/Assumptions!$B$4*Assumptions!$B$6</f>
        <v>0</v>
      </c>
      <c r="G211" s="7" t="n">
        <f aca="false">SUMIFS(Doors!S:S,Doors!$A:$A,$D211,Doors!$B:$B,$B211,Doors!$C:$C,$C211)*SUMIFS(Velocity!$I:$I,Velocity!$A:$A,$A211,Velocity!$B:$B,$C211)/Assumptions!$B$4*Assumptions!$B$6</f>
        <v>0</v>
      </c>
      <c r="H211" s="7" t="n">
        <f aca="false">SUMIFS(Doors!T:T,Doors!$A:$A,$D211,Doors!$B:$B,$B211,Doors!$C:$C,$C211)*SUMIFS(Velocity!$I:$I,Velocity!$A:$A,$A211,Velocity!$B:$B,$C211)/Assumptions!$B$4*Assumptions!$B$6</f>
        <v>0</v>
      </c>
      <c r="I211" s="7" t="n">
        <f aca="false">SUMIFS(Doors!U:U,Doors!$A:$A,$D211,Doors!$B:$B,$B211,Doors!$C:$C,$C211)*SUMIFS(Velocity!$I:$I,Velocity!$A:$A,$A211,Velocity!$B:$B,$C211)/Assumptions!$B$4*Assumptions!$B$6</f>
        <v>0</v>
      </c>
      <c r="J211" s="7" t="n">
        <f aca="false">SUMIFS(Doors!V:V,Doors!$A:$A,$D211,Doors!$B:$B,$B211,Doors!$C:$C,$C211)*SUMIFS(Velocity!$I:$I,Velocity!$A:$A,$A211,Velocity!$B:$B,$C211)/Assumptions!$B$4*Assumptions!$B$6</f>
        <v>0</v>
      </c>
      <c r="K211" s="7" t="n">
        <f aca="false">SUMIFS(Doors!W:W,Doors!$A:$A,$D211,Doors!$B:$B,$B211,Doors!$C:$C,$C211)*SUMIFS(Velocity!$I:$I,Velocity!$A:$A,$A211,Velocity!$B:$B,$C211)/Assumptions!$B$4*Assumptions!$B$6</f>
        <v>0</v>
      </c>
      <c r="L211" s="7" t="n">
        <f aca="false">SUMIFS(Doors!X:X,Doors!$A:$A,$D211,Doors!$B:$B,$B211,Doors!$C:$C,$C211)*SUMIFS(Velocity!$I:$I,Velocity!$A:$A,$A211,Velocity!$B:$B,$C211)/Assumptions!$B$4*Assumptions!$B$6</f>
        <v>0</v>
      </c>
      <c r="M211" s="7" t="n">
        <f aca="false">SUMIFS(Doors!Y:Y,Doors!$A:$A,$D211,Doors!$B:$B,$B211,Doors!$C:$C,$C211)*SUMIFS(Velocity!$I:$I,Velocity!$A:$A,$A211,Velocity!$B:$B,$C211)/Assumptions!$B$4*Assumptions!$B$6</f>
        <v>0</v>
      </c>
      <c r="N211" s="7" t="n">
        <f aca="false">SUMIFS(Doors!Z:Z,Doors!$A:$A,$D211,Doors!$B:$B,$B211,Doors!$C:$C,$C211)*SUMIFS(Velocity!$I:$I,Velocity!$A:$A,$A211,Velocity!$B:$B,$C211)/Assumptions!$B$4*Assumptions!$B$6</f>
        <v>0.275</v>
      </c>
      <c r="O211" s="7" t="n">
        <f aca="false">SUMIFS(Doors!AA:AA,Doors!$A:$A,$D211,Doors!$B:$B,$B211,Doors!$C:$C,$C211)*SUMIFS(Velocity!$I:$I,Velocity!$A:$A,$A211,Velocity!$B:$B,$C211)/Assumptions!$B$4*Assumptions!$B$6</f>
        <v>0.275</v>
      </c>
      <c r="P211" s="7" t="n">
        <f aca="false">SUMIFS(Doors!AB:AB,Doors!$A:$A,$D211,Doors!$B:$B,$B211,Doors!$C:$C,$C211)*SUMIFS(Velocity!$I:$I,Velocity!$A:$A,$A211,Velocity!$B:$B,$C211)/Assumptions!$B$4*Assumptions!$B$6</f>
        <v>0.275</v>
      </c>
      <c r="Q211" s="7" t="n">
        <f aca="false">SUMIFS(Doors!AC:AC,Doors!$A:$A,$D211,Doors!$B:$B,$B211,Doors!$C:$C,$C211)*SUMIFS(Velocity!$I:$I,Velocity!$A:$A,$A211,Velocity!$B:$B,$C211)/Assumptions!$B$4*Assumptions!$B$6</f>
        <v>0.275</v>
      </c>
      <c r="R211" s="7" t="n">
        <f aca="false">SUMIFS(Doors!AD:AD,Doors!$A:$A,$D211,Doors!$B:$B,$B211,Doors!$C:$C,$C211)*SUMIFS(Velocity!$I:$I,Velocity!$A:$A,$A211,Velocity!$B:$B,$C211)/Assumptions!$B$4*Assumptions!$B$6</f>
        <v>0.55</v>
      </c>
      <c r="S211" s="7" t="n">
        <f aca="false">SUMIFS(Doors!AE:AE,Doors!$A:$A,$D211,Doors!$B:$B,$B211,Doors!$C:$C,$C211)*SUMIFS(Velocity!$I:$I,Velocity!$A:$A,$A211,Velocity!$B:$B,$C211)/Assumptions!$B$4*Assumptions!$B$6</f>
        <v>0.55</v>
      </c>
      <c r="T211" s="7" t="n">
        <f aca="false">SUMIFS(Doors!AF:AF,Doors!$A:$A,$D211,Doors!$B:$B,$B211,Doors!$C:$C,$C211)*SUMIFS(Velocity!$I:$I,Velocity!$A:$A,$A211,Velocity!$B:$B,$C211)/Assumptions!$B$4*Assumptions!$B$6</f>
        <v>0.55</v>
      </c>
      <c r="U211" s="7" t="n">
        <f aca="false">SUMIFS(Doors!AG:AG,Doors!$A:$A,$D211,Doors!$B:$B,$B211,Doors!$C:$C,$C211)*SUMIFS(Velocity!$I:$I,Velocity!$A:$A,$A211,Velocity!$B:$B,$C211)/Assumptions!$B$4*Assumptions!$B$6</f>
        <v>0.55</v>
      </c>
      <c r="V211" s="7" t="n">
        <f aca="false">SUMIFS(Doors!AH:AH,Doors!$A:$A,$D211,Doors!$B:$B,$B211,Doors!$C:$C,$C211)*SUMIFS(Velocity!$I:$I,Velocity!$A:$A,$A211,Velocity!$B:$B,$C211)/Assumptions!$B$4*Assumptions!$B$6</f>
        <v>0.55</v>
      </c>
      <c r="W211" s="7" t="n">
        <f aca="false">SUMIFS(Doors!AI:AI,Doors!$A:$A,$D211,Doors!$B:$B,$B211,Doors!$C:$C,$C211)*SUMIFS(Velocity!$I:$I,Velocity!$A:$A,$A211,Velocity!$B:$B,$C211)/Assumptions!$B$4*Assumptions!$B$6</f>
        <v>0.825</v>
      </c>
      <c r="X211" s="7" t="n">
        <f aca="false">SUMIFS(Doors!AJ:AJ,Doors!$A:$A,$D211,Doors!$B:$B,$B211,Doors!$C:$C,$C211)*SUMIFS(Velocity!$I:$I,Velocity!$A:$A,$A211,Velocity!$B:$B,$C211)/Assumptions!$B$4*Assumptions!$B$6</f>
        <v>0.825</v>
      </c>
      <c r="Y211" s="7" t="n">
        <f aca="false">SUMIFS(Doors!AK:AK,Doors!$A:$A,$D211,Doors!$B:$B,$B211,Doors!$C:$C,$C211)*SUMIFS(Velocity!$I:$I,Velocity!$A:$A,$A211,Velocity!$B:$B,$C211)/Assumptions!$B$4*Assumptions!$B$6</f>
        <v>0.825</v>
      </c>
      <c r="Z211" s="7" t="n">
        <f aca="false">SUMIFS(Doors!AL:AL,Doors!$A:$A,$D211,Doors!$B:$B,$B211,Doors!$C:$C,$C211)*SUMIFS(Velocity!$I:$I,Velocity!$A:$A,$A211,Velocity!$B:$B,$C211)/Assumptions!$B$4*Assumptions!$B$6</f>
        <v>0.825</v>
      </c>
      <c r="AA211" s="7" t="n">
        <f aca="false">SUMIFS(Doors!AM:AM,Doors!$A:$A,$D211,Doors!$B:$B,$B211,Doors!$C:$C,$C211)*SUMIFS(Velocity!$I:$I,Velocity!$A:$A,$A211,Velocity!$B:$B,$C211)/Assumptions!$B$4*Assumptions!$B$6</f>
        <v>1.1</v>
      </c>
      <c r="AB211" s="7" t="n">
        <f aca="false">SUMIFS(Doors!AN:AN,Doors!$A:$A,$D211,Doors!$B:$B,$B211,Doors!$C:$C,$C211)*SUMIFS(Velocity!$I:$I,Velocity!$A:$A,$A211,Velocity!$B:$B,$C211)/Assumptions!$B$4*Assumptions!$B$6</f>
        <v>1.1</v>
      </c>
      <c r="AC211" s="7" t="n">
        <f aca="false">SUMIFS(Doors!AO:AO,Doors!$A:$A,$D211,Doors!$B:$B,$B211,Doors!$C:$C,$C211)*SUMIFS(Velocity!$I:$I,Velocity!$A:$A,$A211,Velocity!$B:$B,$C211)/Assumptions!$B$4*Assumptions!$B$6</f>
        <v>1.1</v>
      </c>
      <c r="AD211" s="7" t="n">
        <f aca="false">SUMIFS(Doors!AP:AP,Doors!$A:$A,$D211,Doors!$B:$B,$B211,Doors!$C:$C,$C211)*SUMIFS(Velocity!$I:$I,Velocity!$A:$A,$A211,Velocity!$B:$B,$C211)/Assumptions!$B$4*Assumptions!$B$6</f>
        <v>1.1</v>
      </c>
      <c r="AE211" s="7" t="n">
        <f aca="false">SUMIFS(Doors!AQ:AQ,Doors!$A:$A,$D211,Doors!$B:$B,$B211,Doors!$C:$C,$C211)*SUMIFS(Velocity!$I:$I,Velocity!$A:$A,$A211,Velocity!$B:$B,$C211)/Assumptions!$B$4*Assumptions!$B$6</f>
        <v>1.375</v>
      </c>
      <c r="AF211" s="7" t="n">
        <f aca="false">SUMIFS(Doors!AR:AR,Doors!$A:$A,$D211,Doors!$B:$B,$B211,Doors!$C:$C,$C211)*SUMIFS(Velocity!$I:$I,Velocity!$A:$A,$A211,Velocity!$B:$B,$C211)/Assumptions!$B$4*Assumptions!$B$6</f>
        <v>1.375</v>
      </c>
      <c r="AG211" s="7" t="n">
        <f aca="false">SUMIFS(Doors!AS:AS,Doors!$A:$A,$D211,Doors!$B:$B,$B211,Doors!$C:$C,$C211)*SUMIFS(Velocity!$I:$I,Velocity!$A:$A,$A211,Velocity!$B:$B,$C211)/Assumptions!$B$4*Assumptions!$B$6</f>
        <v>1.375</v>
      </c>
      <c r="AH211" s="7" t="n">
        <f aca="false">SUMIFS(Doors!AT:AT,Doors!$A:$A,$D211,Doors!$B:$B,$B211,Doors!$C:$C,$C211)*SUMIFS(Velocity!$I:$I,Velocity!$A:$A,$A211,Velocity!$B:$B,$C211)/Assumptions!$B$4*Assumptions!$B$6</f>
        <v>1.375</v>
      </c>
      <c r="AI211" s="7" t="n">
        <f aca="false">SUMIFS(Doors!AU:AU,Doors!$A:$A,$D211,Doors!$B:$B,$B211,Doors!$C:$C,$C211)*SUMIFS(Velocity!$I:$I,Velocity!$A:$A,$A211,Velocity!$B:$B,$C211)/Assumptions!$B$4*Assumptions!$B$6</f>
        <v>1.375</v>
      </c>
      <c r="AJ211" s="7" t="n">
        <f aca="false">SUMIFS(Doors!AV:AV,Doors!$A:$A,$D211,Doors!$B:$B,$B211,Doors!$C:$C,$C211)*SUMIFS(Velocity!$I:$I,Velocity!$A:$A,$A211,Velocity!$B:$B,$C211)/Assumptions!$B$4*Assumptions!$B$6</f>
        <v>1.65</v>
      </c>
      <c r="AK211" s="7" t="n">
        <f aca="false">SUMIFS(Doors!AW:AW,Doors!$A:$A,$D211,Doors!$B:$B,$B211,Doors!$C:$C,$C211)*SUMIFS(Velocity!$I:$I,Velocity!$A:$A,$A211,Velocity!$B:$B,$C211)/Assumptions!$B$4*Assumptions!$B$6</f>
        <v>1.65</v>
      </c>
      <c r="AL211" s="7" t="n">
        <f aca="false">SUMIFS(Doors!AX:AX,Doors!$A:$A,$D211,Doors!$B:$B,$B211,Doors!$C:$C,$C211)*SUMIFS(Velocity!$I:$I,Velocity!$A:$A,$A211,Velocity!$B:$B,$C211)/Assumptions!$B$4*Assumptions!$B$6</f>
        <v>1.65</v>
      </c>
      <c r="AM211" s="7" t="n">
        <f aca="false">SUMIFS(Doors!AY:AY,Doors!$A:$A,$D211,Doors!$B:$B,$B211,Doors!$C:$C,$C211)*SUMIFS(Velocity!$I:$I,Velocity!$A:$A,$A211,Velocity!$B:$B,$C211)/Assumptions!$B$4*Assumptions!$B$6</f>
        <v>1.65</v>
      </c>
      <c r="AN211" s="7" t="n">
        <f aca="false">SUMIFS(Doors!AZ:AZ,Doors!$A:$A,$D211,Doors!$B:$B,$B211,Doors!$C:$C,$C211)*SUMIFS(Velocity!$I:$I,Velocity!$A:$A,$A211,Velocity!$B:$B,$C211)/Assumptions!$B$4*Assumptions!$B$6</f>
        <v>1.925</v>
      </c>
      <c r="AO211" s="7" t="n">
        <f aca="false">SUMIFS(Doors!BA:BA,Doors!$A:$A,$D211,Doors!$B:$B,$B211,Doors!$C:$C,$C211)*SUMIFS(Velocity!$I:$I,Velocity!$A:$A,$A211,Velocity!$B:$B,$C211)/Assumptions!$B$4*Assumptions!$B$6</f>
        <v>1.925</v>
      </c>
      <c r="AP211" s="7" t="n">
        <f aca="false">SUMIFS(Doors!BB:BB,Doors!$A:$A,$D211,Doors!$B:$B,$B211,Doors!$C:$C,$C211)*SUMIFS(Velocity!$I:$I,Velocity!$A:$A,$A211,Velocity!$B:$B,$C211)/Assumptions!$B$4*Assumptions!$B$6</f>
        <v>1.925</v>
      </c>
      <c r="AQ211" s="7" t="n">
        <f aca="false">SUMIFS(Doors!BC:BC,Doors!$A:$A,$D211,Doors!$B:$B,$B211,Doors!$C:$C,$C211)*SUMIFS(Velocity!$I:$I,Velocity!$A:$A,$A211,Velocity!$B:$B,$C211)/Assumptions!$B$4*Assumptions!$B$6</f>
        <v>1.925</v>
      </c>
      <c r="AR211" s="7" t="n">
        <f aca="false">SUMIFS(Doors!BD:BD,Doors!$A:$A,$D211,Doors!$B:$B,$B211,Doors!$C:$C,$C211)*SUMIFS(Velocity!$I:$I,Velocity!$A:$A,$A211,Velocity!$B:$B,$C211)/Assumptions!$B$4*Assumptions!$B$6</f>
        <v>2.0625</v>
      </c>
      <c r="AS211" s="7" t="n">
        <f aca="false">SUMIFS(Doors!BE:BE,Doors!$A:$A,$D211,Doors!$B:$B,$B211,Doors!$C:$C,$C211)*SUMIFS(Velocity!$I:$I,Velocity!$A:$A,$A211,Velocity!$B:$B,$C211)/Assumptions!$B$4*Assumptions!$B$6</f>
        <v>2.0625</v>
      </c>
      <c r="AT211" s="7" t="n">
        <f aca="false">SUMIFS(Doors!BF:BF,Doors!$A:$A,$D211,Doors!$B:$B,$B211,Doors!$C:$C,$C211)*SUMIFS(Velocity!$I:$I,Velocity!$A:$A,$A211,Velocity!$B:$B,$C211)/Assumptions!$B$4*Assumptions!$B$6</f>
        <v>2.0625</v>
      </c>
      <c r="AU211" s="7" t="n">
        <f aca="false">SUMIFS(Doors!BG:BG,Doors!$A:$A,$D211,Doors!$B:$B,$B211,Doors!$C:$C,$C211)*SUMIFS(Velocity!$I:$I,Velocity!$A:$A,$A211,Velocity!$B:$B,$C211)/Assumptions!$B$4*Assumptions!$B$6</f>
        <v>2.0625</v>
      </c>
      <c r="AV211" s="7" t="n">
        <f aca="false">SUMIFS(Doors!BH:BH,Doors!$A:$A,$D211,Doors!$B:$B,$B211,Doors!$C:$C,$C211)*SUMIFS(Velocity!$I:$I,Velocity!$A:$A,$A211,Velocity!$B:$B,$C211)/Assumptions!$B$4*Assumptions!$B$6</f>
        <v>2.0625</v>
      </c>
      <c r="AW211" s="7" t="n">
        <f aca="false">SUMIFS(Doors!BI:BI,Doors!$A:$A,$D211,Doors!$B:$B,$B211,Doors!$C:$C,$C211)*SUMIFS(Velocity!$I:$I,Velocity!$A:$A,$A211,Velocity!$B:$B,$C211)/Assumptions!$B$4*Assumptions!$B$6</f>
        <v>2.0625</v>
      </c>
      <c r="AX211" s="7" t="n">
        <f aca="false">SUMIFS(Doors!BJ:BJ,Doors!$A:$A,$D211,Doors!$B:$B,$B211,Doors!$C:$C,$C211)*SUMIFS(Velocity!$I:$I,Velocity!$A:$A,$A211,Velocity!$B:$B,$C211)/Assumptions!$B$4*Assumptions!$B$6</f>
        <v>2.0625</v>
      </c>
      <c r="AY211" s="7" t="n">
        <f aca="false">SUMIFS(Doors!BK:BK,Doors!$A:$A,$D211,Doors!$B:$B,$B211,Doors!$C:$C,$C211)*SUMIFS(Velocity!$I:$I,Velocity!$A:$A,$A211,Velocity!$B:$B,$C211)/Assumptions!$B$4*Assumptions!$B$6</f>
        <v>2.0625</v>
      </c>
      <c r="AZ211" s="7" t="n">
        <f aca="false">SUMIFS(Doors!BL:BL,Doors!$A:$A,$D211,Doors!$B:$B,$B211,Doors!$C:$C,$C211)*SUMIFS(Velocity!$I:$I,Velocity!$A:$A,$A211,Velocity!$B:$B,$C211)/Assumptions!$B$4*Assumptions!$B$6</f>
        <v>2.0625</v>
      </c>
      <c r="BA211" s="7" t="n">
        <f aca="false">SUMIFS(Doors!BM:BM,Doors!$A:$A,$D211,Doors!$B:$B,$B211,Doors!$C:$C,$C211)*SUMIFS(Velocity!$I:$I,Velocity!$A:$A,$A211,Velocity!$B:$B,$C211)/Assumptions!$B$4*Assumptions!$B$6</f>
        <v>2.0625</v>
      </c>
      <c r="BB211" s="7" t="n">
        <f aca="false">SUMIFS(Doors!BN:BN,Doors!$A:$A,$D211,Doors!$B:$B,$B211,Doors!$C:$C,$C211)*SUMIFS(Velocity!$I:$I,Velocity!$A:$A,$A211,Velocity!$B:$B,$C211)/Assumptions!$B$4*Assumptions!$B$6</f>
        <v>2.0625</v>
      </c>
      <c r="BC211" s="7" t="n">
        <f aca="false">SUMIFS(Doors!BO:BO,Doors!$A:$A,$D211,Doors!$B:$B,$B211,Doors!$C:$C,$C211)*SUMIFS(Velocity!$I:$I,Velocity!$A:$A,$A211,Velocity!$B:$B,$C211)/Assumptions!$B$4*Assumptions!$B$6</f>
        <v>2.0625</v>
      </c>
      <c r="BD211" s="7" t="n">
        <f aca="false">SUMIFS(Doors!BP:BP,Doors!$A:$A,$D211,Doors!$B:$B,$B211,Doors!$C:$C,$C211)*SUMIFS(Velocity!$I:$I,Velocity!$A:$A,$A211,Velocity!$B:$B,$C211)/Assumptions!$B$4*Assumptions!$B$6</f>
        <v>2.0625</v>
      </c>
    </row>
    <row r="212" customFormat="false" ht="15" hidden="false" customHeight="false" outlineLevel="0" collapsed="false">
      <c r="A212" s="0" t="s">
        <v>110</v>
      </c>
      <c r="B212" s="0" t="s">
        <v>128</v>
      </c>
      <c r="C212" s="0" t="s">
        <v>123</v>
      </c>
      <c r="D212" s="0" t="s">
        <v>235</v>
      </c>
      <c r="E212" s="7" t="n">
        <f aca="false">SUMIFS(Doors!Q:Q,Doors!$A:$A,$D212,Doors!$B:$B,$B212,Doors!$C:$C,$C212)*SUMIFS(Velocity!$I:$I,Velocity!$A:$A,$A212,Velocity!$B:$B,$C212)/Assumptions!$B$4*Assumptions!$B$6</f>
        <v>0</v>
      </c>
      <c r="F212" s="7" t="n">
        <f aca="false">SUMIFS(Doors!R:R,Doors!$A:$A,$D212,Doors!$B:$B,$B212,Doors!$C:$C,$C212)*SUMIFS(Velocity!$I:$I,Velocity!$A:$A,$A212,Velocity!$B:$B,$C212)/Assumptions!$B$4*Assumptions!$B$6</f>
        <v>0</v>
      </c>
      <c r="G212" s="7" t="n">
        <f aca="false">SUMIFS(Doors!S:S,Doors!$A:$A,$D212,Doors!$B:$B,$B212,Doors!$C:$C,$C212)*SUMIFS(Velocity!$I:$I,Velocity!$A:$A,$A212,Velocity!$B:$B,$C212)/Assumptions!$B$4*Assumptions!$B$6</f>
        <v>0</v>
      </c>
      <c r="H212" s="7" t="n">
        <f aca="false">SUMIFS(Doors!T:T,Doors!$A:$A,$D212,Doors!$B:$B,$B212,Doors!$C:$C,$C212)*SUMIFS(Velocity!$I:$I,Velocity!$A:$A,$A212,Velocity!$B:$B,$C212)/Assumptions!$B$4*Assumptions!$B$6</f>
        <v>0</v>
      </c>
      <c r="I212" s="7" t="n">
        <f aca="false">SUMIFS(Doors!U:U,Doors!$A:$A,$D212,Doors!$B:$B,$B212,Doors!$C:$C,$C212)*SUMIFS(Velocity!$I:$I,Velocity!$A:$A,$A212,Velocity!$B:$B,$C212)/Assumptions!$B$4*Assumptions!$B$6</f>
        <v>0</v>
      </c>
      <c r="J212" s="7" t="n">
        <f aca="false">SUMIFS(Doors!V:V,Doors!$A:$A,$D212,Doors!$B:$B,$B212,Doors!$C:$C,$C212)*SUMIFS(Velocity!$I:$I,Velocity!$A:$A,$A212,Velocity!$B:$B,$C212)/Assumptions!$B$4*Assumptions!$B$6</f>
        <v>0</v>
      </c>
      <c r="K212" s="7" t="n">
        <f aca="false">SUMIFS(Doors!W:W,Doors!$A:$A,$D212,Doors!$B:$B,$B212,Doors!$C:$C,$C212)*SUMIFS(Velocity!$I:$I,Velocity!$A:$A,$A212,Velocity!$B:$B,$C212)/Assumptions!$B$4*Assumptions!$B$6</f>
        <v>0</v>
      </c>
      <c r="L212" s="7" t="n">
        <f aca="false">SUMIFS(Doors!X:X,Doors!$A:$A,$D212,Doors!$B:$B,$B212,Doors!$C:$C,$C212)*SUMIFS(Velocity!$I:$I,Velocity!$A:$A,$A212,Velocity!$B:$B,$C212)/Assumptions!$B$4*Assumptions!$B$6</f>
        <v>0</v>
      </c>
      <c r="M212" s="7" t="n">
        <f aca="false">SUMIFS(Doors!Y:Y,Doors!$A:$A,$D212,Doors!$B:$B,$B212,Doors!$C:$C,$C212)*SUMIFS(Velocity!$I:$I,Velocity!$A:$A,$A212,Velocity!$B:$B,$C212)/Assumptions!$B$4*Assumptions!$B$6</f>
        <v>0</v>
      </c>
      <c r="N212" s="7" t="n">
        <f aca="false">SUMIFS(Doors!Z:Z,Doors!$A:$A,$D212,Doors!$B:$B,$B212,Doors!$C:$C,$C212)*SUMIFS(Velocity!$I:$I,Velocity!$A:$A,$A212,Velocity!$B:$B,$C212)/Assumptions!$B$4*Assumptions!$B$6</f>
        <v>0</v>
      </c>
      <c r="O212" s="7" t="n">
        <f aca="false">SUMIFS(Doors!AA:AA,Doors!$A:$A,$D212,Doors!$B:$B,$B212,Doors!$C:$C,$C212)*SUMIFS(Velocity!$I:$I,Velocity!$A:$A,$A212,Velocity!$B:$B,$C212)/Assumptions!$B$4*Assumptions!$B$6</f>
        <v>0</v>
      </c>
      <c r="P212" s="7" t="n">
        <f aca="false">SUMIFS(Doors!AB:AB,Doors!$A:$A,$D212,Doors!$B:$B,$B212,Doors!$C:$C,$C212)*SUMIFS(Velocity!$I:$I,Velocity!$A:$A,$A212,Velocity!$B:$B,$C212)/Assumptions!$B$4*Assumptions!$B$6</f>
        <v>0</v>
      </c>
      <c r="Q212" s="7" t="n">
        <f aca="false">SUMIFS(Doors!AC:AC,Doors!$A:$A,$D212,Doors!$B:$B,$B212,Doors!$C:$C,$C212)*SUMIFS(Velocity!$I:$I,Velocity!$A:$A,$A212,Velocity!$B:$B,$C212)/Assumptions!$B$4*Assumptions!$B$6</f>
        <v>0</v>
      </c>
      <c r="R212" s="7" t="n">
        <f aca="false">SUMIFS(Doors!AD:AD,Doors!$A:$A,$D212,Doors!$B:$B,$B212,Doors!$C:$C,$C212)*SUMIFS(Velocity!$I:$I,Velocity!$A:$A,$A212,Velocity!$B:$B,$C212)/Assumptions!$B$4*Assumptions!$B$6</f>
        <v>0</v>
      </c>
      <c r="S212" s="7" t="n">
        <f aca="false">SUMIFS(Doors!AE:AE,Doors!$A:$A,$D212,Doors!$B:$B,$B212,Doors!$C:$C,$C212)*SUMIFS(Velocity!$I:$I,Velocity!$A:$A,$A212,Velocity!$B:$B,$C212)/Assumptions!$B$4*Assumptions!$B$6</f>
        <v>0</v>
      </c>
      <c r="T212" s="7" t="n">
        <f aca="false">SUMIFS(Doors!AF:AF,Doors!$A:$A,$D212,Doors!$B:$B,$B212,Doors!$C:$C,$C212)*SUMIFS(Velocity!$I:$I,Velocity!$A:$A,$A212,Velocity!$B:$B,$C212)/Assumptions!$B$4*Assumptions!$B$6</f>
        <v>0</v>
      </c>
      <c r="U212" s="7" t="n">
        <f aca="false">SUMIFS(Doors!AG:AG,Doors!$A:$A,$D212,Doors!$B:$B,$B212,Doors!$C:$C,$C212)*SUMIFS(Velocity!$I:$I,Velocity!$A:$A,$A212,Velocity!$B:$B,$C212)/Assumptions!$B$4*Assumptions!$B$6</f>
        <v>0</v>
      </c>
      <c r="V212" s="7" t="n">
        <f aca="false">SUMIFS(Doors!AH:AH,Doors!$A:$A,$D212,Doors!$B:$B,$B212,Doors!$C:$C,$C212)*SUMIFS(Velocity!$I:$I,Velocity!$A:$A,$A212,Velocity!$B:$B,$C212)/Assumptions!$B$4*Assumptions!$B$6</f>
        <v>0</v>
      </c>
      <c r="W212" s="7" t="n">
        <f aca="false">SUMIFS(Doors!AI:AI,Doors!$A:$A,$D212,Doors!$B:$B,$B212,Doors!$C:$C,$C212)*SUMIFS(Velocity!$I:$I,Velocity!$A:$A,$A212,Velocity!$B:$B,$C212)/Assumptions!$B$4*Assumptions!$B$6</f>
        <v>0</v>
      </c>
      <c r="X212" s="7" t="n">
        <f aca="false">SUMIFS(Doors!AJ:AJ,Doors!$A:$A,$D212,Doors!$B:$B,$B212,Doors!$C:$C,$C212)*SUMIFS(Velocity!$I:$I,Velocity!$A:$A,$A212,Velocity!$B:$B,$C212)/Assumptions!$B$4*Assumptions!$B$6</f>
        <v>0</v>
      </c>
      <c r="Y212" s="7" t="n">
        <f aca="false">SUMIFS(Doors!AK:AK,Doors!$A:$A,$D212,Doors!$B:$B,$B212,Doors!$C:$C,$C212)*SUMIFS(Velocity!$I:$I,Velocity!$A:$A,$A212,Velocity!$B:$B,$C212)/Assumptions!$B$4*Assumptions!$B$6</f>
        <v>0</v>
      </c>
      <c r="Z212" s="7" t="n">
        <f aca="false">SUMIFS(Doors!AL:AL,Doors!$A:$A,$D212,Doors!$B:$B,$B212,Doors!$C:$C,$C212)*SUMIFS(Velocity!$I:$I,Velocity!$A:$A,$A212,Velocity!$B:$B,$C212)/Assumptions!$B$4*Assumptions!$B$6</f>
        <v>0</v>
      </c>
      <c r="AA212" s="7" t="n">
        <f aca="false">SUMIFS(Doors!AM:AM,Doors!$A:$A,$D212,Doors!$B:$B,$B212,Doors!$C:$C,$C212)*SUMIFS(Velocity!$I:$I,Velocity!$A:$A,$A212,Velocity!$B:$B,$C212)/Assumptions!$B$4*Assumptions!$B$6</f>
        <v>0</v>
      </c>
      <c r="AB212" s="7" t="n">
        <f aca="false">SUMIFS(Doors!AN:AN,Doors!$A:$A,$D212,Doors!$B:$B,$B212,Doors!$C:$C,$C212)*SUMIFS(Velocity!$I:$I,Velocity!$A:$A,$A212,Velocity!$B:$B,$C212)/Assumptions!$B$4*Assumptions!$B$6</f>
        <v>0</v>
      </c>
      <c r="AC212" s="7" t="n">
        <f aca="false">SUMIFS(Doors!AO:AO,Doors!$A:$A,$D212,Doors!$B:$B,$B212,Doors!$C:$C,$C212)*SUMIFS(Velocity!$I:$I,Velocity!$A:$A,$A212,Velocity!$B:$B,$C212)/Assumptions!$B$4*Assumptions!$B$6</f>
        <v>0</v>
      </c>
      <c r="AD212" s="7" t="n">
        <f aca="false">SUMIFS(Doors!AP:AP,Doors!$A:$A,$D212,Doors!$B:$B,$B212,Doors!$C:$C,$C212)*SUMIFS(Velocity!$I:$I,Velocity!$A:$A,$A212,Velocity!$B:$B,$C212)/Assumptions!$B$4*Assumptions!$B$6</f>
        <v>0</v>
      </c>
      <c r="AE212" s="7" t="n">
        <f aca="false">SUMIFS(Doors!AQ:AQ,Doors!$A:$A,$D212,Doors!$B:$B,$B212,Doors!$C:$C,$C212)*SUMIFS(Velocity!$I:$I,Velocity!$A:$A,$A212,Velocity!$B:$B,$C212)/Assumptions!$B$4*Assumptions!$B$6</f>
        <v>0</v>
      </c>
      <c r="AF212" s="7" t="n">
        <f aca="false">SUMIFS(Doors!AR:AR,Doors!$A:$A,$D212,Doors!$B:$B,$B212,Doors!$C:$C,$C212)*SUMIFS(Velocity!$I:$I,Velocity!$A:$A,$A212,Velocity!$B:$B,$C212)/Assumptions!$B$4*Assumptions!$B$6</f>
        <v>0</v>
      </c>
      <c r="AG212" s="7" t="n">
        <f aca="false">SUMIFS(Doors!AS:AS,Doors!$A:$A,$D212,Doors!$B:$B,$B212,Doors!$C:$C,$C212)*SUMIFS(Velocity!$I:$I,Velocity!$A:$A,$A212,Velocity!$B:$B,$C212)/Assumptions!$B$4*Assumptions!$B$6</f>
        <v>0</v>
      </c>
      <c r="AH212" s="7" t="n">
        <f aca="false">SUMIFS(Doors!AT:AT,Doors!$A:$A,$D212,Doors!$B:$B,$B212,Doors!$C:$C,$C212)*SUMIFS(Velocity!$I:$I,Velocity!$A:$A,$A212,Velocity!$B:$B,$C212)/Assumptions!$B$4*Assumptions!$B$6</f>
        <v>0</v>
      </c>
      <c r="AI212" s="7" t="n">
        <f aca="false">SUMIFS(Doors!AU:AU,Doors!$A:$A,$D212,Doors!$B:$B,$B212,Doors!$C:$C,$C212)*SUMIFS(Velocity!$I:$I,Velocity!$A:$A,$A212,Velocity!$B:$B,$C212)/Assumptions!$B$4*Assumptions!$B$6</f>
        <v>0</v>
      </c>
      <c r="AJ212" s="7" t="n">
        <f aca="false">SUMIFS(Doors!AV:AV,Doors!$A:$A,$D212,Doors!$B:$B,$B212,Doors!$C:$C,$C212)*SUMIFS(Velocity!$I:$I,Velocity!$A:$A,$A212,Velocity!$B:$B,$C212)/Assumptions!$B$4*Assumptions!$B$6</f>
        <v>0</v>
      </c>
      <c r="AK212" s="7" t="n">
        <f aca="false">SUMIFS(Doors!AW:AW,Doors!$A:$A,$D212,Doors!$B:$B,$B212,Doors!$C:$C,$C212)*SUMIFS(Velocity!$I:$I,Velocity!$A:$A,$A212,Velocity!$B:$B,$C212)/Assumptions!$B$4*Assumptions!$B$6</f>
        <v>0</v>
      </c>
      <c r="AL212" s="7" t="n">
        <f aca="false">SUMIFS(Doors!AX:AX,Doors!$A:$A,$D212,Doors!$B:$B,$B212,Doors!$C:$C,$C212)*SUMIFS(Velocity!$I:$I,Velocity!$A:$A,$A212,Velocity!$B:$B,$C212)/Assumptions!$B$4*Assumptions!$B$6</f>
        <v>0</v>
      </c>
      <c r="AM212" s="7" t="n">
        <f aca="false">SUMIFS(Doors!AY:AY,Doors!$A:$A,$D212,Doors!$B:$B,$B212,Doors!$C:$C,$C212)*SUMIFS(Velocity!$I:$I,Velocity!$A:$A,$A212,Velocity!$B:$B,$C212)/Assumptions!$B$4*Assumptions!$B$6</f>
        <v>0</v>
      </c>
      <c r="AN212" s="7" t="n">
        <f aca="false">SUMIFS(Doors!AZ:AZ,Doors!$A:$A,$D212,Doors!$B:$B,$B212,Doors!$C:$C,$C212)*SUMIFS(Velocity!$I:$I,Velocity!$A:$A,$A212,Velocity!$B:$B,$C212)/Assumptions!$B$4*Assumptions!$B$6</f>
        <v>0</v>
      </c>
      <c r="AO212" s="7" t="n">
        <f aca="false">SUMIFS(Doors!BA:BA,Doors!$A:$A,$D212,Doors!$B:$B,$B212,Doors!$C:$C,$C212)*SUMIFS(Velocity!$I:$I,Velocity!$A:$A,$A212,Velocity!$B:$B,$C212)/Assumptions!$B$4*Assumptions!$B$6</f>
        <v>0</v>
      </c>
      <c r="AP212" s="7" t="n">
        <f aca="false">SUMIFS(Doors!BB:BB,Doors!$A:$A,$D212,Doors!$B:$B,$B212,Doors!$C:$C,$C212)*SUMIFS(Velocity!$I:$I,Velocity!$A:$A,$A212,Velocity!$B:$B,$C212)/Assumptions!$B$4*Assumptions!$B$6</f>
        <v>0</v>
      </c>
      <c r="AQ212" s="7" t="n">
        <f aca="false">SUMIFS(Doors!BC:BC,Doors!$A:$A,$D212,Doors!$B:$B,$B212,Doors!$C:$C,$C212)*SUMIFS(Velocity!$I:$I,Velocity!$A:$A,$A212,Velocity!$B:$B,$C212)/Assumptions!$B$4*Assumptions!$B$6</f>
        <v>0</v>
      </c>
      <c r="AR212" s="7" t="n">
        <f aca="false">SUMIFS(Doors!BD:BD,Doors!$A:$A,$D212,Doors!$B:$B,$B212,Doors!$C:$C,$C212)*SUMIFS(Velocity!$I:$I,Velocity!$A:$A,$A212,Velocity!$B:$B,$C212)/Assumptions!$B$4*Assumptions!$B$6</f>
        <v>0</v>
      </c>
      <c r="AS212" s="7" t="n">
        <f aca="false">SUMIFS(Doors!BE:BE,Doors!$A:$A,$D212,Doors!$B:$B,$B212,Doors!$C:$C,$C212)*SUMIFS(Velocity!$I:$I,Velocity!$A:$A,$A212,Velocity!$B:$B,$C212)/Assumptions!$B$4*Assumptions!$B$6</f>
        <v>0</v>
      </c>
      <c r="AT212" s="7" t="n">
        <f aca="false">SUMIFS(Doors!BF:BF,Doors!$A:$A,$D212,Doors!$B:$B,$B212,Doors!$C:$C,$C212)*SUMIFS(Velocity!$I:$I,Velocity!$A:$A,$A212,Velocity!$B:$B,$C212)/Assumptions!$B$4*Assumptions!$B$6</f>
        <v>0</v>
      </c>
      <c r="AU212" s="7" t="n">
        <f aca="false">SUMIFS(Doors!BG:BG,Doors!$A:$A,$D212,Doors!$B:$B,$B212,Doors!$C:$C,$C212)*SUMIFS(Velocity!$I:$I,Velocity!$A:$A,$A212,Velocity!$B:$B,$C212)/Assumptions!$B$4*Assumptions!$B$6</f>
        <v>0</v>
      </c>
      <c r="AV212" s="7" t="n">
        <f aca="false">SUMIFS(Doors!BH:BH,Doors!$A:$A,$D212,Doors!$B:$B,$B212,Doors!$C:$C,$C212)*SUMIFS(Velocity!$I:$I,Velocity!$A:$A,$A212,Velocity!$B:$B,$C212)/Assumptions!$B$4*Assumptions!$B$6</f>
        <v>0</v>
      </c>
      <c r="AW212" s="7" t="n">
        <f aca="false">SUMIFS(Doors!BI:BI,Doors!$A:$A,$D212,Doors!$B:$B,$B212,Doors!$C:$C,$C212)*SUMIFS(Velocity!$I:$I,Velocity!$A:$A,$A212,Velocity!$B:$B,$C212)/Assumptions!$B$4*Assumptions!$B$6</f>
        <v>0</v>
      </c>
      <c r="AX212" s="7" t="n">
        <f aca="false">SUMIFS(Doors!BJ:BJ,Doors!$A:$A,$D212,Doors!$B:$B,$B212,Doors!$C:$C,$C212)*SUMIFS(Velocity!$I:$I,Velocity!$A:$A,$A212,Velocity!$B:$B,$C212)/Assumptions!$B$4*Assumptions!$B$6</f>
        <v>0</v>
      </c>
      <c r="AY212" s="7" t="n">
        <f aca="false">SUMIFS(Doors!BK:BK,Doors!$A:$A,$D212,Doors!$B:$B,$B212,Doors!$C:$C,$C212)*SUMIFS(Velocity!$I:$I,Velocity!$A:$A,$A212,Velocity!$B:$B,$C212)/Assumptions!$B$4*Assumptions!$B$6</f>
        <v>0</v>
      </c>
      <c r="AZ212" s="7" t="n">
        <f aca="false">SUMIFS(Doors!BL:BL,Doors!$A:$A,$D212,Doors!$B:$B,$B212,Doors!$C:$C,$C212)*SUMIFS(Velocity!$I:$I,Velocity!$A:$A,$A212,Velocity!$B:$B,$C212)/Assumptions!$B$4*Assumptions!$B$6</f>
        <v>0</v>
      </c>
      <c r="BA212" s="7" t="n">
        <f aca="false">SUMIFS(Doors!BM:BM,Doors!$A:$A,$D212,Doors!$B:$B,$B212,Doors!$C:$C,$C212)*SUMIFS(Velocity!$I:$I,Velocity!$A:$A,$A212,Velocity!$B:$B,$C212)/Assumptions!$B$4*Assumptions!$B$6</f>
        <v>0</v>
      </c>
      <c r="BB212" s="7" t="n">
        <f aca="false">SUMIFS(Doors!BN:BN,Doors!$A:$A,$D212,Doors!$B:$B,$B212,Doors!$C:$C,$C212)*SUMIFS(Velocity!$I:$I,Velocity!$A:$A,$A212,Velocity!$B:$B,$C212)/Assumptions!$B$4*Assumptions!$B$6</f>
        <v>0</v>
      </c>
      <c r="BC212" s="7" t="n">
        <f aca="false">SUMIFS(Doors!BO:BO,Doors!$A:$A,$D212,Doors!$B:$B,$B212,Doors!$C:$C,$C212)*SUMIFS(Velocity!$I:$I,Velocity!$A:$A,$A212,Velocity!$B:$B,$C212)/Assumptions!$B$4*Assumptions!$B$6</f>
        <v>0</v>
      </c>
      <c r="BD212" s="7" t="n">
        <f aca="false">SUMIFS(Doors!BP:BP,Doors!$A:$A,$D212,Doors!$B:$B,$B212,Doors!$C:$C,$C212)*SUMIFS(Velocity!$I:$I,Velocity!$A:$A,$A212,Velocity!$B:$B,$C212)/Assumptions!$B$4*Assumptions!$B$6</f>
        <v>0</v>
      </c>
    </row>
    <row r="213" customFormat="false" ht="15" hidden="false" customHeight="false" outlineLevel="0" collapsed="false">
      <c r="A213" s="0" t="s">
        <v>110</v>
      </c>
      <c r="B213" s="0" t="s">
        <v>129</v>
      </c>
      <c r="C213" s="0" t="s">
        <v>115</v>
      </c>
      <c r="D213" s="0" t="s">
        <v>235</v>
      </c>
      <c r="E213" s="7" t="n">
        <f aca="false">SUMIFS(Doors!Q:Q,Doors!$A:$A,$D213,Doors!$B:$B,$B213,Doors!$C:$C,$C213)*SUMIFS(Velocity!$I:$I,Velocity!$A:$A,$A213,Velocity!$B:$B,$C213)/Assumptions!$B$4*Assumptions!$B$6</f>
        <v>0</v>
      </c>
      <c r="F213" s="7" t="n">
        <f aca="false">SUMIFS(Doors!R:R,Doors!$A:$A,$D213,Doors!$B:$B,$B213,Doors!$C:$C,$C213)*SUMIFS(Velocity!$I:$I,Velocity!$A:$A,$A213,Velocity!$B:$B,$C213)/Assumptions!$B$4*Assumptions!$B$6</f>
        <v>0</v>
      </c>
      <c r="G213" s="7" t="n">
        <f aca="false">SUMIFS(Doors!S:S,Doors!$A:$A,$D213,Doors!$B:$B,$B213,Doors!$C:$C,$C213)*SUMIFS(Velocity!$I:$I,Velocity!$A:$A,$A213,Velocity!$B:$B,$C213)/Assumptions!$B$4*Assumptions!$B$6</f>
        <v>0</v>
      </c>
      <c r="H213" s="7" t="n">
        <f aca="false">SUMIFS(Doors!T:T,Doors!$A:$A,$D213,Doors!$B:$B,$B213,Doors!$C:$C,$C213)*SUMIFS(Velocity!$I:$I,Velocity!$A:$A,$A213,Velocity!$B:$B,$C213)/Assumptions!$B$4*Assumptions!$B$6</f>
        <v>0</v>
      </c>
      <c r="I213" s="7" t="n">
        <f aca="false">SUMIFS(Doors!U:U,Doors!$A:$A,$D213,Doors!$B:$B,$B213,Doors!$C:$C,$C213)*SUMIFS(Velocity!$I:$I,Velocity!$A:$A,$A213,Velocity!$B:$B,$C213)/Assumptions!$B$4*Assumptions!$B$6</f>
        <v>0</v>
      </c>
      <c r="J213" s="7" t="n">
        <f aca="false">SUMIFS(Doors!V:V,Doors!$A:$A,$D213,Doors!$B:$B,$B213,Doors!$C:$C,$C213)*SUMIFS(Velocity!$I:$I,Velocity!$A:$A,$A213,Velocity!$B:$B,$C213)/Assumptions!$B$4*Assumptions!$B$6</f>
        <v>0</v>
      </c>
      <c r="K213" s="7" t="n">
        <f aca="false">SUMIFS(Doors!W:W,Doors!$A:$A,$D213,Doors!$B:$B,$B213,Doors!$C:$C,$C213)*SUMIFS(Velocity!$I:$I,Velocity!$A:$A,$A213,Velocity!$B:$B,$C213)/Assumptions!$B$4*Assumptions!$B$6</f>
        <v>0</v>
      </c>
      <c r="L213" s="7" t="n">
        <f aca="false">SUMIFS(Doors!X:X,Doors!$A:$A,$D213,Doors!$B:$B,$B213,Doors!$C:$C,$C213)*SUMIFS(Velocity!$I:$I,Velocity!$A:$A,$A213,Velocity!$B:$B,$C213)/Assumptions!$B$4*Assumptions!$B$6</f>
        <v>0</v>
      </c>
      <c r="M213" s="7" t="n">
        <f aca="false">SUMIFS(Doors!Y:Y,Doors!$A:$A,$D213,Doors!$B:$B,$B213,Doors!$C:$C,$C213)*SUMIFS(Velocity!$I:$I,Velocity!$A:$A,$A213,Velocity!$B:$B,$C213)/Assumptions!$B$4*Assumptions!$B$6</f>
        <v>0</v>
      </c>
      <c r="N213" s="7" t="n">
        <f aca="false">SUMIFS(Doors!Z:Z,Doors!$A:$A,$D213,Doors!$B:$B,$B213,Doors!$C:$C,$C213)*SUMIFS(Velocity!$I:$I,Velocity!$A:$A,$A213,Velocity!$B:$B,$C213)/Assumptions!$B$4*Assumptions!$B$6</f>
        <v>0.733333333333333</v>
      </c>
      <c r="O213" s="7" t="n">
        <f aca="false">SUMIFS(Doors!AA:AA,Doors!$A:$A,$D213,Doors!$B:$B,$B213,Doors!$C:$C,$C213)*SUMIFS(Velocity!$I:$I,Velocity!$A:$A,$A213,Velocity!$B:$B,$C213)/Assumptions!$B$4*Assumptions!$B$6</f>
        <v>0.733333333333333</v>
      </c>
      <c r="P213" s="7" t="n">
        <f aca="false">SUMIFS(Doors!AB:AB,Doors!$A:$A,$D213,Doors!$B:$B,$B213,Doors!$C:$C,$C213)*SUMIFS(Velocity!$I:$I,Velocity!$A:$A,$A213,Velocity!$B:$B,$C213)/Assumptions!$B$4*Assumptions!$B$6</f>
        <v>0.733333333333333</v>
      </c>
      <c r="Q213" s="7" t="n">
        <f aca="false">SUMIFS(Doors!AC:AC,Doors!$A:$A,$D213,Doors!$B:$B,$B213,Doors!$C:$C,$C213)*SUMIFS(Velocity!$I:$I,Velocity!$A:$A,$A213,Velocity!$B:$B,$C213)/Assumptions!$B$4*Assumptions!$B$6</f>
        <v>0.733333333333333</v>
      </c>
      <c r="R213" s="7" t="n">
        <f aca="false">SUMIFS(Doors!AD:AD,Doors!$A:$A,$D213,Doors!$B:$B,$B213,Doors!$C:$C,$C213)*SUMIFS(Velocity!$I:$I,Velocity!$A:$A,$A213,Velocity!$B:$B,$C213)/Assumptions!$B$4*Assumptions!$B$6</f>
        <v>1.46666666666667</v>
      </c>
      <c r="S213" s="7" t="n">
        <f aca="false">SUMIFS(Doors!AE:AE,Doors!$A:$A,$D213,Doors!$B:$B,$B213,Doors!$C:$C,$C213)*SUMIFS(Velocity!$I:$I,Velocity!$A:$A,$A213,Velocity!$B:$B,$C213)/Assumptions!$B$4*Assumptions!$B$6</f>
        <v>1.46666666666667</v>
      </c>
      <c r="T213" s="7" t="n">
        <f aca="false">SUMIFS(Doors!AF:AF,Doors!$A:$A,$D213,Doors!$B:$B,$B213,Doors!$C:$C,$C213)*SUMIFS(Velocity!$I:$I,Velocity!$A:$A,$A213,Velocity!$B:$B,$C213)/Assumptions!$B$4*Assumptions!$B$6</f>
        <v>1.46666666666667</v>
      </c>
      <c r="U213" s="7" t="n">
        <f aca="false">SUMIFS(Doors!AG:AG,Doors!$A:$A,$D213,Doors!$B:$B,$B213,Doors!$C:$C,$C213)*SUMIFS(Velocity!$I:$I,Velocity!$A:$A,$A213,Velocity!$B:$B,$C213)/Assumptions!$B$4*Assumptions!$B$6</f>
        <v>1.46666666666667</v>
      </c>
      <c r="V213" s="7" t="n">
        <f aca="false">SUMIFS(Doors!AH:AH,Doors!$A:$A,$D213,Doors!$B:$B,$B213,Doors!$C:$C,$C213)*SUMIFS(Velocity!$I:$I,Velocity!$A:$A,$A213,Velocity!$B:$B,$C213)/Assumptions!$B$4*Assumptions!$B$6</f>
        <v>1.46666666666667</v>
      </c>
      <c r="W213" s="7" t="n">
        <f aca="false">SUMIFS(Doors!AI:AI,Doors!$A:$A,$D213,Doors!$B:$B,$B213,Doors!$C:$C,$C213)*SUMIFS(Velocity!$I:$I,Velocity!$A:$A,$A213,Velocity!$B:$B,$C213)/Assumptions!$B$4*Assumptions!$B$6</f>
        <v>2.56666666666667</v>
      </c>
      <c r="X213" s="7" t="n">
        <f aca="false">SUMIFS(Doors!AJ:AJ,Doors!$A:$A,$D213,Doors!$B:$B,$B213,Doors!$C:$C,$C213)*SUMIFS(Velocity!$I:$I,Velocity!$A:$A,$A213,Velocity!$B:$B,$C213)/Assumptions!$B$4*Assumptions!$B$6</f>
        <v>2.56666666666667</v>
      </c>
      <c r="Y213" s="7" t="n">
        <f aca="false">SUMIFS(Doors!AK:AK,Doors!$A:$A,$D213,Doors!$B:$B,$B213,Doors!$C:$C,$C213)*SUMIFS(Velocity!$I:$I,Velocity!$A:$A,$A213,Velocity!$B:$B,$C213)/Assumptions!$B$4*Assumptions!$B$6</f>
        <v>2.56666666666667</v>
      </c>
      <c r="Z213" s="7" t="n">
        <f aca="false">SUMIFS(Doors!AL:AL,Doors!$A:$A,$D213,Doors!$B:$B,$B213,Doors!$C:$C,$C213)*SUMIFS(Velocity!$I:$I,Velocity!$A:$A,$A213,Velocity!$B:$B,$C213)/Assumptions!$B$4*Assumptions!$B$6</f>
        <v>2.56666666666667</v>
      </c>
      <c r="AA213" s="7" t="n">
        <f aca="false">SUMIFS(Doors!AM:AM,Doors!$A:$A,$D213,Doors!$B:$B,$B213,Doors!$C:$C,$C213)*SUMIFS(Velocity!$I:$I,Velocity!$A:$A,$A213,Velocity!$B:$B,$C213)/Assumptions!$B$4*Assumptions!$B$6</f>
        <v>3.66666666666667</v>
      </c>
      <c r="AB213" s="7" t="n">
        <f aca="false">SUMIFS(Doors!AN:AN,Doors!$A:$A,$D213,Doors!$B:$B,$B213,Doors!$C:$C,$C213)*SUMIFS(Velocity!$I:$I,Velocity!$A:$A,$A213,Velocity!$B:$B,$C213)/Assumptions!$B$4*Assumptions!$B$6</f>
        <v>3.66666666666667</v>
      </c>
      <c r="AC213" s="7" t="n">
        <f aca="false">SUMIFS(Doors!AO:AO,Doors!$A:$A,$D213,Doors!$B:$B,$B213,Doors!$C:$C,$C213)*SUMIFS(Velocity!$I:$I,Velocity!$A:$A,$A213,Velocity!$B:$B,$C213)/Assumptions!$B$4*Assumptions!$B$6</f>
        <v>3.66666666666667</v>
      </c>
      <c r="AD213" s="7" t="n">
        <f aca="false">SUMIFS(Doors!AP:AP,Doors!$A:$A,$D213,Doors!$B:$B,$B213,Doors!$C:$C,$C213)*SUMIFS(Velocity!$I:$I,Velocity!$A:$A,$A213,Velocity!$B:$B,$C213)/Assumptions!$B$4*Assumptions!$B$6</f>
        <v>3.66666666666667</v>
      </c>
      <c r="AE213" s="7" t="n">
        <f aca="false">SUMIFS(Doors!AQ:AQ,Doors!$A:$A,$D213,Doors!$B:$B,$B213,Doors!$C:$C,$C213)*SUMIFS(Velocity!$I:$I,Velocity!$A:$A,$A213,Velocity!$B:$B,$C213)/Assumptions!$B$4*Assumptions!$B$6</f>
        <v>4.76666666666667</v>
      </c>
      <c r="AF213" s="7" t="n">
        <f aca="false">SUMIFS(Doors!AR:AR,Doors!$A:$A,$D213,Doors!$B:$B,$B213,Doors!$C:$C,$C213)*SUMIFS(Velocity!$I:$I,Velocity!$A:$A,$A213,Velocity!$B:$B,$C213)/Assumptions!$B$4*Assumptions!$B$6</f>
        <v>4.76666666666667</v>
      </c>
      <c r="AG213" s="7" t="n">
        <f aca="false">SUMIFS(Doors!AS:AS,Doors!$A:$A,$D213,Doors!$B:$B,$B213,Doors!$C:$C,$C213)*SUMIFS(Velocity!$I:$I,Velocity!$A:$A,$A213,Velocity!$B:$B,$C213)/Assumptions!$B$4*Assumptions!$B$6</f>
        <v>4.76666666666667</v>
      </c>
      <c r="AH213" s="7" t="n">
        <f aca="false">SUMIFS(Doors!AT:AT,Doors!$A:$A,$D213,Doors!$B:$B,$B213,Doors!$C:$C,$C213)*SUMIFS(Velocity!$I:$I,Velocity!$A:$A,$A213,Velocity!$B:$B,$C213)/Assumptions!$B$4*Assumptions!$B$6</f>
        <v>4.76666666666667</v>
      </c>
      <c r="AI213" s="7" t="n">
        <f aca="false">SUMIFS(Doors!AU:AU,Doors!$A:$A,$D213,Doors!$B:$B,$B213,Doors!$C:$C,$C213)*SUMIFS(Velocity!$I:$I,Velocity!$A:$A,$A213,Velocity!$B:$B,$C213)/Assumptions!$B$4*Assumptions!$B$6</f>
        <v>4.76666666666667</v>
      </c>
      <c r="AJ213" s="7" t="n">
        <f aca="false">SUMIFS(Doors!AV:AV,Doors!$A:$A,$D213,Doors!$B:$B,$B213,Doors!$C:$C,$C213)*SUMIFS(Velocity!$I:$I,Velocity!$A:$A,$A213,Velocity!$B:$B,$C213)/Assumptions!$B$4*Assumptions!$B$6</f>
        <v>5.5</v>
      </c>
      <c r="AK213" s="7" t="n">
        <f aca="false">SUMIFS(Doors!AW:AW,Doors!$A:$A,$D213,Doors!$B:$B,$B213,Doors!$C:$C,$C213)*SUMIFS(Velocity!$I:$I,Velocity!$A:$A,$A213,Velocity!$B:$B,$C213)/Assumptions!$B$4*Assumptions!$B$6</f>
        <v>5.5</v>
      </c>
      <c r="AL213" s="7" t="n">
        <f aca="false">SUMIFS(Doors!AX:AX,Doors!$A:$A,$D213,Doors!$B:$B,$B213,Doors!$C:$C,$C213)*SUMIFS(Velocity!$I:$I,Velocity!$A:$A,$A213,Velocity!$B:$B,$C213)/Assumptions!$B$4*Assumptions!$B$6</f>
        <v>5.5</v>
      </c>
      <c r="AM213" s="7" t="n">
        <f aca="false">SUMIFS(Doors!AY:AY,Doors!$A:$A,$D213,Doors!$B:$B,$B213,Doors!$C:$C,$C213)*SUMIFS(Velocity!$I:$I,Velocity!$A:$A,$A213,Velocity!$B:$B,$C213)/Assumptions!$B$4*Assumptions!$B$6</f>
        <v>5.5</v>
      </c>
      <c r="AN213" s="7" t="n">
        <f aca="false">SUMIFS(Doors!AZ:AZ,Doors!$A:$A,$D213,Doors!$B:$B,$B213,Doors!$C:$C,$C213)*SUMIFS(Velocity!$I:$I,Velocity!$A:$A,$A213,Velocity!$B:$B,$C213)/Assumptions!$B$4*Assumptions!$B$6</f>
        <v>6.23333333333333</v>
      </c>
      <c r="AO213" s="7" t="n">
        <f aca="false">SUMIFS(Doors!BA:BA,Doors!$A:$A,$D213,Doors!$B:$B,$B213,Doors!$C:$C,$C213)*SUMIFS(Velocity!$I:$I,Velocity!$A:$A,$A213,Velocity!$B:$B,$C213)/Assumptions!$B$4*Assumptions!$B$6</f>
        <v>6.23333333333333</v>
      </c>
      <c r="AP213" s="7" t="n">
        <f aca="false">SUMIFS(Doors!BB:BB,Doors!$A:$A,$D213,Doors!$B:$B,$B213,Doors!$C:$C,$C213)*SUMIFS(Velocity!$I:$I,Velocity!$A:$A,$A213,Velocity!$B:$B,$C213)/Assumptions!$B$4*Assumptions!$B$6</f>
        <v>6.23333333333333</v>
      </c>
      <c r="AQ213" s="7" t="n">
        <f aca="false">SUMIFS(Doors!BC:BC,Doors!$A:$A,$D213,Doors!$B:$B,$B213,Doors!$C:$C,$C213)*SUMIFS(Velocity!$I:$I,Velocity!$A:$A,$A213,Velocity!$B:$B,$C213)/Assumptions!$B$4*Assumptions!$B$6</f>
        <v>6.23333333333333</v>
      </c>
      <c r="AR213" s="7" t="n">
        <f aca="false">SUMIFS(Doors!BD:BD,Doors!$A:$A,$D213,Doors!$B:$B,$B213,Doors!$C:$C,$C213)*SUMIFS(Velocity!$I:$I,Velocity!$A:$A,$A213,Velocity!$B:$B,$C213)/Assumptions!$B$4*Assumptions!$B$6</f>
        <v>6.96666666666667</v>
      </c>
      <c r="AS213" s="7" t="n">
        <f aca="false">SUMIFS(Doors!BE:BE,Doors!$A:$A,$D213,Doors!$B:$B,$B213,Doors!$C:$C,$C213)*SUMIFS(Velocity!$I:$I,Velocity!$A:$A,$A213,Velocity!$B:$B,$C213)/Assumptions!$B$4*Assumptions!$B$6</f>
        <v>6.96666666666667</v>
      </c>
      <c r="AT213" s="7" t="n">
        <f aca="false">SUMIFS(Doors!BF:BF,Doors!$A:$A,$D213,Doors!$B:$B,$B213,Doors!$C:$C,$C213)*SUMIFS(Velocity!$I:$I,Velocity!$A:$A,$A213,Velocity!$B:$B,$C213)/Assumptions!$B$4*Assumptions!$B$6</f>
        <v>6.96666666666667</v>
      </c>
      <c r="AU213" s="7" t="n">
        <f aca="false">SUMIFS(Doors!BG:BG,Doors!$A:$A,$D213,Doors!$B:$B,$B213,Doors!$C:$C,$C213)*SUMIFS(Velocity!$I:$I,Velocity!$A:$A,$A213,Velocity!$B:$B,$C213)/Assumptions!$B$4*Assumptions!$B$6</f>
        <v>6.96666666666667</v>
      </c>
      <c r="AV213" s="7" t="n">
        <f aca="false">SUMIFS(Doors!BH:BH,Doors!$A:$A,$D213,Doors!$B:$B,$B213,Doors!$C:$C,$C213)*SUMIFS(Velocity!$I:$I,Velocity!$A:$A,$A213,Velocity!$B:$B,$C213)/Assumptions!$B$4*Assumptions!$B$6</f>
        <v>6.96666666666667</v>
      </c>
      <c r="AW213" s="7" t="n">
        <f aca="false">SUMIFS(Doors!BI:BI,Doors!$A:$A,$D213,Doors!$B:$B,$B213,Doors!$C:$C,$C213)*SUMIFS(Velocity!$I:$I,Velocity!$A:$A,$A213,Velocity!$B:$B,$C213)/Assumptions!$B$4*Assumptions!$B$6</f>
        <v>7.7</v>
      </c>
      <c r="AX213" s="7" t="n">
        <f aca="false">SUMIFS(Doors!BJ:BJ,Doors!$A:$A,$D213,Doors!$B:$B,$B213,Doors!$C:$C,$C213)*SUMIFS(Velocity!$I:$I,Velocity!$A:$A,$A213,Velocity!$B:$B,$C213)/Assumptions!$B$4*Assumptions!$B$6</f>
        <v>7.7</v>
      </c>
      <c r="AY213" s="7" t="n">
        <f aca="false">SUMIFS(Doors!BK:BK,Doors!$A:$A,$D213,Doors!$B:$B,$B213,Doors!$C:$C,$C213)*SUMIFS(Velocity!$I:$I,Velocity!$A:$A,$A213,Velocity!$B:$B,$C213)/Assumptions!$B$4*Assumptions!$B$6</f>
        <v>7.7</v>
      </c>
      <c r="AZ213" s="7" t="n">
        <f aca="false">SUMIFS(Doors!BL:BL,Doors!$A:$A,$D213,Doors!$B:$B,$B213,Doors!$C:$C,$C213)*SUMIFS(Velocity!$I:$I,Velocity!$A:$A,$A213,Velocity!$B:$B,$C213)/Assumptions!$B$4*Assumptions!$B$6</f>
        <v>7.7</v>
      </c>
      <c r="BA213" s="7" t="n">
        <f aca="false">SUMIFS(Doors!BM:BM,Doors!$A:$A,$D213,Doors!$B:$B,$B213,Doors!$C:$C,$C213)*SUMIFS(Velocity!$I:$I,Velocity!$A:$A,$A213,Velocity!$B:$B,$C213)/Assumptions!$B$4*Assumptions!$B$6</f>
        <v>8.06666666666667</v>
      </c>
      <c r="BB213" s="7" t="n">
        <f aca="false">SUMIFS(Doors!BN:BN,Doors!$A:$A,$D213,Doors!$B:$B,$B213,Doors!$C:$C,$C213)*SUMIFS(Velocity!$I:$I,Velocity!$A:$A,$A213,Velocity!$B:$B,$C213)/Assumptions!$B$4*Assumptions!$B$6</f>
        <v>8.06666666666667</v>
      </c>
      <c r="BC213" s="7" t="n">
        <f aca="false">SUMIFS(Doors!BO:BO,Doors!$A:$A,$D213,Doors!$B:$B,$B213,Doors!$C:$C,$C213)*SUMIFS(Velocity!$I:$I,Velocity!$A:$A,$A213,Velocity!$B:$B,$C213)/Assumptions!$B$4*Assumptions!$B$6</f>
        <v>8.06666666666667</v>
      </c>
      <c r="BD213" s="7" t="n">
        <f aca="false">SUMIFS(Doors!BP:BP,Doors!$A:$A,$D213,Doors!$B:$B,$B213,Doors!$C:$C,$C213)*SUMIFS(Velocity!$I:$I,Velocity!$A:$A,$A213,Velocity!$B:$B,$C213)/Assumptions!$B$4*Assumptions!$B$6</f>
        <v>8.06666666666667</v>
      </c>
    </row>
    <row r="214" customFormat="false" ht="15" hidden="false" customHeight="false" outlineLevel="0" collapsed="false">
      <c r="A214" s="0" t="s">
        <v>110</v>
      </c>
      <c r="B214" s="0" t="s">
        <v>129</v>
      </c>
      <c r="C214" s="0" t="s">
        <v>116</v>
      </c>
      <c r="D214" s="0" t="s">
        <v>235</v>
      </c>
      <c r="E214" s="7" t="n">
        <f aca="false">SUMIFS(Doors!Q:Q,Doors!$A:$A,$D214,Doors!$B:$B,$B214,Doors!$C:$C,$C214)*SUMIFS(Velocity!$I:$I,Velocity!$A:$A,$A214,Velocity!$B:$B,$C214)/Assumptions!$B$4*Assumptions!$B$6</f>
        <v>0</v>
      </c>
      <c r="F214" s="7" t="n">
        <f aca="false">SUMIFS(Doors!R:R,Doors!$A:$A,$D214,Doors!$B:$B,$B214,Doors!$C:$C,$C214)*SUMIFS(Velocity!$I:$I,Velocity!$A:$A,$A214,Velocity!$B:$B,$C214)/Assumptions!$B$4*Assumptions!$B$6</f>
        <v>0</v>
      </c>
      <c r="G214" s="7" t="n">
        <f aca="false">SUMIFS(Doors!S:S,Doors!$A:$A,$D214,Doors!$B:$B,$B214,Doors!$C:$C,$C214)*SUMIFS(Velocity!$I:$I,Velocity!$A:$A,$A214,Velocity!$B:$B,$C214)/Assumptions!$B$4*Assumptions!$B$6</f>
        <v>0</v>
      </c>
      <c r="H214" s="7" t="n">
        <f aca="false">SUMIFS(Doors!T:T,Doors!$A:$A,$D214,Doors!$B:$B,$B214,Doors!$C:$C,$C214)*SUMIFS(Velocity!$I:$I,Velocity!$A:$A,$A214,Velocity!$B:$B,$C214)/Assumptions!$B$4*Assumptions!$B$6</f>
        <v>0</v>
      </c>
      <c r="I214" s="7" t="n">
        <f aca="false">SUMIFS(Doors!U:U,Doors!$A:$A,$D214,Doors!$B:$B,$B214,Doors!$C:$C,$C214)*SUMIFS(Velocity!$I:$I,Velocity!$A:$A,$A214,Velocity!$B:$B,$C214)/Assumptions!$B$4*Assumptions!$B$6</f>
        <v>0</v>
      </c>
      <c r="J214" s="7" t="n">
        <f aca="false">SUMIFS(Doors!V:V,Doors!$A:$A,$D214,Doors!$B:$B,$B214,Doors!$C:$C,$C214)*SUMIFS(Velocity!$I:$I,Velocity!$A:$A,$A214,Velocity!$B:$B,$C214)/Assumptions!$B$4*Assumptions!$B$6</f>
        <v>0</v>
      </c>
      <c r="K214" s="7" t="n">
        <f aca="false">SUMIFS(Doors!W:W,Doors!$A:$A,$D214,Doors!$B:$B,$B214,Doors!$C:$C,$C214)*SUMIFS(Velocity!$I:$I,Velocity!$A:$A,$A214,Velocity!$B:$B,$C214)/Assumptions!$B$4*Assumptions!$B$6</f>
        <v>0</v>
      </c>
      <c r="L214" s="7" t="n">
        <f aca="false">SUMIFS(Doors!X:X,Doors!$A:$A,$D214,Doors!$B:$B,$B214,Doors!$C:$C,$C214)*SUMIFS(Velocity!$I:$I,Velocity!$A:$A,$A214,Velocity!$B:$B,$C214)/Assumptions!$B$4*Assumptions!$B$6</f>
        <v>0</v>
      </c>
      <c r="M214" s="7" t="n">
        <f aca="false">SUMIFS(Doors!Y:Y,Doors!$A:$A,$D214,Doors!$B:$B,$B214,Doors!$C:$C,$C214)*SUMIFS(Velocity!$I:$I,Velocity!$A:$A,$A214,Velocity!$B:$B,$C214)/Assumptions!$B$4*Assumptions!$B$6</f>
        <v>0</v>
      </c>
      <c r="N214" s="7" t="n">
        <f aca="false">SUMIFS(Doors!Z:Z,Doors!$A:$A,$D214,Doors!$B:$B,$B214,Doors!$C:$C,$C214)*SUMIFS(Velocity!$I:$I,Velocity!$A:$A,$A214,Velocity!$B:$B,$C214)/Assumptions!$B$4*Assumptions!$B$6</f>
        <v>0.316666666666667</v>
      </c>
      <c r="O214" s="7" t="n">
        <f aca="false">SUMIFS(Doors!AA:AA,Doors!$A:$A,$D214,Doors!$B:$B,$B214,Doors!$C:$C,$C214)*SUMIFS(Velocity!$I:$I,Velocity!$A:$A,$A214,Velocity!$B:$B,$C214)/Assumptions!$B$4*Assumptions!$B$6</f>
        <v>0.316666666666667</v>
      </c>
      <c r="P214" s="7" t="n">
        <f aca="false">SUMIFS(Doors!AB:AB,Doors!$A:$A,$D214,Doors!$B:$B,$B214,Doors!$C:$C,$C214)*SUMIFS(Velocity!$I:$I,Velocity!$A:$A,$A214,Velocity!$B:$B,$C214)/Assumptions!$B$4*Assumptions!$B$6</f>
        <v>0.316666666666667</v>
      </c>
      <c r="Q214" s="7" t="n">
        <f aca="false">SUMIFS(Doors!AC:AC,Doors!$A:$A,$D214,Doors!$B:$B,$B214,Doors!$C:$C,$C214)*SUMIFS(Velocity!$I:$I,Velocity!$A:$A,$A214,Velocity!$B:$B,$C214)/Assumptions!$B$4*Assumptions!$B$6</f>
        <v>0.316666666666667</v>
      </c>
      <c r="R214" s="7" t="n">
        <f aca="false">SUMIFS(Doors!AD:AD,Doors!$A:$A,$D214,Doors!$B:$B,$B214,Doors!$C:$C,$C214)*SUMIFS(Velocity!$I:$I,Velocity!$A:$A,$A214,Velocity!$B:$B,$C214)/Assumptions!$B$4*Assumptions!$B$6</f>
        <v>0.633333333333333</v>
      </c>
      <c r="S214" s="7" t="n">
        <f aca="false">SUMIFS(Doors!AE:AE,Doors!$A:$A,$D214,Doors!$B:$B,$B214,Doors!$C:$C,$C214)*SUMIFS(Velocity!$I:$I,Velocity!$A:$A,$A214,Velocity!$B:$B,$C214)/Assumptions!$B$4*Assumptions!$B$6</f>
        <v>0.633333333333333</v>
      </c>
      <c r="T214" s="7" t="n">
        <f aca="false">SUMIFS(Doors!AF:AF,Doors!$A:$A,$D214,Doors!$B:$B,$B214,Doors!$C:$C,$C214)*SUMIFS(Velocity!$I:$I,Velocity!$A:$A,$A214,Velocity!$B:$B,$C214)/Assumptions!$B$4*Assumptions!$B$6</f>
        <v>0.633333333333333</v>
      </c>
      <c r="U214" s="7" t="n">
        <f aca="false">SUMIFS(Doors!AG:AG,Doors!$A:$A,$D214,Doors!$B:$B,$B214,Doors!$C:$C,$C214)*SUMIFS(Velocity!$I:$I,Velocity!$A:$A,$A214,Velocity!$B:$B,$C214)/Assumptions!$B$4*Assumptions!$B$6</f>
        <v>0.633333333333333</v>
      </c>
      <c r="V214" s="7" t="n">
        <f aca="false">SUMIFS(Doors!AH:AH,Doors!$A:$A,$D214,Doors!$B:$B,$B214,Doors!$C:$C,$C214)*SUMIFS(Velocity!$I:$I,Velocity!$A:$A,$A214,Velocity!$B:$B,$C214)/Assumptions!$B$4*Assumptions!$B$6</f>
        <v>0.633333333333333</v>
      </c>
      <c r="W214" s="7" t="n">
        <f aca="false">SUMIFS(Doors!AI:AI,Doors!$A:$A,$D214,Doors!$B:$B,$B214,Doors!$C:$C,$C214)*SUMIFS(Velocity!$I:$I,Velocity!$A:$A,$A214,Velocity!$B:$B,$C214)/Assumptions!$B$4*Assumptions!$B$6</f>
        <v>0.95</v>
      </c>
      <c r="X214" s="7" t="n">
        <f aca="false">SUMIFS(Doors!AJ:AJ,Doors!$A:$A,$D214,Doors!$B:$B,$B214,Doors!$C:$C,$C214)*SUMIFS(Velocity!$I:$I,Velocity!$A:$A,$A214,Velocity!$B:$B,$C214)/Assumptions!$B$4*Assumptions!$B$6</f>
        <v>0.95</v>
      </c>
      <c r="Y214" s="7" t="n">
        <f aca="false">SUMIFS(Doors!AK:AK,Doors!$A:$A,$D214,Doors!$B:$B,$B214,Doors!$C:$C,$C214)*SUMIFS(Velocity!$I:$I,Velocity!$A:$A,$A214,Velocity!$B:$B,$C214)/Assumptions!$B$4*Assumptions!$B$6</f>
        <v>0.95</v>
      </c>
      <c r="Z214" s="7" t="n">
        <f aca="false">SUMIFS(Doors!AL:AL,Doors!$A:$A,$D214,Doors!$B:$B,$B214,Doors!$C:$C,$C214)*SUMIFS(Velocity!$I:$I,Velocity!$A:$A,$A214,Velocity!$B:$B,$C214)/Assumptions!$B$4*Assumptions!$B$6</f>
        <v>0.95</v>
      </c>
      <c r="AA214" s="7" t="n">
        <f aca="false">SUMIFS(Doors!AM:AM,Doors!$A:$A,$D214,Doors!$B:$B,$B214,Doors!$C:$C,$C214)*SUMIFS(Velocity!$I:$I,Velocity!$A:$A,$A214,Velocity!$B:$B,$C214)/Assumptions!$B$4*Assumptions!$B$6</f>
        <v>1.58333333333333</v>
      </c>
      <c r="AB214" s="7" t="n">
        <f aca="false">SUMIFS(Doors!AN:AN,Doors!$A:$A,$D214,Doors!$B:$B,$B214,Doors!$C:$C,$C214)*SUMIFS(Velocity!$I:$I,Velocity!$A:$A,$A214,Velocity!$B:$B,$C214)/Assumptions!$B$4*Assumptions!$B$6</f>
        <v>1.58333333333333</v>
      </c>
      <c r="AC214" s="7" t="n">
        <f aca="false">SUMIFS(Doors!AO:AO,Doors!$A:$A,$D214,Doors!$B:$B,$B214,Doors!$C:$C,$C214)*SUMIFS(Velocity!$I:$I,Velocity!$A:$A,$A214,Velocity!$B:$B,$C214)/Assumptions!$B$4*Assumptions!$B$6</f>
        <v>1.58333333333333</v>
      </c>
      <c r="AD214" s="7" t="n">
        <f aca="false">SUMIFS(Doors!AP:AP,Doors!$A:$A,$D214,Doors!$B:$B,$B214,Doors!$C:$C,$C214)*SUMIFS(Velocity!$I:$I,Velocity!$A:$A,$A214,Velocity!$B:$B,$C214)/Assumptions!$B$4*Assumptions!$B$6</f>
        <v>1.58333333333333</v>
      </c>
      <c r="AE214" s="7" t="n">
        <f aca="false">SUMIFS(Doors!AQ:AQ,Doors!$A:$A,$D214,Doors!$B:$B,$B214,Doors!$C:$C,$C214)*SUMIFS(Velocity!$I:$I,Velocity!$A:$A,$A214,Velocity!$B:$B,$C214)/Assumptions!$B$4*Assumptions!$B$6</f>
        <v>2.21666666666667</v>
      </c>
      <c r="AF214" s="7" t="n">
        <f aca="false">SUMIFS(Doors!AR:AR,Doors!$A:$A,$D214,Doors!$B:$B,$B214,Doors!$C:$C,$C214)*SUMIFS(Velocity!$I:$I,Velocity!$A:$A,$A214,Velocity!$B:$B,$C214)/Assumptions!$B$4*Assumptions!$B$6</f>
        <v>2.21666666666667</v>
      </c>
      <c r="AG214" s="7" t="n">
        <f aca="false">SUMIFS(Doors!AS:AS,Doors!$A:$A,$D214,Doors!$B:$B,$B214,Doors!$C:$C,$C214)*SUMIFS(Velocity!$I:$I,Velocity!$A:$A,$A214,Velocity!$B:$B,$C214)/Assumptions!$B$4*Assumptions!$B$6</f>
        <v>2.21666666666667</v>
      </c>
      <c r="AH214" s="7" t="n">
        <f aca="false">SUMIFS(Doors!AT:AT,Doors!$A:$A,$D214,Doors!$B:$B,$B214,Doors!$C:$C,$C214)*SUMIFS(Velocity!$I:$I,Velocity!$A:$A,$A214,Velocity!$B:$B,$C214)/Assumptions!$B$4*Assumptions!$B$6</f>
        <v>2.21666666666667</v>
      </c>
      <c r="AI214" s="7" t="n">
        <f aca="false">SUMIFS(Doors!AU:AU,Doors!$A:$A,$D214,Doors!$B:$B,$B214,Doors!$C:$C,$C214)*SUMIFS(Velocity!$I:$I,Velocity!$A:$A,$A214,Velocity!$B:$B,$C214)/Assumptions!$B$4*Assumptions!$B$6</f>
        <v>2.21666666666667</v>
      </c>
      <c r="AJ214" s="7" t="n">
        <f aca="false">SUMIFS(Doors!AV:AV,Doors!$A:$A,$D214,Doors!$B:$B,$B214,Doors!$C:$C,$C214)*SUMIFS(Velocity!$I:$I,Velocity!$A:$A,$A214,Velocity!$B:$B,$C214)/Assumptions!$B$4*Assumptions!$B$6</f>
        <v>2.53333333333333</v>
      </c>
      <c r="AK214" s="7" t="n">
        <f aca="false">SUMIFS(Doors!AW:AW,Doors!$A:$A,$D214,Doors!$B:$B,$B214,Doors!$C:$C,$C214)*SUMIFS(Velocity!$I:$I,Velocity!$A:$A,$A214,Velocity!$B:$B,$C214)/Assumptions!$B$4*Assumptions!$B$6</f>
        <v>2.53333333333333</v>
      </c>
      <c r="AL214" s="7" t="n">
        <f aca="false">SUMIFS(Doors!AX:AX,Doors!$A:$A,$D214,Doors!$B:$B,$B214,Doors!$C:$C,$C214)*SUMIFS(Velocity!$I:$I,Velocity!$A:$A,$A214,Velocity!$B:$B,$C214)/Assumptions!$B$4*Assumptions!$B$6</f>
        <v>2.53333333333333</v>
      </c>
      <c r="AM214" s="7" t="n">
        <f aca="false">SUMIFS(Doors!AY:AY,Doors!$A:$A,$D214,Doors!$B:$B,$B214,Doors!$C:$C,$C214)*SUMIFS(Velocity!$I:$I,Velocity!$A:$A,$A214,Velocity!$B:$B,$C214)/Assumptions!$B$4*Assumptions!$B$6</f>
        <v>2.53333333333333</v>
      </c>
      <c r="AN214" s="7" t="n">
        <f aca="false">SUMIFS(Doors!AZ:AZ,Doors!$A:$A,$D214,Doors!$B:$B,$B214,Doors!$C:$C,$C214)*SUMIFS(Velocity!$I:$I,Velocity!$A:$A,$A214,Velocity!$B:$B,$C214)/Assumptions!$B$4*Assumptions!$B$6</f>
        <v>3.16666666666667</v>
      </c>
      <c r="AO214" s="7" t="n">
        <f aca="false">SUMIFS(Doors!BA:BA,Doors!$A:$A,$D214,Doors!$B:$B,$B214,Doors!$C:$C,$C214)*SUMIFS(Velocity!$I:$I,Velocity!$A:$A,$A214,Velocity!$B:$B,$C214)/Assumptions!$B$4*Assumptions!$B$6</f>
        <v>3.16666666666667</v>
      </c>
      <c r="AP214" s="7" t="n">
        <f aca="false">SUMIFS(Doors!BB:BB,Doors!$A:$A,$D214,Doors!$B:$B,$B214,Doors!$C:$C,$C214)*SUMIFS(Velocity!$I:$I,Velocity!$A:$A,$A214,Velocity!$B:$B,$C214)/Assumptions!$B$4*Assumptions!$B$6</f>
        <v>3.16666666666667</v>
      </c>
      <c r="AQ214" s="7" t="n">
        <f aca="false">SUMIFS(Doors!BC:BC,Doors!$A:$A,$D214,Doors!$B:$B,$B214,Doors!$C:$C,$C214)*SUMIFS(Velocity!$I:$I,Velocity!$A:$A,$A214,Velocity!$B:$B,$C214)/Assumptions!$B$4*Assumptions!$B$6</f>
        <v>3.16666666666667</v>
      </c>
      <c r="AR214" s="7" t="n">
        <f aca="false">SUMIFS(Doors!BD:BD,Doors!$A:$A,$D214,Doors!$B:$B,$B214,Doors!$C:$C,$C214)*SUMIFS(Velocity!$I:$I,Velocity!$A:$A,$A214,Velocity!$B:$B,$C214)/Assumptions!$B$4*Assumptions!$B$6</f>
        <v>3.48333333333333</v>
      </c>
      <c r="AS214" s="7" t="n">
        <f aca="false">SUMIFS(Doors!BE:BE,Doors!$A:$A,$D214,Doors!$B:$B,$B214,Doors!$C:$C,$C214)*SUMIFS(Velocity!$I:$I,Velocity!$A:$A,$A214,Velocity!$B:$B,$C214)/Assumptions!$B$4*Assumptions!$B$6</f>
        <v>3.48333333333333</v>
      </c>
      <c r="AT214" s="7" t="n">
        <f aca="false">SUMIFS(Doors!BF:BF,Doors!$A:$A,$D214,Doors!$B:$B,$B214,Doors!$C:$C,$C214)*SUMIFS(Velocity!$I:$I,Velocity!$A:$A,$A214,Velocity!$B:$B,$C214)/Assumptions!$B$4*Assumptions!$B$6</f>
        <v>3.48333333333333</v>
      </c>
      <c r="AU214" s="7" t="n">
        <f aca="false">SUMIFS(Doors!BG:BG,Doors!$A:$A,$D214,Doors!$B:$B,$B214,Doors!$C:$C,$C214)*SUMIFS(Velocity!$I:$I,Velocity!$A:$A,$A214,Velocity!$B:$B,$C214)/Assumptions!$B$4*Assumptions!$B$6</f>
        <v>3.48333333333333</v>
      </c>
      <c r="AV214" s="7" t="n">
        <f aca="false">SUMIFS(Doors!BH:BH,Doors!$A:$A,$D214,Doors!$B:$B,$B214,Doors!$C:$C,$C214)*SUMIFS(Velocity!$I:$I,Velocity!$A:$A,$A214,Velocity!$B:$B,$C214)/Assumptions!$B$4*Assumptions!$B$6</f>
        <v>3.48333333333333</v>
      </c>
      <c r="AW214" s="7" t="n">
        <f aca="false">SUMIFS(Doors!BI:BI,Doors!$A:$A,$D214,Doors!$B:$B,$B214,Doors!$C:$C,$C214)*SUMIFS(Velocity!$I:$I,Velocity!$A:$A,$A214,Velocity!$B:$B,$C214)/Assumptions!$B$4*Assumptions!$B$6</f>
        <v>3.8</v>
      </c>
      <c r="AX214" s="7" t="n">
        <f aca="false">SUMIFS(Doors!BJ:BJ,Doors!$A:$A,$D214,Doors!$B:$B,$B214,Doors!$C:$C,$C214)*SUMIFS(Velocity!$I:$I,Velocity!$A:$A,$A214,Velocity!$B:$B,$C214)/Assumptions!$B$4*Assumptions!$B$6</f>
        <v>3.8</v>
      </c>
      <c r="AY214" s="7" t="n">
        <f aca="false">SUMIFS(Doors!BK:BK,Doors!$A:$A,$D214,Doors!$B:$B,$B214,Doors!$C:$C,$C214)*SUMIFS(Velocity!$I:$I,Velocity!$A:$A,$A214,Velocity!$B:$B,$C214)/Assumptions!$B$4*Assumptions!$B$6</f>
        <v>3.8</v>
      </c>
      <c r="AZ214" s="7" t="n">
        <f aca="false">SUMIFS(Doors!BL:BL,Doors!$A:$A,$D214,Doors!$B:$B,$B214,Doors!$C:$C,$C214)*SUMIFS(Velocity!$I:$I,Velocity!$A:$A,$A214,Velocity!$B:$B,$C214)/Assumptions!$B$4*Assumptions!$B$6</f>
        <v>3.8</v>
      </c>
      <c r="BA214" s="7" t="n">
        <f aca="false">SUMIFS(Doors!BM:BM,Doors!$A:$A,$D214,Doors!$B:$B,$B214,Doors!$C:$C,$C214)*SUMIFS(Velocity!$I:$I,Velocity!$A:$A,$A214,Velocity!$B:$B,$C214)/Assumptions!$B$4*Assumptions!$B$6</f>
        <v>4.11666666666667</v>
      </c>
      <c r="BB214" s="7" t="n">
        <f aca="false">SUMIFS(Doors!BN:BN,Doors!$A:$A,$D214,Doors!$B:$B,$B214,Doors!$C:$C,$C214)*SUMIFS(Velocity!$I:$I,Velocity!$A:$A,$A214,Velocity!$B:$B,$C214)/Assumptions!$B$4*Assumptions!$B$6</f>
        <v>4.11666666666667</v>
      </c>
      <c r="BC214" s="7" t="n">
        <f aca="false">SUMIFS(Doors!BO:BO,Doors!$A:$A,$D214,Doors!$B:$B,$B214,Doors!$C:$C,$C214)*SUMIFS(Velocity!$I:$I,Velocity!$A:$A,$A214,Velocity!$B:$B,$C214)/Assumptions!$B$4*Assumptions!$B$6</f>
        <v>4.11666666666667</v>
      </c>
      <c r="BD214" s="7" t="n">
        <f aca="false">SUMIFS(Doors!BP:BP,Doors!$A:$A,$D214,Doors!$B:$B,$B214,Doors!$C:$C,$C214)*SUMIFS(Velocity!$I:$I,Velocity!$A:$A,$A214,Velocity!$B:$B,$C214)/Assumptions!$B$4*Assumptions!$B$6</f>
        <v>4.11666666666667</v>
      </c>
    </row>
    <row r="215" customFormat="false" ht="15" hidden="false" customHeight="false" outlineLevel="0" collapsed="false">
      <c r="A215" s="0" t="s">
        <v>110</v>
      </c>
      <c r="B215" s="0" t="s">
        <v>129</v>
      </c>
      <c r="C215" s="0" t="s">
        <v>117</v>
      </c>
      <c r="D215" s="0" t="s">
        <v>235</v>
      </c>
      <c r="E215" s="7" t="n">
        <f aca="false">SUMIFS(Doors!Q:Q,Doors!$A:$A,$D215,Doors!$B:$B,$B215,Doors!$C:$C,$C215)*SUMIFS(Velocity!$I:$I,Velocity!$A:$A,$A215,Velocity!$B:$B,$C215)/Assumptions!$B$4*Assumptions!$B$6</f>
        <v>0</v>
      </c>
      <c r="F215" s="7" t="n">
        <f aca="false">SUMIFS(Doors!R:R,Doors!$A:$A,$D215,Doors!$B:$B,$B215,Doors!$C:$C,$C215)*SUMIFS(Velocity!$I:$I,Velocity!$A:$A,$A215,Velocity!$B:$B,$C215)/Assumptions!$B$4*Assumptions!$B$6</f>
        <v>0</v>
      </c>
      <c r="G215" s="7" t="n">
        <f aca="false">SUMIFS(Doors!S:S,Doors!$A:$A,$D215,Doors!$B:$B,$B215,Doors!$C:$C,$C215)*SUMIFS(Velocity!$I:$I,Velocity!$A:$A,$A215,Velocity!$B:$B,$C215)/Assumptions!$B$4*Assumptions!$B$6</f>
        <v>0</v>
      </c>
      <c r="H215" s="7" t="n">
        <f aca="false">SUMIFS(Doors!T:T,Doors!$A:$A,$D215,Doors!$B:$B,$B215,Doors!$C:$C,$C215)*SUMIFS(Velocity!$I:$I,Velocity!$A:$A,$A215,Velocity!$B:$B,$C215)/Assumptions!$B$4*Assumptions!$B$6</f>
        <v>0</v>
      </c>
      <c r="I215" s="7" t="n">
        <f aca="false">SUMIFS(Doors!U:U,Doors!$A:$A,$D215,Doors!$B:$B,$B215,Doors!$C:$C,$C215)*SUMIFS(Velocity!$I:$I,Velocity!$A:$A,$A215,Velocity!$B:$B,$C215)/Assumptions!$B$4*Assumptions!$B$6</f>
        <v>0</v>
      </c>
      <c r="J215" s="7" t="n">
        <f aca="false">SUMIFS(Doors!V:V,Doors!$A:$A,$D215,Doors!$B:$B,$B215,Doors!$C:$C,$C215)*SUMIFS(Velocity!$I:$I,Velocity!$A:$A,$A215,Velocity!$B:$B,$C215)/Assumptions!$B$4*Assumptions!$B$6</f>
        <v>0</v>
      </c>
      <c r="K215" s="7" t="n">
        <f aca="false">SUMIFS(Doors!W:W,Doors!$A:$A,$D215,Doors!$B:$B,$B215,Doors!$C:$C,$C215)*SUMIFS(Velocity!$I:$I,Velocity!$A:$A,$A215,Velocity!$B:$B,$C215)/Assumptions!$B$4*Assumptions!$B$6</f>
        <v>0</v>
      </c>
      <c r="L215" s="7" t="n">
        <f aca="false">SUMIFS(Doors!X:X,Doors!$A:$A,$D215,Doors!$B:$B,$B215,Doors!$C:$C,$C215)*SUMIFS(Velocity!$I:$I,Velocity!$A:$A,$A215,Velocity!$B:$B,$C215)/Assumptions!$B$4*Assumptions!$B$6</f>
        <v>0</v>
      </c>
      <c r="M215" s="7" t="n">
        <f aca="false">SUMIFS(Doors!Y:Y,Doors!$A:$A,$D215,Doors!$B:$B,$B215,Doors!$C:$C,$C215)*SUMIFS(Velocity!$I:$I,Velocity!$A:$A,$A215,Velocity!$B:$B,$C215)/Assumptions!$B$4*Assumptions!$B$6</f>
        <v>0</v>
      </c>
      <c r="N215" s="7" t="n">
        <f aca="false">SUMIFS(Doors!Z:Z,Doors!$A:$A,$D215,Doors!$B:$B,$B215,Doors!$C:$C,$C215)*SUMIFS(Velocity!$I:$I,Velocity!$A:$A,$A215,Velocity!$B:$B,$C215)/Assumptions!$B$4*Assumptions!$B$6</f>
        <v>0</v>
      </c>
      <c r="O215" s="7" t="n">
        <f aca="false">SUMIFS(Doors!AA:AA,Doors!$A:$A,$D215,Doors!$B:$B,$B215,Doors!$C:$C,$C215)*SUMIFS(Velocity!$I:$I,Velocity!$A:$A,$A215,Velocity!$B:$B,$C215)/Assumptions!$B$4*Assumptions!$B$6</f>
        <v>0</v>
      </c>
      <c r="P215" s="7" t="n">
        <f aca="false">SUMIFS(Doors!AB:AB,Doors!$A:$A,$D215,Doors!$B:$B,$B215,Doors!$C:$C,$C215)*SUMIFS(Velocity!$I:$I,Velocity!$A:$A,$A215,Velocity!$B:$B,$C215)/Assumptions!$B$4*Assumptions!$B$6</f>
        <v>0</v>
      </c>
      <c r="Q215" s="7" t="n">
        <f aca="false">SUMIFS(Doors!AC:AC,Doors!$A:$A,$D215,Doors!$B:$B,$B215,Doors!$C:$C,$C215)*SUMIFS(Velocity!$I:$I,Velocity!$A:$A,$A215,Velocity!$B:$B,$C215)/Assumptions!$B$4*Assumptions!$B$6</f>
        <v>0</v>
      </c>
      <c r="R215" s="7" t="n">
        <f aca="false">SUMIFS(Doors!AD:AD,Doors!$A:$A,$D215,Doors!$B:$B,$B215,Doors!$C:$C,$C215)*SUMIFS(Velocity!$I:$I,Velocity!$A:$A,$A215,Velocity!$B:$B,$C215)/Assumptions!$B$4*Assumptions!$B$6</f>
        <v>0</v>
      </c>
      <c r="S215" s="7" t="n">
        <f aca="false">SUMIFS(Doors!AE:AE,Doors!$A:$A,$D215,Doors!$B:$B,$B215,Doors!$C:$C,$C215)*SUMIFS(Velocity!$I:$I,Velocity!$A:$A,$A215,Velocity!$B:$B,$C215)/Assumptions!$B$4*Assumptions!$B$6</f>
        <v>0</v>
      </c>
      <c r="T215" s="7" t="n">
        <f aca="false">SUMIFS(Doors!AF:AF,Doors!$A:$A,$D215,Doors!$B:$B,$B215,Doors!$C:$C,$C215)*SUMIFS(Velocity!$I:$I,Velocity!$A:$A,$A215,Velocity!$B:$B,$C215)/Assumptions!$B$4*Assumptions!$B$6</f>
        <v>0</v>
      </c>
      <c r="U215" s="7" t="n">
        <f aca="false">SUMIFS(Doors!AG:AG,Doors!$A:$A,$D215,Doors!$B:$B,$B215,Doors!$C:$C,$C215)*SUMIFS(Velocity!$I:$I,Velocity!$A:$A,$A215,Velocity!$B:$B,$C215)/Assumptions!$B$4*Assumptions!$B$6</f>
        <v>0</v>
      </c>
      <c r="V215" s="7" t="n">
        <f aca="false">SUMIFS(Doors!AH:AH,Doors!$A:$A,$D215,Doors!$B:$B,$B215,Doors!$C:$C,$C215)*SUMIFS(Velocity!$I:$I,Velocity!$A:$A,$A215,Velocity!$B:$B,$C215)/Assumptions!$B$4*Assumptions!$B$6</f>
        <v>0</v>
      </c>
      <c r="W215" s="7" t="n">
        <f aca="false">SUMIFS(Doors!AI:AI,Doors!$A:$A,$D215,Doors!$B:$B,$B215,Doors!$C:$C,$C215)*SUMIFS(Velocity!$I:$I,Velocity!$A:$A,$A215,Velocity!$B:$B,$C215)/Assumptions!$B$4*Assumptions!$B$6</f>
        <v>1.37083333333333</v>
      </c>
      <c r="X215" s="7" t="n">
        <f aca="false">SUMIFS(Doors!AJ:AJ,Doors!$A:$A,$D215,Doors!$B:$B,$B215,Doors!$C:$C,$C215)*SUMIFS(Velocity!$I:$I,Velocity!$A:$A,$A215,Velocity!$B:$B,$C215)/Assumptions!$B$4*Assumptions!$B$6</f>
        <v>1.37083333333333</v>
      </c>
      <c r="Y215" s="7" t="n">
        <f aca="false">SUMIFS(Doors!AK:AK,Doors!$A:$A,$D215,Doors!$B:$B,$B215,Doors!$C:$C,$C215)*SUMIFS(Velocity!$I:$I,Velocity!$A:$A,$A215,Velocity!$B:$B,$C215)/Assumptions!$B$4*Assumptions!$B$6</f>
        <v>1.37083333333333</v>
      </c>
      <c r="Z215" s="7" t="n">
        <f aca="false">SUMIFS(Doors!AL:AL,Doors!$A:$A,$D215,Doors!$B:$B,$B215,Doors!$C:$C,$C215)*SUMIFS(Velocity!$I:$I,Velocity!$A:$A,$A215,Velocity!$B:$B,$C215)/Assumptions!$B$4*Assumptions!$B$6</f>
        <v>1.37083333333333</v>
      </c>
      <c r="AA215" s="7" t="n">
        <f aca="false">SUMIFS(Doors!AM:AM,Doors!$A:$A,$D215,Doors!$B:$B,$B215,Doors!$C:$C,$C215)*SUMIFS(Velocity!$I:$I,Velocity!$A:$A,$A215,Velocity!$B:$B,$C215)/Assumptions!$B$4*Assumptions!$B$6</f>
        <v>2.74166666666667</v>
      </c>
      <c r="AB215" s="7" t="n">
        <f aca="false">SUMIFS(Doors!AN:AN,Doors!$A:$A,$D215,Doors!$B:$B,$B215,Doors!$C:$C,$C215)*SUMIFS(Velocity!$I:$I,Velocity!$A:$A,$A215,Velocity!$B:$B,$C215)/Assumptions!$B$4*Assumptions!$B$6</f>
        <v>2.74166666666667</v>
      </c>
      <c r="AC215" s="7" t="n">
        <f aca="false">SUMIFS(Doors!AO:AO,Doors!$A:$A,$D215,Doors!$B:$B,$B215,Doors!$C:$C,$C215)*SUMIFS(Velocity!$I:$I,Velocity!$A:$A,$A215,Velocity!$B:$B,$C215)/Assumptions!$B$4*Assumptions!$B$6</f>
        <v>2.74166666666667</v>
      </c>
      <c r="AD215" s="7" t="n">
        <f aca="false">SUMIFS(Doors!AP:AP,Doors!$A:$A,$D215,Doors!$B:$B,$B215,Doors!$C:$C,$C215)*SUMIFS(Velocity!$I:$I,Velocity!$A:$A,$A215,Velocity!$B:$B,$C215)/Assumptions!$B$4*Assumptions!$B$6</f>
        <v>2.74166666666667</v>
      </c>
      <c r="AE215" s="7" t="n">
        <f aca="false">SUMIFS(Doors!AQ:AQ,Doors!$A:$A,$D215,Doors!$B:$B,$B215,Doors!$C:$C,$C215)*SUMIFS(Velocity!$I:$I,Velocity!$A:$A,$A215,Velocity!$B:$B,$C215)/Assumptions!$B$4*Assumptions!$B$6</f>
        <v>4.1125</v>
      </c>
      <c r="AF215" s="7" t="n">
        <f aca="false">SUMIFS(Doors!AR:AR,Doors!$A:$A,$D215,Doors!$B:$B,$B215,Doors!$C:$C,$C215)*SUMIFS(Velocity!$I:$I,Velocity!$A:$A,$A215,Velocity!$B:$B,$C215)/Assumptions!$B$4*Assumptions!$B$6</f>
        <v>4.1125</v>
      </c>
      <c r="AG215" s="7" t="n">
        <f aca="false">SUMIFS(Doors!AS:AS,Doors!$A:$A,$D215,Doors!$B:$B,$B215,Doors!$C:$C,$C215)*SUMIFS(Velocity!$I:$I,Velocity!$A:$A,$A215,Velocity!$B:$B,$C215)/Assumptions!$B$4*Assumptions!$B$6</f>
        <v>4.1125</v>
      </c>
      <c r="AH215" s="7" t="n">
        <f aca="false">SUMIFS(Doors!AT:AT,Doors!$A:$A,$D215,Doors!$B:$B,$B215,Doors!$C:$C,$C215)*SUMIFS(Velocity!$I:$I,Velocity!$A:$A,$A215,Velocity!$B:$B,$C215)/Assumptions!$B$4*Assumptions!$B$6</f>
        <v>4.1125</v>
      </c>
      <c r="AI215" s="7" t="n">
        <f aca="false">SUMIFS(Doors!AU:AU,Doors!$A:$A,$D215,Doors!$B:$B,$B215,Doors!$C:$C,$C215)*SUMIFS(Velocity!$I:$I,Velocity!$A:$A,$A215,Velocity!$B:$B,$C215)/Assumptions!$B$4*Assumptions!$B$6</f>
        <v>4.1125</v>
      </c>
      <c r="AJ215" s="7" t="n">
        <f aca="false">SUMIFS(Doors!AV:AV,Doors!$A:$A,$D215,Doors!$B:$B,$B215,Doors!$C:$C,$C215)*SUMIFS(Velocity!$I:$I,Velocity!$A:$A,$A215,Velocity!$B:$B,$C215)/Assumptions!$B$4*Assumptions!$B$6</f>
        <v>5.48333333333333</v>
      </c>
      <c r="AK215" s="7" t="n">
        <f aca="false">SUMIFS(Doors!AW:AW,Doors!$A:$A,$D215,Doors!$B:$B,$B215,Doors!$C:$C,$C215)*SUMIFS(Velocity!$I:$I,Velocity!$A:$A,$A215,Velocity!$B:$B,$C215)/Assumptions!$B$4*Assumptions!$B$6</f>
        <v>5.48333333333333</v>
      </c>
      <c r="AL215" s="7" t="n">
        <f aca="false">SUMIFS(Doors!AX:AX,Doors!$A:$A,$D215,Doors!$B:$B,$B215,Doors!$C:$C,$C215)*SUMIFS(Velocity!$I:$I,Velocity!$A:$A,$A215,Velocity!$B:$B,$C215)/Assumptions!$B$4*Assumptions!$B$6</f>
        <v>5.48333333333333</v>
      </c>
      <c r="AM215" s="7" t="n">
        <f aca="false">SUMIFS(Doors!AY:AY,Doors!$A:$A,$D215,Doors!$B:$B,$B215,Doors!$C:$C,$C215)*SUMIFS(Velocity!$I:$I,Velocity!$A:$A,$A215,Velocity!$B:$B,$C215)/Assumptions!$B$4*Assumptions!$B$6</f>
        <v>5.48333333333333</v>
      </c>
      <c r="AN215" s="7" t="n">
        <f aca="false">SUMIFS(Doors!AZ:AZ,Doors!$A:$A,$D215,Doors!$B:$B,$B215,Doors!$C:$C,$C215)*SUMIFS(Velocity!$I:$I,Velocity!$A:$A,$A215,Velocity!$B:$B,$C215)/Assumptions!$B$4*Assumptions!$B$6</f>
        <v>6.85416666666667</v>
      </c>
      <c r="AO215" s="7" t="n">
        <f aca="false">SUMIFS(Doors!BA:BA,Doors!$A:$A,$D215,Doors!$B:$B,$B215,Doors!$C:$C,$C215)*SUMIFS(Velocity!$I:$I,Velocity!$A:$A,$A215,Velocity!$B:$B,$C215)/Assumptions!$B$4*Assumptions!$B$6</f>
        <v>6.85416666666667</v>
      </c>
      <c r="AP215" s="7" t="n">
        <f aca="false">SUMIFS(Doors!BB:BB,Doors!$A:$A,$D215,Doors!$B:$B,$B215,Doors!$C:$C,$C215)*SUMIFS(Velocity!$I:$I,Velocity!$A:$A,$A215,Velocity!$B:$B,$C215)/Assumptions!$B$4*Assumptions!$B$6</f>
        <v>6.85416666666667</v>
      </c>
      <c r="AQ215" s="7" t="n">
        <f aca="false">SUMIFS(Doors!BC:BC,Doors!$A:$A,$D215,Doors!$B:$B,$B215,Doors!$C:$C,$C215)*SUMIFS(Velocity!$I:$I,Velocity!$A:$A,$A215,Velocity!$B:$B,$C215)/Assumptions!$B$4*Assumptions!$B$6</f>
        <v>6.85416666666667</v>
      </c>
      <c r="AR215" s="7" t="n">
        <f aca="false">SUMIFS(Doors!BD:BD,Doors!$A:$A,$D215,Doors!$B:$B,$B215,Doors!$C:$C,$C215)*SUMIFS(Velocity!$I:$I,Velocity!$A:$A,$A215,Velocity!$B:$B,$C215)/Assumptions!$B$4*Assumptions!$B$6</f>
        <v>8.225</v>
      </c>
      <c r="AS215" s="7" t="n">
        <f aca="false">SUMIFS(Doors!BE:BE,Doors!$A:$A,$D215,Doors!$B:$B,$B215,Doors!$C:$C,$C215)*SUMIFS(Velocity!$I:$I,Velocity!$A:$A,$A215,Velocity!$B:$B,$C215)/Assumptions!$B$4*Assumptions!$B$6</f>
        <v>8.225</v>
      </c>
      <c r="AT215" s="7" t="n">
        <f aca="false">SUMIFS(Doors!BF:BF,Doors!$A:$A,$D215,Doors!$B:$B,$B215,Doors!$C:$C,$C215)*SUMIFS(Velocity!$I:$I,Velocity!$A:$A,$A215,Velocity!$B:$B,$C215)/Assumptions!$B$4*Assumptions!$B$6</f>
        <v>8.225</v>
      </c>
      <c r="AU215" s="7" t="n">
        <f aca="false">SUMIFS(Doors!BG:BG,Doors!$A:$A,$D215,Doors!$B:$B,$B215,Doors!$C:$C,$C215)*SUMIFS(Velocity!$I:$I,Velocity!$A:$A,$A215,Velocity!$B:$B,$C215)/Assumptions!$B$4*Assumptions!$B$6</f>
        <v>8.225</v>
      </c>
      <c r="AV215" s="7" t="n">
        <f aca="false">SUMIFS(Doors!BH:BH,Doors!$A:$A,$D215,Doors!$B:$B,$B215,Doors!$C:$C,$C215)*SUMIFS(Velocity!$I:$I,Velocity!$A:$A,$A215,Velocity!$B:$B,$C215)/Assumptions!$B$4*Assumptions!$B$6</f>
        <v>8.225</v>
      </c>
      <c r="AW215" s="7" t="n">
        <f aca="false">SUMIFS(Doors!BI:BI,Doors!$A:$A,$D215,Doors!$B:$B,$B215,Doors!$C:$C,$C215)*SUMIFS(Velocity!$I:$I,Velocity!$A:$A,$A215,Velocity!$B:$B,$C215)/Assumptions!$B$4*Assumptions!$B$6</f>
        <v>8.91041666666667</v>
      </c>
      <c r="AX215" s="7" t="n">
        <f aca="false">SUMIFS(Doors!BJ:BJ,Doors!$A:$A,$D215,Doors!$B:$B,$B215,Doors!$C:$C,$C215)*SUMIFS(Velocity!$I:$I,Velocity!$A:$A,$A215,Velocity!$B:$B,$C215)/Assumptions!$B$4*Assumptions!$B$6</f>
        <v>8.91041666666667</v>
      </c>
      <c r="AY215" s="7" t="n">
        <f aca="false">SUMIFS(Doors!BK:BK,Doors!$A:$A,$D215,Doors!$B:$B,$B215,Doors!$C:$C,$C215)*SUMIFS(Velocity!$I:$I,Velocity!$A:$A,$A215,Velocity!$B:$B,$C215)/Assumptions!$B$4*Assumptions!$B$6</f>
        <v>8.91041666666667</v>
      </c>
      <c r="AZ215" s="7" t="n">
        <f aca="false">SUMIFS(Doors!BL:BL,Doors!$A:$A,$D215,Doors!$B:$B,$B215,Doors!$C:$C,$C215)*SUMIFS(Velocity!$I:$I,Velocity!$A:$A,$A215,Velocity!$B:$B,$C215)/Assumptions!$B$4*Assumptions!$B$6</f>
        <v>8.91041666666667</v>
      </c>
      <c r="BA215" s="7" t="n">
        <f aca="false">SUMIFS(Doors!BM:BM,Doors!$A:$A,$D215,Doors!$B:$B,$B215,Doors!$C:$C,$C215)*SUMIFS(Velocity!$I:$I,Velocity!$A:$A,$A215,Velocity!$B:$B,$C215)/Assumptions!$B$4*Assumptions!$B$6</f>
        <v>9.59583333333333</v>
      </c>
      <c r="BB215" s="7" t="n">
        <f aca="false">SUMIFS(Doors!BN:BN,Doors!$A:$A,$D215,Doors!$B:$B,$B215,Doors!$C:$C,$C215)*SUMIFS(Velocity!$I:$I,Velocity!$A:$A,$A215,Velocity!$B:$B,$C215)/Assumptions!$B$4*Assumptions!$B$6</f>
        <v>9.59583333333333</v>
      </c>
      <c r="BC215" s="7" t="n">
        <f aca="false">SUMIFS(Doors!BO:BO,Doors!$A:$A,$D215,Doors!$B:$B,$B215,Doors!$C:$C,$C215)*SUMIFS(Velocity!$I:$I,Velocity!$A:$A,$A215,Velocity!$B:$B,$C215)/Assumptions!$B$4*Assumptions!$B$6</f>
        <v>9.59583333333333</v>
      </c>
      <c r="BD215" s="7" t="n">
        <f aca="false">SUMIFS(Doors!BP:BP,Doors!$A:$A,$D215,Doors!$B:$B,$B215,Doors!$C:$C,$C215)*SUMIFS(Velocity!$I:$I,Velocity!$A:$A,$A215,Velocity!$B:$B,$C215)/Assumptions!$B$4*Assumptions!$B$6</f>
        <v>9.59583333333333</v>
      </c>
    </row>
    <row r="216" customFormat="false" ht="15" hidden="false" customHeight="false" outlineLevel="0" collapsed="false">
      <c r="A216" s="0" t="s">
        <v>110</v>
      </c>
      <c r="B216" s="0" t="s">
        <v>129</v>
      </c>
      <c r="C216" s="0" t="s">
        <v>118</v>
      </c>
      <c r="D216" s="0" t="s">
        <v>235</v>
      </c>
      <c r="E216" s="7" t="n">
        <f aca="false">SUMIFS(Doors!Q:Q,Doors!$A:$A,$D216,Doors!$B:$B,$B216,Doors!$C:$C,$C216)*SUMIFS(Velocity!$I:$I,Velocity!$A:$A,$A216,Velocity!$B:$B,$C216)/Assumptions!$B$4*Assumptions!$B$6</f>
        <v>0</v>
      </c>
      <c r="F216" s="7" t="n">
        <f aca="false">SUMIFS(Doors!R:R,Doors!$A:$A,$D216,Doors!$B:$B,$B216,Doors!$C:$C,$C216)*SUMIFS(Velocity!$I:$I,Velocity!$A:$A,$A216,Velocity!$B:$B,$C216)/Assumptions!$B$4*Assumptions!$B$6</f>
        <v>0</v>
      </c>
      <c r="G216" s="7" t="n">
        <f aca="false">SUMIFS(Doors!S:S,Doors!$A:$A,$D216,Doors!$B:$B,$B216,Doors!$C:$C,$C216)*SUMIFS(Velocity!$I:$I,Velocity!$A:$A,$A216,Velocity!$B:$B,$C216)/Assumptions!$B$4*Assumptions!$B$6</f>
        <v>0</v>
      </c>
      <c r="H216" s="7" t="n">
        <f aca="false">SUMIFS(Doors!T:T,Doors!$A:$A,$D216,Doors!$B:$B,$B216,Doors!$C:$C,$C216)*SUMIFS(Velocity!$I:$I,Velocity!$A:$A,$A216,Velocity!$B:$B,$C216)/Assumptions!$B$4*Assumptions!$B$6</f>
        <v>0</v>
      </c>
      <c r="I216" s="7" t="n">
        <f aca="false">SUMIFS(Doors!U:U,Doors!$A:$A,$D216,Doors!$B:$B,$B216,Doors!$C:$C,$C216)*SUMIFS(Velocity!$I:$I,Velocity!$A:$A,$A216,Velocity!$B:$B,$C216)/Assumptions!$B$4*Assumptions!$B$6</f>
        <v>0</v>
      </c>
      <c r="J216" s="7" t="n">
        <f aca="false">SUMIFS(Doors!V:V,Doors!$A:$A,$D216,Doors!$B:$B,$B216,Doors!$C:$C,$C216)*SUMIFS(Velocity!$I:$I,Velocity!$A:$A,$A216,Velocity!$B:$B,$C216)/Assumptions!$B$4*Assumptions!$B$6</f>
        <v>0</v>
      </c>
      <c r="K216" s="7" t="n">
        <f aca="false">SUMIFS(Doors!W:W,Doors!$A:$A,$D216,Doors!$B:$B,$B216,Doors!$C:$C,$C216)*SUMIFS(Velocity!$I:$I,Velocity!$A:$A,$A216,Velocity!$B:$B,$C216)/Assumptions!$B$4*Assumptions!$B$6</f>
        <v>0</v>
      </c>
      <c r="L216" s="7" t="n">
        <f aca="false">SUMIFS(Doors!X:X,Doors!$A:$A,$D216,Doors!$B:$B,$B216,Doors!$C:$C,$C216)*SUMIFS(Velocity!$I:$I,Velocity!$A:$A,$A216,Velocity!$B:$B,$C216)/Assumptions!$B$4*Assumptions!$B$6</f>
        <v>0</v>
      </c>
      <c r="M216" s="7" t="n">
        <f aca="false">SUMIFS(Doors!Y:Y,Doors!$A:$A,$D216,Doors!$B:$B,$B216,Doors!$C:$C,$C216)*SUMIFS(Velocity!$I:$I,Velocity!$A:$A,$A216,Velocity!$B:$B,$C216)/Assumptions!$B$4*Assumptions!$B$6</f>
        <v>0</v>
      </c>
      <c r="N216" s="7" t="n">
        <f aca="false">SUMIFS(Doors!Z:Z,Doors!$A:$A,$D216,Doors!$B:$B,$B216,Doors!$C:$C,$C216)*SUMIFS(Velocity!$I:$I,Velocity!$A:$A,$A216,Velocity!$B:$B,$C216)/Assumptions!$B$4*Assumptions!$B$6</f>
        <v>0</v>
      </c>
      <c r="O216" s="7" t="n">
        <f aca="false">SUMIFS(Doors!AA:AA,Doors!$A:$A,$D216,Doors!$B:$B,$B216,Doors!$C:$C,$C216)*SUMIFS(Velocity!$I:$I,Velocity!$A:$A,$A216,Velocity!$B:$B,$C216)/Assumptions!$B$4*Assumptions!$B$6</f>
        <v>0</v>
      </c>
      <c r="P216" s="7" t="n">
        <f aca="false">SUMIFS(Doors!AB:AB,Doors!$A:$A,$D216,Doors!$B:$B,$B216,Doors!$C:$C,$C216)*SUMIFS(Velocity!$I:$I,Velocity!$A:$A,$A216,Velocity!$B:$B,$C216)/Assumptions!$B$4*Assumptions!$B$6</f>
        <v>0</v>
      </c>
      <c r="Q216" s="7" t="n">
        <f aca="false">SUMIFS(Doors!AC:AC,Doors!$A:$A,$D216,Doors!$B:$B,$B216,Doors!$C:$C,$C216)*SUMIFS(Velocity!$I:$I,Velocity!$A:$A,$A216,Velocity!$B:$B,$C216)/Assumptions!$B$4*Assumptions!$B$6</f>
        <v>0</v>
      </c>
      <c r="R216" s="7" t="n">
        <f aca="false">SUMIFS(Doors!AD:AD,Doors!$A:$A,$D216,Doors!$B:$B,$B216,Doors!$C:$C,$C216)*SUMIFS(Velocity!$I:$I,Velocity!$A:$A,$A216,Velocity!$B:$B,$C216)/Assumptions!$B$4*Assumptions!$B$6</f>
        <v>0</v>
      </c>
      <c r="S216" s="7" t="n">
        <f aca="false">SUMIFS(Doors!AE:AE,Doors!$A:$A,$D216,Doors!$B:$B,$B216,Doors!$C:$C,$C216)*SUMIFS(Velocity!$I:$I,Velocity!$A:$A,$A216,Velocity!$B:$B,$C216)/Assumptions!$B$4*Assumptions!$B$6</f>
        <v>0</v>
      </c>
      <c r="T216" s="7" t="n">
        <f aca="false">SUMIFS(Doors!AF:AF,Doors!$A:$A,$D216,Doors!$B:$B,$B216,Doors!$C:$C,$C216)*SUMIFS(Velocity!$I:$I,Velocity!$A:$A,$A216,Velocity!$B:$B,$C216)/Assumptions!$B$4*Assumptions!$B$6</f>
        <v>0</v>
      </c>
      <c r="U216" s="7" t="n">
        <f aca="false">SUMIFS(Doors!AG:AG,Doors!$A:$A,$D216,Doors!$B:$B,$B216,Doors!$C:$C,$C216)*SUMIFS(Velocity!$I:$I,Velocity!$A:$A,$A216,Velocity!$B:$B,$C216)/Assumptions!$B$4*Assumptions!$B$6</f>
        <v>0</v>
      </c>
      <c r="V216" s="7" t="n">
        <f aca="false">SUMIFS(Doors!AH:AH,Doors!$A:$A,$D216,Doors!$B:$B,$B216,Doors!$C:$C,$C216)*SUMIFS(Velocity!$I:$I,Velocity!$A:$A,$A216,Velocity!$B:$B,$C216)/Assumptions!$B$4*Assumptions!$B$6</f>
        <v>0</v>
      </c>
      <c r="W216" s="7" t="n">
        <f aca="false">SUMIFS(Doors!AI:AI,Doors!$A:$A,$D216,Doors!$B:$B,$B216,Doors!$C:$C,$C216)*SUMIFS(Velocity!$I:$I,Velocity!$A:$A,$A216,Velocity!$B:$B,$C216)/Assumptions!$B$4*Assumptions!$B$6</f>
        <v>0</v>
      </c>
      <c r="X216" s="7" t="n">
        <f aca="false">SUMIFS(Doors!AJ:AJ,Doors!$A:$A,$D216,Doors!$B:$B,$B216,Doors!$C:$C,$C216)*SUMIFS(Velocity!$I:$I,Velocity!$A:$A,$A216,Velocity!$B:$B,$C216)/Assumptions!$B$4*Assumptions!$B$6</f>
        <v>0</v>
      </c>
      <c r="Y216" s="7" t="n">
        <f aca="false">SUMIFS(Doors!AK:AK,Doors!$A:$A,$D216,Doors!$B:$B,$B216,Doors!$C:$C,$C216)*SUMIFS(Velocity!$I:$I,Velocity!$A:$A,$A216,Velocity!$B:$B,$C216)/Assumptions!$B$4*Assumptions!$B$6</f>
        <v>0</v>
      </c>
      <c r="Z216" s="7" t="n">
        <f aca="false">SUMIFS(Doors!AL:AL,Doors!$A:$A,$D216,Doors!$B:$B,$B216,Doors!$C:$C,$C216)*SUMIFS(Velocity!$I:$I,Velocity!$A:$A,$A216,Velocity!$B:$B,$C216)/Assumptions!$B$4*Assumptions!$B$6</f>
        <v>0</v>
      </c>
      <c r="AA216" s="7" t="n">
        <f aca="false">SUMIFS(Doors!AM:AM,Doors!$A:$A,$D216,Doors!$B:$B,$B216,Doors!$C:$C,$C216)*SUMIFS(Velocity!$I:$I,Velocity!$A:$A,$A216,Velocity!$B:$B,$C216)/Assumptions!$B$4*Assumptions!$B$6</f>
        <v>0</v>
      </c>
      <c r="AB216" s="7" t="n">
        <f aca="false">SUMIFS(Doors!AN:AN,Doors!$A:$A,$D216,Doors!$B:$B,$B216,Doors!$C:$C,$C216)*SUMIFS(Velocity!$I:$I,Velocity!$A:$A,$A216,Velocity!$B:$B,$C216)/Assumptions!$B$4*Assumptions!$B$6</f>
        <v>0</v>
      </c>
      <c r="AC216" s="7" t="n">
        <f aca="false">SUMIFS(Doors!AO:AO,Doors!$A:$A,$D216,Doors!$B:$B,$B216,Doors!$C:$C,$C216)*SUMIFS(Velocity!$I:$I,Velocity!$A:$A,$A216,Velocity!$B:$B,$C216)/Assumptions!$B$4*Assumptions!$B$6</f>
        <v>0</v>
      </c>
      <c r="AD216" s="7" t="n">
        <f aca="false">SUMIFS(Doors!AP:AP,Doors!$A:$A,$D216,Doors!$B:$B,$B216,Doors!$C:$C,$C216)*SUMIFS(Velocity!$I:$I,Velocity!$A:$A,$A216,Velocity!$B:$B,$C216)/Assumptions!$B$4*Assumptions!$B$6</f>
        <v>0</v>
      </c>
      <c r="AE216" s="7" t="n">
        <f aca="false">SUMIFS(Doors!AQ:AQ,Doors!$A:$A,$D216,Doors!$B:$B,$B216,Doors!$C:$C,$C216)*SUMIFS(Velocity!$I:$I,Velocity!$A:$A,$A216,Velocity!$B:$B,$C216)/Assumptions!$B$4*Assumptions!$B$6</f>
        <v>0</v>
      </c>
      <c r="AF216" s="7" t="n">
        <f aca="false">SUMIFS(Doors!AR:AR,Doors!$A:$A,$D216,Doors!$B:$B,$B216,Doors!$C:$C,$C216)*SUMIFS(Velocity!$I:$I,Velocity!$A:$A,$A216,Velocity!$B:$B,$C216)/Assumptions!$B$4*Assumptions!$B$6</f>
        <v>0</v>
      </c>
      <c r="AG216" s="7" t="n">
        <f aca="false">SUMIFS(Doors!AS:AS,Doors!$A:$A,$D216,Doors!$B:$B,$B216,Doors!$C:$C,$C216)*SUMIFS(Velocity!$I:$I,Velocity!$A:$A,$A216,Velocity!$B:$B,$C216)/Assumptions!$B$4*Assumptions!$B$6</f>
        <v>0</v>
      </c>
      <c r="AH216" s="7" t="n">
        <f aca="false">SUMIFS(Doors!AT:AT,Doors!$A:$A,$D216,Doors!$B:$B,$B216,Doors!$C:$C,$C216)*SUMIFS(Velocity!$I:$I,Velocity!$A:$A,$A216,Velocity!$B:$B,$C216)/Assumptions!$B$4*Assumptions!$B$6</f>
        <v>0</v>
      </c>
      <c r="AI216" s="7" t="n">
        <f aca="false">SUMIFS(Doors!AU:AU,Doors!$A:$A,$D216,Doors!$B:$B,$B216,Doors!$C:$C,$C216)*SUMIFS(Velocity!$I:$I,Velocity!$A:$A,$A216,Velocity!$B:$B,$C216)/Assumptions!$B$4*Assumptions!$B$6</f>
        <v>0</v>
      </c>
      <c r="AJ216" s="7" t="n">
        <f aca="false">SUMIFS(Doors!AV:AV,Doors!$A:$A,$D216,Doors!$B:$B,$B216,Doors!$C:$C,$C216)*SUMIFS(Velocity!$I:$I,Velocity!$A:$A,$A216,Velocity!$B:$B,$C216)/Assumptions!$B$4*Assumptions!$B$6</f>
        <v>0</v>
      </c>
      <c r="AK216" s="7" t="n">
        <f aca="false">SUMIFS(Doors!AW:AW,Doors!$A:$A,$D216,Doors!$B:$B,$B216,Doors!$C:$C,$C216)*SUMIFS(Velocity!$I:$I,Velocity!$A:$A,$A216,Velocity!$B:$B,$C216)/Assumptions!$B$4*Assumptions!$B$6</f>
        <v>0</v>
      </c>
      <c r="AL216" s="7" t="n">
        <f aca="false">SUMIFS(Doors!AX:AX,Doors!$A:$A,$D216,Doors!$B:$B,$B216,Doors!$C:$C,$C216)*SUMIFS(Velocity!$I:$I,Velocity!$A:$A,$A216,Velocity!$B:$B,$C216)/Assumptions!$B$4*Assumptions!$B$6</f>
        <v>0</v>
      </c>
      <c r="AM216" s="7" t="n">
        <f aca="false">SUMIFS(Doors!AY:AY,Doors!$A:$A,$D216,Doors!$B:$B,$B216,Doors!$C:$C,$C216)*SUMIFS(Velocity!$I:$I,Velocity!$A:$A,$A216,Velocity!$B:$B,$C216)/Assumptions!$B$4*Assumptions!$B$6</f>
        <v>0</v>
      </c>
      <c r="AN216" s="7" t="n">
        <f aca="false">SUMIFS(Doors!AZ:AZ,Doors!$A:$A,$D216,Doors!$B:$B,$B216,Doors!$C:$C,$C216)*SUMIFS(Velocity!$I:$I,Velocity!$A:$A,$A216,Velocity!$B:$B,$C216)/Assumptions!$B$4*Assumptions!$B$6</f>
        <v>0</v>
      </c>
      <c r="AO216" s="7" t="n">
        <f aca="false">SUMIFS(Doors!BA:BA,Doors!$A:$A,$D216,Doors!$B:$B,$B216,Doors!$C:$C,$C216)*SUMIFS(Velocity!$I:$I,Velocity!$A:$A,$A216,Velocity!$B:$B,$C216)/Assumptions!$B$4*Assumptions!$B$6</f>
        <v>0</v>
      </c>
      <c r="AP216" s="7" t="n">
        <f aca="false">SUMIFS(Doors!BB:BB,Doors!$A:$A,$D216,Doors!$B:$B,$B216,Doors!$C:$C,$C216)*SUMIFS(Velocity!$I:$I,Velocity!$A:$A,$A216,Velocity!$B:$B,$C216)/Assumptions!$B$4*Assumptions!$B$6</f>
        <v>0</v>
      </c>
      <c r="AQ216" s="7" t="n">
        <f aca="false">SUMIFS(Doors!BC:BC,Doors!$A:$A,$D216,Doors!$B:$B,$B216,Doors!$C:$C,$C216)*SUMIFS(Velocity!$I:$I,Velocity!$A:$A,$A216,Velocity!$B:$B,$C216)/Assumptions!$B$4*Assumptions!$B$6</f>
        <v>0</v>
      </c>
      <c r="AR216" s="7" t="n">
        <f aca="false">SUMIFS(Doors!BD:BD,Doors!$A:$A,$D216,Doors!$B:$B,$B216,Doors!$C:$C,$C216)*SUMIFS(Velocity!$I:$I,Velocity!$A:$A,$A216,Velocity!$B:$B,$C216)/Assumptions!$B$4*Assumptions!$B$6</f>
        <v>33.6666666666667</v>
      </c>
      <c r="AS216" s="7" t="n">
        <f aca="false">SUMIFS(Doors!BE:BE,Doors!$A:$A,$D216,Doors!$B:$B,$B216,Doors!$C:$C,$C216)*SUMIFS(Velocity!$I:$I,Velocity!$A:$A,$A216,Velocity!$B:$B,$C216)/Assumptions!$B$4*Assumptions!$B$6</f>
        <v>33.6666666666667</v>
      </c>
      <c r="AT216" s="7" t="n">
        <f aca="false">SUMIFS(Doors!BF:BF,Doors!$A:$A,$D216,Doors!$B:$B,$B216,Doors!$C:$C,$C216)*SUMIFS(Velocity!$I:$I,Velocity!$A:$A,$A216,Velocity!$B:$B,$C216)/Assumptions!$B$4*Assumptions!$B$6</f>
        <v>33.6666666666667</v>
      </c>
      <c r="AU216" s="7" t="n">
        <f aca="false">SUMIFS(Doors!BG:BG,Doors!$A:$A,$D216,Doors!$B:$B,$B216,Doors!$C:$C,$C216)*SUMIFS(Velocity!$I:$I,Velocity!$A:$A,$A216,Velocity!$B:$B,$C216)/Assumptions!$B$4*Assumptions!$B$6</f>
        <v>33.6666666666667</v>
      </c>
      <c r="AV216" s="7" t="n">
        <f aca="false">SUMIFS(Doors!BH:BH,Doors!$A:$A,$D216,Doors!$B:$B,$B216,Doors!$C:$C,$C216)*SUMIFS(Velocity!$I:$I,Velocity!$A:$A,$A216,Velocity!$B:$B,$C216)/Assumptions!$B$4*Assumptions!$B$6</f>
        <v>33.6666666666667</v>
      </c>
      <c r="AW216" s="7" t="n">
        <f aca="false">SUMIFS(Doors!BI:BI,Doors!$A:$A,$D216,Doors!$B:$B,$B216,Doors!$C:$C,$C216)*SUMIFS(Velocity!$I:$I,Velocity!$A:$A,$A216,Velocity!$B:$B,$C216)/Assumptions!$B$4*Assumptions!$B$6</f>
        <v>42.0833333333333</v>
      </c>
      <c r="AX216" s="7" t="n">
        <f aca="false">SUMIFS(Doors!BJ:BJ,Doors!$A:$A,$D216,Doors!$B:$B,$B216,Doors!$C:$C,$C216)*SUMIFS(Velocity!$I:$I,Velocity!$A:$A,$A216,Velocity!$B:$B,$C216)/Assumptions!$B$4*Assumptions!$B$6</f>
        <v>42.0833333333333</v>
      </c>
      <c r="AY216" s="7" t="n">
        <f aca="false">SUMIFS(Doors!BK:BK,Doors!$A:$A,$D216,Doors!$B:$B,$B216,Doors!$C:$C,$C216)*SUMIFS(Velocity!$I:$I,Velocity!$A:$A,$A216,Velocity!$B:$B,$C216)/Assumptions!$B$4*Assumptions!$B$6</f>
        <v>42.0833333333333</v>
      </c>
      <c r="AZ216" s="7" t="n">
        <f aca="false">SUMIFS(Doors!BL:BL,Doors!$A:$A,$D216,Doors!$B:$B,$B216,Doors!$C:$C,$C216)*SUMIFS(Velocity!$I:$I,Velocity!$A:$A,$A216,Velocity!$B:$B,$C216)/Assumptions!$B$4*Assumptions!$B$6</f>
        <v>42.0833333333333</v>
      </c>
      <c r="BA216" s="7" t="n">
        <f aca="false">SUMIFS(Doors!BM:BM,Doors!$A:$A,$D216,Doors!$B:$B,$B216,Doors!$C:$C,$C216)*SUMIFS(Velocity!$I:$I,Velocity!$A:$A,$A216,Velocity!$B:$B,$C216)/Assumptions!$B$4*Assumptions!$B$6</f>
        <v>50.5</v>
      </c>
      <c r="BB216" s="7" t="n">
        <f aca="false">SUMIFS(Doors!BN:BN,Doors!$A:$A,$D216,Doors!$B:$B,$B216,Doors!$C:$C,$C216)*SUMIFS(Velocity!$I:$I,Velocity!$A:$A,$A216,Velocity!$B:$B,$C216)/Assumptions!$B$4*Assumptions!$B$6</f>
        <v>50.5</v>
      </c>
      <c r="BC216" s="7" t="n">
        <f aca="false">SUMIFS(Doors!BO:BO,Doors!$A:$A,$D216,Doors!$B:$B,$B216,Doors!$C:$C,$C216)*SUMIFS(Velocity!$I:$I,Velocity!$A:$A,$A216,Velocity!$B:$B,$C216)/Assumptions!$B$4*Assumptions!$B$6</f>
        <v>50.5</v>
      </c>
      <c r="BD216" s="7" t="n">
        <f aca="false">SUMIFS(Doors!BP:BP,Doors!$A:$A,$D216,Doors!$B:$B,$B216,Doors!$C:$C,$C216)*SUMIFS(Velocity!$I:$I,Velocity!$A:$A,$A216,Velocity!$B:$B,$C216)/Assumptions!$B$4*Assumptions!$B$6</f>
        <v>50.5</v>
      </c>
    </row>
    <row r="217" customFormat="false" ht="15" hidden="false" customHeight="false" outlineLevel="0" collapsed="false">
      <c r="A217" s="0" t="s">
        <v>110</v>
      </c>
      <c r="B217" s="0" t="s">
        <v>129</v>
      </c>
      <c r="C217" s="0" t="s">
        <v>119</v>
      </c>
      <c r="D217" s="0" t="s">
        <v>235</v>
      </c>
      <c r="E217" s="7" t="n">
        <f aca="false">SUMIFS(Doors!Q:Q,Doors!$A:$A,$D217,Doors!$B:$B,$B217,Doors!$C:$C,$C217)*SUMIFS(Velocity!$I:$I,Velocity!$A:$A,$A217,Velocity!$B:$B,$C217)/Assumptions!$B$4*Assumptions!$B$6</f>
        <v>0.833333333333333</v>
      </c>
      <c r="F217" s="7" t="n">
        <f aca="false">SUMIFS(Doors!R:R,Doors!$A:$A,$D217,Doors!$B:$B,$B217,Doors!$C:$C,$C217)*SUMIFS(Velocity!$I:$I,Velocity!$A:$A,$A217,Velocity!$B:$B,$C217)/Assumptions!$B$4*Assumptions!$B$6</f>
        <v>0.833333333333333</v>
      </c>
      <c r="G217" s="7" t="n">
        <f aca="false">SUMIFS(Doors!S:S,Doors!$A:$A,$D217,Doors!$B:$B,$B217,Doors!$C:$C,$C217)*SUMIFS(Velocity!$I:$I,Velocity!$A:$A,$A217,Velocity!$B:$B,$C217)/Assumptions!$B$4*Assumptions!$B$6</f>
        <v>0.833333333333333</v>
      </c>
      <c r="H217" s="7" t="n">
        <f aca="false">SUMIFS(Doors!T:T,Doors!$A:$A,$D217,Doors!$B:$B,$B217,Doors!$C:$C,$C217)*SUMIFS(Velocity!$I:$I,Velocity!$A:$A,$A217,Velocity!$B:$B,$C217)/Assumptions!$B$4*Assumptions!$B$6</f>
        <v>0.833333333333333</v>
      </c>
      <c r="I217" s="7" t="n">
        <f aca="false">SUMIFS(Doors!U:U,Doors!$A:$A,$D217,Doors!$B:$B,$B217,Doors!$C:$C,$C217)*SUMIFS(Velocity!$I:$I,Velocity!$A:$A,$A217,Velocity!$B:$B,$C217)/Assumptions!$B$4*Assumptions!$B$6</f>
        <v>0.833333333333333</v>
      </c>
      <c r="J217" s="7" t="n">
        <f aca="false">SUMIFS(Doors!V:V,Doors!$A:$A,$D217,Doors!$B:$B,$B217,Doors!$C:$C,$C217)*SUMIFS(Velocity!$I:$I,Velocity!$A:$A,$A217,Velocity!$B:$B,$C217)/Assumptions!$B$4*Assumptions!$B$6</f>
        <v>1.33333333333333</v>
      </c>
      <c r="K217" s="7" t="n">
        <f aca="false">SUMIFS(Doors!W:W,Doors!$A:$A,$D217,Doors!$B:$B,$B217,Doors!$C:$C,$C217)*SUMIFS(Velocity!$I:$I,Velocity!$A:$A,$A217,Velocity!$B:$B,$C217)/Assumptions!$B$4*Assumptions!$B$6</f>
        <v>1.33333333333333</v>
      </c>
      <c r="L217" s="7" t="n">
        <f aca="false">SUMIFS(Doors!X:X,Doors!$A:$A,$D217,Doors!$B:$B,$B217,Doors!$C:$C,$C217)*SUMIFS(Velocity!$I:$I,Velocity!$A:$A,$A217,Velocity!$B:$B,$C217)/Assumptions!$B$4*Assumptions!$B$6</f>
        <v>1.33333333333333</v>
      </c>
      <c r="M217" s="7" t="n">
        <f aca="false">SUMIFS(Doors!Y:Y,Doors!$A:$A,$D217,Doors!$B:$B,$B217,Doors!$C:$C,$C217)*SUMIFS(Velocity!$I:$I,Velocity!$A:$A,$A217,Velocity!$B:$B,$C217)/Assumptions!$B$4*Assumptions!$B$6</f>
        <v>1.33333333333333</v>
      </c>
      <c r="N217" s="7" t="n">
        <f aca="false">SUMIFS(Doors!Z:Z,Doors!$A:$A,$D217,Doors!$B:$B,$B217,Doors!$C:$C,$C217)*SUMIFS(Velocity!$I:$I,Velocity!$A:$A,$A217,Velocity!$B:$B,$C217)/Assumptions!$B$4*Assumptions!$B$6</f>
        <v>2</v>
      </c>
      <c r="O217" s="7" t="n">
        <f aca="false">SUMIFS(Doors!AA:AA,Doors!$A:$A,$D217,Doors!$B:$B,$B217,Doors!$C:$C,$C217)*SUMIFS(Velocity!$I:$I,Velocity!$A:$A,$A217,Velocity!$B:$B,$C217)/Assumptions!$B$4*Assumptions!$B$6</f>
        <v>2</v>
      </c>
      <c r="P217" s="7" t="n">
        <f aca="false">SUMIFS(Doors!AB:AB,Doors!$A:$A,$D217,Doors!$B:$B,$B217,Doors!$C:$C,$C217)*SUMIFS(Velocity!$I:$I,Velocity!$A:$A,$A217,Velocity!$B:$B,$C217)/Assumptions!$B$4*Assumptions!$B$6</f>
        <v>2</v>
      </c>
      <c r="Q217" s="7" t="n">
        <f aca="false">SUMIFS(Doors!AC:AC,Doors!$A:$A,$D217,Doors!$B:$B,$B217,Doors!$C:$C,$C217)*SUMIFS(Velocity!$I:$I,Velocity!$A:$A,$A217,Velocity!$B:$B,$C217)/Assumptions!$B$4*Assumptions!$B$6</f>
        <v>2</v>
      </c>
      <c r="R217" s="7" t="n">
        <f aca="false">SUMIFS(Doors!AD:AD,Doors!$A:$A,$D217,Doors!$B:$B,$B217,Doors!$C:$C,$C217)*SUMIFS(Velocity!$I:$I,Velocity!$A:$A,$A217,Velocity!$B:$B,$C217)/Assumptions!$B$4*Assumptions!$B$6</f>
        <v>2.5</v>
      </c>
      <c r="S217" s="7" t="n">
        <f aca="false">SUMIFS(Doors!AE:AE,Doors!$A:$A,$D217,Doors!$B:$B,$B217,Doors!$C:$C,$C217)*SUMIFS(Velocity!$I:$I,Velocity!$A:$A,$A217,Velocity!$B:$B,$C217)/Assumptions!$B$4*Assumptions!$B$6</f>
        <v>2.5</v>
      </c>
      <c r="T217" s="7" t="n">
        <f aca="false">SUMIFS(Doors!AF:AF,Doors!$A:$A,$D217,Doors!$B:$B,$B217,Doors!$C:$C,$C217)*SUMIFS(Velocity!$I:$I,Velocity!$A:$A,$A217,Velocity!$B:$B,$C217)/Assumptions!$B$4*Assumptions!$B$6</f>
        <v>2.5</v>
      </c>
      <c r="U217" s="7" t="n">
        <f aca="false">SUMIFS(Doors!AG:AG,Doors!$A:$A,$D217,Doors!$B:$B,$B217,Doors!$C:$C,$C217)*SUMIFS(Velocity!$I:$I,Velocity!$A:$A,$A217,Velocity!$B:$B,$C217)/Assumptions!$B$4*Assumptions!$B$6</f>
        <v>2.5</v>
      </c>
      <c r="V217" s="7" t="n">
        <f aca="false">SUMIFS(Doors!AH:AH,Doors!$A:$A,$D217,Doors!$B:$B,$B217,Doors!$C:$C,$C217)*SUMIFS(Velocity!$I:$I,Velocity!$A:$A,$A217,Velocity!$B:$B,$C217)/Assumptions!$B$4*Assumptions!$B$6</f>
        <v>2.5</v>
      </c>
      <c r="W217" s="7" t="n">
        <f aca="false">SUMIFS(Doors!AI:AI,Doors!$A:$A,$D217,Doors!$B:$B,$B217,Doors!$C:$C,$C217)*SUMIFS(Velocity!$I:$I,Velocity!$A:$A,$A217,Velocity!$B:$B,$C217)/Assumptions!$B$4*Assumptions!$B$6</f>
        <v>3</v>
      </c>
      <c r="X217" s="7" t="n">
        <f aca="false">SUMIFS(Doors!AJ:AJ,Doors!$A:$A,$D217,Doors!$B:$B,$B217,Doors!$C:$C,$C217)*SUMIFS(Velocity!$I:$I,Velocity!$A:$A,$A217,Velocity!$B:$B,$C217)/Assumptions!$B$4*Assumptions!$B$6</f>
        <v>3</v>
      </c>
      <c r="Y217" s="7" t="n">
        <f aca="false">SUMIFS(Doors!AK:AK,Doors!$A:$A,$D217,Doors!$B:$B,$B217,Doors!$C:$C,$C217)*SUMIFS(Velocity!$I:$I,Velocity!$A:$A,$A217,Velocity!$B:$B,$C217)/Assumptions!$B$4*Assumptions!$B$6</f>
        <v>3</v>
      </c>
      <c r="Z217" s="7" t="n">
        <f aca="false">SUMIFS(Doors!AL:AL,Doors!$A:$A,$D217,Doors!$B:$B,$B217,Doors!$C:$C,$C217)*SUMIFS(Velocity!$I:$I,Velocity!$A:$A,$A217,Velocity!$B:$B,$C217)/Assumptions!$B$4*Assumptions!$B$6</f>
        <v>3</v>
      </c>
      <c r="AA217" s="7" t="n">
        <f aca="false">SUMIFS(Doors!AM:AM,Doors!$A:$A,$D217,Doors!$B:$B,$B217,Doors!$C:$C,$C217)*SUMIFS(Velocity!$I:$I,Velocity!$A:$A,$A217,Velocity!$B:$B,$C217)/Assumptions!$B$4*Assumptions!$B$6</f>
        <v>3.5</v>
      </c>
      <c r="AB217" s="7" t="n">
        <f aca="false">SUMIFS(Doors!AN:AN,Doors!$A:$A,$D217,Doors!$B:$B,$B217,Doors!$C:$C,$C217)*SUMIFS(Velocity!$I:$I,Velocity!$A:$A,$A217,Velocity!$B:$B,$C217)/Assumptions!$B$4*Assumptions!$B$6</f>
        <v>3.5</v>
      </c>
      <c r="AC217" s="7" t="n">
        <f aca="false">SUMIFS(Doors!AO:AO,Doors!$A:$A,$D217,Doors!$B:$B,$B217,Doors!$C:$C,$C217)*SUMIFS(Velocity!$I:$I,Velocity!$A:$A,$A217,Velocity!$B:$B,$C217)/Assumptions!$B$4*Assumptions!$B$6</f>
        <v>3.5</v>
      </c>
      <c r="AD217" s="7" t="n">
        <f aca="false">SUMIFS(Doors!AP:AP,Doors!$A:$A,$D217,Doors!$B:$B,$B217,Doors!$C:$C,$C217)*SUMIFS(Velocity!$I:$I,Velocity!$A:$A,$A217,Velocity!$B:$B,$C217)/Assumptions!$B$4*Assumptions!$B$6</f>
        <v>3.5</v>
      </c>
      <c r="AE217" s="7" t="n">
        <f aca="false">SUMIFS(Doors!AQ:AQ,Doors!$A:$A,$D217,Doors!$B:$B,$B217,Doors!$C:$C,$C217)*SUMIFS(Velocity!$I:$I,Velocity!$A:$A,$A217,Velocity!$B:$B,$C217)/Assumptions!$B$4*Assumptions!$B$6</f>
        <v>4</v>
      </c>
      <c r="AF217" s="7" t="n">
        <f aca="false">SUMIFS(Doors!AR:AR,Doors!$A:$A,$D217,Doors!$B:$B,$B217,Doors!$C:$C,$C217)*SUMIFS(Velocity!$I:$I,Velocity!$A:$A,$A217,Velocity!$B:$B,$C217)/Assumptions!$B$4*Assumptions!$B$6</f>
        <v>4</v>
      </c>
      <c r="AG217" s="7" t="n">
        <f aca="false">SUMIFS(Doors!AS:AS,Doors!$A:$A,$D217,Doors!$B:$B,$B217,Doors!$C:$C,$C217)*SUMIFS(Velocity!$I:$I,Velocity!$A:$A,$A217,Velocity!$B:$B,$C217)/Assumptions!$B$4*Assumptions!$B$6</f>
        <v>4</v>
      </c>
      <c r="AH217" s="7" t="n">
        <f aca="false">SUMIFS(Doors!AT:AT,Doors!$A:$A,$D217,Doors!$B:$B,$B217,Doors!$C:$C,$C217)*SUMIFS(Velocity!$I:$I,Velocity!$A:$A,$A217,Velocity!$B:$B,$C217)/Assumptions!$B$4*Assumptions!$B$6</f>
        <v>4</v>
      </c>
      <c r="AI217" s="7" t="n">
        <f aca="false">SUMIFS(Doors!AU:AU,Doors!$A:$A,$D217,Doors!$B:$B,$B217,Doors!$C:$C,$C217)*SUMIFS(Velocity!$I:$I,Velocity!$A:$A,$A217,Velocity!$B:$B,$C217)/Assumptions!$B$4*Assumptions!$B$6</f>
        <v>4</v>
      </c>
      <c r="AJ217" s="7" t="n">
        <f aca="false">SUMIFS(Doors!AV:AV,Doors!$A:$A,$D217,Doors!$B:$B,$B217,Doors!$C:$C,$C217)*SUMIFS(Velocity!$I:$I,Velocity!$A:$A,$A217,Velocity!$B:$B,$C217)/Assumptions!$B$4*Assumptions!$B$6</f>
        <v>4.33333333333333</v>
      </c>
      <c r="AK217" s="7" t="n">
        <f aca="false">SUMIFS(Doors!AW:AW,Doors!$A:$A,$D217,Doors!$B:$B,$B217,Doors!$C:$C,$C217)*SUMIFS(Velocity!$I:$I,Velocity!$A:$A,$A217,Velocity!$B:$B,$C217)/Assumptions!$B$4*Assumptions!$B$6</f>
        <v>4.33333333333333</v>
      </c>
      <c r="AL217" s="7" t="n">
        <f aca="false">SUMIFS(Doors!AX:AX,Doors!$A:$A,$D217,Doors!$B:$B,$B217,Doors!$C:$C,$C217)*SUMIFS(Velocity!$I:$I,Velocity!$A:$A,$A217,Velocity!$B:$B,$C217)/Assumptions!$B$4*Assumptions!$B$6</f>
        <v>4.33333333333333</v>
      </c>
      <c r="AM217" s="7" t="n">
        <f aca="false">SUMIFS(Doors!AY:AY,Doors!$A:$A,$D217,Doors!$B:$B,$B217,Doors!$C:$C,$C217)*SUMIFS(Velocity!$I:$I,Velocity!$A:$A,$A217,Velocity!$B:$B,$C217)/Assumptions!$B$4*Assumptions!$B$6</f>
        <v>4.33333333333333</v>
      </c>
      <c r="AN217" s="7" t="n">
        <f aca="false">SUMIFS(Doors!AZ:AZ,Doors!$A:$A,$D217,Doors!$B:$B,$B217,Doors!$C:$C,$C217)*SUMIFS(Velocity!$I:$I,Velocity!$A:$A,$A217,Velocity!$B:$B,$C217)/Assumptions!$B$4*Assumptions!$B$6</f>
        <v>4.66666666666667</v>
      </c>
      <c r="AO217" s="7" t="n">
        <f aca="false">SUMIFS(Doors!BA:BA,Doors!$A:$A,$D217,Doors!$B:$B,$B217,Doors!$C:$C,$C217)*SUMIFS(Velocity!$I:$I,Velocity!$A:$A,$A217,Velocity!$B:$B,$C217)/Assumptions!$B$4*Assumptions!$B$6</f>
        <v>4.66666666666667</v>
      </c>
      <c r="AP217" s="7" t="n">
        <f aca="false">SUMIFS(Doors!BB:BB,Doors!$A:$A,$D217,Doors!$B:$B,$B217,Doors!$C:$C,$C217)*SUMIFS(Velocity!$I:$I,Velocity!$A:$A,$A217,Velocity!$B:$B,$C217)/Assumptions!$B$4*Assumptions!$B$6</f>
        <v>4.66666666666667</v>
      </c>
      <c r="AQ217" s="7" t="n">
        <f aca="false">SUMIFS(Doors!BC:BC,Doors!$A:$A,$D217,Doors!$B:$B,$B217,Doors!$C:$C,$C217)*SUMIFS(Velocity!$I:$I,Velocity!$A:$A,$A217,Velocity!$B:$B,$C217)/Assumptions!$B$4*Assumptions!$B$6</f>
        <v>4.66666666666667</v>
      </c>
      <c r="AR217" s="7" t="n">
        <f aca="false">SUMIFS(Doors!BD:BD,Doors!$A:$A,$D217,Doors!$B:$B,$B217,Doors!$C:$C,$C217)*SUMIFS(Velocity!$I:$I,Velocity!$A:$A,$A217,Velocity!$B:$B,$C217)/Assumptions!$B$4*Assumptions!$B$6</f>
        <v>4.83333333333333</v>
      </c>
      <c r="AS217" s="7" t="n">
        <f aca="false">SUMIFS(Doors!BE:BE,Doors!$A:$A,$D217,Doors!$B:$B,$B217,Doors!$C:$C,$C217)*SUMIFS(Velocity!$I:$I,Velocity!$A:$A,$A217,Velocity!$B:$B,$C217)/Assumptions!$B$4*Assumptions!$B$6</f>
        <v>4.83333333333333</v>
      </c>
      <c r="AT217" s="7" t="n">
        <f aca="false">SUMIFS(Doors!BF:BF,Doors!$A:$A,$D217,Doors!$B:$B,$B217,Doors!$C:$C,$C217)*SUMIFS(Velocity!$I:$I,Velocity!$A:$A,$A217,Velocity!$B:$B,$C217)/Assumptions!$B$4*Assumptions!$B$6</f>
        <v>4.83333333333333</v>
      </c>
      <c r="AU217" s="7" t="n">
        <f aca="false">SUMIFS(Doors!BG:BG,Doors!$A:$A,$D217,Doors!$B:$B,$B217,Doors!$C:$C,$C217)*SUMIFS(Velocity!$I:$I,Velocity!$A:$A,$A217,Velocity!$B:$B,$C217)/Assumptions!$B$4*Assumptions!$B$6</f>
        <v>4.83333333333333</v>
      </c>
      <c r="AV217" s="7" t="n">
        <f aca="false">SUMIFS(Doors!BH:BH,Doors!$A:$A,$D217,Doors!$B:$B,$B217,Doors!$C:$C,$C217)*SUMIFS(Velocity!$I:$I,Velocity!$A:$A,$A217,Velocity!$B:$B,$C217)/Assumptions!$B$4*Assumptions!$B$6</f>
        <v>4.83333333333333</v>
      </c>
      <c r="AW217" s="7" t="n">
        <f aca="false">SUMIFS(Doors!BI:BI,Doors!$A:$A,$D217,Doors!$B:$B,$B217,Doors!$C:$C,$C217)*SUMIFS(Velocity!$I:$I,Velocity!$A:$A,$A217,Velocity!$B:$B,$C217)/Assumptions!$B$4*Assumptions!$B$6</f>
        <v>5</v>
      </c>
      <c r="AX217" s="7" t="n">
        <f aca="false">SUMIFS(Doors!BJ:BJ,Doors!$A:$A,$D217,Doors!$B:$B,$B217,Doors!$C:$C,$C217)*SUMIFS(Velocity!$I:$I,Velocity!$A:$A,$A217,Velocity!$B:$B,$C217)/Assumptions!$B$4*Assumptions!$B$6</f>
        <v>5</v>
      </c>
      <c r="AY217" s="7" t="n">
        <f aca="false">SUMIFS(Doors!BK:BK,Doors!$A:$A,$D217,Doors!$B:$B,$B217,Doors!$C:$C,$C217)*SUMIFS(Velocity!$I:$I,Velocity!$A:$A,$A217,Velocity!$B:$B,$C217)/Assumptions!$B$4*Assumptions!$B$6</f>
        <v>5</v>
      </c>
      <c r="AZ217" s="7" t="n">
        <f aca="false">SUMIFS(Doors!BL:BL,Doors!$A:$A,$D217,Doors!$B:$B,$B217,Doors!$C:$C,$C217)*SUMIFS(Velocity!$I:$I,Velocity!$A:$A,$A217,Velocity!$B:$B,$C217)/Assumptions!$B$4*Assumptions!$B$6</f>
        <v>5</v>
      </c>
      <c r="BA217" s="7" t="n">
        <f aca="false">SUMIFS(Doors!BM:BM,Doors!$A:$A,$D217,Doors!$B:$B,$B217,Doors!$C:$C,$C217)*SUMIFS(Velocity!$I:$I,Velocity!$A:$A,$A217,Velocity!$B:$B,$C217)/Assumptions!$B$4*Assumptions!$B$6</f>
        <v>5</v>
      </c>
      <c r="BB217" s="7" t="n">
        <f aca="false">SUMIFS(Doors!BN:BN,Doors!$A:$A,$D217,Doors!$B:$B,$B217,Doors!$C:$C,$C217)*SUMIFS(Velocity!$I:$I,Velocity!$A:$A,$A217,Velocity!$B:$B,$C217)/Assumptions!$B$4*Assumptions!$B$6</f>
        <v>5</v>
      </c>
      <c r="BC217" s="7" t="n">
        <f aca="false">SUMIFS(Doors!BO:BO,Doors!$A:$A,$D217,Doors!$B:$B,$B217,Doors!$C:$C,$C217)*SUMIFS(Velocity!$I:$I,Velocity!$A:$A,$A217,Velocity!$B:$B,$C217)/Assumptions!$B$4*Assumptions!$B$6</f>
        <v>5</v>
      </c>
      <c r="BD217" s="7" t="n">
        <f aca="false">SUMIFS(Doors!BP:BP,Doors!$A:$A,$D217,Doors!$B:$B,$B217,Doors!$C:$C,$C217)*SUMIFS(Velocity!$I:$I,Velocity!$A:$A,$A217,Velocity!$B:$B,$C217)/Assumptions!$B$4*Assumptions!$B$6</f>
        <v>5</v>
      </c>
    </row>
    <row r="218" customFormat="false" ht="15" hidden="false" customHeight="false" outlineLevel="0" collapsed="false">
      <c r="A218" s="0" t="s">
        <v>110</v>
      </c>
      <c r="B218" s="0" t="s">
        <v>129</v>
      </c>
      <c r="C218" s="0" t="s">
        <v>120</v>
      </c>
      <c r="D218" s="0" t="s">
        <v>235</v>
      </c>
      <c r="E218" s="7" t="n">
        <f aca="false">SUMIFS(Doors!Q:Q,Doors!$A:$A,$D218,Doors!$B:$B,$B218,Doors!$C:$C,$C218)*SUMIFS(Velocity!$I:$I,Velocity!$A:$A,$A218,Velocity!$B:$B,$C218)/Assumptions!$B$4*Assumptions!$B$6</f>
        <v>0.989583333333333</v>
      </c>
      <c r="F218" s="7" t="n">
        <f aca="false">SUMIFS(Doors!R:R,Doors!$A:$A,$D218,Doors!$B:$B,$B218,Doors!$C:$C,$C218)*SUMIFS(Velocity!$I:$I,Velocity!$A:$A,$A218,Velocity!$B:$B,$C218)/Assumptions!$B$4*Assumptions!$B$6</f>
        <v>0.989583333333333</v>
      </c>
      <c r="G218" s="7" t="n">
        <f aca="false">SUMIFS(Doors!S:S,Doors!$A:$A,$D218,Doors!$B:$B,$B218,Doors!$C:$C,$C218)*SUMIFS(Velocity!$I:$I,Velocity!$A:$A,$A218,Velocity!$B:$B,$C218)/Assumptions!$B$4*Assumptions!$B$6</f>
        <v>0.989583333333333</v>
      </c>
      <c r="H218" s="7" t="n">
        <f aca="false">SUMIFS(Doors!T:T,Doors!$A:$A,$D218,Doors!$B:$B,$B218,Doors!$C:$C,$C218)*SUMIFS(Velocity!$I:$I,Velocity!$A:$A,$A218,Velocity!$B:$B,$C218)/Assumptions!$B$4*Assumptions!$B$6</f>
        <v>0.989583333333333</v>
      </c>
      <c r="I218" s="7" t="n">
        <f aca="false">SUMIFS(Doors!U:U,Doors!$A:$A,$D218,Doors!$B:$B,$B218,Doors!$C:$C,$C218)*SUMIFS(Velocity!$I:$I,Velocity!$A:$A,$A218,Velocity!$B:$B,$C218)/Assumptions!$B$4*Assumptions!$B$6</f>
        <v>0.989583333333333</v>
      </c>
      <c r="J218" s="7" t="n">
        <f aca="false">SUMIFS(Doors!V:V,Doors!$A:$A,$D218,Doors!$B:$B,$B218,Doors!$C:$C,$C218)*SUMIFS(Velocity!$I:$I,Velocity!$A:$A,$A218,Velocity!$B:$B,$C218)/Assumptions!$B$4*Assumptions!$B$6</f>
        <v>1.58333333333333</v>
      </c>
      <c r="K218" s="7" t="n">
        <f aca="false">SUMIFS(Doors!W:W,Doors!$A:$A,$D218,Doors!$B:$B,$B218,Doors!$C:$C,$C218)*SUMIFS(Velocity!$I:$I,Velocity!$A:$A,$A218,Velocity!$B:$B,$C218)/Assumptions!$B$4*Assumptions!$B$6</f>
        <v>1.58333333333333</v>
      </c>
      <c r="L218" s="7" t="n">
        <f aca="false">SUMIFS(Doors!X:X,Doors!$A:$A,$D218,Doors!$B:$B,$B218,Doors!$C:$C,$C218)*SUMIFS(Velocity!$I:$I,Velocity!$A:$A,$A218,Velocity!$B:$B,$C218)/Assumptions!$B$4*Assumptions!$B$6</f>
        <v>1.58333333333333</v>
      </c>
      <c r="M218" s="7" t="n">
        <f aca="false">SUMIFS(Doors!Y:Y,Doors!$A:$A,$D218,Doors!$B:$B,$B218,Doors!$C:$C,$C218)*SUMIFS(Velocity!$I:$I,Velocity!$A:$A,$A218,Velocity!$B:$B,$C218)/Assumptions!$B$4*Assumptions!$B$6</f>
        <v>1.58333333333333</v>
      </c>
      <c r="N218" s="7" t="n">
        <f aca="false">SUMIFS(Doors!Z:Z,Doors!$A:$A,$D218,Doors!$B:$B,$B218,Doors!$C:$C,$C218)*SUMIFS(Velocity!$I:$I,Velocity!$A:$A,$A218,Velocity!$B:$B,$C218)/Assumptions!$B$4*Assumptions!$B$6</f>
        <v>2.375</v>
      </c>
      <c r="O218" s="7" t="n">
        <f aca="false">SUMIFS(Doors!AA:AA,Doors!$A:$A,$D218,Doors!$B:$B,$B218,Doors!$C:$C,$C218)*SUMIFS(Velocity!$I:$I,Velocity!$A:$A,$A218,Velocity!$B:$B,$C218)/Assumptions!$B$4*Assumptions!$B$6</f>
        <v>2.375</v>
      </c>
      <c r="P218" s="7" t="n">
        <f aca="false">SUMIFS(Doors!AB:AB,Doors!$A:$A,$D218,Doors!$B:$B,$B218,Doors!$C:$C,$C218)*SUMIFS(Velocity!$I:$I,Velocity!$A:$A,$A218,Velocity!$B:$B,$C218)/Assumptions!$B$4*Assumptions!$B$6</f>
        <v>2.375</v>
      </c>
      <c r="Q218" s="7" t="n">
        <f aca="false">SUMIFS(Doors!AC:AC,Doors!$A:$A,$D218,Doors!$B:$B,$B218,Doors!$C:$C,$C218)*SUMIFS(Velocity!$I:$I,Velocity!$A:$A,$A218,Velocity!$B:$B,$C218)/Assumptions!$B$4*Assumptions!$B$6</f>
        <v>2.375</v>
      </c>
      <c r="R218" s="7" t="n">
        <f aca="false">SUMIFS(Doors!AD:AD,Doors!$A:$A,$D218,Doors!$B:$B,$B218,Doors!$C:$C,$C218)*SUMIFS(Velocity!$I:$I,Velocity!$A:$A,$A218,Velocity!$B:$B,$C218)/Assumptions!$B$4*Assumptions!$B$6</f>
        <v>3.16666666666667</v>
      </c>
      <c r="S218" s="7" t="n">
        <f aca="false">SUMIFS(Doors!AE:AE,Doors!$A:$A,$D218,Doors!$B:$B,$B218,Doors!$C:$C,$C218)*SUMIFS(Velocity!$I:$I,Velocity!$A:$A,$A218,Velocity!$B:$B,$C218)/Assumptions!$B$4*Assumptions!$B$6</f>
        <v>3.16666666666667</v>
      </c>
      <c r="T218" s="7" t="n">
        <f aca="false">SUMIFS(Doors!AF:AF,Doors!$A:$A,$D218,Doors!$B:$B,$B218,Doors!$C:$C,$C218)*SUMIFS(Velocity!$I:$I,Velocity!$A:$A,$A218,Velocity!$B:$B,$C218)/Assumptions!$B$4*Assumptions!$B$6</f>
        <v>3.16666666666667</v>
      </c>
      <c r="U218" s="7" t="n">
        <f aca="false">SUMIFS(Doors!AG:AG,Doors!$A:$A,$D218,Doors!$B:$B,$B218,Doors!$C:$C,$C218)*SUMIFS(Velocity!$I:$I,Velocity!$A:$A,$A218,Velocity!$B:$B,$C218)/Assumptions!$B$4*Assumptions!$B$6</f>
        <v>3.16666666666667</v>
      </c>
      <c r="V218" s="7" t="n">
        <f aca="false">SUMIFS(Doors!AH:AH,Doors!$A:$A,$D218,Doors!$B:$B,$B218,Doors!$C:$C,$C218)*SUMIFS(Velocity!$I:$I,Velocity!$A:$A,$A218,Velocity!$B:$B,$C218)/Assumptions!$B$4*Assumptions!$B$6</f>
        <v>3.16666666666667</v>
      </c>
      <c r="W218" s="7" t="n">
        <f aca="false">SUMIFS(Doors!AI:AI,Doors!$A:$A,$D218,Doors!$B:$B,$B218,Doors!$C:$C,$C218)*SUMIFS(Velocity!$I:$I,Velocity!$A:$A,$A218,Velocity!$B:$B,$C218)/Assumptions!$B$4*Assumptions!$B$6</f>
        <v>3.95833333333333</v>
      </c>
      <c r="X218" s="7" t="n">
        <f aca="false">SUMIFS(Doors!AJ:AJ,Doors!$A:$A,$D218,Doors!$B:$B,$B218,Doors!$C:$C,$C218)*SUMIFS(Velocity!$I:$I,Velocity!$A:$A,$A218,Velocity!$B:$B,$C218)/Assumptions!$B$4*Assumptions!$B$6</f>
        <v>3.95833333333333</v>
      </c>
      <c r="Y218" s="7" t="n">
        <f aca="false">SUMIFS(Doors!AK:AK,Doors!$A:$A,$D218,Doors!$B:$B,$B218,Doors!$C:$C,$C218)*SUMIFS(Velocity!$I:$I,Velocity!$A:$A,$A218,Velocity!$B:$B,$C218)/Assumptions!$B$4*Assumptions!$B$6</f>
        <v>3.95833333333333</v>
      </c>
      <c r="Z218" s="7" t="n">
        <f aca="false">SUMIFS(Doors!AL:AL,Doors!$A:$A,$D218,Doors!$B:$B,$B218,Doors!$C:$C,$C218)*SUMIFS(Velocity!$I:$I,Velocity!$A:$A,$A218,Velocity!$B:$B,$C218)/Assumptions!$B$4*Assumptions!$B$6</f>
        <v>3.95833333333333</v>
      </c>
      <c r="AA218" s="7" t="n">
        <f aca="false">SUMIFS(Doors!AM:AM,Doors!$A:$A,$D218,Doors!$B:$B,$B218,Doors!$C:$C,$C218)*SUMIFS(Velocity!$I:$I,Velocity!$A:$A,$A218,Velocity!$B:$B,$C218)/Assumptions!$B$4*Assumptions!$B$6</f>
        <v>4.55208333333333</v>
      </c>
      <c r="AB218" s="7" t="n">
        <f aca="false">SUMIFS(Doors!AN:AN,Doors!$A:$A,$D218,Doors!$B:$B,$B218,Doors!$C:$C,$C218)*SUMIFS(Velocity!$I:$I,Velocity!$A:$A,$A218,Velocity!$B:$B,$C218)/Assumptions!$B$4*Assumptions!$B$6</f>
        <v>4.55208333333333</v>
      </c>
      <c r="AC218" s="7" t="n">
        <f aca="false">SUMIFS(Doors!AO:AO,Doors!$A:$A,$D218,Doors!$B:$B,$B218,Doors!$C:$C,$C218)*SUMIFS(Velocity!$I:$I,Velocity!$A:$A,$A218,Velocity!$B:$B,$C218)/Assumptions!$B$4*Assumptions!$B$6</f>
        <v>4.55208333333333</v>
      </c>
      <c r="AD218" s="7" t="n">
        <f aca="false">SUMIFS(Doors!AP:AP,Doors!$A:$A,$D218,Doors!$B:$B,$B218,Doors!$C:$C,$C218)*SUMIFS(Velocity!$I:$I,Velocity!$A:$A,$A218,Velocity!$B:$B,$C218)/Assumptions!$B$4*Assumptions!$B$6</f>
        <v>4.55208333333333</v>
      </c>
      <c r="AE218" s="7" t="n">
        <f aca="false">SUMIFS(Doors!AQ:AQ,Doors!$A:$A,$D218,Doors!$B:$B,$B218,Doors!$C:$C,$C218)*SUMIFS(Velocity!$I:$I,Velocity!$A:$A,$A218,Velocity!$B:$B,$C218)/Assumptions!$B$4*Assumptions!$B$6</f>
        <v>4.94791666666667</v>
      </c>
      <c r="AF218" s="7" t="n">
        <f aca="false">SUMIFS(Doors!AR:AR,Doors!$A:$A,$D218,Doors!$B:$B,$B218,Doors!$C:$C,$C218)*SUMIFS(Velocity!$I:$I,Velocity!$A:$A,$A218,Velocity!$B:$B,$C218)/Assumptions!$B$4*Assumptions!$B$6</f>
        <v>4.94791666666667</v>
      </c>
      <c r="AG218" s="7" t="n">
        <f aca="false">SUMIFS(Doors!AS:AS,Doors!$A:$A,$D218,Doors!$B:$B,$B218,Doors!$C:$C,$C218)*SUMIFS(Velocity!$I:$I,Velocity!$A:$A,$A218,Velocity!$B:$B,$C218)/Assumptions!$B$4*Assumptions!$B$6</f>
        <v>4.94791666666667</v>
      </c>
      <c r="AH218" s="7" t="n">
        <f aca="false">SUMIFS(Doors!AT:AT,Doors!$A:$A,$D218,Doors!$B:$B,$B218,Doors!$C:$C,$C218)*SUMIFS(Velocity!$I:$I,Velocity!$A:$A,$A218,Velocity!$B:$B,$C218)/Assumptions!$B$4*Assumptions!$B$6</f>
        <v>4.94791666666667</v>
      </c>
      <c r="AI218" s="7" t="n">
        <f aca="false">SUMIFS(Doors!AU:AU,Doors!$A:$A,$D218,Doors!$B:$B,$B218,Doors!$C:$C,$C218)*SUMIFS(Velocity!$I:$I,Velocity!$A:$A,$A218,Velocity!$B:$B,$C218)/Assumptions!$B$4*Assumptions!$B$6</f>
        <v>4.94791666666667</v>
      </c>
      <c r="AJ218" s="7" t="n">
        <f aca="false">SUMIFS(Doors!AV:AV,Doors!$A:$A,$D218,Doors!$B:$B,$B218,Doors!$C:$C,$C218)*SUMIFS(Velocity!$I:$I,Velocity!$A:$A,$A218,Velocity!$B:$B,$C218)/Assumptions!$B$4*Assumptions!$B$6</f>
        <v>5.34375</v>
      </c>
      <c r="AK218" s="7" t="n">
        <f aca="false">SUMIFS(Doors!AW:AW,Doors!$A:$A,$D218,Doors!$B:$B,$B218,Doors!$C:$C,$C218)*SUMIFS(Velocity!$I:$I,Velocity!$A:$A,$A218,Velocity!$B:$B,$C218)/Assumptions!$B$4*Assumptions!$B$6</f>
        <v>5.34375</v>
      </c>
      <c r="AL218" s="7" t="n">
        <f aca="false">SUMIFS(Doors!AX:AX,Doors!$A:$A,$D218,Doors!$B:$B,$B218,Doors!$C:$C,$C218)*SUMIFS(Velocity!$I:$I,Velocity!$A:$A,$A218,Velocity!$B:$B,$C218)/Assumptions!$B$4*Assumptions!$B$6</f>
        <v>5.34375</v>
      </c>
      <c r="AM218" s="7" t="n">
        <f aca="false">SUMIFS(Doors!AY:AY,Doors!$A:$A,$D218,Doors!$B:$B,$B218,Doors!$C:$C,$C218)*SUMIFS(Velocity!$I:$I,Velocity!$A:$A,$A218,Velocity!$B:$B,$C218)/Assumptions!$B$4*Assumptions!$B$6</f>
        <v>5.34375</v>
      </c>
      <c r="AN218" s="7" t="n">
        <f aca="false">SUMIFS(Doors!AZ:AZ,Doors!$A:$A,$D218,Doors!$B:$B,$B218,Doors!$C:$C,$C218)*SUMIFS(Velocity!$I:$I,Velocity!$A:$A,$A218,Velocity!$B:$B,$C218)/Assumptions!$B$4*Assumptions!$B$6</f>
        <v>5.54166666666667</v>
      </c>
      <c r="AO218" s="7" t="n">
        <f aca="false">SUMIFS(Doors!BA:BA,Doors!$A:$A,$D218,Doors!$B:$B,$B218,Doors!$C:$C,$C218)*SUMIFS(Velocity!$I:$I,Velocity!$A:$A,$A218,Velocity!$B:$B,$C218)/Assumptions!$B$4*Assumptions!$B$6</f>
        <v>5.54166666666667</v>
      </c>
      <c r="AP218" s="7" t="n">
        <f aca="false">SUMIFS(Doors!BB:BB,Doors!$A:$A,$D218,Doors!$B:$B,$B218,Doors!$C:$C,$C218)*SUMIFS(Velocity!$I:$I,Velocity!$A:$A,$A218,Velocity!$B:$B,$C218)/Assumptions!$B$4*Assumptions!$B$6</f>
        <v>5.54166666666667</v>
      </c>
      <c r="AQ218" s="7" t="n">
        <f aca="false">SUMIFS(Doors!BC:BC,Doors!$A:$A,$D218,Doors!$B:$B,$B218,Doors!$C:$C,$C218)*SUMIFS(Velocity!$I:$I,Velocity!$A:$A,$A218,Velocity!$B:$B,$C218)/Assumptions!$B$4*Assumptions!$B$6</f>
        <v>5.54166666666667</v>
      </c>
      <c r="AR218" s="7" t="n">
        <f aca="false">SUMIFS(Doors!BD:BD,Doors!$A:$A,$D218,Doors!$B:$B,$B218,Doors!$C:$C,$C218)*SUMIFS(Velocity!$I:$I,Velocity!$A:$A,$A218,Velocity!$B:$B,$C218)/Assumptions!$B$4*Assumptions!$B$6</f>
        <v>5.73958333333333</v>
      </c>
      <c r="AS218" s="7" t="n">
        <f aca="false">SUMIFS(Doors!BE:BE,Doors!$A:$A,$D218,Doors!$B:$B,$B218,Doors!$C:$C,$C218)*SUMIFS(Velocity!$I:$I,Velocity!$A:$A,$A218,Velocity!$B:$B,$C218)/Assumptions!$B$4*Assumptions!$B$6</f>
        <v>5.73958333333333</v>
      </c>
      <c r="AT218" s="7" t="n">
        <f aca="false">SUMIFS(Doors!BF:BF,Doors!$A:$A,$D218,Doors!$B:$B,$B218,Doors!$C:$C,$C218)*SUMIFS(Velocity!$I:$I,Velocity!$A:$A,$A218,Velocity!$B:$B,$C218)/Assumptions!$B$4*Assumptions!$B$6</f>
        <v>5.73958333333333</v>
      </c>
      <c r="AU218" s="7" t="n">
        <f aca="false">SUMIFS(Doors!BG:BG,Doors!$A:$A,$D218,Doors!$B:$B,$B218,Doors!$C:$C,$C218)*SUMIFS(Velocity!$I:$I,Velocity!$A:$A,$A218,Velocity!$B:$B,$C218)/Assumptions!$B$4*Assumptions!$B$6</f>
        <v>5.73958333333333</v>
      </c>
      <c r="AV218" s="7" t="n">
        <f aca="false">SUMIFS(Doors!BH:BH,Doors!$A:$A,$D218,Doors!$B:$B,$B218,Doors!$C:$C,$C218)*SUMIFS(Velocity!$I:$I,Velocity!$A:$A,$A218,Velocity!$B:$B,$C218)/Assumptions!$B$4*Assumptions!$B$6</f>
        <v>5.73958333333333</v>
      </c>
      <c r="AW218" s="7" t="n">
        <f aca="false">SUMIFS(Doors!BI:BI,Doors!$A:$A,$D218,Doors!$B:$B,$B218,Doors!$C:$C,$C218)*SUMIFS(Velocity!$I:$I,Velocity!$A:$A,$A218,Velocity!$B:$B,$C218)/Assumptions!$B$4*Assumptions!$B$6</f>
        <v>5.9375</v>
      </c>
      <c r="AX218" s="7" t="n">
        <f aca="false">SUMIFS(Doors!BJ:BJ,Doors!$A:$A,$D218,Doors!$B:$B,$B218,Doors!$C:$C,$C218)*SUMIFS(Velocity!$I:$I,Velocity!$A:$A,$A218,Velocity!$B:$B,$C218)/Assumptions!$B$4*Assumptions!$B$6</f>
        <v>5.9375</v>
      </c>
      <c r="AY218" s="7" t="n">
        <f aca="false">SUMIFS(Doors!BK:BK,Doors!$A:$A,$D218,Doors!$B:$B,$B218,Doors!$C:$C,$C218)*SUMIFS(Velocity!$I:$I,Velocity!$A:$A,$A218,Velocity!$B:$B,$C218)/Assumptions!$B$4*Assumptions!$B$6</f>
        <v>5.9375</v>
      </c>
      <c r="AZ218" s="7" t="n">
        <f aca="false">SUMIFS(Doors!BL:BL,Doors!$A:$A,$D218,Doors!$B:$B,$B218,Doors!$C:$C,$C218)*SUMIFS(Velocity!$I:$I,Velocity!$A:$A,$A218,Velocity!$B:$B,$C218)/Assumptions!$B$4*Assumptions!$B$6</f>
        <v>5.9375</v>
      </c>
      <c r="BA218" s="7" t="n">
        <f aca="false">SUMIFS(Doors!BM:BM,Doors!$A:$A,$D218,Doors!$B:$B,$B218,Doors!$C:$C,$C218)*SUMIFS(Velocity!$I:$I,Velocity!$A:$A,$A218,Velocity!$B:$B,$C218)/Assumptions!$B$4*Assumptions!$B$6</f>
        <v>5.9375</v>
      </c>
      <c r="BB218" s="7" t="n">
        <f aca="false">SUMIFS(Doors!BN:BN,Doors!$A:$A,$D218,Doors!$B:$B,$B218,Doors!$C:$C,$C218)*SUMIFS(Velocity!$I:$I,Velocity!$A:$A,$A218,Velocity!$B:$B,$C218)/Assumptions!$B$4*Assumptions!$B$6</f>
        <v>5.9375</v>
      </c>
      <c r="BC218" s="7" t="n">
        <f aca="false">SUMIFS(Doors!BO:BO,Doors!$A:$A,$D218,Doors!$B:$B,$B218,Doors!$C:$C,$C218)*SUMIFS(Velocity!$I:$I,Velocity!$A:$A,$A218,Velocity!$B:$B,$C218)/Assumptions!$B$4*Assumptions!$B$6</f>
        <v>5.9375</v>
      </c>
      <c r="BD218" s="7" t="n">
        <f aca="false">SUMIFS(Doors!BP:BP,Doors!$A:$A,$D218,Doors!$B:$B,$B218,Doors!$C:$C,$C218)*SUMIFS(Velocity!$I:$I,Velocity!$A:$A,$A218,Velocity!$B:$B,$C218)/Assumptions!$B$4*Assumptions!$B$6</f>
        <v>5.9375</v>
      </c>
    </row>
    <row r="219" customFormat="false" ht="15" hidden="false" customHeight="false" outlineLevel="0" collapsed="false">
      <c r="A219" s="0" t="s">
        <v>110</v>
      </c>
      <c r="B219" s="0" t="s">
        <v>129</v>
      </c>
      <c r="C219" s="0" t="s">
        <v>121</v>
      </c>
      <c r="D219" s="0" t="s">
        <v>235</v>
      </c>
      <c r="E219" s="7" t="n">
        <f aca="false">SUMIFS(Doors!Q:Q,Doors!$A:$A,$D219,Doors!$B:$B,$B219,Doors!$C:$C,$C219)*SUMIFS(Velocity!$I:$I,Velocity!$A:$A,$A219,Velocity!$B:$B,$C219)/Assumptions!$B$4*Assumptions!$B$6</f>
        <v>0.9125</v>
      </c>
      <c r="F219" s="7" t="n">
        <f aca="false">SUMIFS(Doors!R:R,Doors!$A:$A,$D219,Doors!$B:$B,$B219,Doors!$C:$C,$C219)*SUMIFS(Velocity!$I:$I,Velocity!$A:$A,$A219,Velocity!$B:$B,$C219)/Assumptions!$B$4*Assumptions!$B$6</f>
        <v>0.9125</v>
      </c>
      <c r="G219" s="7" t="n">
        <f aca="false">SUMIFS(Doors!S:S,Doors!$A:$A,$D219,Doors!$B:$B,$B219,Doors!$C:$C,$C219)*SUMIFS(Velocity!$I:$I,Velocity!$A:$A,$A219,Velocity!$B:$B,$C219)/Assumptions!$B$4*Assumptions!$B$6</f>
        <v>0.9125</v>
      </c>
      <c r="H219" s="7" t="n">
        <f aca="false">SUMIFS(Doors!T:T,Doors!$A:$A,$D219,Doors!$B:$B,$B219,Doors!$C:$C,$C219)*SUMIFS(Velocity!$I:$I,Velocity!$A:$A,$A219,Velocity!$B:$B,$C219)/Assumptions!$B$4*Assumptions!$B$6</f>
        <v>0.9125</v>
      </c>
      <c r="I219" s="7" t="n">
        <f aca="false">SUMIFS(Doors!U:U,Doors!$A:$A,$D219,Doors!$B:$B,$B219,Doors!$C:$C,$C219)*SUMIFS(Velocity!$I:$I,Velocity!$A:$A,$A219,Velocity!$B:$B,$C219)/Assumptions!$B$4*Assumptions!$B$6</f>
        <v>0.9125</v>
      </c>
      <c r="J219" s="7" t="n">
        <f aca="false">SUMIFS(Doors!V:V,Doors!$A:$A,$D219,Doors!$B:$B,$B219,Doors!$C:$C,$C219)*SUMIFS(Velocity!$I:$I,Velocity!$A:$A,$A219,Velocity!$B:$B,$C219)/Assumptions!$B$4*Assumptions!$B$6</f>
        <v>1.52083333333333</v>
      </c>
      <c r="K219" s="7" t="n">
        <f aca="false">SUMIFS(Doors!W:W,Doors!$A:$A,$D219,Doors!$B:$B,$B219,Doors!$C:$C,$C219)*SUMIFS(Velocity!$I:$I,Velocity!$A:$A,$A219,Velocity!$B:$B,$C219)/Assumptions!$B$4*Assumptions!$B$6</f>
        <v>1.52083333333333</v>
      </c>
      <c r="L219" s="7" t="n">
        <f aca="false">SUMIFS(Doors!X:X,Doors!$A:$A,$D219,Doors!$B:$B,$B219,Doors!$C:$C,$C219)*SUMIFS(Velocity!$I:$I,Velocity!$A:$A,$A219,Velocity!$B:$B,$C219)/Assumptions!$B$4*Assumptions!$B$6</f>
        <v>1.52083333333333</v>
      </c>
      <c r="M219" s="7" t="n">
        <f aca="false">SUMIFS(Doors!Y:Y,Doors!$A:$A,$D219,Doors!$B:$B,$B219,Doors!$C:$C,$C219)*SUMIFS(Velocity!$I:$I,Velocity!$A:$A,$A219,Velocity!$B:$B,$C219)/Assumptions!$B$4*Assumptions!$B$6</f>
        <v>1.52083333333333</v>
      </c>
      <c r="N219" s="7" t="n">
        <f aca="false">SUMIFS(Doors!Z:Z,Doors!$A:$A,$D219,Doors!$B:$B,$B219,Doors!$C:$C,$C219)*SUMIFS(Velocity!$I:$I,Velocity!$A:$A,$A219,Velocity!$B:$B,$C219)/Assumptions!$B$4*Assumptions!$B$6</f>
        <v>2.12916666666667</v>
      </c>
      <c r="O219" s="7" t="n">
        <f aca="false">SUMIFS(Doors!AA:AA,Doors!$A:$A,$D219,Doors!$B:$B,$B219,Doors!$C:$C,$C219)*SUMIFS(Velocity!$I:$I,Velocity!$A:$A,$A219,Velocity!$B:$B,$C219)/Assumptions!$B$4*Assumptions!$B$6</f>
        <v>2.12916666666667</v>
      </c>
      <c r="P219" s="7" t="n">
        <f aca="false">SUMIFS(Doors!AB:AB,Doors!$A:$A,$D219,Doors!$B:$B,$B219,Doors!$C:$C,$C219)*SUMIFS(Velocity!$I:$I,Velocity!$A:$A,$A219,Velocity!$B:$B,$C219)/Assumptions!$B$4*Assumptions!$B$6</f>
        <v>2.12916666666667</v>
      </c>
      <c r="Q219" s="7" t="n">
        <f aca="false">SUMIFS(Doors!AC:AC,Doors!$A:$A,$D219,Doors!$B:$B,$B219,Doors!$C:$C,$C219)*SUMIFS(Velocity!$I:$I,Velocity!$A:$A,$A219,Velocity!$B:$B,$C219)/Assumptions!$B$4*Assumptions!$B$6</f>
        <v>2.12916666666667</v>
      </c>
      <c r="R219" s="7" t="n">
        <f aca="false">SUMIFS(Doors!AD:AD,Doors!$A:$A,$D219,Doors!$B:$B,$B219,Doors!$C:$C,$C219)*SUMIFS(Velocity!$I:$I,Velocity!$A:$A,$A219,Velocity!$B:$B,$C219)/Assumptions!$B$4*Assumptions!$B$6</f>
        <v>2.7375</v>
      </c>
      <c r="S219" s="7" t="n">
        <f aca="false">SUMIFS(Doors!AE:AE,Doors!$A:$A,$D219,Doors!$B:$B,$B219,Doors!$C:$C,$C219)*SUMIFS(Velocity!$I:$I,Velocity!$A:$A,$A219,Velocity!$B:$B,$C219)/Assumptions!$B$4*Assumptions!$B$6</f>
        <v>2.7375</v>
      </c>
      <c r="T219" s="7" t="n">
        <f aca="false">SUMIFS(Doors!AF:AF,Doors!$A:$A,$D219,Doors!$B:$B,$B219,Doors!$C:$C,$C219)*SUMIFS(Velocity!$I:$I,Velocity!$A:$A,$A219,Velocity!$B:$B,$C219)/Assumptions!$B$4*Assumptions!$B$6</f>
        <v>2.7375</v>
      </c>
      <c r="U219" s="7" t="n">
        <f aca="false">SUMIFS(Doors!AG:AG,Doors!$A:$A,$D219,Doors!$B:$B,$B219,Doors!$C:$C,$C219)*SUMIFS(Velocity!$I:$I,Velocity!$A:$A,$A219,Velocity!$B:$B,$C219)/Assumptions!$B$4*Assumptions!$B$6</f>
        <v>2.7375</v>
      </c>
      <c r="V219" s="7" t="n">
        <f aca="false">SUMIFS(Doors!AH:AH,Doors!$A:$A,$D219,Doors!$B:$B,$B219,Doors!$C:$C,$C219)*SUMIFS(Velocity!$I:$I,Velocity!$A:$A,$A219,Velocity!$B:$B,$C219)/Assumptions!$B$4*Assumptions!$B$6</f>
        <v>2.7375</v>
      </c>
      <c r="W219" s="7" t="n">
        <f aca="false">SUMIFS(Doors!AI:AI,Doors!$A:$A,$D219,Doors!$B:$B,$B219,Doors!$C:$C,$C219)*SUMIFS(Velocity!$I:$I,Velocity!$A:$A,$A219,Velocity!$B:$B,$C219)/Assumptions!$B$4*Assumptions!$B$6</f>
        <v>3.34583333333333</v>
      </c>
      <c r="X219" s="7" t="n">
        <f aca="false">SUMIFS(Doors!AJ:AJ,Doors!$A:$A,$D219,Doors!$B:$B,$B219,Doors!$C:$C,$C219)*SUMIFS(Velocity!$I:$I,Velocity!$A:$A,$A219,Velocity!$B:$B,$C219)/Assumptions!$B$4*Assumptions!$B$6</f>
        <v>3.34583333333333</v>
      </c>
      <c r="Y219" s="7" t="n">
        <f aca="false">SUMIFS(Doors!AK:AK,Doors!$A:$A,$D219,Doors!$B:$B,$B219,Doors!$C:$C,$C219)*SUMIFS(Velocity!$I:$I,Velocity!$A:$A,$A219,Velocity!$B:$B,$C219)/Assumptions!$B$4*Assumptions!$B$6</f>
        <v>3.34583333333333</v>
      </c>
      <c r="Z219" s="7" t="n">
        <f aca="false">SUMIFS(Doors!AL:AL,Doors!$A:$A,$D219,Doors!$B:$B,$B219,Doors!$C:$C,$C219)*SUMIFS(Velocity!$I:$I,Velocity!$A:$A,$A219,Velocity!$B:$B,$C219)/Assumptions!$B$4*Assumptions!$B$6</f>
        <v>3.34583333333333</v>
      </c>
      <c r="AA219" s="7" t="n">
        <f aca="false">SUMIFS(Doors!AM:AM,Doors!$A:$A,$D219,Doors!$B:$B,$B219,Doors!$C:$C,$C219)*SUMIFS(Velocity!$I:$I,Velocity!$A:$A,$A219,Velocity!$B:$B,$C219)/Assumptions!$B$4*Assumptions!$B$6</f>
        <v>3.65</v>
      </c>
      <c r="AB219" s="7" t="n">
        <f aca="false">SUMIFS(Doors!AN:AN,Doors!$A:$A,$D219,Doors!$B:$B,$B219,Doors!$C:$C,$C219)*SUMIFS(Velocity!$I:$I,Velocity!$A:$A,$A219,Velocity!$B:$B,$C219)/Assumptions!$B$4*Assumptions!$B$6</f>
        <v>3.65</v>
      </c>
      <c r="AC219" s="7" t="n">
        <f aca="false">SUMIFS(Doors!AO:AO,Doors!$A:$A,$D219,Doors!$B:$B,$B219,Doors!$C:$C,$C219)*SUMIFS(Velocity!$I:$I,Velocity!$A:$A,$A219,Velocity!$B:$B,$C219)/Assumptions!$B$4*Assumptions!$B$6</f>
        <v>3.65</v>
      </c>
      <c r="AD219" s="7" t="n">
        <f aca="false">SUMIFS(Doors!AP:AP,Doors!$A:$A,$D219,Doors!$B:$B,$B219,Doors!$C:$C,$C219)*SUMIFS(Velocity!$I:$I,Velocity!$A:$A,$A219,Velocity!$B:$B,$C219)/Assumptions!$B$4*Assumptions!$B$6</f>
        <v>3.65</v>
      </c>
      <c r="AE219" s="7" t="n">
        <f aca="false">SUMIFS(Doors!AQ:AQ,Doors!$A:$A,$D219,Doors!$B:$B,$B219,Doors!$C:$C,$C219)*SUMIFS(Velocity!$I:$I,Velocity!$A:$A,$A219,Velocity!$B:$B,$C219)/Assumptions!$B$4*Assumptions!$B$6</f>
        <v>3.95416666666667</v>
      </c>
      <c r="AF219" s="7" t="n">
        <f aca="false">SUMIFS(Doors!AR:AR,Doors!$A:$A,$D219,Doors!$B:$B,$B219,Doors!$C:$C,$C219)*SUMIFS(Velocity!$I:$I,Velocity!$A:$A,$A219,Velocity!$B:$B,$C219)/Assumptions!$B$4*Assumptions!$B$6</f>
        <v>3.95416666666667</v>
      </c>
      <c r="AG219" s="7" t="n">
        <f aca="false">SUMIFS(Doors!AS:AS,Doors!$A:$A,$D219,Doors!$B:$B,$B219,Doors!$C:$C,$C219)*SUMIFS(Velocity!$I:$I,Velocity!$A:$A,$A219,Velocity!$B:$B,$C219)/Assumptions!$B$4*Assumptions!$B$6</f>
        <v>3.95416666666667</v>
      </c>
      <c r="AH219" s="7" t="n">
        <f aca="false">SUMIFS(Doors!AT:AT,Doors!$A:$A,$D219,Doors!$B:$B,$B219,Doors!$C:$C,$C219)*SUMIFS(Velocity!$I:$I,Velocity!$A:$A,$A219,Velocity!$B:$B,$C219)/Assumptions!$B$4*Assumptions!$B$6</f>
        <v>3.95416666666667</v>
      </c>
      <c r="AI219" s="7" t="n">
        <f aca="false">SUMIFS(Doors!AU:AU,Doors!$A:$A,$D219,Doors!$B:$B,$B219,Doors!$C:$C,$C219)*SUMIFS(Velocity!$I:$I,Velocity!$A:$A,$A219,Velocity!$B:$B,$C219)/Assumptions!$B$4*Assumptions!$B$6</f>
        <v>3.95416666666667</v>
      </c>
      <c r="AJ219" s="7" t="n">
        <f aca="false">SUMIFS(Doors!AV:AV,Doors!$A:$A,$D219,Doors!$B:$B,$B219,Doors!$C:$C,$C219)*SUMIFS(Velocity!$I:$I,Velocity!$A:$A,$A219,Velocity!$B:$B,$C219)/Assumptions!$B$4*Assumptions!$B$6</f>
        <v>4.25833333333333</v>
      </c>
      <c r="AK219" s="7" t="n">
        <f aca="false">SUMIFS(Doors!AW:AW,Doors!$A:$A,$D219,Doors!$B:$B,$B219,Doors!$C:$C,$C219)*SUMIFS(Velocity!$I:$I,Velocity!$A:$A,$A219,Velocity!$B:$B,$C219)/Assumptions!$B$4*Assumptions!$B$6</f>
        <v>4.25833333333333</v>
      </c>
      <c r="AL219" s="7" t="n">
        <f aca="false">SUMIFS(Doors!AX:AX,Doors!$A:$A,$D219,Doors!$B:$B,$B219,Doors!$C:$C,$C219)*SUMIFS(Velocity!$I:$I,Velocity!$A:$A,$A219,Velocity!$B:$B,$C219)/Assumptions!$B$4*Assumptions!$B$6</f>
        <v>4.25833333333333</v>
      </c>
      <c r="AM219" s="7" t="n">
        <f aca="false">SUMIFS(Doors!AY:AY,Doors!$A:$A,$D219,Doors!$B:$B,$B219,Doors!$C:$C,$C219)*SUMIFS(Velocity!$I:$I,Velocity!$A:$A,$A219,Velocity!$B:$B,$C219)/Assumptions!$B$4*Assumptions!$B$6</f>
        <v>4.25833333333333</v>
      </c>
      <c r="AN219" s="7" t="n">
        <f aca="false">SUMIFS(Doors!AZ:AZ,Doors!$A:$A,$D219,Doors!$B:$B,$B219,Doors!$C:$C,$C219)*SUMIFS(Velocity!$I:$I,Velocity!$A:$A,$A219,Velocity!$B:$B,$C219)/Assumptions!$B$4*Assumptions!$B$6</f>
        <v>4.25833333333333</v>
      </c>
      <c r="AO219" s="7" t="n">
        <f aca="false">SUMIFS(Doors!BA:BA,Doors!$A:$A,$D219,Doors!$B:$B,$B219,Doors!$C:$C,$C219)*SUMIFS(Velocity!$I:$I,Velocity!$A:$A,$A219,Velocity!$B:$B,$C219)/Assumptions!$B$4*Assumptions!$B$6</f>
        <v>4.25833333333333</v>
      </c>
      <c r="AP219" s="7" t="n">
        <f aca="false">SUMIFS(Doors!BB:BB,Doors!$A:$A,$D219,Doors!$B:$B,$B219,Doors!$C:$C,$C219)*SUMIFS(Velocity!$I:$I,Velocity!$A:$A,$A219,Velocity!$B:$B,$C219)/Assumptions!$B$4*Assumptions!$B$6</f>
        <v>4.25833333333333</v>
      </c>
      <c r="AQ219" s="7" t="n">
        <f aca="false">SUMIFS(Doors!BC:BC,Doors!$A:$A,$D219,Doors!$B:$B,$B219,Doors!$C:$C,$C219)*SUMIFS(Velocity!$I:$I,Velocity!$A:$A,$A219,Velocity!$B:$B,$C219)/Assumptions!$B$4*Assumptions!$B$6</f>
        <v>4.25833333333333</v>
      </c>
      <c r="AR219" s="7" t="n">
        <f aca="false">SUMIFS(Doors!BD:BD,Doors!$A:$A,$D219,Doors!$B:$B,$B219,Doors!$C:$C,$C219)*SUMIFS(Velocity!$I:$I,Velocity!$A:$A,$A219,Velocity!$B:$B,$C219)/Assumptions!$B$4*Assumptions!$B$6</f>
        <v>4.5625</v>
      </c>
      <c r="AS219" s="7" t="n">
        <f aca="false">SUMIFS(Doors!BE:BE,Doors!$A:$A,$D219,Doors!$B:$B,$B219,Doors!$C:$C,$C219)*SUMIFS(Velocity!$I:$I,Velocity!$A:$A,$A219,Velocity!$B:$B,$C219)/Assumptions!$B$4*Assumptions!$B$6</f>
        <v>4.5625</v>
      </c>
      <c r="AT219" s="7" t="n">
        <f aca="false">SUMIFS(Doors!BF:BF,Doors!$A:$A,$D219,Doors!$B:$B,$B219,Doors!$C:$C,$C219)*SUMIFS(Velocity!$I:$I,Velocity!$A:$A,$A219,Velocity!$B:$B,$C219)/Assumptions!$B$4*Assumptions!$B$6</f>
        <v>4.5625</v>
      </c>
      <c r="AU219" s="7" t="n">
        <f aca="false">SUMIFS(Doors!BG:BG,Doors!$A:$A,$D219,Doors!$B:$B,$B219,Doors!$C:$C,$C219)*SUMIFS(Velocity!$I:$I,Velocity!$A:$A,$A219,Velocity!$B:$B,$C219)/Assumptions!$B$4*Assumptions!$B$6</f>
        <v>4.5625</v>
      </c>
      <c r="AV219" s="7" t="n">
        <f aca="false">SUMIFS(Doors!BH:BH,Doors!$A:$A,$D219,Doors!$B:$B,$B219,Doors!$C:$C,$C219)*SUMIFS(Velocity!$I:$I,Velocity!$A:$A,$A219,Velocity!$B:$B,$C219)/Assumptions!$B$4*Assumptions!$B$6</f>
        <v>4.5625</v>
      </c>
      <c r="AW219" s="7" t="n">
        <f aca="false">SUMIFS(Doors!BI:BI,Doors!$A:$A,$D219,Doors!$B:$B,$B219,Doors!$C:$C,$C219)*SUMIFS(Velocity!$I:$I,Velocity!$A:$A,$A219,Velocity!$B:$B,$C219)/Assumptions!$B$4*Assumptions!$B$6</f>
        <v>4.5625</v>
      </c>
      <c r="AX219" s="7" t="n">
        <f aca="false">SUMIFS(Doors!BJ:BJ,Doors!$A:$A,$D219,Doors!$B:$B,$B219,Doors!$C:$C,$C219)*SUMIFS(Velocity!$I:$I,Velocity!$A:$A,$A219,Velocity!$B:$B,$C219)/Assumptions!$B$4*Assumptions!$B$6</f>
        <v>4.5625</v>
      </c>
      <c r="AY219" s="7" t="n">
        <f aca="false">SUMIFS(Doors!BK:BK,Doors!$A:$A,$D219,Doors!$B:$B,$B219,Doors!$C:$C,$C219)*SUMIFS(Velocity!$I:$I,Velocity!$A:$A,$A219,Velocity!$B:$B,$C219)/Assumptions!$B$4*Assumptions!$B$6</f>
        <v>4.5625</v>
      </c>
      <c r="AZ219" s="7" t="n">
        <f aca="false">SUMIFS(Doors!BL:BL,Doors!$A:$A,$D219,Doors!$B:$B,$B219,Doors!$C:$C,$C219)*SUMIFS(Velocity!$I:$I,Velocity!$A:$A,$A219,Velocity!$B:$B,$C219)/Assumptions!$B$4*Assumptions!$B$6</f>
        <v>4.5625</v>
      </c>
      <c r="BA219" s="7" t="n">
        <f aca="false">SUMIFS(Doors!BM:BM,Doors!$A:$A,$D219,Doors!$B:$B,$B219,Doors!$C:$C,$C219)*SUMIFS(Velocity!$I:$I,Velocity!$A:$A,$A219,Velocity!$B:$B,$C219)/Assumptions!$B$4*Assumptions!$B$6</f>
        <v>4.5625</v>
      </c>
      <c r="BB219" s="7" t="n">
        <f aca="false">SUMIFS(Doors!BN:BN,Doors!$A:$A,$D219,Doors!$B:$B,$B219,Doors!$C:$C,$C219)*SUMIFS(Velocity!$I:$I,Velocity!$A:$A,$A219,Velocity!$B:$B,$C219)/Assumptions!$B$4*Assumptions!$B$6</f>
        <v>4.5625</v>
      </c>
      <c r="BC219" s="7" t="n">
        <f aca="false">SUMIFS(Doors!BO:BO,Doors!$A:$A,$D219,Doors!$B:$B,$B219,Doors!$C:$C,$C219)*SUMIFS(Velocity!$I:$I,Velocity!$A:$A,$A219,Velocity!$B:$B,$C219)/Assumptions!$B$4*Assumptions!$B$6</f>
        <v>4.5625</v>
      </c>
      <c r="BD219" s="7" t="n">
        <f aca="false">SUMIFS(Doors!BP:BP,Doors!$A:$A,$D219,Doors!$B:$B,$B219,Doors!$C:$C,$C219)*SUMIFS(Velocity!$I:$I,Velocity!$A:$A,$A219,Velocity!$B:$B,$C219)/Assumptions!$B$4*Assumptions!$B$6</f>
        <v>4.5625</v>
      </c>
    </row>
    <row r="220" customFormat="false" ht="15" hidden="false" customHeight="false" outlineLevel="0" collapsed="false">
      <c r="A220" s="0" t="s">
        <v>110</v>
      </c>
      <c r="B220" s="0" t="s">
        <v>129</v>
      </c>
      <c r="C220" s="0" t="s">
        <v>122</v>
      </c>
      <c r="D220" s="0" t="s">
        <v>235</v>
      </c>
      <c r="E220" s="7" t="n">
        <f aca="false">SUMIFS(Doors!Q:Q,Doors!$A:$A,$D220,Doors!$B:$B,$B220,Doors!$C:$C,$C220)*SUMIFS(Velocity!$I:$I,Velocity!$A:$A,$A220,Velocity!$B:$B,$C220)/Assumptions!$B$4*Assumptions!$B$6</f>
        <v>0</v>
      </c>
      <c r="F220" s="7" t="n">
        <f aca="false">SUMIFS(Doors!R:R,Doors!$A:$A,$D220,Doors!$B:$B,$B220,Doors!$C:$C,$C220)*SUMIFS(Velocity!$I:$I,Velocity!$A:$A,$A220,Velocity!$B:$B,$C220)/Assumptions!$B$4*Assumptions!$B$6</f>
        <v>0</v>
      </c>
      <c r="G220" s="7" t="n">
        <f aca="false">SUMIFS(Doors!S:S,Doors!$A:$A,$D220,Doors!$B:$B,$B220,Doors!$C:$C,$C220)*SUMIFS(Velocity!$I:$I,Velocity!$A:$A,$A220,Velocity!$B:$B,$C220)/Assumptions!$B$4*Assumptions!$B$6</f>
        <v>0</v>
      </c>
      <c r="H220" s="7" t="n">
        <f aca="false">SUMIFS(Doors!T:T,Doors!$A:$A,$D220,Doors!$B:$B,$B220,Doors!$C:$C,$C220)*SUMIFS(Velocity!$I:$I,Velocity!$A:$A,$A220,Velocity!$B:$B,$C220)/Assumptions!$B$4*Assumptions!$B$6</f>
        <v>0</v>
      </c>
      <c r="I220" s="7" t="n">
        <f aca="false">SUMIFS(Doors!U:U,Doors!$A:$A,$D220,Doors!$B:$B,$B220,Doors!$C:$C,$C220)*SUMIFS(Velocity!$I:$I,Velocity!$A:$A,$A220,Velocity!$B:$B,$C220)/Assumptions!$B$4*Assumptions!$B$6</f>
        <v>0</v>
      </c>
      <c r="J220" s="7" t="n">
        <f aca="false">SUMIFS(Doors!V:V,Doors!$A:$A,$D220,Doors!$B:$B,$B220,Doors!$C:$C,$C220)*SUMIFS(Velocity!$I:$I,Velocity!$A:$A,$A220,Velocity!$B:$B,$C220)/Assumptions!$B$4*Assumptions!$B$6</f>
        <v>0</v>
      </c>
      <c r="K220" s="7" t="n">
        <f aca="false">SUMIFS(Doors!W:W,Doors!$A:$A,$D220,Doors!$B:$B,$B220,Doors!$C:$C,$C220)*SUMIFS(Velocity!$I:$I,Velocity!$A:$A,$A220,Velocity!$B:$B,$C220)/Assumptions!$B$4*Assumptions!$B$6</f>
        <v>0</v>
      </c>
      <c r="L220" s="7" t="n">
        <f aca="false">SUMIFS(Doors!X:X,Doors!$A:$A,$D220,Doors!$B:$B,$B220,Doors!$C:$C,$C220)*SUMIFS(Velocity!$I:$I,Velocity!$A:$A,$A220,Velocity!$B:$B,$C220)/Assumptions!$B$4*Assumptions!$B$6</f>
        <v>0</v>
      </c>
      <c r="M220" s="7" t="n">
        <f aca="false">SUMIFS(Doors!Y:Y,Doors!$A:$A,$D220,Doors!$B:$B,$B220,Doors!$C:$C,$C220)*SUMIFS(Velocity!$I:$I,Velocity!$A:$A,$A220,Velocity!$B:$B,$C220)/Assumptions!$B$4*Assumptions!$B$6</f>
        <v>0</v>
      </c>
      <c r="N220" s="7" t="n">
        <f aca="false">SUMIFS(Doors!Z:Z,Doors!$A:$A,$D220,Doors!$B:$B,$B220,Doors!$C:$C,$C220)*SUMIFS(Velocity!$I:$I,Velocity!$A:$A,$A220,Velocity!$B:$B,$C220)/Assumptions!$B$4*Assumptions!$B$6</f>
        <v>0.275</v>
      </c>
      <c r="O220" s="7" t="n">
        <f aca="false">SUMIFS(Doors!AA:AA,Doors!$A:$A,$D220,Doors!$B:$B,$B220,Doors!$C:$C,$C220)*SUMIFS(Velocity!$I:$I,Velocity!$A:$A,$A220,Velocity!$B:$B,$C220)/Assumptions!$B$4*Assumptions!$B$6</f>
        <v>0.275</v>
      </c>
      <c r="P220" s="7" t="n">
        <f aca="false">SUMIFS(Doors!AB:AB,Doors!$A:$A,$D220,Doors!$B:$B,$B220,Doors!$C:$C,$C220)*SUMIFS(Velocity!$I:$I,Velocity!$A:$A,$A220,Velocity!$B:$B,$C220)/Assumptions!$B$4*Assumptions!$B$6</f>
        <v>0.275</v>
      </c>
      <c r="Q220" s="7" t="n">
        <f aca="false">SUMIFS(Doors!AC:AC,Doors!$A:$A,$D220,Doors!$B:$B,$B220,Doors!$C:$C,$C220)*SUMIFS(Velocity!$I:$I,Velocity!$A:$A,$A220,Velocity!$B:$B,$C220)/Assumptions!$B$4*Assumptions!$B$6</f>
        <v>0.275</v>
      </c>
      <c r="R220" s="7" t="n">
        <f aca="false">SUMIFS(Doors!AD:AD,Doors!$A:$A,$D220,Doors!$B:$B,$B220,Doors!$C:$C,$C220)*SUMIFS(Velocity!$I:$I,Velocity!$A:$A,$A220,Velocity!$B:$B,$C220)/Assumptions!$B$4*Assumptions!$B$6</f>
        <v>0.55</v>
      </c>
      <c r="S220" s="7" t="n">
        <f aca="false">SUMIFS(Doors!AE:AE,Doors!$A:$A,$D220,Doors!$B:$B,$B220,Doors!$C:$C,$C220)*SUMIFS(Velocity!$I:$I,Velocity!$A:$A,$A220,Velocity!$B:$B,$C220)/Assumptions!$B$4*Assumptions!$B$6</f>
        <v>0.55</v>
      </c>
      <c r="T220" s="7" t="n">
        <f aca="false">SUMIFS(Doors!AF:AF,Doors!$A:$A,$D220,Doors!$B:$B,$B220,Doors!$C:$C,$C220)*SUMIFS(Velocity!$I:$I,Velocity!$A:$A,$A220,Velocity!$B:$B,$C220)/Assumptions!$B$4*Assumptions!$B$6</f>
        <v>0.55</v>
      </c>
      <c r="U220" s="7" t="n">
        <f aca="false">SUMIFS(Doors!AG:AG,Doors!$A:$A,$D220,Doors!$B:$B,$B220,Doors!$C:$C,$C220)*SUMIFS(Velocity!$I:$I,Velocity!$A:$A,$A220,Velocity!$B:$B,$C220)/Assumptions!$B$4*Assumptions!$B$6</f>
        <v>0.55</v>
      </c>
      <c r="V220" s="7" t="n">
        <f aca="false">SUMIFS(Doors!AH:AH,Doors!$A:$A,$D220,Doors!$B:$B,$B220,Doors!$C:$C,$C220)*SUMIFS(Velocity!$I:$I,Velocity!$A:$A,$A220,Velocity!$B:$B,$C220)/Assumptions!$B$4*Assumptions!$B$6</f>
        <v>0.55</v>
      </c>
      <c r="W220" s="7" t="n">
        <f aca="false">SUMIFS(Doors!AI:AI,Doors!$A:$A,$D220,Doors!$B:$B,$B220,Doors!$C:$C,$C220)*SUMIFS(Velocity!$I:$I,Velocity!$A:$A,$A220,Velocity!$B:$B,$C220)/Assumptions!$B$4*Assumptions!$B$6</f>
        <v>0.825</v>
      </c>
      <c r="X220" s="7" t="n">
        <f aca="false">SUMIFS(Doors!AJ:AJ,Doors!$A:$A,$D220,Doors!$B:$B,$B220,Doors!$C:$C,$C220)*SUMIFS(Velocity!$I:$I,Velocity!$A:$A,$A220,Velocity!$B:$B,$C220)/Assumptions!$B$4*Assumptions!$B$6</f>
        <v>0.825</v>
      </c>
      <c r="Y220" s="7" t="n">
        <f aca="false">SUMIFS(Doors!AK:AK,Doors!$A:$A,$D220,Doors!$B:$B,$B220,Doors!$C:$C,$C220)*SUMIFS(Velocity!$I:$I,Velocity!$A:$A,$A220,Velocity!$B:$B,$C220)/Assumptions!$B$4*Assumptions!$B$6</f>
        <v>0.825</v>
      </c>
      <c r="Z220" s="7" t="n">
        <f aca="false">SUMIFS(Doors!AL:AL,Doors!$A:$A,$D220,Doors!$B:$B,$B220,Doors!$C:$C,$C220)*SUMIFS(Velocity!$I:$I,Velocity!$A:$A,$A220,Velocity!$B:$B,$C220)/Assumptions!$B$4*Assumptions!$B$6</f>
        <v>0.825</v>
      </c>
      <c r="AA220" s="7" t="n">
        <f aca="false">SUMIFS(Doors!AM:AM,Doors!$A:$A,$D220,Doors!$B:$B,$B220,Doors!$C:$C,$C220)*SUMIFS(Velocity!$I:$I,Velocity!$A:$A,$A220,Velocity!$B:$B,$C220)/Assumptions!$B$4*Assumptions!$B$6</f>
        <v>1.1</v>
      </c>
      <c r="AB220" s="7" t="n">
        <f aca="false">SUMIFS(Doors!AN:AN,Doors!$A:$A,$D220,Doors!$B:$B,$B220,Doors!$C:$C,$C220)*SUMIFS(Velocity!$I:$I,Velocity!$A:$A,$A220,Velocity!$B:$B,$C220)/Assumptions!$B$4*Assumptions!$B$6</f>
        <v>1.1</v>
      </c>
      <c r="AC220" s="7" t="n">
        <f aca="false">SUMIFS(Doors!AO:AO,Doors!$A:$A,$D220,Doors!$B:$B,$B220,Doors!$C:$C,$C220)*SUMIFS(Velocity!$I:$I,Velocity!$A:$A,$A220,Velocity!$B:$B,$C220)/Assumptions!$B$4*Assumptions!$B$6</f>
        <v>1.1</v>
      </c>
      <c r="AD220" s="7" t="n">
        <f aca="false">SUMIFS(Doors!AP:AP,Doors!$A:$A,$D220,Doors!$B:$B,$B220,Doors!$C:$C,$C220)*SUMIFS(Velocity!$I:$I,Velocity!$A:$A,$A220,Velocity!$B:$B,$C220)/Assumptions!$B$4*Assumptions!$B$6</f>
        <v>1.1</v>
      </c>
      <c r="AE220" s="7" t="n">
        <f aca="false">SUMIFS(Doors!AQ:AQ,Doors!$A:$A,$D220,Doors!$B:$B,$B220,Doors!$C:$C,$C220)*SUMIFS(Velocity!$I:$I,Velocity!$A:$A,$A220,Velocity!$B:$B,$C220)/Assumptions!$B$4*Assumptions!$B$6</f>
        <v>1.375</v>
      </c>
      <c r="AF220" s="7" t="n">
        <f aca="false">SUMIFS(Doors!AR:AR,Doors!$A:$A,$D220,Doors!$B:$B,$B220,Doors!$C:$C,$C220)*SUMIFS(Velocity!$I:$I,Velocity!$A:$A,$A220,Velocity!$B:$B,$C220)/Assumptions!$B$4*Assumptions!$B$6</f>
        <v>1.375</v>
      </c>
      <c r="AG220" s="7" t="n">
        <f aca="false">SUMIFS(Doors!AS:AS,Doors!$A:$A,$D220,Doors!$B:$B,$B220,Doors!$C:$C,$C220)*SUMIFS(Velocity!$I:$I,Velocity!$A:$A,$A220,Velocity!$B:$B,$C220)/Assumptions!$B$4*Assumptions!$B$6</f>
        <v>1.375</v>
      </c>
      <c r="AH220" s="7" t="n">
        <f aca="false">SUMIFS(Doors!AT:AT,Doors!$A:$A,$D220,Doors!$B:$B,$B220,Doors!$C:$C,$C220)*SUMIFS(Velocity!$I:$I,Velocity!$A:$A,$A220,Velocity!$B:$B,$C220)/Assumptions!$B$4*Assumptions!$B$6</f>
        <v>1.375</v>
      </c>
      <c r="AI220" s="7" t="n">
        <f aca="false">SUMIFS(Doors!AU:AU,Doors!$A:$A,$D220,Doors!$B:$B,$B220,Doors!$C:$C,$C220)*SUMIFS(Velocity!$I:$I,Velocity!$A:$A,$A220,Velocity!$B:$B,$C220)/Assumptions!$B$4*Assumptions!$B$6</f>
        <v>1.375</v>
      </c>
      <c r="AJ220" s="7" t="n">
        <f aca="false">SUMIFS(Doors!AV:AV,Doors!$A:$A,$D220,Doors!$B:$B,$B220,Doors!$C:$C,$C220)*SUMIFS(Velocity!$I:$I,Velocity!$A:$A,$A220,Velocity!$B:$B,$C220)/Assumptions!$B$4*Assumptions!$B$6</f>
        <v>1.5125</v>
      </c>
      <c r="AK220" s="7" t="n">
        <f aca="false">SUMIFS(Doors!AW:AW,Doors!$A:$A,$D220,Doors!$B:$B,$B220,Doors!$C:$C,$C220)*SUMIFS(Velocity!$I:$I,Velocity!$A:$A,$A220,Velocity!$B:$B,$C220)/Assumptions!$B$4*Assumptions!$B$6</f>
        <v>1.5125</v>
      </c>
      <c r="AL220" s="7" t="n">
        <f aca="false">SUMIFS(Doors!AX:AX,Doors!$A:$A,$D220,Doors!$B:$B,$B220,Doors!$C:$C,$C220)*SUMIFS(Velocity!$I:$I,Velocity!$A:$A,$A220,Velocity!$B:$B,$C220)/Assumptions!$B$4*Assumptions!$B$6</f>
        <v>1.5125</v>
      </c>
      <c r="AM220" s="7" t="n">
        <f aca="false">SUMIFS(Doors!AY:AY,Doors!$A:$A,$D220,Doors!$B:$B,$B220,Doors!$C:$C,$C220)*SUMIFS(Velocity!$I:$I,Velocity!$A:$A,$A220,Velocity!$B:$B,$C220)/Assumptions!$B$4*Assumptions!$B$6</f>
        <v>1.5125</v>
      </c>
      <c r="AN220" s="7" t="n">
        <f aca="false">SUMIFS(Doors!AZ:AZ,Doors!$A:$A,$D220,Doors!$B:$B,$B220,Doors!$C:$C,$C220)*SUMIFS(Velocity!$I:$I,Velocity!$A:$A,$A220,Velocity!$B:$B,$C220)/Assumptions!$B$4*Assumptions!$B$6</f>
        <v>1.65</v>
      </c>
      <c r="AO220" s="7" t="n">
        <f aca="false">SUMIFS(Doors!BA:BA,Doors!$A:$A,$D220,Doors!$B:$B,$B220,Doors!$C:$C,$C220)*SUMIFS(Velocity!$I:$I,Velocity!$A:$A,$A220,Velocity!$B:$B,$C220)/Assumptions!$B$4*Assumptions!$B$6</f>
        <v>1.65</v>
      </c>
      <c r="AP220" s="7" t="n">
        <f aca="false">SUMIFS(Doors!BB:BB,Doors!$A:$A,$D220,Doors!$B:$B,$B220,Doors!$C:$C,$C220)*SUMIFS(Velocity!$I:$I,Velocity!$A:$A,$A220,Velocity!$B:$B,$C220)/Assumptions!$B$4*Assumptions!$B$6</f>
        <v>1.65</v>
      </c>
      <c r="AQ220" s="7" t="n">
        <f aca="false">SUMIFS(Doors!BC:BC,Doors!$A:$A,$D220,Doors!$B:$B,$B220,Doors!$C:$C,$C220)*SUMIFS(Velocity!$I:$I,Velocity!$A:$A,$A220,Velocity!$B:$B,$C220)/Assumptions!$B$4*Assumptions!$B$6</f>
        <v>1.65</v>
      </c>
      <c r="AR220" s="7" t="n">
        <f aca="false">SUMIFS(Doors!BD:BD,Doors!$A:$A,$D220,Doors!$B:$B,$B220,Doors!$C:$C,$C220)*SUMIFS(Velocity!$I:$I,Velocity!$A:$A,$A220,Velocity!$B:$B,$C220)/Assumptions!$B$4*Assumptions!$B$6</f>
        <v>1.7875</v>
      </c>
      <c r="AS220" s="7" t="n">
        <f aca="false">SUMIFS(Doors!BE:BE,Doors!$A:$A,$D220,Doors!$B:$B,$B220,Doors!$C:$C,$C220)*SUMIFS(Velocity!$I:$I,Velocity!$A:$A,$A220,Velocity!$B:$B,$C220)/Assumptions!$B$4*Assumptions!$B$6</f>
        <v>1.7875</v>
      </c>
      <c r="AT220" s="7" t="n">
        <f aca="false">SUMIFS(Doors!BF:BF,Doors!$A:$A,$D220,Doors!$B:$B,$B220,Doors!$C:$C,$C220)*SUMIFS(Velocity!$I:$I,Velocity!$A:$A,$A220,Velocity!$B:$B,$C220)/Assumptions!$B$4*Assumptions!$B$6</f>
        <v>1.7875</v>
      </c>
      <c r="AU220" s="7" t="n">
        <f aca="false">SUMIFS(Doors!BG:BG,Doors!$A:$A,$D220,Doors!$B:$B,$B220,Doors!$C:$C,$C220)*SUMIFS(Velocity!$I:$I,Velocity!$A:$A,$A220,Velocity!$B:$B,$C220)/Assumptions!$B$4*Assumptions!$B$6</f>
        <v>1.7875</v>
      </c>
      <c r="AV220" s="7" t="n">
        <f aca="false">SUMIFS(Doors!BH:BH,Doors!$A:$A,$D220,Doors!$B:$B,$B220,Doors!$C:$C,$C220)*SUMIFS(Velocity!$I:$I,Velocity!$A:$A,$A220,Velocity!$B:$B,$C220)/Assumptions!$B$4*Assumptions!$B$6</f>
        <v>1.7875</v>
      </c>
      <c r="AW220" s="7" t="n">
        <f aca="false">SUMIFS(Doors!BI:BI,Doors!$A:$A,$D220,Doors!$B:$B,$B220,Doors!$C:$C,$C220)*SUMIFS(Velocity!$I:$I,Velocity!$A:$A,$A220,Velocity!$B:$B,$C220)/Assumptions!$B$4*Assumptions!$B$6</f>
        <v>1.925</v>
      </c>
      <c r="AX220" s="7" t="n">
        <f aca="false">SUMIFS(Doors!BJ:BJ,Doors!$A:$A,$D220,Doors!$B:$B,$B220,Doors!$C:$C,$C220)*SUMIFS(Velocity!$I:$I,Velocity!$A:$A,$A220,Velocity!$B:$B,$C220)/Assumptions!$B$4*Assumptions!$B$6</f>
        <v>1.925</v>
      </c>
      <c r="AY220" s="7" t="n">
        <f aca="false">SUMIFS(Doors!BK:BK,Doors!$A:$A,$D220,Doors!$B:$B,$B220,Doors!$C:$C,$C220)*SUMIFS(Velocity!$I:$I,Velocity!$A:$A,$A220,Velocity!$B:$B,$C220)/Assumptions!$B$4*Assumptions!$B$6</f>
        <v>1.925</v>
      </c>
      <c r="AZ220" s="7" t="n">
        <f aca="false">SUMIFS(Doors!BL:BL,Doors!$A:$A,$D220,Doors!$B:$B,$B220,Doors!$C:$C,$C220)*SUMIFS(Velocity!$I:$I,Velocity!$A:$A,$A220,Velocity!$B:$B,$C220)/Assumptions!$B$4*Assumptions!$B$6</f>
        <v>1.925</v>
      </c>
      <c r="BA220" s="7" t="n">
        <f aca="false">SUMIFS(Doors!BM:BM,Doors!$A:$A,$D220,Doors!$B:$B,$B220,Doors!$C:$C,$C220)*SUMIFS(Velocity!$I:$I,Velocity!$A:$A,$A220,Velocity!$B:$B,$C220)/Assumptions!$B$4*Assumptions!$B$6</f>
        <v>2.0625</v>
      </c>
      <c r="BB220" s="7" t="n">
        <f aca="false">SUMIFS(Doors!BN:BN,Doors!$A:$A,$D220,Doors!$B:$B,$B220,Doors!$C:$C,$C220)*SUMIFS(Velocity!$I:$I,Velocity!$A:$A,$A220,Velocity!$B:$B,$C220)/Assumptions!$B$4*Assumptions!$B$6</f>
        <v>2.0625</v>
      </c>
      <c r="BC220" s="7" t="n">
        <f aca="false">SUMIFS(Doors!BO:BO,Doors!$A:$A,$D220,Doors!$B:$B,$B220,Doors!$C:$C,$C220)*SUMIFS(Velocity!$I:$I,Velocity!$A:$A,$A220,Velocity!$B:$B,$C220)/Assumptions!$B$4*Assumptions!$B$6</f>
        <v>2.0625</v>
      </c>
      <c r="BD220" s="7" t="n">
        <f aca="false">SUMIFS(Doors!BP:BP,Doors!$A:$A,$D220,Doors!$B:$B,$B220,Doors!$C:$C,$C220)*SUMIFS(Velocity!$I:$I,Velocity!$A:$A,$A220,Velocity!$B:$B,$C220)/Assumptions!$B$4*Assumptions!$B$6</f>
        <v>2.0625</v>
      </c>
    </row>
    <row r="221" customFormat="false" ht="15" hidden="false" customHeight="false" outlineLevel="0" collapsed="false">
      <c r="A221" s="0" t="s">
        <v>110</v>
      </c>
      <c r="B221" s="0" t="s">
        <v>129</v>
      </c>
      <c r="C221" s="0" t="s">
        <v>123</v>
      </c>
      <c r="D221" s="0" t="s">
        <v>235</v>
      </c>
      <c r="E221" s="7" t="n">
        <f aca="false">SUMIFS(Doors!Q:Q,Doors!$A:$A,$D221,Doors!$B:$B,$B221,Doors!$C:$C,$C221)*SUMIFS(Velocity!$I:$I,Velocity!$A:$A,$A221,Velocity!$B:$B,$C221)/Assumptions!$B$4*Assumptions!$B$6</f>
        <v>0</v>
      </c>
      <c r="F221" s="7" t="n">
        <f aca="false">SUMIFS(Doors!R:R,Doors!$A:$A,$D221,Doors!$B:$B,$B221,Doors!$C:$C,$C221)*SUMIFS(Velocity!$I:$I,Velocity!$A:$A,$A221,Velocity!$B:$B,$C221)/Assumptions!$B$4*Assumptions!$B$6</f>
        <v>0</v>
      </c>
      <c r="G221" s="7" t="n">
        <f aca="false">SUMIFS(Doors!S:S,Doors!$A:$A,$D221,Doors!$B:$B,$B221,Doors!$C:$C,$C221)*SUMIFS(Velocity!$I:$I,Velocity!$A:$A,$A221,Velocity!$B:$B,$C221)/Assumptions!$B$4*Assumptions!$B$6</f>
        <v>0</v>
      </c>
      <c r="H221" s="7" t="n">
        <f aca="false">SUMIFS(Doors!T:T,Doors!$A:$A,$D221,Doors!$B:$B,$B221,Doors!$C:$C,$C221)*SUMIFS(Velocity!$I:$I,Velocity!$A:$A,$A221,Velocity!$B:$B,$C221)/Assumptions!$B$4*Assumptions!$B$6</f>
        <v>0</v>
      </c>
      <c r="I221" s="7" t="n">
        <f aca="false">SUMIFS(Doors!U:U,Doors!$A:$A,$D221,Doors!$B:$B,$B221,Doors!$C:$C,$C221)*SUMIFS(Velocity!$I:$I,Velocity!$A:$A,$A221,Velocity!$B:$B,$C221)/Assumptions!$B$4*Assumptions!$B$6</f>
        <v>0</v>
      </c>
      <c r="J221" s="7" t="n">
        <f aca="false">SUMIFS(Doors!V:V,Doors!$A:$A,$D221,Doors!$B:$B,$B221,Doors!$C:$C,$C221)*SUMIFS(Velocity!$I:$I,Velocity!$A:$A,$A221,Velocity!$B:$B,$C221)/Assumptions!$B$4*Assumptions!$B$6</f>
        <v>0</v>
      </c>
      <c r="K221" s="7" t="n">
        <f aca="false">SUMIFS(Doors!W:W,Doors!$A:$A,$D221,Doors!$B:$B,$B221,Doors!$C:$C,$C221)*SUMIFS(Velocity!$I:$I,Velocity!$A:$A,$A221,Velocity!$B:$B,$C221)/Assumptions!$B$4*Assumptions!$B$6</f>
        <v>0</v>
      </c>
      <c r="L221" s="7" t="n">
        <f aca="false">SUMIFS(Doors!X:X,Doors!$A:$A,$D221,Doors!$B:$B,$B221,Doors!$C:$C,$C221)*SUMIFS(Velocity!$I:$I,Velocity!$A:$A,$A221,Velocity!$B:$B,$C221)/Assumptions!$B$4*Assumptions!$B$6</f>
        <v>0</v>
      </c>
      <c r="M221" s="7" t="n">
        <f aca="false">SUMIFS(Doors!Y:Y,Doors!$A:$A,$D221,Doors!$B:$B,$B221,Doors!$C:$C,$C221)*SUMIFS(Velocity!$I:$I,Velocity!$A:$A,$A221,Velocity!$B:$B,$C221)/Assumptions!$B$4*Assumptions!$B$6</f>
        <v>0</v>
      </c>
      <c r="N221" s="7" t="n">
        <f aca="false">SUMIFS(Doors!Z:Z,Doors!$A:$A,$D221,Doors!$B:$B,$B221,Doors!$C:$C,$C221)*SUMIFS(Velocity!$I:$I,Velocity!$A:$A,$A221,Velocity!$B:$B,$C221)/Assumptions!$B$4*Assumptions!$B$6</f>
        <v>0</v>
      </c>
      <c r="O221" s="7" t="n">
        <f aca="false">SUMIFS(Doors!AA:AA,Doors!$A:$A,$D221,Doors!$B:$B,$B221,Doors!$C:$C,$C221)*SUMIFS(Velocity!$I:$I,Velocity!$A:$A,$A221,Velocity!$B:$B,$C221)/Assumptions!$B$4*Assumptions!$B$6</f>
        <v>0</v>
      </c>
      <c r="P221" s="7" t="n">
        <f aca="false">SUMIFS(Doors!AB:AB,Doors!$A:$A,$D221,Doors!$B:$B,$B221,Doors!$C:$C,$C221)*SUMIFS(Velocity!$I:$I,Velocity!$A:$A,$A221,Velocity!$B:$B,$C221)/Assumptions!$B$4*Assumptions!$B$6</f>
        <v>0</v>
      </c>
      <c r="Q221" s="7" t="n">
        <f aca="false">SUMIFS(Doors!AC:AC,Doors!$A:$A,$D221,Doors!$B:$B,$B221,Doors!$C:$C,$C221)*SUMIFS(Velocity!$I:$I,Velocity!$A:$A,$A221,Velocity!$B:$B,$C221)/Assumptions!$B$4*Assumptions!$B$6</f>
        <v>0</v>
      </c>
      <c r="R221" s="7" t="n">
        <f aca="false">SUMIFS(Doors!AD:AD,Doors!$A:$A,$D221,Doors!$B:$B,$B221,Doors!$C:$C,$C221)*SUMIFS(Velocity!$I:$I,Velocity!$A:$A,$A221,Velocity!$B:$B,$C221)/Assumptions!$B$4*Assumptions!$B$6</f>
        <v>0</v>
      </c>
      <c r="S221" s="7" t="n">
        <f aca="false">SUMIFS(Doors!AE:AE,Doors!$A:$A,$D221,Doors!$B:$B,$B221,Doors!$C:$C,$C221)*SUMIFS(Velocity!$I:$I,Velocity!$A:$A,$A221,Velocity!$B:$B,$C221)/Assumptions!$B$4*Assumptions!$B$6</f>
        <v>0</v>
      </c>
      <c r="T221" s="7" t="n">
        <f aca="false">SUMIFS(Doors!AF:AF,Doors!$A:$A,$D221,Doors!$B:$B,$B221,Doors!$C:$C,$C221)*SUMIFS(Velocity!$I:$I,Velocity!$A:$A,$A221,Velocity!$B:$B,$C221)/Assumptions!$B$4*Assumptions!$B$6</f>
        <v>0</v>
      </c>
      <c r="U221" s="7" t="n">
        <f aca="false">SUMIFS(Doors!AG:AG,Doors!$A:$A,$D221,Doors!$B:$B,$B221,Doors!$C:$C,$C221)*SUMIFS(Velocity!$I:$I,Velocity!$A:$A,$A221,Velocity!$B:$B,$C221)/Assumptions!$B$4*Assumptions!$B$6</f>
        <v>0</v>
      </c>
      <c r="V221" s="7" t="n">
        <f aca="false">SUMIFS(Doors!AH:AH,Doors!$A:$A,$D221,Doors!$B:$B,$B221,Doors!$C:$C,$C221)*SUMIFS(Velocity!$I:$I,Velocity!$A:$A,$A221,Velocity!$B:$B,$C221)/Assumptions!$B$4*Assumptions!$B$6</f>
        <v>0</v>
      </c>
      <c r="W221" s="7" t="n">
        <f aca="false">SUMIFS(Doors!AI:AI,Doors!$A:$A,$D221,Doors!$B:$B,$B221,Doors!$C:$C,$C221)*SUMIFS(Velocity!$I:$I,Velocity!$A:$A,$A221,Velocity!$B:$B,$C221)/Assumptions!$B$4*Assumptions!$B$6</f>
        <v>0</v>
      </c>
      <c r="X221" s="7" t="n">
        <f aca="false">SUMIFS(Doors!AJ:AJ,Doors!$A:$A,$D221,Doors!$B:$B,$B221,Doors!$C:$C,$C221)*SUMIFS(Velocity!$I:$I,Velocity!$A:$A,$A221,Velocity!$B:$B,$C221)/Assumptions!$B$4*Assumptions!$B$6</f>
        <v>0</v>
      </c>
      <c r="Y221" s="7" t="n">
        <f aca="false">SUMIFS(Doors!AK:AK,Doors!$A:$A,$D221,Doors!$B:$B,$B221,Doors!$C:$C,$C221)*SUMIFS(Velocity!$I:$I,Velocity!$A:$A,$A221,Velocity!$B:$B,$C221)/Assumptions!$B$4*Assumptions!$B$6</f>
        <v>0</v>
      </c>
      <c r="Z221" s="7" t="n">
        <f aca="false">SUMIFS(Doors!AL:AL,Doors!$A:$A,$D221,Doors!$B:$B,$B221,Doors!$C:$C,$C221)*SUMIFS(Velocity!$I:$I,Velocity!$A:$A,$A221,Velocity!$B:$B,$C221)/Assumptions!$B$4*Assumptions!$B$6</f>
        <v>0</v>
      </c>
      <c r="AA221" s="7" t="n">
        <f aca="false">SUMIFS(Doors!AM:AM,Doors!$A:$A,$D221,Doors!$B:$B,$B221,Doors!$C:$C,$C221)*SUMIFS(Velocity!$I:$I,Velocity!$A:$A,$A221,Velocity!$B:$B,$C221)/Assumptions!$B$4*Assumptions!$B$6</f>
        <v>0</v>
      </c>
      <c r="AB221" s="7" t="n">
        <f aca="false">SUMIFS(Doors!AN:AN,Doors!$A:$A,$D221,Doors!$B:$B,$B221,Doors!$C:$C,$C221)*SUMIFS(Velocity!$I:$I,Velocity!$A:$A,$A221,Velocity!$B:$B,$C221)/Assumptions!$B$4*Assumptions!$B$6</f>
        <v>0</v>
      </c>
      <c r="AC221" s="7" t="n">
        <f aca="false">SUMIFS(Doors!AO:AO,Doors!$A:$A,$D221,Doors!$B:$B,$B221,Doors!$C:$C,$C221)*SUMIFS(Velocity!$I:$I,Velocity!$A:$A,$A221,Velocity!$B:$B,$C221)/Assumptions!$B$4*Assumptions!$B$6</f>
        <v>0</v>
      </c>
      <c r="AD221" s="7" t="n">
        <f aca="false">SUMIFS(Doors!AP:AP,Doors!$A:$A,$D221,Doors!$B:$B,$B221,Doors!$C:$C,$C221)*SUMIFS(Velocity!$I:$I,Velocity!$A:$A,$A221,Velocity!$B:$B,$C221)/Assumptions!$B$4*Assumptions!$B$6</f>
        <v>0</v>
      </c>
      <c r="AE221" s="7" t="n">
        <f aca="false">SUMIFS(Doors!AQ:AQ,Doors!$A:$A,$D221,Doors!$B:$B,$B221,Doors!$C:$C,$C221)*SUMIFS(Velocity!$I:$I,Velocity!$A:$A,$A221,Velocity!$B:$B,$C221)/Assumptions!$B$4*Assumptions!$B$6</f>
        <v>0</v>
      </c>
      <c r="AF221" s="7" t="n">
        <f aca="false">SUMIFS(Doors!AR:AR,Doors!$A:$A,$D221,Doors!$B:$B,$B221,Doors!$C:$C,$C221)*SUMIFS(Velocity!$I:$I,Velocity!$A:$A,$A221,Velocity!$B:$B,$C221)/Assumptions!$B$4*Assumptions!$B$6</f>
        <v>0</v>
      </c>
      <c r="AG221" s="7" t="n">
        <f aca="false">SUMIFS(Doors!AS:AS,Doors!$A:$A,$D221,Doors!$B:$B,$B221,Doors!$C:$C,$C221)*SUMIFS(Velocity!$I:$I,Velocity!$A:$A,$A221,Velocity!$B:$B,$C221)/Assumptions!$B$4*Assumptions!$B$6</f>
        <v>0</v>
      </c>
      <c r="AH221" s="7" t="n">
        <f aca="false">SUMIFS(Doors!AT:AT,Doors!$A:$A,$D221,Doors!$B:$B,$B221,Doors!$C:$C,$C221)*SUMIFS(Velocity!$I:$I,Velocity!$A:$A,$A221,Velocity!$B:$B,$C221)/Assumptions!$B$4*Assumptions!$B$6</f>
        <v>0</v>
      </c>
      <c r="AI221" s="7" t="n">
        <f aca="false">SUMIFS(Doors!AU:AU,Doors!$A:$A,$D221,Doors!$B:$B,$B221,Doors!$C:$C,$C221)*SUMIFS(Velocity!$I:$I,Velocity!$A:$A,$A221,Velocity!$B:$B,$C221)/Assumptions!$B$4*Assumptions!$B$6</f>
        <v>0</v>
      </c>
      <c r="AJ221" s="7" t="n">
        <f aca="false">SUMIFS(Doors!AV:AV,Doors!$A:$A,$D221,Doors!$B:$B,$B221,Doors!$C:$C,$C221)*SUMIFS(Velocity!$I:$I,Velocity!$A:$A,$A221,Velocity!$B:$B,$C221)/Assumptions!$B$4*Assumptions!$B$6</f>
        <v>0</v>
      </c>
      <c r="AK221" s="7" t="n">
        <f aca="false">SUMIFS(Doors!AW:AW,Doors!$A:$A,$D221,Doors!$B:$B,$B221,Doors!$C:$C,$C221)*SUMIFS(Velocity!$I:$I,Velocity!$A:$A,$A221,Velocity!$B:$B,$C221)/Assumptions!$B$4*Assumptions!$B$6</f>
        <v>0</v>
      </c>
      <c r="AL221" s="7" t="n">
        <f aca="false">SUMIFS(Doors!AX:AX,Doors!$A:$A,$D221,Doors!$B:$B,$B221,Doors!$C:$C,$C221)*SUMIFS(Velocity!$I:$I,Velocity!$A:$A,$A221,Velocity!$B:$B,$C221)/Assumptions!$B$4*Assumptions!$B$6</f>
        <v>0</v>
      </c>
      <c r="AM221" s="7" t="n">
        <f aca="false">SUMIFS(Doors!AY:AY,Doors!$A:$A,$D221,Doors!$B:$B,$B221,Doors!$C:$C,$C221)*SUMIFS(Velocity!$I:$I,Velocity!$A:$A,$A221,Velocity!$B:$B,$C221)/Assumptions!$B$4*Assumptions!$B$6</f>
        <v>0</v>
      </c>
      <c r="AN221" s="7" t="n">
        <f aca="false">SUMIFS(Doors!AZ:AZ,Doors!$A:$A,$D221,Doors!$B:$B,$B221,Doors!$C:$C,$C221)*SUMIFS(Velocity!$I:$I,Velocity!$A:$A,$A221,Velocity!$B:$B,$C221)/Assumptions!$B$4*Assumptions!$B$6</f>
        <v>0</v>
      </c>
      <c r="AO221" s="7" t="n">
        <f aca="false">SUMIFS(Doors!BA:BA,Doors!$A:$A,$D221,Doors!$B:$B,$B221,Doors!$C:$C,$C221)*SUMIFS(Velocity!$I:$I,Velocity!$A:$A,$A221,Velocity!$B:$B,$C221)/Assumptions!$B$4*Assumptions!$B$6</f>
        <v>0</v>
      </c>
      <c r="AP221" s="7" t="n">
        <f aca="false">SUMIFS(Doors!BB:BB,Doors!$A:$A,$D221,Doors!$B:$B,$B221,Doors!$C:$C,$C221)*SUMIFS(Velocity!$I:$I,Velocity!$A:$A,$A221,Velocity!$B:$B,$C221)/Assumptions!$B$4*Assumptions!$B$6</f>
        <v>0</v>
      </c>
      <c r="AQ221" s="7" t="n">
        <f aca="false">SUMIFS(Doors!BC:BC,Doors!$A:$A,$D221,Doors!$B:$B,$B221,Doors!$C:$C,$C221)*SUMIFS(Velocity!$I:$I,Velocity!$A:$A,$A221,Velocity!$B:$B,$C221)/Assumptions!$B$4*Assumptions!$B$6</f>
        <v>0</v>
      </c>
      <c r="AR221" s="7" t="n">
        <f aca="false">SUMIFS(Doors!BD:BD,Doors!$A:$A,$D221,Doors!$B:$B,$B221,Doors!$C:$C,$C221)*SUMIFS(Velocity!$I:$I,Velocity!$A:$A,$A221,Velocity!$B:$B,$C221)/Assumptions!$B$4*Assumptions!$B$6</f>
        <v>0</v>
      </c>
      <c r="AS221" s="7" t="n">
        <f aca="false">SUMIFS(Doors!BE:BE,Doors!$A:$A,$D221,Doors!$B:$B,$B221,Doors!$C:$C,$C221)*SUMIFS(Velocity!$I:$I,Velocity!$A:$A,$A221,Velocity!$B:$B,$C221)/Assumptions!$B$4*Assumptions!$B$6</f>
        <v>0</v>
      </c>
      <c r="AT221" s="7" t="n">
        <f aca="false">SUMIFS(Doors!BF:BF,Doors!$A:$A,$D221,Doors!$B:$B,$B221,Doors!$C:$C,$C221)*SUMIFS(Velocity!$I:$I,Velocity!$A:$A,$A221,Velocity!$B:$B,$C221)/Assumptions!$B$4*Assumptions!$B$6</f>
        <v>0</v>
      </c>
      <c r="AU221" s="7" t="n">
        <f aca="false">SUMIFS(Doors!BG:BG,Doors!$A:$A,$D221,Doors!$B:$B,$B221,Doors!$C:$C,$C221)*SUMIFS(Velocity!$I:$I,Velocity!$A:$A,$A221,Velocity!$B:$B,$C221)/Assumptions!$B$4*Assumptions!$B$6</f>
        <v>0</v>
      </c>
      <c r="AV221" s="7" t="n">
        <f aca="false">SUMIFS(Doors!BH:BH,Doors!$A:$A,$D221,Doors!$B:$B,$B221,Doors!$C:$C,$C221)*SUMIFS(Velocity!$I:$I,Velocity!$A:$A,$A221,Velocity!$B:$B,$C221)/Assumptions!$B$4*Assumptions!$B$6</f>
        <v>0</v>
      </c>
      <c r="AW221" s="7" t="n">
        <f aca="false">SUMIFS(Doors!BI:BI,Doors!$A:$A,$D221,Doors!$B:$B,$B221,Doors!$C:$C,$C221)*SUMIFS(Velocity!$I:$I,Velocity!$A:$A,$A221,Velocity!$B:$B,$C221)/Assumptions!$B$4*Assumptions!$B$6</f>
        <v>0</v>
      </c>
      <c r="AX221" s="7" t="n">
        <f aca="false">SUMIFS(Doors!BJ:BJ,Doors!$A:$A,$D221,Doors!$B:$B,$B221,Doors!$C:$C,$C221)*SUMIFS(Velocity!$I:$I,Velocity!$A:$A,$A221,Velocity!$B:$B,$C221)/Assumptions!$B$4*Assumptions!$B$6</f>
        <v>0</v>
      </c>
      <c r="AY221" s="7" t="n">
        <f aca="false">SUMIFS(Doors!BK:BK,Doors!$A:$A,$D221,Doors!$B:$B,$B221,Doors!$C:$C,$C221)*SUMIFS(Velocity!$I:$I,Velocity!$A:$A,$A221,Velocity!$B:$B,$C221)/Assumptions!$B$4*Assumptions!$B$6</f>
        <v>0</v>
      </c>
      <c r="AZ221" s="7" t="n">
        <f aca="false">SUMIFS(Doors!BL:BL,Doors!$A:$A,$D221,Doors!$B:$B,$B221,Doors!$C:$C,$C221)*SUMIFS(Velocity!$I:$I,Velocity!$A:$A,$A221,Velocity!$B:$B,$C221)/Assumptions!$B$4*Assumptions!$B$6</f>
        <v>0</v>
      </c>
      <c r="BA221" s="7" t="n">
        <f aca="false">SUMIFS(Doors!BM:BM,Doors!$A:$A,$D221,Doors!$B:$B,$B221,Doors!$C:$C,$C221)*SUMIFS(Velocity!$I:$I,Velocity!$A:$A,$A221,Velocity!$B:$B,$C221)/Assumptions!$B$4*Assumptions!$B$6</f>
        <v>0</v>
      </c>
      <c r="BB221" s="7" t="n">
        <f aca="false">SUMIFS(Doors!BN:BN,Doors!$A:$A,$D221,Doors!$B:$B,$B221,Doors!$C:$C,$C221)*SUMIFS(Velocity!$I:$I,Velocity!$A:$A,$A221,Velocity!$B:$B,$C221)/Assumptions!$B$4*Assumptions!$B$6</f>
        <v>0</v>
      </c>
      <c r="BC221" s="7" t="n">
        <f aca="false">SUMIFS(Doors!BO:BO,Doors!$A:$A,$D221,Doors!$B:$B,$B221,Doors!$C:$C,$C221)*SUMIFS(Velocity!$I:$I,Velocity!$A:$A,$A221,Velocity!$B:$B,$C221)/Assumptions!$B$4*Assumptions!$B$6</f>
        <v>0</v>
      </c>
      <c r="BD221" s="7" t="n">
        <f aca="false">SUMIFS(Doors!BP:BP,Doors!$A:$A,$D221,Doors!$B:$B,$B221,Doors!$C:$C,$C221)*SUMIFS(Velocity!$I:$I,Velocity!$A:$A,$A221,Velocity!$B:$B,$C221)/Assumptions!$B$4*Assumptions!$B$6</f>
        <v>0</v>
      </c>
    </row>
    <row r="222" customFormat="false" ht="15" hidden="false" customHeight="false" outlineLevel="0" collapsed="false">
      <c r="A222" s="0" t="s">
        <v>110</v>
      </c>
      <c r="B222" s="0" t="s">
        <v>130</v>
      </c>
      <c r="C222" s="0" t="s">
        <v>115</v>
      </c>
      <c r="D222" s="0" t="s">
        <v>235</v>
      </c>
      <c r="E222" s="7" t="n">
        <f aca="false">SUMIFS(Doors!Q:Q,Doors!$A:$A,$D222,Doors!$B:$B,$B222,Doors!$C:$C,$C222)*SUMIFS(Velocity!$I:$I,Velocity!$A:$A,$A222,Velocity!$B:$B,$C222)/Assumptions!$B$4*Assumptions!$B$6</f>
        <v>3.66666666666667</v>
      </c>
      <c r="F222" s="7" t="n">
        <f aca="false">SUMIFS(Doors!R:R,Doors!$A:$A,$D222,Doors!$B:$B,$B222,Doors!$C:$C,$C222)*SUMIFS(Velocity!$I:$I,Velocity!$A:$A,$A222,Velocity!$B:$B,$C222)/Assumptions!$B$4*Assumptions!$B$6</f>
        <v>3.66666666666667</v>
      </c>
      <c r="G222" s="7" t="n">
        <f aca="false">SUMIFS(Doors!S:S,Doors!$A:$A,$D222,Doors!$B:$B,$B222,Doors!$C:$C,$C222)*SUMIFS(Velocity!$I:$I,Velocity!$A:$A,$A222,Velocity!$B:$B,$C222)/Assumptions!$B$4*Assumptions!$B$6</f>
        <v>3.66666666666667</v>
      </c>
      <c r="H222" s="7" t="n">
        <f aca="false">SUMIFS(Doors!T:T,Doors!$A:$A,$D222,Doors!$B:$B,$B222,Doors!$C:$C,$C222)*SUMIFS(Velocity!$I:$I,Velocity!$A:$A,$A222,Velocity!$B:$B,$C222)/Assumptions!$B$4*Assumptions!$B$6</f>
        <v>3.66666666666667</v>
      </c>
      <c r="I222" s="7" t="n">
        <f aca="false">SUMIFS(Doors!U:U,Doors!$A:$A,$D222,Doors!$B:$B,$B222,Doors!$C:$C,$C222)*SUMIFS(Velocity!$I:$I,Velocity!$A:$A,$A222,Velocity!$B:$B,$C222)/Assumptions!$B$4*Assumptions!$B$6</f>
        <v>3.66666666666667</v>
      </c>
      <c r="J222" s="7" t="n">
        <f aca="false">SUMIFS(Doors!V:V,Doors!$A:$A,$D222,Doors!$B:$B,$B222,Doors!$C:$C,$C222)*SUMIFS(Velocity!$I:$I,Velocity!$A:$A,$A222,Velocity!$B:$B,$C222)/Assumptions!$B$4*Assumptions!$B$6</f>
        <v>6.6</v>
      </c>
      <c r="K222" s="7" t="n">
        <f aca="false">SUMIFS(Doors!W:W,Doors!$A:$A,$D222,Doors!$B:$B,$B222,Doors!$C:$C,$C222)*SUMIFS(Velocity!$I:$I,Velocity!$A:$A,$A222,Velocity!$B:$B,$C222)/Assumptions!$B$4*Assumptions!$B$6</f>
        <v>6.6</v>
      </c>
      <c r="L222" s="7" t="n">
        <f aca="false">SUMIFS(Doors!X:X,Doors!$A:$A,$D222,Doors!$B:$B,$B222,Doors!$C:$C,$C222)*SUMIFS(Velocity!$I:$I,Velocity!$A:$A,$A222,Velocity!$B:$B,$C222)/Assumptions!$B$4*Assumptions!$B$6</f>
        <v>6.6</v>
      </c>
      <c r="M222" s="7" t="n">
        <f aca="false">SUMIFS(Doors!Y:Y,Doors!$A:$A,$D222,Doors!$B:$B,$B222,Doors!$C:$C,$C222)*SUMIFS(Velocity!$I:$I,Velocity!$A:$A,$A222,Velocity!$B:$B,$C222)/Assumptions!$B$4*Assumptions!$B$6</f>
        <v>6.6</v>
      </c>
      <c r="N222" s="7" t="n">
        <f aca="false">SUMIFS(Doors!Z:Z,Doors!$A:$A,$D222,Doors!$B:$B,$B222,Doors!$C:$C,$C222)*SUMIFS(Velocity!$I:$I,Velocity!$A:$A,$A222,Velocity!$B:$B,$C222)/Assumptions!$B$4*Assumptions!$B$6</f>
        <v>10.2666666666667</v>
      </c>
      <c r="O222" s="7" t="n">
        <f aca="false">SUMIFS(Doors!AA:AA,Doors!$A:$A,$D222,Doors!$B:$B,$B222,Doors!$C:$C,$C222)*SUMIFS(Velocity!$I:$I,Velocity!$A:$A,$A222,Velocity!$B:$B,$C222)/Assumptions!$B$4*Assumptions!$B$6</f>
        <v>10.2666666666667</v>
      </c>
      <c r="P222" s="7" t="n">
        <f aca="false">SUMIFS(Doors!AB:AB,Doors!$A:$A,$D222,Doors!$B:$B,$B222,Doors!$C:$C,$C222)*SUMIFS(Velocity!$I:$I,Velocity!$A:$A,$A222,Velocity!$B:$B,$C222)/Assumptions!$B$4*Assumptions!$B$6</f>
        <v>10.2666666666667</v>
      </c>
      <c r="Q222" s="7" t="n">
        <f aca="false">SUMIFS(Doors!AC:AC,Doors!$A:$A,$D222,Doors!$B:$B,$B222,Doors!$C:$C,$C222)*SUMIFS(Velocity!$I:$I,Velocity!$A:$A,$A222,Velocity!$B:$B,$C222)/Assumptions!$B$4*Assumptions!$B$6</f>
        <v>10.2666666666667</v>
      </c>
      <c r="R222" s="7" t="n">
        <f aca="false">SUMIFS(Doors!AD:AD,Doors!$A:$A,$D222,Doors!$B:$B,$B222,Doors!$C:$C,$C222)*SUMIFS(Velocity!$I:$I,Velocity!$A:$A,$A222,Velocity!$B:$B,$C222)/Assumptions!$B$4*Assumptions!$B$6</f>
        <v>14.6666666666667</v>
      </c>
      <c r="S222" s="7" t="n">
        <f aca="false">SUMIFS(Doors!AE:AE,Doors!$A:$A,$D222,Doors!$B:$B,$B222,Doors!$C:$C,$C222)*SUMIFS(Velocity!$I:$I,Velocity!$A:$A,$A222,Velocity!$B:$B,$C222)/Assumptions!$B$4*Assumptions!$B$6</f>
        <v>14.6666666666667</v>
      </c>
      <c r="T222" s="7" t="n">
        <f aca="false">SUMIFS(Doors!AF:AF,Doors!$A:$A,$D222,Doors!$B:$B,$B222,Doors!$C:$C,$C222)*SUMIFS(Velocity!$I:$I,Velocity!$A:$A,$A222,Velocity!$B:$B,$C222)/Assumptions!$B$4*Assumptions!$B$6</f>
        <v>14.6666666666667</v>
      </c>
      <c r="U222" s="7" t="n">
        <f aca="false">SUMIFS(Doors!AG:AG,Doors!$A:$A,$D222,Doors!$B:$B,$B222,Doors!$C:$C,$C222)*SUMIFS(Velocity!$I:$I,Velocity!$A:$A,$A222,Velocity!$B:$B,$C222)/Assumptions!$B$4*Assumptions!$B$6</f>
        <v>14.6666666666667</v>
      </c>
      <c r="V222" s="7" t="n">
        <f aca="false">SUMIFS(Doors!AH:AH,Doors!$A:$A,$D222,Doors!$B:$B,$B222,Doors!$C:$C,$C222)*SUMIFS(Velocity!$I:$I,Velocity!$A:$A,$A222,Velocity!$B:$B,$C222)/Assumptions!$B$4*Assumptions!$B$6</f>
        <v>14.6666666666667</v>
      </c>
      <c r="W222" s="7" t="n">
        <f aca="false">SUMIFS(Doors!AI:AI,Doors!$A:$A,$D222,Doors!$B:$B,$B222,Doors!$C:$C,$C222)*SUMIFS(Velocity!$I:$I,Velocity!$A:$A,$A222,Velocity!$B:$B,$C222)/Assumptions!$B$4*Assumptions!$B$6</f>
        <v>20.1666666666667</v>
      </c>
      <c r="X222" s="7" t="n">
        <f aca="false">SUMIFS(Doors!AJ:AJ,Doors!$A:$A,$D222,Doors!$B:$B,$B222,Doors!$C:$C,$C222)*SUMIFS(Velocity!$I:$I,Velocity!$A:$A,$A222,Velocity!$B:$B,$C222)/Assumptions!$B$4*Assumptions!$B$6</f>
        <v>20.1666666666667</v>
      </c>
      <c r="Y222" s="7" t="n">
        <f aca="false">SUMIFS(Doors!AK:AK,Doors!$A:$A,$D222,Doors!$B:$B,$B222,Doors!$C:$C,$C222)*SUMIFS(Velocity!$I:$I,Velocity!$A:$A,$A222,Velocity!$B:$B,$C222)/Assumptions!$B$4*Assumptions!$B$6</f>
        <v>20.1666666666667</v>
      </c>
      <c r="Z222" s="7" t="n">
        <f aca="false">SUMIFS(Doors!AL:AL,Doors!$A:$A,$D222,Doors!$B:$B,$B222,Doors!$C:$C,$C222)*SUMIFS(Velocity!$I:$I,Velocity!$A:$A,$A222,Velocity!$B:$B,$C222)/Assumptions!$B$4*Assumptions!$B$6</f>
        <v>20.1666666666667</v>
      </c>
      <c r="AA222" s="7" t="n">
        <f aca="false">SUMIFS(Doors!AM:AM,Doors!$A:$A,$D222,Doors!$B:$B,$B222,Doors!$C:$C,$C222)*SUMIFS(Velocity!$I:$I,Velocity!$A:$A,$A222,Velocity!$B:$B,$C222)/Assumptions!$B$4*Assumptions!$B$6</f>
        <v>27.5</v>
      </c>
      <c r="AB222" s="7" t="n">
        <f aca="false">SUMIFS(Doors!AN:AN,Doors!$A:$A,$D222,Doors!$B:$B,$B222,Doors!$C:$C,$C222)*SUMIFS(Velocity!$I:$I,Velocity!$A:$A,$A222,Velocity!$B:$B,$C222)/Assumptions!$B$4*Assumptions!$B$6</f>
        <v>27.5</v>
      </c>
      <c r="AC222" s="7" t="n">
        <f aca="false">SUMIFS(Doors!AO:AO,Doors!$A:$A,$D222,Doors!$B:$B,$B222,Doors!$C:$C,$C222)*SUMIFS(Velocity!$I:$I,Velocity!$A:$A,$A222,Velocity!$B:$B,$C222)/Assumptions!$B$4*Assumptions!$B$6</f>
        <v>27.5</v>
      </c>
      <c r="AD222" s="7" t="n">
        <f aca="false">SUMIFS(Doors!AP:AP,Doors!$A:$A,$D222,Doors!$B:$B,$B222,Doors!$C:$C,$C222)*SUMIFS(Velocity!$I:$I,Velocity!$A:$A,$A222,Velocity!$B:$B,$C222)/Assumptions!$B$4*Assumptions!$B$6</f>
        <v>27.5</v>
      </c>
      <c r="AE222" s="7" t="n">
        <f aca="false">SUMIFS(Doors!AQ:AQ,Doors!$A:$A,$D222,Doors!$B:$B,$B222,Doors!$C:$C,$C222)*SUMIFS(Velocity!$I:$I,Velocity!$A:$A,$A222,Velocity!$B:$B,$C222)/Assumptions!$B$4*Assumptions!$B$6</f>
        <v>34.8333333333333</v>
      </c>
      <c r="AF222" s="7" t="n">
        <f aca="false">SUMIFS(Doors!AR:AR,Doors!$A:$A,$D222,Doors!$B:$B,$B222,Doors!$C:$C,$C222)*SUMIFS(Velocity!$I:$I,Velocity!$A:$A,$A222,Velocity!$B:$B,$C222)/Assumptions!$B$4*Assumptions!$B$6</f>
        <v>34.8333333333333</v>
      </c>
      <c r="AG222" s="7" t="n">
        <f aca="false">SUMIFS(Doors!AS:AS,Doors!$A:$A,$D222,Doors!$B:$B,$B222,Doors!$C:$C,$C222)*SUMIFS(Velocity!$I:$I,Velocity!$A:$A,$A222,Velocity!$B:$B,$C222)/Assumptions!$B$4*Assumptions!$B$6</f>
        <v>34.8333333333333</v>
      </c>
      <c r="AH222" s="7" t="n">
        <f aca="false">SUMIFS(Doors!AT:AT,Doors!$A:$A,$D222,Doors!$B:$B,$B222,Doors!$C:$C,$C222)*SUMIFS(Velocity!$I:$I,Velocity!$A:$A,$A222,Velocity!$B:$B,$C222)/Assumptions!$B$4*Assumptions!$B$6</f>
        <v>34.8333333333333</v>
      </c>
      <c r="AI222" s="7" t="n">
        <f aca="false">SUMIFS(Doors!AU:AU,Doors!$A:$A,$D222,Doors!$B:$B,$B222,Doors!$C:$C,$C222)*SUMIFS(Velocity!$I:$I,Velocity!$A:$A,$A222,Velocity!$B:$B,$C222)/Assumptions!$B$4*Assumptions!$B$6</f>
        <v>34.8333333333333</v>
      </c>
      <c r="AJ222" s="7" t="n">
        <f aca="false">SUMIFS(Doors!AV:AV,Doors!$A:$A,$D222,Doors!$B:$B,$B222,Doors!$C:$C,$C222)*SUMIFS(Velocity!$I:$I,Velocity!$A:$A,$A222,Velocity!$B:$B,$C222)/Assumptions!$B$4*Assumptions!$B$6</f>
        <v>40.3333333333333</v>
      </c>
      <c r="AK222" s="7" t="n">
        <f aca="false">SUMIFS(Doors!AW:AW,Doors!$A:$A,$D222,Doors!$B:$B,$B222,Doors!$C:$C,$C222)*SUMIFS(Velocity!$I:$I,Velocity!$A:$A,$A222,Velocity!$B:$B,$C222)/Assumptions!$B$4*Assumptions!$B$6</f>
        <v>40.3333333333333</v>
      </c>
      <c r="AL222" s="7" t="n">
        <f aca="false">SUMIFS(Doors!AX:AX,Doors!$A:$A,$D222,Doors!$B:$B,$B222,Doors!$C:$C,$C222)*SUMIFS(Velocity!$I:$I,Velocity!$A:$A,$A222,Velocity!$B:$B,$C222)/Assumptions!$B$4*Assumptions!$B$6</f>
        <v>40.3333333333333</v>
      </c>
      <c r="AM222" s="7" t="n">
        <f aca="false">SUMIFS(Doors!AY:AY,Doors!$A:$A,$D222,Doors!$B:$B,$B222,Doors!$C:$C,$C222)*SUMIFS(Velocity!$I:$I,Velocity!$A:$A,$A222,Velocity!$B:$B,$C222)/Assumptions!$B$4*Assumptions!$B$6</f>
        <v>40.3333333333333</v>
      </c>
      <c r="AN222" s="7" t="n">
        <f aca="false">SUMIFS(Doors!AZ:AZ,Doors!$A:$A,$D222,Doors!$B:$B,$B222,Doors!$C:$C,$C222)*SUMIFS(Velocity!$I:$I,Velocity!$A:$A,$A222,Velocity!$B:$B,$C222)/Assumptions!$B$4*Assumptions!$B$6</f>
        <v>45.8333333333333</v>
      </c>
      <c r="AO222" s="7" t="n">
        <f aca="false">SUMIFS(Doors!BA:BA,Doors!$A:$A,$D222,Doors!$B:$B,$B222,Doors!$C:$C,$C222)*SUMIFS(Velocity!$I:$I,Velocity!$A:$A,$A222,Velocity!$B:$B,$C222)/Assumptions!$B$4*Assumptions!$B$6</f>
        <v>45.8333333333333</v>
      </c>
      <c r="AP222" s="7" t="n">
        <f aca="false">SUMIFS(Doors!BB:BB,Doors!$A:$A,$D222,Doors!$B:$B,$B222,Doors!$C:$C,$C222)*SUMIFS(Velocity!$I:$I,Velocity!$A:$A,$A222,Velocity!$B:$B,$C222)/Assumptions!$B$4*Assumptions!$B$6</f>
        <v>45.8333333333333</v>
      </c>
      <c r="AQ222" s="7" t="n">
        <f aca="false">SUMIFS(Doors!BC:BC,Doors!$A:$A,$D222,Doors!$B:$B,$B222,Doors!$C:$C,$C222)*SUMIFS(Velocity!$I:$I,Velocity!$A:$A,$A222,Velocity!$B:$B,$C222)/Assumptions!$B$4*Assumptions!$B$6</f>
        <v>45.8333333333333</v>
      </c>
      <c r="AR222" s="7" t="n">
        <f aca="false">SUMIFS(Doors!BD:BD,Doors!$A:$A,$D222,Doors!$B:$B,$B222,Doors!$C:$C,$C222)*SUMIFS(Velocity!$I:$I,Velocity!$A:$A,$A222,Velocity!$B:$B,$C222)/Assumptions!$B$4*Assumptions!$B$6</f>
        <v>49.5</v>
      </c>
      <c r="AS222" s="7" t="n">
        <f aca="false">SUMIFS(Doors!BE:BE,Doors!$A:$A,$D222,Doors!$B:$B,$B222,Doors!$C:$C,$C222)*SUMIFS(Velocity!$I:$I,Velocity!$A:$A,$A222,Velocity!$B:$B,$C222)/Assumptions!$B$4*Assumptions!$B$6</f>
        <v>49.5</v>
      </c>
      <c r="AT222" s="7" t="n">
        <f aca="false">SUMIFS(Doors!BF:BF,Doors!$A:$A,$D222,Doors!$B:$B,$B222,Doors!$C:$C,$C222)*SUMIFS(Velocity!$I:$I,Velocity!$A:$A,$A222,Velocity!$B:$B,$C222)/Assumptions!$B$4*Assumptions!$B$6</f>
        <v>49.5</v>
      </c>
      <c r="AU222" s="7" t="n">
        <f aca="false">SUMIFS(Doors!BG:BG,Doors!$A:$A,$D222,Doors!$B:$B,$B222,Doors!$C:$C,$C222)*SUMIFS(Velocity!$I:$I,Velocity!$A:$A,$A222,Velocity!$B:$B,$C222)/Assumptions!$B$4*Assumptions!$B$6</f>
        <v>49.5</v>
      </c>
      <c r="AV222" s="7" t="n">
        <f aca="false">SUMIFS(Doors!BH:BH,Doors!$A:$A,$D222,Doors!$B:$B,$B222,Doors!$C:$C,$C222)*SUMIFS(Velocity!$I:$I,Velocity!$A:$A,$A222,Velocity!$B:$B,$C222)/Assumptions!$B$4*Assumptions!$B$6</f>
        <v>49.5</v>
      </c>
      <c r="AW222" s="7" t="n">
        <f aca="false">SUMIFS(Doors!BI:BI,Doors!$A:$A,$D222,Doors!$B:$B,$B222,Doors!$C:$C,$C222)*SUMIFS(Velocity!$I:$I,Velocity!$A:$A,$A222,Velocity!$B:$B,$C222)/Assumptions!$B$4*Assumptions!$B$6</f>
        <v>53.1666666666667</v>
      </c>
      <c r="AX222" s="7" t="n">
        <f aca="false">SUMIFS(Doors!BJ:BJ,Doors!$A:$A,$D222,Doors!$B:$B,$B222,Doors!$C:$C,$C222)*SUMIFS(Velocity!$I:$I,Velocity!$A:$A,$A222,Velocity!$B:$B,$C222)/Assumptions!$B$4*Assumptions!$B$6</f>
        <v>53.1666666666667</v>
      </c>
      <c r="AY222" s="7" t="n">
        <f aca="false">SUMIFS(Doors!BK:BK,Doors!$A:$A,$D222,Doors!$B:$B,$B222,Doors!$C:$C,$C222)*SUMIFS(Velocity!$I:$I,Velocity!$A:$A,$A222,Velocity!$B:$B,$C222)/Assumptions!$B$4*Assumptions!$B$6</f>
        <v>53.1666666666667</v>
      </c>
      <c r="AZ222" s="7" t="n">
        <f aca="false">SUMIFS(Doors!BL:BL,Doors!$A:$A,$D222,Doors!$B:$B,$B222,Doors!$C:$C,$C222)*SUMIFS(Velocity!$I:$I,Velocity!$A:$A,$A222,Velocity!$B:$B,$C222)/Assumptions!$B$4*Assumptions!$B$6</f>
        <v>53.1666666666667</v>
      </c>
      <c r="BA222" s="7" t="n">
        <f aca="false">SUMIFS(Doors!BM:BM,Doors!$A:$A,$D222,Doors!$B:$B,$B222,Doors!$C:$C,$C222)*SUMIFS(Velocity!$I:$I,Velocity!$A:$A,$A222,Velocity!$B:$B,$C222)/Assumptions!$B$4*Assumptions!$B$6</f>
        <v>55</v>
      </c>
      <c r="BB222" s="7" t="n">
        <f aca="false">SUMIFS(Doors!BN:BN,Doors!$A:$A,$D222,Doors!$B:$B,$B222,Doors!$C:$C,$C222)*SUMIFS(Velocity!$I:$I,Velocity!$A:$A,$A222,Velocity!$B:$B,$C222)/Assumptions!$B$4*Assumptions!$B$6</f>
        <v>55</v>
      </c>
      <c r="BC222" s="7" t="n">
        <f aca="false">SUMIFS(Doors!BO:BO,Doors!$A:$A,$D222,Doors!$B:$B,$B222,Doors!$C:$C,$C222)*SUMIFS(Velocity!$I:$I,Velocity!$A:$A,$A222,Velocity!$B:$B,$C222)/Assumptions!$B$4*Assumptions!$B$6</f>
        <v>55</v>
      </c>
      <c r="BD222" s="7" t="n">
        <f aca="false">SUMIFS(Doors!BP:BP,Doors!$A:$A,$D222,Doors!$B:$B,$B222,Doors!$C:$C,$C222)*SUMIFS(Velocity!$I:$I,Velocity!$A:$A,$A222,Velocity!$B:$B,$C222)/Assumptions!$B$4*Assumptions!$B$6</f>
        <v>55</v>
      </c>
    </row>
    <row r="223" customFormat="false" ht="15" hidden="false" customHeight="false" outlineLevel="0" collapsed="false">
      <c r="A223" s="0" t="s">
        <v>110</v>
      </c>
      <c r="B223" s="0" t="s">
        <v>130</v>
      </c>
      <c r="C223" s="0" t="s">
        <v>116</v>
      </c>
      <c r="D223" s="0" t="s">
        <v>235</v>
      </c>
      <c r="E223" s="7" t="n">
        <f aca="false">SUMIFS(Doors!Q:Q,Doors!$A:$A,$D223,Doors!$B:$B,$B223,Doors!$C:$C,$C223)*SUMIFS(Velocity!$I:$I,Velocity!$A:$A,$A223,Velocity!$B:$B,$C223)/Assumptions!$B$4*Assumptions!$B$6</f>
        <v>1.58333333333333</v>
      </c>
      <c r="F223" s="7" t="n">
        <f aca="false">SUMIFS(Doors!R:R,Doors!$A:$A,$D223,Doors!$B:$B,$B223,Doors!$C:$C,$C223)*SUMIFS(Velocity!$I:$I,Velocity!$A:$A,$A223,Velocity!$B:$B,$C223)/Assumptions!$B$4*Assumptions!$B$6</f>
        <v>1.58333333333333</v>
      </c>
      <c r="G223" s="7" t="n">
        <f aca="false">SUMIFS(Doors!S:S,Doors!$A:$A,$D223,Doors!$B:$B,$B223,Doors!$C:$C,$C223)*SUMIFS(Velocity!$I:$I,Velocity!$A:$A,$A223,Velocity!$B:$B,$C223)/Assumptions!$B$4*Assumptions!$B$6</f>
        <v>1.58333333333333</v>
      </c>
      <c r="H223" s="7" t="n">
        <f aca="false">SUMIFS(Doors!T:T,Doors!$A:$A,$D223,Doors!$B:$B,$B223,Doors!$C:$C,$C223)*SUMIFS(Velocity!$I:$I,Velocity!$A:$A,$A223,Velocity!$B:$B,$C223)/Assumptions!$B$4*Assumptions!$B$6</f>
        <v>1.58333333333333</v>
      </c>
      <c r="I223" s="7" t="n">
        <f aca="false">SUMIFS(Doors!U:U,Doors!$A:$A,$D223,Doors!$B:$B,$B223,Doors!$C:$C,$C223)*SUMIFS(Velocity!$I:$I,Velocity!$A:$A,$A223,Velocity!$B:$B,$C223)/Assumptions!$B$4*Assumptions!$B$6</f>
        <v>1.58333333333333</v>
      </c>
      <c r="J223" s="7" t="n">
        <f aca="false">SUMIFS(Doors!V:V,Doors!$A:$A,$D223,Doors!$B:$B,$B223,Doors!$C:$C,$C223)*SUMIFS(Velocity!$I:$I,Velocity!$A:$A,$A223,Velocity!$B:$B,$C223)/Assumptions!$B$4*Assumptions!$B$6</f>
        <v>2.53333333333333</v>
      </c>
      <c r="K223" s="7" t="n">
        <f aca="false">SUMIFS(Doors!W:W,Doors!$A:$A,$D223,Doors!$B:$B,$B223,Doors!$C:$C,$C223)*SUMIFS(Velocity!$I:$I,Velocity!$A:$A,$A223,Velocity!$B:$B,$C223)/Assumptions!$B$4*Assumptions!$B$6</f>
        <v>2.53333333333333</v>
      </c>
      <c r="L223" s="7" t="n">
        <f aca="false">SUMIFS(Doors!X:X,Doors!$A:$A,$D223,Doors!$B:$B,$B223,Doors!$C:$C,$C223)*SUMIFS(Velocity!$I:$I,Velocity!$A:$A,$A223,Velocity!$B:$B,$C223)/Assumptions!$B$4*Assumptions!$B$6</f>
        <v>2.53333333333333</v>
      </c>
      <c r="M223" s="7" t="n">
        <f aca="false">SUMIFS(Doors!Y:Y,Doors!$A:$A,$D223,Doors!$B:$B,$B223,Doors!$C:$C,$C223)*SUMIFS(Velocity!$I:$I,Velocity!$A:$A,$A223,Velocity!$B:$B,$C223)/Assumptions!$B$4*Assumptions!$B$6</f>
        <v>2.53333333333333</v>
      </c>
      <c r="N223" s="7" t="n">
        <f aca="false">SUMIFS(Doors!Z:Z,Doors!$A:$A,$D223,Doors!$B:$B,$B223,Doors!$C:$C,$C223)*SUMIFS(Velocity!$I:$I,Velocity!$A:$A,$A223,Velocity!$B:$B,$C223)/Assumptions!$B$4*Assumptions!$B$6</f>
        <v>3.8</v>
      </c>
      <c r="O223" s="7" t="n">
        <f aca="false">SUMIFS(Doors!AA:AA,Doors!$A:$A,$D223,Doors!$B:$B,$B223,Doors!$C:$C,$C223)*SUMIFS(Velocity!$I:$I,Velocity!$A:$A,$A223,Velocity!$B:$B,$C223)/Assumptions!$B$4*Assumptions!$B$6</f>
        <v>3.8</v>
      </c>
      <c r="P223" s="7" t="n">
        <f aca="false">SUMIFS(Doors!AB:AB,Doors!$A:$A,$D223,Doors!$B:$B,$B223,Doors!$C:$C,$C223)*SUMIFS(Velocity!$I:$I,Velocity!$A:$A,$A223,Velocity!$B:$B,$C223)/Assumptions!$B$4*Assumptions!$B$6</f>
        <v>3.8</v>
      </c>
      <c r="Q223" s="7" t="n">
        <f aca="false">SUMIFS(Doors!AC:AC,Doors!$A:$A,$D223,Doors!$B:$B,$B223,Doors!$C:$C,$C223)*SUMIFS(Velocity!$I:$I,Velocity!$A:$A,$A223,Velocity!$B:$B,$C223)/Assumptions!$B$4*Assumptions!$B$6</f>
        <v>3.8</v>
      </c>
      <c r="R223" s="7" t="n">
        <f aca="false">SUMIFS(Doors!AD:AD,Doors!$A:$A,$D223,Doors!$B:$B,$B223,Doors!$C:$C,$C223)*SUMIFS(Velocity!$I:$I,Velocity!$A:$A,$A223,Velocity!$B:$B,$C223)/Assumptions!$B$4*Assumptions!$B$6</f>
        <v>5.38333333333333</v>
      </c>
      <c r="S223" s="7" t="n">
        <f aca="false">SUMIFS(Doors!AE:AE,Doors!$A:$A,$D223,Doors!$B:$B,$B223,Doors!$C:$C,$C223)*SUMIFS(Velocity!$I:$I,Velocity!$A:$A,$A223,Velocity!$B:$B,$C223)/Assumptions!$B$4*Assumptions!$B$6</f>
        <v>5.38333333333333</v>
      </c>
      <c r="T223" s="7" t="n">
        <f aca="false">SUMIFS(Doors!AF:AF,Doors!$A:$A,$D223,Doors!$B:$B,$B223,Doors!$C:$C,$C223)*SUMIFS(Velocity!$I:$I,Velocity!$A:$A,$A223,Velocity!$B:$B,$C223)/Assumptions!$B$4*Assumptions!$B$6</f>
        <v>5.38333333333333</v>
      </c>
      <c r="U223" s="7" t="n">
        <f aca="false">SUMIFS(Doors!AG:AG,Doors!$A:$A,$D223,Doors!$B:$B,$B223,Doors!$C:$C,$C223)*SUMIFS(Velocity!$I:$I,Velocity!$A:$A,$A223,Velocity!$B:$B,$C223)/Assumptions!$B$4*Assumptions!$B$6</f>
        <v>5.38333333333333</v>
      </c>
      <c r="V223" s="7" t="n">
        <f aca="false">SUMIFS(Doors!AH:AH,Doors!$A:$A,$D223,Doors!$B:$B,$B223,Doors!$C:$C,$C223)*SUMIFS(Velocity!$I:$I,Velocity!$A:$A,$A223,Velocity!$B:$B,$C223)/Assumptions!$B$4*Assumptions!$B$6</f>
        <v>5.38333333333333</v>
      </c>
      <c r="W223" s="7" t="n">
        <f aca="false">SUMIFS(Doors!AI:AI,Doors!$A:$A,$D223,Doors!$B:$B,$B223,Doors!$C:$C,$C223)*SUMIFS(Velocity!$I:$I,Velocity!$A:$A,$A223,Velocity!$B:$B,$C223)/Assumptions!$B$4*Assumptions!$B$6</f>
        <v>7.28333333333333</v>
      </c>
      <c r="X223" s="7" t="n">
        <f aca="false">SUMIFS(Doors!AJ:AJ,Doors!$A:$A,$D223,Doors!$B:$B,$B223,Doors!$C:$C,$C223)*SUMIFS(Velocity!$I:$I,Velocity!$A:$A,$A223,Velocity!$B:$B,$C223)/Assumptions!$B$4*Assumptions!$B$6</f>
        <v>7.28333333333333</v>
      </c>
      <c r="Y223" s="7" t="n">
        <f aca="false">SUMIFS(Doors!AK:AK,Doors!$A:$A,$D223,Doors!$B:$B,$B223,Doors!$C:$C,$C223)*SUMIFS(Velocity!$I:$I,Velocity!$A:$A,$A223,Velocity!$B:$B,$C223)/Assumptions!$B$4*Assumptions!$B$6</f>
        <v>7.28333333333333</v>
      </c>
      <c r="Z223" s="7" t="n">
        <f aca="false">SUMIFS(Doors!AL:AL,Doors!$A:$A,$D223,Doors!$B:$B,$B223,Doors!$C:$C,$C223)*SUMIFS(Velocity!$I:$I,Velocity!$A:$A,$A223,Velocity!$B:$B,$C223)/Assumptions!$B$4*Assumptions!$B$6</f>
        <v>7.28333333333333</v>
      </c>
      <c r="AA223" s="7" t="n">
        <f aca="false">SUMIFS(Doors!AM:AM,Doors!$A:$A,$D223,Doors!$B:$B,$B223,Doors!$C:$C,$C223)*SUMIFS(Velocity!$I:$I,Velocity!$A:$A,$A223,Velocity!$B:$B,$C223)/Assumptions!$B$4*Assumptions!$B$6</f>
        <v>8.86666666666667</v>
      </c>
      <c r="AB223" s="7" t="n">
        <f aca="false">SUMIFS(Doors!AN:AN,Doors!$A:$A,$D223,Doors!$B:$B,$B223,Doors!$C:$C,$C223)*SUMIFS(Velocity!$I:$I,Velocity!$A:$A,$A223,Velocity!$B:$B,$C223)/Assumptions!$B$4*Assumptions!$B$6</f>
        <v>8.86666666666667</v>
      </c>
      <c r="AC223" s="7" t="n">
        <f aca="false">SUMIFS(Doors!AO:AO,Doors!$A:$A,$D223,Doors!$B:$B,$B223,Doors!$C:$C,$C223)*SUMIFS(Velocity!$I:$I,Velocity!$A:$A,$A223,Velocity!$B:$B,$C223)/Assumptions!$B$4*Assumptions!$B$6</f>
        <v>8.86666666666667</v>
      </c>
      <c r="AD223" s="7" t="n">
        <f aca="false">SUMIFS(Doors!AP:AP,Doors!$A:$A,$D223,Doors!$B:$B,$B223,Doors!$C:$C,$C223)*SUMIFS(Velocity!$I:$I,Velocity!$A:$A,$A223,Velocity!$B:$B,$C223)/Assumptions!$B$4*Assumptions!$B$6</f>
        <v>8.86666666666667</v>
      </c>
      <c r="AE223" s="7" t="n">
        <f aca="false">SUMIFS(Doors!AQ:AQ,Doors!$A:$A,$D223,Doors!$B:$B,$B223,Doors!$C:$C,$C223)*SUMIFS(Velocity!$I:$I,Velocity!$A:$A,$A223,Velocity!$B:$B,$C223)/Assumptions!$B$4*Assumptions!$B$6</f>
        <v>10.45</v>
      </c>
      <c r="AF223" s="7" t="n">
        <f aca="false">SUMIFS(Doors!AR:AR,Doors!$A:$A,$D223,Doors!$B:$B,$B223,Doors!$C:$C,$C223)*SUMIFS(Velocity!$I:$I,Velocity!$A:$A,$A223,Velocity!$B:$B,$C223)/Assumptions!$B$4*Assumptions!$B$6</f>
        <v>10.45</v>
      </c>
      <c r="AG223" s="7" t="n">
        <f aca="false">SUMIFS(Doors!AS:AS,Doors!$A:$A,$D223,Doors!$B:$B,$B223,Doors!$C:$C,$C223)*SUMIFS(Velocity!$I:$I,Velocity!$A:$A,$A223,Velocity!$B:$B,$C223)/Assumptions!$B$4*Assumptions!$B$6</f>
        <v>10.45</v>
      </c>
      <c r="AH223" s="7" t="n">
        <f aca="false">SUMIFS(Doors!AT:AT,Doors!$A:$A,$D223,Doors!$B:$B,$B223,Doors!$C:$C,$C223)*SUMIFS(Velocity!$I:$I,Velocity!$A:$A,$A223,Velocity!$B:$B,$C223)/Assumptions!$B$4*Assumptions!$B$6</f>
        <v>10.45</v>
      </c>
      <c r="AI223" s="7" t="n">
        <f aca="false">SUMIFS(Doors!AU:AU,Doors!$A:$A,$D223,Doors!$B:$B,$B223,Doors!$C:$C,$C223)*SUMIFS(Velocity!$I:$I,Velocity!$A:$A,$A223,Velocity!$B:$B,$C223)/Assumptions!$B$4*Assumptions!$B$6</f>
        <v>10.45</v>
      </c>
      <c r="AJ223" s="7" t="n">
        <f aca="false">SUMIFS(Doors!AV:AV,Doors!$A:$A,$D223,Doors!$B:$B,$B223,Doors!$C:$C,$C223)*SUMIFS(Velocity!$I:$I,Velocity!$A:$A,$A223,Velocity!$B:$B,$C223)/Assumptions!$B$4*Assumptions!$B$6</f>
        <v>12.0333333333333</v>
      </c>
      <c r="AK223" s="7" t="n">
        <f aca="false">SUMIFS(Doors!AW:AW,Doors!$A:$A,$D223,Doors!$B:$B,$B223,Doors!$C:$C,$C223)*SUMIFS(Velocity!$I:$I,Velocity!$A:$A,$A223,Velocity!$B:$B,$C223)/Assumptions!$B$4*Assumptions!$B$6</f>
        <v>12.0333333333333</v>
      </c>
      <c r="AL223" s="7" t="n">
        <f aca="false">SUMIFS(Doors!AX:AX,Doors!$A:$A,$D223,Doors!$B:$B,$B223,Doors!$C:$C,$C223)*SUMIFS(Velocity!$I:$I,Velocity!$A:$A,$A223,Velocity!$B:$B,$C223)/Assumptions!$B$4*Assumptions!$B$6</f>
        <v>12.0333333333333</v>
      </c>
      <c r="AM223" s="7" t="n">
        <f aca="false">SUMIFS(Doors!AY:AY,Doors!$A:$A,$D223,Doors!$B:$B,$B223,Doors!$C:$C,$C223)*SUMIFS(Velocity!$I:$I,Velocity!$A:$A,$A223,Velocity!$B:$B,$C223)/Assumptions!$B$4*Assumptions!$B$6</f>
        <v>12.0333333333333</v>
      </c>
      <c r="AN223" s="7" t="n">
        <f aca="false">SUMIFS(Doors!AZ:AZ,Doors!$A:$A,$D223,Doors!$B:$B,$B223,Doors!$C:$C,$C223)*SUMIFS(Velocity!$I:$I,Velocity!$A:$A,$A223,Velocity!$B:$B,$C223)/Assumptions!$B$4*Assumptions!$B$6</f>
        <v>13.3</v>
      </c>
      <c r="AO223" s="7" t="n">
        <f aca="false">SUMIFS(Doors!BA:BA,Doors!$A:$A,$D223,Doors!$B:$B,$B223,Doors!$C:$C,$C223)*SUMIFS(Velocity!$I:$I,Velocity!$A:$A,$A223,Velocity!$B:$B,$C223)/Assumptions!$B$4*Assumptions!$B$6</f>
        <v>13.3</v>
      </c>
      <c r="AP223" s="7" t="n">
        <f aca="false">SUMIFS(Doors!BB:BB,Doors!$A:$A,$D223,Doors!$B:$B,$B223,Doors!$C:$C,$C223)*SUMIFS(Velocity!$I:$I,Velocity!$A:$A,$A223,Velocity!$B:$B,$C223)/Assumptions!$B$4*Assumptions!$B$6</f>
        <v>13.3</v>
      </c>
      <c r="AQ223" s="7" t="n">
        <f aca="false">SUMIFS(Doors!BC:BC,Doors!$A:$A,$D223,Doors!$B:$B,$B223,Doors!$C:$C,$C223)*SUMIFS(Velocity!$I:$I,Velocity!$A:$A,$A223,Velocity!$B:$B,$C223)/Assumptions!$B$4*Assumptions!$B$6</f>
        <v>13.3</v>
      </c>
      <c r="AR223" s="7" t="n">
        <f aca="false">SUMIFS(Doors!BD:BD,Doors!$A:$A,$D223,Doors!$B:$B,$B223,Doors!$C:$C,$C223)*SUMIFS(Velocity!$I:$I,Velocity!$A:$A,$A223,Velocity!$B:$B,$C223)/Assumptions!$B$4*Assumptions!$B$6</f>
        <v>14.25</v>
      </c>
      <c r="AS223" s="7" t="n">
        <f aca="false">SUMIFS(Doors!BE:BE,Doors!$A:$A,$D223,Doors!$B:$B,$B223,Doors!$C:$C,$C223)*SUMIFS(Velocity!$I:$I,Velocity!$A:$A,$A223,Velocity!$B:$B,$C223)/Assumptions!$B$4*Assumptions!$B$6</f>
        <v>14.25</v>
      </c>
      <c r="AT223" s="7" t="n">
        <f aca="false">SUMIFS(Doors!BF:BF,Doors!$A:$A,$D223,Doors!$B:$B,$B223,Doors!$C:$C,$C223)*SUMIFS(Velocity!$I:$I,Velocity!$A:$A,$A223,Velocity!$B:$B,$C223)/Assumptions!$B$4*Assumptions!$B$6</f>
        <v>14.25</v>
      </c>
      <c r="AU223" s="7" t="n">
        <f aca="false">SUMIFS(Doors!BG:BG,Doors!$A:$A,$D223,Doors!$B:$B,$B223,Doors!$C:$C,$C223)*SUMIFS(Velocity!$I:$I,Velocity!$A:$A,$A223,Velocity!$B:$B,$C223)/Assumptions!$B$4*Assumptions!$B$6</f>
        <v>14.25</v>
      </c>
      <c r="AV223" s="7" t="n">
        <f aca="false">SUMIFS(Doors!BH:BH,Doors!$A:$A,$D223,Doors!$B:$B,$B223,Doors!$C:$C,$C223)*SUMIFS(Velocity!$I:$I,Velocity!$A:$A,$A223,Velocity!$B:$B,$C223)/Assumptions!$B$4*Assumptions!$B$6</f>
        <v>14.25</v>
      </c>
      <c r="AW223" s="7" t="n">
        <f aca="false">SUMIFS(Doors!BI:BI,Doors!$A:$A,$D223,Doors!$B:$B,$B223,Doors!$C:$C,$C223)*SUMIFS(Velocity!$I:$I,Velocity!$A:$A,$A223,Velocity!$B:$B,$C223)/Assumptions!$B$4*Assumptions!$B$6</f>
        <v>15.2</v>
      </c>
      <c r="AX223" s="7" t="n">
        <f aca="false">SUMIFS(Doors!BJ:BJ,Doors!$A:$A,$D223,Doors!$B:$B,$B223,Doors!$C:$C,$C223)*SUMIFS(Velocity!$I:$I,Velocity!$A:$A,$A223,Velocity!$B:$B,$C223)/Assumptions!$B$4*Assumptions!$B$6</f>
        <v>15.2</v>
      </c>
      <c r="AY223" s="7" t="n">
        <f aca="false">SUMIFS(Doors!BK:BK,Doors!$A:$A,$D223,Doors!$B:$B,$B223,Doors!$C:$C,$C223)*SUMIFS(Velocity!$I:$I,Velocity!$A:$A,$A223,Velocity!$B:$B,$C223)/Assumptions!$B$4*Assumptions!$B$6</f>
        <v>15.2</v>
      </c>
      <c r="AZ223" s="7" t="n">
        <f aca="false">SUMIFS(Doors!BL:BL,Doors!$A:$A,$D223,Doors!$B:$B,$B223,Doors!$C:$C,$C223)*SUMIFS(Velocity!$I:$I,Velocity!$A:$A,$A223,Velocity!$B:$B,$C223)/Assumptions!$B$4*Assumptions!$B$6</f>
        <v>15.2</v>
      </c>
      <c r="BA223" s="7" t="n">
        <f aca="false">SUMIFS(Doors!BM:BM,Doors!$A:$A,$D223,Doors!$B:$B,$B223,Doors!$C:$C,$C223)*SUMIFS(Velocity!$I:$I,Velocity!$A:$A,$A223,Velocity!$B:$B,$C223)/Assumptions!$B$4*Assumptions!$B$6</f>
        <v>15.8333333333333</v>
      </c>
      <c r="BB223" s="7" t="n">
        <f aca="false">SUMIFS(Doors!BN:BN,Doors!$A:$A,$D223,Doors!$B:$B,$B223,Doors!$C:$C,$C223)*SUMIFS(Velocity!$I:$I,Velocity!$A:$A,$A223,Velocity!$B:$B,$C223)/Assumptions!$B$4*Assumptions!$B$6</f>
        <v>15.8333333333333</v>
      </c>
      <c r="BC223" s="7" t="n">
        <f aca="false">SUMIFS(Doors!BO:BO,Doors!$A:$A,$D223,Doors!$B:$B,$B223,Doors!$C:$C,$C223)*SUMIFS(Velocity!$I:$I,Velocity!$A:$A,$A223,Velocity!$B:$B,$C223)/Assumptions!$B$4*Assumptions!$B$6</f>
        <v>15.8333333333333</v>
      </c>
      <c r="BD223" s="7" t="n">
        <f aca="false">SUMIFS(Doors!BP:BP,Doors!$A:$A,$D223,Doors!$B:$B,$B223,Doors!$C:$C,$C223)*SUMIFS(Velocity!$I:$I,Velocity!$A:$A,$A223,Velocity!$B:$B,$C223)/Assumptions!$B$4*Assumptions!$B$6</f>
        <v>15.8333333333333</v>
      </c>
    </row>
    <row r="224" customFormat="false" ht="15" hidden="false" customHeight="false" outlineLevel="0" collapsed="false">
      <c r="A224" s="0" t="s">
        <v>110</v>
      </c>
      <c r="B224" s="0" t="s">
        <v>130</v>
      </c>
      <c r="C224" s="0" t="s">
        <v>117</v>
      </c>
      <c r="D224" s="0" t="s">
        <v>235</v>
      </c>
      <c r="E224" s="7" t="n">
        <f aca="false">SUMIFS(Doors!Q:Q,Doors!$A:$A,$D224,Doors!$B:$B,$B224,Doors!$C:$C,$C224)*SUMIFS(Velocity!$I:$I,Velocity!$A:$A,$A224,Velocity!$B:$B,$C224)/Assumptions!$B$4*Assumptions!$B$6</f>
        <v>0</v>
      </c>
      <c r="F224" s="7" t="n">
        <f aca="false">SUMIFS(Doors!R:R,Doors!$A:$A,$D224,Doors!$B:$B,$B224,Doors!$C:$C,$C224)*SUMIFS(Velocity!$I:$I,Velocity!$A:$A,$A224,Velocity!$B:$B,$C224)/Assumptions!$B$4*Assumptions!$B$6</f>
        <v>0</v>
      </c>
      <c r="G224" s="7" t="n">
        <f aca="false">SUMIFS(Doors!S:S,Doors!$A:$A,$D224,Doors!$B:$B,$B224,Doors!$C:$C,$C224)*SUMIFS(Velocity!$I:$I,Velocity!$A:$A,$A224,Velocity!$B:$B,$C224)/Assumptions!$B$4*Assumptions!$B$6</f>
        <v>0</v>
      </c>
      <c r="H224" s="7" t="n">
        <f aca="false">SUMIFS(Doors!T:T,Doors!$A:$A,$D224,Doors!$B:$B,$B224,Doors!$C:$C,$C224)*SUMIFS(Velocity!$I:$I,Velocity!$A:$A,$A224,Velocity!$B:$B,$C224)/Assumptions!$B$4*Assumptions!$B$6</f>
        <v>0</v>
      </c>
      <c r="I224" s="7" t="n">
        <f aca="false">SUMIFS(Doors!U:U,Doors!$A:$A,$D224,Doors!$B:$B,$B224,Doors!$C:$C,$C224)*SUMIFS(Velocity!$I:$I,Velocity!$A:$A,$A224,Velocity!$B:$B,$C224)/Assumptions!$B$4*Assumptions!$B$6</f>
        <v>0</v>
      </c>
      <c r="J224" s="7" t="n">
        <f aca="false">SUMIFS(Doors!V:V,Doors!$A:$A,$D224,Doors!$B:$B,$B224,Doors!$C:$C,$C224)*SUMIFS(Velocity!$I:$I,Velocity!$A:$A,$A224,Velocity!$B:$B,$C224)/Assumptions!$B$4*Assumptions!$B$6</f>
        <v>0</v>
      </c>
      <c r="K224" s="7" t="n">
        <f aca="false">SUMIFS(Doors!W:W,Doors!$A:$A,$D224,Doors!$B:$B,$B224,Doors!$C:$C,$C224)*SUMIFS(Velocity!$I:$I,Velocity!$A:$A,$A224,Velocity!$B:$B,$C224)/Assumptions!$B$4*Assumptions!$B$6</f>
        <v>0</v>
      </c>
      <c r="L224" s="7" t="n">
        <f aca="false">SUMIFS(Doors!X:X,Doors!$A:$A,$D224,Doors!$B:$B,$B224,Doors!$C:$C,$C224)*SUMIFS(Velocity!$I:$I,Velocity!$A:$A,$A224,Velocity!$B:$B,$C224)/Assumptions!$B$4*Assumptions!$B$6</f>
        <v>0</v>
      </c>
      <c r="M224" s="7" t="n">
        <f aca="false">SUMIFS(Doors!Y:Y,Doors!$A:$A,$D224,Doors!$B:$B,$B224,Doors!$C:$C,$C224)*SUMIFS(Velocity!$I:$I,Velocity!$A:$A,$A224,Velocity!$B:$B,$C224)/Assumptions!$B$4*Assumptions!$B$6</f>
        <v>0</v>
      </c>
      <c r="N224" s="7" t="n">
        <f aca="false">SUMIFS(Doors!Z:Z,Doors!$A:$A,$D224,Doors!$B:$B,$B224,Doors!$C:$C,$C224)*SUMIFS(Velocity!$I:$I,Velocity!$A:$A,$A224,Velocity!$B:$B,$C224)/Assumptions!$B$4*Assumptions!$B$6</f>
        <v>3.42708333333333</v>
      </c>
      <c r="O224" s="7" t="n">
        <f aca="false">SUMIFS(Doors!AA:AA,Doors!$A:$A,$D224,Doors!$B:$B,$B224,Doors!$C:$C,$C224)*SUMIFS(Velocity!$I:$I,Velocity!$A:$A,$A224,Velocity!$B:$B,$C224)/Assumptions!$B$4*Assumptions!$B$6</f>
        <v>3.42708333333333</v>
      </c>
      <c r="P224" s="7" t="n">
        <f aca="false">SUMIFS(Doors!AB:AB,Doors!$A:$A,$D224,Doors!$B:$B,$B224,Doors!$C:$C,$C224)*SUMIFS(Velocity!$I:$I,Velocity!$A:$A,$A224,Velocity!$B:$B,$C224)/Assumptions!$B$4*Assumptions!$B$6</f>
        <v>3.42708333333333</v>
      </c>
      <c r="Q224" s="7" t="n">
        <f aca="false">SUMIFS(Doors!AC:AC,Doors!$A:$A,$D224,Doors!$B:$B,$B224,Doors!$C:$C,$C224)*SUMIFS(Velocity!$I:$I,Velocity!$A:$A,$A224,Velocity!$B:$B,$C224)/Assumptions!$B$4*Assumptions!$B$6</f>
        <v>3.42708333333333</v>
      </c>
      <c r="R224" s="7" t="n">
        <f aca="false">SUMIFS(Doors!AD:AD,Doors!$A:$A,$D224,Doors!$B:$B,$B224,Doors!$C:$C,$C224)*SUMIFS(Velocity!$I:$I,Velocity!$A:$A,$A224,Velocity!$B:$B,$C224)/Assumptions!$B$4*Assumptions!$B$6</f>
        <v>8.225</v>
      </c>
      <c r="S224" s="7" t="n">
        <f aca="false">SUMIFS(Doors!AE:AE,Doors!$A:$A,$D224,Doors!$B:$B,$B224,Doors!$C:$C,$C224)*SUMIFS(Velocity!$I:$I,Velocity!$A:$A,$A224,Velocity!$B:$B,$C224)/Assumptions!$B$4*Assumptions!$B$6</f>
        <v>8.225</v>
      </c>
      <c r="T224" s="7" t="n">
        <f aca="false">SUMIFS(Doors!AF:AF,Doors!$A:$A,$D224,Doors!$B:$B,$B224,Doors!$C:$C,$C224)*SUMIFS(Velocity!$I:$I,Velocity!$A:$A,$A224,Velocity!$B:$B,$C224)/Assumptions!$B$4*Assumptions!$B$6</f>
        <v>8.225</v>
      </c>
      <c r="U224" s="7" t="n">
        <f aca="false">SUMIFS(Doors!AG:AG,Doors!$A:$A,$D224,Doors!$B:$B,$B224,Doors!$C:$C,$C224)*SUMIFS(Velocity!$I:$I,Velocity!$A:$A,$A224,Velocity!$B:$B,$C224)/Assumptions!$B$4*Assumptions!$B$6</f>
        <v>8.225</v>
      </c>
      <c r="V224" s="7" t="n">
        <f aca="false">SUMIFS(Doors!AH:AH,Doors!$A:$A,$D224,Doors!$B:$B,$B224,Doors!$C:$C,$C224)*SUMIFS(Velocity!$I:$I,Velocity!$A:$A,$A224,Velocity!$B:$B,$C224)/Assumptions!$B$4*Assumptions!$B$6</f>
        <v>8.225</v>
      </c>
      <c r="W224" s="7" t="n">
        <f aca="false">SUMIFS(Doors!AI:AI,Doors!$A:$A,$D224,Doors!$B:$B,$B224,Doors!$C:$C,$C224)*SUMIFS(Velocity!$I:$I,Velocity!$A:$A,$A224,Velocity!$B:$B,$C224)/Assumptions!$B$4*Assumptions!$B$6</f>
        <v>13.7083333333333</v>
      </c>
      <c r="X224" s="7" t="n">
        <f aca="false">SUMIFS(Doors!AJ:AJ,Doors!$A:$A,$D224,Doors!$B:$B,$B224,Doors!$C:$C,$C224)*SUMIFS(Velocity!$I:$I,Velocity!$A:$A,$A224,Velocity!$B:$B,$C224)/Assumptions!$B$4*Assumptions!$B$6</f>
        <v>13.7083333333333</v>
      </c>
      <c r="Y224" s="7" t="n">
        <f aca="false">SUMIFS(Doors!AK:AK,Doors!$A:$A,$D224,Doors!$B:$B,$B224,Doors!$C:$C,$C224)*SUMIFS(Velocity!$I:$I,Velocity!$A:$A,$A224,Velocity!$B:$B,$C224)/Assumptions!$B$4*Assumptions!$B$6</f>
        <v>13.7083333333333</v>
      </c>
      <c r="Z224" s="7" t="n">
        <f aca="false">SUMIFS(Doors!AL:AL,Doors!$A:$A,$D224,Doors!$B:$B,$B224,Doors!$C:$C,$C224)*SUMIFS(Velocity!$I:$I,Velocity!$A:$A,$A224,Velocity!$B:$B,$C224)/Assumptions!$B$4*Assumptions!$B$6</f>
        <v>13.7083333333333</v>
      </c>
      <c r="AA224" s="7" t="n">
        <f aca="false">SUMIFS(Doors!AM:AM,Doors!$A:$A,$D224,Doors!$B:$B,$B224,Doors!$C:$C,$C224)*SUMIFS(Velocity!$I:$I,Velocity!$A:$A,$A224,Velocity!$B:$B,$C224)/Assumptions!$B$4*Assumptions!$B$6</f>
        <v>19.1916666666667</v>
      </c>
      <c r="AB224" s="7" t="n">
        <f aca="false">SUMIFS(Doors!AN:AN,Doors!$A:$A,$D224,Doors!$B:$B,$B224,Doors!$C:$C,$C224)*SUMIFS(Velocity!$I:$I,Velocity!$A:$A,$A224,Velocity!$B:$B,$C224)/Assumptions!$B$4*Assumptions!$B$6</f>
        <v>19.1916666666667</v>
      </c>
      <c r="AC224" s="7" t="n">
        <f aca="false">SUMIFS(Doors!AO:AO,Doors!$A:$A,$D224,Doors!$B:$B,$B224,Doors!$C:$C,$C224)*SUMIFS(Velocity!$I:$I,Velocity!$A:$A,$A224,Velocity!$B:$B,$C224)/Assumptions!$B$4*Assumptions!$B$6</f>
        <v>19.1916666666667</v>
      </c>
      <c r="AD224" s="7" t="n">
        <f aca="false">SUMIFS(Doors!AP:AP,Doors!$A:$A,$D224,Doors!$B:$B,$B224,Doors!$C:$C,$C224)*SUMIFS(Velocity!$I:$I,Velocity!$A:$A,$A224,Velocity!$B:$B,$C224)/Assumptions!$B$4*Assumptions!$B$6</f>
        <v>19.1916666666667</v>
      </c>
      <c r="AE224" s="7" t="n">
        <f aca="false">SUMIFS(Doors!AQ:AQ,Doors!$A:$A,$D224,Doors!$B:$B,$B224,Doors!$C:$C,$C224)*SUMIFS(Velocity!$I:$I,Velocity!$A:$A,$A224,Velocity!$B:$B,$C224)/Assumptions!$B$4*Assumptions!$B$6</f>
        <v>23.9895833333333</v>
      </c>
      <c r="AF224" s="7" t="n">
        <f aca="false">SUMIFS(Doors!AR:AR,Doors!$A:$A,$D224,Doors!$B:$B,$B224,Doors!$C:$C,$C224)*SUMIFS(Velocity!$I:$I,Velocity!$A:$A,$A224,Velocity!$B:$B,$C224)/Assumptions!$B$4*Assumptions!$B$6</f>
        <v>23.9895833333333</v>
      </c>
      <c r="AG224" s="7" t="n">
        <f aca="false">SUMIFS(Doors!AS:AS,Doors!$A:$A,$D224,Doors!$B:$B,$B224,Doors!$C:$C,$C224)*SUMIFS(Velocity!$I:$I,Velocity!$A:$A,$A224,Velocity!$B:$B,$C224)/Assumptions!$B$4*Assumptions!$B$6</f>
        <v>23.9895833333333</v>
      </c>
      <c r="AH224" s="7" t="n">
        <f aca="false">SUMIFS(Doors!AT:AT,Doors!$A:$A,$D224,Doors!$B:$B,$B224,Doors!$C:$C,$C224)*SUMIFS(Velocity!$I:$I,Velocity!$A:$A,$A224,Velocity!$B:$B,$C224)/Assumptions!$B$4*Assumptions!$B$6</f>
        <v>23.9895833333333</v>
      </c>
      <c r="AI224" s="7" t="n">
        <f aca="false">SUMIFS(Doors!AU:AU,Doors!$A:$A,$D224,Doors!$B:$B,$B224,Doors!$C:$C,$C224)*SUMIFS(Velocity!$I:$I,Velocity!$A:$A,$A224,Velocity!$B:$B,$C224)/Assumptions!$B$4*Assumptions!$B$6</f>
        <v>23.9895833333333</v>
      </c>
      <c r="AJ224" s="7" t="n">
        <f aca="false">SUMIFS(Doors!AV:AV,Doors!$A:$A,$D224,Doors!$B:$B,$B224,Doors!$C:$C,$C224)*SUMIFS(Velocity!$I:$I,Velocity!$A:$A,$A224,Velocity!$B:$B,$C224)/Assumptions!$B$4*Assumptions!$B$6</f>
        <v>28.7875</v>
      </c>
      <c r="AK224" s="7" t="n">
        <f aca="false">SUMIFS(Doors!AW:AW,Doors!$A:$A,$D224,Doors!$B:$B,$B224,Doors!$C:$C,$C224)*SUMIFS(Velocity!$I:$I,Velocity!$A:$A,$A224,Velocity!$B:$B,$C224)/Assumptions!$B$4*Assumptions!$B$6</f>
        <v>28.7875</v>
      </c>
      <c r="AL224" s="7" t="n">
        <f aca="false">SUMIFS(Doors!AX:AX,Doors!$A:$A,$D224,Doors!$B:$B,$B224,Doors!$C:$C,$C224)*SUMIFS(Velocity!$I:$I,Velocity!$A:$A,$A224,Velocity!$B:$B,$C224)/Assumptions!$B$4*Assumptions!$B$6</f>
        <v>28.7875</v>
      </c>
      <c r="AM224" s="7" t="n">
        <f aca="false">SUMIFS(Doors!AY:AY,Doors!$A:$A,$D224,Doors!$B:$B,$B224,Doors!$C:$C,$C224)*SUMIFS(Velocity!$I:$I,Velocity!$A:$A,$A224,Velocity!$B:$B,$C224)/Assumptions!$B$4*Assumptions!$B$6</f>
        <v>28.7875</v>
      </c>
      <c r="AN224" s="7" t="n">
        <f aca="false">SUMIFS(Doors!AZ:AZ,Doors!$A:$A,$D224,Doors!$B:$B,$B224,Doors!$C:$C,$C224)*SUMIFS(Velocity!$I:$I,Velocity!$A:$A,$A224,Velocity!$B:$B,$C224)/Assumptions!$B$4*Assumptions!$B$6</f>
        <v>32.9</v>
      </c>
      <c r="AO224" s="7" t="n">
        <f aca="false">SUMIFS(Doors!BA:BA,Doors!$A:$A,$D224,Doors!$B:$B,$B224,Doors!$C:$C,$C224)*SUMIFS(Velocity!$I:$I,Velocity!$A:$A,$A224,Velocity!$B:$B,$C224)/Assumptions!$B$4*Assumptions!$B$6</f>
        <v>32.9</v>
      </c>
      <c r="AP224" s="7" t="n">
        <f aca="false">SUMIFS(Doors!BB:BB,Doors!$A:$A,$D224,Doors!$B:$B,$B224,Doors!$C:$C,$C224)*SUMIFS(Velocity!$I:$I,Velocity!$A:$A,$A224,Velocity!$B:$B,$C224)/Assumptions!$B$4*Assumptions!$B$6</f>
        <v>32.9</v>
      </c>
      <c r="AQ224" s="7" t="n">
        <f aca="false">SUMIFS(Doors!BC:BC,Doors!$A:$A,$D224,Doors!$B:$B,$B224,Doors!$C:$C,$C224)*SUMIFS(Velocity!$I:$I,Velocity!$A:$A,$A224,Velocity!$B:$B,$C224)/Assumptions!$B$4*Assumptions!$B$6</f>
        <v>32.9</v>
      </c>
      <c r="AR224" s="7" t="n">
        <f aca="false">SUMIFS(Doors!BD:BD,Doors!$A:$A,$D224,Doors!$B:$B,$B224,Doors!$C:$C,$C224)*SUMIFS(Velocity!$I:$I,Velocity!$A:$A,$A224,Velocity!$B:$B,$C224)/Assumptions!$B$4*Assumptions!$B$6</f>
        <v>36.3270833333333</v>
      </c>
      <c r="AS224" s="7" t="n">
        <f aca="false">SUMIFS(Doors!BE:BE,Doors!$A:$A,$D224,Doors!$B:$B,$B224,Doors!$C:$C,$C224)*SUMIFS(Velocity!$I:$I,Velocity!$A:$A,$A224,Velocity!$B:$B,$C224)/Assumptions!$B$4*Assumptions!$B$6</f>
        <v>36.3270833333333</v>
      </c>
      <c r="AT224" s="7" t="n">
        <f aca="false">SUMIFS(Doors!BF:BF,Doors!$A:$A,$D224,Doors!$B:$B,$B224,Doors!$C:$C,$C224)*SUMIFS(Velocity!$I:$I,Velocity!$A:$A,$A224,Velocity!$B:$B,$C224)/Assumptions!$B$4*Assumptions!$B$6</f>
        <v>36.3270833333333</v>
      </c>
      <c r="AU224" s="7" t="n">
        <f aca="false">SUMIFS(Doors!BG:BG,Doors!$A:$A,$D224,Doors!$B:$B,$B224,Doors!$C:$C,$C224)*SUMIFS(Velocity!$I:$I,Velocity!$A:$A,$A224,Velocity!$B:$B,$C224)/Assumptions!$B$4*Assumptions!$B$6</f>
        <v>36.3270833333333</v>
      </c>
      <c r="AV224" s="7" t="n">
        <f aca="false">SUMIFS(Doors!BH:BH,Doors!$A:$A,$D224,Doors!$B:$B,$B224,Doors!$C:$C,$C224)*SUMIFS(Velocity!$I:$I,Velocity!$A:$A,$A224,Velocity!$B:$B,$C224)/Assumptions!$B$4*Assumptions!$B$6</f>
        <v>36.3270833333333</v>
      </c>
      <c r="AW224" s="7" t="n">
        <f aca="false">SUMIFS(Doors!BI:BI,Doors!$A:$A,$D224,Doors!$B:$B,$B224,Doors!$C:$C,$C224)*SUMIFS(Velocity!$I:$I,Velocity!$A:$A,$A224,Velocity!$B:$B,$C224)/Assumptions!$B$4*Assumptions!$B$6</f>
        <v>39.06875</v>
      </c>
      <c r="AX224" s="7" t="n">
        <f aca="false">SUMIFS(Doors!BJ:BJ,Doors!$A:$A,$D224,Doors!$B:$B,$B224,Doors!$C:$C,$C224)*SUMIFS(Velocity!$I:$I,Velocity!$A:$A,$A224,Velocity!$B:$B,$C224)/Assumptions!$B$4*Assumptions!$B$6</f>
        <v>39.06875</v>
      </c>
      <c r="AY224" s="7" t="n">
        <f aca="false">SUMIFS(Doors!BK:BK,Doors!$A:$A,$D224,Doors!$B:$B,$B224,Doors!$C:$C,$C224)*SUMIFS(Velocity!$I:$I,Velocity!$A:$A,$A224,Velocity!$B:$B,$C224)/Assumptions!$B$4*Assumptions!$B$6</f>
        <v>39.06875</v>
      </c>
      <c r="AZ224" s="7" t="n">
        <f aca="false">SUMIFS(Doors!BL:BL,Doors!$A:$A,$D224,Doors!$B:$B,$B224,Doors!$C:$C,$C224)*SUMIFS(Velocity!$I:$I,Velocity!$A:$A,$A224,Velocity!$B:$B,$C224)/Assumptions!$B$4*Assumptions!$B$6</f>
        <v>39.06875</v>
      </c>
      <c r="BA224" s="7" t="n">
        <f aca="false">SUMIFS(Doors!BM:BM,Doors!$A:$A,$D224,Doors!$B:$B,$B224,Doors!$C:$C,$C224)*SUMIFS(Velocity!$I:$I,Velocity!$A:$A,$A224,Velocity!$B:$B,$C224)/Assumptions!$B$4*Assumptions!$B$6</f>
        <v>41.125</v>
      </c>
      <c r="BB224" s="7" t="n">
        <f aca="false">SUMIFS(Doors!BN:BN,Doors!$A:$A,$D224,Doors!$B:$B,$B224,Doors!$C:$C,$C224)*SUMIFS(Velocity!$I:$I,Velocity!$A:$A,$A224,Velocity!$B:$B,$C224)/Assumptions!$B$4*Assumptions!$B$6</f>
        <v>41.125</v>
      </c>
      <c r="BC224" s="7" t="n">
        <f aca="false">SUMIFS(Doors!BO:BO,Doors!$A:$A,$D224,Doors!$B:$B,$B224,Doors!$C:$C,$C224)*SUMIFS(Velocity!$I:$I,Velocity!$A:$A,$A224,Velocity!$B:$B,$C224)/Assumptions!$B$4*Assumptions!$B$6</f>
        <v>41.125</v>
      </c>
      <c r="BD224" s="7" t="n">
        <f aca="false">SUMIFS(Doors!BP:BP,Doors!$A:$A,$D224,Doors!$B:$B,$B224,Doors!$C:$C,$C224)*SUMIFS(Velocity!$I:$I,Velocity!$A:$A,$A224,Velocity!$B:$B,$C224)/Assumptions!$B$4*Assumptions!$B$6</f>
        <v>41.125</v>
      </c>
    </row>
    <row r="225" customFormat="false" ht="15" hidden="false" customHeight="false" outlineLevel="0" collapsed="false">
      <c r="A225" s="0" t="s">
        <v>110</v>
      </c>
      <c r="B225" s="0" t="s">
        <v>130</v>
      </c>
      <c r="C225" s="0" t="s">
        <v>118</v>
      </c>
      <c r="D225" s="0" t="s">
        <v>235</v>
      </c>
      <c r="E225" s="7" t="n">
        <f aca="false">SUMIFS(Doors!Q:Q,Doors!$A:$A,$D225,Doors!$B:$B,$B225,Doors!$C:$C,$C225)*SUMIFS(Velocity!$I:$I,Velocity!$A:$A,$A225,Velocity!$B:$B,$C225)/Assumptions!$B$4*Assumptions!$B$6</f>
        <v>0</v>
      </c>
      <c r="F225" s="7" t="n">
        <f aca="false">SUMIFS(Doors!R:R,Doors!$A:$A,$D225,Doors!$B:$B,$B225,Doors!$C:$C,$C225)*SUMIFS(Velocity!$I:$I,Velocity!$A:$A,$A225,Velocity!$B:$B,$C225)/Assumptions!$B$4*Assumptions!$B$6</f>
        <v>0</v>
      </c>
      <c r="G225" s="7" t="n">
        <f aca="false">SUMIFS(Doors!S:S,Doors!$A:$A,$D225,Doors!$B:$B,$B225,Doors!$C:$C,$C225)*SUMIFS(Velocity!$I:$I,Velocity!$A:$A,$A225,Velocity!$B:$B,$C225)/Assumptions!$B$4*Assumptions!$B$6</f>
        <v>0</v>
      </c>
      <c r="H225" s="7" t="n">
        <f aca="false">SUMIFS(Doors!T:T,Doors!$A:$A,$D225,Doors!$B:$B,$B225,Doors!$C:$C,$C225)*SUMIFS(Velocity!$I:$I,Velocity!$A:$A,$A225,Velocity!$B:$B,$C225)/Assumptions!$B$4*Assumptions!$B$6</f>
        <v>0</v>
      </c>
      <c r="I225" s="7" t="n">
        <f aca="false">SUMIFS(Doors!U:U,Doors!$A:$A,$D225,Doors!$B:$B,$B225,Doors!$C:$C,$C225)*SUMIFS(Velocity!$I:$I,Velocity!$A:$A,$A225,Velocity!$B:$B,$C225)/Assumptions!$B$4*Assumptions!$B$6</f>
        <v>0</v>
      </c>
      <c r="J225" s="7" t="n">
        <f aca="false">SUMIFS(Doors!V:V,Doors!$A:$A,$D225,Doors!$B:$B,$B225,Doors!$C:$C,$C225)*SUMIFS(Velocity!$I:$I,Velocity!$A:$A,$A225,Velocity!$B:$B,$C225)/Assumptions!$B$4*Assumptions!$B$6</f>
        <v>0</v>
      </c>
      <c r="K225" s="7" t="n">
        <f aca="false">SUMIFS(Doors!W:W,Doors!$A:$A,$D225,Doors!$B:$B,$B225,Doors!$C:$C,$C225)*SUMIFS(Velocity!$I:$I,Velocity!$A:$A,$A225,Velocity!$B:$B,$C225)/Assumptions!$B$4*Assumptions!$B$6</f>
        <v>0</v>
      </c>
      <c r="L225" s="7" t="n">
        <f aca="false">SUMIFS(Doors!X:X,Doors!$A:$A,$D225,Doors!$B:$B,$B225,Doors!$C:$C,$C225)*SUMIFS(Velocity!$I:$I,Velocity!$A:$A,$A225,Velocity!$B:$B,$C225)/Assumptions!$B$4*Assumptions!$B$6</f>
        <v>0</v>
      </c>
      <c r="M225" s="7" t="n">
        <f aca="false">SUMIFS(Doors!Y:Y,Doors!$A:$A,$D225,Doors!$B:$B,$B225,Doors!$C:$C,$C225)*SUMIFS(Velocity!$I:$I,Velocity!$A:$A,$A225,Velocity!$B:$B,$C225)/Assumptions!$B$4*Assumptions!$B$6</f>
        <v>0</v>
      </c>
      <c r="N225" s="7" t="n">
        <f aca="false">SUMIFS(Doors!Z:Z,Doors!$A:$A,$D225,Doors!$B:$B,$B225,Doors!$C:$C,$C225)*SUMIFS(Velocity!$I:$I,Velocity!$A:$A,$A225,Velocity!$B:$B,$C225)/Assumptions!$B$4*Assumptions!$B$6</f>
        <v>0</v>
      </c>
      <c r="O225" s="7" t="n">
        <f aca="false">SUMIFS(Doors!AA:AA,Doors!$A:$A,$D225,Doors!$B:$B,$B225,Doors!$C:$C,$C225)*SUMIFS(Velocity!$I:$I,Velocity!$A:$A,$A225,Velocity!$B:$B,$C225)/Assumptions!$B$4*Assumptions!$B$6</f>
        <v>0</v>
      </c>
      <c r="P225" s="7" t="n">
        <f aca="false">SUMIFS(Doors!AB:AB,Doors!$A:$A,$D225,Doors!$B:$B,$B225,Doors!$C:$C,$C225)*SUMIFS(Velocity!$I:$I,Velocity!$A:$A,$A225,Velocity!$B:$B,$C225)/Assumptions!$B$4*Assumptions!$B$6</f>
        <v>0</v>
      </c>
      <c r="Q225" s="7" t="n">
        <f aca="false">SUMIFS(Doors!AC:AC,Doors!$A:$A,$D225,Doors!$B:$B,$B225,Doors!$C:$C,$C225)*SUMIFS(Velocity!$I:$I,Velocity!$A:$A,$A225,Velocity!$B:$B,$C225)/Assumptions!$B$4*Assumptions!$B$6</f>
        <v>0</v>
      </c>
      <c r="R225" s="7" t="n">
        <f aca="false">SUMIFS(Doors!AD:AD,Doors!$A:$A,$D225,Doors!$B:$B,$B225,Doors!$C:$C,$C225)*SUMIFS(Velocity!$I:$I,Velocity!$A:$A,$A225,Velocity!$B:$B,$C225)/Assumptions!$B$4*Assumptions!$B$6</f>
        <v>0</v>
      </c>
      <c r="S225" s="7" t="n">
        <f aca="false">SUMIFS(Doors!AE:AE,Doors!$A:$A,$D225,Doors!$B:$B,$B225,Doors!$C:$C,$C225)*SUMIFS(Velocity!$I:$I,Velocity!$A:$A,$A225,Velocity!$B:$B,$C225)/Assumptions!$B$4*Assumptions!$B$6</f>
        <v>0</v>
      </c>
      <c r="T225" s="7" t="n">
        <f aca="false">SUMIFS(Doors!AF:AF,Doors!$A:$A,$D225,Doors!$B:$B,$B225,Doors!$C:$C,$C225)*SUMIFS(Velocity!$I:$I,Velocity!$A:$A,$A225,Velocity!$B:$B,$C225)/Assumptions!$B$4*Assumptions!$B$6</f>
        <v>0</v>
      </c>
      <c r="U225" s="7" t="n">
        <f aca="false">SUMIFS(Doors!AG:AG,Doors!$A:$A,$D225,Doors!$B:$B,$B225,Doors!$C:$C,$C225)*SUMIFS(Velocity!$I:$I,Velocity!$A:$A,$A225,Velocity!$B:$B,$C225)/Assumptions!$B$4*Assumptions!$B$6</f>
        <v>0</v>
      </c>
      <c r="V225" s="7" t="n">
        <f aca="false">SUMIFS(Doors!AH:AH,Doors!$A:$A,$D225,Doors!$B:$B,$B225,Doors!$C:$C,$C225)*SUMIFS(Velocity!$I:$I,Velocity!$A:$A,$A225,Velocity!$B:$B,$C225)/Assumptions!$B$4*Assumptions!$B$6</f>
        <v>0</v>
      </c>
      <c r="W225" s="7" t="n">
        <f aca="false">SUMIFS(Doors!AI:AI,Doors!$A:$A,$D225,Doors!$B:$B,$B225,Doors!$C:$C,$C225)*SUMIFS(Velocity!$I:$I,Velocity!$A:$A,$A225,Velocity!$B:$B,$C225)/Assumptions!$B$4*Assumptions!$B$6</f>
        <v>0</v>
      </c>
      <c r="X225" s="7" t="n">
        <f aca="false">SUMIFS(Doors!AJ:AJ,Doors!$A:$A,$D225,Doors!$B:$B,$B225,Doors!$C:$C,$C225)*SUMIFS(Velocity!$I:$I,Velocity!$A:$A,$A225,Velocity!$B:$B,$C225)/Assumptions!$B$4*Assumptions!$B$6</f>
        <v>0</v>
      </c>
      <c r="Y225" s="7" t="n">
        <f aca="false">SUMIFS(Doors!AK:AK,Doors!$A:$A,$D225,Doors!$B:$B,$B225,Doors!$C:$C,$C225)*SUMIFS(Velocity!$I:$I,Velocity!$A:$A,$A225,Velocity!$B:$B,$C225)/Assumptions!$B$4*Assumptions!$B$6</f>
        <v>0</v>
      </c>
      <c r="Z225" s="7" t="n">
        <f aca="false">SUMIFS(Doors!AL:AL,Doors!$A:$A,$D225,Doors!$B:$B,$B225,Doors!$C:$C,$C225)*SUMIFS(Velocity!$I:$I,Velocity!$A:$A,$A225,Velocity!$B:$B,$C225)/Assumptions!$B$4*Assumptions!$B$6</f>
        <v>0</v>
      </c>
      <c r="AA225" s="7" t="n">
        <f aca="false">SUMIFS(Doors!AM:AM,Doors!$A:$A,$D225,Doors!$B:$B,$B225,Doors!$C:$C,$C225)*SUMIFS(Velocity!$I:$I,Velocity!$A:$A,$A225,Velocity!$B:$B,$C225)/Assumptions!$B$4*Assumptions!$B$6</f>
        <v>0</v>
      </c>
      <c r="AB225" s="7" t="n">
        <f aca="false">SUMIFS(Doors!AN:AN,Doors!$A:$A,$D225,Doors!$B:$B,$B225,Doors!$C:$C,$C225)*SUMIFS(Velocity!$I:$I,Velocity!$A:$A,$A225,Velocity!$B:$B,$C225)/Assumptions!$B$4*Assumptions!$B$6</f>
        <v>0</v>
      </c>
      <c r="AC225" s="7" t="n">
        <f aca="false">SUMIFS(Doors!AO:AO,Doors!$A:$A,$D225,Doors!$B:$B,$B225,Doors!$C:$C,$C225)*SUMIFS(Velocity!$I:$I,Velocity!$A:$A,$A225,Velocity!$B:$B,$C225)/Assumptions!$B$4*Assumptions!$B$6</f>
        <v>0</v>
      </c>
      <c r="AD225" s="7" t="n">
        <f aca="false">SUMIFS(Doors!AP:AP,Doors!$A:$A,$D225,Doors!$B:$B,$B225,Doors!$C:$C,$C225)*SUMIFS(Velocity!$I:$I,Velocity!$A:$A,$A225,Velocity!$B:$B,$C225)/Assumptions!$B$4*Assumptions!$B$6</f>
        <v>0</v>
      </c>
      <c r="AE225" s="7" t="n">
        <f aca="false">SUMIFS(Doors!AQ:AQ,Doors!$A:$A,$D225,Doors!$B:$B,$B225,Doors!$C:$C,$C225)*SUMIFS(Velocity!$I:$I,Velocity!$A:$A,$A225,Velocity!$B:$B,$C225)/Assumptions!$B$4*Assumptions!$B$6</f>
        <v>0</v>
      </c>
      <c r="AF225" s="7" t="n">
        <f aca="false">SUMIFS(Doors!AR:AR,Doors!$A:$A,$D225,Doors!$B:$B,$B225,Doors!$C:$C,$C225)*SUMIFS(Velocity!$I:$I,Velocity!$A:$A,$A225,Velocity!$B:$B,$C225)/Assumptions!$B$4*Assumptions!$B$6</f>
        <v>0</v>
      </c>
      <c r="AG225" s="7" t="n">
        <f aca="false">SUMIFS(Doors!AS:AS,Doors!$A:$A,$D225,Doors!$B:$B,$B225,Doors!$C:$C,$C225)*SUMIFS(Velocity!$I:$I,Velocity!$A:$A,$A225,Velocity!$B:$B,$C225)/Assumptions!$B$4*Assumptions!$B$6</f>
        <v>0</v>
      </c>
      <c r="AH225" s="7" t="n">
        <f aca="false">SUMIFS(Doors!AT:AT,Doors!$A:$A,$D225,Doors!$B:$B,$B225,Doors!$C:$C,$C225)*SUMIFS(Velocity!$I:$I,Velocity!$A:$A,$A225,Velocity!$B:$B,$C225)/Assumptions!$B$4*Assumptions!$B$6</f>
        <v>0</v>
      </c>
      <c r="AI225" s="7" t="n">
        <f aca="false">SUMIFS(Doors!AU:AU,Doors!$A:$A,$D225,Doors!$B:$B,$B225,Doors!$C:$C,$C225)*SUMIFS(Velocity!$I:$I,Velocity!$A:$A,$A225,Velocity!$B:$B,$C225)/Assumptions!$B$4*Assumptions!$B$6</f>
        <v>0</v>
      </c>
      <c r="AJ225" s="7" t="n">
        <f aca="false">SUMIFS(Doors!AV:AV,Doors!$A:$A,$D225,Doors!$B:$B,$B225,Doors!$C:$C,$C225)*SUMIFS(Velocity!$I:$I,Velocity!$A:$A,$A225,Velocity!$B:$B,$C225)/Assumptions!$B$4*Assumptions!$B$6</f>
        <v>0</v>
      </c>
      <c r="AK225" s="7" t="n">
        <f aca="false">SUMIFS(Doors!AW:AW,Doors!$A:$A,$D225,Doors!$B:$B,$B225,Doors!$C:$C,$C225)*SUMIFS(Velocity!$I:$I,Velocity!$A:$A,$A225,Velocity!$B:$B,$C225)/Assumptions!$B$4*Assumptions!$B$6</f>
        <v>0</v>
      </c>
      <c r="AL225" s="7" t="n">
        <f aca="false">SUMIFS(Doors!AX:AX,Doors!$A:$A,$D225,Doors!$B:$B,$B225,Doors!$C:$C,$C225)*SUMIFS(Velocity!$I:$I,Velocity!$A:$A,$A225,Velocity!$B:$B,$C225)/Assumptions!$B$4*Assumptions!$B$6</f>
        <v>0</v>
      </c>
      <c r="AM225" s="7" t="n">
        <f aca="false">SUMIFS(Doors!AY:AY,Doors!$A:$A,$D225,Doors!$B:$B,$B225,Doors!$C:$C,$C225)*SUMIFS(Velocity!$I:$I,Velocity!$A:$A,$A225,Velocity!$B:$B,$C225)/Assumptions!$B$4*Assumptions!$B$6</f>
        <v>0</v>
      </c>
      <c r="AN225" s="7" t="n">
        <f aca="false">SUMIFS(Doors!AZ:AZ,Doors!$A:$A,$D225,Doors!$B:$B,$B225,Doors!$C:$C,$C225)*SUMIFS(Velocity!$I:$I,Velocity!$A:$A,$A225,Velocity!$B:$B,$C225)/Assumptions!$B$4*Assumptions!$B$6</f>
        <v>0</v>
      </c>
      <c r="AO225" s="7" t="n">
        <f aca="false">SUMIFS(Doors!BA:BA,Doors!$A:$A,$D225,Doors!$B:$B,$B225,Doors!$C:$C,$C225)*SUMIFS(Velocity!$I:$I,Velocity!$A:$A,$A225,Velocity!$B:$B,$C225)/Assumptions!$B$4*Assumptions!$B$6</f>
        <v>0</v>
      </c>
      <c r="AP225" s="7" t="n">
        <f aca="false">SUMIFS(Doors!BB:BB,Doors!$A:$A,$D225,Doors!$B:$B,$B225,Doors!$C:$C,$C225)*SUMIFS(Velocity!$I:$I,Velocity!$A:$A,$A225,Velocity!$B:$B,$C225)/Assumptions!$B$4*Assumptions!$B$6</f>
        <v>0</v>
      </c>
      <c r="AQ225" s="7" t="n">
        <f aca="false">SUMIFS(Doors!BC:BC,Doors!$A:$A,$D225,Doors!$B:$B,$B225,Doors!$C:$C,$C225)*SUMIFS(Velocity!$I:$I,Velocity!$A:$A,$A225,Velocity!$B:$B,$C225)/Assumptions!$B$4*Assumptions!$B$6</f>
        <v>0</v>
      </c>
      <c r="AR225" s="7" t="n">
        <f aca="false">SUMIFS(Doors!BD:BD,Doors!$A:$A,$D225,Doors!$B:$B,$B225,Doors!$C:$C,$C225)*SUMIFS(Velocity!$I:$I,Velocity!$A:$A,$A225,Velocity!$B:$B,$C225)/Assumptions!$B$4*Assumptions!$B$6</f>
        <v>252.5</v>
      </c>
      <c r="AS225" s="7" t="n">
        <f aca="false">SUMIFS(Doors!BE:BE,Doors!$A:$A,$D225,Doors!$B:$B,$B225,Doors!$C:$C,$C225)*SUMIFS(Velocity!$I:$I,Velocity!$A:$A,$A225,Velocity!$B:$B,$C225)/Assumptions!$B$4*Assumptions!$B$6</f>
        <v>252.5</v>
      </c>
      <c r="AT225" s="7" t="n">
        <f aca="false">SUMIFS(Doors!BF:BF,Doors!$A:$A,$D225,Doors!$B:$B,$B225,Doors!$C:$C,$C225)*SUMIFS(Velocity!$I:$I,Velocity!$A:$A,$A225,Velocity!$B:$B,$C225)/Assumptions!$B$4*Assumptions!$B$6</f>
        <v>252.5</v>
      </c>
      <c r="AU225" s="7" t="n">
        <f aca="false">SUMIFS(Doors!BG:BG,Doors!$A:$A,$D225,Doors!$B:$B,$B225,Doors!$C:$C,$C225)*SUMIFS(Velocity!$I:$I,Velocity!$A:$A,$A225,Velocity!$B:$B,$C225)/Assumptions!$B$4*Assumptions!$B$6</f>
        <v>252.5</v>
      </c>
      <c r="AV225" s="7" t="n">
        <f aca="false">SUMIFS(Doors!BH:BH,Doors!$A:$A,$D225,Doors!$B:$B,$B225,Doors!$C:$C,$C225)*SUMIFS(Velocity!$I:$I,Velocity!$A:$A,$A225,Velocity!$B:$B,$C225)/Assumptions!$B$4*Assumptions!$B$6</f>
        <v>252.5</v>
      </c>
      <c r="AW225" s="7" t="n">
        <f aca="false">SUMIFS(Doors!BI:BI,Doors!$A:$A,$D225,Doors!$B:$B,$B225,Doors!$C:$C,$C225)*SUMIFS(Velocity!$I:$I,Velocity!$A:$A,$A225,Velocity!$B:$B,$C225)/Assumptions!$B$4*Assumptions!$B$6</f>
        <v>269.333333333333</v>
      </c>
      <c r="AX225" s="7" t="n">
        <f aca="false">SUMIFS(Doors!BJ:BJ,Doors!$A:$A,$D225,Doors!$B:$B,$B225,Doors!$C:$C,$C225)*SUMIFS(Velocity!$I:$I,Velocity!$A:$A,$A225,Velocity!$B:$B,$C225)/Assumptions!$B$4*Assumptions!$B$6</f>
        <v>269.333333333333</v>
      </c>
      <c r="AY225" s="7" t="n">
        <f aca="false">SUMIFS(Doors!BK:BK,Doors!$A:$A,$D225,Doors!$B:$B,$B225,Doors!$C:$C,$C225)*SUMIFS(Velocity!$I:$I,Velocity!$A:$A,$A225,Velocity!$B:$B,$C225)/Assumptions!$B$4*Assumptions!$B$6</f>
        <v>269.333333333333</v>
      </c>
      <c r="AZ225" s="7" t="n">
        <f aca="false">SUMIFS(Doors!BL:BL,Doors!$A:$A,$D225,Doors!$B:$B,$B225,Doors!$C:$C,$C225)*SUMIFS(Velocity!$I:$I,Velocity!$A:$A,$A225,Velocity!$B:$B,$C225)/Assumptions!$B$4*Assumptions!$B$6</f>
        <v>269.333333333333</v>
      </c>
      <c r="BA225" s="7" t="n">
        <f aca="false">SUMIFS(Doors!BM:BM,Doors!$A:$A,$D225,Doors!$B:$B,$B225,Doors!$C:$C,$C225)*SUMIFS(Velocity!$I:$I,Velocity!$A:$A,$A225,Velocity!$B:$B,$C225)/Assumptions!$B$4*Assumptions!$B$6</f>
        <v>294.583333333333</v>
      </c>
      <c r="BB225" s="7" t="n">
        <f aca="false">SUMIFS(Doors!BN:BN,Doors!$A:$A,$D225,Doors!$B:$B,$B225,Doors!$C:$C,$C225)*SUMIFS(Velocity!$I:$I,Velocity!$A:$A,$A225,Velocity!$B:$B,$C225)/Assumptions!$B$4*Assumptions!$B$6</f>
        <v>294.583333333333</v>
      </c>
      <c r="BC225" s="7" t="n">
        <f aca="false">SUMIFS(Doors!BO:BO,Doors!$A:$A,$D225,Doors!$B:$B,$B225,Doors!$C:$C,$C225)*SUMIFS(Velocity!$I:$I,Velocity!$A:$A,$A225,Velocity!$B:$B,$C225)/Assumptions!$B$4*Assumptions!$B$6</f>
        <v>294.583333333333</v>
      </c>
      <c r="BD225" s="7" t="n">
        <f aca="false">SUMIFS(Doors!BP:BP,Doors!$A:$A,$D225,Doors!$B:$B,$B225,Doors!$C:$C,$C225)*SUMIFS(Velocity!$I:$I,Velocity!$A:$A,$A225,Velocity!$B:$B,$C225)/Assumptions!$B$4*Assumptions!$B$6</f>
        <v>294.583333333333</v>
      </c>
    </row>
    <row r="226" customFormat="false" ht="15" hidden="false" customHeight="false" outlineLevel="0" collapsed="false">
      <c r="A226" s="0" t="s">
        <v>110</v>
      </c>
      <c r="B226" s="0" t="s">
        <v>130</v>
      </c>
      <c r="C226" s="0" t="s">
        <v>119</v>
      </c>
      <c r="D226" s="0" t="s">
        <v>235</v>
      </c>
      <c r="E226" s="7" t="n">
        <f aca="false">SUMIFS(Doors!Q:Q,Doors!$A:$A,$D226,Doors!$B:$B,$B226,Doors!$C:$C,$C226)*SUMIFS(Velocity!$I:$I,Velocity!$A:$A,$A226,Velocity!$B:$B,$C226)/Assumptions!$B$4*Assumptions!$B$6</f>
        <v>6.66666666666667</v>
      </c>
      <c r="F226" s="7" t="n">
        <f aca="false">SUMIFS(Doors!R:R,Doors!$A:$A,$D226,Doors!$B:$B,$B226,Doors!$C:$C,$C226)*SUMIFS(Velocity!$I:$I,Velocity!$A:$A,$A226,Velocity!$B:$B,$C226)/Assumptions!$B$4*Assumptions!$B$6</f>
        <v>6.66666666666667</v>
      </c>
      <c r="G226" s="7" t="n">
        <f aca="false">SUMIFS(Doors!S:S,Doors!$A:$A,$D226,Doors!$B:$B,$B226,Doors!$C:$C,$C226)*SUMIFS(Velocity!$I:$I,Velocity!$A:$A,$A226,Velocity!$B:$B,$C226)/Assumptions!$B$4*Assumptions!$B$6</f>
        <v>6.66666666666667</v>
      </c>
      <c r="H226" s="7" t="n">
        <f aca="false">SUMIFS(Doors!T:T,Doors!$A:$A,$D226,Doors!$B:$B,$B226,Doors!$C:$C,$C226)*SUMIFS(Velocity!$I:$I,Velocity!$A:$A,$A226,Velocity!$B:$B,$C226)/Assumptions!$B$4*Assumptions!$B$6</f>
        <v>6.66666666666667</v>
      </c>
      <c r="I226" s="7" t="n">
        <f aca="false">SUMIFS(Doors!U:U,Doors!$A:$A,$D226,Doors!$B:$B,$B226,Doors!$C:$C,$C226)*SUMIFS(Velocity!$I:$I,Velocity!$A:$A,$A226,Velocity!$B:$B,$C226)/Assumptions!$B$4*Assumptions!$B$6</f>
        <v>6.66666666666667</v>
      </c>
      <c r="J226" s="7" t="n">
        <f aca="false">SUMIFS(Doors!V:V,Doors!$A:$A,$D226,Doors!$B:$B,$B226,Doors!$C:$C,$C226)*SUMIFS(Velocity!$I:$I,Velocity!$A:$A,$A226,Velocity!$B:$B,$C226)/Assumptions!$B$4*Assumptions!$B$6</f>
        <v>9.16666666666667</v>
      </c>
      <c r="K226" s="7" t="n">
        <f aca="false">SUMIFS(Doors!W:W,Doors!$A:$A,$D226,Doors!$B:$B,$B226,Doors!$C:$C,$C226)*SUMIFS(Velocity!$I:$I,Velocity!$A:$A,$A226,Velocity!$B:$B,$C226)/Assumptions!$B$4*Assumptions!$B$6</f>
        <v>9.16666666666667</v>
      </c>
      <c r="L226" s="7" t="n">
        <f aca="false">SUMIFS(Doors!X:X,Doors!$A:$A,$D226,Doors!$B:$B,$B226,Doors!$C:$C,$C226)*SUMIFS(Velocity!$I:$I,Velocity!$A:$A,$A226,Velocity!$B:$B,$C226)/Assumptions!$B$4*Assumptions!$B$6</f>
        <v>9.16666666666667</v>
      </c>
      <c r="M226" s="7" t="n">
        <f aca="false">SUMIFS(Doors!Y:Y,Doors!$A:$A,$D226,Doors!$B:$B,$B226,Doors!$C:$C,$C226)*SUMIFS(Velocity!$I:$I,Velocity!$A:$A,$A226,Velocity!$B:$B,$C226)/Assumptions!$B$4*Assumptions!$B$6</f>
        <v>9.16666666666667</v>
      </c>
      <c r="N226" s="7" t="n">
        <f aca="false">SUMIFS(Doors!Z:Z,Doors!$A:$A,$D226,Doors!$B:$B,$B226,Doors!$C:$C,$C226)*SUMIFS(Velocity!$I:$I,Velocity!$A:$A,$A226,Velocity!$B:$B,$C226)/Assumptions!$B$4*Assumptions!$B$6</f>
        <v>12.5</v>
      </c>
      <c r="O226" s="7" t="n">
        <f aca="false">SUMIFS(Doors!AA:AA,Doors!$A:$A,$D226,Doors!$B:$B,$B226,Doors!$C:$C,$C226)*SUMIFS(Velocity!$I:$I,Velocity!$A:$A,$A226,Velocity!$B:$B,$C226)/Assumptions!$B$4*Assumptions!$B$6</f>
        <v>12.5</v>
      </c>
      <c r="P226" s="7" t="n">
        <f aca="false">SUMIFS(Doors!AB:AB,Doors!$A:$A,$D226,Doors!$B:$B,$B226,Doors!$C:$C,$C226)*SUMIFS(Velocity!$I:$I,Velocity!$A:$A,$A226,Velocity!$B:$B,$C226)/Assumptions!$B$4*Assumptions!$B$6</f>
        <v>12.5</v>
      </c>
      <c r="Q226" s="7" t="n">
        <f aca="false">SUMIFS(Doors!AC:AC,Doors!$A:$A,$D226,Doors!$B:$B,$B226,Doors!$C:$C,$C226)*SUMIFS(Velocity!$I:$I,Velocity!$A:$A,$A226,Velocity!$B:$B,$C226)/Assumptions!$B$4*Assumptions!$B$6</f>
        <v>12.5</v>
      </c>
      <c r="R226" s="7" t="n">
        <f aca="false">SUMIFS(Doors!AD:AD,Doors!$A:$A,$D226,Doors!$B:$B,$B226,Doors!$C:$C,$C226)*SUMIFS(Velocity!$I:$I,Velocity!$A:$A,$A226,Velocity!$B:$B,$C226)/Assumptions!$B$4*Assumptions!$B$6</f>
        <v>15</v>
      </c>
      <c r="S226" s="7" t="n">
        <f aca="false">SUMIFS(Doors!AE:AE,Doors!$A:$A,$D226,Doors!$B:$B,$B226,Doors!$C:$C,$C226)*SUMIFS(Velocity!$I:$I,Velocity!$A:$A,$A226,Velocity!$B:$B,$C226)/Assumptions!$B$4*Assumptions!$B$6</f>
        <v>15</v>
      </c>
      <c r="T226" s="7" t="n">
        <f aca="false">SUMIFS(Doors!AF:AF,Doors!$A:$A,$D226,Doors!$B:$B,$B226,Doors!$C:$C,$C226)*SUMIFS(Velocity!$I:$I,Velocity!$A:$A,$A226,Velocity!$B:$B,$C226)/Assumptions!$B$4*Assumptions!$B$6</f>
        <v>15</v>
      </c>
      <c r="U226" s="7" t="n">
        <f aca="false">SUMIFS(Doors!AG:AG,Doors!$A:$A,$D226,Doors!$B:$B,$B226,Doors!$C:$C,$C226)*SUMIFS(Velocity!$I:$I,Velocity!$A:$A,$A226,Velocity!$B:$B,$C226)/Assumptions!$B$4*Assumptions!$B$6</f>
        <v>15</v>
      </c>
      <c r="V226" s="7" t="n">
        <f aca="false">SUMIFS(Doors!AH:AH,Doors!$A:$A,$D226,Doors!$B:$B,$B226,Doors!$C:$C,$C226)*SUMIFS(Velocity!$I:$I,Velocity!$A:$A,$A226,Velocity!$B:$B,$C226)/Assumptions!$B$4*Assumptions!$B$6</f>
        <v>15</v>
      </c>
      <c r="W226" s="7" t="n">
        <f aca="false">SUMIFS(Doors!AI:AI,Doors!$A:$A,$D226,Doors!$B:$B,$B226,Doors!$C:$C,$C226)*SUMIFS(Velocity!$I:$I,Velocity!$A:$A,$A226,Velocity!$B:$B,$C226)/Assumptions!$B$4*Assumptions!$B$6</f>
        <v>17.5</v>
      </c>
      <c r="X226" s="7" t="n">
        <f aca="false">SUMIFS(Doors!AJ:AJ,Doors!$A:$A,$D226,Doors!$B:$B,$B226,Doors!$C:$C,$C226)*SUMIFS(Velocity!$I:$I,Velocity!$A:$A,$A226,Velocity!$B:$B,$C226)/Assumptions!$B$4*Assumptions!$B$6</f>
        <v>17.5</v>
      </c>
      <c r="Y226" s="7" t="n">
        <f aca="false">SUMIFS(Doors!AK:AK,Doors!$A:$A,$D226,Doors!$B:$B,$B226,Doors!$C:$C,$C226)*SUMIFS(Velocity!$I:$I,Velocity!$A:$A,$A226,Velocity!$B:$B,$C226)/Assumptions!$B$4*Assumptions!$B$6</f>
        <v>17.5</v>
      </c>
      <c r="Z226" s="7" t="n">
        <f aca="false">SUMIFS(Doors!AL:AL,Doors!$A:$A,$D226,Doors!$B:$B,$B226,Doors!$C:$C,$C226)*SUMIFS(Velocity!$I:$I,Velocity!$A:$A,$A226,Velocity!$B:$B,$C226)/Assumptions!$B$4*Assumptions!$B$6</f>
        <v>17.5</v>
      </c>
      <c r="AA226" s="7" t="n">
        <f aca="false">SUMIFS(Doors!AM:AM,Doors!$A:$A,$D226,Doors!$B:$B,$B226,Doors!$C:$C,$C226)*SUMIFS(Velocity!$I:$I,Velocity!$A:$A,$A226,Velocity!$B:$B,$C226)/Assumptions!$B$4*Assumptions!$B$6</f>
        <v>20</v>
      </c>
      <c r="AB226" s="7" t="n">
        <f aca="false">SUMIFS(Doors!AN:AN,Doors!$A:$A,$D226,Doors!$B:$B,$B226,Doors!$C:$C,$C226)*SUMIFS(Velocity!$I:$I,Velocity!$A:$A,$A226,Velocity!$B:$B,$C226)/Assumptions!$B$4*Assumptions!$B$6</f>
        <v>20</v>
      </c>
      <c r="AC226" s="7" t="n">
        <f aca="false">SUMIFS(Doors!AO:AO,Doors!$A:$A,$D226,Doors!$B:$B,$B226,Doors!$C:$C,$C226)*SUMIFS(Velocity!$I:$I,Velocity!$A:$A,$A226,Velocity!$B:$B,$C226)/Assumptions!$B$4*Assumptions!$B$6</f>
        <v>20</v>
      </c>
      <c r="AD226" s="7" t="n">
        <f aca="false">SUMIFS(Doors!AP:AP,Doors!$A:$A,$D226,Doors!$B:$B,$B226,Doors!$C:$C,$C226)*SUMIFS(Velocity!$I:$I,Velocity!$A:$A,$A226,Velocity!$B:$B,$C226)/Assumptions!$B$4*Assumptions!$B$6</f>
        <v>20</v>
      </c>
      <c r="AE226" s="7" t="n">
        <f aca="false">SUMIFS(Doors!AQ:AQ,Doors!$A:$A,$D226,Doors!$B:$B,$B226,Doors!$C:$C,$C226)*SUMIFS(Velocity!$I:$I,Velocity!$A:$A,$A226,Velocity!$B:$B,$C226)/Assumptions!$B$4*Assumptions!$B$6</f>
        <v>21.6666666666667</v>
      </c>
      <c r="AF226" s="7" t="n">
        <f aca="false">SUMIFS(Doors!AR:AR,Doors!$A:$A,$D226,Doors!$B:$B,$B226,Doors!$C:$C,$C226)*SUMIFS(Velocity!$I:$I,Velocity!$A:$A,$A226,Velocity!$B:$B,$C226)/Assumptions!$B$4*Assumptions!$B$6</f>
        <v>21.6666666666667</v>
      </c>
      <c r="AG226" s="7" t="n">
        <f aca="false">SUMIFS(Doors!AS:AS,Doors!$A:$A,$D226,Doors!$B:$B,$B226,Doors!$C:$C,$C226)*SUMIFS(Velocity!$I:$I,Velocity!$A:$A,$A226,Velocity!$B:$B,$C226)/Assumptions!$B$4*Assumptions!$B$6</f>
        <v>21.6666666666667</v>
      </c>
      <c r="AH226" s="7" t="n">
        <f aca="false">SUMIFS(Doors!AT:AT,Doors!$A:$A,$D226,Doors!$B:$B,$B226,Doors!$C:$C,$C226)*SUMIFS(Velocity!$I:$I,Velocity!$A:$A,$A226,Velocity!$B:$B,$C226)/Assumptions!$B$4*Assumptions!$B$6</f>
        <v>21.6666666666667</v>
      </c>
      <c r="AI226" s="7" t="n">
        <f aca="false">SUMIFS(Doors!AU:AU,Doors!$A:$A,$D226,Doors!$B:$B,$B226,Doors!$C:$C,$C226)*SUMIFS(Velocity!$I:$I,Velocity!$A:$A,$A226,Velocity!$B:$B,$C226)/Assumptions!$B$4*Assumptions!$B$6</f>
        <v>21.6666666666667</v>
      </c>
      <c r="AJ226" s="7" t="n">
        <f aca="false">SUMIFS(Doors!AV:AV,Doors!$A:$A,$D226,Doors!$B:$B,$B226,Doors!$C:$C,$C226)*SUMIFS(Velocity!$I:$I,Velocity!$A:$A,$A226,Velocity!$B:$B,$C226)/Assumptions!$B$4*Assumptions!$B$6</f>
        <v>23.3333333333333</v>
      </c>
      <c r="AK226" s="7" t="n">
        <f aca="false">SUMIFS(Doors!AW:AW,Doors!$A:$A,$D226,Doors!$B:$B,$B226,Doors!$C:$C,$C226)*SUMIFS(Velocity!$I:$I,Velocity!$A:$A,$A226,Velocity!$B:$B,$C226)/Assumptions!$B$4*Assumptions!$B$6</f>
        <v>23.3333333333333</v>
      </c>
      <c r="AL226" s="7" t="n">
        <f aca="false">SUMIFS(Doors!AX:AX,Doors!$A:$A,$D226,Doors!$B:$B,$B226,Doors!$C:$C,$C226)*SUMIFS(Velocity!$I:$I,Velocity!$A:$A,$A226,Velocity!$B:$B,$C226)/Assumptions!$B$4*Assumptions!$B$6</f>
        <v>23.3333333333333</v>
      </c>
      <c r="AM226" s="7" t="n">
        <f aca="false">SUMIFS(Doors!AY:AY,Doors!$A:$A,$D226,Doors!$B:$B,$B226,Doors!$C:$C,$C226)*SUMIFS(Velocity!$I:$I,Velocity!$A:$A,$A226,Velocity!$B:$B,$C226)/Assumptions!$B$4*Assumptions!$B$6</f>
        <v>23.3333333333333</v>
      </c>
      <c r="AN226" s="7" t="n">
        <f aca="false">SUMIFS(Doors!AZ:AZ,Doors!$A:$A,$D226,Doors!$B:$B,$B226,Doors!$C:$C,$C226)*SUMIFS(Velocity!$I:$I,Velocity!$A:$A,$A226,Velocity!$B:$B,$C226)/Assumptions!$B$4*Assumptions!$B$6</f>
        <v>24.1666666666667</v>
      </c>
      <c r="AO226" s="7" t="n">
        <f aca="false">SUMIFS(Doors!BA:BA,Doors!$A:$A,$D226,Doors!$B:$B,$B226,Doors!$C:$C,$C226)*SUMIFS(Velocity!$I:$I,Velocity!$A:$A,$A226,Velocity!$B:$B,$C226)/Assumptions!$B$4*Assumptions!$B$6</f>
        <v>24.1666666666667</v>
      </c>
      <c r="AP226" s="7" t="n">
        <f aca="false">SUMIFS(Doors!BB:BB,Doors!$A:$A,$D226,Doors!$B:$B,$B226,Doors!$C:$C,$C226)*SUMIFS(Velocity!$I:$I,Velocity!$A:$A,$A226,Velocity!$B:$B,$C226)/Assumptions!$B$4*Assumptions!$B$6</f>
        <v>24.1666666666667</v>
      </c>
      <c r="AQ226" s="7" t="n">
        <f aca="false">SUMIFS(Doors!BC:BC,Doors!$A:$A,$D226,Doors!$B:$B,$B226,Doors!$C:$C,$C226)*SUMIFS(Velocity!$I:$I,Velocity!$A:$A,$A226,Velocity!$B:$B,$C226)/Assumptions!$B$4*Assumptions!$B$6</f>
        <v>24.1666666666667</v>
      </c>
      <c r="AR226" s="7" t="n">
        <f aca="false">SUMIFS(Doors!BD:BD,Doors!$A:$A,$D226,Doors!$B:$B,$B226,Doors!$C:$C,$C226)*SUMIFS(Velocity!$I:$I,Velocity!$A:$A,$A226,Velocity!$B:$B,$C226)/Assumptions!$B$4*Assumptions!$B$6</f>
        <v>25</v>
      </c>
      <c r="AS226" s="7" t="n">
        <f aca="false">SUMIFS(Doors!BE:BE,Doors!$A:$A,$D226,Doors!$B:$B,$B226,Doors!$C:$C,$C226)*SUMIFS(Velocity!$I:$I,Velocity!$A:$A,$A226,Velocity!$B:$B,$C226)/Assumptions!$B$4*Assumptions!$B$6</f>
        <v>25</v>
      </c>
      <c r="AT226" s="7" t="n">
        <f aca="false">SUMIFS(Doors!BF:BF,Doors!$A:$A,$D226,Doors!$B:$B,$B226,Doors!$C:$C,$C226)*SUMIFS(Velocity!$I:$I,Velocity!$A:$A,$A226,Velocity!$B:$B,$C226)/Assumptions!$B$4*Assumptions!$B$6</f>
        <v>25</v>
      </c>
      <c r="AU226" s="7" t="n">
        <f aca="false">SUMIFS(Doors!BG:BG,Doors!$A:$A,$D226,Doors!$B:$B,$B226,Doors!$C:$C,$C226)*SUMIFS(Velocity!$I:$I,Velocity!$A:$A,$A226,Velocity!$B:$B,$C226)/Assumptions!$B$4*Assumptions!$B$6</f>
        <v>25</v>
      </c>
      <c r="AV226" s="7" t="n">
        <f aca="false">SUMIFS(Doors!BH:BH,Doors!$A:$A,$D226,Doors!$B:$B,$B226,Doors!$C:$C,$C226)*SUMIFS(Velocity!$I:$I,Velocity!$A:$A,$A226,Velocity!$B:$B,$C226)/Assumptions!$B$4*Assumptions!$B$6</f>
        <v>25</v>
      </c>
      <c r="AW226" s="7" t="n">
        <f aca="false">SUMIFS(Doors!BI:BI,Doors!$A:$A,$D226,Doors!$B:$B,$B226,Doors!$C:$C,$C226)*SUMIFS(Velocity!$I:$I,Velocity!$A:$A,$A226,Velocity!$B:$B,$C226)/Assumptions!$B$4*Assumptions!$B$6</f>
        <v>25.3333333333333</v>
      </c>
      <c r="AX226" s="7" t="n">
        <f aca="false">SUMIFS(Doors!BJ:BJ,Doors!$A:$A,$D226,Doors!$B:$B,$B226,Doors!$C:$C,$C226)*SUMIFS(Velocity!$I:$I,Velocity!$A:$A,$A226,Velocity!$B:$B,$C226)/Assumptions!$B$4*Assumptions!$B$6</f>
        <v>25.3333333333333</v>
      </c>
      <c r="AY226" s="7" t="n">
        <f aca="false">SUMIFS(Doors!BK:BK,Doors!$A:$A,$D226,Doors!$B:$B,$B226,Doors!$C:$C,$C226)*SUMIFS(Velocity!$I:$I,Velocity!$A:$A,$A226,Velocity!$B:$B,$C226)/Assumptions!$B$4*Assumptions!$B$6</f>
        <v>25.3333333333333</v>
      </c>
      <c r="AZ226" s="7" t="n">
        <f aca="false">SUMIFS(Doors!BL:BL,Doors!$A:$A,$D226,Doors!$B:$B,$B226,Doors!$C:$C,$C226)*SUMIFS(Velocity!$I:$I,Velocity!$A:$A,$A226,Velocity!$B:$B,$C226)/Assumptions!$B$4*Assumptions!$B$6</f>
        <v>25.3333333333333</v>
      </c>
      <c r="BA226" s="7" t="n">
        <f aca="false">SUMIFS(Doors!BM:BM,Doors!$A:$A,$D226,Doors!$B:$B,$B226,Doors!$C:$C,$C226)*SUMIFS(Velocity!$I:$I,Velocity!$A:$A,$A226,Velocity!$B:$B,$C226)/Assumptions!$B$4*Assumptions!$B$6</f>
        <v>25.8333333333333</v>
      </c>
      <c r="BB226" s="7" t="n">
        <f aca="false">SUMIFS(Doors!BN:BN,Doors!$A:$A,$D226,Doors!$B:$B,$B226,Doors!$C:$C,$C226)*SUMIFS(Velocity!$I:$I,Velocity!$A:$A,$A226,Velocity!$B:$B,$C226)/Assumptions!$B$4*Assumptions!$B$6</f>
        <v>25.8333333333333</v>
      </c>
      <c r="BC226" s="7" t="n">
        <f aca="false">SUMIFS(Doors!BO:BO,Doors!$A:$A,$D226,Doors!$B:$B,$B226,Doors!$C:$C,$C226)*SUMIFS(Velocity!$I:$I,Velocity!$A:$A,$A226,Velocity!$B:$B,$C226)/Assumptions!$B$4*Assumptions!$B$6</f>
        <v>25.8333333333333</v>
      </c>
      <c r="BD226" s="7" t="n">
        <f aca="false">SUMIFS(Doors!BP:BP,Doors!$A:$A,$D226,Doors!$B:$B,$B226,Doors!$C:$C,$C226)*SUMIFS(Velocity!$I:$I,Velocity!$A:$A,$A226,Velocity!$B:$B,$C226)/Assumptions!$B$4*Assumptions!$B$6</f>
        <v>25.8333333333333</v>
      </c>
    </row>
    <row r="227" customFormat="false" ht="15" hidden="false" customHeight="false" outlineLevel="0" collapsed="false">
      <c r="A227" s="0" t="s">
        <v>110</v>
      </c>
      <c r="B227" s="0" t="s">
        <v>130</v>
      </c>
      <c r="C227" s="0" t="s">
        <v>120</v>
      </c>
      <c r="D227" s="0" t="s">
        <v>235</v>
      </c>
      <c r="E227" s="7" t="n">
        <f aca="false">SUMIFS(Doors!Q:Q,Doors!$A:$A,$D227,Doors!$B:$B,$B227,Doors!$C:$C,$C227)*SUMIFS(Velocity!$I:$I,Velocity!$A:$A,$A227,Velocity!$B:$B,$C227)/Assumptions!$B$4*Assumptions!$B$6</f>
        <v>9.89583333333333</v>
      </c>
      <c r="F227" s="7" t="n">
        <f aca="false">SUMIFS(Doors!R:R,Doors!$A:$A,$D227,Doors!$B:$B,$B227,Doors!$C:$C,$C227)*SUMIFS(Velocity!$I:$I,Velocity!$A:$A,$A227,Velocity!$B:$B,$C227)/Assumptions!$B$4*Assumptions!$B$6</f>
        <v>9.89583333333333</v>
      </c>
      <c r="G227" s="7" t="n">
        <f aca="false">SUMIFS(Doors!S:S,Doors!$A:$A,$D227,Doors!$B:$B,$B227,Doors!$C:$C,$C227)*SUMIFS(Velocity!$I:$I,Velocity!$A:$A,$A227,Velocity!$B:$B,$C227)/Assumptions!$B$4*Assumptions!$B$6</f>
        <v>9.89583333333333</v>
      </c>
      <c r="H227" s="7" t="n">
        <f aca="false">SUMIFS(Doors!T:T,Doors!$A:$A,$D227,Doors!$B:$B,$B227,Doors!$C:$C,$C227)*SUMIFS(Velocity!$I:$I,Velocity!$A:$A,$A227,Velocity!$B:$B,$C227)/Assumptions!$B$4*Assumptions!$B$6</f>
        <v>9.89583333333333</v>
      </c>
      <c r="I227" s="7" t="n">
        <f aca="false">SUMIFS(Doors!U:U,Doors!$A:$A,$D227,Doors!$B:$B,$B227,Doors!$C:$C,$C227)*SUMIFS(Velocity!$I:$I,Velocity!$A:$A,$A227,Velocity!$B:$B,$C227)/Assumptions!$B$4*Assumptions!$B$6</f>
        <v>9.89583333333333</v>
      </c>
      <c r="J227" s="7" t="n">
        <f aca="false">SUMIFS(Doors!V:V,Doors!$A:$A,$D227,Doors!$B:$B,$B227,Doors!$C:$C,$C227)*SUMIFS(Velocity!$I:$I,Velocity!$A:$A,$A227,Velocity!$B:$B,$C227)/Assumptions!$B$4*Assumptions!$B$6</f>
        <v>14.84375</v>
      </c>
      <c r="K227" s="7" t="n">
        <f aca="false">SUMIFS(Doors!W:W,Doors!$A:$A,$D227,Doors!$B:$B,$B227,Doors!$C:$C,$C227)*SUMIFS(Velocity!$I:$I,Velocity!$A:$A,$A227,Velocity!$B:$B,$C227)/Assumptions!$B$4*Assumptions!$B$6</f>
        <v>14.84375</v>
      </c>
      <c r="L227" s="7" t="n">
        <f aca="false">SUMIFS(Doors!X:X,Doors!$A:$A,$D227,Doors!$B:$B,$B227,Doors!$C:$C,$C227)*SUMIFS(Velocity!$I:$I,Velocity!$A:$A,$A227,Velocity!$B:$B,$C227)/Assumptions!$B$4*Assumptions!$B$6</f>
        <v>14.84375</v>
      </c>
      <c r="M227" s="7" t="n">
        <f aca="false">SUMIFS(Doors!Y:Y,Doors!$A:$A,$D227,Doors!$B:$B,$B227,Doors!$C:$C,$C227)*SUMIFS(Velocity!$I:$I,Velocity!$A:$A,$A227,Velocity!$B:$B,$C227)/Assumptions!$B$4*Assumptions!$B$6</f>
        <v>14.84375</v>
      </c>
      <c r="N227" s="7" t="n">
        <f aca="false">SUMIFS(Doors!Z:Z,Doors!$A:$A,$D227,Doors!$B:$B,$B227,Doors!$C:$C,$C227)*SUMIFS(Velocity!$I:$I,Velocity!$A:$A,$A227,Velocity!$B:$B,$C227)/Assumptions!$B$4*Assumptions!$B$6</f>
        <v>20.78125</v>
      </c>
      <c r="O227" s="7" t="n">
        <f aca="false">SUMIFS(Doors!AA:AA,Doors!$A:$A,$D227,Doors!$B:$B,$B227,Doors!$C:$C,$C227)*SUMIFS(Velocity!$I:$I,Velocity!$A:$A,$A227,Velocity!$B:$B,$C227)/Assumptions!$B$4*Assumptions!$B$6</f>
        <v>20.78125</v>
      </c>
      <c r="P227" s="7" t="n">
        <f aca="false">SUMIFS(Doors!AB:AB,Doors!$A:$A,$D227,Doors!$B:$B,$B227,Doors!$C:$C,$C227)*SUMIFS(Velocity!$I:$I,Velocity!$A:$A,$A227,Velocity!$B:$B,$C227)/Assumptions!$B$4*Assumptions!$B$6</f>
        <v>20.78125</v>
      </c>
      <c r="Q227" s="7" t="n">
        <f aca="false">SUMIFS(Doors!AC:AC,Doors!$A:$A,$D227,Doors!$B:$B,$B227,Doors!$C:$C,$C227)*SUMIFS(Velocity!$I:$I,Velocity!$A:$A,$A227,Velocity!$B:$B,$C227)/Assumptions!$B$4*Assumptions!$B$6</f>
        <v>20.78125</v>
      </c>
      <c r="R227" s="7" t="n">
        <f aca="false">SUMIFS(Doors!AD:AD,Doors!$A:$A,$D227,Doors!$B:$B,$B227,Doors!$C:$C,$C227)*SUMIFS(Velocity!$I:$I,Velocity!$A:$A,$A227,Velocity!$B:$B,$C227)/Assumptions!$B$4*Assumptions!$B$6</f>
        <v>25.7291666666667</v>
      </c>
      <c r="S227" s="7" t="n">
        <f aca="false">SUMIFS(Doors!AE:AE,Doors!$A:$A,$D227,Doors!$B:$B,$B227,Doors!$C:$C,$C227)*SUMIFS(Velocity!$I:$I,Velocity!$A:$A,$A227,Velocity!$B:$B,$C227)/Assumptions!$B$4*Assumptions!$B$6</f>
        <v>25.7291666666667</v>
      </c>
      <c r="T227" s="7" t="n">
        <f aca="false">SUMIFS(Doors!AF:AF,Doors!$A:$A,$D227,Doors!$B:$B,$B227,Doors!$C:$C,$C227)*SUMIFS(Velocity!$I:$I,Velocity!$A:$A,$A227,Velocity!$B:$B,$C227)/Assumptions!$B$4*Assumptions!$B$6</f>
        <v>25.7291666666667</v>
      </c>
      <c r="U227" s="7" t="n">
        <f aca="false">SUMIFS(Doors!AG:AG,Doors!$A:$A,$D227,Doors!$B:$B,$B227,Doors!$C:$C,$C227)*SUMIFS(Velocity!$I:$I,Velocity!$A:$A,$A227,Velocity!$B:$B,$C227)/Assumptions!$B$4*Assumptions!$B$6</f>
        <v>25.7291666666667</v>
      </c>
      <c r="V227" s="7" t="n">
        <f aca="false">SUMIFS(Doors!AH:AH,Doors!$A:$A,$D227,Doors!$B:$B,$B227,Doors!$C:$C,$C227)*SUMIFS(Velocity!$I:$I,Velocity!$A:$A,$A227,Velocity!$B:$B,$C227)/Assumptions!$B$4*Assumptions!$B$6</f>
        <v>25.7291666666667</v>
      </c>
      <c r="W227" s="7" t="n">
        <f aca="false">SUMIFS(Doors!AI:AI,Doors!$A:$A,$D227,Doors!$B:$B,$B227,Doors!$C:$C,$C227)*SUMIFS(Velocity!$I:$I,Velocity!$A:$A,$A227,Velocity!$B:$B,$C227)/Assumptions!$B$4*Assumptions!$B$6</f>
        <v>29.6875</v>
      </c>
      <c r="X227" s="7" t="n">
        <f aca="false">SUMIFS(Doors!AJ:AJ,Doors!$A:$A,$D227,Doors!$B:$B,$B227,Doors!$C:$C,$C227)*SUMIFS(Velocity!$I:$I,Velocity!$A:$A,$A227,Velocity!$B:$B,$C227)/Assumptions!$B$4*Assumptions!$B$6</f>
        <v>29.6875</v>
      </c>
      <c r="Y227" s="7" t="n">
        <f aca="false">SUMIFS(Doors!AK:AK,Doors!$A:$A,$D227,Doors!$B:$B,$B227,Doors!$C:$C,$C227)*SUMIFS(Velocity!$I:$I,Velocity!$A:$A,$A227,Velocity!$B:$B,$C227)/Assumptions!$B$4*Assumptions!$B$6</f>
        <v>29.6875</v>
      </c>
      <c r="Z227" s="7" t="n">
        <f aca="false">SUMIFS(Doors!AL:AL,Doors!$A:$A,$D227,Doors!$B:$B,$B227,Doors!$C:$C,$C227)*SUMIFS(Velocity!$I:$I,Velocity!$A:$A,$A227,Velocity!$B:$B,$C227)/Assumptions!$B$4*Assumptions!$B$6</f>
        <v>29.6875</v>
      </c>
      <c r="AA227" s="7" t="n">
        <f aca="false">SUMIFS(Doors!AM:AM,Doors!$A:$A,$D227,Doors!$B:$B,$B227,Doors!$C:$C,$C227)*SUMIFS(Velocity!$I:$I,Velocity!$A:$A,$A227,Velocity!$B:$B,$C227)/Assumptions!$B$4*Assumptions!$B$6</f>
        <v>33.6458333333333</v>
      </c>
      <c r="AB227" s="7" t="n">
        <f aca="false">SUMIFS(Doors!AN:AN,Doors!$A:$A,$D227,Doors!$B:$B,$B227,Doors!$C:$C,$C227)*SUMIFS(Velocity!$I:$I,Velocity!$A:$A,$A227,Velocity!$B:$B,$C227)/Assumptions!$B$4*Assumptions!$B$6</f>
        <v>33.6458333333333</v>
      </c>
      <c r="AC227" s="7" t="n">
        <f aca="false">SUMIFS(Doors!AO:AO,Doors!$A:$A,$D227,Doors!$B:$B,$B227,Doors!$C:$C,$C227)*SUMIFS(Velocity!$I:$I,Velocity!$A:$A,$A227,Velocity!$B:$B,$C227)/Assumptions!$B$4*Assumptions!$B$6</f>
        <v>33.6458333333333</v>
      </c>
      <c r="AD227" s="7" t="n">
        <f aca="false">SUMIFS(Doors!AP:AP,Doors!$A:$A,$D227,Doors!$B:$B,$B227,Doors!$C:$C,$C227)*SUMIFS(Velocity!$I:$I,Velocity!$A:$A,$A227,Velocity!$B:$B,$C227)/Assumptions!$B$4*Assumptions!$B$6</f>
        <v>33.6458333333333</v>
      </c>
      <c r="AE227" s="7" t="n">
        <f aca="false">SUMIFS(Doors!AQ:AQ,Doors!$A:$A,$D227,Doors!$B:$B,$B227,Doors!$C:$C,$C227)*SUMIFS(Velocity!$I:$I,Velocity!$A:$A,$A227,Velocity!$B:$B,$C227)/Assumptions!$B$4*Assumptions!$B$6</f>
        <v>35.625</v>
      </c>
      <c r="AF227" s="7" t="n">
        <f aca="false">SUMIFS(Doors!AR:AR,Doors!$A:$A,$D227,Doors!$B:$B,$B227,Doors!$C:$C,$C227)*SUMIFS(Velocity!$I:$I,Velocity!$A:$A,$A227,Velocity!$B:$B,$C227)/Assumptions!$B$4*Assumptions!$B$6</f>
        <v>35.625</v>
      </c>
      <c r="AG227" s="7" t="n">
        <f aca="false">SUMIFS(Doors!AS:AS,Doors!$A:$A,$D227,Doors!$B:$B,$B227,Doors!$C:$C,$C227)*SUMIFS(Velocity!$I:$I,Velocity!$A:$A,$A227,Velocity!$B:$B,$C227)/Assumptions!$B$4*Assumptions!$B$6</f>
        <v>35.625</v>
      </c>
      <c r="AH227" s="7" t="n">
        <f aca="false">SUMIFS(Doors!AT:AT,Doors!$A:$A,$D227,Doors!$B:$B,$B227,Doors!$C:$C,$C227)*SUMIFS(Velocity!$I:$I,Velocity!$A:$A,$A227,Velocity!$B:$B,$C227)/Assumptions!$B$4*Assumptions!$B$6</f>
        <v>35.625</v>
      </c>
      <c r="AI227" s="7" t="n">
        <f aca="false">SUMIFS(Doors!AU:AU,Doors!$A:$A,$D227,Doors!$B:$B,$B227,Doors!$C:$C,$C227)*SUMIFS(Velocity!$I:$I,Velocity!$A:$A,$A227,Velocity!$B:$B,$C227)/Assumptions!$B$4*Assumptions!$B$6</f>
        <v>35.625</v>
      </c>
      <c r="AJ227" s="7" t="n">
        <f aca="false">SUMIFS(Doors!AV:AV,Doors!$A:$A,$D227,Doors!$B:$B,$B227,Doors!$C:$C,$C227)*SUMIFS(Velocity!$I:$I,Velocity!$A:$A,$A227,Velocity!$B:$B,$C227)/Assumptions!$B$4*Assumptions!$B$6</f>
        <v>37.6041666666667</v>
      </c>
      <c r="AK227" s="7" t="n">
        <f aca="false">SUMIFS(Doors!AW:AW,Doors!$A:$A,$D227,Doors!$B:$B,$B227,Doors!$C:$C,$C227)*SUMIFS(Velocity!$I:$I,Velocity!$A:$A,$A227,Velocity!$B:$B,$C227)/Assumptions!$B$4*Assumptions!$B$6</f>
        <v>37.6041666666667</v>
      </c>
      <c r="AL227" s="7" t="n">
        <f aca="false">SUMIFS(Doors!AX:AX,Doors!$A:$A,$D227,Doors!$B:$B,$B227,Doors!$C:$C,$C227)*SUMIFS(Velocity!$I:$I,Velocity!$A:$A,$A227,Velocity!$B:$B,$C227)/Assumptions!$B$4*Assumptions!$B$6</f>
        <v>37.6041666666667</v>
      </c>
      <c r="AM227" s="7" t="n">
        <f aca="false">SUMIFS(Doors!AY:AY,Doors!$A:$A,$D227,Doors!$B:$B,$B227,Doors!$C:$C,$C227)*SUMIFS(Velocity!$I:$I,Velocity!$A:$A,$A227,Velocity!$B:$B,$C227)/Assumptions!$B$4*Assumptions!$B$6</f>
        <v>37.6041666666667</v>
      </c>
      <c r="AN227" s="7" t="n">
        <f aca="false">SUMIFS(Doors!AZ:AZ,Doors!$A:$A,$D227,Doors!$B:$B,$B227,Doors!$C:$C,$C227)*SUMIFS(Velocity!$I:$I,Velocity!$A:$A,$A227,Velocity!$B:$B,$C227)/Assumptions!$B$4*Assumptions!$B$6</f>
        <v>38.59375</v>
      </c>
      <c r="AO227" s="7" t="n">
        <f aca="false">SUMIFS(Doors!BA:BA,Doors!$A:$A,$D227,Doors!$B:$B,$B227,Doors!$C:$C,$C227)*SUMIFS(Velocity!$I:$I,Velocity!$A:$A,$A227,Velocity!$B:$B,$C227)/Assumptions!$B$4*Assumptions!$B$6</f>
        <v>38.59375</v>
      </c>
      <c r="AP227" s="7" t="n">
        <f aca="false">SUMIFS(Doors!BB:BB,Doors!$A:$A,$D227,Doors!$B:$B,$B227,Doors!$C:$C,$C227)*SUMIFS(Velocity!$I:$I,Velocity!$A:$A,$A227,Velocity!$B:$B,$C227)/Assumptions!$B$4*Assumptions!$B$6</f>
        <v>38.59375</v>
      </c>
      <c r="AQ227" s="7" t="n">
        <f aca="false">SUMIFS(Doors!BC:BC,Doors!$A:$A,$D227,Doors!$B:$B,$B227,Doors!$C:$C,$C227)*SUMIFS(Velocity!$I:$I,Velocity!$A:$A,$A227,Velocity!$B:$B,$C227)/Assumptions!$B$4*Assumptions!$B$6</f>
        <v>38.59375</v>
      </c>
      <c r="AR227" s="7" t="n">
        <f aca="false">SUMIFS(Doors!BD:BD,Doors!$A:$A,$D227,Doors!$B:$B,$B227,Doors!$C:$C,$C227)*SUMIFS(Velocity!$I:$I,Velocity!$A:$A,$A227,Velocity!$B:$B,$C227)/Assumptions!$B$4*Assumptions!$B$6</f>
        <v>39.1875</v>
      </c>
      <c r="AS227" s="7" t="n">
        <f aca="false">SUMIFS(Doors!BE:BE,Doors!$A:$A,$D227,Doors!$B:$B,$B227,Doors!$C:$C,$C227)*SUMIFS(Velocity!$I:$I,Velocity!$A:$A,$A227,Velocity!$B:$B,$C227)/Assumptions!$B$4*Assumptions!$B$6</f>
        <v>39.1875</v>
      </c>
      <c r="AT227" s="7" t="n">
        <f aca="false">SUMIFS(Doors!BF:BF,Doors!$A:$A,$D227,Doors!$B:$B,$B227,Doors!$C:$C,$C227)*SUMIFS(Velocity!$I:$I,Velocity!$A:$A,$A227,Velocity!$B:$B,$C227)/Assumptions!$B$4*Assumptions!$B$6</f>
        <v>39.1875</v>
      </c>
      <c r="AU227" s="7" t="n">
        <f aca="false">SUMIFS(Doors!BG:BG,Doors!$A:$A,$D227,Doors!$B:$B,$B227,Doors!$C:$C,$C227)*SUMIFS(Velocity!$I:$I,Velocity!$A:$A,$A227,Velocity!$B:$B,$C227)/Assumptions!$B$4*Assumptions!$B$6</f>
        <v>39.1875</v>
      </c>
      <c r="AV227" s="7" t="n">
        <f aca="false">SUMIFS(Doors!BH:BH,Doors!$A:$A,$D227,Doors!$B:$B,$B227,Doors!$C:$C,$C227)*SUMIFS(Velocity!$I:$I,Velocity!$A:$A,$A227,Velocity!$B:$B,$C227)/Assumptions!$B$4*Assumptions!$B$6</f>
        <v>39.1875</v>
      </c>
      <c r="AW227" s="7" t="n">
        <f aca="false">SUMIFS(Doors!BI:BI,Doors!$A:$A,$D227,Doors!$B:$B,$B227,Doors!$C:$C,$C227)*SUMIFS(Velocity!$I:$I,Velocity!$A:$A,$A227,Velocity!$B:$B,$C227)/Assumptions!$B$4*Assumptions!$B$6</f>
        <v>39.5833333333333</v>
      </c>
      <c r="AX227" s="7" t="n">
        <f aca="false">SUMIFS(Doors!BJ:BJ,Doors!$A:$A,$D227,Doors!$B:$B,$B227,Doors!$C:$C,$C227)*SUMIFS(Velocity!$I:$I,Velocity!$A:$A,$A227,Velocity!$B:$B,$C227)/Assumptions!$B$4*Assumptions!$B$6</f>
        <v>39.5833333333333</v>
      </c>
      <c r="AY227" s="7" t="n">
        <f aca="false">SUMIFS(Doors!BK:BK,Doors!$A:$A,$D227,Doors!$B:$B,$B227,Doors!$C:$C,$C227)*SUMIFS(Velocity!$I:$I,Velocity!$A:$A,$A227,Velocity!$B:$B,$C227)/Assumptions!$B$4*Assumptions!$B$6</f>
        <v>39.5833333333333</v>
      </c>
      <c r="AZ227" s="7" t="n">
        <f aca="false">SUMIFS(Doors!BL:BL,Doors!$A:$A,$D227,Doors!$B:$B,$B227,Doors!$C:$C,$C227)*SUMIFS(Velocity!$I:$I,Velocity!$A:$A,$A227,Velocity!$B:$B,$C227)/Assumptions!$B$4*Assumptions!$B$6</f>
        <v>39.5833333333333</v>
      </c>
      <c r="BA227" s="7" t="n">
        <f aca="false">SUMIFS(Doors!BM:BM,Doors!$A:$A,$D227,Doors!$B:$B,$B227,Doors!$C:$C,$C227)*SUMIFS(Velocity!$I:$I,Velocity!$A:$A,$A227,Velocity!$B:$B,$C227)/Assumptions!$B$4*Assumptions!$B$6</f>
        <v>39.5833333333333</v>
      </c>
      <c r="BB227" s="7" t="n">
        <f aca="false">SUMIFS(Doors!BN:BN,Doors!$A:$A,$D227,Doors!$B:$B,$B227,Doors!$C:$C,$C227)*SUMIFS(Velocity!$I:$I,Velocity!$A:$A,$A227,Velocity!$B:$B,$C227)/Assumptions!$B$4*Assumptions!$B$6</f>
        <v>39.5833333333333</v>
      </c>
      <c r="BC227" s="7" t="n">
        <f aca="false">SUMIFS(Doors!BO:BO,Doors!$A:$A,$D227,Doors!$B:$B,$B227,Doors!$C:$C,$C227)*SUMIFS(Velocity!$I:$I,Velocity!$A:$A,$A227,Velocity!$B:$B,$C227)/Assumptions!$B$4*Assumptions!$B$6</f>
        <v>39.5833333333333</v>
      </c>
      <c r="BD227" s="7" t="n">
        <f aca="false">SUMIFS(Doors!BP:BP,Doors!$A:$A,$D227,Doors!$B:$B,$B227,Doors!$C:$C,$C227)*SUMIFS(Velocity!$I:$I,Velocity!$A:$A,$A227,Velocity!$B:$B,$C227)/Assumptions!$B$4*Assumptions!$B$6</f>
        <v>39.5833333333333</v>
      </c>
    </row>
    <row r="228" customFormat="false" ht="15" hidden="false" customHeight="false" outlineLevel="0" collapsed="false">
      <c r="A228" s="0" t="s">
        <v>110</v>
      </c>
      <c r="B228" s="0" t="s">
        <v>130</v>
      </c>
      <c r="C228" s="0" t="s">
        <v>121</v>
      </c>
      <c r="D228" s="0" t="s">
        <v>235</v>
      </c>
      <c r="E228" s="7" t="n">
        <f aca="false">SUMIFS(Doors!Q:Q,Doors!$A:$A,$D228,Doors!$B:$B,$B228,Doors!$C:$C,$C228)*SUMIFS(Velocity!$I:$I,Velocity!$A:$A,$A228,Velocity!$B:$B,$C228)/Assumptions!$B$4*Assumptions!$B$6</f>
        <v>7.60416666666667</v>
      </c>
      <c r="F228" s="7" t="n">
        <f aca="false">SUMIFS(Doors!R:R,Doors!$A:$A,$D228,Doors!$B:$B,$B228,Doors!$C:$C,$C228)*SUMIFS(Velocity!$I:$I,Velocity!$A:$A,$A228,Velocity!$B:$B,$C228)/Assumptions!$B$4*Assumptions!$B$6</f>
        <v>7.60416666666667</v>
      </c>
      <c r="G228" s="7" t="n">
        <f aca="false">SUMIFS(Doors!S:S,Doors!$A:$A,$D228,Doors!$B:$B,$B228,Doors!$C:$C,$C228)*SUMIFS(Velocity!$I:$I,Velocity!$A:$A,$A228,Velocity!$B:$B,$C228)/Assumptions!$B$4*Assumptions!$B$6</f>
        <v>7.60416666666667</v>
      </c>
      <c r="H228" s="7" t="n">
        <f aca="false">SUMIFS(Doors!T:T,Doors!$A:$A,$D228,Doors!$B:$B,$B228,Doors!$C:$C,$C228)*SUMIFS(Velocity!$I:$I,Velocity!$A:$A,$A228,Velocity!$B:$B,$C228)/Assumptions!$B$4*Assumptions!$B$6</f>
        <v>7.60416666666667</v>
      </c>
      <c r="I228" s="7" t="n">
        <f aca="false">SUMIFS(Doors!U:U,Doors!$A:$A,$D228,Doors!$B:$B,$B228,Doors!$C:$C,$C228)*SUMIFS(Velocity!$I:$I,Velocity!$A:$A,$A228,Velocity!$B:$B,$C228)/Assumptions!$B$4*Assumptions!$B$6</f>
        <v>7.60416666666667</v>
      </c>
      <c r="J228" s="7" t="n">
        <f aca="false">SUMIFS(Doors!V:V,Doors!$A:$A,$D228,Doors!$B:$B,$B228,Doors!$C:$C,$C228)*SUMIFS(Velocity!$I:$I,Velocity!$A:$A,$A228,Velocity!$B:$B,$C228)/Assumptions!$B$4*Assumptions!$B$6</f>
        <v>11.5583333333333</v>
      </c>
      <c r="K228" s="7" t="n">
        <f aca="false">SUMIFS(Doors!W:W,Doors!$A:$A,$D228,Doors!$B:$B,$B228,Doors!$C:$C,$C228)*SUMIFS(Velocity!$I:$I,Velocity!$A:$A,$A228,Velocity!$B:$B,$C228)/Assumptions!$B$4*Assumptions!$B$6</f>
        <v>11.5583333333333</v>
      </c>
      <c r="L228" s="7" t="n">
        <f aca="false">SUMIFS(Doors!X:X,Doors!$A:$A,$D228,Doors!$B:$B,$B228,Doors!$C:$C,$C228)*SUMIFS(Velocity!$I:$I,Velocity!$A:$A,$A228,Velocity!$B:$B,$C228)/Assumptions!$B$4*Assumptions!$B$6</f>
        <v>11.5583333333333</v>
      </c>
      <c r="M228" s="7" t="n">
        <f aca="false">SUMIFS(Doors!Y:Y,Doors!$A:$A,$D228,Doors!$B:$B,$B228,Doors!$C:$C,$C228)*SUMIFS(Velocity!$I:$I,Velocity!$A:$A,$A228,Velocity!$B:$B,$C228)/Assumptions!$B$4*Assumptions!$B$6</f>
        <v>11.5583333333333</v>
      </c>
      <c r="N228" s="7" t="n">
        <f aca="false">SUMIFS(Doors!Z:Z,Doors!$A:$A,$D228,Doors!$B:$B,$B228,Doors!$C:$C,$C228)*SUMIFS(Velocity!$I:$I,Velocity!$A:$A,$A228,Velocity!$B:$B,$C228)/Assumptions!$B$4*Assumptions!$B$6</f>
        <v>16.7291666666667</v>
      </c>
      <c r="O228" s="7" t="n">
        <f aca="false">SUMIFS(Doors!AA:AA,Doors!$A:$A,$D228,Doors!$B:$B,$B228,Doors!$C:$C,$C228)*SUMIFS(Velocity!$I:$I,Velocity!$A:$A,$A228,Velocity!$B:$B,$C228)/Assumptions!$B$4*Assumptions!$B$6</f>
        <v>16.7291666666667</v>
      </c>
      <c r="P228" s="7" t="n">
        <f aca="false">SUMIFS(Doors!AB:AB,Doors!$A:$A,$D228,Doors!$B:$B,$B228,Doors!$C:$C,$C228)*SUMIFS(Velocity!$I:$I,Velocity!$A:$A,$A228,Velocity!$B:$B,$C228)/Assumptions!$B$4*Assumptions!$B$6</f>
        <v>16.7291666666667</v>
      </c>
      <c r="Q228" s="7" t="n">
        <f aca="false">SUMIFS(Doors!AC:AC,Doors!$A:$A,$D228,Doors!$B:$B,$B228,Doors!$C:$C,$C228)*SUMIFS(Velocity!$I:$I,Velocity!$A:$A,$A228,Velocity!$B:$B,$C228)/Assumptions!$B$4*Assumptions!$B$6</f>
        <v>16.7291666666667</v>
      </c>
      <c r="R228" s="7" t="n">
        <f aca="false">SUMIFS(Doors!AD:AD,Doors!$A:$A,$D228,Doors!$B:$B,$B228,Doors!$C:$C,$C228)*SUMIFS(Velocity!$I:$I,Velocity!$A:$A,$A228,Velocity!$B:$B,$C228)/Assumptions!$B$4*Assumptions!$B$6</f>
        <v>21.2916666666667</v>
      </c>
      <c r="S228" s="7" t="n">
        <f aca="false">SUMIFS(Doors!AE:AE,Doors!$A:$A,$D228,Doors!$B:$B,$B228,Doors!$C:$C,$C228)*SUMIFS(Velocity!$I:$I,Velocity!$A:$A,$A228,Velocity!$B:$B,$C228)/Assumptions!$B$4*Assumptions!$B$6</f>
        <v>21.2916666666667</v>
      </c>
      <c r="T228" s="7" t="n">
        <f aca="false">SUMIFS(Doors!AF:AF,Doors!$A:$A,$D228,Doors!$B:$B,$B228,Doors!$C:$C,$C228)*SUMIFS(Velocity!$I:$I,Velocity!$A:$A,$A228,Velocity!$B:$B,$C228)/Assumptions!$B$4*Assumptions!$B$6</f>
        <v>21.2916666666667</v>
      </c>
      <c r="U228" s="7" t="n">
        <f aca="false">SUMIFS(Doors!AG:AG,Doors!$A:$A,$D228,Doors!$B:$B,$B228,Doors!$C:$C,$C228)*SUMIFS(Velocity!$I:$I,Velocity!$A:$A,$A228,Velocity!$B:$B,$C228)/Assumptions!$B$4*Assumptions!$B$6</f>
        <v>21.2916666666667</v>
      </c>
      <c r="V228" s="7" t="n">
        <f aca="false">SUMIFS(Doors!AH:AH,Doors!$A:$A,$D228,Doors!$B:$B,$B228,Doors!$C:$C,$C228)*SUMIFS(Velocity!$I:$I,Velocity!$A:$A,$A228,Velocity!$B:$B,$C228)/Assumptions!$B$4*Assumptions!$B$6</f>
        <v>21.2916666666667</v>
      </c>
      <c r="W228" s="7" t="n">
        <f aca="false">SUMIFS(Doors!AI:AI,Doors!$A:$A,$D228,Doors!$B:$B,$B228,Doors!$C:$C,$C228)*SUMIFS(Velocity!$I:$I,Velocity!$A:$A,$A228,Velocity!$B:$B,$C228)/Assumptions!$B$4*Assumptions!$B$6</f>
        <v>24.9416666666667</v>
      </c>
      <c r="X228" s="7" t="n">
        <f aca="false">SUMIFS(Doors!AJ:AJ,Doors!$A:$A,$D228,Doors!$B:$B,$B228,Doors!$C:$C,$C228)*SUMIFS(Velocity!$I:$I,Velocity!$A:$A,$A228,Velocity!$B:$B,$C228)/Assumptions!$B$4*Assumptions!$B$6</f>
        <v>24.9416666666667</v>
      </c>
      <c r="Y228" s="7" t="n">
        <f aca="false">SUMIFS(Doors!AK:AK,Doors!$A:$A,$D228,Doors!$B:$B,$B228,Doors!$C:$C,$C228)*SUMIFS(Velocity!$I:$I,Velocity!$A:$A,$A228,Velocity!$B:$B,$C228)/Assumptions!$B$4*Assumptions!$B$6</f>
        <v>24.9416666666667</v>
      </c>
      <c r="Z228" s="7" t="n">
        <f aca="false">SUMIFS(Doors!AL:AL,Doors!$A:$A,$D228,Doors!$B:$B,$B228,Doors!$C:$C,$C228)*SUMIFS(Velocity!$I:$I,Velocity!$A:$A,$A228,Velocity!$B:$B,$C228)/Assumptions!$B$4*Assumptions!$B$6</f>
        <v>24.9416666666667</v>
      </c>
      <c r="AA228" s="7" t="n">
        <f aca="false">SUMIFS(Doors!AM:AM,Doors!$A:$A,$D228,Doors!$B:$B,$B228,Doors!$C:$C,$C228)*SUMIFS(Velocity!$I:$I,Velocity!$A:$A,$A228,Velocity!$B:$B,$C228)/Assumptions!$B$4*Assumptions!$B$6</f>
        <v>27.375</v>
      </c>
      <c r="AB228" s="7" t="n">
        <f aca="false">SUMIFS(Doors!AN:AN,Doors!$A:$A,$D228,Doors!$B:$B,$B228,Doors!$C:$C,$C228)*SUMIFS(Velocity!$I:$I,Velocity!$A:$A,$A228,Velocity!$B:$B,$C228)/Assumptions!$B$4*Assumptions!$B$6</f>
        <v>27.375</v>
      </c>
      <c r="AC228" s="7" t="n">
        <f aca="false">SUMIFS(Doors!AO:AO,Doors!$A:$A,$D228,Doors!$B:$B,$B228,Doors!$C:$C,$C228)*SUMIFS(Velocity!$I:$I,Velocity!$A:$A,$A228,Velocity!$B:$B,$C228)/Assumptions!$B$4*Assumptions!$B$6</f>
        <v>27.375</v>
      </c>
      <c r="AD228" s="7" t="n">
        <f aca="false">SUMIFS(Doors!AP:AP,Doors!$A:$A,$D228,Doors!$B:$B,$B228,Doors!$C:$C,$C228)*SUMIFS(Velocity!$I:$I,Velocity!$A:$A,$A228,Velocity!$B:$B,$C228)/Assumptions!$B$4*Assumptions!$B$6</f>
        <v>27.375</v>
      </c>
      <c r="AE228" s="7" t="n">
        <f aca="false">SUMIFS(Doors!AQ:AQ,Doors!$A:$A,$D228,Doors!$B:$B,$B228,Doors!$C:$C,$C228)*SUMIFS(Velocity!$I:$I,Velocity!$A:$A,$A228,Velocity!$B:$B,$C228)/Assumptions!$B$4*Assumptions!$B$6</f>
        <v>28.8958333333333</v>
      </c>
      <c r="AF228" s="7" t="n">
        <f aca="false">SUMIFS(Doors!AR:AR,Doors!$A:$A,$D228,Doors!$B:$B,$B228,Doors!$C:$C,$C228)*SUMIFS(Velocity!$I:$I,Velocity!$A:$A,$A228,Velocity!$B:$B,$C228)/Assumptions!$B$4*Assumptions!$B$6</f>
        <v>28.8958333333333</v>
      </c>
      <c r="AG228" s="7" t="n">
        <f aca="false">SUMIFS(Doors!AS:AS,Doors!$A:$A,$D228,Doors!$B:$B,$B228,Doors!$C:$C,$C228)*SUMIFS(Velocity!$I:$I,Velocity!$A:$A,$A228,Velocity!$B:$B,$C228)/Assumptions!$B$4*Assumptions!$B$6</f>
        <v>28.8958333333333</v>
      </c>
      <c r="AH228" s="7" t="n">
        <f aca="false">SUMIFS(Doors!AT:AT,Doors!$A:$A,$D228,Doors!$B:$B,$B228,Doors!$C:$C,$C228)*SUMIFS(Velocity!$I:$I,Velocity!$A:$A,$A228,Velocity!$B:$B,$C228)/Assumptions!$B$4*Assumptions!$B$6</f>
        <v>28.8958333333333</v>
      </c>
      <c r="AI228" s="7" t="n">
        <f aca="false">SUMIFS(Doors!AU:AU,Doors!$A:$A,$D228,Doors!$B:$B,$B228,Doors!$C:$C,$C228)*SUMIFS(Velocity!$I:$I,Velocity!$A:$A,$A228,Velocity!$B:$B,$C228)/Assumptions!$B$4*Assumptions!$B$6</f>
        <v>28.8958333333333</v>
      </c>
      <c r="AJ228" s="7" t="n">
        <f aca="false">SUMIFS(Doors!AV:AV,Doors!$A:$A,$D228,Doors!$B:$B,$B228,Doors!$C:$C,$C228)*SUMIFS(Velocity!$I:$I,Velocity!$A:$A,$A228,Velocity!$B:$B,$C228)/Assumptions!$B$4*Assumptions!$B$6</f>
        <v>29.8083333333333</v>
      </c>
      <c r="AK228" s="7" t="n">
        <f aca="false">SUMIFS(Doors!AW:AW,Doors!$A:$A,$D228,Doors!$B:$B,$B228,Doors!$C:$C,$C228)*SUMIFS(Velocity!$I:$I,Velocity!$A:$A,$A228,Velocity!$B:$B,$C228)/Assumptions!$B$4*Assumptions!$B$6</f>
        <v>29.8083333333333</v>
      </c>
      <c r="AL228" s="7" t="n">
        <f aca="false">SUMIFS(Doors!AX:AX,Doors!$A:$A,$D228,Doors!$B:$B,$B228,Doors!$C:$C,$C228)*SUMIFS(Velocity!$I:$I,Velocity!$A:$A,$A228,Velocity!$B:$B,$C228)/Assumptions!$B$4*Assumptions!$B$6</f>
        <v>29.8083333333333</v>
      </c>
      <c r="AM228" s="7" t="n">
        <f aca="false">SUMIFS(Doors!AY:AY,Doors!$A:$A,$D228,Doors!$B:$B,$B228,Doors!$C:$C,$C228)*SUMIFS(Velocity!$I:$I,Velocity!$A:$A,$A228,Velocity!$B:$B,$C228)/Assumptions!$B$4*Assumptions!$B$6</f>
        <v>29.8083333333333</v>
      </c>
      <c r="AN228" s="7" t="n">
        <f aca="false">SUMIFS(Doors!AZ:AZ,Doors!$A:$A,$D228,Doors!$B:$B,$B228,Doors!$C:$C,$C228)*SUMIFS(Velocity!$I:$I,Velocity!$A:$A,$A228,Velocity!$B:$B,$C228)/Assumptions!$B$4*Assumptions!$B$6</f>
        <v>30.1125</v>
      </c>
      <c r="AO228" s="7" t="n">
        <f aca="false">SUMIFS(Doors!BA:BA,Doors!$A:$A,$D228,Doors!$B:$B,$B228,Doors!$C:$C,$C228)*SUMIFS(Velocity!$I:$I,Velocity!$A:$A,$A228,Velocity!$B:$B,$C228)/Assumptions!$B$4*Assumptions!$B$6</f>
        <v>30.1125</v>
      </c>
      <c r="AP228" s="7" t="n">
        <f aca="false">SUMIFS(Doors!BB:BB,Doors!$A:$A,$D228,Doors!$B:$B,$B228,Doors!$C:$C,$C228)*SUMIFS(Velocity!$I:$I,Velocity!$A:$A,$A228,Velocity!$B:$B,$C228)/Assumptions!$B$4*Assumptions!$B$6</f>
        <v>30.1125</v>
      </c>
      <c r="AQ228" s="7" t="n">
        <f aca="false">SUMIFS(Doors!BC:BC,Doors!$A:$A,$D228,Doors!$B:$B,$B228,Doors!$C:$C,$C228)*SUMIFS(Velocity!$I:$I,Velocity!$A:$A,$A228,Velocity!$B:$B,$C228)/Assumptions!$B$4*Assumptions!$B$6</f>
        <v>30.1125</v>
      </c>
      <c r="AR228" s="7" t="n">
        <f aca="false">SUMIFS(Doors!BD:BD,Doors!$A:$A,$D228,Doors!$B:$B,$B228,Doors!$C:$C,$C228)*SUMIFS(Velocity!$I:$I,Velocity!$A:$A,$A228,Velocity!$B:$B,$C228)/Assumptions!$B$4*Assumptions!$B$6</f>
        <v>30.4166666666667</v>
      </c>
      <c r="AS228" s="7" t="n">
        <f aca="false">SUMIFS(Doors!BE:BE,Doors!$A:$A,$D228,Doors!$B:$B,$B228,Doors!$C:$C,$C228)*SUMIFS(Velocity!$I:$I,Velocity!$A:$A,$A228,Velocity!$B:$B,$C228)/Assumptions!$B$4*Assumptions!$B$6</f>
        <v>30.4166666666667</v>
      </c>
      <c r="AT228" s="7" t="n">
        <f aca="false">SUMIFS(Doors!BF:BF,Doors!$A:$A,$D228,Doors!$B:$B,$B228,Doors!$C:$C,$C228)*SUMIFS(Velocity!$I:$I,Velocity!$A:$A,$A228,Velocity!$B:$B,$C228)/Assumptions!$B$4*Assumptions!$B$6</f>
        <v>30.4166666666667</v>
      </c>
      <c r="AU228" s="7" t="n">
        <f aca="false">SUMIFS(Doors!BG:BG,Doors!$A:$A,$D228,Doors!$B:$B,$B228,Doors!$C:$C,$C228)*SUMIFS(Velocity!$I:$I,Velocity!$A:$A,$A228,Velocity!$B:$B,$C228)/Assumptions!$B$4*Assumptions!$B$6</f>
        <v>30.4166666666667</v>
      </c>
      <c r="AV228" s="7" t="n">
        <f aca="false">SUMIFS(Doors!BH:BH,Doors!$A:$A,$D228,Doors!$B:$B,$B228,Doors!$C:$C,$C228)*SUMIFS(Velocity!$I:$I,Velocity!$A:$A,$A228,Velocity!$B:$B,$C228)/Assumptions!$B$4*Assumptions!$B$6</f>
        <v>30.4166666666667</v>
      </c>
      <c r="AW228" s="7" t="n">
        <f aca="false">SUMIFS(Doors!BI:BI,Doors!$A:$A,$D228,Doors!$B:$B,$B228,Doors!$C:$C,$C228)*SUMIFS(Velocity!$I:$I,Velocity!$A:$A,$A228,Velocity!$B:$B,$C228)/Assumptions!$B$4*Assumptions!$B$6</f>
        <v>30.4166666666667</v>
      </c>
      <c r="AX228" s="7" t="n">
        <f aca="false">SUMIFS(Doors!BJ:BJ,Doors!$A:$A,$D228,Doors!$B:$B,$B228,Doors!$C:$C,$C228)*SUMIFS(Velocity!$I:$I,Velocity!$A:$A,$A228,Velocity!$B:$B,$C228)/Assumptions!$B$4*Assumptions!$B$6</f>
        <v>30.4166666666667</v>
      </c>
      <c r="AY228" s="7" t="n">
        <f aca="false">SUMIFS(Doors!BK:BK,Doors!$A:$A,$D228,Doors!$B:$B,$B228,Doors!$C:$C,$C228)*SUMIFS(Velocity!$I:$I,Velocity!$A:$A,$A228,Velocity!$B:$B,$C228)/Assumptions!$B$4*Assumptions!$B$6</f>
        <v>30.4166666666667</v>
      </c>
      <c r="AZ228" s="7" t="n">
        <f aca="false">SUMIFS(Doors!BL:BL,Doors!$A:$A,$D228,Doors!$B:$B,$B228,Doors!$C:$C,$C228)*SUMIFS(Velocity!$I:$I,Velocity!$A:$A,$A228,Velocity!$B:$B,$C228)/Assumptions!$B$4*Assumptions!$B$6</f>
        <v>30.4166666666667</v>
      </c>
      <c r="BA228" s="7" t="n">
        <f aca="false">SUMIFS(Doors!BM:BM,Doors!$A:$A,$D228,Doors!$B:$B,$B228,Doors!$C:$C,$C228)*SUMIFS(Velocity!$I:$I,Velocity!$A:$A,$A228,Velocity!$B:$B,$C228)/Assumptions!$B$4*Assumptions!$B$6</f>
        <v>30.4166666666667</v>
      </c>
      <c r="BB228" s="7" t="n">
        <f aca="false">SUMIFS(Doors!BN:BN,Doors!$A:$A,$D228,Doors!$B:$B,$B228,Doors!$C:$C,$C228)*SUMIFS(Velocity!$I:$I,Velocity!$A:$A,$A228,Velocity!$B:$B,$C228)/Assumptions!$B$4*Assumptions!$B$6</f>
        <v>30.4166666666667</v>
      </c>
      <c r="BC228" s="7" t="n">
        <f aca="false">SUMIFS(Doors!BO:BO,Doors!$A:$A,$D228,Doors!$B:$B,$B228,Doors!$C:$C,$C228)*SUMIFS(Velocity!$I:$I,Velocity!$A:$A,$A228,Velocity!$B:$B,$C228)/Assumptions!$B$4*Assumptions!$B$6</f>
        <v>30.4166666666667</v>
      </c>
      <c r="BD228" s="7" t="n">
        <f aca="false">SUMIFS(Doors!BP:BP,Doors!$A:$A,$D228,Doors!$B:$B,$B228,Doors!$C:$C,$C228)*SUMIFS(Velocity!$I:$I,Velocity!$A:$A,$A228,Velocity!$B:$B,$C228)/Assumptions!$B$4*Assumptions!$B$6</f>
        <v>30.4166666666667</v>
      </c>
    </row>
    <row r="229" customFormat="false" ht="15" hidden="false" customHeight="false" outlineLevel="0" collapsed="false">
      <c r="A229" s="0" t="s">
        <v>110</v>
      </c>
      <c r="B229" s="0" t="s">
        <v>130</v>
      </c>
      <c r="C229" s="0" t="s">
        <v>122</v>
      </c>
      <c r="D229" s="0" t="s">
        <v>235</v>
      </c>
      <c r="E229" s="7" t="n">
        <f aca="false">SUMIFS(Doors!Q:Q,Doors!$A:$A,$D229,Doors!$B:$B,$B229,Doors!$C:$C,$C229)*SUMIFS(Velocity!$I:$I,Velocity!$A:$A,$A229,Velocity!$B:$B,$C229)/Assumptions!$B$4*Assumptions!$B$6</f>
        <v>0</v>
      </c>
      <c r="F229" s="7" t="n">
        <f aca="false">SUMIFS(Doors!R:R,Doors!$A:$A,$D229,Doors!$B:$B,$B229,Doors!$C:$C,$C229)*SUMIFS(Velocity!$I:$I,Velocity!$A:$A,$A229,Velocity!$B:$B,$C229)/Assumptions!$B$4*Assumptions!$B$6</f>
        <v>0</v>
      </c>
      <c r="G229" s="7" t="n">
        <f aca="false">SUMIFS(Doors!S:S,Doors!$A:$A,$D229,Doors!$B:$B,$B229,Doors!$C:$C,$C229)*SUMIFS(Velocity!$I:$I,Velocity!$A:$A,$A229,Velocity!$B:$B,$C229)/Assumptions!$B$4*Assumptions!$B$6</f>
        <v>0</v>
      </c>
      <c r="H229" s="7" t="n">
        <f aca="false">SUMIFS(Doors!T:T,Doors!$A:$A,$D229,Doors!$B:$B,$B229,Doors!$C:$C,$C229)*SUMIFS(Velocity!$I:$I,Velocity!$A:$A,$A229,Velocity!$B:$B,$C229)/Assumptions!$B$4*Assumptions!$B$6</f>
        <v>0</v>
      </c>
      <c r="I229" s="7" t="n">
        <f aca="false">SUMIFS(Doors!U:U,Doors!$A:$A,$D229,Doors!$B:$B,$B229,Doors!$C:$C,$C229)*SUMIFS(Velocity!$I:$I,Velocity!$A:$A,$A229,Velocity!$B:$B,$C229)/Assumptions!$B$4*Assumptions!$B$6</f>
        <v>0</v>
      </c>
      <c r="J229" s="7" t="n">
        <f aca="false">SUMIFS(Doors!V:V,Doors!$A:$A,$D229,Doors!$B:$B,$B229,Doors!$C:$C,$C229)*SUMIFS(Velocity!$I:$I,Velocity!$A:$A,$A229,Velocity!$B:$B,$C229)/Assumptions!$B$4*Assumptions!$B$6</f>
        <v>0</v>
      </c>
      <c r="K229" s="7" t="n">
        <f aca="false">SUMIFS(Doors!W:W,Doors!$A:$A,$D229,Doors!$B:$B,$B229,Doors!$C:$C,$C229)*SUMIFS(Velocity!$I:$I,Velocity!$A:$A,$A229,Velocity!$B:$B,$C229)/Assumptions!$B$4*Assumptions!$B$6</f>
        <v>0</v>
      </c>
      <c r="L229" s="7" t="n">
        <f aca="false">SUMIFS(Doors!X:X,Doors!$A:$A,$D229,Doors!$B:$B,$B229,Doors!$C:$C,$C229)*SUMIFS(Velocity!$I:$I,Velocity!$A:$A,$A229,Velocity!$B:$B,$C229)/Assumptions!$B$4*Assumptions!$B$6</f>
        <v>0</v>
      </c>
      <c r="M229" s="7" t="n">
        <f aca="false">SUMIFS(Doors!Y:Y,Doors!$A:$A,$D229,Doors!$B:$B,$B229,Doors!$C:$C,$C229)*SUMIFS(Velocity!$I:$I,Velocity!$A:$A,$A229,Velocity!$B:$B,$C229)/Assumptions!$B$4*Assumptions!$B$6</f>
        <v>0</v>
      </c>
      <c r="N229" s="7" t="n">
        <f aca="false">SUMIFS(Doors!Z:Z,Doors!$A:$A,$D229,Doors!$B:$B,$B229,Doors!$C:$C,$C229)*SUMIFS(Velocity!$I:$I,Velocity!$A:$A,$A229,Velocity!$B:$B,$C229)/Assumptions!$B$4*Assumptions!$B$6</f>
        <v>0</v>
      </c>
      <c r="O229" s="7" t="n">
        <f aca="false">SUMIFS(Doors!AA:AA,Doors!$A:$A,$D229,Doors!$B:$B,$B229,Doors!$C:$C,$C229)*SUMIFS(Velocity!$I:$I,Velocity!$A:$A,$A229,Velocity!$B:$B,$C229)/Assumptions!$B$4*Assumptions!$B$6</f>
        <v>0</v>
      </c>
      <c r="P229" s="7" t="n">
        <f aca="false">SUMIFS(Doors!AB:AB,Doors!$A:$A,$D229,Doors!$B:$B,$B229,Doors!$C:$C,$C229)*SUMIFS(Velocity!$I:$I,Velocity!$A:$A,$A229,Velocity!$B:$B,$C229)/Assumptions!$B$4*Assumptions!$B$6</f>
        <v>0</v>
      </c>
      <c r="Q229" s="7" t="n">
        <f aca="false">SUMIFS(Doors!AC:AC,Doors!$A:$A,$D229,Doors!$B:$B,$B229,Doors!$C:$C,$C229)*SUMIFS(Velocity!$I:$I,Velocity!$A:$A,$A229,Velocity!$B:$B,$C229)/Assumptions!$B$4*Assumptions!$B$6</f>
        <v>0</v>
      </c>
      <c r="R229" s="7" t="n">
        <f aca="false">SUMIFS(Doors!AD:AD,Doors!$A:$A,$D229,Doors!$B:$B,$B229,Doors!$C:$C,$C229)*SUMIFS(Velocity!$I:$I,Velocity!$A:$A,$A229,Velocity!$B:$B,$C229)/Assumptions!$B$4*Assumptions!$B$6</f>
        <v>0</v>
      </c>
      <c r="S229" s="7" t="n">
        <f aca="false">SUMIFS(Doors!AE:AE,Doors!$A:$A,$D229,Doors!$B:$B,$B229,Doors!$C:$C,$C229)*SUMIFS(Velocity!$I:$I,Velocity!$A:$A,$A229,Velocity!$B:$B,$C229)/Assumptions!$B$4*Assumptions!$B$6</f>
        <v>0</v>
      </c>
      <c r="T229" s="7" t="n">
        <f aca="false">SUMIFS(Doors!AF:AF,Doors!$A:$A,$D229,Doors!$B:$B,$B229,Doors!$C:$C,$C229)*SUMIFS(Velocity!$I:$I,Velocity!$A:$A,$A229,Velocity!$B:$B,$C229)/Assumptions!$B$4*Assumptions!$B$6</f>
        <v>0</v>
      </c>
      <c r="U229" s="7" t="n">
        <f aca="false">SUMIFS(Doors!AG:AG,Doors!$A:$A,$D229,Doors!$B:$B,$B229,Doors!$C:$C,$C229)*SUMIFS(Velocity!$I:$I,Velocity!$A:$A,$A229,Velocity!$B:$B,$C229)/Assumptions!$B$4*Assumptions!$B$6</f>
        <v>0</v>
      </c>
      <c r="V229" s="7" t="n">
        <f aca="false">SUMIFS(Doors!AH:AH,Doors!$A:$A,$D229,Doors!$B:$B,$B229,Doors!$C:$C,$C229)*SUMIFS(Velocity!$I:$I,Velocity!$A:$A,$A229,Velocity!$B:$B,$C229)/Assumptions!$B$4*Assumptions!$B$6</f>
        <v>0</v>
      </c>
      <c r="W229" s="7" t="n">
        <f aca="false">SUMIFS(Doors!AI:AI,Doors!$A:$A,$D229,Doors!$B:$B,$B229,Doors!$C:$C,$C229)*SUMIFS(Velocity!$I:$I,Velocity!$A:$A,$A229,Velocity!$B:$B,$C229)/Assumptions!$B$4*Assumptions!$B$6</f>
        <v>0</v>
      </c>
      <c r="X229" s="7" t="n">
        <f aca="false">SUMIFS(Doors!AJ:AJ,Doors!$A:$A,$D229,Doors!$B:$B,$B229,Doors!$C:$C,$C229)*SUMIFS(Velocity!$I:$I,Velocity!$A:$A,$A229,Velocity!$B:$B,$C229)/Assumptions!$B$4*Assumptions!$B$6</f>
        <v>0</v>
      </c>
      <c r="Y229" s="7" t="n">
        <f aca="false">SUMIFS(Doors!AK:AK,Doors!$A:$A,$D229,Doors!$B:$B,$B229,Doors!$C:$C,$C229)*SUMIFS(Velocity!$I:$I,Velocity!$A:$A,$A229,Velocity!$B:$B,$C229)/Assumptions!$B$4*Assumptions!$B$6</f>
        <v>0</v>
      </c>
      <c r="Z229" s="7" t="n">
        <f aca="false">SUMIFS(Doors!AL:AL,Doors!$A:$A,$D229,Doors!$B:$B,$B229,Doors!$C:$C,$C229)*SUMIFS(Velocity!$I:$I,Velocity!$A:$A,$A229,Velocity!$B:$B,$C229)/Assumptions!$B$4*Assumptions!$B$6</f>
        <v>0</v>
      </c>
      <c r="AA229" s="7" t="n">
        <f aca="false">SUMIFS(Doors!AM:AM,Doors!$A:$A,$D229,Doors!$B:$B,$B229,Doors!$C:$C,$C229)*SUMIFS(Velocity!$I:$I,Velocity!$A:$A,$A229,Velocity!$B:$B,$C229)/Assumptions!$B$4*Assumptions!$B$6</f>
        <v>0</v>
      </c>
      <c r="AB229" s="7" t="n">
        <f aca="false">SUMIFS(Doors!AN:AN,Doors!$A:$A,$D229,Doors!$B:$B,$B229,Doors!$C:$C,$C229)*SUMIFS(Velocity!$I:$I,Velocity!$A:$A,$A229,Velocity!$B:$B,$C229)/Assumptions!$B$4*Assumptions!$B$6</f>
        <v>0</v>
      </c>
      <c r="AC229" s="7" t="n">
        <f aca="false">SUMIFS(Doors!AO:AO,Doors!$A:$A,$D229,Doors!$B:$B,$B229,Doors!$C:$C,$C229)*SUMIFS(Velocity!$I:$I,Velocity!$A:$A,$A229,Velocity!$B:$B,$C229)/Assumptions!$B$4*Assumptions!$B$6</f>
        <v>0</v>
      </c>
      <c r="AD229" s="7" t="n">
        <f aca="false">SUMIFS(Doors!AP:AP,Doors!$A:$A,$D229,Doors!$B:$B,$B229,Doors!$C:$C,$C229)*SUMIFS(Velocity!$I:$I,Velocity!$A:$A,$A229,Velocity!$B:$B,$C229)/Assumptions!$B$4*Assumptions!$B$6</f>
        <v>0</v>
      </c>
      <c r="AE229" s="7" t="n">
        <f aca="false">SUMIFS(Doors!AQ:AQ,Doors!$A:$A,$D229,Doors!$B:$B,$B229,Doors!$C:$C,$C229)*SUMIFS(Velocity!$I:$I,Velocity!$A:$A,$A229,Velocity!$B:$B,$C229)/Assumptions!$B$4*Assumptions!$B$6</f>
        <v>0</v>
      </c>
      <c r="AF229" s="7" t="n">
        <f aca="false">SUMIFS(Doors!AR:AR,Doors!$A:$A,$D229,Doors!$B:$B,$B229,Doors!$C:$C,$C229)*SUMIFS(Velocity!$I:$I,Velocity!$A:$A,$A229,Velocity!$B:$B,$C229)/Assumptions!$B$4*Assumptions!$B$6</f>
        <v>0</v>
      </c>
      <c r="AG229" s="7" t="n">
        <f aca="false">SUMIFS(Doors!AS:AS,Doors!$A:$A,$D229,Doors!$B:$B,$B229,Doors!$C:$C,$C229)*SUMIFS(Velocity!$I:$I,Velocity!$A:$A,$A229,Velocity!$B:$B,$C229)/Assumptions!$B$4*Assumptions!$B$6</f>
        <v>0</v>
      </c>
      <c r="AH229" s="7" t="n">
        <f aca="false">SUMIFS(Doors!AT:AT,Doors!$A:$A,$D229,Doors!$B:$B,$B229,Doors!$C:$C,$C229)*SUMIFS(Velocity!$I:$I,Velocity!$A:$A,$A229,Velocity!$B:$B,$C229)/Assumptions!$B$4*Assumptions!$B$6</f>
        <v>0</v>
      </c>
      <c r="AI229" s="7" t="n">
        <f aca="false">SUMIFS(Doors!AU:AU,Doors!$A:$A,$D229,Doors!$B:$B,$B229,Doors!$C:$C,$C229)*SUMIFS(Velocity!$I:$I,Velocity!$A:$A,$A229,Velocity!$B:$B,$C229)/Assumptions!$B$4*Assumptions!$B$6</f>
        <v>0</v>
      </c>
      <c r="AJ229" s="7" t="n">
        <f aca="false">SUMIFS(Doors!AV:AV,Doors!$A:$A,$D229,Doors!$B:$B,$B229,Doors!$C:$C,$C229)*SUMIFS(Velocity!$I:$I,Velocity!$A:$A,$A229,Velocity!$B:$B,$C229)/Assumptions!$B$4*Assumptions!$B$6</f>
        <v>0</v>
      </c>
      <c r="AK229" s="7" t="n">
        <f aca="false">SUMIFS(Doors!AW:AW,Doors!$A:$A,$D229,Doors!$B:$B,$B229,Doors!$C:$C,$C229)*SUMIFS(Velocity!$I:$I,Velocity!$A:$A,$A229,Velocity!$B:$B,$C229)/Assumptions!$B$4*Assumptions!$B$6</f>
        <v>0</v>
      </c>
      <c r="AL229" s="7" t="n">
        <f aca="false">SUMIFS(Doors!AX:AX,Doors!$A:$A,$D229,Doors!$B:$B,$B229,Doors!$C:$C,$C229)*SUMIFS(Velocity!$I:$I,Velocity!$A:$A,$A229,Velocity!$B:$B,$C229)/Assumptions!$B$4*Assumptions!$B$6</f>
        <v>0</v>
      </c>
      <c r="AM229" s="7" t="n">
        <f aca="false">SUMIFS(Doors!AY:AY,Doors!$A:$A,$D229,Doors!$B:$B,$B229,Doors!$C:$C,$C229)*SUMIFS(Velocity!$I:$I,Velocity!$A:$A,$A229,Velocity!$B:$B,$C229)/Assumptions!$B$4*Assumptions!$B$6</f>
        <v>0</v>
      </c>
      <c r="AN229" s="7" t="n">
        <f aca="false">SUMIFS(Doors!AZ:AZ,Doors!$A:$A,$D229,Doors!$B:$B,$B229,Doors!$C:$C,$C229)*SUMIFS(Velocity!$I:$I,Velocity!$A:$A,$A229,Velocity!$B:$B,$C229)/Assumptions!$B$4*Assumptions!$B$6</f>
        <v>0</v>
      </c>
      <c r="AO229" s="7" t="n">
        <f aca="false">SUMIFS(Doors!BA:BA,Doors!$A:$A,$D229,Doors!$B:$B,$B229,Doors!$C:$C,$C229)*SUMIFS(Velocity!$I:$I,Velocity!$A:$A,$A229,Velocity!$B:$B,$C229)/Assumptions!$B$4*Assumptions!$B$6</f>
        <v>0</v>
      </c>
      <c r="AP229" s="7" t="n">
        <f aca="false">SUMIFS(Doors!BB:BB,Doors!$A:$A,$D229,Doors!$B:$B,$B229,Doors!$C:$C,$C229)*SUMIFS(Velocity!$I:$I,Velocity!$A:$A,$A229,Velocity!$B:$B,$C229)/Assumptions!$B$4*Assumptions!$B$6</f>
        <v>0</v>
      </c>
      <c r="AQ229" s="7" t="n">
        <f aca="false">SUMIFS(Doors!BC:BC,Doors!$A:$A,$D229,Doors!$B:$B,$B229,Doors!$C:$C,$C229)*SUMIFS(Velocity!$I:$I,Velocity!$A:$A,$A229,Velocity!$B:$B,$C229)/Assumptions!$B$4*Assumptions!$B$6</f>
        <v>0</v>
      </c>
      <c r="AR229" s="7" t="n">
        <f aca="false">SUMIFS(Doors!BD:BD,Doors!$A:$A,$D229,Doors!$B:$B,$B229,Doors!$C:$C,$C229)*SUMIFS(Velocity!$I:$I,Velocity!$A:$A,$A229,Velocity!$B:$B,$C229)/Assumptions!$B$4*Assumptions!$B$6</f>
        <v>0</v>
      </c>
      <c r="AS229" s="7" t="n">
        <f aca="false">SUMIFS(Doors!BE:BE,Doors!$A:$A,$D229,Doors!$B:$B,$B229,Doors!$C:$C,$C229)*SUMIFS(Velocity!$I:$I,Velocity!$A:$A,$A229,Velocity!$B:$B,$C229)/Assumptions!$B$4*Assumptions!$B$6</f>
        <v>0</v>
      </c>
      <c r="AT229" s="7" t="n">
        <f aca="false">SUMIFS(Doors!BF:BF,Doors!$A:$A,$D229,Doors!$B:$B,$B229,Doors!$C:$C,$C229)*SUMIFS(Velocity!$I:$I,Velocity!$A:$A,$A229,Velocity!$B:$B,$C229)/Assumptions!$B$4*Assumptions!$B$6</f>
        <v>0</v>
      </c>
      <c r="AU229" s="7" t="n">
        <f aca="false">SUMIFS(Doors!BG:BG,Doors!$A:$A,$D229,Doors!$B:$B,$B229,Doors!$C:$C,$C229)*SUMIFS(Velocity!$I:$I,Velocity!$A:$A,$A229,Velocity!$B:$B,$C229)/Assumptions!$B$4*Assumptions!$B$6</f>
        <v>0</v>
      </c>
      <c r="AV229" s="7" t="n">
        <f aca="false">SUMIFS(Doors!BH:BH,Doors!$A:$A,$D229,Doors!$B:$B,$B229,Doors!$C:$C,$C229)*SUMIFS(Velocity!$I:$I,Velocity!$A:$A,$A229,Velocity!$B:$B,$C229)/Assumptions!$B$4*Assumptions!$B$6</f>
        <v>0</v>
      </c>
      <c r="AW229" s="7" t="n">
        <f aca="false">SUMIFS(Doors!BI:BI,Doors!$A:$A,$D229,Doors!$B:$B,$B229,Doors!$C:$C,$C229)*SUMIFS(Velocity!$I:$I,Velocity!$A:$A,$A229,Velocity!$B:$B,$C229)/Assumptions!$B$4*Assumptions!$B$6</f>
        <v>0</v>
      </c>
      <c r="AX229" s="7" t="n">
        <f aca="false">SUMIFS(Doors!BJ:BJ,Doors!$A:$A,$D229,Doors!$B:$B,$B229,Doors!$C:$C,$C229)*SUMIFS(Velocity!$I:$I,Velocity!$A:$A,$A229,Velocity!$B:$B,$C229)/Assumptions!$B$4*Assumptions!$B$6</f>
        <v>0</v>
      </c>
      <c r="AY229" s="7" t="n">
        <f aca="false">SUMIFS(Doors!BK:BK,Doors!$A:$A,$D229,Doors!$B:$B,$B229,Doors!$C:$C,$C229)*SUMIFS(Velocity!$I:$I,Velocity!$A:$A,$A229,Velocity!$B:$B,$C229)/Assumptions!$B$4*Assumptions!$B$6</f>
        <v>0</v>
      </c>
      <c r="AZ229" s="7" t="n">
        <f aca="false">SUMIFS(Doors!BL:BL,Doors!$A:$A,$D229,Doors!$B:$B,$B229,Doors!$C:$C,$C229)*SUMIFS(Velocity!$I:$I,Velocity!$A:$A,$A229,Velocity!$B:$B,$C229)/Assumptions!$B$4*Assumptions!$B$6</f>
        <v>0</v>
      </c>
      <c r="BA229" s="7" t="n">
        <f aca="false">SUMIFS(Doors!BM:BM,Doors!$A:$A,$D229,Doors!$B:$B,$B229,Doors!$C:$C,$C229)*SUMIFS(Velocity!$I:$I,Velocity!$A:$A,$A229,Velocity!$B:$B,$C229)/Assumptions!$B$4*Assumptions!$B$6</f>
        <v>0</v>
      </c>
      <c r="BB229" s="7" t="n">
        <f aca="false">SUMIFS(Doors!BN:BN,Doors!$A:$A,$D229,Doors!$B:$B,$B229,Doors!$C:$C,$C229)*SUMIFS(Velocity!$I:$I,Velocity!$A:$A,$A229,Velocity!$B:$B,$C229)/Assumptions!$B$4*Assumptions!$B$6</f>
        <v>0</v>
      </c>
      <c r="BC229" s="7" t="n">
        <f aca="false">SUMIFS(Doors!BO:BO,Doors!$A:$A,$D229,Doors!$B:$B,$B229,Doors!$C:$C,$C229)*SUMIFS(Velocity!$I:$I,Velocity!$A:$A,$A229,Velocity!$B:$B,$C229)/Assumptions!$B$4*Assumptions!$B$6</f>
        <v>0</v>
      </c>
      <c r="BD229" s="7" t="n">
        <f aca="false">SUMIFS(Doors!BP:BP,Doors!$A:$A,$D229,Doors!$B:$B,$B229,Doors!$C:$C,$C229)*SUMIFS(Velocity!$I:$I,Velocity!$A:$A,$A229,Velocity!$B:$B,$C229)/Assumptions!$B$4*Assumptions!$B$6</f>
        <v>0</v>
      </c>
    </row>
    <row r="230" customFormat="false" ht="15" hidden="false" customHeight="false" outlineLevel="0" collapsed="false">
      <c r="A230" s="0" t="s">
        <v>110</v>
      </c>
      <c r="B230" s="0" t="s">
        <v>130</v>
      </c>
      <c r="C230" s="0" t="s">
        <v>123</v>
      </c>
      <c r="D230" s="0" t="s">
        <v>235</v>
      </c>
      <c r="E230" s="7" t="n">
        <f aca="false">SUMIFS(Doors!Q:Q,Doors!$A:$A,$D230,Doors!$B:$B,$B230,Doors!$C:$C,$C230)*SUMIFS(Velocity!$I:$I,Velocity!$A:$A,$A230,Velocity!$B:$B,$C230)/Assumptions!$B$4*Assumptions!$B$6</f>
        <v>0.541666666666667</v>
      </c>
      <c r="F230" s="7" t="n">
        <f aca="false">SUMIFS(Doors!R:R,Doors!$A:$A,$D230,Doors!$B:$B,$B230,Doors!$C:$C,$C230)*SUMIFS(Velocity!$I:$I,Velocity!$A:$A,$A230,Velocity!$B:$B,$C230)/Assumptions!$B$4*Assumptions!$B$6</f>
        <v>0.541666666666667</v>
      </c>
      <c r="G230" s="7" t="n">
        <f aca="false">SUMIFS(Doors!S:S,Doors!$A:$A,$D230,Doors!$B:$B,$B230,Doors!$C:$C,$C230)*SUMIFS(Velocity!$I:$I,Velocity!$A:$A,$A230,Velocity!$B:$B,$C230)/Assumptions!$B$4*Assumptions!$B$6</f>
        <v>0.541666666666667</v>
      </c>
      <c r="H230" s="7" t="n">
        <f aca="false">SUMIFS(Doors!T:T,Doors!$A:$A,$D230,Doors!$B:$B,$B230,Doors!$C:$C,$C230)*SUMIFS(Velocity!$I:$I,Velocity!$A:$A,$A230,Velocity!$B:$B,$C230)/Assumptions!$B$4*Assumptions!$B$6</f>
        <v>0.541666666666667</v>
      </c>
      <c r="I230" s="7" t="n">
        <f aca="false">SUMIFS(Doors!U:U,Doors!$A:$A,$D230,Doors!$B:$B,$B230,Doors!$C:$C,$C230)*SUMIFS(Velocity!$I:$I,Velocity!$A:$A,$A230,Velocity!$B:$B,$C230)/Assumptions!$B$4*Assumptions!$B$6</f>
        <v>0.541666666666667</v>
      </c>
      <c r="J230" s="7" t="n">
        <f aca="false">SUMIFS(Doors!V:V,Doors!$A:$A,$D230,Doors!$B:$B,$B230,Doors!$C:$C,$C230)*SUMIFS(Velocity!$I:$I,Velocity!$A:$A,$A230,Velocity!$B:$B,$C230)/Assumptions!$B$4*Assumptions!$B$6</f>
        <v>0.866666666666667</v>
      </c>
      <c r="K230" s="7" t="n">
        <f aca="false">SUMIFS(Doors!W:W,Doors!$A:$A,$D230,Doors!$B:$B,$B230,Doors!$C:$C,$C230)*SUMIFS(Velocity!$I:$I,Velocity!$A:$A,$A230,Velocity!$B:$B,$C230)/Assumptions!$B$4*Assumptions!$B$6</f>
        <v>0.866666666666667</v>
      </c>
      <c r="L230" s="7" t="n">
        <f aca="false">SUMIFS(Doors!X:X,Doors!$A:$A,$D230,Doors!$B:$B,$B230,Doors!$C:$C,$C230)*SUMIFS(Velocity!$I:$I,Velocity!$A:$A,$A230,Velocity!$B:$B,$C230)/Assumptions!$B$4*Assumptions!$B$6</f>
        <v>0.866666666666667</v>
      </c>
      <c r="M230" s="7" t="n">
        <f aca="false">SUMIFS(Doors!Y:Y,Doors!$A:$A,$D230,Doors!$B:$B,$B230,Doors!$C:$C,$C230)*SUMIFS(Velocity!$I:$I,Velocity!$A:$A,$A230,Velocity!$B:$B,$C230)/Assumptions!$B$4*Assumptions!$B$6</f>
        <v>0.866666666666667</v>
      </c>
      <c r="N230" s="7" t="n">
        <f aca="false">SUMIFS(Doors!Z:Z,Doors!$A:$A,$D230,Doors!$B:$B,$B230,Doors!$C:$C,$C230)*SUMIFS(Velocity!$I:$I,Velocity!$A:$A,$A230,Velocity!$B:$B,$C230)/Assumptions!$B$4*Assumptions!$B$6</f>
        <v>1.3</v>
      </c>
      <c r="O230" s="7" t="n">
        <f aca="false">SUMIFS(Doors!AA:AA,Doors!$A:$A,$D230,Doors!$B:$B,$B230,Doors!$C:$C,$C230)*SUMIFS(Velocity!$I:$I,Velocity!$A:$A,$A230,Velocity!$B:$B,$C230)/Assumptions!$B$4*Assumptions!$B$6</f>
        <v>1.3</v>
      </c>
      <c r="P230" s="7" t="n">
        <f aca="false">SUMIFS(Doors!AB:AB,Doors!$A:$A,$D230,Doors!$B:$B,$B230,Doors!$C:$C,$C230)*SUMIFS(Velocity!$I:$I,Velocity!$A:$A,$A230,Velocity!$B:$B,$C230)/Assumptions!$B$4*Assumptions!$B$6</f>
        <v>1.3</v>
      </c>
      <c r="Q230" s="7" t="n">
        <f aca="false">SUMIFS(Doors!AC:AC,Doors!$A:$A,$D230,Doors!$B:$B,$B230,Doors!$C:$C,$C230)*SUMIFS(Velocity!$I:$I,Velocity!$A:$A,$A230,Velocity!$B:$B,$C230)/Assumptions!$B$4*Assumptions!$B$6</f>
        <v>1.3</v>
      </c>
      <c r="R230" s="7" t="n">
        <f aca="false">SUMIFS(Doors!AD:AD,Doors!$A:$A,$D230,Doors!$B:$B,$B230,Doors!$C:$C,$C230)*SUMIFS(Velocity!$I:$I,Velocity!$A:$A,$A230,Velocity!$B:$B,$C230)/Assumptions!$B$4*Assumptions!$B$6</f>
        <v>1.73333333333333</v>
      </c>
      <c r="S230" s="7" t="n">
        <f aca="false">SUMIFS(Doors!AE:AE,Doors!$A:$A,$D230,Doors!$B:$B,$B230,Doors!$C:$C,$C230)*SUMIFS(Velocity!$I:$I,Velocity!$A:$A,$A230,Velocity!$B:$B,$C230)/Assumptions!$B$4*Assumptions!$B$6</f>
        <v>1.73333333333333</v>
      </c>
      <c r="T230" s="7" t="n">
        <f aca="false">SUMIFS(Doors!AF:AF,Doors!$A:$A,$D230,Doors!$B:$B,$B230,Doors!$C:$C,$C230)*SUMIFS(Velocity!$I:$I,Velocity!$A:$A,$A230,Velocity!$B:$B,$C230)/Assumptions!$B$4*Assumptions!$B$6</f>
        <v>1.73333333333333</v>
      </c>
      <c r="U230" s="7" t="n">
        <f aca="false">SUMIFS(Doors!AG:AG,Doors!$A:$A,$D230,Doors!$B:$B,$B230,Doors!$C:$C,$C230)*SUMIFS(Velocity!$I:$I,Velocity!$A:$A,$A230,Velocity!$B:$B,$C230)/Assumptions!$B$4*Assumptions!$B$6</f>
        <v>1.73333333333333</v>
      </c>
      <c r="V230" s="7" t="n">
        <f aca="false">SUMIFS(Doors!AH:AH,Doors!$A:$A,$D230,Doors!$B:$B,$B230,Doors!$C:$C,$C230)*SUMIFS(Velocity!$I:$I,Velocity!$A:$A,$A230,Velocity!$B:$B,$C230)/Assumptions!$B$4*Assumptions!$B$6</f>
        <v>1.73333333333333</v>
      </c>
      <c r="W230" s="7" t="n">
        <f aca="false">SUMIFS(Doors!AI:AI,Doors!$A:$A,$D230,Doors!$B:$B,$B230,Doors!$C:$C,$C230)*SUMIFS(Velocity!$I:$I,Velocity!$A:$A,$A230,Velocity!$B:$B,$C230)/Assumptions!$B$4*Assumptions!$B$6</f>
        <v>2.16666666666667</v>
      </c>
      <c r="X230" s="7" t="n">
        <f aca="false">SUMIFS(Doors!AJ:AJ,Doors!$A:$A,$D230,Doors!$B:$B,$B230,Doors!$C:$C,$C230)*SUMIFS(Velocity!$I:$I,Velocity!$A:$A,$A230,Velocity!$B:$B,$C230)/Assumptions!$B$4*Assumptions!$B$6</f>
        <v>2.16666666666667</v>
      </c>
      <c r="Y230" s="7" t="n">
        <f aca="false">SUMIFS(Doors!AK:AK,Doors!$A:$A,$D230,Doors!$B:$B,$B230,Doors!$C:$C,$C230)*SUMIFS(Velocity!$I:$I,Velocity!$A:$A,$A230,Velocity!$B:$B,$C230)/Assumptions!$B$4*Assumptions!$B$6</f>
        <v>2.16666666666667</v>
      </c>
      <c r="Z230" s="7" t="n">
        <f aca="false">SUMIFS(Doors!AL:AL,Doors!$A:$A,$D230,Doors!$B:$B,$B230,Doors!$C:$C,$C230)*SUMIFS(Velocity!$I:$I,Velocity!$A:$A,$A230,Velocity!$B:$B,$C230)/Assumptions!$B$4*Assumptions!$B$6</f>
        <v>2.16666666666667</v>
      </c>
      <c r="AA230" s="7" t="n">
        <f aca="false">SUMIFS(Doors!AM:AM,Doors!$A:$A,$D230,Doors!$B:$B,$B230,Doors!$C:$C,$C230)*SUMIFS(Velocity!$I:$I,Velocity!$A:$A,$A230,Velocity!$B:$B,$C230)/Assumptions!$B$4*Assumptions!$B$6</f>
        <v>2.6</v>
      </c>
      <c r="AB230" s="7" t="n">
        <f aca="false">SUMIFS(Doors!AN:AN,Doors!$A:$A,$D230,Doors!$B:$B,$B230,Doors!$C:$C,$C230)*SUMIFS(Velocity!$I:$I,Velocity!$A:$A,$A230,Velocity!$B:$B,$C230)/Assumptions!$B$4*Assumptions!$B$6</f>
        <v>2.6</v>
      </c>
      <c r="AC230" s="7" t="n">
        <f aca="false">SUMIFS(Doors!AO:AO,Doors!$A:$A,$D230,Doors!$B:$B,$B230,Doors!$C:$C,$C230)*SUMIFS(Velocity!$I:$I,Velocity!$A:$A,$A230,Velocity!$B:$B,$C230)/Assumptions!$B$4*Assumptions!$B$6</f>
        <v>2.6</v>
      </c>
      <c r="AD230" s="7" t="n">
        <f aca="false">SUMIFS(Doors!AP:AP,Doors!$A:$A,$D230,Doors!$B:$B,$B230,Doors!$C:$C,$C230)*SUMIFS(Velocity!$I:$I,Velocity!$A:$A,$A230,Velocity!$B:$B,$C230)/Assumptions!$B$4*Assumptions!$B$6</f>
        <v>2.6</v>
      </c>
      <c r="AE230" s="7" t="n">
        <f aca="false">SUMIFS(Doors!AQ:AQ,Doors!$A:$A,$D230,Doors!$B:$B,$B230,Doors!$C:$C,$C230)*SUMIFS(Velocity!$I:$I,Velocity!$A:$A,$A230,Velocity!$B:$B,$C230)/Assumptions!$B$4*Assumptions!$B$6</f>
        <v>2.81666666666667</v>
      </c>
      <c r="AF230" s="7" t="n">
        <f aca="false">SUMIFS(Doors!AR:AR,Doors!$A:$A,$D230,Doors!$B:$B,$B230,Doors!$C:$C,$C230)*SUMIFS(Velocity!$I:$I,Velocity!$A:$A,$A230,Velocity!$B:$B,$C230)/Assumptions!$B$4*Assumptions!$B$6</f>
        <v>2.81666666666667</v>
      </c>
      <c r="AG230" s="7" t="n">
        <f aca="false">SUMIFS(Doors!AS:AS,Doors!$A:$A,$D230,Doors!$B:$B,$B230,Doors!$C:$C,$C230)*SUMIFS(Velocity!$I:$I,Velocity!$A:$A,$A230,Velocity!$B:$B,$C230)/Assumptions!$B$4*Assumptions!$B$6</f>
        <v>2.81666666666667</v>
      </c>
      <c r="AH230" s="7" t="n">
        <f aca="false">SUMIFS(Doors!AT:AT,Doors!$A:$A,$D230,Doors!$B:$B,$B230,Doors!$C:$C,$C230)*SUMIFS(Velocity!$I:$I,Velocity!$A:$A,$A230,Velocity!$B:$B,$C230)/Assumptions!$B$4*Assumptions!$B$6</f>
        <v>2.81666666666667</v>
      </c>
      <c r="AI230" s="7" t="n">
        <f aca="false">SUMIFS(Doors!AU:AU,Doors!$A:$A,$D230,Doors!$B:$B,$B230,Doors!$C:$C,$C230)*SUMIFS(Velocity!$I:$I,Velocity!$A:$A,$A230,Velocity!$B:$B,$C230)/Assumptions!$B$4*Assumptions!$B$6</f>
        <v>2.81666666666667</v>
      </c>
      <c r="AJ230" s="7" t="n">
        <f aca="false">SUMIFS(Doors!AV:AV,Doors!$A:$A,$D230,Doors!$B:$B,$B230,Doors!$C:$C,$C230)*SUMIFS(Velocity!$I:$I,Velocity!$A:$A,$A230,Velocity!$B:$B,$C230)/Assumptions!$B$4*Assumptions!$B$6</f>
        <v>3.03333333333333</v>
      </c>
      <c r="AK230" s="7" t="n">
        <f aca="false">SUMIFS(Doors!AW:AW,Doors!$A:$A,$D230,Doors!$B:$B,$B230,Doors!$C:$C,$C230)*SUMIFS(Velocity!$I:$I,Velocity!$A:$A,$A230,Velocity!$B:$B,$C230)/Assumptions!$B$4*Assumptions!$B$6</f>
        <v>3.03333333333333</v>
      </c>
      <c r="AL230" s="7" t="n">
        <f aca="false">SUMIFS(Doors!AX:AX,Doors!$A:$A,$D230,Doors!$B:$B,$B230,Doors!$C:$C,$C230)*SUMIFS(Velocity!$I:$I,Velocity!$A:$A,$A230,Velocity!$B:$B,$C230)/Assumptions!$B$4*Assumptions!$B$6</f>
        <v>3.03333333333333</v>
      </c>
      <c r="AM230" s="7" t="n">
        <f aca="false">SUMIFS(Doors!AY:AY,Doors!$A:$A,$D230,Doors!$B:$B,$B230,Doors!$C:$C,$C230)*SUMIFS(Velocity!$I:$I,Velocity!$A:$A,$A230,Velocity!$B:$B,$C230)/Assumptions!$B$4*Assumptions!$B$6</f>
        <v>3.03333333333333</v>
      </c>
      <c r="AN230" s="7" t="n">
        <f aca="false">SUMIFS(Doors!AZ:AZ,Doors!$A:$A,$D230,Doors!$B:$B,$B230,Doors!$C:$C,$C230)*SUMIFS(Velocity!$I:$I,Velocity!$A:$A,$A230,Velocity!$B:$B,$C230)/Assumptions!$B$4*Assumptions!$B$6</f>
        <v>3.14166666666667</v>
      </c>
      <c r="AO230" s="7" t="n">
        <f aca="false">SUMIFS(Doors!BA:BA,Doors!$A:$A,$D230,Doors!$B:$B,$B230,Doors!$C:$C,$C230)*SUMIFS(Velocity!$I:$I,Velocity!$A:$A,$A230,Velocity!$B:$B,$C230)/Assumptions!$B$4*Assumptions!$B$6</f>
        <v>3.14166666666667</v>
      </c>
      <c r="AP230" s="7" t="n">
        <f aca="false">SUMIFS(Doors!BB:BB,Doors!$A:$A,$D230,Doors!$B:$B,$B230,Doors!$C:$C,$C230)*SUMIFS(Velocity!$I:$I,Velocity!$A:$A,$A230,Velocity!$B:$B,$C230)/Assumptions!$B$4*Assumptions!$B$6</f>
        <v>3.14166666666667</v>
      </c>
      <c r="AQ230" s="7" t="n">
        <f aca="false">SUMIFS(Doors!BC:BC,Doors!$A:$A,$D230,Doors!$B:$B,$B230,Doors!$C:$C,$C230)*SUMIFS(Velocity!$I:$I,Velocity!$A:$A,$A230,Velocity!$B:$B,$C230)/Assumptions!$B$4*Assumptions!$B$6</f>
        <v>3.14166666666667</v>
      </c>
      <c r="AR230" s="7" t="n">
        <f aca="false">SUMIFS(Doors!BD:BD,Doors!$A:$A,$D230,Doors!$B:$B,$B230,Doors!$C:$C,$C230)*SUMIFS(Velocity!$I:$I,Velocity!$A:$A,$A230,Velocity!$B:$B,$C230)/Assumptions!$B$4*Assumptions!$B$6</f>
        <v>3.25</v>
      </c>
      <c r="AS230" s="7" t="n">
        <f aca="false">SUMIFS(Doors!BE:BE,Doors!$A:$A,$D230,Doors!$B:$B,$B230,Doors!$C:$C,$C230)*SUMIFS(Velocity!$I:$I,Velocity!$A:$A,$A230,Velocity!$B:$B,$C230)/Assumptions!$B$4*Assumptions!$B$6</f>
        <v>3.25</v>
      </c>
      <c r="AT230" s="7" t="n">
        <f aca="false">SUMIFS(Doors!BF:BF,Doors!$A:$A,$D230,Doors!$B:$B,$B230,Doors!$C:$C,$C230)*SUMIFS(Velocity!$I:$I,Velocity!$A:$A,$A230,Velocity!$B:$B,$C230)/Assumptions!$B$4*Assumptions!$B$6</f>
        <v>3.25</v>
      </c>
      <c r="AU230" s="7" t="n">
        <f aca="false">SUMIFS(Doors!BG:BG,Doors!$A:$A,$D230,Doors!$B:$B,$B230,Doors!$C:$C,$C230)*SUMIFS(Velocity!$I:$I,Velocity!$A:$A,$A230,Velocity!$B:$B,$C230)/Assumptions!$B$4*Assumptions!$B$6</f>
        <v>3.25</v>
      </c>
      <c r="AV230" s="7" t="n">
        <f aca="false">SUMIFS(Doors!BH:BH,Doors!$A:$A,$D230,Doors!$B:$B,$B230,Doors!$C:$C,$C230)*SUMIFS(Velocity!$I:$I,Velocity!$A:$A,$A230,Velocity!$B:$B,$C230)/Assumptions!$B$4*Assumptions!$B$6</f>
        <v>3.25</v>
      </c>
      <c r="AW230" s="7" t="n">
        <f aca="false">SUMIFS(Doors!BI:BI,Doors!$A:$A,$D230,Doors!$B:$B,$B230,Doors!$C:$C,$C230)*SUMIFS(Velocity!$I:$I,Velocity!$A:$A,$A230,Velocity!$B:$B,$C230)/Assumptions!$B$4*Assumptions!$B$6</f>
        <v>3.25</v>
      </c>
      <c r="AX230" s="7" t="n">
        <f aca="false">SUMIFS(Doors!BJ:BJ,Doors!$A:$A,$D230,Doors!$B:$B,$B230,Doors!$C:$C,$C230)*SUMIFS(Velocity!$I:$I,Velocity!$A:$A,$A230,Velocity!$B:$B,$C230)/Assumptions!$B$4*Assumptions!$B$6</f>
        <v>3.25</v>
      </c>
      <c r="AY230" s="7" t="n">
        <f aca="false">SUMIFS(Doors!BK:BK,Doors!$A:$A,$D230,Doors!$B:$B,$B230,Doors!$C:$C,$C230)*SUMIFS(Velocity!$I:$I,Velocity!$A:$A,$A230,Velocity!$B:$B,$C230)/Assumptions!$B$4*Assumptions!$B$6</f>
        <v>3.25</v>
      </c>
      <c r="AZ230" s="7" t="n">
        <f aca="false">SUMIFS(Doors!BL:BL,Doors!$A:$A,$D230,Doors!$B:$B,$B230,Doors!$C:$C,$C230)*SUMIFS(Velocity!$I:$I,Velocity!$A:$A,$A230,Velocity!$B:$B,$C230)/Assumptions!$B$4*Assumptions!$B$6</f>
        <v>3.25</v>
      </c>
      <c r="BA230" s="7" t="n">
        <f aca="false">SUMIFS(Doors!BM:BM,Doors!$A:$A,$D230,Doors!$B:$B,$B230,Doors!$C:$C,$C230)*SUMIFS(Velocity!$I:$I,Velocity!$A:$A,$A230,Velocity!$B:$B,$C230)/Assumptions!$B$4*Assumptions!$B$6</f>
        <v>3.25</v>
      </c>
      <c r="BB230" s="7" t="n">
        <f aca="false">SUMIFS(Doors!BN:BN,Doors!$A:$A,$D230,Doors!$B:$B,$B230,Doors!$C:$C,$C230)*SUMIFS(Velocity!$I:$I,Velocity!$A:$A,$A230,Velocity!$B:$B,$C230)/Assumptions!$B$4*Assumptions!$B$6</f>
        <v>3.25</v>
      </c>
      <c r="BC230" s="7" t="n">
        <f aca="false">SUMIFS(Doors!BO:BO,Doors!$A:$A,$D230,Doors!$B:$B,$B230,Doors!$C:$C,$C230)*SUMIFS(Velocity!$I:$I,Velocity!$A:$A,$A230,Velocity!$B:$B,$C230)/Assumptions!$B$4*Assumptions!$B$6</f>
        <v>3.25</v>
      </c>
      <c r="BD230" s="7" t="n">
        <f aca="false">SUMIFS(Doors!BP:BP,Doors!$A:$A,$D230,Doors!$B:$B,$B230,Doors!$C:$C,$C230)*SUMIFS(Velocity!$I:$I,Velocity!$A:$A,$A230,Velocity!$B:$B,$C230)/Assumptions!$B$4*Assumptions!$B$6</f>
        <v>3.25</v>
      </c>
    </row>
    <row r="231" customFormat="false" ht="15" hidden="false" customHeight="false" outlineLevel="0" collapsed="false">
      <c r="A231" s="0" t="s">
        <v>110</v>
      </c>
      <c r="B231" s="0" t="s">
        <v>131</v>
      </c>
      <c r="C231" s="0" t="s">
        <v>115</v>
      </c>
      <c r="D231" s="0" t="s">
        <v>235</v>
      </c>
      <c r="E231" s="7" t="n">
        <f aca="false">SUMIFS(Doors!Q:Q,Doors!$A:$A,$D231,Doors!$B:$B,$B231,Doors!$C:$C,$C231)*SUMIFS(Velocity!$I:$I,Velocity!$A:$A,$A231,Velocity!$B:$B,$C231)/Assumptions!$B$4*Assumptions!$B$6</f>
        <v>7.33333333333333</v>
      </c>
      <c r="F231" s="7" t="n">
        <f aca="false">SUMIFS(Doors!R:R,Doors!$A:$A,$D231,Doors!$B:$B,$B231,Doors!$C:$C,$C231)*SUMIFS(Velocity!$I:$I,Velocity!$A:$A,$A231,Velocity!$B:$B,$C231)/Assumptions!$B$4*Assumptions!$B$6</f>
        <v>7.33333333333333</v>
      </c>
      <c r="G231" s="7" t="n">
        <f aca="false">SUMIFS(Doors!S:S,Doors!$A:$A,$D231,Doors!$B:$B,$B231,Doors!$C:$C,$C231)*SUMIFS(Velocity!$I:$I,Velocity!$A:$A,$A231,Velocity!$B:$B,$C231)/Assumptions!$B$4*Assumptions!$B$6</f>
        <v>7.33333333333333</v>
      </c>
      <c r="H231" s="7" t="n">
        <f aca="false">SUMIFS(Doors!T:T,Doors!$A:$A,$D231,Doors!$B:$B,$B231,Doors!$C:$C,$C231)*SUMIFS(Velocity!$I:$I,Velocity!$A:$A,$A231,Velocity!$B:$B,$C231)/Assumptions!$B$4*Assumptions!$B$6</f>
        <v>7.33333333333333</v>
      </c>
      <c r="I231" s="7" t="n">
        <f aca="false">SUMIFS(Doors!U:U,Doors!$A:$A,$D231,Doors!$B:$B,$B231,Doors!$C:$C,$C231)*SUMIFS(Velocity!$I:$I,Velocity!$A:$A,$A231,Velocity!$B:$B,$C231)/Assumptions!$B$4*Assumptions!$B$6</f>
        <v>7.33333333333333</v>
      </c>
      <c r="J231" s="7" t="n">
        <f aca="false">SUMIFS(Doors!V:V,Doors!$A:$A,$D231,Doors!$B:$B,$B231,Doors!$C:$C,$C231)*SUMIFS(Velocity!$I:$I,Velocity!$A:$A,$A231,Velocity!$B:$B,$C231)/Assumptions!$B$4*Assumptions!$B$6</f>
        <v>9.16666666666667</v>
      </c>
      <c r="K231" s="7" t="n">
        <f aca="false">SUMIFS(Doors!W:W,Doors!$A:$A,$D231,Doors!$B:$B,$B231,Doors!$C:$C,$C231)*SUMIFS(Velocity!$I:$I,Velocity!$A:$A,$A231,Velocity!$B:$B,$C231)/Assumptions!$B$4*Assumptions!$B$6</f>
        <v>9.16666666666667</v>
      </c>
      <c r="L231" s="7" t="n">
        <f aca="false">SUMIFS(Doors!X:X,Doors!$A:$A,$D231,Doors!$B:$B,$B231,Doors!$C:$C,$C231)*SUMIFS(Velocity!$I:$I,Velocity!$A:$A,$A231,Velocity!$B:$B,$C231)/Assumptions!$B$4*Assumptions!$B$6</f>
        <v>9.16666666666667</v>
      </c>
      <c r="M231" s="7" t="n">
        <f aca="false">SUMIFS(Doors!Y:Y,Doors!$A:$A,$D231,Doors!$B:$B,$B231,Doors!$C:$C,$C231)*SUMIFS(Velocity!$I:$I,Velocity!$A:$A,$A231,Velocity!$B:$B,$C231)/Assumptions!$B$4*Assumptions!$B$6</f>
        <v>9.16666666666667</v>
      </c>
      <c r="N231" s="7" t="n">
        <f aca="false">SUMIFS(Doors!Z:Z,Doors!$A:$A,$D231,Doors!$B:$B,$B231,Doors!$C:$C,$C231)*SUMIFS(Velocity!$I:$I,Velocity!$A:$A,$A231,Velocity!$B:$B,$C231)/Assumptions!$B$4*Assumptions!$B$6</f>
        <v>11</v>
      </c>
      <c r="O231" s="7" t="n">
        <f aca="false">SUMIFS(Doors!AA:AA,Doors!$A:$A,$D231,Doors!$B:$B,$B231,Doors!$C:$C,$C231)*SUMIFS(Velocity!$I:$I,Velocity!$A:$A,$A231,Velocity!$B:$B,$C231)/Assumptions!$B$4*Assumptions!$B$6</f>
        <v>11</v>
      </c>
      <c r="P231" s="7" t="n">
        <f aca="false">SUMIFS(Doors!AB:AB,Doors!$A:$A,$D231,Doors!$B:$B,$B231,Doors!$C:$C,$C231)*SUMIFS(Velocity!$I:$I,Velocity!$A:$A,$A231,Velocity!$B:$B,$C231)/Assumptions!$B$4*Assumptions!$B$6</f>
        <v>11</v>
      </c>
      <c r="Q231" s="7" t="n">
        <f aca="false">SUMIFS(Doors!AC:AC,Doors!$A:$A,$D231,Doors!$B:$B,$B231,Doors!$C:$C,$C231)*SUMIFS(Velocity!$I:$I,Velocity!$A:$A,$A231,Velocity!$B:$B,$C231)/Assumptions!$B$4*Assumptions!$B$6</f>
        <v>11</v>
      </c>
      <c r="R231" s="7" t="n">
        <f aca="false">SUMIFS(Doors!AD:AD,Doors!$A:$A,$D231,Doors!$B:$B,$B231,Doors!$C:$C,$C231)*SUMIFS(Velocity!$I:$I,Velocity!$A:$A,$A231,Velocity!$B:$B,$C231)/Assumptions!$B$4*Assumptions!$B$6</f>
        <v>12.8333333333333</v>
      </c>
      <c r="S231" s="7" t="n">
        <f aca="false">SUMIFS(Doors!AE:AE,Doors!$A:$A,$D231,Doors!$B:$B,$B231,Doors!$C:$C,$C231)*SUMIFS(Velocity!$I:$I,Velocity!$A:$A,$A231,Velocity!$B:$B,$C231)/Assumptions!$B$4*Assumptions!$B$6</f>
        <v>12.8333333333333</v>
      </c>
      <c r="T231" s="7" t="n">
        <f aca="false">SUMIFS(Doors!AF:AF,Doors!$A:$A,$D231,Doors!$B:$B,$B231,Doors!$C:$C,$C231)*SUMIFS(Velocity!$I:$I,Velocity!$A:$A,$A231,Velocity!$B:$B,$C231)/Assumptions!$B$4*Assumptions!$B$6</f>
        <v>12.8333333333333</v>
      </c>
      <c r="U231" s="7" t="n">
        <f aca="false">SUMIFS(Doors!AG:AG,Doors!$A:$A,$D231,Doors!$B:$B,$B231,Doors!$C:$C,$C231)*SUMIFS(Velocity!$I:$I,Velocity!$A:$A,$A231,Velocity!$B:$B,$C231)/Assumptions!$B$4*Assumptions!$B$6</f>
        <v>12.8333333333333</v>
      </c>
      <c r="V231" s="7" t="n">
        <f aca="false">SUMIFS(Doors!AH:AH,Doors!$A:$A,$D231,Doors!$B:$B,$B231,Doors!$C:$C,$C231)*SUMIFS(Velocity!$I:$I,Velocity!$A:$A,$A231,Velocity!$B:$B,$C231)/Assumptions!$B$4*Assumptions!$B$6</f>
        <v>12.8333333333333</v>
      </c>
      <c r="W231" s="7" t="n">
        <f aca="false">SUMIFS(Doors!AI:AI,Doors!$A:$A,$D231,Doors!$B:$B,$B231,Doors!$C:$C,$C231)*SUMIFS(Velocity!$I:$I,Velocity!$A:$A,$A231,Velocity!$B:$B,$C231)/Assumptions!$B$4*Assumptions!$B$6</f>
        <v>14.6666666666667</v>
      </c>
      <c r="X231" s="7" t="n">
        <f aca="false">SUMIFS(Doors!AJ:AJ,Doors!$A:$A,$D231,Doors!$B:$B,$B231,Doors!$C:$C,$C231)*SUMIFS(Velocity!$I:$I,Velocity!$A:$A,$A231,Velocity!$B:$B,$C231)/Assumptions!$B$4*Assumptions!$B$6</f>
        <v>14.6666666666667</v>
      </c>
      <c r="Y231" s="7" t="n">
        <f aca="false">SUMIFS(Doors!AK:AK,Doors!$A:$A,$D231,Doors!$B:$B,$B231,Doors!$C:$C,$C231)*SUMIFS(Velocity!$I:$I,Velocity!$A:$A,$A231,Velocity!$B:$B,$C231)/Assumptions!$B$4*Assumptions!$B$6</f>
        <v>14.6666666666667</v>
      </c>
      <c r="Z231" s="7" t="n">
        <f aca="false">SUMIFS(Doors!AL:AL,Doors!$A:$A,$D231,Doors!$B:$B,$B231,Doors!$C:$C,$C231)*SUMIFS(Velocity!$I:$I,Velocity!$A:$A,$A231,Velocity!$B:$B,$C231)/Assumptions!$B$4*Assumptions!$B$6</f>
        <v>14.6666666666667</v>
      </c>
      <c r="AA231" s="7" t="n">
        <f aca="false">SUMIFS(Doors!AM:AM,Doors!$A:$A,$D231,Doors!$B:$B,$B231,Doors!$C:$C,$C231)*SUMIFS(Velocity!$I:$I,Velocity!$A:$A,$A231,Velocity!$B:$B,$C231)/Assumptions!$B$4*Assumptions!$B$6</f>
        <v>16.5</v>
      </c>
      <c r="AB231" s="7" t="n">
        <f aca="false">SUMIFS(Doors!AN:AN,Doors!$A:$A,$D231,Doors!$B:$B,$B231,Doors!$C:$C,$C231)*SUMIFS(Velocity!$I:$I,Velocity!$A:$A,$A231,Velocity!$B:$B,$C231)/Assumptions!$B$4*Assumptions!$B$6</f>
        <v>16.5</v>
      </c>
      <c r="AC231" s="7" t="n">
        <f aca="false">SUMIFS(Doors!AO:AO,Doors!$A:$A,$D231,Doors!$B:$B,$B231,Doors!$C:$C,$C231)*SUMIFS(Velocity!$I:$I,Velocity!$A:$A,$A231,Velocity!$B:$B,$C231)/Assumptions!$B$4*Assumptions!$B$6</f>
        <v>16.5</v>
      </c>
      <c r="AD231" s="7" t="n">
        <f aca="false">SUMIFS(Doors!AP:AP,Doors!$A:$A,$D231,Doors!$B:$B,$B231,Doors!$C:$C,$C231)*SUMIFS(Velocity!$I:$I,Velocity!$A:$A,$A231,Velocity!$B:$B,$C231)/Assumptions!$B$4*Assumptions!$B$6</f>
        <v>16.5</v>
      </c>
      <c r="AE231" s="7" t="n">
        <f aca="false">SUMIFS(Doors!AQ:AQ,Doors!$A:$A,$D231,Doors!$B:$B,$B231,Doors!$C:$C,$C231)*SUMIFS(Velocity!$I:$I,Velocity!$A:$A,$A231,Velocity!$B:$B,$C231)/Assumptions!$B$4*Assumptions!$B$6</f>
        <v>18.3333333333333</v>
      </c>
      <c r="AF231" s="7" t="n">
        <f aca="false">SUMIFS(Doors!AR:AR,Doors!$A:$A,$D231,Doors!$B:$B,$B231,Doors!$C:$C,$C231)*SUMIFS(Velocity!$I:$I,Velocity!$A:$A,$A231,Velocity!$B:$B,$C231)/Assumptions!$B$4*Assumptions!$B$6</f>
        <v>18.3333333333333</v>
      </c>
      <c r="AG231" s="7" t="n">
        <f aca="false">SUMIFS(Doors!AS:AS,Doors!$A:$A,$D231,Doors!$B:$B,$B231,Doors!$C:$C,$C231)*SUMIFS(Velocity!$I:$I,Velocity!$A:$A,$A231,Velocity!$B:$B,$C231)/Assumptions!$B$4*Assumptions!$B$6</f>
        <v>18.3333333333333</v>
      </c>
      <c r="AH231" s="7" t="n">
        <f aca="false">SUMIFS(Doors!AT:AT,Doors!$A:$A,$D231,Doors!$B:$B,$B231,Doors!$C:$C,$C231)*SUMIFS(Velocity!$I:$I,Velocity!$A:$A,$A231,Velocity!$B:$B,$C231)/Assumptions!$B$4*Assumptions!$B$6</f>
        <v>18.3333333333333</v>
      </c>
      <c r="AI231" s="7" t="n">
        <f aca="false">SUMIFS(Doors!AU:AU,Doors!$A:$A,$D231,Doors!$B:$B,$B231,Doors!$C:$C,$C231)*SUMIFS(Velocity!$I:$I,Velocity!$A:$A,$A231,Velocity!$B:$B,$C231)/Assumptions!$B$4*Assumptions!$B$6</f>
        <v>18.3333333333333</v>
      </c>
      <c r="AJ231" s="7" t="n">
        <f aca="false">SUMIFS(Doors!AV:AV,Doors!$A:$A,$D231,Doors!$B:$B,$B231,Doors!$C:$C,$C231)*SUMIFS(Velocity!$I:$I,Velocity!$A:$A,$A231,Velocity!$B:$B,$C231)/Assumptions!$B$4*Assumptions!$B$6</f>
        <v>20.1666666666667</v>
      </c>
      <c r="AK231" s="7" t="n">
        <f aca="false">SUMIFS(Doors!AW:AW,Doors!$A:$A,$D231,Doors!$B:$B,$B231,Doors!$C:$C,$C231)*SUMIFS(Velocity!$I:$I,Velocity!$A:$A,$A231,Velocity!$B:$B,$C231)/Assumptions!$B$4*Assumptions!$B$6</f>
        <v>20.1666666666667</v>
      </c>
      <c r="AL231" s="7" t="n">
        <f aca="false">SUMIFS(Doors!AX:AX,Doors!$A:$A,$D231,Doors!$B:$B,$B231,Doors!$C:$C,$C231)*SUMIFS(Velocity!$I:$I,Velocity!$A:$A,$A231,Velocity!$B:$B,$C231)/Assumptions!$B$4*Assumptions!$B$6</f>
        <v>20.1666666666667</v>
      </c>
      <c r="AM231" s="7" t="n">
        <f aca="false">SUMIFS(Doors!AY:AY,Doors!$A:$A,$D231,Doors!$B:$B,$B231,Doors!$C:$C,$C231)*SUMIFS(Velocity!$I:$I,Velocity!$A:$A,$A231,Velocity!$B:$B,$C231)/Assumptions!$B$4*Assumptions!$B$6</f>
        <v>20.1666666666667</v>
      </c>
      <c r="AN231" s="7" t="n">
        <f aca="false">SUMIFS(Doors!AZ:AZ,Doors!$A:$A,$D231,Doors!$B:$B,$B231,Doors!$C:$C,$C231)*SUMIFS(Velocity!$I:$I,Velocity!$A:$A,$A231,Velocity!$B:$B,$C231)/Assumptions!$B$4*Assumptions!$B$6</f>
        <v>22</v>
      </c>
      <c r="AO231" s="7" t="n">
        <f aca="false">SUMIFS(Doors!BA:BA,Doors!$A:$A,$D231,Doors!$B:$B,$B231,Doors!$C:$C,$C231)*SUMIFS(Velocity!$I:$I,Velocity!$A:$A,$A231,Velocity!$B:$B,$C231)/Assumptions!$B$4*Assumptions!$B$6</f>
        <v>22</v>
      </c>
      <c r="AP231" s="7" t="n">
        <f aca="false">SUMIFS(Doors!BB:BB,Doors!$A:$A,$D231,Doors!$B:$B,$B231,Doors!$C:$C,$C231)*SUMIFS(Velocity!$I:$I,Velocity!$A:$A,$A231,Velocity!$B:$B,$C231)/Assumptions!$B$4*Assumptions!$B$6</f>
        <v>22</v>
      </c>
      <c r="AQ231" s="7" t="n">
        <f aca="false">SUMIFS(Doors!BC:BC,Doors!$A:$A,$D231,Doors!$B:$B,$B231,Doors!$C:$C,$C231)*SUMIFS(Velocity!$I:$I,Velocity!$A:$A,$A231,Velocity!$B:$B,$C231)/Assumptions!$B$4*Assumptions!$B$6</f>
        <v>22</v>
      </c>
      <c r="AR231" s="7" t="n">
        <f aca="false">SUMIFS(Doors!BD:BD,Doors!$A:$A,$D231,Doors!$B:$B,$B231,Doors!$C:$C,$C231)*SUMIFS(Velocity!$I:$I,Velocity!$A:$A,$A231,Velocity!$B:$B,$C231)/Assumptions!$B$4*Assumptions!$B$6</f>
        <v>23.8333333333333</v>
      </c>
      <c r="AS231" s="7" t="n">
        <f aca="false">SUMIFS(Doors!BE:BE,Doors!$A:$A,$D231,Doors!$B:$B,$B231,Doors!$C:$C,$C231)*SUMIFS(Velocity!$I:$I,Velocity!$A:$A,$A231,Velocity!$B:$B,$C231)/Assumptions!$B$4*Assumptions!$B$6</f>
        <v>23.8333333333333</v>
      </c>
      <c r="AT231" s="7" t="n">
        <f aca="false">SUMIFS(Doors!BF:BF,Doors!$A:$A,$D231,Doors!$B:$B,$B231,Doors!$C:$C,$C231)*SUMIFS(Velocity!$I:$I,Velocity!$A:$A,$A231,Velocity!$B:$B,$C231)/Assumptions!$B$4*Assumptions!$B$6</f>
        <v>23.8333333333333</v>
      </c>
      <c r="AU231" s="7" t="n">
        <f aca="false">SUMIFS(Doors!BG:BG,Doors!$A:$A,$D231,Doors!$B:$B,$B231,Doors!$C:$C,$C231)*SUMIFS(Velocity!$I:$I,Velocity!$A:$A,$A231,Velocity!$B:$B,$C231)/Assumptions!$B$4*Assumptions!$B$6</f>
        <v>23.8333333333333</v>
      </c>
      <c r="AV231" s="7" t="n">
        <f aca="false">SUMIFS(Doors!BH:BH,Doors!$A:$A,$D231,Doors!$B:$B,$B231,Doors!$C:$C,$C231)*SUMIFS(Velocity!$I:$I,Velocity!$A:$A,$A231,Velocity!$B:$B,$C231)/Assumptions!$B$4*Assumptions!$B$6</f>
        <v>23.8333333333333</v>
      </c>
      <c r="AW231" s="7" t="n">
        <f aca="false">SUMIFS(Doors!BI:BI,Doors!$A:$A,$D231,Doors!$B:$B,$B231,Doors!$C:$C,$C231)*SUMIFS(Velocity!$I:$I,Velocity!$A:$A,$A231,Velocity!$B:$B,$C231)/Assumptions!$B$4*Assumptions!$B$6</f>
        <v>25.6666666666667</v>
      </c>
      <c r="AX231" s="7" t="n">
        <f aca="false">SUMIFS(Doors!BJ:BJ,Doors!$A:$A,$D231,Doors!$B:$B,$B231,Doors!$C:$C,$C231)*SUMIFS(Velocity!$I:$I,Velocity!$A:$A,$A231,Velocity!$B:$B,$C231)/Assumptions!$B$4*Assumptions!$B$6</f>
        <v>25.6666666666667</v>
      </c>
      <c r="AY231" s="7" t="n">
        <f aca="false">SUMIFS(Doors!BK:BK,Doors!$A:$A,$D231,Doors!$B:$B,$B231,Doors!$C:$C,$C231)*SUMIFS(Velocity!$I:$I,Velocity!$A:$A,$A231,Velocity!$B:$B,$C231)/Assumptions!$B$4*Assumptions!$B$6</f>
        <v>25.6666666666667</v>
      </c>
      <c r="AZ231" s="7" t="n">
        <f aca="false">SUMIFS(Doors!BL:BL,Doors!$A:$A,$D231,Doors!$B:$B,$B231,Doors!$C:$C,$C231)*SUMIFS(Velocity!$I:$I,Velocity!$A:$A,$A231,Velocity!$B:$B,$C231)/Assumptions!$B$4*Assumptions!$B$6</f>
        <v>25.6666666666667</v>
      </c>
      <c r="BA231" s="7" t="n">
        <f aca="false">SUMIFS(Doors!BM:BM,Doors!$A:$A,$D231,Doors!$B:$B,$B231,Doors!$C:$C,$C231)*SUMIFS(Velocity!$I:$I,Velocity!$A:$A,$A231,Velocity!$B:$B,$C231)/Assumptions!$B$4*Assumptions!$B$6</f>
        <v>27.5</v>
      </c>
      <c r="BB231" s="7" t="n">
        <f aca="false">SUMIFS(Doors!BN:BN,Doors!$A:$A,$D231,Doors!$B:$B,$B231,Doors!$C:$C,$C231)*SUMIFS(Velocity!$I:$I,Velocity!$A:$A,$A231,Velocity!$B:$B,$C231)/Assumptions!$B$4*Assumptions!$B$6</f>
        <v>27.5</v>
      </c>
      <c r="BC231" s="7" t="n">
        <f aca="false">SUMIFS(Doors!BO:BO,Doors!$A:$A,$D231,Doors!$B:$B,$B231,Doors!$C:$C,$C231)*SUMIFS(Velocity!$I:$I,Velocity!$A:$A,$A231,Velocity!$B:$B,$C231)/Assumptions!$B$4*Assumptions!$B$6</f>
        <v>27.5</v>
      </c>
      <c r="BD231" s="7" t="n">
        <f aca="false">SUMIFS(Doors!BP:BP,Doors!$A:$A,$D231,Doors!$B:$B,$B231,Doors!$C:$C,$C231)*SUMIFS(Velocity!$I:$I,Velocity!$A:$A,$A231,Velocity!$B:$B,$C231)/Assumptions!$B$4*Assumptions!$B$6</f>
        <v>27.5</v>
      </c>
    </row>
    <row r="232" customFormat="false" ht="15" hidden="false" customHeight="false" outlineLevel="0" collapsed="false">
      <c r="A232" s="0" t="s">
        <v>110</v>
      </c>
      <c r="B232" s="0" t="s">
        <v>131</v>
      </c>
      <c r="C232" s="0" t="s">
        <v>116</v>
      </c>
      <c r="D232" s="0" t="s">
        <v>235</v>
      </c>
      <c r="E232" s="7" t="n">
        <f aca="false">SUMIFS(Doors!Q:Q,Doors!$A:$A,$D232,Doors!$B:$B,$B232,Doors!$C:$C,$C232)*SUMIFS(Velocity!$I:$I,Velocity!$A:$A,$A232,Velocity!$B:$B,$C232)/Assumptions!$B$4*Assumptions!$B$6</f>
        <v>1.58333333333333</v>
      </c>
      <c r="F232" s="7" t="n">
        <f aca="false">SUMIFS(Doors!R:R,Doors!$A:$A,$D232,Doors!$B:$B,$B232,Doors!$C:$C,$C232)*SUMIFS(Velocity!$I:$I,Velocity!$A:$A,$A232,Velocity!$B:$B,$C232)/Assumptions!$B$4*Assumptions!$B$6</f>
        <v>1.58333333333333</v>
      </c>
      <c r="G232" s="7" t="n">
        <f aca="false">SUMIFS(Doors!S:S,Doors!$A:$A,$D232,Doors!$B:$B,$B232,Doors!$C:$C,$C232)*SUMIFS(Velocity!$I:$I,Velocity!$A:$A,$A232,Velocity!$B:$B,$C232)/Assumptions!$B$4*Assumptions!$B$6</f>
        <v>1.58333333333333</v>
      </c>
      <c r="H232" s="7" t="n">
        <f aca="false">SUMIFS(Doors!T:T,Doors!$A:$A,$D232,Doors!$B:$B,$B232,Doors!$C:$C,$C232)*SUMIFS(Velocity!$I:$I,Velocity!$A:$A,$A232,Velocity!$B:$B,$C232)/Assumptions!$B$4*Assumptions!$B$6</f>
        <v>1.58333333333333</v>
      </c>
      <c r="I232" s="7" t="n">
        <f aca="false">SUMIFS(Doors!U:U,Doors!$A:$A,$D232,Doors!$B:$B,$B232,Doors!$C:$C,$C232)*SUMIFS(Velocity!$I:$I,Velocity!$A:$A,$A232,Velocity!$B:$B,$C232)/Assumptions!$B$4*Assumptions!$B$6</f>
        <v>1.58333333333333</v>
      </c>
      <c r="J232" s="7" t="n">
        <f aca="false">SUMIFS(Doors!V:V,Doors!$A:$A,$D232,Doors!$B:$B,$B232,Doors!$C:$C,$C232)*SUMIFS(Velocity!$I:$I,Velocity!$A:$A,$A232,Velocity!$B:$B,$C232)/Assumptions!$B$4*Assumptions!$B$6</f>
        <v>2.53333333333333</v>
      </c>
      <c r="K232" s="7" t="n">
        <f aca="false">SUMIFS(Doors!W:W,Doors!$A:$A,$D232,Doors!$B:$B,$B232,Doors!$C:$C,$C232)*SUMIFS(Velocity!$I:$I,Velocity!$A:$A,$A232,Velocity!$B:$B,$C232)/Assumptions!$B$4*Assumptions!$B$6</f>
        <v>2.53333333333333</v>
      </c>
      <c r="L232" s="7" t="n">
        <f aca="false">SUMIFS(Doors!X:X,Doors!$A:$A,$D232,Doors!$B:$B,$B232,Doors!$C:$C,$C232)*SUMIFS(Velocity!$I:$I,Velocity!$A:$A,$A232,Velocity!$B:$B,$C232)/Assumptions!$B$4*Assumptions!$B$6</f>
        <v>2.53333333333333</v>
      </c>
      <c r="M232" s="7" t="n">
        <f aca="false">SUMIFS(Doors!Y:Y,Doors!$A:$A,$D232,Doors!$B:$B,$B232,Doors!$C:$C,$C232)*SUMIFS(Velocity!$I:$I,Velocity!$A:$A,$A232,Velocity!$B:$B,$C232)/Assumptions!$B$4*Assumptions!$B$6</f>
        <v>2.53333333333333</v>
      </c>
      <c r="N232" s="7" t="n">
        <f aca="false">SUMIFS(Doors!Z:Z,Doors!$A:$A,$D232,Doors!$B:$B,$B232,Doors!$C:$C,$C232)*SUMIFS(Velocity!$I:$I,Velocity!$A:$A,$A232,Velocity!$B:$B,$C232)/Assumptions!$B$4*Assumptions!$B$6</f>
        <v>3.48333333333333</v>
      </c>
      <c r="O232" s="7" t="n">
        <f aca="false">SUMIFS(Doors!AA:AA,Doors!$A:$A,$D232,Doors!$B:$B,$B232,Doors!$C:$C,$C232)*SUMIFS(Velocity!$I:$I,Velocity!$A:$A,$A232,Velocity!$B:$B,$C232)/Assumptions!$B$4*Assumptions!$B$6</f>
        <v>3.48333333333333</v>
      </c>
      <c r="P232" s="7" t="n">
        <f aca="false">SUMIFS(Doors!AB:AB,Doors!$A:$A,$D232,Doors!$B:$B,$B232,Doors!$C:$C,$C232)*SUMIFS(Velocity!$I:$I,Velocity!$A:$A,$A232,Velocity!$B:$B,$C232)/Assumptions!$B$4*Assumptions!$B$6</f>
        <v>3.48333333333333</v>
      </c>
      <c r="Q232" s="7" t="n">
        <f aca="false">SUMIFS(Doors!AC:AC,Doors!$A:$A,$D232,Doors!$B:$B,$B232,Doors!$C:$C,$C232)*SUMIFS(Velocity!$I:$I,Velocity!$A:$A,$A232,Velocity!$B:$B,$C232)/Assumptions!$B$4*Assumptions!$B$6</f>
        <v>3.48333333333333</v>
      </c>
      <c r="R232" s="7" t="n">
        <f aca="false">SUMIFS(Doors!AD:AD,Doors!$A:$A,$D232,Doors!$B:$B,$B232,Doors!$C:$C,$C232)*SUMIFS(Velocity!$I:$I,Velocity!$A:$A,$A232,Velocity!$B:$B,$C232)/Assumptions!$B$4*Assumptions!$B$6</f>
        <v>4.43333333333333</v>
      </c>
      <c r="S232" s="7" t="n">
        <f aca="false">SUMIFS(Doors!AE:AE,Doors!$A:$A,$D232,Doors!$B:$B,$B232,Doors!$C:$C,$C232)*SUMIFS(Velocity!$I:$I,Velocity!$A:$A,$A232,Velocity!$B:$B,$C232)/Assumptions!$B$4*Assumptions!$B$6</f>
        <v>4.43333333333333</v>
      </c>
      <c r="T232" s="7" t="n">
        <f aca="false">SUMIFS(Doors!AF:AF,Doors!$A:$A,$D232,Doors!$B:$B,$B232,Doors!$C:$C,$C232)*SUMIFS(Velocity!$I:$I,Velocity!$A:$A,$A232,Velocity!$B:$B,$C232)/Assumptions!$B$4*Assumptions!$B$6</f>
        <v>4.43333333333333</v>
      </c>
      <c r="U232" s="7" t="n">
        <f aca="false">SUMIFS(Doors!AG:AG,Doors!$A:$A,$D232,Doors!$B:$B,$B232,Doors!$C:$C,$C232)*SUMIFS(Velocity!$I:$I,Velocity!$A:$A,$A232,Velocity!$B:$B,$C232)/Assumptions!$B$4*Assumptions!$B$6</f>
        <v>4.43333333333333</v>
      </c>
      <c r="V232" s="7" t="n">
        <f aca="false">SUMIFS(Doors!AH:AH,Doors!$A:$A,$D232,Doors!$B:$B,$B232,Doors!$C:$C,$C232)*SUMIFS(Velocity!$I:$I,Velocity!$A:$A,$A232,Velocity!$B:$B,$C232)/Assumptions!$B$4*Assumptions!$B$6</f>
        <v>4.43333333333333</v>
      </c>
      <c r="W232" s="7" t="n">
        <f aca="false">SUMIFS(Doors!AI:AI,Doors!$A:$A,$D232,Doors!$B:$B,$B232,Doors!$C:$C,$C232)*SUMIFS(Velocity!$I:$I,Velocity!$A:$A,$A232,Velocity!$B:$B,$C232)/Assumptions!$B$4*Assumptions!$B$6</f>
        <v>5.38333333333333</v>
      </c>
      <c r="X232" s="7" t="n">
        <f aca="false">SUMIFS(Doors!AJ:AJ,Doors!$A:$A,$D232,Doors!$B:$B,$B232,Doors!$C:$C,$C232)*SUMIFS(Velocity!$I:$I,Velocity!$A:$A,$A232,Velocity!$B:$B,$C232)/Assumptions!$B$4*Assumptions!$B$6</f>
        <v>5.38333333333333</v>
      </c>
      <c r="Y232" s="7" t="n">
        <f aca="false">SUMIFS(Doors!AK:AK,Doors!$A:$A,$D232,Doors!$B:$B,$B232,Doors!$C:$C,$C232)*SUMIFS(Velocity!$I:$I,Velocity!$A:$A,$A232,Velocity!$B:$B,$C232)/Assumptions!$B$4*Assumptions!$B$6</f>
        <v>5.38333333333333</v>
      </c>
      <c r="Z232" s="7" t="n">
        <f aca="false">SUMIFS(Doors!AL:AL,Doors!$A:$A,$D232,Doors!$B:$B,$B232,Doors!$C:$C,$C232)*SUMIFS(Velocity!$I:$I,Velocity!$A:$A,$A232,Velocity!$B:$B,$C232)/Assumptions!$B$4*Assumptions!$B$6</f>
        <v>5.38333333333333</v>
      </c>
      <c r="AA232" s="7" t="n">
        <f aca="false">SUMIFS(Doors!AM:AM,Doors!$A:$A,$D232,Doors!$B:$B,$B232,Doors!$C:$C,$C232)*SUMIFS(Velocity!$I:$I,Velocity!$A:$A,$A232,Velocity!$B:$B,$C232)/Assumptions!$B$4*Assumptions!$B$6</f>
        <v>6.33333333333333</v>
      </c>
      <c r="AB232" s="7" t="n">
        <f aca="false">SUMIFS(Doors!AN:AN,Doors!$A:$A,$D232,Doors!$B:$B,$B232,Doors!$C:$C,$C232)*SUMIFS(Velocity!$I:$I,Velocity!$A:$A,$A232,Velocity!$B:$B,$C232)/Assumptions!$B$4*Assumptions!$B$6</f>
        <v>6.33333333333333</v>
      </c>
      <c r="AC232" s="7" t="n">
        <f aca="false">SUMIFS(Doors!AO:AO,Doors!$A:$A,$D232,Doors!$B:$B,$B232,Doors!$C:$C,$C232)*SUMIFS(Velocity!$I:$I,Velocity!$A:$A,$A232,Velocity!$B:$B,$C232)/Assumptions!$B$4*Assumptions!$B$6</f>
        <v>6.33333333333333</v>
      </c>
      <c r="AD232" s="7" t="n">
        <f aca="false">SUMIFS(Doors!AP:AP,Doors!$A:$A,$D232,Doors!$B:$B,$B232,Doors!$C:$C,$C232)*SUMIFS(Velocity!$I:$I,Velocity!$A:$A,$A232,Velocity!$B:$B,$C232)/Assumptions!$B$4*Assumptions!$B$6</f>
        <v>6.33333333333333</v>
      </c>
      <c r="AE232" s="7" t="n">
        <f aca="false">SUMIFS(Doors!AQ:AQ,Doors!$A:$A,$D232,Doors!$B:$B,$B232,Doors!$C:$C,$C232)*SUMIFS(Velocity!$I:$I,Velocity!$A:$A,$A232,Velocity!$B:$B,$C232)/Assumptions!$B$4*Assumptions!$B$6</f>
        <v>7.28333333333333</v>
      </c>
      <c r="AF232" s="7" t="n">
        <f aca="false">SUMIFS(Doors!AR:AR,Doors!$A:$A,$D232,Doors!$B:$B,$B232,Doors!$C:$C,$C232)*SUMIFS(Velocity!$I:$I,Velocity!$A:$A,$A232,Velocity!$B:$B,$C232)/Assumptions!$B$4*Assumptions!$B$6</f>
        <v>7.28333333333333</v>
      </c>
      <c r="AG232" s="7" t="n">
        <f aca="false">SUMIFS(Doors!AS:AS,Doors!$A:$A,$D232,Doors!$B:$B,$B232,Doors!$C:$C,$C232)*SUMIFS(Velocity!$I:$I,Velocity!$A:$A,$A232,Velocity!$B:$B,$C232)/Assumptions!$B$4*Assumptions!$B$6</f>
        <v>7.28333333333333</v>
      </c>
      <c r="AH232" s="7" t="n">
        <f aca="false">SUMIFS(Doors!AT:AT,Doors!$A:$A,$D232,Doors!$B:$B,$B232,Doors!$C:$C,$C232)*SUMIFS(Velocity!$I:$I,Velocity!$A:$A,$A232,Velocity!$B:$B,$C232)/Assumptions!$B$4*Assumptions!$B$6</f>
        <v>7.28333333333333</v>
      </c>
      <c r="AI232" s="7" t="n">
        <f aca="false">SUMIFS(Doors!AU:AU,Doors!$A:$A,$D232,Doors!$B:$B,$B232,Doors!$C:$C,$C232)*SUMIFS(Velocity!$I:$I,Velocity!$A:$A,$A232,Velocity!$B:$B,$C232)/Assumptions!$B$4*Assumptions!$B$6</f>
        <v>7.28333333333333</v>
      </c>
      <c r="AJ232" s="7" t="n">
        <f aca="false">SUMIFS(Doors!AV:AV,Doors!$A:$A,$D232,Doors!$B:$B,$B232,Doors!$C:$C,$C232)*SUMIFS(Velocity!$I:$I,Velocity!$A:$A,$A232,Velocity!$B:$B,$C232)/Assumptions!$B$4*Assumptions!$B$6</f>
        <v>7.91666666666667</v>
      </c>
      <c r="AK232" s="7" t="n">
        <f aca="false">SUMIFS(Doors!AW:AW,Doors!$A:$A,$D232,Doors!$B:$B,$B232,Doors!$C:$C,$C232)*SUMIFS(Velocity!$I:$I,Velocity!$A:$A,$A232,Velocity!$B:$B,$C232)/Assumptions!$B$4*Assumptions!$B$6</f>
        <v>7.91666666666667</v>
      </c>
      <c r="AL232" s="7" t="n">
        <f aca="false">SUMIFS(Doors!AX:AX,Doors!$A:$A,$D232,Doors!$B:$B,$B232,Doors!$C:$C,$C232)*SUMIFS(Velocity!$I:$I,Velocity!$A:$A,$A232,Velocity!$B:$B,$C232)/Assumptions!$B$4*Assumptions!$B$6</f>
        <v>7.91666666666667</v>
      </c>
      <c r="AM232" s="7" t="n">
        <f aca="false">SUMIFS(Doors!AY:AY,Doors!$A:$A,$D232,Doors!$B:$B,$B232,Doors!$C:$C,$C232)*SUMIFS(Velocity!$I:$I,Velocity!$A:$A,$A232,Velocity!$B:$B,$C232)/Assumptions!$B$4*Assumptions!$B$6</f>
        <v>7.91666666666667</v>
      </c>
      <c r="AN232" s="7" t="n">
        <f aca="false">SUMIFS(Doors!AZ:AZ,Doors!$A:$A,$D232,Doors!$B:$B,$B232,Doors!$C:$C,$C232)*SUMIFS(Velocity!$I:$I,Velocity!$A:$A,$A232,Velocity!$B:$B,$C232)/Assumptions!$B$4*Assumptions!$B$6</f>
        <v>8.86666666666667</v>
      </c>
      <c r="AO232" s="7" t="n">
        <f aca="false">SUMIFS(Doors!BA:BA,Doors!$A:$A,$D232,Doors!$B:$B,$B232,Doors!$C:$C,$C232)*SUMIFS(Velocity!$I:$I,Velocity!$A:$A,$A232,Velocity!$B:$B,$C232)/Assumptions!$B$4*Assumptions!$B$6</f>
        <v>8.86666666666667</v>
      </c>
      <c r="AP232" s="7" t="n">
        <f aca="false">SUMIFS(Doors!BB:BB,Doors!$A:$A,$D232,Doors!$B:$B,$B232,Doors!$C:$C,$C232)*SUMIFS(Velocity!$I:$I,Velocity!$A:$A,$A232,Velocity!$B:$B,$C232)/Assumptions!$B$4*Assumptions!$B$6</f>
        <v>8.86666666666667</v>
      </c>
      <c r="AQ232" s="7" t="n">
        <f aca="false">SUMIFS(Doors!BC:BC,Doors!$A:$A,$D232,Doors!$B:$B,$B232,Doors!$C:$C,$C232)*SUMIFS(Velocity!$I:$I,Velocity!$A:$A,$A232,Velocity!$B:$B,$C232)/Assumptions!$B$4*Assumptions!$B$6</f>
        <v>8.86666666666667</v>
      </c>
      <c r="AR232" s="7" t="n">
        <f aca="false">SUMIFS(Doors!BD:BD,Doors!$A:$A,$D232,Doors!$B:$B,$B232,Doors!$C:$C,$C232)*SUMIFS(Velocity!$I:$I,Velocity!$A:$A,$A232,Velocity!$B:$B,$C232)/Assumptions!$B$4*Assumptions!$B$6</f>
        <v>9.5</v>
      </c>
      <c r="AS232" s="7" t="n">
        <f aca="false">SUMIFS(Doors!BE:BE,Doors!$A:$A,$D232,Doors!$B:$B,$B232,Doors!$C:$C,$C232)*SUMIFS(Velocity!$I:$I,Velocity!$A:$A,$A232,Velocity!$B:$B,$C232)/Assumptions!$B$4*Assumptions!$B$6</f>
        <v>9.5</v>
      </c>
      <c r="AT232" s="7" t="n">
        <f aca="false">SUMIFS(Doors!BF:BF,Doors!$A:$A,$D232,Doors!$B:$B,$B232,Doors!$C:$C,$C232)*SUMIFS(Velocity!$I:$I,Velocity!$A:$A,$A232,Velocity!$B:$B,$C232)/Assumptions!$B$4*Assumptions!$B$6</f>
        <v>9.5</v>
      </c>
      <c r="AU232" s="7" t="n">
        <f aca="false">SUMIFS(Doors!BG:BG,Doors!$A:$A,$D232,Doors!$B:$B,$B232,Doors!$C:$C,$C232)*SUMIFS(Velocity!$I:$I,Velocity!$A:$A,$A232,Velocity!$B:$B,$C232)/Assumptions!$B$4*Assumptions!$B$6</f>
        <v>9.5</v>
      </c>
      <c r="AV232" s="7" t="n">
        <f aca="false">SUMIFS(Doors!BH:BH,Doors!$A:$A,$D232,Doors!$B:$B,$B232,Doors!$C:$C,$C232)*SUMIFS(Velocity!$I:$I,Velocity!$A:$A,$A232,Velocity!$B:$B,$C232)/Assumptions!$B$4*Assumptions!$B$6</f>
        <v>9.5</v>
      </c>
      <c r="AW232" s="7" t="n">
        <f aca="false">SUMIFS(Doors!BI:BI,Doors!$A:$A,$D232,Doors!$B:$B,$B232,Doors!$C:$C,$C232)*SUMIFS(Velocity!$I:$I,Velocity!$A:$A,$A232,Velocity!$B:$B,$C232)/Assumptions!$B$4*Assumptions!$B$6</f>
        <v>10.1333333333333</v>
      </c>
      <c r="AX232" s="7" t="n">
        <f aca="false">SUMIFS(Doors!BJ:BJ,Doors!$A:$A,$D232,Doors!$B:$B,$B232,Doors!$C:$C,$C232)*SUMIFS(Velocity!$I:$I,Velocity!$A:$A,$A232,Velocity!$B:$B,$C232)/Assumptions!$B$4*Assumptions!$B$6</f>
        <v>10.1333333333333</v>
      </c>
      <c r="AY232" s="7" t="n">
        <f aca="false">SUMIFS(Doors!BK:BK,Doors!$A:$A,$D232,Doors!$B:$B,$B232,Doors!$C:$C,$C232)*SUMIFS(Velocity!$I:$I,Velocity!$A:$A,$A232,Velocity!$B:$B,$C232)/Assumptions!$B$4*Assumptions!$B$6</f>
        <v>10.1333333333333</v>
      </c>
      <c r="AZ232" s="7" t="n">
        <f aca="false">SUMIFS(Doors!BL:BL,Doors!$A:$A,$D232,Doors!$B:$B,$B232,Doors!$C:$C,$C232)*SUMIFS(Velocity!$I:$I,Velocity!$A:$A,$A232,Velocity!$B:$B,$C232)/Assumptions!$B$4*Assumptions!$B$6</f>
        <v>10.1333333333333</v>
      </c>
      <c r="BA232" s="7" t="n">
        <f aca="false">SUMIFS(Doors!BM:BM,Doors!$A:$A,$D232,Doors!$B:$B,$B232,Doors!$C:$C,$C232)*SUMIFS(Velocity!$I:$I,Velocity!$A:$A,$A232,Velocity!$B:$B,$C232)/Assumptions!$B$4*Assumptions!$B$6</f>
        <v>10.1333333333333</v>
      </c>
      <c r="BB232" s="7" t="n">
        <f aca="false">SUMIFS(Doors!BN:BN,Doors!$A:$A,$D232,Doors!$B:$B,$B232,Doors!$C:$C,$C232)*SUMIFS(Velocity!$I:$I,Velocity!$A:$A,$A232,Velocity!$B:$B,$C232)/Assumptions!$B$4*Assumptions!$B$6</f>
        <v>10.1333333333333</v>
      </c>
      <c r="BC232" s="7" t="n">
        <f aca="false">SUMIFS(Doors!BO:BO,Doors!$A:$A,$D232,Doors!$B:$B,$B232,Doors!$C:$C,$C232)*SUMIFS(Velocity!$I:$I,Velocity!$A:$A,$A232,Velocity!$B:$B,$C232)/Assumptions!$B$4*Assumptions!$B$6</f>
        <v>10.1333333333333</v>
      </c>
      <c r="BD232" s="7" t="n">
        <f aca="false">SUMIFS(Doors!BP:BP,Doors!$A:$A,$D232,Doors!$B:$B,$B232,Doors!$C:$C,$C232)*SUMIFS(Velocity!$I:$I,Velocity!$A:$A,$A232,Velocity!$B:$B,$C232)/Assumptions!$B$4*Assumptions!$B$6</f>
        <v>10.1333333333333</v>
      </c>
    </row>
    <row r="233" customFormat="false" ht="15" hidden="false" customHeight="false" outlineLevel="0" collapsed="false">
      <c r="A233" s="0" t="s">
        <v>110</v>
      </c>
      <c r="B233" s="0" t="s">
        <v>131</v>
      </c>
      <c r="C233" s="0" t="s">
        <v>117</v>
      </c>
      <c r="D233" s="0" t="s">
        <v>235</v>
      </c>
      <c r="E233" s="7" t="n">
        <f aca="false">SUMIFS(Doors!Q:Q,Doors!$A:$A,$D233,Doors!$B:$B,$B233,Doors!$C:$C,$C233)*SUMIFS(Velocity!$I:$I,Velocity!$A:$A,$A233,Velocity!$B:$B,$C233)/Assumptions!$B$4*Assumptions!$B$6</f>
        <v>0</v>
      </c>
      <c r="F233" s="7" t="n">
        <f aca="false">SUMIFS(Doors!R:R,Doors!$A:$A,$D233,Doors!$B:$B,$B233,Doors!$C:$C,$C233)*SUMIFS(Velocity!$I:$I,Velocity!$A:$A,$A233,Velocity!$B:$B,$C233)/Assumptions!$B$4*Assumptions!$B$6</f>
        <v>0</v>
      </c>
      <c r="G233" s="7" t="n">
        <f aca="false">SUMIFS(Doors!S:S,Doors!$A:$A,$D233,Doors!$B:$B,$B233,Doors!$C:$C,$C233)*SUMIFS(Velocity!$I:$I,Velocity!$A:$A,$A233,Velocity!$B:$B,$C233)/Assumptions!$B$4*Assumptions!$B$6</f>
        <v>0</v>
      </c>
      <c r="H233" s="7" t="n">
        <f aca="false">SUMIFS(Doors!T:T,Doors!$A:$A,$D233,Doors!$B:$B,$B233,Doors!$C:$C,$C233)*SUMIFS(Velocity!$I:$I,Velocity!$A:$A,$A233,Velocity!$B:$B,$C233)/Assumptions!$B$4*Assumptions!$B$6</f>
        <v>0</v>
      </c>
      <c r="I233" s="7" t="n">
        <f aca="false">SUMIFS(Doors!U:U,Doors!$A:$A,$D233,Doors!$B:$B,$B233,Doors!$C:$C,$C233)*SUMIFS(Velocity!$I:$I,Velocity!$A:$A,$A233,Velocity!$B:$B,$C233)/Assumptions!$B$4*Assumptions!$B$6</f>
        <v>0</v>
      </c>
      <c r="J233" s="7" t="n">
        <f aca="false">SUMIFS(Doors!V:V,Doors!$A:$A,$D233,Doors!$B:$B,$B233,Doors!$C:$C,$C233)*SUMIFS(Velocity!$I:$I,Velocity!$A:$A,$A233,Velocity!$B:$B,$C233)/Assumptions!$B$4*Assumptions!$B$6</f>
        <v>0</v>
      </c>
      <c r="K233" s="7" t="n">
        <f aca="false">SUMIFS(Doors!W:W,Doors!$A:$A,$D233,Doors!$B:$B,$B233,Doors!$C:$C,$C233)*SUMIFS(Velocity!$I:$I,Velocity!$A:$A,$A233,Velocity!$B:$B,$C233)/Assumptions!$B$4*Assumptions!$B$6</f>
        <v>0</v>
      </c>
      <c r="L233" s="7" t="n">
        <f aca="false">SUMIFS(Doors!X:X,Doors!$A:$A,$D233,Doors!$B:$B,$B233,Doors!$C:$C,$C233)*SUMIFS(Velocity!$I:$I,Velocity!$A:$A,$A233,Velocity!$B:$B,$C233)/Assumptions!$B$4*Assumptions!$B$6</f>
        <v>0</v>
      </c>
      <c r="M233" s="7" t="n">
        <f aca="false">SUMIFS(Doors!Y:Y,Doors!$A:$A,$D233,Doors!$B:$B,$B233,Doors!$C:$C,$C233)*SUMIFS(Velocity!$I:$I,Velocity!$A:$A,$A233,Velocity!$B:$B,$C233)/Assumptions!$B$4*Assumptions!$B$6</f>
        <v>0</v>
      </c>
      <c r="N233" s="7" t="n">
        <f aca="false">SUMIFS(Doors!Z:Z,Doors!$A:$A,$D233,Doors!$B:$B,$B233,Doors!$C:$C,$C233)*SUMIFS(Velocity!$I:$I,Velocity!$A:$A,$A233,Velocity!$B:$B,$C233)/Assumptions!$B$4*Assumptions!$B$6</f>
        <v>0</v>
      </c>
      <c r="O233" s="7" t="n">
        <f aca="false">SUMIFS(Doors!AA:AA,Doors!$A:$A,$D233,Doors!$B:$B,$B233,Doors!$C:$C,$C233)*SUMIFS(Velocity!$I:$I,Velocity!$A:$A,$A233,Velocity!$B:$B,$C233)/Assumptions!$B$4*Assumptions!$B$6</f>
        <v>0</v>
      </c>
      <c r="P233" s="7" t="n">
        <f aca="false">SUMIFS(Doors!AB:AB,Doors!$A:$A,$D233,Doors!$B:$B,$B233,Doors!$C:$C,$C233)*SUMIFS(Velocity!$I:$I,Velocity!$A:$A,$A233,Velocity!$B:$B,$C233)/Assumptions!$B$4*Assumptions!$B$6</f>
        <v>0</v>
      </c>
      <c r="Q233" s="7" t="n">
        <f aca="false">SUMIFS(Doors!AC:AC,Doors!$A:$A,$D233,Doors!$B:$B,$B233,Doors!$C:$C,$C233)*SUMIFS(Velocity!$I:$I,Velocity!$A:$A,$A233,Velocity!$B:$B,$C233)/Assumptions!$B$4*Assumptions!$B$6</f>
        <v>0</v>
      </c>
      <c r="R233" s="7" t="n">
        <f aca="false">SUMIFS(Doors!AD:AD,Doors!$A:$A,$D233,Doors!$B:$B,$B233,Doors!$C:$C,$C233)*SUMIFS(Velocity!$I:$I,Velocity!$A:$A,$A233,Velocity!$B:$B,$C233)/Assumptions!$B$4*Assumptions!$B$6</f>
        <v>3.42708333333333</v>
      </c>
      <c r="S233" s="7" t="n">
        <f aca="false">SUMIFS(Doors!AE:AE,Doors!$A:$A,$D233,Doors!$B:$B,$B233,Doors!$C:$C,$C233)*SUMIFS(Velocity!$I:$I,Velocity!$A:$A,$A233,Velocity!$B:$B,$C233)/Assumptions!$B$4*Assumptions!$B$6</f>
        <v>3.42708333333333</v>
      </c>
      <c r="T233" s="7" t="n">
        <f aca="false">SUMIFS(Doors!AF:AF,Doors!$A:$A,$D233,Doors!$B:$B,$B233,Doors!$C:$C,$C233)*SUMIFS(Velocity!$I:$I,Velocity!$A:$A,$A233,Velocity!$B:$B,$C233)/Assumptions!$B$4*Assumptions!$B$6</f>
        <v>3.42708333333333</v>
      </c>
      <c r="U233" s="7" t="n">
        <f aca="false">SUMIFS(Doors!AG:AG,Doors!$A:$A,$D233,Doors!$B:$B,$B233,Doors!$C:$C,$C233)*SUMIFS(Velocity!$I:$I,Velocity!$A:$A,$A233,Velocity!$B:$B,$C233)/Assumptions!$B$4*Assumptions!$B$6</f>
        <v>3.42708333333333</v>
      </c>
      <c r="V233" s="7" t="n">
        <f aca="false">SUMIFS(Doors!AH:AH,Doors!$A:$A,$D233,Doors!$B:$B,$B233,Doors!$C:$C,$C233)*SUMIFS(Velocity!$I:$I,Velocity!$A:$A,$A233,Velocity!$B:$B,$C233)/Assumptions!$B$4*Assumptions!$B$6</f>
        <v>3.42708333333333</v>
      </c>
      <c r="W233" s="7" t="n">
        <f aca="false">SUMIFS(Doors!AI:AI,Doors!$A:$A,$D233,Doors!$B:$B,$B233,Doors!$C:$C,$C233)*SUMIFS(Velocity!$I:$I,Velocity!$A:$A,$A233,Velocity!$B:$B,$C233)/Assumptions!$B$4*Assumptions!$B$6</f>
        <v>5.48333333333333</v>
      </c>
      <c r="X233" s="7" t="n">
        <f aca="false">SUMIFS(Doors!AJ:AJ,Doors!$A:$A,$D233,Doors!$B:$B,$B233,Doors!$C:$C,$C233)*SUMIFS(Velocity!$I:$I,Velocity!$A:$A,$A233,Velocity!$B:$B,$C233)/Assumptions!$B$4*Assumptions!$B$6</f>
        <v>5.48333333333333</v>
      </c>
      <c r="Y233" s="7" t="n">
        <f aca="false">SUMIFS(Doors!AK:AK,Doors!$A:$A,$D233,Doors!$B:$B,$B233,Doors!$C:$C,$C233)*SUMIFS(Velocity!$I:$I,Velocity!$A:$A,$A233,Velocity!$B:$B,$C233)/Assumptions!$B$4*Assumptions!$B$6</f>
        <v>5.48333333333333</v>
      </c>
      <c r="Z233" s="7" t="n">
        <f aca="false">SUMIFS(Doors!AL:AL,Doors!$A:$A,$D233,Doors!$B:$B,$B233,Doors!$C:$C,$C233)*SUMIFS(Velocity!$I:$I,Velocity!$A:$A,$A233,Velocity!$B:$B,$C233)/Assumptions!$B$4*Assumptions!$B$6</f>
        <v>5.48333333333333</v>
      </c>
      <c r="AA233" s="7" t="n">
        <f aca="false">SUMIFS(Doors!AM:AM,Doors!$A:$A,$D233,Doors!$B:$B,$B233,Doors!$C:$C,$C233)*SUMIFS(Velocity!$I:$I,Velocity!$A:$A,$A233,Velocity!$B:$B,$C233)/Assumptions!$B$4*Assumptions!$B$6</f>
        <v>8.225</v>
      </c>
      <c r="AB233" s="7" t="n">
        <f aca="false">SUMIFS(Doors!AN:AN,Doors!$A:$A,$D233,Doors!$B:$B,$B233,Doors!$C:$C,$C233)*SUMIFS(Velocity!$I:$I,Velocity!$A:$A,$A233,Velocity!$B:$B,$C233)/Assumptions!$B$4*Assumptions!$B$6</f>
        <v>8.225</v>
      </c>
      <c r="AC233" s="7" t="n">
        <f aca="false">SUMIFS(Doors!AO:AO,Doors!$A:$A,$D233,Doors!$B:$B,$B233,Doors!$C:$C,$C233)*SUMIFS(Velocity!$I:$I,Velocity!$A:$A,$A233,Velocity!$B:$B,$C233)/Assumptions!$B$4*Assumptions!$B$6</f>
        <v>8.225</v>
      </c>
      <c r="AD233" s="7" t="n">
        <f aca="false">SUMIFS(Doors!AP:AP,Doors!$A:$A,$D233,Doors!$B:$B,$B233,Doors!$C:$C,$C233)*SUMIFS(Velocity!$I:$I,Velocity!$A:$A,$A233,Velocity!$B:$B,$C233)/Assumptions!$B$4*Assumptions!$B$6</f>
        <v>8.225</v>
      </c>
      <c r="AE233" s="7" t="n">
        <f aca="false">SUMIFS(Doors!AQ:AQ,Doors!$A:$A,$D233,Doors!$B:$B,$B233,Doors!$C:$C,$C233)*SUMIFS(Velocity!$I:$I,Velocity!$A:$A,$A233,Velocity!$B:$B,$C233)/Assumptions!$B$4*Assumptions!$B$6</f>
        <v>10.28125</v>
      </c>
      <c r="AF233" s="7" t="n">
        <f aca="false">SUMIFS(Doors!AR:AR,Doors!$A:$A,$D233,Doors!$B:$B,$B233,Doors!$C:$C,$C233)*SUMIFS(Velocity!$I:$I,Velocity!$A:$A,$A233,Velocity!$B:$B,$C233)/Assumptions!$B$4*Assumptions!$B$6</f>
        <v>10.28125</v>
      </c>
      <c r="AG233" s="7" t="n">
        <f aca="false">SUMIFS(Doors!AS:AS,Doors!$A:$A,$D233,Doors!$B:$B,$B233,Doors!$C:$C,$C233)*SUMIFS(Velocity!$I:$I,Velocity!$A:$A,$A233,Velocity!$B:$B,$C233)/Assumptions!$B$4*Assumptions!$B$6</f>
        <v>10.28125</v>
      </c>
      <c r="AH233" s="7" t="n">
        <f aca="false">SUMIFS(Doors!AT:AT,Doors!$A:$A,$D233,Doors!$B:$B,$B233,Doors!$C:$C,$C233)*SUMIFS(Velocity!$I:$I,Velocity!$A:$A,$A233,Velocity!$B:$B,$C233)/Assumptions!$B$4*Assumptions!$B$6</f>
        <v>10.28125</v>
      </c>
      <c r="AI233" s="7" t="n">
        <f aca="false">SUMIFS(Doors!AU:AU,Doors!$A:$A,$D233,Doors!$B:$B,$B233,Doors!$C:$C,$C233)*SUMIFS(Velocity!$I:$I,Velocity!$A:$A,$A233,Velocity!$B:$B,$C233)/Assumptions!$B$4*Assumptions!$B$6</f>
        <v>10.28125</v>
      </c>
      <c r="AJ233" s="7" t="n">
        <f aca="false">SUMIFS(Doors!AV:AV,Doors!$A:$A,$D233,Doors!$B:$B,$B233,Doors!$C:$C,$C233)*SUMIFS(Velocity!$I:$I,Velocity!$A:$A,$A233,Velocity!$B:$B,$C233)/Assumptions!$B$4*Assumptions!$B$6</f>
        <v>12.3375</v>
      </c>
      <c r="AK233" s="7" t="n">
        <f aca="false">SUMIFS(Doors!AW:AW,Doors!$A:$A,$D233,Doors!$B:$B,$B233,Doors!$C:$C,$C233)*SUMIFS(Velocity!$I:$I,Velocity!$A:$A,$A233,Velocity!$B:$B,$C233)/Assumptions!$B$4*Assumptions!$B$6</f>
        <v>12.3375</v>
      </c>
      <c r="AL233" s="7" t="n">
        <f aca="false">SUMIFS(Doors!AX:AX,Doors!$A:$A,$D233,Doors!$B:$B,$B233,Doors!$C:$C,$C233)*SUMIFS(Velocity!$I:$I,Velocity!$A:$A,$A233,Velocity!$B:$B,$C233)/Assumptions!$B$4*Assumptions!$B$6</f>
        <v>12.3375</v>
      </c>
      <c r="AM233" s="7" t="n">
        <f aca="false">SUMIFS(Doors!AY:AY,Doors!$A:$A,$D233,Doors!$B:$B,$B233,Doors!$C:$C,$C233)*SUMIFS(Velocity!$I:$I,Velocity!$A:$A,$A233,Velocity!$B:$B,$C233)/Assumptions!$B$4*Assumptions!$B$6</f>
        <v>12.3375</v>
      </c>
      <c r="AN233" s="7" t="n">
        <f aca="false">SUMIFS(Doors!AZ:AZ,Doors!$A:$A,$D233,Doors!$B:$B,$B233,Doors!$C:$C,$C233)*SUMIFS(Velocity!$I:$I,Velocity!$A:$A,$A233,Velocity!$B:$B,$C233)/Assumptions!$B$4*Assumptions!$B$6</f>
        <v>13.7083333333333</v>
      </c>
      <c r="AO233" s="7" t="n">
        <f aca="false">SUMIFS(Doors!BA:BA,Doors!$A:$A,$D233,Doors!$B:$B,$B233,Doors!$C:$C,$C233)*SUMIFS(Velocity!$I:$I,Velocity!$A:$A,$A233,Velocity!$B:$B,$C233)/Assumptions!$B$4*Assumptions!$B$6</f>
        <v>13.7083333333333</v>
      </c>
      <c r="AP233" s="7" t="n">
        <f aca="false">SUMIFS(Doors!BB:BB,Doors!$A:$A,$D233,Doors!$B:$B,$B233,Doors!$C:$C,$C233)*SUMIFS(Velocity!$I:$I,Velocity!$A:$A,$A233,Velocity!$B:$B,$C233)/Assumptions!$B$4*Assumptions!$B$6</f>
        <v>13.7083333333333</v>
      </c>
      <c r="AQ233" s="7" t="n">
        <f aca="false">SUMIFS(Doors!BC:BC,Doors!$A:$A,$D233,Doors!$B:$B,$B233,Doors!$C:$C,$C233)*SUMIFS(Velocity!$I:$I,Velocity!$A:$A,$A233,Velocity!$B:$B,$C233)/Assumptions!$B$4*Assumptions!$B$6</f>
        <v>13.7083333333333</v>
      </c>
      <c r="AR233" s="7" t="n">
        <f aca="false">SUMIFS(Doors!BD:BD,Doors!$A:$A,$D233,Doors!$B:$B,$B233,Doors!$C:$C,$C233)*SUMIFS(Velocity!$I:$I,Velocity!$A:$A,$A233,Velocity!$B:$B,$C233)/Assumptions!$B$4*Assumptions!$B$6</f>
        <v>15.0791666666667</v>
      </c>
      <c r="AS233" s="7" t="n">
        <f aca="false">SUMIFS(Doors!BE:BE,Doors!$A:$A,$D233,Doors!$B:$B,$B233,Doors!$C:$C,$C233)*SUMIFS(Velocity!$I:$I,Velocity!$A:$A,$A233,Velocity!$B:$B,$C233)/Assumptions!$B$4*Assumptions!$B$6</f>
        <v>15.0791666666667</v>
      </c>
      <c r="AT233" s="7" t="n">
        <f aca="false">SUMIFS(Doors!BF:BF,Doors!$A:$A,$D233,Doors!$B:$B,$B233,Doors!$C:$C,$C233)*SUMIFS(Velocity!$I:$I,Velocity!$A:$A,$A233,Velocity!$B:$B,$C233)/Assumptions!$B$4*Assumptions!$B$6</f>
        <v>15.0791666666667</v>
      </c>
      <c r="AU233" s="7" t="n">
        <f aca="false">SUMIFS(Doors!BG:BG,Doors!$A:$A,$D233,Doors!$B:$B,$B233,Doors!$C:$C,$C233)*SUMIFS(Velocity!$I:$I,Velocity!$A:$A,$A233,Velocity!$B:$B,$C233)/Assumptions!$B$4*Assumptions!$B$6</f>
        <v>15.0791666666667</v>
      </c>
      <c r="AV233" s="7" t="n">
        <f aca="false">SUMIFS(Doors!BH:BH,Doors!$A:$A,$D233,Doors!$B:$B,$B233,Doors!$C:$C,$C233)*SUMIFS(Velocity!$I:$I,Velocity!$A:$A,$A233,Velocity!$B:$B,$C233)/Assumptions!$B$4*Assumptions!$B$6</f>
        <v>15.0791666666667</v>
      </c>
      <c r="AW233" s="7" t="n">
        <f aca="false">SUMIFS(Doors!BI:BI,Doors!$A:$A,$D233,Doors!$B:$B,$B233,Doors!$C:$C,$C233)*SUMIFS(Velocity!$I:$I,Velocity!$A:$A,$A233,Velocity!$B:$B,$C233)/Assumptions!$B$4*Assumptions!$B$6</f>
        <v>15.7645833333333</v>
      </c>
      <c r="AX233" s="7" t="n">
        <f aca="false">SUMIFS(Doors!BJ:BJ,Doors!$A:$A,$D233,Doors!$B:$B,$B233,Doors!$C:$C,$C233)*SUMIFS(Velocity!$I:$I,Velocity!$A:$A,$A233,Velocity!$B:$B,$C233)/Assumptions!$B$4*Assumptions!$B$6</f>
        <v>15.7645833333333</v>
      </c>
      <c r="AY233" s="7" t="n">
        <f aca="false">SUMIFS(Doors!BK:BK,Doors!$A:$A,$D233,Doors!$B:$B,$B233,Doors!$C:$C,$C233)*SUMIFS(Velocity!$I:$I,Velocity!$A:$A,$A233,Velocity!$B:$B,$C233)/Assumptions!$B$4*Assumptions!$B$6</f>
        <v>15.7645833333333</v>
      </c>
      <c r="AZ233" s="7" t="n">
        <f aca="false">SUMIFS(Doors!BL:BL,Doors!$A:$A,$D233,Doors!$B:$B,$B233,Doors!$C:$C,$C233)*SUMIFS(Velocity!$I:$I,Velocity!$A:$A,$A233,Velocity!$B:$B,$C233)/Assumptions!$B$4*Assumptions!$B$6</f>
        <v>15.7645833333333</v>
      </c>
      <c r="BA233" s="7" t="n">
        <f aca="false">SUMIFS(Doors!BM:BM,Doors!$A:$A,$D233,Doors!$B:$B,$B233,Doors!$C:$C,$C233)*SUMIFS(Velocity!$I:$I,Velocity!$A:$A,$A233,Velocity!$B:$B,$C233)/Assumptions!$B$4*Assumptions!$B$6</f>
        <v>17.1354166666667</v>
      </c>
      <c r="BB233" s="7" t="n">
        <f aca="false">SUMIFS(Doors!BN:BN,Doors!$A:$A,$D233,Doors!$B:$B,$B233,Doors!$C:$C,$C233)*SUMIFS(Velocity!$I:$I,Velocity!$A:$A,$A233,Velocity!$B:$B,$C233)/Assumptions!$B$4*Assumptions!$B$6</f>
        <v>17.1354166666667</v>
      </c>
      <c r="BC233" s="7" t="n">
        <f aca="false">SUMIFS(Doors!BO:BO,Doors!$A:$A,$D233,Doors!$B:$B,$B233,Doors!$C:$C,$C233)*SUMIFS(Velocity!$I:$I,Velocity!$A:$A,$A233,Velocity!$B:$B,$C233)/Assumptions!$B$4*Assumptions!$B$6</f>
        <v>17.1354166666667</v>
      </c>
      <c r="BD233" s="7" t="n">
        <f aca="false">SUMIFS(Doors!BP:BP,Doors!$A:$A,$D233,Doors!$B:$B,$B233,Doors!$C:$C,$C233)*SUMIFS(Velocity!$I:$I,Velocity!$A:$A,$A233,Velocity!$B:$B,$C233)/Assumptions!$B$4*Assumptions!$B$6</f>
        <v>17.1354166666667</v>
      </c>
    </row>
    <row r="234" customFormat="false" ht="15" hidden="false" customHeight="false" outlineLevel="0" collapsed="false">
      <c r="A234" s="0" t="s">
        <v>110</v>
      </c>
      <c r="B234" s="0" t="s">
        <v>131</v>
      </c>
      <c r="C234" s="0" t="s">
        <v>118</v>
      </c>
      <c r="D234" s="0" t="s">
        <v>235</v>
      </c>
      <c r="E234" s="7" t="n">
        <f aca="false">SUMIFS(Doors!Q:Q,Doors!$A:$A,$D234,Doors!$B:$B,$B234,Doors!$C:$C,$C234)*SUMIFS(Velocity!$I:$I,Velocity!$A:$A,$A234,Velocity!$B:$B,$C234)/Assumptions!$B$4*Assumptions!$B$6</f>
        <v>0</v>
      </c>
      <c r="F234" s="7" t="n">
        <f aca="false">SUMIFS(Doors!R:R,Doors!$A:$A,$D234,Doors!$B:$B,$B234,Doors!$C:$C,$C234)*SUMIFS(Velocity!$I:$I,Velocity!$A:$A,$A234,Velocity!$B:$B,$C234)/Assumptions!$B$4*Assumptions!$B$6</f>
        <v>0</v>
      </c>
      <c r="G234" s="7" t="n">
        <f aca="false">SUMIFS(Doors!S:S,Doors!$A:$A,$D234,Doors!$B:$B,$B234,Doors!$C:$C,$C234)*SUMIFS(Velocity!$I:$I,Velocity!$A:$A,$A234,Velocity!$B:$B,$C234)/Assumptions!$B$4*Assumptions!$B$6</f>
        <v>0</v>
      </c>
      <c r="H234" s="7" t="n">
        <f aca="false">SUMIFS(Doors!T:T,Doors!$A:$A,$D234,Doors!$B:$B,$B234,Doors!$C:$C,$C234)*SUMIFS(Velocity!$I:$I,Velocity!$A:$A,$A234,Velocity!$B:$B,$C234)/Assumptions!$B$4*Assumptions!$B$6</f>
        <v>0</v>
      </c>
      <c r="I234" s="7" t="n">
        <f aca="false">SUMIFS(Doors!U:U,Doors!$A:$A,$D234,Doors!$B:$B,$B234,Doors!$C:$C,$C234)*SUMIFS(Velocity!$I:$I,Velocity!$A:$A,$A234,Velocity!$B:$B,$C234)/Assumptions!$B$4*Assumptions!$B$6</f>
        <v>0</v>
      </c>
      <c r="J234" s="7" t="n">
        <f aca="false">SUMIFS(Doors!V:V,Doors!$A:$A,$D234,Doors!$B:$B,$B234,Doors!$C:$C,$C234)*SUMIFS(Velocity!$I:$I,Velocity!$A:$A,$A234,Velocity!$B:$B,$C234)/Assumptions!$B$4*Assumptions!$B$6</f>
        <v>0</v>
      </c>
      <c r="K234" s="7" t="n">
        <f aca="false">SUMIFS(Doors!W:W,Doors!$A:$A,$D234,Doors!$B:$B,$B234,Doors!$C:$C,$C234)*SUMIFS(Velocity!$I:$I,Velocity!$A:$A,$A234,Velocity!$B:$B,$C234)/Assumptions!$B$4*Assumptions!$B$6</f>
        <v>0</v>
      </c>
      <c r="L234" s="7" t="n">
        <f aca="false">SUMIFS(Doors!X:X,Doors!$A:$A,$D234,Doors!$B:$B,$B234,Doors!$C:$C,$C234)*SUMIFS(Velocity!$I:$I,Velocity!$A:$A,$A234,Velocity!$B:$B,$C234)/Assumptions!$B$4*Assumptions!$B$6</f>
        <v>0</v>
      </c>
      <c r="M234" s="7" t="n">
        <f aca="false">SUMIFS(Doors!Y:Y,Doors!$A:$A,$D234,Doors!$B:$B,$B234,Doors!$C:$C,$C234)*SUMIFS(Velocity!$I:$I,Velocity!$A:$A,$A234,Velocity!$B:$B,$C234)/Assumptions!$B$4*Assumptions!$B$6</f>
        <v>0</v>
      </c>
      <c r="N234" s="7" t="n">
        <f aca="false">SUMIFS(Doors!Z:Z,Doors!$A:$A,$D234,Doors!$B:$B,$B234,Doors!$C:$C,$C234)*SUMIFS(Velocity!$I:$I,Velocity!$A:$A,$A234,Velocity!$B:$B,$C234)/Assumptions!$B$4*Assumptions!$B$6</f>
        <v>0</v>
      </c>
      <c r="O234" s="7" t="n">
        <f aca="false">SUMIFS(Doors!AA:AA,Doors!$A:$A,$D234,Doors!$B:$B,$B234,Doors!$C:$C,$C234)*SUMIFS(Velocity!$I:$I,Velocity!$A:$A,$A234,Velocity!$B:$B,$C234)/Assumptions!$B$4*Assumptions!$B$6</f>
        <v>0</v>
      </c>
      <c r="P234" s="7" t="n">
        <f aca="false">SUMIFS(Doors!AB:AB,Doors!$A:$A,$D234,Doors!$B:$B,$B234,Doors!$C:$C,$C234)*SUMIFS(Velocity!$I:$I,Velocity!$A:$A,$A234,Velocity!$B:$B,$C234)/Assumptions!$B$4*Assumptions!$B$6</f>
        <v>0</v>
      </c>
      <c r="Q234" s="7" t="n">
        <f aca="false">SUMIFS(Doors!AC:AC,Doors!$A:$A,$D234,Doors!$B:$B,$B234,Doors!$C:$C,$C234)*SUMIFS(Velocity!$I:$I,Velocity!$A:$A,$A234,Velocity!$B:$B,$C234)/Assumptions!$B$4*Assumptions!$B$6</f>
        <v>0</v>
      </c>
      <c r="R234" s="7" t="n">
        <f aca="false">SUMIFS(Doors!AD:AD,Doors!$A:$A,$D234,Doors!$B:$B,$B234,Doors!$C:$C,$C234)*SUMIFS(Velocity!$I:$I,Velocity!$A:$A,$A234,Velocity!$B:$B,$C234)/Assumptions!$B$4*Assumptions!$B$6</f>
        <v>0</v>
      </c>
      <c r="S234" s="7" t="n">
        <f aca="false">SUMIFS(Doors!AE:AE,Doors!$A:$A,$D234,Doors!$B:$B,$B234,Doors!$C:$C,$C234)*SUMIFS(Velocity!$I:$I,Velocity!$A:$A,$A234,Velocity!$B:$B,$C234)/Assumptions!$B$4*Assumptions!$B$6</f>
        <v>0</v>
      </c>
      <c r="T234" s="7" t="n">
        <f aca="false">SUMIFS(Doors!AF:AF,Doors!$A:$A,$D234,Doors!$B:$B,$B234,Doors!$C:$C,$C234)*SUMIFS(Velocity!$I:$I,Velocity!$A:$A,$A234,Velocity!$B:$B,$C234)/Assumptions!$B$4*Assumptions!$B$6</f>
        <v>0</v>
      </c>
      <c r="U234" s="7" t="n">
        <f aca="false">SUMIFS(Doors!AG:AG,Doors!$A:$A,$D234,Doors!$B:$B,$B234,Doors!$C:$C,$C234)*SUMIFS(Velocity!$I:$I,Velocity!$A:$A,$A234,Velocity!$B:$B,$C234)/Assumptions!$B$4*Assumptions!$B$6</f>
        <v>0</v>
      </c>
      <c r="V234" s="7" t="n">
        <f aca="false">SUMIFS(Doors!AH:AH,Doors!$A:$A,$D234,Doors!$B:$B,$B234,Doors!$C:$C,$C234)*SUMIFS(Velocity!$I:$I,Velocity!$A:$A,$A234,Velocity!$B:$B,$C234)/Assumptions!$B$4*Assumptions!$B$6</f>
        <v>0</v>
      </c>
      <c r="W234" s="7" t="n">
        <f aca="false">SUMIFS(Doors!AI:AI,Doors!$A:$A,$D234,Doors!$B:$B,$B234,Doors!$C:$C,$C234)*SUMIFS(Velocity!$I:$I,Velocity!$A:$A,$A234,Velocity!$B:$B,$C234)/Assumptions!$B$4*Assumptions!$B$6</f>
        <v>0</v>
      </c>
      <c r="X234" s="7" t="n">
        <f aca="false">SUMIFS(Doors!AJ:AJ,Doors!$A:$A,$D234,Doors!$B:$B,$B234,Doors!$C:$C,$C234)*SUMIFS(Velocity!$I:$I,Velocity!$A:$A,$A234,Velocity!$B:$B,$C234)/Assumptions!$B$4*Assumptions!$B$6</f>
        <v>0</v>
      </c>
      <c r="Y234" s="7" t="n">
        <f aca="false">SUMIFS(Doors!AK:AK,Doors!$A:$A,$D234,Doors!$B:$B,$B234,Doors!$C:$C,$C234)*SUMIFS(Velocity!$I:$I,Velocity!$A:$A,$A234,Velocity!$B:$B,$C234)/Assumptions!$B$4*Assumptions!$B$6</f>
        <v>0</v>
      </c>
      <c r="Z234" s="7" t="n">
        <f aca="false">SUMIFS(Doors!AL:AL,Doors!$A:$A,$D234,Doors!$B:$B,$B234,Doors!$C:$C,$C234)*SUMIFS(Velocity!$I:$I,Velocity!$A:$A,$A234,Velocity!$B:$B,$C234)/Assumptions!$B$4*Assumptions!$B$6</f>
        <v>0</v>
      </c>
      <c r="AA234" s="7" t="n">
        <f aca="false">SUMIFS(Doors!AM:AM,Doors!$A:$A,$D234,Doors!$B:$B,$B234,Doors!$C:$C,$C234)*SUMIFS(Velocity!$I:$I,Velocity!$A:$A,$A234,Velocity!$B:$B,$C234)/Assumptions!$B$4*Assumptions!$B$6</f>
        <v>0</v>
      </c>
      <c r="AB234" s="7" t="n">
        <f aca="false">SUMIFS(Doors!AN:AN,Doors!$A:$A,$D234,Doors!$B:$B,$B234,Doors!$C:$C,$C234)*SUMIFS(Velocity!$I:$I,Velocity!$A:$A,$A234,Velocity!$B:$B,$C234)/Assumptions!$B$4*Assumptions!$B$6</f>
        <v>0</v>
      </c>
      <c r="AC234" s="7" t="n">
        <f aca="false">SUMIFS(Doors!AO:AO,Doors!$A:$A,$D234,Doors!$B:$B,$B234,Doors!$C:$C,$C234)*SUMIFS(Velocity!$I:$I,Velocity!$A:$A,$A234,Velocity!$B:$B,$C234)/Assumptions!$B$4*Assumptions!$B$6</f>
        <v>0</v>
      </c>
      <c r="AD234" s="7" t="n">
        <f aca="false">SUMIFS(Doors!AP:AP,Doors!$A:$A,$D234,Doors!$B:$B,$B234,Doors!$C:$C,$C234)*SUMIFS(Velocity!$I:$I,Velocity!$A:$A,$A234,Velocity!$B:$B,$C234)/Assumptions!$B$4*Assumptions!$B$6</f>
        <v>0</v>
      </c>
      <c r="AE234" s="7" t="n">
        <f aca="false">SUMIFS(Doors!AQ:AQ,Doors!$A:$A,$D234,Doors!$B:$B,$B234,Doors!$C:$C,$C234)*SUMIFS(Velocity!$I:$I,Velocity!$A:$A,$A234,Velocity!$B:$B,$C234)/Assumptions!$B$4*Assumptions!$B$6</f>
        <v>0</v>
      </c>
      <c r="AF234" s="7" t="n">
        <f aca="false">SUMIFS(Doors!AR:AR,Doors!$A:$A,$D234,Doors!$B:$B,$B234,Doors!$C:$C,$C234)*SUMIFS(Velocity!$I:$I,Velocity!$A:$A,$A234,Velocity!$B:$B,$C234)/Assumptions!$B$4*Assumptions!$B$6</f>
        <v>0</v>
      </c>
      <c r="AG234" s="7" t="n">
        <f aca="false">SUMIFS(Doors!AS:AS,Doors!$A:$A,$D234,Doors!$B:$B,$B234,Doors!$C:$C,$C234)*SUMIFS(Velocity!$I:$I,Velocity!$A:$A,$A234,Velocity!$B:$B,$C234)/Assumptions!$B$4*Assumptions!$B$6</f>
        <v>0</v>
      </c>
      <c r="AH234" s="7" t="n">
        <f aca="false">SUMIFS(Doors!AT:AT,Doors!$A:$A,$D234,Doors!$B:$B,$B234,Doors!$C:$C,$C234)*SUMIFS(Velocity!$I:$I,Velocity!$A:$A,$A234,Velocity!$B:$B,$C234)/Assumptions!$B$4*Assumptions!$B$6</f>
        <v>0</v>
      </c>
      <c r="AI234" s="7" t="n">
        <f aca="false">SUMIFS(Doors!AU:AU,Doors!$A:$A,$D234,Doors!$B:$B,$B234,Doors!$C:$C,$C234)*SUMIFS(Velocity!$I:$I,Velocity!$A:$A,$A234,Velocity!$B:$B,$C234)/Assumptions!$B$4*Assumptions!$B$6</f>
        <v>0</v>
      </c>
      <c r="AJ234" s="7" t="n">
        <f aca="false">SUMIFS(Doors!AV:AV,Doors!$A:$A,$D234,Doors!$B:$B,$B234,Doors!$C:$C,$C234)*SUMIFS(Velocity!$I:$I,Velocity!$A:$A,$A234,Velocity!$B:$B,$C234)/Assumptions!$B$4*Assumptions!$B$6</f>
        <v>0</v>
      </c>
      <c r="AK234" s="7" t="n">
        <f aca="false">SUMIFS(Doors!AW:AW,Doors!$A:$A,$D234,Doors!$B:$B,$B234,Doors!$C:$C,$C234)*SUMIFS(Velocity!$I:$I,Velocity!$A:$A,$A234,Velocity!$B:$B,$C234)/Assumptions!$B$4*Assumptions!$B$6</f>
        <v>0</v>
      </c>
      <c r="AL234" s="7" t="n">
        <f aca="false">SUMIFS(Doors!AX:AX,Doors!$A:$A,$D234,Doors!$B:$B,$B234,Doors!$C:$C,$C234)*SUMIFS(Velocity!$I:$I,Velocity!$A:$A,$A234,Velocity!$B:$B,$C234)/Assumptions!$B$4*Assumptions!$B$6</f>
        <v>0</v>
      </c>
      <c r="AM234" s="7" t="n">
        <f aca="false">SUMIFS(Doors!AY:AY,Doors!$A:$A,$D234,Doors!$B:$B,$B234,Doors!$C:$C,$C234)*SUMIFS(Velocity!$I:$I,Velocity!$A:$A,$A234,Velocity!$B:$B,$C234)/Assumptions!$B$4*Assumptions!$B$6</f>
        <v>0</v>
      </c>
      <c r="AN234" s="7" t="n">
        <f aca="false">SUMIFS(Doors!AZ:AZ,Doors!$A:$A,$D234,Doors!$B:$B,$B234,Doors!$C:$C,$C234)*SUMIFS(Velocity!$I:$I,Velocity!$A:$A,$A234,Velocity!$B:$B,$C234)/Assumptions!$B$4*Assumptions!$B$6</f>
        <v>0</v>
      </c>
      <c r="AO234" s="7" t="n">
        <f aca="false">SUMIFS(Doors!BA:BA,Doors!$A:$A,$D234,Doors!$B:$B,$B234,Doors!$C:$C,$C234)*SUMIFS(Velocity!$I:$I,Velocity!$A:$A,$A234,Velocity!$B:$B,$C234)/Assumptions!$B$4*Assumptions!$B$6</f>
        <v>0</v>
      </c>
      <c r="AP234" s="7" t="n">
        <f aca="false">SUMIFS(Doors!BB:BB,Doors!$A:$A,$D234,Doors!$B:$B,$B234,Doors!$C:$C,$C234)*SUMIFS(Velocity!$I:$I,Velocity!$A:$A,$A234,Velocity!$B:$B,$C234)/Assumptions!$B$4*Assumptions!$B$6</f>
        <v>0</v>
      </c>
      <c r="AQ234" s="7" t="n">
        <f aca="false">SUMIFS(Doors!BC:BC,Doors!$A:$A,$D234,Doors!$B:$B,$B234,Doors!$C:$C,$C234)*SUMIFS(Velocity!$I:$I,Velocity!$A:$A,$A234,Velocity!$B:$B,$C234)/Assumptions!$B$4*Assumptions!$B$6</f>
        <v>0</v>
      </c>
      <c r="AR234" s="7" t="n">
        <f aca="false">SUMIFS(Doors!BD:BD,Doors!$A:$A,$D234,Doors!$B:$B,$B234,Doors!$C:$C,$C234)*SUMIFS(Velocity!$I:$I,Velocity!$A:$A,$A234,Velocity!$B:$B,$C234)/Assumptions!$B$4*Assumptions!$B$6</f>
        <v>168.333333333333</v>
      </c>
      <c r="AS234" s="7" t="n">
        <f aca="false">SUMIFS(Doors!BE:BE,Doors!$A:$A,$D234,Doors!$B:$B,$B234,Doors!$C:$C,$C234)*SUMIFS(Velocity!$I:$I,Velocity!$A:$A,$A234,Velocity!$B:$B,$C234)/Assumptions!$B$4*Assumptions!$B$6</f>
        <v>168.333333333333</v>
      </c>
      <c r="AT234" s="7" t="n">
        <f aca="false">SUMIFS(Doors!BF:BF,Doors!$A:$A,$D234,Doors!$B:$B,$B234,Doors!$C:$C,$C234)*SUMIFS(Velocity!$I:$I,Velocity!$A:$A,$A234,Velocity!$B:$B,$C234)/Assumptions!$B$4*Assumptions!$B$6</f>
        <v>168.333333333333</v>
      </c>
      <c r="AU234" s="7" t="n">
        <f aca="false">SUMIFS(Doors!BG:BG,Doors!$A:$A,$D234,Doors!$B:$B,$B234,Doors!$C:$C,$C234)*SUMIFS(Velocity!$I:$I,Velocity!$A:$A,$A234,Velocity!$B:$B,$C234)/Assumptions!$B$4*Assumptions!$B$6</f>
        <v>168.333333333333</v>
      </c>
      <c r="AV234" s="7" t="n">
        <f aca="false">SUMIFS(Doors!BH:BH,Doors!$A:$A,$D234,Doors!$B:$B,$B234,Doors!$C:$C,$C234)*SUMIFS(Velocity!$I:$I,Velocity!$A:$A,$A234,Velocity!$B:$B,$C234)/Assumptions!$B$4*Assumptions!$B$6</f>
        <v>168.333333333333</v>
      </c>
      <c r="AW234" s="7" t="n">
        <f aca="false">SUMIFS(Doors!BI:BI,Doors!$A:$A,$D234,Doors!$B:$B,$B234,Doors!$C:$C,$C234)*SUMIFS(Velocity!$I:$I,Velocity!$A:$A,$A234,Velocity!$B:$B,$C234)/Assumptions!$B$4*Assumptions!$B$6</f>
        <v>185.166666666667</v>
      </c>
      <c r="AX234" s="7" t="n">
        <f aca="false">SUMIFS(Doors!BJ:BJ,Doors!$A:$A,$D234,Doors!$B:$B,$B234,Doors!$C:$C,$C234)*SUMIFS(Velocity!$I:$I,Velocity!$A:$A,$A234,Velocity!$B:$B,$C234)/Assumptions!$B$4*Assumptions!$B$6</f>
        <v>185.166666666667</v>
      </c>
      <c r="AY234" s="7" t="n">
        <f aca="false">SUMIFS(Doors!BK:BK,Doors!$A:$A,$D234,Doors!$B:$B,$B234,Doors!$C:$C,$C234)*SUMIFS(Velocity!$I:$I,Velocity!$A:$A,$A234,Velocity!$B:$B,$C234)/Assumptions!$B$4*Assumptions!$B$6</f>
        <v>185.166666666667</v>
      </c>
      <c r="AZ234" s="7" t="n">
        <f aca="false">SUMIFS(Doors!BL:BL,Doors!$A:$A,$D234,Doors!$B:$B,$B234,Doors!$C:$C,$C234)*SUMIFS(Velocity!$I:$I,Velocity!$A:$A,$A234,Velocity!$B:$B,$C234)/Assumptions!$B$4*Assumptions!$B$6</f>
        <v>185.166666666667</v>
      </c>
      <c r="BA234" s="7" t="n">
        <f aca="false">SUMIFS(Doors!BM:BM,Doors!$A:$A,$D234,Doors!$B:$B,$B234,Doors!$C:$C,$C234)*SUMIFS(Velocity!$I:$I,Velocity!$A:$A,$A234,Velocity!$B:$B,$C234)/Assumptions!$B$4*Assumptions!$B$6</f>
        <v>185.166666666667</v>
      </c>
      <c r="BB234" s="7" t="n">
        <f aca="false">SUMIFS(Doors!BN:BN,Doors!$A:$A,$D234,Doors!$B:$B,$B234,Doors!$C:$C,$C234)*SUMIFS(Velocity!$I:$I,Velocity!$A:$A,$A234,Velocity!$B:$B,$C234)/Assumptions!$B$4*Assumptions!$B$6</f>
        <v>185.166666666667</v>
      </c>
      <c r="BC234" s="7" t="n">
        <f aca="false">SUMIFS(Doors!BO:BO,Doors!$A:$A,$D234,Doors!$B:$B,$B234,Doors!$C:$C,$C234)*SUMIFS(Velocity!$I:$I,Velocity!$A:$A,$A234,Velocity!$B:$B,$C234)/Assumptions!$B$4*Assumptions!$B$6</f>
        <v>185.166666666667</v>
      </c>
      <c r="BD234" s="7" t="n">
        <f aca="false">SUMIFS(Doors!BP:BP,Doors!$A:$A,$D234,Doors!$B:$B,$B234,Doors!$C:$C,$C234)*SUMIFS(Velocity!$I:$I,Velocity!$A:$A,$A234,Velocity!$B:$B,$C234)/Assumptions!$B$4*Assumptions!$B$6</f>
        <v>185.166666666667</v>
      </c>
    </row>
    <row r="235" customFormat="false" ht="15" hidden="false" customHeight="false" outlineLevel="0" collapsed="false">
      <c r="A235" s="0" t="s">
        <v>110</v>
      </c>
      <c r="B235" s="0" t="s">
        <v>131</v>
      </c>
      <c r="C235" s="0" t="s">
        <v>119</v>
      </c>
      <c r="D235" s="0" t="s">
        <v>235</v>
      </c>
      <c r="E235" s="7" t="n">
        <f aca="false">SUMIFS(Doors!Q:Q,Doors!$A:$A,$D235,Doors!$B:$B,$B235,Doors!$C:$C,$C235)*SUMIFS(Velocity!$I:$I,Velocity!$A:$A,$A235,Velocity!$B:$B,$C235)/Assumptions!$B$4*Assumptions!$B$6</f>
        <v>5</v>
      </c>
      <c r="F235" s="7" t="n">
        <f aca="false">SUMIFS(Doors!R:R,Doors!$A:$A,$D235,Doors!$B:$B,$B235,Doors!$C:$C,$C235)*SUMIFS(Velocity!$I:$I,Velocity!$A:$A,$A235,Velocity!$B:$B,$C235)/Assumptions!$B$4*Assumptions!$B$6</f>
        <v>5</v>
      </c>
      <c r="G235" s="7" t="n">
        <f aca="false">SUMIFS(Doors!S:S,Doors!$A:$A,$D235,Doors!$B:$B,$B235,Doors!$C:$C,$C235)*SUMIFS(Velocity!$I:$I,Velocity!$A:$A,$A235,Velocity!$B:$B,$C235)/Assumptions!$B$4*Assumptions!$B$6</f>
        <v>5</v>
      </c>
      <c r="H235" s="7" t="n">
        <f aca="false">SUMIFS(Doors!T:T,Doors!$A:$A,$D235,Doors!$B:$B,$B235,Doors!$C:$C,$C235)*SUMIFS(Velocity!$I:$I,Velocity!$A:$A,$A235,Velocity!$B:$B,$C235)/Assumptions!$B$4*Assumptions!$B$6</f>
        <v>5</v>
      </c>
      <c r="I235" s="7" t="n">
        <f aca="false">SUMIFS(Doors!U:U,Doors!$A:$A,$D235,Doors!$B:$B,$B235,Doors!$C:$C,$C235)*SUMIFS(Velocity!$I:$I,Velocity!$A:$A,$A235,Velocity!$B:$B,$C235)/Assumptions!$B$4*Assumptions!$B$6</f>
        <v>5</v>
      </c>
      <c r="J235" s="7" t="n">
        <f aca="false">SUMIFS(Doors!V:V,Doors!$A:$A,$D235,Doors!$B:$B,$B235,Doors!$C:$C,$C235)*SUMIFS(Velocity!$I:$I,Velocity!$A:$A,$A235,Velocity!$B:$B,$C235)/Assumptions!$B$4*Assumptions!$B$6</f>
        <v>7.5</v>
      </c>
      <c r="K235" s="7" t="n">
        <f aca="false">SUMIFS(Doors!W:W,Doors!$A:$A,$D235,Doors!$B:$B,$B235,Doors!$C:$C,$C235)*SUMIFS(Velocity!$I:$I,Velocity!$A:$A,$A235,Velocity!$B:$B,$C235)/Assumptions!$B$4*Assumptions!$B$6</f>
        <v>7.5</v>
      </c>
      <c r="L235" s="7" t="n">
        <f aca="false">SUMIFS(Doors!X:X,Doors!$A:$A,$D235,Doors!$B:$B,$B235,Doors!$C:$C,$C235)*SUMIFS(Velocity!$I:$I,Velocity!$A:$A,$A235,Velocity!$B:$B,$C235)/Assumptions!$B$4*Assumptions!$B$6</f>
        <v>7.5</v>
      </c>
      <c r="M235" s="7" t="n">
        <f aca="false">SUMIFS(Doors!Y:Y,Doors!$A:$A,$D235,Doors!$B:$B,$B235,Doors!$C:$C,$C235)*SUMIFS(Velocity!$I:$I,Velocity!$A:$A,$A235,Velocity!$B:$B,$C235)/Assumptions!$B$4*Assumptions!$B$6</f>
        <v>7.5</v>
      </c>
      <c r="N235" s="7" t="n">
        <f aca="false">SUMIFS(Doors!Z:Z,Doors!$A:$A,$D235,Doors!$B:$B,$B235,Doors!$C:$C,$C235)*SUMIFS(Velocity!$I:$I,Velocity!$A:$A,$A235,Velocity!$B:$B,$C235)/Assumptions!$B$4*Assumptions!$B$6</f>
        <v>10</v>
      </c>
      <c r="O235" s="7" t="n">
        <f aca="false">SUMIFS(Doors!AA:AA,Doors!$A:$A,$D235,Doors!$B:$B,$B235,Doors!$C:$C,$C235)*SUMIFS(Velocity!$I:$I,Velocity!$A:$A,$A235,Velocity!$B:$B,$C235)/Assumptions!$B$4*Assumptions!$B$6</f>
        <v>10</v>
      </c>
      <c r="P235" s="7" t="n">
        <f aca="false">SUMIFS(Doors!AB:AB,Doors!$A:$A,$D235,Doors!$B:$B,$B235,Doors!$C:$C,$C235)*SUMIFS(Velocity!$I:$I,Velocity!$A:$A,$A235,Velocity!$B:$B,$C235)/Assumptions!$B$4*Assumptions!$B$6</f>
        <v>10</v>
      </c>
      <c r="Q235" s="7" t="n">
        <f aca="false">SUMIFS(Doors!AC:AC,Doors!$A:$A,$D235,Doors!$B:$B,$B235,Doors!$C:$C,$C235)*SUMIFS(Velocity!$I:$I,Velocity!$A:$A,$A235,Velocity!$B:$B,$C235)/Assumptions!$B$4*Assumptions!$B$6</f>
        <v>10</v>
      </c>
      <c r="R235" s="7" t="n">
        <f aca="false">SUMIFS(Doors!AD:AD,Doors!$A:$A,$D235,Doors!$B:$B,$B235,Doors!$C:$C,$C235)*SUMIFS(Velocity!$I:$I,Velocity!$A:$A,$A235,Velocity!$B:$B,$C235)/Assumptions!$B$4*Assumptions!$B$6</f>
        <v>12.5</v>
      </c>
      <c r="S235" s="7" t="n">
        <f aca="false">SUMIFS(Doors!AE:AE,Doors!$A:$A,$D235,Doors!$B:$B,$B235,Doors!$C:$C,$C235)*SUMIFS(Velocity!$I:$I,Velocity!$A:$A,$A235,Velocity!$B:$B,$C235)/Assumptions!$B$4*Assumptions!$B$6</f>
        <v>12.5</v>
      </c>
      <c r="T235" s="7" t="n">
        <f aca="false">SUMIFS(Doors!AF:AF,Doors!$A:$A,$D235,Doors!$B:$B,$B235,Doors!$C:$C,$C235)*SUMIFS(Velocity!$I:$I,Velocity!$A:$A,$A235,Velocity!$B:$B,$C235)/Assumptions!$B$4*Assumptions!$B$6</f>
        <v>12.5</v>
      </c>
      <c r="U235" s="7" t="n">
        <f aca="false">SUMIFS(Doors!AG:AG,Doors!$A:$A,$D235,Doors!$B:$B,$B235,Doors!$C:$C,$C235)*SUMIFS(Velocity!$I:$I,Velocity!$A:$A,$A235,Velocity!$B:$B,$C235)/Assumptions!$B$4*Assumptions!$B$6</f>
        <v>12.5</v>
      </c>
      <c r="V235" s="7" t="n">
        <f aca="false">SUMIFS(Doors!AH:AH,Doors!$A:$A,$D235,Doors!$B:$B,$B235,Doors!$C:$C,$C235)*SUMIFS(Velocity!$I:$I,Velocity!$A:$A,$A235,Velocity!$B:$B,$C235)/Assumptions!$B$4*Assumptions!$B$6</f>
        <v>12.5</v>
      </c>
      <c r="W235" s="7" t="n">
        <f aca="false">SUMIFS(Doors!AI:AI,Doors!$A:$A,$D235,Doors!$B:$B,$B235,Doors!$C:$C,$C235)*SUMIFS(Velocity!$I:$I,Velocity!$A:$A,$A235,Velocity!$B:$B,$C235)/Assumptions!$B$4*Assumptions!$B$6</f>
        <v>14.1666666666667</v>
      </c>
      <c r="X235" s="7" t="n">
        <f aca="false">SUMIFS(Doors!AJ:AJ,Doors!$A:$A,$D235,Doors!$B:$B,$B235,Doors!$C:$C,$C235)*SUMIFS(Velocity!$I:$I,Velocity!$A:$A,$A235,Velocity!$B:$B,$C235)/Assumptions!$B$4*Assumptions!$B$6</f>
        <v>14.1666666666667</v>
      </c>
      <c r="Y235" s="7" t="n">
        <f aca="false">SUMIFS(Doors!AK:AK,Doors!$A:$A,$D235,Doors!$B:$B,$B235,Doors!$C:$C,$C235)*SUMIFS(Velocity!$I:$I,Velocity!$A:$A,$A235,Velocity!$B:$B,$C235)/Assumptions!$B$4*Assumptions!$B$6</f>
        <v>14.1666666666667</v>
      </c>
      <c r="Z235" s="7" t="n">
        <f aca="false">SUMIFS(Doors!AL:AL,Doors!$A:$A,$D235,Doors!$B:$B,$B235,Doors!$C:$C,$C235)*SUMIFS(Velocity!$I:$I,Velocity!$A:$A,$A235,Velocity!$B:$B,$C235)/Assumptions!$B$4*Assumptions!$B$6</f>
        <v>14.1666666666667</v>
      </c>
      <c r="AA235" s="7" t="n">
        <f aca="false">SUMIFS(Doors!AM:AM,Doors!$A:$A,$D235,Doors!$B:$B,$B235,Doors!$C:$C,$C235)*SUMIFS(Velocity!$I:$I,Velocity!$A:$A,$A235,Velocity!$B:$B,$C235)/Assumptions!$B$4*Assumptions!$B$6</f>
        <v>15.8333333333333</v>
      </c>
      <c r="AB235" s="7" t="n">
        <f aca="false">SUMIFS(Doors!AN:AN,Doors!$A:$A,$D235,Doors!$B:$B,$B235,Doors!$C:$C,$C235)*SUMIFS(Velocity!$I:$I,Velocity!$A:$A,$A235,Velocity!$B:$B,$C235)/Assumptions!$B$4*Assumptions!$B$6</f>
        <v>15.8333333333333</v>
      </c>
      <c r="AC235" s="7" t="n">
        <f aca="false">SUMIFS(Doors!AO:AO,Doors!$A:$A,$D235,Doors!$B:$B,$B235,Doors!$C:$C,$C235)*SUMIFS(Velocity!$I:$I,Velocity!$A:$A,$A235,Velocity!$B:$B,$C235)/Assumptions!$B$4*Assumptions!$B$6</f>
        <v>15.8333333333333</v>
      </c>
      <c r="AD235" s="7" t="n">
        <f aca="false">SUMIFS(Doors!AP:AP,Doors!$A:$A,$D235,Doors!$B:$B,$B235,Doors!$C:$C,$C235)*SUMIFS(Velocity!$I:$I,Velocity!$A:$A,$A235,Velocity!$B:$B,$C235)/Assumptions!$B$4*Assumptions!$B$6</f>
        <v>15.8333333333333</v>
      </c>
      <c r="AE235" s="7" t="n">
        <f aca="false">SUMIFS(Doors!AQ:AQ,Doors!$A:$A,$D235,Doors!$B:$B,$B235,Doors!$C:$C,$C235)*SUMIFS(Velocity!$I:$I,Velocity!$A:$A,$A235,Velocity!$B:$B,$C235)/Assumptions!$B$4*Assumptions!$B$6</f>
        <v>17.5</v>
      </c>
      <c r="AF235" s="7" t="n">
        <f aca="false">SUMIFS(Doors!AR:AR,Doors!$A:$A,$D235,Doors!$B:$B,$B235,Doors!$C:$C,$C235)*SUMIFS(Velocity!$I:$I,Velocity!$A:$A,$A235,Velocity!$B:$B,$C235)/Assumptions!$B$4*Assumptions!$B$6</f>
        <v>17.5</v>
      </c>
      <c r="AG235" s="7" t="n">
        <f aca="false">SUMIFS(Doors!AS:AS,Doors!$A:$A,$D235,Doors!$B:$B,$B235,Doors!$C:$C,$C235)*SUMIFS(Velocity!$I:$I,Velocity!$A:$A,$A235,Velocity!$B:$B,$C235)/Assumptions!$B$4*Assumptions!$B$6</f>
        <v>17.5</v>
      </c>
      <c r="AH235" s="7" t="n">
        <f aca="false">SUMIFS(Doors!AT:AT,Doors!$A:$A,$D235,Doors!$B:$B,$B235,Doors!$C:$C,$C235)*SUMIFS(Velocity!$I:$I,Velocity!$A:$A,$A235,Velocity!$B:$B,$C235)/Assumptions!$B$4*Assumptions!$B$6</f>
        <v>17.5</v>
      </c>
      <c r="AI235" s="7" t="n">
        <f aca="false">SUMIFS(Doors!AU:AU,Doors!$A:$A,$D235,Doors!$B:$B,$B235,Doors!$C:$C,$C235)*SUMIFS(Velocity!$I:$I,Velocity!$A:$A,$A235,Velocity!$B:$B,$C235)/Assumptions!$B$4*Assumptions!$B$6</f>
        <v>17.5</v>
      </c>
      <c r="AJ235" s="7" t="n">
        <f aca="false">SUMIFS(Doors!AV:AV,Doors!$A:$A,$D235,Doors!$B:$B,$B235,Doors!$C:$C,$C235)*SUMIFS(Velocity!$I:$I,Velocity!$A:$A,$A235,Velocity!$B:$B,$C235)/Assumptions!$B$4*Assumptions!$B$6</f>
        <v>18.3333333333333</v>
      </c>
      <c r="AK235" s="7" t="n">
        <f aca="false">SUMIFS(Doors!AW:AW,Doors!$A:$A,$D235,Doors!$B:$B,$B235,Doors!$C:$C,$C235)*SUMIFS(Velocity!$I:$I,Velocity!$A:$A,$A235,Velocity!$B:$B,$C235)/Assumptions!$B$4*Assumptions!$B$6</f>
        <v>18.3333333333333</v>
      </c>
      <c r="AL235" s="7" t="n">
        <f aca="false">SUMIFS(Doors!AX:AX,Doors!$A:$A,$D235,Doors!$B:$B,$B235,Doors!$C:$C,$C235)*SUMIFS(Velocity!$I:$I,Velocity!$A:$A,$A235,Velocity!$B:$B,$C235)/Assumptions!$B$4*Assumptions!$B$6</f>
        <v>18.3333333333333</v>
      </c>
      <c r="AM235" s="7" t="n">
        <f aca="false">SUMIFS(Doors!AY:AY,Doors!$A:$A,$D235,Doors!$B:$B,$B235,Doors!$C:$C,$C235)*SUMIFS(Velocity!$I:$I,Velocity!$A:$A,$A235,Velocity!$B:$B,$C235)/Assumptions!$B$4*Assumptions!$B$6</f>
        <v>18.3333333333333</v>
      </c>
      <c r="AN235" s="7" t="n">
        <f aca="false">SUMIFS(Doors!AZ:AZ,Doors!$A:$A,$D235,Doors!$B:$B,$B235,Doors!$C:$C,$C235)*SUMIFS(Velocity!$I:$I,Velocity!$A:$A,$A235,Velocity!$B:$B,$C235)/Assumptions!$B$4*Assumptions!$B$6</f>
        <v>19.1666666666667</v>
      </c>
      <c r="AO235" s="7" t="n">
        <f aca="false">SUMIFS(Doors!BA:BA,Doors!$A:$A,$D235,Doors!$B:$B,$B235,Doors!$C:$C,$C235)*SUMIFS(Velocity!$I:$I,Velocity!$A:$A,$A235,Velocity!$B:$B,$C235)/Assumptions!$B$4*Assumptions!$B$6</f>
        <v>19.1666666666667</v>
      </c>
      <c r="AP235" s="7" t="n">
        <f aca="false">SUMIFS(Doors!BB:BB,Doors!$A:$A,$D235,Doors!$B:$B,$B235,Doors!$C:$C,$C235)*SUMIFS(Velocity!$I:$I,Velocity!$A:$A,$A235,Velocity!$B:$B,$C235)/Assumptions!$B$4*Assumptions!$B$6</f>
        <v>19.1666666666667</v>
      </c>
      <c r="AQ235" s="7" t="n">
        <f aca="false">SUMIFS(Doors!BC:BC,Doors!$A:$A,$D235,Doors!$B:$B,$B235,Doors!$C:$C,$C235)*SUMIFS(Velocity!$I:$I,Velocity!$A:$A,$A235,Velocity!$B:$B,$C235)/Assumptions!$B$4*Assumptions!$B$6</f>
        <v>19.1666666666667</v>
      </c>
      <c r="AR235" s="7" t="n">
        <f aca="false">SUMIFS(Doors!BD:BD,Doors!$A:$A,$D235,Doors!$B:$B,$B235,Doors!$C:$C,$C235)*SUMIFS(Velocity!$I:$I,Velocity!$A:$A,$A235,Velocity!$B:$B,$C235)/Assumptions!$B$4*Assumptions!$B$6</f>
        <v>19.6666666666667</v>
      </c>
      <c r="AS235" s="7" t="n">
        <f aca="false">SUMIFS(Doors!BE:BE,Doors!$A:$A,$D235,Doors!$B:$B,$B235,Doors!$C:$C,$C235)*SUMIFS(Velocity!$I:$I,Velocity!$A:$A,$A235,Velocity!$B:$B,$C235)/Assumptions!$B$4*Assumptions!$B$6</f>
        <v>19.6666666666667</v>
      </c>
      <c r="AT235" s="7" t="n">
        <f aca="false">SUMIFS(Doors!BF:BF,Doors!$A:$A,$D235,Doors!$B:$B,$B235,Doors!$C:$C,$C235)*SUMIFS(Velocity!$I:$I,Velocity!$A:$A,$A235,Velocity!$B:$B,$C235)/Assumptions!$B$4*Assumptions!$B$6</f>
        <v>19.6666666666667</v>
      </c>
      <c r="AU235" s="7" t="n">
        <f aca="false">SUMIFS(Doors!BG:BG,Doors!$A:$A,$D235,Doors!$B:$B,$B235,Doors!$C:$C,$C235)*SUMIFS(Velocity!$I:$I,Velocity!$A:$A,$A235,Velocity!$B:$B,$C235)/Assumptions!$B$4*Assumptions!$B$6</f>
        <v>19.6666666666667</v>
      </c>
      <c r="AV235" s="7" t="n">
        <f aca="false">SUMIFS(Doors!BH:BH,Doors!$A:$A,$D235,Doors!$B:$B,$B235,Doors!$C:$C,$C235)*SUMIFS(Velocity!$I:$I,Velocity!$A:$A,$A235,Velocity!$B:$B,$C235)/Assumptions!$B$4*Assumptions!$B$6</f>
        <v>19.6666666666667</v>
      </c>
      <c r="AW235" s="7" t="n">
        <f aca="false">SUMIFS(Doors!BI:BI,Doors!$A:$A,$D235,Doors!$B:$B,$B235,Doors!$C:$C,$C235)*SUMIFS(Velocity!$I:$I,Velocity!$A:$A,$A235,Velocity!$B:$B,$C235)/Assumptions!$B$4*Assumptions!$B$6</f>
        <v>20</v>
      </c>
      <c r="AX235" s="7" t="n">
        <f aca="false">SUMIFS(Doors!BJ:BJ,Doors!$A:$A,$D235,Doors!$B:$B,$B235,Doors!$C:$C,$C235)*SUMIFS(Velocity!$I:$I,Velocity!$A:$A,$A235,Velocity!$B:$B,$C235)/Assumptions!$B$4*Assumptions!$B$6</f>
        <v>20</v>
      </c>
      <c r="AY235" s="7" t="n">
        <f aca="false">SUMIFS(Doors!BK:BK,Doors!$A:$A,$D235,Doors!$B:$B,$B235,Doors!$C:$C,$C235)*SUMIFS(Velocity!$I:$I,Velocity!$A:$A,$A235,Velocity!$B:$B,$C235)/Assumptions!$B$4*Assumptions!$B$6</f>
        <v>20</v>
      </c>
      <c r="AZ235" s="7" t="n">
        <f aca="false">SUMIFS(Doors!BL:BL,Doors!$A:$A,$D235,Doors!$B:$B,$B235,Doors!$C:$C,$C235)*SUMIFS(Velocity!$I:$I,Velocity!$A:$A,$A235,Velocity!$B:$B,$C235)/Assumptions!$B$4*Assumptions!$B$6</f>
        <v>20</v>
      </c>
      <c r="BA235" s="7" t="n">
        <f aca="false">SUMIFS(Doors!BM:BM,Doors!$A:$A,$D235,Doors!$B:$B,$B235,Doors!$C:$C,$C235)*SUMIFS(Velocity!$I:$I,Velocity!$A:$A,$A235,Velocity!$B:$B,$C235)/Assumptions!$B$4*Assumptions!$B$6</f>
        <v>20.3333333333333</v>
      </c>
      <c r="BB235" s="7" t="n">
        <f aca="false">SUMIFS(Doors!BN:BN,Doors!$A:$A,$D235,Doors!$B:$B,$B235,Doors!$C:$C,$C235)*SUMIFS(Velocity!$I:$I,Velocity!$A:$A,$A235,Velocity!$B:$B,$C235)/Assumptions!$B$4*Assumptions!$B$6</f>
        <v>20.3333333333333</v>
      </c>
      <c r="BC235" s="7" t="n">
        <f aca="false">SUMIFS(Doors!BO:BO,Doors!$A:$A,$D235,Doors!$B:$B,$B235,Doors!$C:$C,$C235)*SUMIFS(Velocity!$I:$I,Velocity!$A:$A,$A235,Velocity!$B:$B,$C235)/Assumptions!$B$4*Assumptions!$B$6</f>
        <v>20.3333333333333</v>
      </c>
      <c r="BD235" s="7" t="n">
        <f aca="false">SUMIFS(Doors!BP:BP,Doors!$A:$A,$D235,Doors!$B:$B,$B235,Doors!$C:$C,$C235)*SUMIFS(Velocity!$I:$I,Velocity!$A:$A,$A235,Velocity!$B:$B,$C235)/Assumptions!$B$4*Assumptions!$B$6</f>
        <v>20.3333333333333</v>
      </c>
    </row>
    <row r="236" customFormat="false" ht="15" hidden="false" customHeight="false" outlineLevel="0" collapsed="false">
      <c r="A236" s="0" t="s">
        <v>110</v>
      </c>
      <c r="B236" s="0" t="s">
        <v>131</v>
      </c>
      <c r="C236" s="0" t="s">
        <v>120</v>
      </c>
      <c r="D236" s="0" t="s">
        <v>235</v>
      </c>
      <c r="E236" s="7" t="n">
        <f aca="false">SUMIFS(Doors!Q:Q,Doors!$A:$A,$D236,Doors!$B:$B,$B236,Doors!$C:$C,$C236)*SUMIFS(Velocity!$I:$I,Velocity!$A:$A,$A236,Velocity!$B:$B,$C236)/Assumptions!$B$4*Assumptions!$B$6</f>
        <v>5.9375</v>
      </c>
      <c r="F236" s="7" t="n">
        <f aca="false">SUMIFS(Doors!R:R,Doors!$A:$A,$D236,Doors!$B:$B,$B236,Doors!$C:$C,$C236)*SUMIFS(Velocity!$I:$I,Velocity!$A:$A,$A236,Velocity!$B:$B,$C236)/Assumptions!$B$4*Assumptions!$B$6</f>
        <v>5.9375</v>
      </c>
      <c r="G236" s="7" t="n">
        <f aca="false">SUMIFS(Doors!S:S,Doors!$A:$A,$D236,Doors!$B:$B,$B236,Doors!$C:$C,$C236)*SUMIFS(Velocity!$I:$I,Velocity!$A:$A,$A236,Velocity!$B:$B,$C236)/Assumptions!$B$4*Assumptions!$B$6</f>
        <v>5.9375</v>
      </c>
      <c r="H236" s="7" t="n">
        <f aca="false">SUMIFS(Doors!T:T,Doors!$A:$A,$D236,Doors!$B:$B,$B236,Doors!$C:$C,$C236)*SUMIFS(Velocity!$I:$I,Velocity!$A:$A,$A236,Velocity!$B:$B,$C236)/Assumptions!$B$4*Assumptions!$B$6</f>
        <v>5.9375</v>
      </c>
      <c r="I236" s="7" t="n">
        <f aca="false">SUMIFS(Doors!U:U,Doors!$A:$A,$D236,Doors!$B:$B,$B236,Doors!$C:$C,$C236)*SUMIFS(Velocity!$I:$I,Velocity!$A:$A,$A236,Velocity!$B:$B,$C236)/Assumptions!$B$4*Assumptions!$B$6</f>
        <v>5.9375</v>
      </c>
      <c r="J236" s="7" t="n">
        <f aca="false">SUMIFS(Doors!V:V,Doors!$A:$A,$D236,Doors!$B:$B,$B236,Doors!$C:$C,$C236)*SUMIFS(Velocity!$I:$I,Velocity!$A:$A,$A236,Velocity!$B:$B,$C236)/Assumptions!$B$4*Assumptions!$B$6</f>
        <v>9.89583333333333</v>
      </c>
      <c r="K236" s="7" t="n">
        <f aca="false">SUMIFS(Doors!W:W,Doors!$A:$A,$D236,Doors!$B:$B,$B236,Doors!$C:$C,$C236)*SUMIFS(Velocity!$I:$I,Velocity!$A:$A,$A236,Velocity!$B:$B,$C236)/Assumptions!$B$4*Assumptions!$B$6</f>
        <v>9.89583333333333</v>
      </c>
      <c r="L236" s="7" t="n">
        <f aca="false">SUMIFS(Doors!X:X,Doors!$A:$A,$D236,Doors!$B:$B,$B236,Doors!$C:$C,$C236)*SUMIFS(Velocity!$I:$I,Velocity!$A:$A,$A236,Velocity!$B:$B,$C236)/Assumptions!$B$4*Assumptions!$B$6</f>
        <v>9.89583333333333</v>
      </c>
      <c r="M236" s="7" t="n">
        <f aca="false">SUMIFS(Doors!Y:Y,Doors!$A:$A,$D236,Doors!$B:$B,$B236,Doors!$C:$C,$C236)*SUMIFS(Velocity!$I:$I,Velocity!$A:$A,$A236,Velocity!$B:$B,$C236)/Assumptions!$B$4*Assumptions!$B$6</f>
        <v>9.89583333333333</v>
      </c>
      <c r="N236" s="7" t="n">
        <f aca="false">SUMIFS(Doors!Z:Z,Doors!$A:$A,$D236,Doors!$B:$B,$B236,Doors!$C:$C,$C236)*SUMIFS(Velocity!$I:$I,Velocity!$A:$A,$A236,Velocity!$B:$B,$C236)/Assumptions!$B$4*Assumptions!$B$6</f>
        <v>13.8541666666667</v>
      </c>
      <c r="O236" s="7" t="n">
        <f aca="false">SUMIFS(Doors!AA:AA,Doors!$A:$A,$D236,Doors!$B:$B,$B236,Doors!$C:$C,$C236)*SUMIFS(Velocity!$I:$I,Velocity!$A:$A,$A236,Velocity!$B:$B,$C236)/Assumptions!$B$4*Assumptions!$B$6</f>
        <v>13.8541666666667</v>
      </c>
      <c r="P236" s="7" t="n">
        <f aca="false">SUMIFS(Doors!AB:AB,Doors!$A:$A,$D236,Doors!$B:$B,$B236,Doors!$C:$C,$C236)*SUMIFS(Velocity!$I:$I,Velocity!$A:$A,$A236,Velocity!$B:$B,$C236)/Assumptions!$B$4*Assumptions!$B$6</f>
        <v>13.8541666666667</v>
      </c>
      <c r="Q236" s="7" t="n">
        <f aca="false">SUMIFS(Doors!AC:AC,Doors!$A:$A,$D236,Doors!$B:$B,$B236,Doors!$C:$C,$C236)*SUMIFS(Velocity!$I:$I,Velocity!$A:$A,$A236,Velocity!$B:$B,$C236)/Assumptions!$B$4*Assumptions!$B$6</f>
        <v>13.8541666666667</v>
      </c>
      <c r="R236" s="7" t="n">
        <f aca="false">SUMIFS(Doors!AD:AD,Doors!$A:$A,$D236,Doors!$B:$B,$B236,Doors!$C:$C,$C236)*SUMIFS(Velocity!$I:$I,Velocity!$A:$A,$A236,Velocity!$B:$B,$C236)/Assumptions!$B$4*Assumptions!$B$6</f>
        <v>17.8125</v>
      </c>
      <c r="S236" s="7" t="n">
        <f aca="false">SUMIFS(Doors!AE:AE,Doors!$A:$A,$D236,Doors!$B:$B,$B236,Doors!$C:$C,$C236)*SUMIFS(Velocity!$I:$I,Velocity!$A:$A,$A236,Velocity!$B:$B,$C236)/Assumptions!$B$4*Assumptions!$B$6</f>
        <v>17.8125</v>
      </c>
      <c r="T236" s="7" t="n">
        <f aca="false">SUMIFS(Doors!AF:AF,Doors!$A:$A,$D236,Doors!$B:$B,$B236,Doors!$C:$C,$C236)*SUMIFS(Velocity!$I:$I,Velocity!$A:$A,$A236,Velocity!$B:$B,$C236)/Assumptions!$B$4*Assumptions!$B$6</f>
        <v>17.8125</v>
      </c>
      <c r="U236" s="7" t="n">
        <f aca="false">SUMIFS(Doors!AG:AG,Doors!$A:$A,$D236,Doors!$B:$B,$B236,Doors!$C:$C,$C236)*SUMIFS(Velocity!$I:$I,Velocity!$A:$A,$A236,Velocity!$B:$B,$C236)/Assumptions!$B$4*Assumptions!$B$6</f>
        <v>17.8125</v>
      </c>
      <c r="V236" s="7" t="n">
        <f aca="false">SUMIFS(Doors!AH:AH,Doors!$A:$A,$D236,Doors!$B:$B,$B236,Doors!$C:$C,$C236)*SUMIFS(Velocity!$I:$I,Velocity!$A:$A,$A236,Velocity!$B:$B,$C236)/Assumptions!$B$4*Assumptions!$B$6</f>
        <v>17.8125</v>
      </c>
      <c r="W236" s="7" t="n">
        <f aca="false">SUMIFS(Doors!AI:AI,Doors!$A:$A,$D236,Doors!$B:$B,$B236,Doors!$C:$C,$C236)*SUMIFS(Velocity!$I:$I,Velocity!$A:$A,$A236,Velocity!$B:$B,$C236)/Assumptions!$B$4*Assumptions!$B$6</f>
        <v>20.78125</v>
      </c>
      <c r="X236" s="7" t="n">
        <f aca="false">SUMIFS(Doors!AJ:AJ,Doors!$A:$A,$D236,Doors!$B:$B,$B236,Doors!$C:$C,$C236)*SUMIFS(Velocity!$I:$I,Velocity!$A:$A,$A236,Velocity!$B:$B,$C236)/Assumptions!$B$4*Assumptions!$B$6</f>
        <v>20.78125</v>
      </c>
      <c r="Y236" s="7" t="n">
        <f aca="false">SUMIFS(Doors!AK:AK,Doors!$A:$A,$D236,Doors!$B:$B,$B236,Doors!$C:$C,$C236)*SUMIFS(Velocity!$I:$I,Velocity!$A:$A,$A236,Velocity!$B:$B,$C236)/Assumptions!$B$4*Assumptions!$B$6</f>
        <v>20.78125</v>
      </c>
      <c r="Z236" s="7" t="n">
        <f aca="false">SUMIFS(Doors!AL:AL,Doors!$A:$A,$D236,Doors!$B:$B,$B236,Doors!$C:$C,$C236)*SUMIFS(Velocity!$I:$I,Velocity!$A:$A,$A236,Velocity!$B:$B,$C236)/Assumptions!$B$4*Assumptions!$B$6</f>
        <v>20.78125</v>
      </c>
      <c r="AA236" s="7" t="n">
        <f aca="false">SUMIFS(Doors!AM:AM,Doors!$A:$A,$D236,Doors!$B:$B,$B236,Doors!$C:$C,$C236)*SUMIFS(Velocity!$I:$I,Velocity!$A:$A,$A236,Velocity!$B:$B,$C236)/Assumptions!$B$4*Assumptions!$B$6</f>
        <v>22.7604166666667</v>
      </c>
      <c r="AB236" s="7" t="n">
        <f aca="false">SUMIFS(Doors!AN:AN,Doors!$A:$A,$D236,Doors!$B:$B,$B236,Doors!$C:$C,$C236)*SUMIFS(Velocity!$I:$I,Velocity!$A:$A,$A236,Velocity!$B:$B,$C236)/Assumptions!$B$4*Assumptions!$B$6</f>
        <v>22.7604166666667</v>
      </c>
      <c r="AC236" s="7" t="n">
        <f aca="false">SUMIFS(Doors!AO:AO,Doors!$A:$A,$D236,Doors!$B:$B,$B236,Doors!$C:$C,$C236)*SUMIFS(Velocity!$I:$I,Velocity!$A:$A,$A236,Velocity!$B:$B,$C236)/Assumptions!$B$4*Assumptions!$B$6</f>
        <v>22.7604166666667</v>
      </c>
      <c r="AD236" s="7" t="n">
        <f aca="false">SUMIFS(Doors!AP:AP,Doors!$A:$A,$D236,Doors!$B:$B,$B236,Doors!$C:$C,$C236)*SUMIFS(Velocity!$I:$I,Velocity!$A:$A,$A236,Velocity!$B:$B,$C236)/Assumptions!$B$4*Assumptions!$B$6</f>
        <v>22.7604166666667</v>
      </c>
      <c r="AE236" s="7" t="n">
        <f aca="false">SUMIFS(Doors!AQ:AQ,Doors!$A:$A,$D236,Doors!$B:$B,$B236,Doors!$C:$C,$C236)*SUMIFS(Velocity!$I:$I,Velocity!$A:$A,$A236,Velocity!$B:$B,$C236)/Assumptions!$B$4*Assumptions!$B$6</f>
        <v>24.1458333333333</v>
      </c>
      <c r="AF236" s="7" t="n">
        <f aca="false">SUMIFS(Doors!AR:AR,Doors!$A:$A,$D236,Doors!$B:$B,$B236,Doors!$C:$C,$C236)*SUMIFS(Velocity!$I:$I,Velocity!$A:$A,$A236,Velocity!$B:$B,$C236)/Assumptions!$B$4*Assumptions!$B$6</f>
        <v>24.1458333333333</v>
      </c>
      <c r="AG236" s="7" t="n">
        <f aca="false">SUMIFS(Doors!AS:AS,Doors!$A:$A,$D236,Doors!$B:$B,$B236,Doors!$C:$C,$C236)*SUMIFS(Velocity!$I:$I,Velocity!$A:$A,$A236,Velocity!$B:$B,$C236)/Assumptions!$B$4*Assumptions!$B$6</f>
        <v>24.1458333333333</v>
      </c>
      <c r="AH236" s="7" t="n">
        <f aca="false">SUMIFS(Doors!AT:AT,Doors!$A:$A,$D236,Doors!$B:$B,$B236,Doors!$C:$C,$C236)*SUMIFS(Velocity!$I:$I,Velocity!$A:$A,$A236,Velocity!$B:$B,$C236)/Assumptions!$B$4*Assumptions!$B$6</f>
        <v>24.1458333333333</v>
      </c>
      <c r="AI236" s="7" t="n">
        <f aca="false">SUMIFS(Doors!AU:AU,Doors!$A:$A,$D236,Doors!$B:$B,$B236,Doors!$C:$C,$C236)*SUMIFS(Velocity!$I:$I,Velocity!$A:$A,$A236,Velocity!$B:$B,$C236)/Assumptions!$B$4*Assumptions!$B$6</f>
        <v>24.1458333333333</v>
      </c>
      <c r="AJ236" s="7" t="n">
        <f aca="false">SUMIFS(Doors!AV:AV,Doors!$A:$A,$D236,Doors!$B:$B,$B236,Doors!$C:$C,$C236)*SUMIFS(Velocity!$I:$I,Velocity!$A:$A,$A236,Velocity!$B:$B,$C236)/Assumptions!$B$4*Assumptions!$B$6</f>
        <v>24.9375</v>
      </c>
      <c r="AK236" s="7" t="n">
        <f aca="false">SUMIFS(Doors!AW:AW,Doors!$A:$A,$D236,Doors!$B:$B,$B236,Doors!$C:$C,$C236)*SUMIFS(Velocity!$I:$I,Velocity!$A:$A,$A236,Velocity!$B:$B,$C236)/Assumptions!$B$4*Assumptions!$B$6</f>
        <v>24.9375</v>
      </c>
      <c r="AL236" s="7" t="n">
        <f aca="false">SUMIFS(Doors!AX:AX,Doors!$A:$A,$D236,Doors!$B:$B,$B236,Doors!$C:$C,$C236)*SUMIFS(Velocity!$I:$I,Velocity!$A:$A,$A236,Velocity!$B:$B,$C236)/Assumptions!$B$4*Assumptions!$B$6</f>
        <v>24.9375</v>
      </c>
      <c r="AM236" s="7" t="n">
        <f aca="false">SUMIFS(Doors!AY:AY,Doors!$A:$A,$D236,Doors!$B:$B,$B236,Doors!$C:$C,$C236)*SUMIFS(Velocity!$I:$I,Velocity!$A:$A,$A236,Velocity!$B:$B,$C236)/Assumptions!$B$4*Assumptions!$B$6</f>
        <v>24.9375</v>
      </c>
      <c r="AN236" s="7" t="n">
        <f aca="false">SUMIFS(Doors!AZ:AZ,Doors!$A:$A,$D236,Doors!$B:$B,$B236,Doors!$C:$C,$C236)*SUMIFS(Velocity!$I:$I,Velocity!$A:$A,$A236,Velocity!$B:$B,$C236)/Assumptions!$B$4*Assumptions!$B$6</f>
        <v>25.3333333333333</v>
      </c>
      <c r="AO236" s="7" t="n">
        <f aca="false">SUMIFS(Doors!BA:BA,Doors!$A:$A,$D236,Doors!$B:$B,$B236,Doors!$C:$C,$C236)*SUMIFS(Velocity!$I:$I,Velocity!$A:$A,$A236,Velocity!$B:$B,$C236)/Assumptions!$B$4*Assumptions!$B$6</f>
        <v>25.3333333333333</v>
      </c>
      <c r="AP236" s="7" t="n">
        <f aca="false">SUMIFS(Doors!BB:BB,Doors!$A:$A,$D236,Doors!$B:$B,$B236,Doors!$C:$C,$C236)*SUMIFS(Velocity!$I:$I,Velocity!$A:$A,$A236,Velocity!$B:$B,$C236)/Assumptions!$B$4*Assumptions!$B$6</f>
        <v>25.3333333333333</v>
      </c>
      <c r="AQ236" s="7" t="n">
        <f aca="false">SUMIFS(Doors!BC:BC,Doors!$A:$A,$D236,Doors!$B:$B,$B236,Doors!$C:$C,$C236)*SUMIFS(Velocity!$I:$I,Velocity!$A:$A,$A236,Velocity!$B:$B,$C236)/Assumptions!$B$4*Assumptions!$B$6</f>
        <v>25.3333333333333</v>
      </c>
      <c r="AR236" s="7" t="n">
        <f aca="false">SUMIFS(Doors!BD:BD,Doors!$A:$A,$D236,Doors!$B:$B,$B236,Doors!$C:$C,$C236)*SUMIFS(Velocity!$I:$I,Velocity!$A:$A,$A236,Velocity!$B:$B,$C236)/Assumptions!$B$4*Assumptions!$B$6</f>
        <v>25.7291666666667</v>
      </c>
      <c r="AS236" s="7" t="n">
        <f aca="false">SUMIFS(Doors!BE:BE,Doors!$A:$A,$D236,Doors!$B:$B,$B236,Doors!$C:$C,$C236)*SUMIFS(Velocity!$I:$I,Velocity!$A:$A,$A236,Velocity!$B:$B,$C236)/Assumptions!$B$4*Assumptions!$B$6</f>
        <v>25.7291666666667</v>
      </c>
      <c r="AT236" s="7" t="n">
        <f aca="false">SUMIFS(Doors!BF:BF,Doors!$A:$A,$D236,Doors!$B:$B,$B236,Doors!$C:$C,$C236)*SUMIFS(Velocity!$I:$I,Velocity!$A:$A,$A236,Velocity!$B:$B,$C236)/Assumptions!$B$4*Assumptions!$B$6</f>
        <v>25.7291666666667</v>
      </c>
      <c r="AU236" s="7" t="n">
        <f aca="false">SUMIFS(Doors!BG:BG,Doors!$A:$A,$D236,Doors!$B:$B,$B236,Doors!$C:$C,$C236)*SUMIFS(Velocity!$I:$I,Velocity!$A:$A,$A236,Velocity!$B:$B,$C236)/Assumptions!$B$4*Assumptions!$B$6</f>
        <v>25.7291666666667</v>
      </c>
      <c r="AV236" s="7" t="n">
        <f aca="false">SUMIFS(Doors!BH:BH,Doors!$A:$A,$D236,Doors!$B:$B,$B236,Doors!$C:$C,$C236)*SUMIFS(Velocity!$I:$I,Velocity!$A:$A,$A236,Velocity!$B:$B,$C236)/Assumptions!$B$4*Assumptions!$B$6</f>
        <v>25.7291666666667</v>
      </c>
      <c r="AW236" s="7" t="n">
        <f aca="false">SUMIFS(Doors!BI:BI,Doors!$A:$A,$D236,Doors!$B:$B,$B236,Doors!$C:$C,$C236)*SUMIFS(Velocity!$I:$I,Velocity!$A:$A,$A236,Velocity!$B:$B,$C236)/Assumptions!$B$4*Assumptions!$B$6</f>
        <v>25.7291666666667</v>
      </c>
      <c r="AX236" s="7" t="n">
        <f aca="false">SUMIFS(Doors!BJ:BJ,Doors!$A:$A,$D236,Doors!$B:$B,$B236,Doors!$C:$C,$C236)*SUMIFS(Velocity!$I:$I,Velocity!$A:$A,$A236,Velocity!$B:$B,$C236)/Assumptions!$B$4*Assumptions!$B$6</f>
        <v>25.7291666666667</v>
      </c>
      <c r="AY236" s="7" t="n">
        <f aca="false">SUMIFS(Doors!BK:BK,Doors!$A:$A,$D236,Doors!$B:$B,$B236,Doors!$C:$C,$C236)*SUMIFS(Velocity!$I:$I,Velocity!$A:$A,$A236,Velocity!$B:$B,$C236)/Assumptions!$B$4*Assumptions!$B$6</f>
        <v>25.7291666666667</v>
      </c>
      <c r="AZ236" s="7" t="n">
        <f aca="false">SUMIFS(Doors!BL:BL,Doors!$A:$A,$D236,Doors!$B:$B,$B236,Doors!$C:$C,$C236)*SUMIFS(Velocity!$I:$I,Velocity!$A:$A,$A236,Velocity!$B:$B,$C236)/Assumptions!$B$4*Assumptions!$B$6</f>
        <v>25.7291666666667</v>
      </c>
      <c r="BA236" s="7" t="n">
        <f aca="false">SUMIFS(Doors!BM:BM,Doors!$A:$A,$D236,Doors!$B:$B,$B236,Doors!$C:$C,$C236)*SUMIFS(Velocity!$I:$I,Velocity!$A:$A,$A236,Velocity!$B:$B,$C236)/Assumptions!$B$4*Assumptions!$B$6</f>
        <v>25.7291666666667</v>
      </c>
      <c r="BB236" s="7" t="n">
        <f aca="false">SUMIFS(Doors!BN:BN,Doors!$A:$A,$D236,Doors!$B:$B,$B236,Doors!$C:$C,$C236)*SUMIFS(Velocity!$I:$I,Velocity!$A:$A,$A236,Velocity!$B:$B,$C236)/Assumptions!$B$4*Assumptions!$B$6</f>
        <v>25.7291666666667</v>
      </c>
      <c r="BC236" s="7" t="n">
        <f aca="false">SUMIFS(Doors!BO:BO,Doors!$A:$A,$D236,Doors!$B:$B,$B236,Doors!$C:$C,$C236)*SUMIFS(Velocity!$I:$I,Velocity!$A:$A,$A236,Velocity!$B:$B,$C236)/Assumptions!$B$4*Assumptions!$B$6</f>
        <v>25.7291666666667</v>
      </c>
      <c r="BD236" s="7" t="n">
        <f aca="false">SUMIFS(Doors!BP:BP,Doors!$A:$A,$D236,Doors!$B:$B,$B236,Doors!$C:$C,$C236)*SUMIFS(Velocity!$I:$I,Velocity!$A:$A,$A236,Velocity!$B:$B,$C236)/Assumptions!$B$4*Assumptions!$B$6</f>
        <v>25.7291666666667</v>
      </c>
    </row>
    <row r="237" customFormat="false" ht="15" hidden="false" customHeight="false" outlineLevel="0" collapsed="false">
      <c r="A237" s="0" t="s">
        <v>110</v>
      </c>
      <c r="B237" s="0" t="s">
        <v>131</v>
      </c>
      <c r="C237" s="0" t="s">
        <v>121</v>
      </c>
      <c r="D237" s="0" t="s">
        <v>235</v>
      </c>
      <c r="E237" s="7" t="n">
        <f aca="false">SUMIFS(Doors!Q:Q,Doors!$A:$A,$D237,Doors!$B:$B,$B237,Doors!$C:$C,$C237)*SUMIFS(Velocity!$I:$I,Velocity!$A:$A,$A237,Velocity!$B:$B,$C237)/Assumptions!$B$4*Assumptions!$B$6</f>
        <v>4.5625</v>
      </c>
      <c r="F237" s="7" t="n">
        <f aca="false">SUMIFS(Doors!R:R,Doors!$A:$A,$D237,Doors!$B:$B,$B237,Doors!$C:$C,$C237)*SUMIFS(Velocity!$I:$I,Velocity!$A:$A,$A237,Velocity!$B:$B,$C237)/Assumptions!$B$4*Assumptions!$B$6</f>
        <v>4.5625</v>
      </c>
      <c r="G237" s="7" t="n">
        <f aca="false">SUMIFS(Doors!S:S,Doors!$A:$A,$D237,Doors!$B:$B,$B237,Doors!$C:$C,$C237)*SUMIFS(Velocity!$I:$I,Velocity!$A:$A,$A237,Velocity!$B:$B,$C237)/Assumptions!$B$4*Assumptions!$B$6</f>
        <v>4.5625</v>
      </c>
      <c r="H237" s="7" t="n">
        <f aca="false">SUMIFS(Doors!T:T,Doors!$A:$A,$D237,Doors!$B:$B,$B237,Doors!$C:$C,$C237)*SUMIFS(Velocity!$I:$I,Velocity!$A:$A,$A237,Velocity!$B:$B,$C237)/Assumptions!$B$4*Assumptions!$B$6</f>
        <v>4.5625</v>
      </c>
      <c r="I237" s="7" t="n">
        <f aca="false">SUMIFS(Doors!U:U,Doors!$A:$A,$D237,Doors!$B:$B,$B237,Doors!$C:$C,$C237)*SUMIFS(Velocity!$I:$I,Velocity!$A:$A,$A237,Velocity!$B:$B,$C237)/Assumptions!$B$4*Assumptions!$B$6</f>
        <v>4.5625</v>
      </c>
      <c r="J237" s="7" t="n">
        <f aca="false">SUMIFS(Doors!V:V,Doors!$A:$A,$D237,Doors!$B:$B,$B237,Doors!$C:$C,$C237)*SUMIFS(Velocity!$I:$I,Velocity!$A:$A,$A237,Velocity!$B:$B,$C237)/Assumptions!$B$4*Assumptions!$B$6</f>
        <v>6.69166666666667</v>
      </c>
      <c r="K237" s="7" t="n">
        <f aca="false">SUMIFS(Doors!W:W,Doors!$A:$A,$D237,Doors!$B:$B,$B237,Doors!$C:$C,$C237)*SUMIFS(Velocity!$I:$I,Velocity!$A:$A,$A237,Velocity!$B:$B,$C237)/Assumptions!$B$4*Assumptions!$B$6</f>
        <v>6.69166666666667</v>
      </c>
      <c r="L237" s="7" t="n">
        <f aca="false">SUMIFS(Doors!X:X,Doors!$A:$A,$D237,Doors!$B:$B,$B237,Doors!$C:$C,$C237)*SUMIFS(Velocity!$I:$I,Velocity!$A:$A,$A237,Velocity!$B:$B,$C237)/Assumptions!$B$4*Assumptions!$B$6</f>
        <v>6.69166666666667</v>
      </c>
      <c r="M237" s="7" t="n">
        <f aca="false">SUMIFS(Doors!Y:Y,Doors!$A:$A,$D237,Doors!$B:$B,$B237,Doors!$C:$C,$C237)*SUMIFS(Velocity!$I:$I,Velocity!$A:$A,$A237,Velocity!$B:$B,$C237)/Assumptions!$B$4*Assumptions!$B$6</f>
        <v>6.69166666666667</v>
      </c>
      <c r="N237" s="7" t="n">
        <f aca="false">SUMIFS(Doors!Z:Z,Doors!$A:$A,$D237,Doors!$B:$B,$B237,Doors!$C:$C,$C237)*SUMIFS(Velocity!$I:$I,Velocity!$A:$A,$A237,Velocity!$B:$B,$C237)/Assumptions!$B$4*Assumptions!$B$6</f>
        <v>9.73333333333333</v>
      </c>
      <c r="O237" s="7" t="n">
        <f aca="false">SUMIFS(Doors!AA:AA,Doors!$A:$A,$D237,Doors!$B:$B,$B237,Doors!$C:$C,$C237)*SUMIFS(Velocity!$I:$I,Velocity!$A:$A,$A237,Velocity!$B:$B,$C237)/Assumptions!$B$4*Assumptions!$B$6</f>
        <v>9.73333333333333</v>
      </c>
      <c r="P237" s="7" t="n">
        <f aca="false">SUMIFS(Doors!AB:AB,Doors!$A:$A,$D237,Doors!$B:$B,$B237,Doors!$C:$C,$C237)*SUMIFS(Velocity!$I:$I,Velocity!$A:$A,$A237,Velocity!$B:$B,$C237)/Assumptions!$B$4*Assumptions!$B$6</f>
        <v>9.73333333333333</v>
      </c>
      <c r="Q237" s="7" t="n">
        <f aca="false">SUMIFS(Doors!AC:AC,Doors!$A:$A,$D237,Doors!$B:$B,$B237,Doors!$C:$C,$C237)*SUMIFS(Velocity!$I:$I,Velocity!$A:$A,$A237,Velocity!$B:$B,$C237)/Assumptions!$B$4*Assumptions!$B$6</f>
        <v>9.73333333333333</v>
      </c>
      <c r="R237" s="7" t="n">
        <f aca="false">SUMIFS(Doors!AD:AD,Doors!$A:$A,$D237,Doors!$B:$B,$B237,Doors!$C:$C,$C237)*SUMIFS(Velocity!$I:$I,Velocity!$A:$A,$A237,Velocity!$B:$B,$C237)/Assumptions!$B$4*Assumptions!$B$6</f>
        <v>12.775</v>
      </c>
      <c r="S237" s="7" t="n">
        <f aca="false">SUMIFS(Doors!AE:AE,Doors!$A:$A,$D237,Doors!$B:$B,$B237,Doors!$C:$C,$C237)*SUMIFS(Velocity!$I:$I,Velocity!$A:$A,$A237,Velocity!$B:$B,$C237)/Assumptions!$B$4*Assumptions!$B$6</f>
        <v>12.775</v>
      </c>
      <c r="T237" s="7" t="n">
        <f aca="false">SUMIFS(Doors!AF:AF,Doors!$A:$A,$D237,Doors!$B:$B,$B237,Doors!$C:$C,$C237)*SUMIFS(Velocity!$I:$I,Velocity!$A:$A,$A237,Velocity!$B:$B,$C237)/Assumptions!$B$4*Assumptions!$B$6</f>
        <v>12.775</v>
      </c>
      <c r="U237" s="7" t="n">
        <f aca="false">SUMIFS(Doors!AG:AG,Doors!$A:$A,$D237,Doors!$B:$B,$B237,Doors!$C:$C,$C237)*SUMIFS(Velocity!$I:$I,Velocity!$A:$A,$A237,Velocity!$B:$B,$C237)/Assumptions!$B$4*Assumptions!$B$6</f>
        <v>12.775</v>
      </c>
      <c r="V237" s="7" t="n">
        <f aca="false">SUMIFS(Doors!AH:AH,Doors!$A:$A,$D237,Doors!$B:$B,$B237,Doors!$C:$C,$C237)*SUMIFS(Velocity!$I:$I,Velocity!$A:$A,$A237,Velocity!$B:$B,$C237)/Assumptions!$B$4*Assumptions!$B$6</f>
        <v>12.775</v>
      </c>
      <c r="W237" s="7" t="n">
        <f aca="false">SUMIFS(Doors!AI:AI,Doors!$A:$A,$D237,Doors!$B:$B,$B237,Doors!$C:$C,$C237)*SUMIFS(Velocity!$I:$I,Velocity!$A:$A,$A237,Velocity!$B:$B,$C237)/Assumptions!$B$4*Assumptions!$B$6</f>
        <v>15.2083333333333</v>
      </c>
      <c r="X237" s="7" t="n">
        <f aca="false">SUMIFS(Doors!AJ:AJ,Doors!$A:$A,$D237,Doors!$B:$B,$B237,Doors!$C:$C,$C237)*SUMIFS(Velocity!$I:$I,Velocity!$A:$A,$A237,Velocity!$B:$B,$C237)/Assumptions!$B$4*Assumptions!$B$6</f>
        <v>15.2083333333333</v>
      </c>
      <c r="Y237" s="7" t="n">
        <f aca="false">SUMIFS(Doors!AK:AK,Doors!$A:$A,$D237,Doors!$B:$B,$B237,Doors!$C:$C,$C237)*SUMIFS(Velocity!$I:$I,Velocity!$A:$A,$A237,Velocity!$B:$B,$C237)/Assumptions!$B$4*Assumptions!$B$6</f>
        <v>15.2083333333333</v>
      </c>
      <c r="Z237" s="7" t="n">
        <f aca="false">SUMIFS(Doors!AL:AL,Doors!$A:$A,$D237,Doors!$B:$B,$B237,Doors!$C:$C,$C237)*SUMIFS(Velocity!$I:$I,Velocity!$A:$A,$A237,Velocity!$B:$B,$C237)/Assumptions!$B$4*Assumptions!$B$6</f>
        <v>15.2083333333333</v>
      </c>
      <c r="AA237" s="7" t="n">
        <f aca="false">SUMIFS(Doors!AM:AM,Doors!$A:$A,$D237,Doors!$B:$B,$B237,Doors!$C:$C,$C237)*SUMIFS(Velocity!$I:$I,Velocity!$A:$A,$A237,Velocity!$B:$B,$C237)/Assumptions!$B$4*Assumptions!$B$6</f>
        <v>16.7291666666667</v>
      </c>
      <c r="AB237" s="7" t="n">
        <f aca="false">SUMIFS(Doors!AN:AN,Doors!$A:$A,$D237,Doors!$B:$B,$B237,Doors!$C:$C,$C237)*SUMIFS(Velocity!$I:$I,Velocity!$A:$A,$A237,Velocity!$B:$B,$C237)/Assumptions!$B$4*Assumptions!$B$6</f>
        <v>16.7291666666667</v>
      </c>
      <c r="AC237" s="7" t="n">
        <f aca="false">SUMIFS(Doors!AO:AO,Doors!$A:$A,$D237,Doors!$B:$B,$B237,Doors!$C:$C,$C237)*SUMIFS(Velocity!$I:$I,Velocity!$A:$A,$A237,Velocity!$B:$B,$C237)/Assumptions!$B$4*Assumptions!$B$6</f>
        <v>16.7291666666667</v>
      </c>
      <c r="AD237" s="7" t="n">
        <f aca="false">SUMIFS(Doors!AP:AP,Doors!$A:$A,$D237,Doors!$B:$B,$B237,Doors!$C:$C,$C237)*SUMIFS(Velocity!$I:$I,Velocity!$A:$A,$A237,Velocity!$B:$B,$C237)/Assumptions!$B$4*Assumptions!$B$6</f>
        <v>16.7291666666667</v>
      </c>
      <c r="AE237" s="7" t="n">
        <f aca="false">SUMIFS(Doors!AQ:AQ,Doors!$A:$A,$D237,Doors!$B:$B,$B237,Doors!$C:$C,$C237)*SUMIFS(Velocity!$I:$I,Velocity!$A:$A,$A237,Velocity!$B:$B,$C237)/Assumptions!$B$4*Assumptions!$B$6</f>
        <v>17.6416666666667</v>
      </c>
      <c r="AF237" s="7" t="n">
        <f aca="false">SUMIFS(Doors!AR:AR,Doors!$A:$A,$D237,Doors!$B:$B,$B237,Doors!$C:$C,$C237)*SUMIFS(Velocity!$I:$I,Velocity!$A:$A,$A237,Velocity!$B:$B,$C237)/Assumptions!$B$4*Assumptions!$B$6</f>
        <v>17.6416666666667</v>
      </c>
      <c r="AG237" s="7" t="n">
        <f aca="false">SUMIFS(Doors!AS:AS,Doors!$A:$A,$D237,Doors!$B:$B,$B237,Doors!$C:$C,$C237)*SUMIFS(Velocity!$I:$I,Velocity!$A:$A,$A237,Velocity!$B:$B,$C237)/Assumptions!$B$4*Assumptions!$B$6</f>
        <v>17.6416666666667</v>
      </c>
      <c r="AH237" s="7" t="n">
        <f aca="false">SUMIFS(Doors!AT:AT,Doors!$A:$A,$D237,Doors!$B:$B,$B237,Doors!$C:$C,$C237)*SUMIFS(Velocity!$I:$I,Velocity!$A:$A,$A237,Velocity!$B:$B,$C237)/Assumptions!$B$4*Assumptions!$B$6</f>
        <v>17.6416666666667</v>
      </c>
      <c r="AI237" s="7" t="n">
        <f aca="false">SUMIFS(Doors!AU:AU,Doors!$A:$A,$D237,Doors!$B:$B,$B237,Doors!$C:$C,$C237)*SUMIFS(Velocity!$I:$I,Velocity!$A:$A,$A237,Velocity!$B:$B,$C237)/Assumptions!$B$4*Assumptions!$B$6</f>
        <v>17.6416666666667</v>
      </c>
      <c r="AJ237" s="7" t="n">
        <f aca="false">SUMIFS(Doors!AV:AV,Doors!$A:$A,$D237,Doors!$B:$B,$B237,Doors!$C:$C,$C237)*SUMIFS(Velocity!$I:$I,Velocity!$A:$A,$A237,Velocity!$B:$B,$C237)/Assumptions!$B$4*Assumptions!$B$6</f>
        <v>17.9458333333333</v>
      </c>
      <c r="AK237" s="7" t="n">
        <f aca="false">SUMIFS(Doors!AW:AW,Doors!$A:$A,$D237,Doors!$B:$B,$B237,Doors!$C:$C,$C237)*SUMIFS(Velocity!$I:$I,Velocity!$A:$A,$A237,Velocity!$B:$B,$C237)/Assumptions!$B$4*Assumptions!$B$6</f>
        <v>17.9458333333333</v>
      </c>
      <c r="AL237" s="7" t="n">
        <f aca="false">SUMIFS(Doors!AX:AX,Doors!$A:$A,$D237,Doors!$B:$B,$B237,Doors!$C:$C,$C237)*SUMIFS(Velocity!$I:$I,Velocity!$A:$A,$A237,Velocity!$B:$B,$C237)/Assumptions!$B$4*Assumptions!$B$6</f>
        <v>17.9458333333333</v>
      </c>
      <c r="AM237" s="7" t="n">
        <f aca="false">SUMIFS(Doors!AY:AY,Doors!$A:$A,$D237,Doors!$B:$B,$B237,Doors!$C:$C,$C237)*SUMIFS(Velocity!$I:$I,Velocity!$A:$A,$A237,Velocity!$B:$B,$C237)/Assumptions!$B$4*Assumptions!$B$6</f>
        <v>17.9458333333333</v>
      </c>
      <c r="AN237" s="7" t="n">
        <f aca="false">SUMIFS(Doors!AZ:AZ,Doors!$A:$A,$D237,Doors!$B:$B,$B237,Doors!$C:$C,$C237)*SUMIFS(Velocity!$I:$I,Velocity!$A:$A,$A237,Velocity!$B:$B,$C237)/Assumptions!$B$4*Assumptions!$B$6</f>
        <v>18.25</v>
      </c>
      <c r="AO237" s="7" t="n">
        <f aca="false">SUMIFS(Doors!BA:BA,Doors!$A:$A,$D237,Doors!$B:$B,$B237,Doors!$C:$C,$C237)*SUMIFS(Velocity!$I:$I,Velocity!$A:$A,$A237,Velocity!$B:$B,$C237)/Assumptions!$B$4*Assumptions!$B$6</f>
        <v>18.25</v>
      </c>
      <c r="AP237" s="7" t="n">
        <f aca="false">SUMIFS(Doors!BB:BB,Doors!$A:$A,$D237,Doors!$B:$B,$B237,Doors!$C:$C,$C237)*SUMIFS(Velocity!$I:$I,Velocity!$A:$A,$A237,Velocity!$B:$B,$C237)/Assumptions!$B$4*Assumptions!$B$6</f>
        <v>18.25</v>
      </c>
      <c r="AQ237" s="7" t="n">
        <f aca="false">SUMIFS(Doors!BC:BC,Doors!$A:$A,$D237,Doors!$B:$B,$B237,Doors!$C:$C,$C237)*SUMIFS(Velocity!$I:$I,Velocity!$A:$A,$A237,Velocity!$B:$B,$C237)/Assumptions!$B$4*Assumptions!$B$6</f>
        <v>18.25</v>
      </c>
      <c r="AR237" s="7" t="n">
        <f aca="false">SUMIFS(Doors!BD:BD,Doors!$A:$A,$D237,Doors!$B:$B,$B237,Doors!$C:$C,$C237)*SUMIFS(Velocity!$I:$I,Velocity!$A:$A,$A237,Velocity!$B:$B,$C237)/Assumptions!$B$4*Assumptions!$B$6</f>
        <v>18.25</v>
      </c>
      <c r="AS237" s="7" t="n">
        <f aca="false">SUMIFS(Doors!BE:BE,Doors!$A:$A,$D237,Doors!$B:$B,$B237,Doors!$C:$C,$C237)*SUMIFS(Velocity!$I:$I,Velocity!$A:$A,$A237,Velocity!$B:$B,$C237)/Assumptions!$B$4*Assumptions!$B$6</f>
        <v>18.25</v>
      </c>
      <c r="AT237" s="7" t="n">
        <f aca="false">SUMIFS(Doors!BF:BF,Doors!$A:$A,$D237,Doors!$B:$B,$B237,Doors!$C:$C,$C237)*SUMIFS(Velocity!$I:$I,Velocity!$A:$A,$A237,Velocity!$B:$B,$C237)/Assumptions!$B$4*Assumptions!$B$6</f>
        <v>18.25</v>
      </c>
      <c r="AU237" s="7" t="n">
        <f aca="false">SUMIFS(Doors!BG:BG,Doors!$A:$A,$D237,Doors!$B:$B,$B237,Doors!$C:$C,$C237)*SUMIFS(Velocity!$I:$I,Velocity!$A:$A,$A237,Velocity!$B:$B,$C237)/Assumptions!$B$4*Assumptions!$B$6</f>
        <v>18.25</v>
      </c>
      <c r="AV237" s="7" t="n">
        <f aca="false">SUMIFS(Doors!BH:BH,Doors!$A:$A,$D237,Doors!$B:$B,$B237,Doors!$C:$C,$C237)*SUMIFS(Velocity!$I:$I,Velocity!$A:$A,$A237,Velocity!$B:$B,$C237)/Assumptions!$B$4*Assumptions!$B$6</f>
        <v>18.25</v>
      </c>
      <c r="AW237" s="7" t="n">
        <f aca="false">SUMIFS(Doors!BI:BI,Doors!$A:$A,$D237,Doors!$B:$B,$B237,Doors!$C:$C,$C237)*SUMIFS(Velocity!$I:$I,Velocity!$A:$A,$A237,Velocity!$B:$B,$C237)/Assumptions!$B$4*Assumptions!$B$6</f>
        <v>18.25</v>
      </c>
      <c r="AX237" s="7" t="n">
        <f aca="false">SUMIFS(Doors!BJ:BJ,Doors!$A:$A,$D237,Doors!$B:$B,$B237,Doors!$C:$C,$C237)*SUMIFS(Velocity!$I:$I,Velocity!$A:$A,$A237,Velocity!$B:$B,$C237)/Assumptions!$B$4*Assumptions!$B$6</f>
        <v>18.25</v>
      </c>
      <c r="AY237" s="7" t="n">
        <f aca="false">SUMIFS(Doors!BK:BK,Doors!$A:$A,$D237,Doors!$B:$B,$B237,Doors!$C:$C,$C237)*SUMIFS(Velocity!$I:$I,Velocity!$A:$A,$A237,Velocity!$B:$B,$C237)/Assumptions!$B$4*Assumptions!$B$6</f>
        <v>18.25</v>
      </c>
      <c r="AZ237" s="7" t="n">
        <f aca="false">SUMIFS(Doors!BL:BL,Doors!$A:$A,$D237,Doors!$B:$B,$B237,Doors!$C:$C,$C237)*SUMIFS(Velocity!$I:$I,Velocity!$A:$A,$A237,Velocity!$B:$B,$C237)/Assumptions!$B$4*Assumptions!$B$6</f>
        <v>18.25</v>
      </c>
      <c r="BA237" s="7" t="n">
        <f aca="false">SUMIFS(Doors!BM:BM,Doors!$A:$A,$D237,Doors!$B:$B,$B237,Doors!$C:$C,$C237)*SUMIFS(Velocity!$I:$I,Velocity!$A:$A,$A237,Velocity!$B:$B,$C237)/Assumptions!$B$4*Assumptions!$B$6</f>
        <v>18.25</v>
      </c>
      <c r="BB237" s="7" t="n">
        <f aca="false">SUMIFS(Doors!BN:BN,Doors!$A:$A,$D237,Doors!$B:$B,$B237,Doors!$C:$C,$C237)*SUMIFS(Velocity!$I:$I,Velocity!$A:$A,$A237,Velocity!$B:$B,$C237)/Assumptions!$B$4*Assumptions!$B$6</f>
        <v>18.25</v>
      </c>
      <c r="BC237" s="7" t="n">
        <f aca="false">SUMIFS(Doors!BO:BO,Doors!$A:$A,$D237,Doors!$B:$B,$B237,Doors!$C:$C,$C237)*SUMIFS(Velocity!$I:$I,Velocity!$A:$A,$A237,Velocity!$B:$B,$C237)/Assumptions!$B$4*Assumptions!$B$6</f>
        <v>18.25</v>
      </c>
      <c r="BD237" s="7" t="n">
        <f aca="false">SUMIFS(Doors!BP:BP,Doors!$A:$A,$D237,Doors!$B:$B,$B237,Doors!$C:$C,$C237)*SUMIFS(Velocity!$I:$I,Velocity!$A:$A,$A237,Velocity!$B:$B,$C237)/Assumptions!$B$4*Assumptions!$B$6</f>
        <v>18.25</v>
      </c>
    </row>
    <row r="238" customFormat="false" ht="15" hidden="false" customHeight="false" outlineLevel="0" collapsed="false">
      <c r="A238" s="0" t="s">
        <v>110</v>
      </c>
      <c r="B238" s="0" t="s">
        <v>131</v>
      </c>
      <c r="C238" s="0" t="s">
        <v>122</v>
      </c>
      <c r="D238" s="0" t="s">
        <v>235</v>
      </c>
      <c r="E238" s="7" t="n">
        <f aca="false">SUMIFS(Doors!Q:Q,Doors!$A:$A,$D238,Doors!$B:$B,$B238,Doors!$C:$C,$C238)*SUMIFS(Velocity!$I:$I,Velocity!$A:$A,$A238,Velocity!$B:$B,$C238)/Assumptions!$B$4*Assumptions!$B$6</f>
        <v>0</v>
      </c>
      <c r="F238" s="7" t="n">
        <f aca="false">SUMIFS(Doors!R:R,Doors!$A:$A,$D238,Doors!$B:$B,$B238,Doors!$C:$C,$C238)*SUMIFS(Velocity!$I:$I,Velocity!$A:$A,$A238,Velocity!$B:$B,$C238)/Assumptions!$B$4*Assumptions!$B$6</f>
        <v>0</v>
      </c>
      <c r="G238" s="7" t="n">
        <f aca="false">SUMIFS(Doors!S:S,Doors!$A:$A,$D238,Doors!$B:$B,$B238,Doors!$C:$C,$C238)*SUMIFS(Velocity!$I:$I,Velocity!$A:$A,$A238,Velocity!$B:$B,$C238)/Assumptions!$B$4*Assumptions!$B$6</f>
        <v>0</v>
      </c>
      <c r="H238" s="7" t="n">
        <f aca="false">SUMIFS(Doors!T:T,Doors!$A:$A,$D238,Doors!$B:$B,$B238,Doors!$C:$C,$C238)*SUMIFS(Velocity!$I:$I,Velocity!$A:$A,$A238,Velocity!$B:$B,$C238)/Assumptions!$B$4*Assumptions!$B$6</f>
        <v>0</v>
      </c>
      <c r="I238" s="7" t="n">
        <f aca="false">SUMIFS(Doors!U:U,Doors!$A:$A,$D238,Doors!$B:$B,$B238,Doors!$C:$C,$C238)*SUMIFS(Velocity!$I:$I,Velocity!$A:$A,$A238,Velocity!$B:$B,$C238)/Assumptions!$B$4*Assumptions!$B$6</f>
        <v>0</v>
      </c>
      <c r="J238" s="7" t="n">
        <f aca="false">SUMIFS(Doors!V:V,Doors!$A:$A,$D238,Doors!$B:$B,$B238,Doors!$C:$C,$C238)*SUMIFS(Velocity!$I:$I,Velocity!$A:$A,$A238,Velocity!$B:$B,$C238)/Assumptions!$B$4*Assumptions!$B$6</f>
        <v>0</v>
      </c>
      <c r="K238" s="7" t="n">
        <f aca="false">SUMIFS(Doors!W:W,Doors!$A:$A,$D238,Doors!$B:$B,$B238,Doors!$C:$C,$C238)*SUMIFS(Velocity!$I:$I,Velocity!$A:$A,$A238,Velocity!$B:$B,$C238)/Assumptions!$B$4*Assumptions!$B$6</f>
        <v>0</v>
      </c>
      <c r="L238" s="7" t="n">
        <f aca="false">SUMIFS(Doors!X:X,Doors!$A:$A,$D238,Doors!$B:$B,$B238,Doors!$C:$C,$C238)*SUMIFS(Velocity!$I:$I,Velocity!$A:$A,$A238,Velocity!$B:$B,$C238)/Assumptions!$B$4*Assumptions!$B$6</f>
        <v>0</v>
      </c>
      <c r="M238" s="7" t="n">
        <f aca="false">SUMIFS(Doors!Y:Y,Doors!$A:$A,$D238,Doors!$B:$B,$B238,Doors!$C:$C,$C238)*SUMIFS(Velocity!$I:$I,Velocity!$A:$A,$A238,Velocity!$B:$B,$C238)/Assumptions!$B$4*Assumptions!$B$6</f>
        <v>0</v>
      </c>
      <c r="N238" s="7" t="n">
        <f aca="false">SUMIFS(Doors!Z:Z,Doors!$A:$A,$D238,Doors!$B:$B,$B238,Doors!$C:$C,$C238)*SUMIFS(Velocity!$I:$I,Velocity!$A:$A,$A238,Velocity!$B:$B,$C238)/Assumptions!$B$4*Assumptions!$B$6</f>
        <v>0</v>
      </c>
      <c r="O238" s="7" t="n">
        <f aca="false">SUMIFS(Doors!AA:AA,Doors!$A:$A,$D238,Doors!$B:$B,$B238,Doors!$C:$C,$C238)*SUMIFS(Velocity!$I:$I,Velocity!$A:$A,$A238,Velocity!$B:$B,$C238)/Assumptions!$B$4*Assumptions!$B$6</f>
        <v>0</v>
      </c>
      <c r="P238" s="7" t="n">
        <f aca="false">SUMIFS(Doors!AB:AB,Doors!$A:$A,$D238,Doors!$B:$B,$B238,Doors!$C:$C,$C238)*SUMIFS(Velocity!$I:$I,Velocity!$A:$A,$A238,Velocity!$B:$B,$C238)/Assumptions!$B$4*Assumptions!$B$6</f>
        <v>0</v>
      </c>
      <c r="Q238" s="7" t="n">
        <f aca="false">SUMIFS(Doors!AC:AC,Doors!$A:$A,$D238,Doors!$B:$B,$B238,Doors!$C:$C,$C238)*SUMIFS(Velocity!$I:$I,Velocity!$A:$A,$A238,Velocity!$B:$B,$C238)/Assumptions!$B$4*Assumptions!$B$6</f>
        <v>0</v>
      </c>
      <c r="R238" s="7" t="n">
        <f aca="false">SUMIFS(Doors!AD:AD,Doors!$A:$A,$D238,Doors!$B:$B,$B238,Doors!$C:$C,$C238)*SUMIFS(Velocity!$I:$I,Velocity!$A:$A,$A238,Velocity!$B:$B,$C238)/Assumptions!$B$4*Assumptions!$B$6</f>
        <v>0</v>
      </c>
      <c r="S238" s="7" t="n">
        <f aca="false">SUMIFS(Doors!AE:AE,Doors!$A:$A,$D238,Doors!$B:$B,$B238,Doors!$C:$C,$C238)*SUMIFS(Velocity!$I:$I,Velocity!$A:$A,$A238,Velocity!$B:$B,$C238)/Assumptions!$B$4*Assumptions!$B$6</f>
        <v>0</v>
      </c>
      <c r="T238" s="7" t="n">
        <f aca="false">SUMIFS(Doors!AF:AF,Doors!$A:$A,$D238,Doors!$B:$B,$B238,Doors!$C:$C,$C238)*SUMIFS(Velocity!$I:$I,Velocity!$A:$A,$A238,Velocity!$B:$B,$C238)/Assumptions!$B$4*Assumptions!$B$6</f>
        <v>0</v>
      </c>
      <c r="U238" s="7" t="n">
        <f aca="false">SUMIFS(Doors!AG:AG,Doors!$A:$A,$D238,Doors!$B:$B,$B238,Doors!$C:$C,$C238)*SUMIFS(Velocity!$I:$I,Velocity!$A:$A,$A238,Velocity!$B:$B,$C238)/Assumptions!$B$4*Assumptions!$B$6</f>
        <v>0</v>
      </c>
      <c r="V238" s="7" t="n">
        <f aca="false">SUMIFS(Doors!AH:AH,Doors!$A:$A,$D238,Doors!$B:$B,$B238,Doors!$C:$C,$C238)*SUMIFS(Velocity!$I:$I,Velocity!$A:$A,$A238,Velocity!$B:$B,$C238)/Assumptions!$B$4*Assumptions!$B$6</f>
        <v>0</v>
      </c>
      <c r="W238" s="7" t="n">
        <f aca="false">SUMIFS(Doors!AI:AI,Doors!$A:$A,$D238,Doors!$B:$B,$B238,Doors!$C:$C,$C238)*SUMIFS(Velocity!$I:$I,Velocity!$A:$A,$A238,Velocity!$B:$B,$C238)/Assumptions!$B$4*Assumptions!$B$6</f>
        <v>0</v>
      </c>
      <c r="X238" s="7" t="n">
        <f aca="false">SUMIFS(Doors!AJ:AJ,Doors!$A:$A,$D238,Doors!$B:$B,$B238,Doors!$C:$C,$C238)*SUMIFS(Velocity!$I:$I,Velocity!$A:$A,$A238,Velocity!$B:$B,$C238)/Assumptions!$B$4*Assumptions!$B$6</f>
        <v>0</v>
      </c>
      <c r="Y238" s="7" t="n">
        <f aca="false">SUMIFS(Doors!AK:AK,Doors!$A:$A,$D238,Doors!$B:$B,$B238,Doors!$C:$C,$C238)*SUMIFS(Velocity!$I:$I,Velocity!$A:$A,$A238,Velocity!$B:$B,$C238)/Assumptions!$B$4*Assumptions!$B$6</f>
        <v>0</v>
      </c>
      <c r="Z238" s="7" t="n">
        <f aca="false">SUMIFS(Doors!AL:AL,Doors!$A:$A,$D238,Doors!$B:$B,$B238,Doors!$C:$C,$C238)*SUMIFS(Velocity!$I:$I,Velocity!$A:$A,$A238,Velocity!$B:$B,$C238)/Assumptions!$B$4*Assumptions!$B$6</f>
        <v>0</v>
      </c>
      <c r="AA238" s="7" t="n">
        <f aca="false">SUMIFS(Doors!AM:AM,Doors!$A:$A,$D238,Doors!$B:$B,$B238,Doors!$C:$C,$C238)*SUMIFS(Velocity!$I:$I,Velocity!$A:$A,$A238,Velocity!$B:$B,$C238)/Assumptions!$B$4*Assumptions!$B$6</f>
        <v>0</v>
      </c>
      <c r="AB238" s="7" t="n">
        <f aca="false">SUMIFS(Doors!AN:AN,Doors!$A:$A,$D238,Doors!$B:$B,$B238,Doors!$C:$C,$C238)*SUMIFS(Velocity!$I:$I,Velocity!$A:$A,$A238,Velocity!$B:$B,$C238)/Assumptions!$B$4*Assumptions!$B$6</f>
        <v>0</v>
      </c>
      <c r="AC238" s="7" t="n">
        <f aca="false">SUMIFS(Doors!AO:AO,Doors!$A:$A,$D238,Doors!$B:$B,$B238,Doors!$C:$C,$C238)*SUMIFS(Velocity!$I:$I,Velocity!$A:$A,$A238,Velocity!$B:$B,$C238)/Assumptions!$B$4*Assumptions!$B$6</f>
        <v>0</v>
      </c>
      <c r="AD238" s="7" t="n">
        <f aca="false">SUMIFS(Doors!AP:AP,Doors!$A:$A,$D238,Doors!$B:$B,$B238,Doors!$C:$C,$C238)*SUMIFS(Velocity!$I:$I,Velocity!$A:$A,$A238,Velocity!$B:$B,$C238)/Assumptions!$B$4*Assumptions!$B$6</f>
        <v>0</v>
      </c>
      <c r="AE238" s="7" t="n">
        <f aca="false">SUMIFS(Doors!AQ:AQ,Doors!$A:$A,$D238,Doors!$B:$B,$B238,Doors!$C:$C,$C238)*SUMIFS(Velocity!$I:$I,Velocity!$A:$A,$A238,Velocity!$B:$B,$C238)/Assumptions!$B$4*Assumptions!$B$6</f>
        <v>0</v>
      </c>
      <c r="AF238" s="7" t="n">
        <f aca="false">SUMIFS(Doors!AR:AR,Doors!$A:$A,$D238,Doors!$B:$B,$B238,Doors!$C:$C,$C238)*SUMIFS(Velocity!$I:$I,Velocity!$A:$A,$A238,Velocity!$B:$B,$C238)/Assumptions!$B$4*Assumptions!$B$6</f>
        <v>0</v>
      </c>
      <c r="AG238" s="7" t="n">
        <f aca="false">SUMIFS(Doors!AS:AS,Doors!$A:$A,$D238,Doors!$B:$B,$B238,Doors!$C:$C,$C238)*SUMIFS(Velocity!$I:$I,Velocity!$A:$A,$A238,Velocity!$B:$B,$C238)/Assumptions!$B$4*Assumptions!$B$6</f>
        <v>0</v>
      </c>
      <c r="AH238" s="7" t="n">
        <f aca="false">SUMIFS(Doors!AT:AT,Doors!$A:$A,$D238,Doors!$B:$B,$B238,Doors!$C:$C,$C238)*SUMIFS(Velocity!$I:$I,Velocity!$A:$A,$A238,Velocity!$B:$B,$C238)/Assumptions!$B$4*Assumptions!$B$6</f>
        <v>0</v>
      </c>
      <c r="AI238" s="7" t="n">
        <f aca="false">SUMIFS(Doors!AU:AU,Doors!$A:$A,$D238,Doors!$B:$B,$B238,Doors!$C:$C,$C238)*SUMIFS(Velocity!$I:$I,Velocity!$A:$A,$A238,Velocity!$B:$B,$C238)/Assumptions!$B$4*Assumptions!$B$6</f>
        <v>0</v>
      </c>
      <c r="AJ238" s="7" t="n">
        <f aca="false">SUMIFS(Doors!AV:AV,Doors!$A:$A,$D238,Doors!$B:$B,$B238,Doors!$C:$C,$C238)*SUMIFS(Velocity!$I:$I,Velocity!$A:$A,$A238,Velocity!$B:$B,$C238)/Assumptions!$B$4*Assumptions!$B$6</f>
        <v>0</v>
      </c>
      <c r="AK238" s="7" t="n">
        <f aca="false">SUMIFS(Doors!AW:AW,Doors!$A:$A,$D238,Doors!$B:$B,$B238,Doors!$C:$C,$C238)*SUMIFS(Velocity!$I:$I,Velocity!$A:$A,$A238,Velocity!$B:$B,$C238)/Assumptions!$B$4*Assumptions!$B$6</f>
        <v>0</v>
      </c>
      <c r="AL238" s="7" t="n">
        <f aca="false">SUMIFS(Doors!AX:AX,Doors!$A:$A,$D238,Doors!$B:$B,$B238,Doors!$C:$C,$C238)*SUMIFS(Velocity!$I:$I,Velocity!$A:$A,$A238,Velocity!$B:$B,$C238)/Assumptions!$B$4*Assumptions!$B$6</f>
        <v>0</v>
      </c>
      <c r="AM238" s="7" t="n">
        <f aca="false">SUMIFS(Doors!AY:AY,Doors!$A:$A,$D238,Doors!$B:$B,$B238,Doors!$C:$C,$C238)*SUMIFS(Velocity!$I:$I,Velocity!$A:$A,$A238,Velocity!$B:$B,$C238)/Assumptions!$B$4*Assumptions!$B$6</f>
        <v>0</v>
      </c>
      <c r="AN238" s="7" t="n">
        <f aca="false">SUMIFS(Doors!AZ:AZ,Doors!$A:$A,$D238,Doors!$B:$B,$B238,Doors!$C:$C,$C238)*SUMIFS(Velocity!$I:$I,Velocity!$A:$A,$A238,Velocity!$B:$B,$C238)/Assumptions!$B$4*Assumptions!$B$6</f>
        <v>0</v>
      </c>
      <c r="AO238" s="7" t="n">
        <f aca="false">SUMIFS(Doors!BA:BA,Doors!$A:$A,$D238,Doors!$B:$B,$B238,Doors!$C:$C,$C238)*SUMIFS(Velocity!$I:$I,Velocity!$A:$A,$A238,Velocity!$B:$B,$C238)/Assumptions!$B$4*Assumptions!$B$6</f>
        <v>0</v>
      </c>
      <c r="AP238" s="7" t="n">
        <f aca="false">SUMIFS(Doors!BB:BB,Doors!$A:$A,$D238,Doors!$B:$B,$B238,Doors!$C:$C,$C238)*SUMIFS(Velocity!$I:$I,Velocity!$A:$A,$A238,Velocity!$B:$B,$C238)/Assumptions!$B$4*Assumptions!$B$6</f>
        <v>0</v>
      </c>
      <c r="AQ238" s="7" t="n">
        <f aca="false">SUMIFS(Doors!BC:BC,Doors!$A:$A,$D238,Doors!$B:$B,$B238,Doors!$C:$C,$C238)*SUMIFS(Velocity!$I:$I,Velocity!$A:$A,$A238,Velocity!$B:$B,$C238)/Assumptions!$B$4*Assumptions!$B$6</f>
        <v>0</v>
      </c>
      <c r="AR238" s="7" t="n">
        <f aca="false">SUMIFS(Doors!BD:BD,Doors!$A:$A,$D238,Doors!$B:$B,$B238,Doors!$C:$C,$C238)*SUMIFS(Velocity!$I:$I,Velocity!$A:$A,$A238,Velocity!$B:$B,$C238)/Assumptions!$B$4*Assumptions!$B$6</f>
        <v>0</v>
      </c>
      <c r="AS238" s="7" t="n">
        <f aca="false">SUMIFS(Doors!BE:BE,Doors!$A:$A,$D238,Doors!$B:$B,$B238,Doors!$C:$C,$C238)*SUMIFS(Velocity!$I:$I,Velocity!$A:$A,$A238,Velocity!$B:$B,$C238)/Assumptions!$B$4*Assumptions!$B$6</f>
        <v>0</v>
      </c>
      <c r="AT238" s="7" t="n">
        <f aca="false">SUMIFS(Doors!BF:BF,Doors!$A:$A,$D238,Doors!$B:$B,$B238,Doors!$C:$C,$C238)*SUMIFS(Velocity!$I:$I,Velocity!$A:$A,$A238,Velocity!$B:$B,$C238)/Assumptions!$B$4*Assumptions!$B$6</f>
        <v>0</v>
      </c>
      <c r="AU238" s="7" t="n">
        <f aca="false">SUMIFS(Doors!BG:BG,Doors!$A:$A,$D238,Doors!$B:$B,$B238,Doors!$C:$C,$C238)*SUMIFS(Velocity!$I:$I,Velocity!$A:$A,$A238,Velocity!$B:$B,$C238)/Assumptions!$B$4*Assumptions!$B$6</f>
        <v>0</v>
      </c>
      <c r="AV238" s="7" t="n">
        <f aca="false">SUMIFS(Doors!BH:BH,Doors!$A:$A,$D238,Doors!$B:$B,$B238,Doors!$C:$C,$C238)*SUMIFS(Velocity!$I:$I,Velocity!$A:$A,$A238,Velocity!$B:$B,$C238)/Assumptions!$B$4*Assumptions!$B$6</f>
        <v>0</v>
      </c>
      <c r="AW238" s="7" t="n">
        <f aca="false">SUMIFS(Doors!BI:BI,Doors!$A:$A,$D238,Doors!$B:$B,$B238,Doors!$C:$C,$C238)*SUMIFS(Velocity!$I:$I,Velocity!$A:$A,$A238,Velocity!$B:$B,$C238)/Assumptions!$B$4*Assumptions!$B$6</f>
        <v>0</v>
      </c>
      <c r="AX238" s="7" t="n">
        <f aca="false">SUMIFS(Doors!BJ:BJ,Doors!$A:$A,$D238,Doors!$B:$B,$B238,Doors!$C:$C,$C238)*SUMIFS(Velocity!$I:$I,Velocity!$A:$A,$A238,Velocity!$B:$B,$C238)/Assumptions!$B$4*Assumptions!$B$6</f>
        <v>0</v>
      </c>
      <c r="AY238" s="7" t="n">
        <f aca="false">SUMIFS(Doors!BK:BK,Doors!$A:$A,$D238,Doors!$B:$B,$B238,Doors!$C:$C,$C238)*SUMIFS(Velocity!$I:$I,Velocity!$A:$A,$A238,Velocity!$B:$B,$C238)/Assumptions!$B$4*Assumptions!$B$6</f>
        <v>0</v>
      </c>
      <c r="AZ238" s="7" t="n">
        <f aca="false">SUMIFS(Doors!BL:BL,Doors!$A:$A,$D238,Doors!$B:$B,$B238,Doors!$C:$C,$C238)*SUMIFS(Velocity!$I:$I,Velocity!$A:$A,$A238,Velocity!$B:$B,$C238)/Assumptions!$B$4*Assumptions!$B$6</f>
        <v>0</v>
      </c>
      <c r="BA238" s="7" t="n">
        <f aca="false">SUMIFS(Doors!BM:BM,Doors!$A:$A,$D238,Doors!$B:$B,$B238,Doors!$C:$C,$C238)*SUMIFS(Velocity!$I:$I,Velocity!$A:$A,$A238,Velocity!$B:$B,$C238)/Assumptions!$B$4*Assumptions!$B$6</f>
        <v>0</v>
      </c>
      <c r="BB238" s="7" t="n">
        <f aca="false">SUMIFS(Doors!BN:BN,Doors!$A:$A,$D238,Doors!$B:$B,$B238,Doors!$C:$C,$C238)*SUMIFS(Velocity!$I:$I,Velocity!$A:$A,$A238,Velocity!$B:$B,$C238)/Assumptions!$B$4*Assumptions!$B$6</f>
        <v>0</v>
      </c>
      <c r="BC238" s="7" t="n">
        <f aca="false">SUMIFS(Doors!BO:BO,Doors!$A:$A,$D238,Doors!$B:$B,$B238,Doors!$C:$C,$C238)*SUMIFS(Velocity!$I:$I,Velocity!$A:$A,$A238,Velocity!$B:$B,$C238)/Assumptions!$B$4*Assumptions!$B$6</f>
        <v>0</v>
      </c>
      <c r="BD238" s="7" t="n">
        <f aca="false">SUMIFS(Doors!BP:BP,Doors!$A:$A,$D238,Doors!$B:$B,$B238,Doors!$C:$C,$C238)*SUMIFS(Velocity!$I:$I,Velocity!$A:$A,$A238,Velocity!$B:$B,$C238)/Assumptions!$B$4*Assumptions!$B$6</f>
        <v>0</v>
      </c>
    </row>
    <row r="239" customFormat="false" ht="15" hidden="false" customHeight="false" outlineLevel="0" collapsed="false">
      <c r="A239" s="0" t="s">
        <v>110</v>
      </c>
      <c r="B239" s="0" t="s">
        <v>131</v>
      </c>
      <c r="C239" s="0" t="s">
        <v>123</v>
      </c>
      <c r="D239" s="0" t="s">
        <v>235</v>
      </c>
      <c r="E239" s="7" t="n">
        <f aca="false">SUMIFS(Doors!Q:Q,Doors!$A:$A,$D239,Doors!$B:$B,$B239,Doors!$C:$C,$C239)*SUMIFS(Velocity!$I:$I,Velocity!$A:$A,$A239,Velocity!$B:$B,$C239)/Assumptions!$B$4*Assumptions!$B$6</f>
        <v>0</v>
      </c>
      <c r="F239" s="7" t="n">
        <f aca="false">SUMIFS(Doors!R:R,Doors!$A:$A,$D239,Doors!$B:$B,$B239,Doors!$C:$C,$C239)*SUMIFS(Velocity!$I:$I,Velocity!$A:$A,$A239,Velocity!$B:$B,$C239)/Assumptions!$B$4*Assumptions!$B$6</f>
        <v>0</v>
      </c>
      <c r="G239" s="7" t="n">
        <f aca="false">SUMIFS(Doors!S:S,Doors!$A:$A,$D239,Doors!$B:$B,$B239,Doors!$C:$C,$C239)*SUMIFS(Velocity!$I:$I,Velocity!$A:$A,$A239,Velocity!$B:$B,$C239)/Assumptions!$B$4*Assumptions!$B$6</f>
        <v>0</v>
      </c>
      <c r="H239" s="7" t="n">
        <f aca="false">SUMIFS(Doors!T:T,Doors!$A:$A,$D239,Doors!$B:$B,$B239,Doors!$C:$C,$C239)*SUMIFS(Velocity!$I:$I,Velocity!$A:$A,$A239,Velocity!$B:$B,$C239)/Assumptions!$B$4*Assumptions!$B$6</f>
        <v>0</v>
      </c>
      <c r="I239" s="7" t="n">
        <f aca="false">SUMIFS(Doors!U:U,Doors!$A:$A,$D239,Doors!$B:$B,$B239,Doors!$C:$C,$C239)*SUMIFS(Velocity!$I:$I,Velocity!$A:$A,$A239,Velocity!$B:$B,$C239)/Assumptions!$B$4*Assumptions!$B$6</f>
        <v>0</v>
      </c>
      <c r="J239" s="7" t="n">
        <f aca="false">SUMIFS(Doors!V:V,Doors!$A:$A,$D239,Doors!$B:$B,$B239,Doors!$C:$C,$C239)*SUMIFS(Velocity!$I:$I,Velocity!$A:$A,$A239,Velocity!$B:$B,$C239)/Assumptions!$B$4*Assumptions!$B$6</f>
        <v>0</v>
      </c>
      <c r="K239" s="7" t="n">
        <f aca="false">SUMIFS(Doors!W:W,Doors!$A:$A,$D239,Doors!$B:$B,$B239,Doors!$C:$C,$C239)*SUMIFS(Velocity!$I:$I,Velocity!$A:$A,$A239,Velocity!$B:$B,$C239)/Assumptions!$B$4*Assumptions!$B$6</f>
        <v>0</v>
      </c>
      <c r="L239" s="7" t="n">
        <f aca="false">SUMIFS(Doors!X:X,Doors!$A:$A,$D239,Doors!$B:$B,$B239,Doors!$C:$C,$C239)*SUMIFS(Velocity!$I:$I,Velocity!$A:$A,$A239,Velocity!$B:$B,$C239)/Assumptions!$B$4*Assumptions!$B$6</f>
        <v>0</v>
      </c>
      <c r="M239" s="7" t="n">
        <f aca="false">SUMIFS(Doors!Y:Y,Doors!$A:$A,$D239,Doors!$B:$B,$B239,Doors!$C:$C,$C239)*SUMIFS(Velocity!$I:$I,Velocity!$A:$A,$A239,Velocity!$B:$B,$C239)/Assumptions!$B$4*Assumptions!$B$6</f>
        <v>0</v>
      </c>
      <c r="N239" s="7" t="n">
        <f aca="false">SUMIFS(Doors!Z:Z,Doors!$A:$A,$D239,Doors!$B:$B,$B239,Doors!$C:$C,$C239)*SUMIFS(Velocity!$I:$I,Velocity!$A:$A,$A239,Velocity!$B:$B,$C239)/Assumptions!$B$4*Assumptions!$B$6</f>
        <v>0</v>
      </c>
      <c r="O239" s="7" t="n">
        <f aca="false">SUMIFS(Doors!AA:AA,Doors!$A:$A,$D239,Doors!$B:$B,$B239,Doors!$C:$C,$C239)*SUMIFS(Velocity!$I:$I,Velocity!$A:$A,$A239,Velocity!$B:$B,$C239)/Assumptions!$B$4*Assumptions!$B$6</f>
        <v>0</v>
      </c>
      <c r="P239" s="7" t="n">
        <f aca="false">SUMIFS(Doors!AB:AB,Doors!$A:$A,$D239,Doors!$B:$B,$B239,Doors!$C:$C,$C239)*SUMIFS(Velocity!$I:$I,Velocity!$A:$A,$A239,Velocity!$B:$B,$C239)/Assumptions!$B$4*Assumptions!$B$6</f>
        <v>0</v>
      </c>
      <c r="Q239" s="7" t="n">
        <f aca="false">SUMIFS(Doors!AC:AC,Doors!$A:$A,$D239,Doors!$B:$B,$B239,Doors!$C:$C,$C239)*SUMIFS(Velocity!$I:$I,Velocity!$A:$A,$A239,Velocity!$B:$B,$C239)/Assumptions!$B$4*Assumptions!$B$6</f>
        <v>0</v>
      </c>
      <c r="R239" s="7" t="n">
        <f aca="false">SUMIFS(Doors!AD:AD,Doors!$A:$A,$D239,Doors!$B:$B,$B239,Doors!$C:$C,$C239)*SUMIFS(Velocity!$I:$I,Velocity!$A:$A,$A239,Velocity!$B:$B,$C239)/Assumptions!$B$4*Assumptions!$B$6</f>
        <v>0</v>
      </c>
      <c r="S239" s="7" t="n">
        <f aca="false">SUMIFS(Doors!AE:AE,Doors!$A:$A,$D239,Doors!$B:$B,$B239,Doors!$C:$C,$C239)*SUMIFS(Velocity!$I:$I,Velocity!$A:$A,$A239,Velocity!$B:$B,$C239)/Assumptions!$B$4*Assumptions!$B$6</f>
        <v>0</v>
      </c>
      <c r="T239" s="7" t="n">
        <f aca="false">SUMIFS(Doors!AF:AF,Doors!$A:$A,$D239,Doors!$B:$B,$B239,Doors!$C:$C,$C239)*SUMIFS(Velocity!$I:$I,Velocity!$A:$A,$A239,Velocity!$B:$B,$C239)/Assumptions!$B$4*Assumptions!$B$6</f>
        <v>0</v>
      </c>
      <c r="U239" s="7" t="n">
        <f aca="false">SUMIFS(Doors!AG:AG,Doors!$A:$A,$D239,Doors!$B:$B,$B239,Doors!$C:$C,$C239)*SUMIFS(Velocity!$I:$I,Velocity!$A:$A,$A239,Velocity!$B:$B,$C239)/Assumptions!$B$4*Assumptions!$B$6</f>
        <v>0</v>
      </c>
      <c r="V239" s="7" t="n">
        <f aca="false">SUMIFS(Doors!AH:AH,Doors!$A:$A,$D239,Doors!$B:$B,$B239,Doors!$C:$C,$C239)*SUMIFS(Velocity!$I:$I,Velocity!$A:$A,$A239,Velocity!$B:$B,$C239)/Assumptions!$B$4*Assumptions!$B$6</f>
        <v>0</v>
      </c>
      <c r="W239" s="7" t="n">
        <f aca="false">SUMIFS(Doors!AI:AI,Doors!$A:$A,$D239,Doors!$B:$B,$B239,Doors!$C:$C,$C239)*SUMIFS(Velocity!$I:$I,Velocity!$A:$A,$A239,Velocity!$B:$B,$C239)/Assumptions!$B$4*Assumptions!$B$6</f>
        <v>0</v>
      </c>
      <c r="X239" s="7" t="n">
        <f aca="false">SUMIFS(Doors!AJ:AJ,Doors!$A:$A,$D239,Doors!$B:$B,$B239,Doors!$C:$C,$C239)*SUMIFS(Velocity!$I:$I,Velocity!$A:$A,$A239,Velocity!$B:$B,$C239)/Assumptions!$B$4*Assumptions!$B$6</f>
        <v>0</v>
      </c>
      <c r="Y239" s="7" t="n">
        <f aca="false">SUMIFS(Doors!AK:AK,Doors!$A:$A,$D239,Doors!$B:$B,$B239,Doors!$C:$C,$C239)*SUMIFS(Velocity!$I:$I,Velocity!$A:$A,$A239,Velocity!$B:$B,$C239)/Assumptions!$B$4*Assumptions!$B$6</f>
        <v>0</v>
      </c>
      <c r="Z239" s="7" t="n">
        <f aca="false">SUMIFS(Doors!AL:AL,Doors!$A:$A,$D239,Doors!$B:$B,$B239,Doors!$C:$C,$C239)*SUMIFS(Velocity!$I:$I,Velocity!$A:$A,$A239,Velocity!$B:$B,$C239)/Assumptions!$B$4*Assumptions!$B$6</f>
        <v>0</v>
      </c>
      <c r="AA239" s="7" t="n">
        <f aca="false">SUMIFS(Doors!AM:AM,Doors!$A:$A,$D239,Doors!$B:$B,$B239,Doors!$C:$C,$C239)*SUMIFS(Velocity!$I:$I,Velocity!$A:$A,$A239,Velocity!$B:$B,$C239)/Assumptions!$B$4*Assumptions!$B$6</f>
        <v>0</v>
      </c>
      <c r="AB239" s="7" t="n">
        <f aca="false">SUMIFS(Doors!AN:AN,Doors!$A:$A,$D239,Doors!$B:$B,$B239,Doors!$C:$C,$C239)*SUMIFS(Velocity!$I:$I,Velocity!$A:$A,$A239,Velocity!$B:$B,$C239)/Assumptions!$B$4*Assumptions!$B$6</f>
        <v>0</v>
      </c>
      <c r="AC239" s="7" t="n">
        <f aca="false">SUMIFS(Doors!AO:AO,Doors!$A:$A,$D239,Doors!$B:$B,$B239,Doors!$C:$C,$C239)*SUMIFS(Velocity!$I:$I,Velocity!$A:$A,$A239,Velocity!$B:$B,$C239)/Assumptions!$B$4*Assumptions!$B$6</f>
        <v>0</v>
      </c>
      <c r="AD239" s="7" t="n">
        <f aca="false">SUMIFS(Doors!AP:AP,Doors!$A:$A,$D239,Doors!$B:$B,$B239,Doors!$C:$C,$C239)*SUMIFS(Velocity!$I:$I,Velocity!$A:$A,$A239,Velocity!$B:$B,$C239)/Assumptions!$B$4*Assumptions!$B$6</f>
        <v>0</v>
      </c>
      <c r="AE239" s="7" t="n">
        <f aca="false">SUMIFS(Doors!AQ:AQ,Doors!$A:$A,$D239,Doors!$B:$B,$B239,Doors!$C:$C,$C239)*SUMIFS(Velocity!$I:$I,Velocity!$A:$A,$A239,Velocity!$B:$B,$C239)/Assumptions!$B$4*Assumptions!$B$6</f>
        <v>0</v>
      </c>
      <c r="AF239" s="7" t="n">
        <f aca="false">SUMIFS(Doors!AR:AR,Doors!$A:$A,$D239,Doors!$B:$B,$B239,Doors!$C:$C,$C239)*SUMIFS(Velocity!$I:$I,Velocity!$A:$A,$A239,Velocity!$B:$B,$C239)/Assumptions!$B$4*Assumptions!$B$6</f>
        <v>0</v>
      </c>
      <c r="AG239" s="7" t="n">
        <f aca="false">SUMIFS(Doors!AS:AS,Doors!$A:$A,$D239,Doors!$B:$B,$B239,Doors!$C:$C,$C239)*SUMIFS(Velocity!$I:$I,Velocity!$A:$A,$A239,Velocity!$B:$B,$C239)/Assumptions!$B$4*Assumptions!$B$6</f>
        <v>0</v>
      </c>
      <c r="AH239" s="7" t="n">
        <f aca="false">SUMIFS(Doors!AT:AT,Doors!$A:$A,$D239,Doors!$B:$B,$B239,Doors!$C:$C,$C239)*SUMIFS(Velocity!$I:$I,Velocity!$A:$A,$A239,Velocity!$B:$B,$C239)/Assumptions!$B$4*Assumptions!$B$6</f>
        <v>0</v>
      </c>
      <c r="AI239" s="7" t="n">
        <f aca="false">SUMIFS(Doors!AU:AU,Doors!$A:$A,$D239,Doors!$B:$B,$B239,Doors!$C:$C,$C239)*SUMIFS(Velocity!$I:$I,Velocity!$A:$A,$A239,Velocity!$B:$B,$C239)/Assumptions!$B$4*Assumptions!$B$6</f>
        <v>0</v>
      </c>
      <c r="AJ239" s="7" t="n">
        <f aca="false">SUMIFS(Doors!AV:AV,Doors!$A:$A,$D239,Doors!$B:$B,$B239,Doors!$C:$C,$C239)*SUMIFS(Velocity!$I:$I,Velocity!$A:$A,$A239,Velocity!$B:$B,$C239)/Assumptions!$B$4*Assumptions!$B$6</f>
        <v>0</v>
      </c>
      <c r="AK239" s="7" t="n">
        <f aca="false">SUMIFS(Doors!AW:AW,Doors!$A:$A,$D239,Doors!$B:$B,$B239,Doors!$C:$C,$C239)*SUMIFS(Velocity!$I:$I,Velocity!$A:$A,$A239,Velocity!$B:$B,$C239)/Assumptions!$B$4*Assumptions!$B$6</f>
        <v>0</v>
      </c>
      <c r="AL239" s="7" t="n">
        <f aca="false">SUMIFS(Doors!AX:AX,Doors!$A:$A,$D239,Doors!$B:$B,$B239,Doors!$C:$C,$C239)*SUMIFS(Velocity!$I:$I,Velocity!$A:$A,$A239,Velocity!$B:$B,$C239)/Assumptions!$B$4*Assumptions!$B$6</f>
        <v>0</v>
      </c>
      <c r="AM239" s="7" t="n">
        <f aca="false">SUMIFS(Doors!AY:AY,Doors!$A:$A,$D239,Doors!$B:$B,$B239,Doors!$C:$C,$C239)*SUMIFS(Velocity!$I:$I,Velocity!$A:$A,$A239,Velocity!$B:$B,$C239)/Assumptions!$B$4*Assumptions!$B$6</f>
        <v>0</v>
      </c>
      <c r="AN239" s="7" t="n">
        <f aca="false">SUMIFS(Doors!AZ:AZ,Doors!$A:$A,$D239,Doors!$B:$B,$B239,Doors!$C:$C,$C239)*SUMIFS(Velocity!$I:$I,Velocity!$A:$A,$A239,Velocity!$B:$B,$C239)/Assumptions!$B$4*Assumptions!$B$6</f>
        <v>0</v>
      </c>
      <c r="AO239" s="7" t="n">
        <f aca="false">SUMIFS(Doors!BA:BA,Doors!$A:$A,$D239,Doors!$B:$B,$B239,Doors!$C:$C,$C239)*SUMIFS(Velocity!$I:$I,Velocity!$A:$A,$A239,Velocity!$B:$B,$C239)/Assumptions!$B$4*Assumptions!$B$6</f>
        <v>0</v>
      </c>
      <c r="AP239" s="7" t="n">
        <f aca="false">SUMIFS(Doors!BB:BB,Doors!$A:$A,$D239,Doors!$B:$B,$B239,Doors!$C:$C,$C239)*SUMIFS(Velocity!$I:$I,Velocity!$A:$A,$A239,Velocity!$B:$B,$C239)/Assumptions!$B$4*Assumptions!$B$6</f>
        <v>0</v>
      </c>
      <c r="AQ239" s="7" t="n">
        <f aca="false">SUMIFS(Doors!BC:BC,Doors!$A:$A,$D239,Doors!$B:$B,$B239,Doors!$C:$C,$C239)*SUMIFS(Velocity!$I:$I,Velocity!$A:$A,$A239,Velocity!$B:$B,$C239)/Assumptions!$B$4*Assumptions!$B$6</f>
        <v>0</v>
      </c>
      <c r="AR239" s="7" t="n">
        <f aca="false">SUMIFS(Doors!BD:BD,Doors!$A:$A,$D239,Doors!$B:$B,$B239,Doors!$C:$C,$C239)*SUMIFS(Velocity!$I:$I,Velocity!$A:$A,$A239,Velocity!$B:$B,$C239)/Assumptions!$B$4*Assumptions!$B$6</f>
        <v>0</v>
      </c>
      <c r="AS239" s="7" t="n">
        <f aca="false">SUMIFS(Doors!BE:BE,Doors!$A:$A,$D239,Doors!$B:$B,$B239,Doors!$C:$C,$C239)*SUMIFS(Velocity!$I:$I,Velocity!$A:$A,$A239,Velocity!$B:$B,$C239)/Assumptions!$B$4*Assumptions!$B$6</f>
        <v>0</v>
      </c>
      <c r="AT239" s="7" t="n">
        <f aca="false">SUMIFS(Doors!BF:BF,Doors!$A:$A,$D239,Doors!$B:$B,$B239,Doors!$C:$C,$C239)*SUMIFS(Velocity!$I:$I,Velocity!$A:$A,$A239,Velocity!$B:$B,$C239)/Assumptions!$B$4*Assumptions!$B$6</f>
        <v>0</v>
      </c>
      <c r="AU239" s="7" t="n">
        <f aca="false">SUMIFS(Doors!BG:BG,Doors!$A:$A,$D239,Doors!$B:$B,$B239,Doors!$C:$C,$C239)*SUMIFS(Velocity!$I:$I,Velocity!$A:$A,$A239,Velocity!$B:$B,$C239)/Assumptions!$B$4*Assumptions!$B$6</f>
        <v>0</v>
      </c>
      <c r="AV239" s="7" t="n">
        <f aca="false">SUMIFS(Doors!BH:BH,Doors!$A:$A,$D239,Doors!$B:$B,$B239,Doors!$C:$C,$C239)*SUMIFS(Velocity!$I:$I,Velocity!$A:$A,$A239,Velocity!$B:$B,$C239)/Assumptions!$B$4*Assumptions!$B$6</f>
        <v>0</v>
      </c>
      <c r="AW239" s="7" t="n">
        <f aca="false">SUMIFS(Doors!BI:BI,Doors!$A:$A,$D239,Doors!$B:$B,$B239,Doors!$C:$C,$C239)*SUMIFS(Velocity!$I:$I,Velocity!$A:$A,$A239,Velocity!$B:$B,$C239)/Assumptions!$B$4*Assumptions!$B$6</f>
        <v>0</v>
      </c>
      <c r="AX239" s="7" t="n">
        <f aca="false">SUMIFS(Doors!BJ:BJ,Doors!$A:$A,$D239,Doors!$B:$B,$B239,Doors!$C:$C,$C239)*SUMIFS(Velocity!$I:$I,Velocity!$A:$A,$A239,Velocity!$B:$B,$C239)/Assumptions!$B$4*Assumptions!$B$6</f>
        <v>0</v>
      </c>
      <c r="AY239" s="7" t="n">
        <f aca="false">SUMIFS(Doors!BK:BK,Doors!$A:$A,$D239,Doors!$B:$B,$B239,Doors!$C:$C,$C239)*SUMIFS(Velocity!$I:$I,Velocity!$A:$A,$A239,Velocity!$B:$B,$C239)/Assumptions!$B$4*Assumptions!$B$6</f>
        <v>0</v>
      </c>
      <c r="AZ239" s="7" t="n">
        <f aca="false">SUMIFS(Doors!BL:BL,Doors!$A:$A,$D239,Doors!$B:$B,$B239,Doors!$C:$C,$C239)*SUMIFS(Velocity!$I:$I,Velocity!$A:$A,$A239,Velocity!$B:$B,$C239)/Assumptions!$B$4*Assumptions!$B$6</f>
        <v>0</v>
      </c>
      <c r="BA239" s="7" t="n">
        <f aca="false">SUMIFS(Doors!BM:BM,Doors!$A:$A,$D239,Doors!$B:$B,$B239,Doors!$C:$C,$C239)*SUMIFS(Velocity!$I:$I,Velocity!$A:$A,$A239,Velocity!$B:$B,$C239)/Assumptions!$B$4*Assumptions!$B$6</f>
        <v>0</v>
      </c>
      <c r="BB239" s="7" t="n">
        <f aca="false">SUMIFS(Doors!BN:BN,Doors!$A:$A,$D239,Doors!$B:$B,$B239,Doors!$C:$C,$C239)*SUMIFS(Velocity!$I:$I,Velocity!$A:$A,$A239,Velocity!$B:$B,$C239)/Assumptions!$B$4*Assumptions!$B$6</f>
        <v>0</v>
      </c>
      <c r="BC239" s="7" t="n">
        <f aca="false">SUMIFS(Doors!BO:BO,Doors!$A:$A,$D239,Doors!$B:$B,$B239,Doors!$C:$C,$C239)*SUMIFS(Velocity!$I:$I,Velocity!$A:$A,$A239,Velocity!$B:$B,$C239)/Assumptions!$B$4*Assumptions!$B$6</f>
        <v>0</v>
      </c>
      <c r="BD239" s="7" t="n">
        <f aca="false">SUMIFS(Doors!BP:BP,Doors!$A:$A,$D239,Doors!$B:$B,$B239,Doors!$C:$C,$C239)*SUMIFS(Velocity!$I:$I,Velocity!$A:$A,$A239,Velocity!$B:$B,$C239)/Assumptions!$B$4*Assumptions!$B$6</f>
        <v>0</v>
      </c>
    </row>
    <row r="240" customFormat="false" ht="15" hidden="false" customHeight="false" outlineLevel="0" collapsed="false">
      <c r="A240" s="0" t="s">
        <v>110</v>
      </c>
      <c r="B240" s="0" t="s">
        <v>132</v>
      </c>
      <c r="C240" s="0" t="s">
        <v>115</v>
      </c>
      <c r="D240" s="0" t="s">
        <v>235</v>
      </c>
      <c r="E240" s="7" t="n">
        <f aca="false">SUMIFS(Doors!Q:Q,Doors!$A:$A,$D240,Doors!$B:$B,$B240,Doors!$C:$C,$C240)*SUMIFS(Velocity!$I:$I,Velocity!$A:$A,$A240,Velocity!$B:$B,$C240)/Assumptions!$B$4*Assumptions!$B$6</f>
        <v>0</v>
      </c>
      <c r="F240" s="7" t="n">
        <f aca="false">SUMIFS(Doors!R:R,Doors!$A:$A,$D240,Doors!$B:$B,$B240,Doors!$C:$C,$C240)*SUMIFS(Velocity!$I:$I,Velocity!$A:$A,$A240,Velocity!$B:$B,$C240)/Assumptions!$B$4*Assumptions!$B$6</f>
        <v>0</v>
      </c>
      <c r="G240" s="7" t="n">
        <f aca="false">SUMIFS(Doors!S:S,Doors!$A:$A,$D240,Doors!$B:$B,$B240,Doors!$C:$C,$C240)*SUMIFS(Velocity!$I:$I,Velocity!$A:$A,$A240,Velocity!$B:$B,$C240)/Assumptions!$B$4*Assumptions!$B$6</f>
        <v>0</v>
      </c>
      <c r="H240" s="7" t="n">
        <f aca="false">SUMIFS(Doors!T:T,Doors!$A:$A,$D240,Doors!$B:$B,$B240,Doors!$C:$C,$C240)*SUMIFS(Velocity!$I:$I,Velocity!$A:$A,$A240,Velocity!$B:$B,$C240)/Assumptions!$B$4*Assumptions!$B$6</f>
        <v>0</v>
      </c>
      <c r="I240" s="7" t="n">
        <f aca="false">SUMIFS(Doors!U:U,Doors!$A:$A,$D240,Doors!$B:$B,$B240,Doors!$C:$C,$C240)*SUMIFS(Velocity!$I:$I,Velocity!$A:$A,$A240,Velocity!$B:$B,$C240)/Assumptions!$B$4*Assumptions!$B$6</f>
        <v>0</v>
      </c>
      <c r="J240" s="7" t="n">
        <f aca="false">SUMIFS(Doors!V:V,Doors!$A:$A,$D240,Doors!$B:$B,$B240,Doors!$C:$C,$C240)*SUMIFS(Velocity!$I:$I,Velocity!$A:$A,$A240,Velocity!$B:$B,$C240)/Assumptions!$B$4*Assumptions!$B$6</f>
        <v>0</v>
      </c>
      <c r="K240" s="7" t="n">
        <f aca="false">SUMIFS(Doors!W:W,Doors!$A:$A,$D240,Doors!$B:$B,$B240,Doors!$C:$C,$C240)*SUMIFS(Velocity!$I:$I,Velocity!$A:$A,$A240,Velocity!$B:$B,$C240)/Assumptions!$B$4*Assumptions!$B$6</f>
        <v>0</v>
      </c>
      <c r="L240" s="7" t="n">
        <f aca="false">SUMIFS(Doors!X:X,Doors!$A:$A,$D240,Doors!$B:$B,$B240,Doors!$C:$C,$C240)*SUMIFS(Velocity!$I:$I,Velocity!$A:$A,$A240,Velocity!$B:$B,$C240)/Assumptions!$B$4*Assumptions!$B$6</f>
        <v>0</v>
      </c>
      <c r="M240" s="7" t="n">
        <f aca="false">SUMIFS(Doors!Y:Y,Doors!$A:$A,$D240,Doors!$B:$B,$B240,Doors!$C:$C,$C240)*SUMIFS(Velocity!$I:$I,Velocity!$A:$A,$A240,Velocity!$B:$B,$C240)/Assumptions!$B$4*Assumptions!$B$6</f>
        <v>0</v>
      </c>
      <c r="N240" s="7" t="n">
        <f aca="false">SUMIFS(Doors!Z:Z,Doors!$A:$A,$D240,Doors!$B:$B,$B240,Doors!$C:$C,$C240)*SUMIFS(Velocity!$I:$I,Velocity!$A:$A,$A240,Velocity!$B:$B,$C240)/Assumptions!$B$4*Assumptions!$B$6</f>
        <v>0.366666666666667</v>
      </c>
      <c r="O240" s="7" t="n">
        <f aca="false">SUMIFS(Doors!AA:AA,Doors!$A:$A,$D240,Doors!$B:$B,$B240,Doors!$C:$C,$C240)*SUMIFS(Velocity!$I:$I,Velocity!$A:$A,$A240,Velocity!$B:$B,$C240)/Assumptions!$B$4*Assumptions!$B$6</f>
        <v>0.366666666666667</v>
      </c>
      <c r="P240" s="7" t="n">
        <f aca="false">SUMIFS(Doors!AB:AB,Doors!$A:$A,$D240,Doors!$B:$B,$B240,Doors!$C:$C,$C240)*SUMIFS(Velocity!$I:$I,Velocity!$A:$A,$A240,Velocity!$B:$B,$C240)/Assumptions!$B$4*Assumptions!$B$6</f>
        <v>0.366666666666667</v>
      </c>
      <c r="Q240" s="7" t="n">
        <f aca="false">SUMIFS(Doors!AC:AC,Doors!$A:$A,$D240,Doors!$B:$B,$B240,Doors!$C:$C,$C240)*SUMIFS(Velocity!$I:$I,Velocity!$A:$A,$A240,Velocity!$B:$B,$C240)/Assumptions!$B$4*Assumptions!$B$6</f>
        <v>0.366666666666667</v>
      </c>
      <c r="R240" s="7" t="n">
        <f aca="false">SUMIFS(Doors!AD:AD,Doors!$A:$A,$D240,Doors!$B:$B,$B240,Doors!$C:$C,$C240)*SUMIFS(Velocity!$I:$I,Velocity!$A:$A,$A240,Velocity!$B:$B,$C240)/Assumptions!$B$4*Assumptions!$B$6</f>
        <v>1.1</v>
      </c>
      <c r="S240" s="7" t="n">
        <f aca="false">SUMIFS(Doors!AE:AE,Doors!$A:$A,$D240,Doors!$B:$B,$B240,Doors!$C:$C,$C240)*SUMIFS(Velocity!$I:$I,Velocity!$A:$A,$A240,Velocity!$B:$B,$C240)/Assumptions!$B$4*Assumptions!$B$6</f>
        <v>1.1</v>
      </c>
      <c r="T240" s="7" t="n">
        <f aca="false">SUMIFS(Doors!AF:AF,Doors!$A:$A,$D240,Doors!$B:$B,$B240,Doors!$C:$C,$C240)*SUMIFS(Velocity!$I:$I,Velocity!$A:$A,$A240,Velocity!$B:$B,$C240)/Assumptions!$B$4*Assumptions!$B$6</f>
        <v>1.1</v>
      </c>
      <c r="U240" s="7" t="n">
        <f aca="false">SUMIFS(Doors!AG:AG,Doors!$A:$A,$D240,Doors!$B:$B,$B240,Doors!$C:$C,$C240)*SUMIFS(Velocity!$I:$I,Velocity!$A:$A,$A240,Velocity!$B:$B,$C240)/Assumptions!$B$4*Assumptions!$B$6</f>
        <v>1.1</v>
      </c>
      <c r="V240" s="7" t="n">
        <f aca="false">SUMIFS(Doors!AH:AH,Doors!$A:$A,$D240,Doors!$B:$B,$B240,Doors!$C:$C,$C240)*SUMIFS(Velocity!$I:$I,Velocity!$A:$A,$A240,Velocity!$B:$B,$C240)/Assumptions!$B$4*Assumptions!$B$6</f>
        <v>1.1</v>
      </c>
      <c r="W240" s="7" t="n">
        <f aca="false">SUMIFS(Doors!AI:AI,Doors!$A:$A,$D240,Doors!$B:$B,$B240,Doors!$C:$C,$C240)*SUMIFS(Velocity!$I:$I,Velocity!$A:$A,$A240,Velocity!$B:$B,$C240)/Assumptions!$B$4*Assumptions!$B$6</f>
        <v>1.83333333333333</v>
      </c>
      <c r="X240" s="7" t="n">
        <f aca="false">SUMIFS(Doors!AJ:AJ,Doors!$A:$A,$D240,Doors!$B:$B,$B240,Doors!$C:$C,$C240)*SUMIFS(Velocity!$I:$I,Velocity!$A:$A,$A240,Velocity!$B:$B,$C240)/Assumptions!$B$4*Assumptions!$B$6</f>
        <v>1.83333333333333</v>
      </c>
      <c r="Y240" s="7" t="n">
        <f aca="false">SUMIFS(Doors!AK:AK,Doors!$A:$A,$D240,Doors!$B:$B,$B240,Doors!$C:$C,$C240)*SUMIFS(Velocity!$I:$I,Velocity!$A:$A,$A240,Velocity!$B:$B,$C240)/Assumptions!$B$4*Assumptions!$B$6</f>
        <v>1.83333333333333</v>
      </c>
      <c r="Z240" s="7" t="n">
        <f aca="false">SUMIFS(Doors!AL:AL,Doors!$A:$A,$D240,Doors!$B:$B,$B240,Doors!$C:$C,$C240)*SUMIFS(Velocity!$I:$I,Velocity!$A:$A,$A240,Velocity!$B:$B,$C240)/Assumptions!$B$4*Assumptions!$B$6</f>
        <v>1.83333333333333</v>
      </c>
      <c r="AA240" s="7" t="n">
        <f aca="false">SUMIFS(Doors!AM:AM,Doors!$A:$A,$D240,Doors!$B:$B,$B240,Doors!$C:$C,$C240)*SUMIFS(Velocity!$I:$I,Velocity!$A:$A,$A240,Velocity!$B:$B,$C240)/Assumptions!$B$4*Assumptions!$B$6</f>
        <v>2.56666666666667</v>
      </c>
      <c r="AB240" s="7" t="n">
        <f aca="false">SUMIFS(Doors!AN:AN,Doors!$A:$A,$D240,Doors!$B:$B,$B240,Doors!$C:$C,$C240)*SUMIFS(Velocity!$I:$I,Velocity!$A:$A,$A240,Velocity!$B:$B,$C240)/Assumptions!$B$4*Assumptions!$B$6</f>
        <v>2.56666666666667</v>
      </c>
      <c r="AC240" s="7" t="n">
        <f aca="false">SUMIFS(Doors!AO:AO,Doors!$A:$A,$D240,Doors!$B:$B,$B240,Doors!$C:$C,$C240)*SUMIFS(Velocity!$I:$I,Velocity!$A:$A,$A240,Velocity!$B:$B,$C240)/Assumptions!$B$4*Assumptions!$B$6</f>
        <v>2.56666666666667</v>
      </c>
      <c r="AD240" s="7" t="n">
        <f aca="false">SUMIFS(Doors!AP:AP,Doors!$A:$A,$D240,Doors!$B:$B,$B240,Doors!$C:$C,$C240)*SUMIFS(Velocity!$I:$I,Velocity!$A:$A,$A240,Velocity!$B:$B,$C240)/Assumptions!$B$4*Assumptions!$B$6</f>
        <v>2.56666666666667</v>
      </c>
      <c r="AE240" s="7" t="n">
        <f aca="false">SUMIFS(Doors!AQ:AQ,Doors!$A:$A,$D240,Doors!$B:$B,$B240,Doors!$C:$C,$C240)*SUMIFS(Velocity!$I:$I,Velocity!$A:$A,$A240,Velocity!$B:$B,$C240)/Assumptions!$B$4*Assumptions!$B$6</f>
        <v>3.3</v>
      </c>
      <c r="AF240" s="7" t="n">
        <f aca="false">SUMIFS(Doors!AR:AR,Doors!$A:$A,$D240,Doors!$B:$B,$B240,Doors!$C:$C,$C240)*SUMIFS(Velocity!$I:$I,Velocity!$A:$A,$A240,Velocity!$B:$B,$C240)/Assumptions!$B$4*Assumptions!$B$6</f>
        <v>3.3</v>
      </c>
      <c r="AG240" s="7" t="n">
        <f aca="false">SUMIFS(Doors!AS:AS,Doors!$A:$A,$D240,Doors!$B:$B,$B240,Doors!$C:$C,$C240)*SUMIFS(Velocity!$I:$I,Velocity!$A:$A,$A240,Velocity!$B:$B,$C240)/Assumptions!$B$4*Assumptions!$B$6</f>
        <v>3.3</v>
      </c>
      <c r="AH240" s="7" t="n">
        <f aca="false">SUMIFS(Doors!AT:AT,Doors!$A:$A,$D240,Doors!$B:$B,$B240,Doors!$C:$C,$C240)*SUMIFS(Velocity!$I:$I,Velocity!$A:$A,$A240,Velocity!$B:$B,$C240)/Assumptions!$B$4*Assumptions!$B$6</f>
        <v>3.3</v>
      </c>
      <c r="AI240" s="7" t="n">
        <f aca="false">SUMIFS(Doors!AU:AU,Doors!$A:$A,$D240,Doors!$B:$B,$B240,Doors!$C:$C,$C240)*SUMIFS(Velocity!$I:$I,Velocity!$A:$A,$A240,Velocity!$B:$B,$C240)/Assumptions!$B$4*Assumptions!$B$6</f>
        <v>3.3</v>
      </c>
      <c r="AJ240" s="7" t="n">
        <f aca="false">SUMIFS(Doors!AV:AV,Doors!$A:$A,$D240,Doors!$B:$B,$B240,Doors!$C:$C,$C240)*SUMIFS(Velocity!$I:$I,Velocity!$A:$A,$A240,Velocity!$B:$B,$C240)/Assumptions!$B$4*Assumptions!$B$6</f>
        <v>4.03333333333333</v>
      </c>
      <c r="AK240" s="7" t="n">
        <f aca="false">SUMIFS(Doors!AW:AW,Doors!$A:$A,$D240,Doors!$B:$B,$B240,Doors!$C:$C,$C240)*SUMIFS(Velocity!$I:$I,Velocity!$A:$A,$A240,Velocity!$B:$B,$C240)/Assumptions!$B$4*Assumptions!$B$6</f>
        <v>4.03333333333333</v>
      </c>
      <c r="AL240" s="7" t="n">
        <f aca="false">SUMIFS(Doors!AX:AX,Doors!$A:$A,$D240,Doors!$B:$B,$B240,Doors!$C:$C,$C240)*SUMIFS(Velocity!$I:$I,Velocity!$A:$A,$A240,Velocity!$B:$B,$C240)/Assumptions!$B$4*Assumptions!$B$6</f>
        <v>4.03333333333333</v>
      </c>
      <c r="AM240" s="7" t="n">
        <f aca="false">SUMIFS(Doors!AY:AY,Doors!$A:$A,$D240,Doors!$B:$B,$B240,Doors!$C:$C,$C240)*SUMIFS(Velocity!$I:$I,Velocity!$A:$A,$A240,Velocity!$B:$B,$C240)/Assumptions!$B$4*Assumptions!$B$6</f>
        <v>4.03333333333333</v>
      </c>
      <c r="AN240" s="7" t="n">
        <f aca="false">SUMIFS(Doors!AZ:AZ,Doors!$A:$A,$D240,Doors!$B:$B,$B240,Doors!$C:$C,$C240)*SUMIFS(Velocity!$I:$I,Velocity!$A:$A,$A240,Velocity!$B:$B,$C240)/Assumptions!$B$4*Assumptions!$B$6</f>
        <v>4.76666666666667</v>
      </c>
      <c r="AO240" s="7" t="n">
        <f aca="false">SUMIFS(Doors!BA:BA,Doors!$A:$A,$D240,Doors!$B:$B,$B240,Doors!$C:$C,$C240)*SUMIFS(Velocity!$I:$I,Velocity!$A:$A,$A240,Velocity!$B:$B,$C240)/Assumptions!$B$4*Assumptions!$B$6</f>
        <v>4.76666666666667</v>
      </c>
      <c r="AP240" s="7" t="n">
        <f aca="false">SUMIFS(Doors!BB:BB,Doors!$A:$A,$D240,Doors!$B:$B,$B240,Doors!$C:$C,$C240)*SUMIFS(Velocity!$I:$I,Velocity!$A:$A,$A240,Velocity!$B:$B,$C240)/Assumptions!$B$4*Assumptions!$B$6</f>
        <v>4.76666666666667</v>
      </c>
      <c r="AQ240" s="7" t="n">
        <f aca="false">SUMIFS(Doors!BC:BC,Doors!$A:$A,$D240,Doors!$B:$B,$B240,Doors!$C:$C,$C240)*SUMIFS(Velocity!$I:$I,Velocity!$A:$A,$A240,Velocity!$B:$B,$C240)/Assumptions!$B$4*Assumptions!$B$6</f>
        <v>4.76666666666667</v>
      </c>
      <c r="AR240" s="7" t="n">
        <f aca="false">SUMIFS(Doors!BD:BD,Doors!$A:$A,$D240,Doors!$B:$B,$B240,Doors!$C:$C,$C240)*SUMIFS(Velocity!$I:$I,Velocity!$A:$A,$A240,Velocity!$B:$B,$C240)/Assumptions!$B$4*Assumptions!$B$6</f>
        <v>5.13333333333333</v>
      </c>
      <c r="AS240" s="7" t="n">
        <f aca="false">SUMIFS(Doors!BE:BE,Doors!$A:$A,$D240,Doors!$B:$B,$B240,Doors!$C:$C,$C240)*SUMIFS(Velocity!$I:$I,Velocity!$A:$A,$A240,Velocity!$B:$B,$C240)/Assumptions!$B$4*Assumptions!$B$6</f>
        <v>5.13333333333333</v>
      </c>
      <c r="AT240" s="7" t="n">
        <f aca="false">SUMIFS(Doors!BF:BF,Doors!$A:$A,$D240,Doors!$B:$B,$B240,Doors!$C:$C,$C240)*SUMIFS(Velocity!$I:$I,Velocity!$A:$A,$A240,Velocity!$B:$B,$C240)/Assumptions!$B$4*Assumptions!$B$6</f>
        <v>5.13333333333333</v>
      </c>
      <c r="AU240" s="7" t="n">
        <f aca="false">SUMIFS(Doors!BG:BG,Doors!$A:$A,$D240,Doors!$B:$B,$B240,Doors!$C:$C,$C240)*SUMIFS(Velocity!$I:$I,Velocity!$A:$A,$A240,Velocity!$B:$B,$C240)/Assumptions!$B$4*Assumptions!$B$6</f>
        <v>5.13333333333333</v>
      </c>
      <c r="AV240" s="7" t="n">
        <f aca="false">SUMIFS(Doors!BH:BH,Doors!$A:$A,$D240,Doors!$B:$B,$B240,Doors!$C:$C,$C240)*SUMIFS(Velocity!$I:$I,Velocity!$A:$A,$A240,Velocity!$B:$B,$C240)/Assumptions!$B$4*Assumptions!$B$6</f>
        <v>5.13333333333333</v>
      </c>
      <c r="AW240" s="7" t="n">
        <f aca="false">SUMIFS(Doors!BI:BI,Doors!$A:$A,$D240,Doors!$B:$B,$B240,Doors!$C:$C,$C240)*SUMIFS(Velocity!$I:$I,Velocity!$A:$A,$A240,Velocity!$B:$B,$C240)/Assumptions!$B$4*Assumptions!$B$6</f>
        <v>5.5</v>
      </c>
      <c r="AX240" s="7" t="n">
        <f aca="false">SUMIFS(Doors!BJ:BJ,Doors!$A:$A,$D240,Doors!$B:$B,$B240,Doors!$C:$C,$C240)*SUMIFS(Velocity!$I:$I,Velocity!$A:$A,$A240,Velocity!$B:$B,$C240)/Assumptions!$B$4*Assumptions!$B$6</f>
        <v>5.5</v>
      </c>
      <c r="AY240" s="7" t="n">
        <f aca="false">SUMIFS(Doors!BK:BK,Doors!$A:$A,$D240,Doors!$B:$B,$B240,Doors!$C:$C,$C240)*SUMIFS(Velocity!$I:$I,Velocity!$A:$A,$A240,Velocity!$B:$B,$C240)/Assumptions!$B$4*Assumptions!$B$6</f>
        <v>5.5</v>
      </c>
      <c r="AZ240" s="7" t="n">
        <f aca="false">SUMIFS(Doors!BL:BL,Doors!$A:$A,$D240,Doors!$B:$B,$B240,Doors!$C:$C,$C240)*SUMIFS(Velocity!$I:$I,Velocity!$A:$A,$A240,Velocity!$B:$B,$C240)/Assumptions!$B$4*Assumptions!$B$6</f>
        <v>5.5</v>
      </c>
      <c r="BA240" s="7" t="n">
        <f aca="false">SUMIFS(Doors!BM:BM,Doors!$A:$A,$D240,Doors!$B:$B,$B240,Doors!$C:$C,$C240)*SUMIFS(Velocity!$I:$I,Velocity!$A:$A,$A240,Velocity!$B:$B,$C240)/Assumptions!$B$4*Assumptions!$B$6</f>
        <v>5.86666666666667</v>
      </c>
      <c r="BB240" s="7" t="n">
        <f aca="false">SUMIFS(Doors!BN:BN,Doors!$A:$A,$D240,Doors!$B:$B,$B240,Doors!$C:$C,$C240)*SUMIFS(Velocity!$I:$I,Velocity!$A:$A,$A240,Velocity!$B:$B,$C240)/Assumptions!$B$4*Assumptions!$B$6</f>
        <v>5.86666666666667</v>
      </c>
      <c r="BC240" s="7" t="n">
        <f aca="false">SUMIFS(Doors!BO:BO,Doors!$A:$A,$D240,Doors!$B:$B,$B240,Doors!$C:$C,$C240)*SUMIFS(Velocity!$I:$I,Velocity!$A:$A,$A240,Velocity!$B:$B,$C240)/Assumptions!$B$4*Assumptions!$B$6</f>
        <v>5.86666666666667</v>
      </c>
      <c r="BD240" s="7" t="n">
        <f aca="false">SUMIFS(Doors!BP:BP,Doors!$A:$A,$D240,Doors!$B:$B,$B240,Doors!$C:$C,$C240)*SUMIFS(Velocity!$I:$I,Velocity!$A:$A,$A240,Velocity!$B:$B,$C240)/Assumptions!$B$4*Assumptions!$B$6</f>
        <v>5.86666666666667</v>
      </c>
    </row>
    <row r="241" customFormat="false" ht="15" hidden="false" customHeight="false" outlineLevel="0" collapsed="false">
      <c r="A241" s="0" t="s">
        <v>110</v>
      </c>
      <c r="B241" s="0" t="s">
        <v>132</v>
      </c>
      <c r="C241" s="0" t="s">
        <v>116</v>
      </c>
      <c r="D241" s="0" t="s">
        <v>235</v>
      </c>
      <c r="E241" s="7" t="n">
        <f aca="false">SUMIFS(Doors!Q:Q,Doors!$A:$A,$D241,Doors!$B:$B,$B241,Doors!$C:$C,$C241)*SUMIFS(Velocity!$I:$I,Velocity!$A:$A,$A241,Velocity!$B:$B,$C241)/Assumptions!$B$4*Assumptions!$B$6</f>
        <v>0</v>
      </c>
      <c r="F241" s="7" t="n">
        <f aca="false">SUMIFS(Doors!R:R,Doors!$A:$A,$D241,Doors!$B:$B,$B241,Doors!$C:$C,$C241)*SUMIFS(Velocity!$I:$I,Velocity!$A:$A,$A241,Velocity!$B:$B,$C241)/Assumptions!$B$4*Assumptions!$B$6</f>
        <v>0</v>
      </c>
      <c r="G241" s="7" t="n">
        <f aca="false">SUMIFS(Doors!S:S,Doors!$A:$A,$D241,Doors!$B:$B,$B241,Doors!$C:$C,$C241)*SUMIFS(Velocity!$I:$I,Velocity!$A:$A,$A241,Velocity!$B:$B,$C241)/Assumptions!$B$4*Assumptions!$B$6</f>
        <v>0</v>
      </c>
      <c r="H241" s="7" t="n">
        <f aca="false">SUMIFS(Doors!T:T,Doors!$A:$A,$D241,Doors!$B:$B,$B241,Doors!$C:$C,$C241)*SUMIFS(Velocity!$I:$I,Velocity!$A:$A,$A241,Velocity!$B:$B,$C241)/Assumptions!$B$4*Assumptions!$B$6</f>
        <v>0</v>
      </c>
      <c r="I241" s="7" t="n">
        <f aca="false">SUMIFS(Doors!U:U,Doors!$A:$A,$D241,Doors!$B:$B,$B241,Doors!$C:$C,$C241)*SUMIFS(Velocity!$I:$I,Velocity!$A:$A,$A241,Velocity!$B:$B,$C241)/Assumptions!$B$4*Assumptions!$B$6</f>
        <v>0</v>
      </c>
      <c r="J241" s="7" t="n">
        <f aca="false">SUMIFS(Doors!V:V,Doors!$A:$A,$D241,Doors!$B:$B,$B241,Doors!$C:$C,$C241)*SUMIFS(Velocity!$I:$I,Velocity!$A:$A,$A241,Velocity!$B:$B,$C241)/Assumptions!$B$4*Assumptions!$B$6</f>
        <v>0</v>
      </c>
      <c r="K241" s="7" t="n">
        <f aca="false">SUMIFS(Doors!W:W,Doors!$A:$A,$D241,Doors!$B:$B,$B241,Doors!$C:$C,$C241)*SUMIFS(Velocity!$I:$I,Velocity!$A:$A,$A241,Velocity!$B:$B,$C241)/Assumptions!$B$4*Assumptions!$B$6</f>
        <v>0</v>
      </c>
      <c r="L241" s="7" t="n">
        <f aca="false">SUMIFS(Doors!X:X,Doors!$A:$A,$D241,Doors!$B:$B,$B241,Doors!$C:$C,$C241)*SUMIFS(Velocity!$I:$I,Velocity!$A:$A,$A241,Velocity!$B:$B,$C241)/Assumptions!$B$4*Assumptions!$B$6</f>
        <v>0</v>
      </c>
      <c r="M241" s="7" t="n">
        <f aca="false">SUMIFS(Doors!Y:Y,Doors!$A:$A,$D241,Doors!$B:$B,$B241,Doors!$C:$C,$C241)*SUMIFS(Velocity!$I:$I,Velocity!$A:$A,$A241,Velocity!$B:$B,$C241)/Assumptions!$B$4*Assumptions!$B$6</f>
        <v>0</v>
      </c>
      <c r="N241" s="7" t="n">
        <f aca="false">SUMIFS(Doors!Z:Z,Doors!$A:$A,$D241,Doors!$B:$B,$B241,Doors!$C:$C,$C241)*SUMIFS(Velocity!$I:$I,Velocity!$A:$A,$A241,Velocity!$B:$B,$C241)/Assumptions!$B$4*Assumptions!$B$6</f>
        <v>0</v>
      </c>
      <c r="O241" s="7" t="n">
        <f aca="false">SUMIFS(Doors!AA:AA,Doors!$A:$A,$D241,Doors!$B:$B,$B241,Doors!$C:$C,$C241)*SUMIFS(Velocity!$I:$I,Velocity!$A:$A,$A241,Velocity!$B:$B,$C241)/Assumptions!$B$4*Assumptions!$B$6</f>
        <v>0</v>
      </c>
      <c r="P241" s="7" t="n">
        <f aca="false">SUMIFS(Doors!AB:AB,Doors!$A:$A,$D241,Doors!$B:$B,$B241,Doors!$C:$C,$C241)*SUMIFS(Velocity!$I:$I,Velocity!$A:$A,$A241,Velocity!$B:$B,$C241)/Assumptions!$B$4*Assumptions!$B$6</f>
        <v>0</v>
      </c>
      <c r="Q241" s="7" t="n">
        <f aca="false">SUMIFS(Doors!AC:AC,Doors!$A:$A,$D241,Doors!$B:$B,$B241,Doors!$C:$C,$C241)*SUMIFS(Velocity!$I:$I,Velocity!$A:$A,$A241,Velocity!$B:$B,$C241)/Assumptions!$B$4*Assumptions!$B$6</f>
        <v>0</v>
      </c>
      <c r="R241" s="7" t="n">
        <f aca="false">SUMIFS(Doors!AD:AD,Doors!$A:$A,$D241,Doors!$B:$B,$B241,Doors!$C:$C,$C241)*SUMIFS(Velocity!$I:$I,Velocity!$A:$A,$A241,Velocity!$B:$B,$C241)/Assumptions!$B$4*Assumptions!$B$6</f>
        <v>0.316666666666667</v>
      </c>
      <c r="S241" s="7" t="n">
        <f aca="false">SUMIFS(Doors!AE:AE,Doors!$A:$A,$D241,Doors!$B:$B,$B241,Doors!$C:$C,$C241)*SUMIFS(Velocity!$I:$I,Velocity!$A:$A,$A241,Velocity!$B:$B,$C241)/Assumptions!$B$4*Assumptions!$B$6</f>
        <v>0.316666666666667</v>
      </c>
      <c r="T241" s="7" t="n">
        <f aca="false">SUMIFS(Doors!AF:AF,Doors!$A:$A,$D241,Doors!$B:$B,$B241,Doors!$C:$C,$C241)*SUMIFS(Velocity!$I:$I,Velocity!$A:$A,$A241,Velocity!$B:$B,$C241)/Assumptions!$B$4*Assumptions!$B$6</f>
        <v>0.316666666666667</v>
      </c>
      <c r="U241" s="7" t="n">
        <f aca="false">SUMIFS(Doors!AG:AG,Doors!$A:$A,$D241,Doors!$B:$B,$B241,Doors!$C:$C,$C241)*SUMIFS(Velocity!$I:$I,Velocity!$A:$A,$A241,Velocity!$B:$B,$C241)/Assumptions!$B$4*Assumptions!$B$6</f>
        <v>0.316666666666667</v>
      </c>
      <c r="V241" s="7" t="n">
        <f aca="false">SUMIFS(Doors!AH:AH,Doors!$A:$A,$D241,Doors!$B:$B,$B241,Doors!$C:$C,$C241)*SUMIFS(Velocity!$I:$I,Velocity!$A:$A,$A241,Velocity!$B:$B,$C241)/Assumptions!$B$4*Assumptions!$B$6</f>
        <v>0.316666666666667</v>
      </c>
      <c r="W241" s="7" t="n">
        <f aca="false">SUMIFS(Doors!AI:AI,Doors!$A:$A,$D241,Doors!$B:$B,$B241,Doors!$C:$C,$C241)*SUMIFS(Velocity!$I:$I,Velocity!$A:$A,$A241,Velocity!$B:$B,$C241)/Assumptions!$B$4*Assumptions!$B$6</f>
        <v>0.633333333333333</v>
      </c>
      <c r="X241" s="7" t="n">
        <f aca="false">SUMIFS(Doors!AJ:AJ,Doors!$A:$A,$D241,Doors!$B:$B,$B241,Doors!$C:$C,$C241)*SUMIFS(Velocity!$I:$I,Velocity!$A:$A,$A241,Velocity!$B:$B,$C241)/Assumptions!$B$4*Assumptions!$B$6</f>
        <v>0.633333333333333</v>
      </c>
      <c r="Y241" s="7" t="n">
        <f aca="false">SUMIFS(Doors!AK:AK,Doors!$A:$A,$D241,Doors!$B:$B,$B241,Doors!$C:$C,$C241)*SUMIFS(Velocity!$I:$I,Velocity!$A:$A,$A241,Velocity!$B:$B,$C241)/Assumptions!$B$4*Assumptions!$B$6</f>
        <v>0.633333333333333</v>
      </c>
      <c r="Z241" s="7" t="n">
        <f aca="false">SUMIFS(Doors!AL:AL,Doors!$A:$A,$D241,Doors!$B:$B,$B241,Doors!$C:$C,$C241)*SUMIFS(Velocity!$I:$I,Velocity!$A:$A,$A241,Velocity!$B:$B,$C241)/Assumptions!$B$4*Assumptions!$B$6</f>
        <v>0.633333333333333</v>
      </c>
      <c r="AA241" s="7" t="n">
        <f aca="false">SUMIFS(Doors!AM:AM,Doors!$A:$A,$D241,Doors!$B:$B,$B241,Doors!$C:$C,$C241)*SUMIFS(Velocity!$I:$I,Velocity!$A:$A,$A241,Velocity!$B:$B,$C241)/Assumptions!$B$4*Assumptions!$B$6</f>
        <v>1.26666666666667</v>
      </c>
      <c r="AB241" s="7" t="n">
        <f aca="false">SUMIFS(Doors!AN:AN,Doors!$A:$A,$D241,Doors!$B:$B,$B241,Doors!$C:$C,$C241)*SUMIFS(Velocity!$I:$I,Velocity!$A:$A,$A241,Velocity!$B:$B,$C241)/Assumptions!$B$4*Assumptions!$B$6</f>
        <v>1.26666666666667</v>
      </c>
      <c r="AC241" s="7" t="n">
        <f aca="false">SUMIFS(Doors!AO:AO,Doors!$A:$A,$D241,Doors!$B:$B,$B241,Doors!$C:$C,$C241)*SUMIFS(Velocity!$I:$I,Velocity!$A:$A,$A241,Velocity!$B:$B,$C241)/Assumptions!$B$4*Assumptions!$B$6</f>
        <v>1.26666666666667</v>
      </c>
      <c r="AD241" s="7" t="n">
        <f aca="false">SUMIFS(Doors!AP:AP,Doors!$A:$A,$D241,Doors!$B:$B,$B241,Doors!$C:$C,$C241)*SUMIFS(Velocity!$I:$I,Velocity!$A:$A,$A241,Velocity!$B:$B,$C241)/Assumptions!$B$4*Assumptions!$B$6</f>
        <v>1.26666666666667</v>
      </c>
      <c r="AE241" s="7" t="n">
        <f aca="false">SUMIFS(Doors!AQ:AQ,Doors!$A:$A,$D241,Doors!$B:$B,$B241,Doors!$C:$C,$C241)*SUMIFS(Velocity!$I:$I,Velocity!$A:$A,$A241,Velocity!$B:$B,$C241)/Assumptions!$B$4*Assumptions!$B$6</f>
        <v>1.58333333333333</v>
      </c>
      <c r="AF241" s="7" t="n">
        <f aca="false">SUMIFS(Doors!AR:AR,Doors!$A:$A,$D241,Doors!$B:$B,$B241,Doors!$C:$C,$C241)*SUMIFS(Velocity!$I:$I,Velocity!$A:$A,$A241,Velocity!$B:$B,$C241)/Assumptions!$B$4*Assumptions!$B$6</f>
        <v>1.58333333333333</v>
      </c>
      <c r="AG241" s="7" t="n">
        <f aca="false">SUMIFS(Doors!AS:AS,Doors!$A:$A,$D241,Doors!$B:$B,$B241,Doors!$C:$C,$C241)*SUMIFS(Velocity!$I:$I,Velocity!$A:$A,$A241,Velocity!$B:$B,$C241)/Assumptions!$B$4*Assumptions!$B$6</f>
        <v>1.58333333333333</v>
      </c>
      <c r="AH241" s="7" t="n">
        <f aca="false">SUMIFS(Doors!AT:AT,Doors!$A:$A,$D241,Doors!$B:$B,$B241,Doors!$C:$C,$C241)*SUMIFS(Velocity!$I:$I,Velocity!$A:$A,$A241,Velocity!$B:$B,$C241)/Assumptions!$B$4*Assumptions!$B$6</f>
        <v>1.58333333333333</v>
      </c>
      <c r="AI241" s="7" t="n">
        <f aca="false">SUMIFS(Doors!AU:AU,Doors!$A:$A,$D241,Doors!$B:$B,$B241,Doors!$C:$C,$C241)*SUMIFS(Velocity!$I:$I,Velocity!$A:$A,$A241,Velocity!$B:$B,$C241)/Assumptions!$B$4*Assumptions!$B$6</f>
        <v>1.58333333333333</v>
      </c>
      <c r="AJ241" s="7" t="n">
        <f aca="false">SUMIFS(Doors!AV:AV,Doors!$A:$A,$D241,Doors!$B:$B,$B241,Doors!$C:$C,$C241)*SUMIFS(Velocity!$I:$I,Velocity!$A:$A,$A241,Velocity!$B:$B,$C241)/Assumptions!$B$4*Assumptions!$B$6</f>
        <v>1.9</v>
      </c>
      <c r="AK241" s="7" t="n">
        <f aca="false">SUMIFS(Doors!AW:AW,Doors!$A:$A,$D241,Doors!$B:$B,$B241,Doors!$C:$C,$C241)*SUMIFS(Velocity!$I:$I,Velocity!$A:$A,$A241,Velocity!$B:$B,$C241)/Assumptions!$B$4*Assumptions!$B$6</f>
        <v>1.9</v>
      </c>
      <c r="AL241" s="7" t="n">
        <f aca="false">SUMIFS(Doors!AX:AX,Doors!$A:$A,$D241,Doors!$B:$B,$B241,Doors!$C:$C,$C241)*SUMIFS(Velocity!$I:$I,Velocity!$A:$A,$A241,Velocity!$B:$B,$C241)/Assumptions!$B$4*Assumptions!$B$6</f>
        <v>1.9</v>
      </c>
      <c r="AM241" s="7" t="n">
        <f aca="false">SUMIFS(Doors!AY:AY,Doors!$A:$A,$D241,Doors!$B:$B,$B241,Doors!$C:$C,$C241)*SUMIFS(Velocity!$I:$I,Velocity!$A:$A,$A241,Velocity!$B:$B,$C241)/Assumptions!$B$4*Assumptions!$B$6</f>
        <v>1.9</v>
      </c>
      <c r="AN241" s="7" t="n">
        <f aca="false">SUMIFS(Doors!AZ:AZ,Doors!$A:$A,$D241,Doors!$B:$B,$B241,Doors!$C:$C,$C241)*SUMIFS(Velocity!$I:$I,Velocity!$A:$A,$A241,Velocity!$B:$B,$C241)/Assumptions!$B$4*Assumptions!$B$6</f>
        <v>2.21666666666667</v>
      </c>
      <c r="AO241" s="7" t="n">
        <f aca="false">SUMIFS(Doors!BA:BA,Doors!$A:$A,$D241,Doors!$B:$B,$B241,Doors!$C:$C,$C241)*SUMIFS(Velocity!$I:$I,Velocity!$A:$A,$A241,Velocity!$B:$B,$C241)/Assumptions!$B$4*Assumptions!$B$6</f>
        <v>2.21666666666667</v>
      </c>
      <c r="AP241" s="7" t="n">
        <f aca="false">SUMIFS(Doors!BB:BB,Doors!$A:$A,$D241,Doors!$B:$B,$B241,Doors!$C:$C,$C241)*SUMIFS(Velocity!$I:$I,Velocity!$A:$A,$A241,Velocity!$B:$B,$C241)/Assumptions!$B$4*Assumptions!$B$6</f>
        <v>2.21666666666667</v>
      </c>
      <c r="AQ241" s="7" t="n">
        <f aca="false">SUMIFS(Doors!BC:BC,Doors!$A:$A,$D241,Doors!$B:$B,$B241,Doors!$C:$C,$C241)*SUMIFS(Velocity!$I:$I,Velocity!$A:$A,$A241,Velocity!$B:$B,$C241)/Assumptions!$B$4*Assumptions!$B$6</f>
        <v>2.21666666666667</v>
      </c>
      <c r="AR241" s="7" t="n">
        <f aca="false">SUMIFS(Doors!BD:BD,Doors!$A:$A,$D241,Doors!$B:$B,$B241,Doors!$C:$C,$C241)*SUMIFS(Velocity!$I:$I,Velocity!$A:$A,$A241,Velocity!$B:$B,$C241)/Assumptions!$B$4*Assumptions!$B$6</f>
        <v>2.53333333333333</v>
      </c>
      <c r="AS241" s="7" t="n">
        <f aca="false">SUMIFS(Doors!BE:BE,Doors!$A:$A,$D241,Doors!$B:$B,$B241,Doors!$C:$C,$C241)*SUMIFS(Velocity!$I:$I,Velocity!$A:$A,$A241,Velocity!$B:$B,$C241)/Assumptions!$B$4*Assumptions!$B$6</f>
        <v>2.53333333333333</v>
      </c>
      <c r="AT241" s="7" t="n">
        <f aca="false">SUMIFS(Doors!BF:BF,Doors!$A:$A,$D241,Doors!$B:$B,$B241,Doors!$C:$C,$C241)*SUMIFS(Velocity!$I:$I,Velocity!$A:$A,$A241,Velocity!$B:$B,$C241)/Assumptions!$B$4*Assumptions!$B$6</f>
        <v>2.53333333333333</v>
      </c>
      <c r="AU241" s="7" t="n">
        <f aca="false">SUMIFS(Doors!BG:BG,Doors!$A:$A,$D241,Doors!$B:$B,$B241,Doors!$C:$C,$C241)*SUMIFS(Velocity!$I:$I,Velocity!$A:$A,$A241,Velocity!$B:$B,$C241)/Assumptions!$B$4*Assumptions!$B$6</f>
        <v>2.53333333333333</v>
      </c>
      <c r="AV241" s="7" t="n">
        <f aca="false">SUMIFS(Doors!BH:BH,Doors!$A:$A,$D241,Doors!$B:$B,$B241,Doors!$C:$C,$C241)*SUMIFS(Velocity!$I:$I,Velocity!$A:$A,$A241,Velocity!$B:$B,$C241)/Assumptions!$B$4*Assumptions!$B$6</f>
        <v>2.53333333333333</v>
      </c>
      <c r="AW241" s="7" t="n">
        <f aca="false">SUMIFS(Doors!BI:BI,Doors!$A:$A,$D241,Doors!$B:$B,$B241,Doors!$C:$C,$C241)*SUMIFS(Velocity!$I:$I,Velocity!$A:$A,$A241,Velocity!$B:$B,$C241)/Assumptions!$B$4*Assumptions!$B$6</f>
        <v>2.85</v>
      </c>
      <c r="AX241" s="7" t="n">
        <f aca="false">SUMIFS(Doors!BJ:BJ,Doors!$A:$A,$D241,Doors!$B:$B,$B241,Doors!$C:$C,$C241)*SUMIFS(Velocity!$I:$I,Velocity!$A:$A,$A241,Velocity!$B:$B,$C241)/Assumptions!$B$4*Assumptions!$B$6</f>
        <v>2.85</v>
      </c>
      <c r="AY241" s="7" t="n">
        <f aca="false">SUMIFS(Doors!BK:BK,Doors!$A:$A,$D241,Doors!$B:$B,$B241,Doors!$C:$C,$C241)*SUMIFS(Velocity!$I:$I,Velocity!$A:$A,$A241,Velocity!$B:$B,$C241)/Assumptions!$B$4*Assumptions!$B$6</f>
        <v>2.85</v>
      </c>
      <c r="AZ241" s="7" t="n">
        <f aca="false">SUMIFS(Doors!BL:BL,Doors!$A:$A,$D241,Doors!$B:$B,$B241,Doors!$C:$C,$C241)*SUMIFS(Velocity!$I:$I,Velocity!$A:$A,$A241,Velocity!$B:$B,$C241)/Assumptions!$B$4*Assumptions!$B$6</f>
        <v>2.85</v>
      </c>
      <c r="BA241" s="7" t="n">
        <f aca="false">SUMIFS(Doors!BM:BM,Doors!$A:$A,$D241,Doors!$B:$B,$B241,Doors!$C:$C,$C241)*SUMIFS(Velocity!$I:$I,Velocity!$A:$A,$A241,Velocity!$B:$B,$C241)/Assumptions!$B$4*Assumptions!$B$6</f>
        <v>3.16666666666667</v>
      </c>
      <c r="BB241" s="7" t="n">
        <f aca="false">SUMIFS(Doors!BN:BN,Doors!$A:$A,$D241,Doors!$B:$B,$B241,Doors!$C:$C,$C241)*SUMIFS(Velocity!$I:$I,Velocity!$A:$A,$A241,Velocity!$B:$B,$C241)/Assumptions!$B$4*Assumptions!$B$6</f>
        <v>3.16666666666667</v>
      </c>
      <c r="BC241" s="7" t="n">
        <f aca="false">SUMIFS(Doors!BO:BO,Doors!$A:$A,$D241,Doors!$B:$B,$B241,Doors!$C:$C,$C241)*SUMIFS(Velocity!$I:$I,Velocity!$A:$A,$A241,Velocity!$B:$B,$C241)/Assumptions!$B$4*Assumptions!$B$6</f>
        <v>3.16666666666667</v>
      </c>
      <c r="BD241" s="7" t="n">
        <f aca="false">SUMIFS(Doors!BP:BP,Doors!$A:$A,$D241,Doors!$B:$B,$B241,Doors!$C:$C,$C241)*SUMIFS(Velocity!$I:$I,Velocity!$A:$A,$A241,Velocity!$B:$B,$C241)/Assumptions!$B$4*Assumptions!$B$6</f>
        <v>3.16666666666667</v>
      </c>
    </row>
    <row r="242" customFormat="false" ht="15" hidden="false" customHeight="false" outlineLevel="0" collapsed="false">
      <c r="A242" s="0" t="s">
        <v>110</v>
      </c>
      <c r="B242" s="0" t="s">
        <v>132</v>
      </c>
      <c r="C242" s="0" t="s">
        <v>117</v>
      </c>
      <c r="D242" s="0" t="s">
        <v>235</v>
      </c>
      <c r="E242" s="7" t="n">
        <f aca="false">SUMIFS(Doors!Q:Q,Doors!$A:$A,$D242,Doors!$B:$B,$B242,Doors!$C:$C,$C242)*SUMIFS(Velocity!$I:$I,Velocity!$A:$A,$A242,Velocity!$B:$B,$C242)/Assumptions!$B$4*Assumptions!$B$6</f>
        <v>0</v>
      </c>
      <c r="F242" s="7" t="n">
        <f aca="false">SUMIFS(Doors!R:R,Doors!$A:$A,$D242,Doors!$B:$B,$B242,Doors!$C:$C,$C242)*SUMIFS(Velocity!$I:$I,Velocity!$A:$A,$A242,Velocity!$B:$B,$C242)/Assumptions!$B$4*Assumptions!$B$6</f>
        <v>0</v>
      </c>
      <c r="G242" s="7" t="n">
        <f aca="false">SUMIFS(Doors!S:S,Doors!$A:$A,$D242,Doors!$B:$B,$B242,Doors!$C:$C,$C242)*SUMIFS(Velocity!$I:$I,Velocity!$A:$A,$A242,Velocity!$B:$B,$C242)/Assumptions!$B$4*Assumptions!$B$6</f>
        <v>0</v>
      </c>
      <c r="H242" s="7" t="n">
        <f aca="false">SUMIFS(Doors!T:T,Doors!$A:$A,$D242,Doors!$B:$B,$B242,Doors!$C:$C,$C242)*SUMIFS(Velocity!$I:$I,Velocity!$A:$A,$A242,Velocity!$B:$B,$C242)/Assumptions!$B$4*Assumptions!$B$6</f>
        <v>0</v>
      </c>
      <c r="I242" s="7" t="n">
        <f aca="false">SUMIFS(Doors!U:U,Doors!$A:$A,$D242,Doors!$B:$B,$B242,Doors!$C:$C,$C242)*SUMIFS(Velocity!$I:$I,Velocity!$A:$A,$A242,Velocity!$B:$B,$C242)/Assumptions!$B$4*Assumptions!$B$6</f>
        <v>0</v>
      </c>
      <c r="J242" s="7" t="n">
        <f aca="false">SUMIFS(Doors!V:V,Doors!$A:$A,$D242,Doors!$B:$B,$B242,Doors!$C:$C,$C242)*SUMIFS(Velocity!$I:$I,Velocity!$A:$A,$A242,Velocity!$B:$B,$C242)/Assumptions!$B$4*Assumptions!$B$6</f>
        <v>0</v>
      </c>
      <c r="K242" s="7" t="n">
        <f aca="false">SUMIFS(Doors!W:W,Doors!$A:$A,$D242,Doors!$B:$B,$B242,Doors!$C:$C,$C242)*SUMIFS(Velocity!$I:$I,Velocity!$A:$A,$A242,Velocity!$B:$B,$C242)/Assumptions!$B$4*Assumptions!$B$6</f>
        <v>0</v>
      </c>
      <c r="L242" s="7" t="n">
        <f aca="false">SUMIFS(Doors!X:X,Doors!$A:$A,$D242,Doors!$B:$B,$B242,Doors!$C:$C,$C242)*SUMIFS(Velocity!$I:$I,Velocity!$A:$A,$A242,Velocity!$B:$B,$C242)/Assumptions!$B$4*Assumptions!$B$6</f>
        <v>0</v>
      </c>
      <c r="M242" s="7" t="n">
        <f aca="false">SUMIFS(Doors!Y:Y,Doors!$A:$A,$D242,Doors!$B:$B,$B242,Doors!$C:$C,$C242)*SUMIFS(Velocity!$I:$I,Velocity!$A:$A,$A242,Velocity!$B:$B,$C242)/Assumptions!$B$4*Assumptions!$B$6</f>
        <v>0</v>
      </c>
      <c r="N242" s="7" t="n">
        <f aca="false">SUMIFS(Doors!Z:Z,Doors!$A:$A,$D242,Doors!$B:$B,$B242,Doors!$C:$C,$C242)*SUMIFS(Velocity!$I:$I,Velocity!$A:$A,$A242,Velocity!$B:$B,$C242)/Assumptions!$B$4*Assumptions!$B$6</f>
        <v>0</v>
      </c>
      <c r="O242" s="7" t="n">
        <f aca="false">SUMIFS(Doors!AA:AA,Doors!$A:$A,$D242,Doors!$B:$B,$B242,Doors!$C:$C,$C242)*SUMIFS(Velocity!$I:$I,Velocity!$A:$A,$A242,Velocity!$B:$B,$C242)/Assumptions!$B$4*Assumptions!$B$6</f>
        <v>0</v>
      </c>
      <c r="P242" s="7" t="n">
        <f aca="false">SUMIFS(Doors!AB:AB,Doors!$A:$A,$D242,Doors!$B:$B,$B242,Doors!$C:$C,$C242)*SUMIFS(Velocity!$I:$I,Velocity!$A:$A,$A242,Velocity!$B:$B,$C242)/Assumptions!$B$4*Assumptions!$B$6</f>
        <v>0</v>
      </c>
      <c r="Q242" s="7" t="n">
        <f aca="false">SUMIFS(Doors!AC:AC,Doors!$A:$A,$D242,Doors!$B:$B,$B242,Doors!$C:$C,$C242)*SUMIFS(Velocity!$I:$I,Velocity!$A:$A,$A242,Velocity!$B:$B,$C242)/Assumptions!$B$4*Assumptions!$B$6</f>
        <v>0</v>
      </c>
      <c r="R242" s="7" t="n">
        <f aca="false">SUMIFS(Doors!AD:AD,Doors!$A:$A,$D242,Doors!$B:$B,$B242,Doors!$C:$C,$C242)*SUMIFS(Velocity!$I:$I,Velocity!$A:$A,$A242,Velocity!$B:$B,$C242)/Assumptions!$B$4*Assumptions!$B$6</f>
        <v>0</v>
      </c>
      <c r="S242" s="7" t="n">
        <f aca="false">SUMIFS(Doors!AE:AE,Doors!$A:$A,$D242,Doors!$B:$B,$B242,Doors!$C:$C,$C242)*SUMIFS(Velocity!$I:$I,Velocity!$A:$A,$A242,Velocity!$B:$B,$C242)/Assumptions!$B$4*Assumptions!$B$6</f>
        <v>0</v>
      </c>
      <c r="T242" s="7" t="n">
        <f aca="false">SUMIFS(Doors!AF:AF,Doors!$A:$A,$D242,Doors!$B:$B,$B242,Doors!$C:$C,$C242)*SUMIFS(Velocity!$I:$I,Velocity!$A:$A,$A242,Velocity!$B:$B,$C242)/Assumptions!$B$4*Assumptions!$B$6</f>
        <v>0</v>
      </c>
      <c r="U242" s="7" t="n">
        <f aca="false">SUMIFS(Doors!AG:AG,Doors!$A:$A,$D242,Doors!$B:$B,$B242,Doors!$C:$C,$C242)*SUMIFS(Velocity!$I:$I,Velocity!$A:$A,$A242,Velocity!$B:$B,$C242)/Assumptions!$B$4*Assumptions!$B$6</f>
        <v>0</v>
      </c>
      <c r="V242" s="7" t="n">
        <f aca="false">SUMIFS(Doors!AH:AH,Doors!$A:$A,$D242,Doors!$B:$B,$B242,Doors!$C:$C,$C242)*SUMIFS(Velocity!$I:$I,Velocity!$A:$A,$A242,Velocity!$B:$B,$C242)/Assumptions!$B$4*Assumptions!$B$6</f>
        <v>0</v>
      </c>
      <c r="W242" s="7" t="n">
        <f aca="false">SUMIFS(Doors!AI:AI,Doors!$A:$A,$D242,Doors!$B:$B,$B242,Doors!$C:$C,$C242)*SUMIFS(Velocity!$I:$I,Velocity!$A:$A,$A242,Velocity!$B:$B,$C242)/Assumptions!$B$4*Assumptions!$B$6</f>
        <v>0</v>
      </c>
      <c r="X242" s="7" t="n">
        <f aca="false">SUMIFS(Doors!AJ:AJ,Doors!$A:$A,$D242,Doors!$B:$B,$B242,Doors!$C:$C,$C242)*SUMIFS(Velocity!$I:$I,Velocity!$A:$A,$A242,Velocity!$B:$B,$C242)/Assumptions!$B$4*Assumptions!$B$6</f>
        <v>0</v>
      </c>
      <c r="Y242" s="7" t="n">
        <f aca="false">SUMIFS(Doors!AK:AK,Doors!$A:$A,$D242,Doors!$B:$B,$B242,Doors!$C:$C,$C242)*SUMIFS(Velocity!$I:$I,Velocity!$A:$A,$A242,Velocity!$B:$B,$C242)/Assumptions!$B$4*Assumptions!$B$6</f>
        <v>0</v>
      </c>
      <c r="Z242" s="7" t="n">
        <f aca="false">SUMIFS(Doors!AL:AL,Doors!$A:$A,$D242,Doors!$B:$B,$B242,Doors!$C:$C,$C242)*SUMIFS(Velocity!$I:$I,Velocity!$A:$A,$A242,Velocity!$B:$B,$C242)/Assumptions!$B$4*Assumptions!$B$6</f>
        <v>0</v>
      </c>
      <c r="AA242" s="7" t="n">
        <f aca="false">SUMIFS(Doors!AM:AM,Doors!$A:$A,$D242,Doors!$B:$B,$B242,Doors!$C:$C,$C242)*SUMIFS(Velocity!$I:$I,Velocity!$A:$A,$A242,Velocity!$B:$B,$C242)/Assumptions!$B$4*Assumptions!$B$6</f>
        <v>1.37083333333333</v>
      </c>
      <c r="AB242" s="7" t="n">
        <f aca="false">SUMIFS(Doors!AN:AN,Doors!$A:$A,$D242,Doors!$B:$B,$B242,Doors!$C:$C,$C242)*SUMIFS(Velocity!$I:$I,Velocity!$A:$A,$A242,Velocity!$B:$B,$C242)/Assumptions!$B$4*Assumptions!$B$6</f>
        <v>1.37083333333333</v>
      </c>
      <c r="AC242" s="7" t="n">
        <f aca="false">SUMIFS(Doors!AO:AO,Doors!$A:$A,$D242,Doors!$B:$B,$B242,Doors!$C:$C,$C242)*SUMIFS(Velocity!$I:$I,Velocity!$A:$A,$A242,Velocity!$B:$B,$C242)/Assumptions!$B$4*Assumptions!$B$6</f>
        <v>1.37083333333333</v>
      </c>
      <c r="AD242" s="7" t="n">
        <f aca="false">SUMIFS(Doors!AP:AP,Doors!$A:$A,$D242,Doors!$B:$B,$B242,Doors!$C:$C,$C242)*SUMIFS(Velocity!$I:$I,Velocity!$A:$A,$A242,Velocity!$B:$B,$C242)/Assumptions!$B$4*Assumptions!$B$6</f>
        <v>1.37083333333333</v>
      </c>
      <c r="AE242" s="7" t="n">
        <f aca="false">SUMIFS(Doors!AQ:AQ,Doors!$A:$A,$D242,Doors!$B:$B,$B242,Doors!$C:$C,$C242)*SUMIFS(Velocity!$I:$I,Velocity!$A:$A,$A242,Velocity!$B:$B,$C242)/Assumptions!$B$4*Assumptions!$B$6</f>
        <v>2.05625</v>
      </c>
      <c r="AF242" s="7" t="n">
        <f aca="false">SUMIFS(Doors!AR:AR,Doors!$A:$A,$D242,Doors!$B:$B,$B242,Doors!$C:$C,$C242)*SUMIFS(Velocity!$I:$I,Velocity!$A:$A,$A242,Velocity!$B:$B,$C242)/Assumptions!$B$4*Assumptions!$B$6</f>
        <v>2.05625</v>
      </c>
      <c r="AG242" s="7" t="n">
        <f aca="false">SUMIFS(Doors!AS:AS,Doors!$A:$A,$D242,Doors!$B:$B,$B242,Doors!$C:$C,$C242)*SUMIFS(Velocity!$I:$I,Velocity!$A:$A,$A242,Velocity!$B:$B,$C242)/Assumptions!$B$4*Assumptions!$B$6</f>
        <v>2.05625</v>
      </c>
      <c r="AH242" s="7" t="n">
        <f aca="false">SUMIFS(Doors!AT:AT,Doors!$A:$A,$D242,Doors!$B:$B,$B242,Doors!$C:$C,$C242)*SUMIFS(Velocity!$I:$I,Velocity!$A:$A,$A242,Velocity!$B:$B,$C242)/Assumptions!$B$4*Assumptions!$B$6</f>
        <v>2.05625</v>
      </c>
      <c r="AI242" s="7" t="n">
        <f aca="false">SUMIFS(Doors!AU:AU,Doors!$A:$A,$D242,Doors!$B:$B,$B242,Doors!$C:$C,$C242)*SUMIFS(Velocity!$I:$I,Velocity!$A:$A,$A242,Velocity!$B:$B,$C242)/Assumptions!$B$4*Assumptions!$B$6</f>
        <v>2.05625</v>
      </c>
      <c r="AJ242" s="7" t="n">
        <f aca="false">SUMIFS(Doors!AV:AV,Doors!$A:$A,$D242,Doors!$B:$B,$B242,Doors!$C:$C,$C242)*SUMIFS(Velocity!$I:$I,Velocity!$A:$A,$A242,Velocity!$B:$B,$C242)/Assumptions!$B$4*Assumptions!$B$6</f>
        <v>3.42708333333333</v>
      </c>
      <c r="AK242" s="7" t="n">
        <f aca="false">SUMIFS(Doors!AW:AW,Doors!$A:$A,$D242,Doors!$B:$B,$B242,Doors!$C:$C,$C242)*SUMIFS(Velocity!$I:$I,Velocity!$A:$A,$A242,Velocity!$B:$B,$C242)/Assumptions!$B$4*Assumptions!$B$6</f>
        <v>3.42708333333333</v>
      </c>
      <c r="AL242" s="7" t="n">
        <f aca="false">SUMIFS(Doors!AX:AX,Doors!$A:$A,$D242,Doors!$B:$B,$B242,Doors!$C:$C,$C242)*SUMIFS(Velocity!$I:$I,Velocity!$A:$A,$A242,Velocity!$B:$B,$C242)/Assumptions!$B$4*Assumptions!$B$6</f>
        <v>3.42708333333333</v>
      </c>
      <c r="AM242" s="7" t="n">
        <f aca="false">SUMIFS(Doors!AY:AY,Doors!$A:$A,$D242,Doors!$B:$B,$B242,Doors!$C:$C,$C242)*SUMIFS(Velocity!$I:$I,Velocity!$A:$A,$A242,Velocity!$B:$B,$C242)/Assumptions!$B$4*Assumptions!$B$6</f>
        <v>3.42708333333333</v>
      </c>
      <c r="AN242" s="7" t="n">
        <f aca="false">SUMIFS(Doors!AZ:AZ,Doors!$A:$A,$D242,Doors!$B:$B,$B242,Doors!$C:$C,$C242)*SUMIFS(Velocity!$I:$I,Velocity!$A:$A,$A242,Velocity!$B:$B,$C242)/Assumptions!$B$4*Assumptions!$B$6</f>
        <v>4.79791666666667</v>
      </c>
      <c r="AO242" s="7" t="n">
        <f aca="false">SUMIFS(Doors!BA:BA,Doors!$A:$A,$D242,Doors!$B:$B,$B242,Doors!$C:$C,$C242)*SUMIFS(Velocity!$I:$I,Velocity!$A:$A,$A242,Velocity!$B:$B,$C242)/Assumptions!$B$4*Assumptions!$B$6</f>
        <v>4.79791666666667</v>
      </c>
      <c r="AP242" s="7" t="n">
        <f aca="false">SUMIFS(Doors!BB:BB,Doors!$A:$A,$D242,Doors!$B:$B,$B242,Doors!$C:$C,$C242)*SUMIFS(Velocity!$I:$I,Velocity!$A:$A,$A242,Velocity!$B:$B,$C242)/Assumptions!$B$4*Assumptions!$B$6</f>
        <v>4.79791666666667</v>
      </c>
      <c r="AQ242" s="7" t="n">
        <f aca="false">SUMIFS(Doors!BC:BC,Doors!$A:$A,$D242,Doors!$B:$B,$B242,Doors!$C:$C,$C242)*SUMIFS(Velocity!$I:$I,Velocity!$A:$A,$A242,Velocity!$B:$B,$C242)/Assumptions!$B$4*Assumptions!$B$6</f>
        <v>4.79791666666667</v>
      </c>
      <c r="AR242" s="7" t="n">
        <f aca="false">SUMIFS(Doors!BD:BD,Doors!$A:$A,$D242,Doors!$B:$B,$B242,Doors!$C:$C,$C242)*SUMIFS(Velocity!$I:$I,Velocity!$A:$A,$A242,Velocity!$B:$B,$C242)/Assumptions!$B$4*Assumptions!$B$6</f>
        <v>5.48333333333333</v>
      </c>
      <c r="AS242" s="7" t="n">
        <f aca="false">SUMIFS(Doors!BE:BE,Doors!$A:$A,$D242,Doors!$B:$B,$B242,Doors!$C:$C,$C242)*SUMIFS(Velocity!$I:$I,Velocity!$A:$A,$A242,Velocity!$B:$B,$C242)/Assumptions!$B$4*Assumptions!$B$6</f>
        <v>5.48333333333333</v>
      </c>
      <c r="AT242" s="7" t="n">
        <f aca="false">SUMIFS(Doors!BF:BF,Doors!$A:$A,$D242,Doors!$B:$B,$B242,Doors!$C:$C,$C242)*SUMIFS(Velocity!$I:$I,Velocity!$A:$A,$A242,Velocity!$B:$B,$C242)/Assumptions!$B$4*Assumptions!$B$6</f>
        <v>5.48333333333333</v>
      </c>
      <c r="AU242" s="7" t="n">
        <f aca="false">SUMIFS(Doors!BG:BG,Doors!$A:$A,$D242,Doors!$B:$B,$B242,Doors!$C:$C,$C242)*SUMIFS(Velocity!$I:$I,Velocity!$A:$A,$A242,Velocity!$B:$B,$C242)/Assumptions!$B$4*Assumptions!$B$6</f>
        <v>5.48333333333333</v>
      </c>
      <c r="AV242" s="7" t="n">
        <f aca="false">SUMIFS(Doors!BH:BH,Doors!$A:$A,$D242,Doors!$B:$B,$B242,Doors!$C:$C,$C242)*SUMIFS(Velocity!$I:$I,Velocity!$A:$A,$A242,Velocity!$B:$B,$C242)/Assumptions!$B$4*Assumptions!$B$6</f>
        <v>5.48333333333333</v>
      </c>
      <c r="AW242" s="7" t="n">
        <f aca="false">SUMIFS(Doors!BI:BI,Doors!$A:$A,$D242,Doors!$B:$B,$B242,Doors!$C:$C,$C242)*SUMIFS(Velocity!$I:$I,Velocity!$A:$A,$A242,Velocity!$B:$B,$C242)/Assumptions!$B$4*Assumptions!$B$6</f>
        <v>6.16875</v>
      </c>
      <c r="AX242" s="7" t="n">
        <f aca="false">SUMIFS(Doors!BJ:BJ,Doors!$A:$A,$D242,Doors!$B:$B,$B242,Doors!$C:$C,$C242)*SUMIFS(Velocity!$I:$I,Velocity!$A:$A,$A242,Velocity!$B:$B,$C242)/Assumptions!$B$4*Assumptions!$B$6</f>
        <v>6.16875</v>
      </c>
      <c r="AY242" s="7" t="n">
        <f aca="false">SUMIFS(Doors!BK:BK,Doors!$A:$A,$D242,Doors!$B:$B,$B242,Doors!$C:$C,$C242)*SUMIFS(Velocity!$I:$I,Velocity!$A:$A,$A242,Velocity!$B:$B,$C242)/Assumptions!$B$4*Assumptions!$B$6</f>
        <v>6.16875</v>
      </c>
      <c r="AZ242" s="7" t="n">
        <f aca="false">SUMIFS(Doors!BL:BL,Doors!$A:$A,$D242,Doors!$B:$B,$B242,Doors!$C:$C,$C242)*SUMIFS(Velocity!$I:$I,Velocity!$A:$A,$A242,Velocity!$B:$B,$C242)/Assumptions!$B$4*Assumptions!$B$6</f>
        <v>6.16875</v>
      </c>
      <c r="BA242" s="7" t="n">
        <f aca="false">SUMIFS(Doors!BM:BM,Doors!$A:$A,$D242,Doors!$B:$B,$B242,Doors!$C:$C,$C242)*SUMIFS(Velocity!$I:$I,Velocity!$A:$A,$A242,Velocity!$B:$B,$C242)/Assumptions!$B$4*Assumptions!$B$6</f>
        <v>6.85416666666667</v>
      </c>
      <c r="BB242" s="7" t="n">
        <f aca="false">SUMIFS(Doors!BN:BN,Doors!$A:$A,$D242,Doors!$B:$B,$B242,Doors!$C:$C,$C242)*SUMIFS(Velocity!$I:$I,Velocity!$A:$A,$A242,Velocity!$B:$B,$C242)/Assumptions!$B$4*Assumptions!$B$6</f>
        <v>6.85416666666667</v>
      </c>
      <c r="BC242" s="7" t="n">
        <f aca="false">SUMIFS(Doors!BO:BO,Doors!$A:$A,$D242,Doors!$B:$B,$B242,Doors!$C:$C,$C242)*SUMIFS(Velocity!$I:$I,Velocity!$A:$A,$A242,Velocity!$B:$B,$C242)/Assumptions!$B$4*Assumptions!$B$6</f>
        <v>6.85416666666667</v>
      </c>
      <c r="BD242" s="7" t="n">
        <f aca="false">SUMIFS(Doors!BP:BP,Doors!$A:$A,$D242,Doors!$B:$B,$B242,Doors!$C:$C,$C242)*SUMIFS(Velocity!$I:$I,Velocity!$A:$A,$A242,Velocity!$B:$B,$C242)/Assumptions!$B$4*Assumptions!$B$6</f>
        <v>6.85416666666667</v>
      </c>
    </row>
    <row r="243" customFormat="false" ht="15" hidden="false" customHeight="false" outlineLevel="0" collapsed="false">
      <c r="A243" s="0" t="s">
        <v>110</v>
      </c>
      <c r="B243" s="0" t="s">
        <v>132</v>
      </c>
      <c r="C243" s="0" t="s">
        <v>118</v>
      </c>
      <c r="D243" s="0" t="s">
        <v>235</v>
      </c>
      <c r="E243" s="7" t="n">
        <f aca="false">SUMIFS(Doors!Q:Q,Doors!$A:$A,$D243,Doors!$B:$B,$B243,Doors!$C:$C,$C243)*SUMIFS(Velocity!$I:$I,Velocity!$A:$A,$A243,Velocity!$B:$B,$C243)/Assumptions!$B$4*Assumptions!$B$6</f>
        <v>0</v>
      </c>
      <c r="F243" s="7" t="n">
        <f aca="false">SUMIFS(Doors!R:R,Doors!$A:$A,$D243,Doors!$B:$B,$B243,Doors!$C:$C,$C243)*SUMIFS(Velocity!$I:$I,Velocity!$A:$A,$A243,Velocity!$B:$B,$C243)/Assumptions!$B$4*Assumptions!$B$6</f>
        <v>0</v>
      </c>
      <c r="G243" s="7" t="n">
        <f aca="false">SUMIFS(Doors!S:S,Doors!$A:$A,$D243,Doors!$B:$B,$B243,Doors!$C:$C,$C243)*SUMIFS(Velocity!$I:$I,Velocity!$A:$A,$A243,Velocity!$B:$B,$C243)/Assumptions!$B$4*Assumptions!$B$6</f>
        <v>0</v>
      </c>
      <c r="H243" s="7" t="n">
        <f aca="false">SUMIFS(Doors!T:T,Doors!$A:$A,$D243,Doors!$B:$B,$B243,Doors!$C:$C,$C243)*SUMIFS(Velocity!$I:$I,Velocity!$A:$A,$A243,Velocity!$B:$B,$C243)/Assumptions!$B$4*Assumptions!$B$6</f>
        <v>0</v>
      </c>
      <c r="I243" s="7" t="n">
        <f aca="false">SUMIFS(Doors!U:U,Doors!$A:$A,$D243,Doors!$B:$B,$B243,Doors!$C:$C,$C243)*SUMIFS(Velocity!$I:$I,Velocity!$A:$A,$A243,Velocity!$B:$B,$C243)/Assumptions!$B$4*Assumptions!$B$6</f>
        <v>0</v>
      </c>
      <c r="J243" s="7" t="n">
        <f aca="false">SUMIFS(Doors!V:V,Doors!$A:$A,$D243,Doors!$B:$B,$B243,Doors!$C:$C,$C243)*SUMIFS(Velocity!$I:$I,Velocity!$A:$A,$A243,Velocity!$B:$B,$C243)/Assumptions!$B$4*Assumptions!$B$6</f>
        <v>0</v>
      </c>
      <c r="K243" s="7" t="n">
        <f aca="false">SUMIFS(Doors!W:W,Doors!$A:$A,$D243,Doors!$B:$B,$B243,Doors!$C:$C,$C243)*SUMIFS(Velocity!$I:$I,Velocity!$A:$A,$A243,Velocity!$B:$B,$C243)/Assumptions!$B$4*Assumptions!$B$6</f>
        <v>0</v>
      </c>
      <c r="L243" s="7" t="n">
        <f aca="false">SUMIFS(Doors!X:X,Doors!$A:$A,$D243,Doors!$B:$B,$B243,Doors!$C:$C,$C243)*SUMIFS(Velocity!$I:$I,Velocity!$A:$A,$A243,Velocity!$B:$B,$C243)/Assumptions!$B$4*Assumptions!$B$6</f>
        <v>0</v>
      </c>
      <c r="M243" s="7" t="n">
        <f aca="false">SUMIFS(Doors!Y:Y,Doors!$A:$A,$D243,Doors!$B:$B,$B243,Doors!$C:$C,$C243)*SUMIFS(Velocity!$I:$I,Velocity!$A:$A,$A243,Velocity!$B:$B,$C243)/Assumptions!$B$4*Assumptions!$B$6</f>
        <v>0</v>
      </c>
      <c r="N243" s="7" t="n">
        <f aca="false">SUMIFS(Doors!Z:Z,Doors!$A:$A,$D243,Doors!$B:$B,$B243,Doors!$C:$C,$C243)*SUMIFS(Velocity!$I:$I,Velocity!$A:$A,$A243,Velocity!$B:$B,$C243)/Assumptions!$B$4*Assumptions!$B$6</f>
        <v>0</v>
      </c>
      <c r="O243" s="7" t="n">
        <f aca="false">SUMIFS(Doors!AA:AA,Doors!$A:$A,$D243,Doors!$B:$B,$B243,Doors!$C:$C,$C243)*SUMIFS(Velocity!$I:$I,Velocity!$A:$A,$A243,Velocity!$B:$B,$C243)/Assumptions!$B$4*Assumptions!$B$6</f>
        <v>0</v>
      </c>
      <c r="P243" s="7" t="n">
        <f aca="false">SUMIFS(Doors!AB:AB,Doors!$A:$A,$D243,Doors!$B:$B,$B243,Doors!$C:$C,$C243)*SUMIFS(Velocity!$I:$I,Velocity!$A:$A,$A243,Velocity!$B:$B,$C243)/Assumptions!$B$4*Assumptions!$B$6</f>
        <v>0</v>
      </c>
      <c r="Q243" s="7" t="n">
        <f aca="false">SUMIFS(Doors!AC:AC,Doors!$A:$A,$D243,Doors!$B:$B,$B243,Doors!$C:$C,$C243)*SUMIFS(Velocity!$I:$I,Velocity!$A:$A,$A243,Velocity!$B:$B,$C243)/Assumptions!$B$4*Assumptions!$B$6</f>
        <v>0</v>
      </c>
      <c r="R243" s="7" t="n">
        <f aca="false">SUMIFS(Doors!AD:AD,Doors!$A:$A,$D243,Doors!$B:$B,$B243,Doors!$C:$C,$C243)*SUMIFS(Velocity!$I:$I,Velocity!$A:$A,$A243,Velocity!$B:$B,$C243)/Assumptions!$B$4*Assumptions!$B$6</f>
        <v>0</v>
      </c>
      <c r="S243" s="7" t="n">
        <f aca="false">SUMIFS(Doors!AE:AE,Doors!$A:$A,$D243,Doors!$B:$B,$B243,Doors!$C:$C,$C243)*SUMIFS(Velocity!$I:$I,Velocity!$A:$A,$A243,Velocity!$B:$B,$C243)/Assumptions!$B$4*Assumptions!$B$6</f>
        <v>0</v>
      </c>
      <c r="T243" s="7" t="n">
        <f aca="false">SUMIFS(Doors!AF:AF,Doors!$A:$A,$D243,Doors!$B:$B,$B243,Doors!$C:$C,$C243)*SUMIFS(Velocity!$I:$I,Velocity!$A:$A,$A243,Velocity!$B:$B,$C243)/Assumptions!$B$4*Assumptions!$B$6</f>
        <v>0</v>
      </c>
      <c r="U243" s="7" t="n">
        <f aca="false">SUMIFS(Doors!AG:AG,Doors!$A:$A,$D243,Doors!$B:$B,$B243,Doors!$C:$C,$C243)*SUMIFS(Velocity!$I:$I,Velocity!$A:$A,$A243,Velocity!$B:$B,$C243)/Assumptions!$B$4*Assumptions!$B$6</f>
        <v>0</v>
      </c>
      <c r="V243" s="7" t="n">
        <f aca="false">SUMIFS(Doors!AH:AH,Doors!$A:$A,$D243,Doors!$B:$B,$B243,Doors!$C:$C,$C243)*SUMIFS(Velocity!$I:$I,Velocity!$A:$A,$A243,Velocity!$B:$B,$C243)/Assumptions!$B$4*Assumptions!$B$6</f>
        <v>0</v>
      </c>
      <c r="W243" s="7" t="n">
        <f aca="false">SUMIFS(Doors!AI:AI,Doors!$A:$A,$D243,Doors!$B:$B,$B243,Doors!$C:$C,$C243)*SUMIFS(Velocity!$I:$I,Velocity!$A:$A,$A243,Velocity!$B:$B,$C243)/Assumptions!$B$4*Assumptions!$B$6</f>
        <v>0</v>
      </c>
      <c r="X243" s="7" t="n">
        <f aca="false">SUMIFS(Doors!AJ:AJ,Doors!$A:$A,$D243,Doors!$B:$B,$B243,Doors!$C:$C,$C243)*SUMIFS(Velocity!$I:$I,Velocity!$A:$A,$A243,Velocity!$B:$B,$C243)/Assumptions!$B$4*Assumptions!$B$6</f>
        <v>0</v>
      </c>
      <c r="Y243" s="7" t="n">
        <f aca="false">SUMIFS(Doors!AK:AK,Doors!$A:$A,$D243,Doors!$B:$B,$B243,Doors!$C:$C,$C243)*SUMIFS(Velocity!$I:$I,Velocity!$A:$A,$A243,Velocity!$B:$B,$C243)/Assumptions!$B$4*Assumptions!$B$6</f>
        <v>0</v>
      </c>
      <c r="Z243" s="7" t="n">
        <f aca="false">SUMIFS(Doors!AL:AL,Doors!$A:$A,$D243,Doors!$B:$B,$B243,Doors!$C:$C,$C243)*SUMIFS(Velocity!$I:$I,Velocity!$A:$A,$A243,Velocity!$B:$B,$C243)/Assumptions!$B$4*Assumptions!$B$6</f>
        <v>0</v>
      </c>
      <c r="AA243" s="7" t="n">
        <f aca="false">SUMIFS(Doors!AM:AM,Doors!$A:$A,$D243,Doors!$B:$B,$B243,Doors!$C:$C,$C243)*SUMIFS(Velocity!$I:$I,Velocity!$A:$A,$A243,Velocity!$B:$B,$C243)/Assumptions!$B$4*Assumptions!$B$6</f>
        <v>0</v>
      </c>
      <c r="AB243" s="7" t="n">
        <f aca="false">SUMIFS(Doors!AN:AN,Doors!$A:$A,$D243,Doors!$B:$B,$B243,Doors!$C:$C,$C243)*SUMIFS(Velocity!$I:$I,Velocity!$A:$A,$A243,Velocity!$B:$B,$C243)/Assumptions!$B$4*Assumptions!$B$6</f>
        <v>0</v>
      </c>
      <c r="AC243" s="7" t="n">
        <f aca="false">SUMIFS(Doors!AO:AO,Doors!$A:$A,$D243,Doors!$B:$B,$B243,Doors!$C:$C,$C243)*SUMIFS(Velocity!$I:$I,Velocity!$A:$A,$A243,Velocity!$B:$B,$C243)/Assumptions!$B$4*Assumptions!$B$6</f>
        <v>0</v>
      </c>
      <c r="AD243" s="7" t="n">
        <f aca="false">SUMIFS(Doors!AP:AP,Doors!$A:$A,$D243,Doors!$B:$B,$B243,Doors!$C:$C,$C243)*SUMIFS(Velocity!$I:$I,Velocity!$A:$A,$A243,Velocity!$B:$B,$C243)/Assumptions!$B$4*Assumptions!$B$6</f>
        <v>0</v>
      </c>
      <c r="AE243" s="7" t="n">
        <f aca="false">SUMIFS(Doors!AQ:AQ,Doors!$A:$A,$D243,Doors!$B:$B,$B243,Doors!$C:$C,$C243)*SUMIFS(Velocity!$I:$I,Velocity!$A:$A,$A243,Velocity!$B:$B,$C243)/Assumptions!$B$4*Assumptions!$B$6</f>
        <v>0</v>
      </c>
      <c r="AF243" s="7" t="n">
        <f aca="false">SUMIFS(Doors!AR:AR,Doors!$A:$A,$D243,Doors!$B:$B,$B243,Doors!$C:$C,$C243)*SUMIFS(Velocity!$I:$I,Velocity!$A:$A,$A243,Velocity!$B:$B,$C243)/Assumptions!$B$4*Assumptions!$B$6</f>
        <v>0</v>
      </c>
      <c r="AG243" s="7" t="n">
        <f aca="false">SUMIFS(Doors!AS:AS,Doors!$A:$A,$D243,Doors!$B:$B,$B243,Doors!$C:$C,$C243)*SUMIFS(Velocity!$I:$I,Velocity!$A:$A,$A243,Velocity!$B:$B,$C243)/Assumptions!$B$4*Assumptions!$B$6</f>
        <v>0</v>
      </c>
      <c r="AH243" s="7" t="n">
        <f aca="false">SUMIFS(Doors!AT:AT,Doors!$A:$A,$D243,Doors!$B:$B,$B243,Doors!$C:$C,$C243)*SUMIFS(Velocity!$I:$I,Velocity!$A:$A,$A243,Velocity!$B:$B,$C243)/Assumptions!$B$4*Assumptions!$B$6</f>
        <v>0</v>
      </c>
      <c r="AI243" s="7" t="n">
        <f aca="false">SUMIFS(Doors!AU:AU,Doors!$A:$A,$D243,Doors!$B:$B,$B243,Doors!$C:$C,$C243)*SUMIFS(Velocity!$I:$I,Velocity!$A:$A,$A243,Velocity!$B:$B,$C243)/Assumptions!$B$4*Assumptions!$B$6</f>
        <v>0</v>
      </c>
      <c r="AJ243" s="7" t="n">
        <f aca="false">SUMIFS(Doors!AV:AV,Doors!$A:$A,$D243,Doors!$B:$B,$B243,Doors!$C:$C,$C243)*SUMIFS(Velocity!$I:$I,Velocity!$A:$A,$A243,Velocity!$B:$B,$C243)/Assumptions!$B$4*Assumptions!$B$6</f>
        <v>0</v>
      </c>
      <c r="AK243" s="7" t="n">
        <f aca="false">SUMIFS(Doors!AW:AW,Doors!$A:$A,$D243,Doors!$B:$B,$B243,Doors!$C:$C,$C243)*SUMIFS(Velocity!$I:$I,Velocity!$A:$A,$A243,Velocity!$B:$B,$C243)/Assumptions!$B$4*Assumptions!$B$6</f>
        <v>0</v>
      </c>
      <c r="AL243" s="7" t="n">
        <f aca="false">SUMIFS(Doors!AX:AX,Doors!$A:$A,$D243,Doors!$B:$B,$B243,Doors!$C:$C,$C243)*SUMIFS(Velocity!$I:$I,Velocity!$A:$A,$A243,Velocity!$B:$B,$C243)/Assumptions!$B$4*Assumptions!$B$6</f>
        <v>0</v>
      </c>
      <c r="AM243" s="7" t="n">
        <f aca="false">SUMIFS(Doors!AY:AY,Doors!$A:$A,$D243,Doors!$B:$B,$B243,Doors!$C:$C,$C243)*SUMIFS(Velocity!$I:$I,Velocity!$A:$A,$A243,Velocity!$B:$B,$C243)/Assumptions!$B$4*Assumptions!$B$6</f>
        <v>0</v>
      </c>
      <c r="AN243" s="7" t="n">
        <f aca="false">SUMIFS(Doors!AZ:AZ,Doors!$A:$A,$D243,Doors!$B:$B,$B243,Doors!$C:$C,$C243)*SUMIFS(Velocity!$I:$I,Velocity!$A:$A,$A243,Velocity!$B:$B,$C243)/Assumptions!$B$4*Assumptions!$B$6</f>
        <v>0</v>
      </c>
      <c r="AO243" s="7" t="n">
        <f aca="false">SUMIFS(Doors!BA:BA,Doors!$A:$A,$D243,Doors!$B:$B,$B243,Doors!$C:$C,$C243)*SUMIFS(Velocity!$I:$I,Velocity!$A:$A,$A243,Velocity!$B:$B,$C243)/Assumptions!$B$4*Assumptions!$B$6</f>
        <v>0</v>
      </c>
      <c r="AP243" s="7" t="n">
        <f aca="false">SUMIFS(Doors!BB:BB,Doors!$A:$A,$D243,Doors!$B:$B,$B243,Doors!$C:$C,$C243)*SUMIFS(Velocity!$I:$I,Velocity!$A:$A,$A243,Velocity!$B:$B,$C243)/Assumptions!$B$4*Assumptions!$B$6</f>
        <v>0</v>
      </c>
      <c r="AQ243" s="7" t="n">
        <f aca="false">SUMIFS(Doors!BC:BC,Doors!$A:$A,$D243,Doors!$B:$B,$B243,Doors!$C:$C,$C243)*SUMIFS(Velocity!$I:$I,Velocity!$A:$A,$A243,Velocity!$B:$B,$C243)/Assumptions!$B$4*Assumptions!$B$6</f>
        <v>0</v>
      </c>
      <c r="AR243" s="7" t="n">
        <f aca="false">SUMIFS(Doors!BD:BD,Doors!$A:$A,$D243,Doors!$B:$B,$B243,Doors!$C:$C,$C243)*SUMIFS(Velocity!$I:$I,Velocity!$A:$A,$A243,Velocity!$B:$B,$C243)/Assumptions!$B$4*Assumptions!$B$6</f>
        <v>25.25</v>
      </c>
      <c r="AS243" s="7" t="n">
        <f aca="false">SUMIFS(Doors!BE:BE,Doors!$A:$A,$D243,Doors!$B:$B,$B243,Doors!$C:$C,$C243)*SUMIFS(Velocity!$I:$I,Velocity!$A:$A,$A243,Velocity!$B:$B,$C243)/Assumptions!$B$4*Assumptions!$B$6</f>
        <v>25.25</v>
      </c>
      <c r="AT243" s="7" t="n">
        <f aca="false">SUMIFS(Doors!BF:BF,Doors!$A:$A,$D243,Doors!$B:$B,$B243,Doors!$C:$C,$C243)*SUMIFS(Velocity!$I:$I,Velocity!$A:$A,$A243,Velocity!$B:$B,$C243)/Assumptions!$B$4*Assumptions!$B$6</f>
        <v>25.25</v>
      </c>
      <c r="AU243" s="7" t="n">
        <f aca="false">SUMIFS(Doors!BG:BG,Doors!$A:$A,$D243,Doors!$B:$B,$B243,Doors!$C:$C,$C243)*SUMIFS(Velocity!$I:$I,Velocity!$A:$A,$A243,Velocity!$B:$B,$C243)/Assumptions!$B$4*Assumptions!$B$6</f>
        <v>25.25</v>
      </c>
      <c r="AV243" s="7" t="n">
        <f aca="false">SUMIFS(Doors!BH:BH,Doors!$A:$A,$D243,Doors!$B:$B,$B243,Doors!$C:$C,$C243)*SUMIFS(Velocity!$I:$I,Velocity!$A:$A,$A243,Velocity!$B:$B,$C243)/Assumptions!$B$4*Assumptions!$B$6</f>
        <v>25.25</v>
      </c>
      <c r="AW243" s="7" t="n">
        <f aca="false">SUMIFS(Doors!BI:BI,Doors!$A:$A,$D243,Doors!$B:$B,$B243,Doors!$C:$C,$C243)*SUMIFS(Velocity!$I:$I,Velocity!$A:$A,$A243,Velocity!$B:$B,$C243)/Assumptions!$B$4*Assumptions!$B$6</f>
        <v>33.6666666666667</v>
      </c>
      <c r="AX243" s="7" t="n">
        <f aca="false">SUMIFS(Doors!BJ:BJ,Doors!$A:$A,$D243,Doors!$B:$B,$B243,Doors!$C:$C,$C243)*SUMIFS(Velocity!$I:$I,Velocity!$A:$A,$A243,Velocity!$B:$B,$C243)/Assumptions!$B$4*Assumptions!$B$6</f>
        <v>33.6666666666667</v>
      </c>
      <c r="AY243" s="7" t="n">
        <f aca="false">SUMIFS(Doors!BK:BK,Doors!$A:$A,$D243,Doors!$B:$B,$B243,Doors!$C:$C,$C243)*SUMIFS(Velocity!$I:$I,Velocity!$A:$A,$A243,Velocity!$B:$B,$C243)/Assumptions!$B$4*Assumptions!$B$6</f>
        <v>33.6666666666667</v>
      </c>
      <c r="AZ243" s="7" t="n">
        <f aca="false">SUMIFS(Doors!BL:BL,Doors!$A:$A,$D243,Doors!$B:$B,$B243,Doors!$C:$C,$C243)*SUMIFS(Velocity!$I:$I,Velocity!$A:$A,$A243,Velocity!$B:$B,$C243)/Assumptions!$B$4*Assumptions!$B$6</f>
        <v>33.6666666666667</v>
      </c>
      <c r="BA243" s="7" t="n">
        <f aca="false">SUMIFS(Doors!BM:BM,Doors!$A:$A,$D243,Doors!$B:$B,$B243,Doors!$C:$C,$C243)*SUMIFS(Velocity!$I:$I,Velocity!$A:$A,$A243,Velocity!$B:$B,$C243)/Assumptions!$B$4*Assumptions!$B$6</f>
        <v>42.0833333333333</v>
      </c>
      <c r="BB243" s="7" t="n">
        <f aca="false">SUMIFS(Doors!BN:BN,Doors!$A:$A,$D243,Doors!$B:$B,$B243,Doors!$C:$C,$C243)*SUMIFS(Velocity!$I:$I,Velocity!$A:$A,$A243,Velocity!$B:$B,$C243)/Assumptions!$B$4*Assumptions!$B$6</f>
        <v>42.0833333333333</v>
      </c>
      <c r="BC243" s="7" t="n">
        <f aca="false">SUMIFS(Doors!BO:BO,Doors!$A:$A,$D243,Doors!$B:$B,$B243,Doors!$C:$C,$C243)*SUMIFS(Velocity!$I:$I,Velocity!$A:$A,$A243,Velocity!$B:$B,$C243)/Assumptions!$B$4*Assumptions!$B$6</f>
        <v>42.0833333333333</v>
      </c>
      <c r="BD243" s="7" t="n">
        <f aca="false">SUMIFS(Doors!BP:BP,Doors!$A:$A,$D243,Doors!$B:$B,$B243,Doors!$C:$C,$C243)*SUMIFS(Velocity!$I:$I,Velocity!$A:$A,$A243,Velocity!$B:$B,$C243)/Assumptions!$B$4*Assumptions!$B$6</f>
        <v>42.0833333333333</v>
      </c>
    </row>
    <row r="244" customFormat="false" ht="15" hidden="false" customHeight="false" outlineLevel="0" collapsed="false">
      <c r="A244" s="0" t="s">
        <v>110</v>
      </c>
      <c r="B244" s="0" t="s">
        <v>132</v>
      </c>
      <c r="C244" s="0" t="s">
        <v>119</v>
      </c>
      <c r="D244" s="0" t="s">
        <v>235</v>
      </c>
      <c r="E244" s="7" t="n">
        <f aca="false">SUMIFS(Doors!Q:Q,Doors!$A:$A,$D244,Doors!$B:$B,$B244,Doors!$C:$C,$C244)*SUMIFS(Velocity!$I:$I,Velocity!$A:$A,$A244,Velocity!$B:$B,$C244)/Assumptions!$B$4*Assumptions!$B$6</f>
        <v>0.5</v>
      </c>
      <c r="F244" s="7" t="n">
        <f aca="false">SUMIFS(Doors!R:R,Doors!$A:$A,$D244,Doors!$B:$B,$B244,Doors!$C:$C,$C244)*SUMIFS(Velocity!$I:$I,Velocity!$A:$A,$A244,Velocity!$B:$B,$C244)/Assumptions!$B$4*Assumptions!$B$6</f>
        <v>0.5</v>
      </c>
      <c r="G244" s="7" t="n">
        <f aca="false">SUMIFS(Doors!S:S,Doors!$A:$A,$D244,Doors!$B:$B,$B244,Doors!$C:$C,$C244)*SUMIFS(Velocity!$I:$I,Velocity!$A:$A,$A244,Velocity!$B:$B,$C244)/Assumptions!$B$4*Assumptions!$B$6</f>
        <v>0.5</v>
      </c>
      <c r="H244" s="7" t="n">
        <f aca="false">SUMIFS(Doors!T:T,Doors!$A:$A,$D244,Doors!$B:$B,$B244,Doors!$C:$C,$C244)*SUMIFS(Velocity!$I:$I,Velocity!$A:$A,$A244,Velocity!$B:$B,$C244)/Assumptions!$B$4*Assumptions!$B$6</f>
        <v>0.5</v>
      </c>
      <c r="I244" s="7" t="n">
        <f aca="false">SUMIFS(Doors!U:U,Doors!$A:$A,$D244,Doors!$B:$B,$B244,Doors!$C:$C,$C244)*SUMIFS(Velocity!$I:$I,Velocity!$A:$A,$A244,Velocity!$B:$B,$C244)/Assumptions!$B$4*Assumptions!$B$6</f>
        <v>0.5</v>
      </c>
      <c r="J244" s="7" t="n">
        <f aca="false">SUMIFS(Doors!V:V,Doors!$A:$A,$D244,Doors!$B:$B,$B244,Doors!$C:$C,$C244)*SUMIFS(Velocity!$I:$I,Velocity!$A:$A,$A244,Velocity!$B:$B,$C244)/Assumptions!$B$4*Assumptions!$B$6</f>
        <v>0.833333333333333</v>
      </c>
      <c r="K244" s="7" t="n">
        <f aca="false">SUMIFS(Doors!W:W,Doors!$A:$A,$D244,Doors!$B:$B,$B244,Doors!$C:$C,$C244)*SUMIFS(Velocity!$I:$I,Velocity!$A:$A,$A244,Velocity!$B:$B,$C244)/Assumptions!$B$4*Assumptions!$B$6</f>
        <v>0.833333333333333</v>
      </c>
      <c r="L244" s="7" t="n">
        <f aca="false">SUMIFS(Doors!X:X,Doors!$A:$A,$D244,Doors!$B:$B,$B244,Doors!$C:$C,$C244)*SUMIFS(Velocity!$I:$I,Velocity!$A:$A,$A244,Velocity!$B:$B,$C244)/Assumptions!$B$4*Assumptions!$B$6</f>
        <v>0.833333333333333</v>
      </c>
      <c r="M244" s="7" t="n">
        <f aca="false">SUMIFS(Doors!Y:Y,Doors!$A:$A,$D244,Doors!$B:$B,$B244,Doors!$C:$C,$C244)*SUMIFS(Velocity!$I:$I,Velocity!$A:$A,$A244,Velocity!$B:$B,$C244)/Assumptions!$B$4*Assumptions!$B$6</f>
        <v>0.833333333333333</v>
      </c>
      <c r="N244" s="7" t="n">
        <f aca="false">SUMIFS(Doors!Z:Z,Doors!$A:$A,$D244,Doors!$B:$B,$B244,Doors!$C:$C,$C244)*SUMIFS(Velocity!$I:$I,Velocity!$A:$A,$A244,Velocity!$B:$B,$C244)/Assumptions!$B$4*Assumptions!$B$6</f>
        <v>1.16666666666667</v>
      </c>
      <c r="O244" s="7" t="n">
        <f aca="false">SUMIFS(Doors!AA:AA,Doors!$A:$A,$D244,Doors!$B:$B,$B244,Doors!$C:$C,$C244)*SUMIFS(Velocity!$I:$I,Velocity!$A:$A,$A244,Velocity!$B:$B,$C244)/Assumptions!$B$4*Assumptions!$B$6</f>
        <v>1.16666666666667</v>
      </c>
      <c r="P244" s="7" t="n">
        <f aca="false">SUMIFS(Doors!AB:AB,Doors!$A:$A,$D244,Doors!$B:$B,$B244,Doors!$C:$C,$C244)*SUMIFS(Velocity!$I:$I,Velocity!$A:$A,$A244,Velocity!$B:$B,$C244)/Assumptions!$B$4*Assumptions!$B$6</f>
        <v>1.16666666666667</v>
      </c>
      <c r="Q244" s="7" t="n">
        <f aca="false">SUMIFS(Doors!AC:AC,Doors!$A:$A,$D244,Doors!$B:$B,$B244,Doors!$C:$C,$C244)*SUMIFS(Velocity!$I:$I,Velocity!$A:$A,$A244,Velocity!$B:$B,$C244)/Assumptions!$B$4*Assumptions!$B$6</f>
        <v>1.16666666666667</v>
      </c>
      <c r="R244" s="7" t="n">
        <f aca="false">SUMIFS(Doors!AD:AD,Doors!$A:$A,$D244,Doors!$B:$B,$B244,Doors!$C:$C,$C244)*SUMIFS(Velocity!$I:$I,Velocity!$A:$A,$A244,Velocity!$B:$B,$C244)/Assumptions!$B$4*Assumptions!$B$6</f>
        <v>1.5</v>
      </c>
      <c r="S244" s="7" t="n">
        <f aca="false">SUMIFS(Doors!AE:AE,Doors!$A:$A,$D244,Doors!$B:$B,$B244,Doors!$C:$C,$C244)*SUMIFS(Velocity!$I:$I,Velocity!$A:$A,$A244,Velocity!$B:$B,$C244)/Assumptions!$B$4*Assumptions!$B$6</f>
        <v>1.5</v>
      </c>
      <c r="T244" s="7" t="n">
        <f aca="false">SUMIFS(Doors!AF:AF,Doors!$A:$A,$D244,Doors!$B:$B,$B244,Doors!$C:$C,$C244)*SUMIFS(Velocity!$I:$I,Velocity!$A:$A,$A244,Velocity!$B:$B,$C244)/Assumptions!$B$4*Assumptions!$B$6</f>
        <v>1.5</v>
      </c>
      <c r="U244" s="7" t="n">
        <f aca="false">SUMIFS(Doors!AG:AG,Doors!$A:$A,$D244,Doors!$B:$B,$B244,Doors!$C:$C,$C244)*SUMIFS(Velocity!$I:$I,Velocity!$A:$A,$A244,Velocity!$B:$B,$C244)/Assumptions!$B$4*Assumptions!$B$6</f>
        <v>1.5</v>
      </c>
      <c r="V244" s="7" t="n">
        <f aca="false">SUMIFS(Doors!AH:AH,Doors!$A:$A,$D244,Doors!$B:$B,$B244,Doors!$C:$C,$C244)*SUMIFS(Velocity!$I:$I,Velocity!$A:$A,$A244,Velocity!$B:$B,$C244)/Assumptions!$B$4*Assumptions!$B$6</f>
        <v>1.5</v>
      </c>
      <c r="W244" s="7" t="n">
        <f aca="false">SUMIFS(Doors!AI:AI,Doors!$A:$A,$D244,Doors!$B:$B,$B244,Doors!$C:$C,$C244)*SUMIFS(Velocity!$I:$I,Velocity!$A:$A,$A244,Velocity!$B:$B,$C244)/Assumptions!$B$4*Assumptions!$B$6</f>
        <v>1.66666666666667</v>
      </c>
      <c r="X244" s="7" t="n">
        <f aca="false">SUMIFS(Doors!AJ:AJ,Doors!$A:$A,$D244,Doors!$B:$B,$B244,Doors!$C:$C,$C244)*SUMIFS(Velocity!$I:$I,Velocity!$A:$A,$A244,Velocity!$B:$B,$C244)/Assumptions!$B$4*Assumptions!$B$6</f>
        <v>1.66666666666667</v>
      </c>
      <c r="Y244" s="7" t="n">
        <f aca="false">SUMIFS(Doors!AK:AK,Doors!$A:$A,$D244,Doors!$B:$B,$B244,Doors!$C:$C,$C244)*SUMIFS(Velocity!$I:$I,Velocity!$A:$A,$A244,Velocity!$B:$B,$C244)/Assumptions!$B$4*Assumptions!$B$6</f>
        <v>1.66666666666667</v>
      </c>
      <c r="Z244" s="7" t="n">
        <f aca="false">SUMIFS(Doors!AL:AL,Doors!$A:$A,$D244,Doors!$B:$B,$B244,Doors!$C:$C,$C244)*SUMIFS(Velocity!$I:$I,Velocity!$A:$A,$A244,Velocity!$B:$B,$C244)/Assumptions!$B$4*Assumptions!$B$6</f>
        <v>1.66666666666667</v>
      </c>
      <c r="AA244" s="7" t="n">
        <f aca="false">SUMIFS(Doors!AM:AM,Doors!$A:$A,$D244,Doors!$B:$B,$B244,Doors!$C:$C,$C244)*SUMIFS(Velocity!$I:$I,Velocity!$A:$A,$A244,Velocity!$B:$B,$C244)/Assumptions!$B$4*Assumptions!$B$6</f>
        <v>1.83333333333333</v>
      </c>
      <c r="AB244" s="7" t="n">
        <f aca="false">SUMIFS(Doors!AN:AN,Doors!$A:$A,$D244,Doors!$B:$B,$B244,Doors!$C:$C,$C244)*SUMIFS(Velocity!$I:$I,Velocity!$A:$A,$A244,Velocity!$B:$B,$C244)/Assumptions!$B$4*Assumptions!$B$6</f>
        <v>1.83333333333333</v>
      </c>
      <c r="AC244" s="7" t="n">
        <f aca="false">SUMIFS(Doors!AO:AO,Doors!$A:$A,$D244,Doors!$B:$B,$B244,Doors!$C:$C,$C244)*SUMIFS(Velocity!$I:$I,Velocity!$A:$A,$A244,Velocity!$B:$B,$C244)/Assumptions!$B$4*Assumptions!$B$6</f>
        <v>1.83333333333333</v>
      </c>
      <c r="AD244" s="7" t="n">
        <f aca="false">SUMIFS(Doors!AP:AP,Doors!$A:$A,$D244,Doors!$B:$B,$B244,Doors!$C:$C,$C244)*SUMIFS(Velocity!$I:$I,Velocity!$A:$A,$A244,Velocity!$B:$B,$C244)/Assumptions!$B$4*Assumptions!$B$6</f>
        <v>1.83333333333333</v>
      </c>
      <c r="AE244" s="7" t="n">
        <f aca="false">SUMIFS(Doors!AQ:AQ,Doors!$A:$A,$D244,Doors!$B:$B,$B244,Doors!$C:$C,$C244)*SUMIFS(Velocity!$I:$I,Velocity!$A:$A,$A244,Velocity!$B:$B,$C244)/Assumptions!$B$4*Assumptions!$B$6</f>
        <v>2</v>
      </c>
      <c r="AF244" s="7" t="n">
        <f aca="false">SUMIFS(Doors!AR:AR,Doors!$A:$A,$D244,Doors!$B:$B,$B244,Doors!$C:$C,$C244)*SUMIFS(Velocity!$I:$I,Velocity!$A:$A,$A244,Velocity!$B:$B,$C244)/Assumptions!$B$4*Assumptions!$B$6</f>
        <v>2</v>
      </c>
      <c r="AG244" s="7" t="n">
        <f aca="false">SUMIFS(Doors!AS:AS,Doors!$A:$A,$D244,Doors!$B:$B,$B244,Doors!$C:$C,$C244)*SUMIFS(Velocity!$I:$I,Velocity!$A:$A,$A244,Velocity!$B:$B,$C244)/Assumptions!$B$4*Assumptions!$B$6</f>
        <v>2</v>
      </c>
      <c r="AH244" s="7" t="n">
        <f aca="false">SUMIFS(Doors!AT:AT,Doors!$A:$A,$D244,Doors!$B:$B,$B244,Doors!$C:$C,$C244)*SUMIFS(Velocity!$I:$I,Velocity!$A:$A,$A244,Velocity!$B:$B,$C244)/Assumptions!$B$4*Assumptions!$B$6</f>
        <v>2</v>
      </c>
      <c r="AI244" s="7" t="n">
        <f aca="false">SUMIFS(Doors!AU:AU,Doors!$A:$A,$D244,Doors!$B:$B,$B244,Doors!$C:$C,$C244)*SUMIFS(Velocity!$I:$I,Velocity!$A:$A,$A244,Velocity!$B:$B,$C244)/Assumptions!$B$4*Assumptions!$B$6</f>
        <v>2</v>
      </c>
      <c r="AJ244" s="7" t="n">
        <f aca="false">SUMIFS(Doors!AV:AV,Doors!$A:$A,$D244,Doors!$B:$B,$B244,Doors!$C:$C,$C244)*SUMIFS(Velocity!$I:$I,Velocity!$A:$A,$A244,Velocity!$B:$B,$C244)/Assumptions!$B$4*Assumptions!$B$6</f>
        <v>2.16666666666667</v>
      </c>
      <c r="AK244" s="7" t="n">
        <f aca="false">SUMIFS(Doors!AW:AW,Doors!$A:$A,$D244,Doors!$B:$B,$B244,Doors!$C:$C,$C244)*SUMIFS(Velocity!$I:$I,Velocity!$A:$A,$A244,Velocity!$B:$B,$C244)/Assumptions!$B$4*Assumptions!$B$6</f>
        <v>2.16666666666667</v>
      </c>
      <c r="AL244" s="7" t="n">
        <f aca="false">SUMIFS(Doors!AX:AX,Doors!$A:$A,$D244,Doors!$B:$B,$B244,Doors!$C:$C,$C244)*SUMIFS(Velocity!$I:$I,Velocity!$A:$A,$A244,Velocity!$B:$B,$C244)/Assumptions!$B$4*Assumptions!$B$6</f>
        <v>2.16666666666667</v>
      </c>
      <c r="AM244" s="7" t="n">
        <f aca="false">SUMIFS(Doors!AY:AY,Doors!$A:$A,$D244,Doors!$B:$B,$B244,Doors!$C:$C,$C244)*SUMIFS(Velocity!$I:$I,Velocity!$A:$A,$A244,Velocity!$B:$B,$C244)/Assumptions!$B$4*Assumptions!$B$6</f>
        <v>2.16666666666667</v>
      </c>
      <c r="AN244" s="7" t="n">
        <f aca="false">SUMIFS(Doors!AZ:AZ,Doors!$A:$A,$D244,Doors!$B:$B,$B244,Doors!$C:$C,$C244)*SUMIFS(Velocity!$I:$I,Velocity!$A:$A,$A244,Velocity!$B:$B,$C244)/Assumptions!$B$4*Assumptions!$B$6</f>
        <v>2.33333333333333</v>
      </c>
      <c r="AO244" s="7" t="n">
        <f aca="false">SUMIFS(Doors!BA:BA,Doors!$A:$A,$D244,Doors!$B:$B,$B244,Doors!$C:$C,$C244)*SUMIFS(Velocity!$I:$I,Velocity!$A:$A,$A244,Velocity!$B:$B,$C244)/Assumptions!$B$4*Assumptions!$B$6</f>
        <v>2.33333333333333</v>
      </c>
      <c r="AP244" s="7" t="n">
        <f aca="false">SUMIFS(Doors!BB:BB,Doors!$A:$A,$D244,Doors!$B:$B,$B244,Doors!$C:$C,$C244)*SUMIFS(Velocity!$I:$I,Velocity!$A:$A,$A244,Velocity!$B:$B,$C244)/Assumptions!$B$4*Assumptions!$B$6</f>
        <v>2.33333333333333</v>
      </c>
      <c r="AQ244" s="7" t="n">
        <f aca="false">SUMIFS(Doors!BC:BC,Doors!$A:$A,$D244,Doors!$B:$B,$B244,Doors!$C:$C,$C244)*SUMIFS(Velocity!$I:$I,Velocity!$A:$A,$A244,Velocity!$B:$B,$C244)/Assumptions!$B$4*Assumptions!$B$6</f>
        <v>2.33333333333333</v>
      </c>
      <c r="AR244" s="7" t="n">
        <f aca="false">SUMIFS(Doors!BD:BD,Doors!$A:$A,$D244,Doors!$B:$B,$B244,Doors!$C:$C,$C244)*SUMIFS(Velocity!$I:$I,Velocity!$A:$A,$A244,Velocity!$B:$B,$C244)/Assumptions!$B$4*Assumptions!$B$6</f>
        <v>2.33333333333333</v>
      </c>
      <c r="AS244" s="7" t="n">
        <f aca="false">SUMIFS(Doors!BE:BE,Doors!$A:$A,$D244,Doors!$B:$B,$B244,Doors!$C:$C,$C244)*SUMIFS(Velocity!$I:$I,Velocity!$A:$A,$A244,Velocity!$B:$B,$C244)/Assumptions!$B$4*Assumptions!$B$6</f>
        <v>2.33333333333333</v>
      </c>
      <c r="AT244" s="7" t="n">
        <f aca="false">SUMIFS(Doors!BF:BF,Doors!$A:$A,$D244,Doors!$B:$B,$B244,Doors!$C:$C,$C244)*SUMIFS(Velocity!$I:$I,Velocity!$A:$A,$A244,Velocity!$B:$B,$C244)/Assumptions!$B$4*Assumptions!$B$6</f>
        <v>2.33333333333333</v>
      </c>
      <c r="AU244" s="7" t="n">
        <f aca="false">SUMIFS(Doors!BG:BG,Doors!$A:$A,$D244,Doors!$B:$B,$B244,Doors!$C:$C,$C244)*SUMIFS(Velocity!$I:$I,Velocity!$A:$A,$A244,Velocity!$B:$B,$C244)/Assumptions!$B$4*Assumptions!$B$6</f>
        <v>2.33333333333333</v>
      </c>
      <c r="AV244" s="7" t="n">
        <f aca="false">SUMIFS(Doors!BH:BH,Doors!$A:$A,$D244,Doors!$B:$B,$B244,Doors!$C:$C,$C244)*SUMIFS(Velocity!$I:$I,Velocity!$A:$A,$A244,Velocity!$B:$B,$C244)/Assumptions!$B$4*Assumptions!$B$6</f>
        <v>2.33333333333333</v>
      </c>
      <c r="AW244" s="7" t="n">
        <f aca="false">SUMIFS(Doors!BI:BI,Doors!$A:$A,$D244,Doors!$B:$B,$B244,Doors!$C:$C,$C244)*SUMIFS(Velocity!$I:$I,Velocity!$A:$A,$A244,Velocity!$B:$B,$C244)/Assumptions!$B$4*Assumptions!$B$6</f>
        <v>2.5</v>
      </c>
      <c r="AX244" s="7" t="n">
        <f aca="false">SUMIFS(Doors!BJ:BJ,Doors!$A:$A,$D244,Doors!$B:$B,$B244,Doors!$C:$C,$C244)*SUMIFS(Velocity!$I:$I,Velocity!$A:$A,$A244,Velocity!$B:$B,$C244)/Assumptions!$B$4*Assumptions!$B$6</f>
        <v>2.5</v>
      </c>
      <c r="AY244" s="7" t="n">
        <f aca="false">SUMIFS(Doors!BK:BK,Doors!$A:$A,$D244,Doors!$B:$B,$B244,Doors!$C:$C,$C244)*SUMIFS(Velocity!$I:$I,Velocity!$A:$A,$A244,Velocity!$B:$B,$C244)/Assumptions!$B$4*Assumptions!$B$6</f>
        <v>2.5</v>
      </c>
      <c r="AZ244" s="7" t="n">
        <f aca="false">SUMIFS(Doors!BL:BL,Doors!$A:$A,$D244,Doors!$B:$B,$B244,Doors!$C:$C,$C244)*SUMIFS(Velocity!$I:$I,Velocity!$A:$A,$A244,Velocity!$B:$B,$C244)/Assumptions!$B$4*Assumptions!$B$6</f>
        <v>2.5</v>
      </c>
      <c r="BA244" s="7" t="n">
        <f aca="false">SUMIFS(Doors!BM:BM,Doors!$A:$A,$D244,Doors!$B:$B,$B244,Doors!$C:$C,$C244)*SUMIFS(Velocity!$I:$I,Velocity!$A:$A,$A244,Velocity!$B:$B,$C244)/Assumptions!$B$4*Assumptions!$B$6</f>
        <v>2.5</v>
      </c>
      <c r="BB244" s="7" t="n">
        <f aca="false">SUMIFS(Doors!BN:BN,Doors!$A:$A,$D244,Doors!$B:$B,$B244,Doors!$C:$C,$C244)*SUMIFS(Velocity!$I:$I,Velocity!$A:$A,$A244,Velocity!$B:$B,$C244)/Assumptions!$B$4*Assumptions!$B$6</f>
        <v>2.5</v>
      </c>
      <c r="BC244" s="7" t="n">
        <f aca="false">SUMIFS(Doors!BO:BO,Doors!$A:$A,$D244,Doors!$B:$B,$B244,Doors!$C:$C,$C244)*SUMIFS(Velocity!$I:$I,Velocity!$A:$A,$A244,Velocity!$B:$B,$C244)/Assumptions!$B$4*Assumptions!$B$6</f>
        <v>2.5</v>
      </c>
      <c r="BD244" s="7" t="n">
        <f aca="false">SUMIFS(Doors!BP:BP,Doors!$A:$A,$D244,Doors!$B:$B,$B244,Doors!$C:$C,$C244)*SUMIFS(Velocity!$I:$I,Velocity!$A:$A,$A244,Velocity!$B:$B,$C244)/Assumptions!$B$4*Assumptions!$B$6</f>
        <v>2.5</v>
      </c>
    </row>
    <row r="245" customFormat="false" ht="15" hidden="false" customHeight="false" outlineLevel="0" collapsed="false">
      <c r="A245" s="0" t="s">
        <v>110</v>
      </c>
      <c r="B245" s="0" t="s">
        <v>132</v>
      </c>
      <c r="C245" s="0" t="s">
        <v>120</v>
      </c>
      <c r="D245" s="0" t="s">
        <v>235</v>
      </c>
      <c r="E245" s="7" t="n">
        <f aca="false">SUMIFS(Doors!Q:Q,Doors!$A:$A,$D245,Doors!$B:$B,$B245,Doors!$C:$C,$C245)*SUMIFS(Velocity!$I:$I,Velocity!$A:$A,$A245,Velocity!$B:$B,$C245)/Assumptions!$B$4*Assumptions!$B$6</f>
        <v>0.59375</v>
      </c>
      <c r="F245" s="7" t="n">
        <f aca="false">SUMIFS(Doors!R:R,Doors!$A:$A,$D245,Doors!$B:$B,$B245,Doors!$C:$C,$C245)*SUMIFS(Velocity!$I:$I,Velocity!$A:$A,$A245,Velocity!$B:$B,$C245)/Assumptions!$B$4*Assumptions!$B$6</f>
        <v>0.59375</v>
      </c>
      <c r="G245" s="7" t="n">
        <f aca="false">SUMIFS(Doors!S:S,Doors!$A:$A,$D245,Doors!$B:$B,$B245,Doors!$C:$C,$C245)*SUMIFS(Velocity!$I:$I,Velocity!$A:$A,$A245,Velocity!$B:$B,$C245)/Assumptions!$B$4*Assumptions!$B$6</f>
        <v>0.59375</v>
      </c>
      <c r="H245" s="7" t="n">
        <f aca="false">SUMIFS(Doors!T:T,Doors!$A:$A,$D245,Doors!$B:$B,$B245,Doors!$C:$C,$C245)*SUMIFS(Velocity!$I:$I,Velocity!$A:$A,$A245,Velocity!$B:$B,$C245)/Assumptions!$B$4*Assumptions!$B$6</f>
        <v>0.59375</v>
      </c>
      <c r="I245" s="7" t="n">
        <f aca="false">SUMIFS(Doors!U:U,Doors!$A:$A,$D245,Doors!$B:$B,$B245,Doors!$C:$C,$C245)*SUMIFS(Velocity!$I:$I,Velocity!$A:$A,$A245,Velocity!$B:$B,$C245)/Assumptions!$B$4*Assumptions!$B$6</f>
        <v>0.59375</v>
      </c>
      <c r="J245" s="7" t="n">
        <f aca="false">SUMIFS(Doors!V:V,Doors!$A:$A,$D245,Doors!$B:$B,$B245,Doors!$C:$C,$C245)*SUMIFS(Velocity!$I:$I,Velocity!$A:$A,$A245,Velocity!$B:$B,$C245)/Assumptions!$B$4*Assumptions!$B$6</f>
        <v>0.989583333333333</v>
      </c>
      <c r="K245" s="7" t="n">
        <f aca="false">SUMIFS(Doors!W:W,Doors!$A:$A,$D245,Doors!$B:$B,$B245,Doors!$C:$C,$C245)*SUMIFS(Velocity!$I:$I,Velocity!$A:$A,$A245,Velocity!$B:$B,$C245)/Assumptions!$B$4*Assumptions!$B$6</f>
        <v>0.989583333333333</v>
      </c>
      <c r="L245" s="7" t="n">
        <f aca="false">SUMIFS(Doors!X:X,Doors!$A:$A,$D245,Doors!$B:$B,$B245,Doors!$C:$C,$C245)*SUMIFS(Velocity!$I:$I,Velocity!$A:$A,$A245,Velocity!$B:$B,$C245)/Assumptions!$B$4*Assumptions!$B$6</f>
        <v>0.989583333333333</v>
      </c>
      <c r="M245" s="7" t="n">
        <f aca="false">SUMIFS(Doors!Y:Y,Doors!$A:$A,$D245,Doors!$B:$B,$B245,Doors!$C:$C,$C245)*SUMIFS(Velocity!$I:$I,Velocity!$A:$A,$A245,Velocity!$B:$B,$C245)/Assumptions!$B$4*Assumptions!$B$6</f>
        <v>0.989583333333333</v>
      </c>
      <c r="N245" s="7" t="n">
        <f aca="false">SUMIFS(Doors!Z:Z,Doors!$A:$A,$D245,Doors!$B:$B,$B245,Doors!$C:$C,$C245)*SUMIFS(Velocity!$I:$I,Velocity!$A:$A,$A245,Velocity!$B:$B,$C245)/Assumptions!$B$4*Assumptions!$B$6</f>
        <v>1.38541666666667</v>
      </c>
      <c r="O245" s="7" t="n">
        <f aca="false">SUMIFS(Doors!AA:AA,Doors!$A:$A,$D245,Doors!$B:$B,$B245,Doors!$C:$C,$C245)*SUMIFS(Velocity!$I:$I,Velocity!$A:$A,$A245,Velocity!$B:$B,$C245)/Assumptions!$B$4*Assumptions!$B$6</f>
        <v>1.38541666666667</v>
      </c>
      <c r="P245" s="7" t="n">
        <f aca="false">SUMIFS(Doors!AB:AB,Doors!$A:$A,$D245,Doors!$B:$B,$B245,Doors!$C:$C,$C245)*SUMIFS(Velocity!$I:$I,Velocity!$A:$A,$A245,Velocity!$B:$B,$C245)/Assumptions!$B$4*Assumptions!$B$6</f>
        <v>1.38541666666667</v>
      </c>
      <c r="Q245" s="7" t="n">
        <f aca="false">SUMIFS(Doors!AC:AC,Doors!$A:$A,$D245,Doors!$B:$B,$B245,Doors!$C:$C,$C245)*SUMIFS(Velocity!$I:$I,Velocity!$A:$A,$A245,Velocity!$B:$B,$C245)/Assumptions!$B$4*Assumptions!$B$6</f>
        <v>1.38541666666667</v>
      </c>
      <c r="R245" s="7" t="n">
        <f aca="false">SUMIFS(Doors!AD:AD,Doors!$A:$A,$D245,Doors!$B:$B,$B245,Doors!$C:$C,$C245)*SUMIFS(Velocity!$I:$I,Velocity!$A:$A,$A245,Velocity!$B:$B,$C245)/Assumptions!$B$4*Assumptions!$B$6</f>
        <v>1.78125</v>
      </c>
      <c r="S245" s="7" t="n">
        <f aca="false">SUMIFS(Doors!AE:AE,Doors!$A:$A,$D245,Doors!$B:$B,$B245,Doors!$C:$C,$C245)*SUMIFS(Velocity!$I:$I,Velocity!$A:$A,$A245,Velocity!$B:$B,$C245)/Assumptions!$B$4*Assumptions!$B$6</f>
        <v>1.78125</v>
      </c>
      <c r="T245" s="7" t="n">
        <f aca="false">SUMIFS(Doors!AF:AF,Doors!$A:$A,$D245,Doors!$B:$B,$B245,Doors!$C:$C,$C245)*SUMIFS(Velocity!$I:$I,Velocity!$A:$A,$A245,Velocity!$B:$B,$C245)/Assumptions!$B$4*Assumptions!$B$6</f>
        <v>1.78125</v>
      </c>
      <c r="U245" s="7" t="n">
        <f aca="false">SUMIFS(Doors!AG:AG,Doors!$A:$A,$D245,Doors!$B:$B,$B245,Doors!$C:$C,$C245)*SUMIFS(Velocity!$I:$I,Velocity!$A:$A,$A245,Velocity!$B:$B,$C245)/Assumptions!$B$4*Assumptions!$B$6</f>
        <v>1.78125</v>
      </c>
      <c r="V245" s="7" t="n">
        <f aca="false">SUMIFS(Doors!AH:AH,Doors!$A:$A,$D245,Doors!$B:$B,$B245,Doors!$C:$C,$C245)*SUMIFS(Velocity!$I:$I,Velocity!$A:$A,$A245,Velocity!$B:$B,$C245)/Assumptions!$B$4*Assumptions!$B$6</f>
        <v>1.78125</v>
      </c>
      <c r="W245" s="7" t="n">
        <f aca="false">SUMIFS(Doors!AI:AI,Doors!$A:$A,$D245,Doors!$B:$B,$B245,Doors!$C:$C,$C245)*SUMIFS(Velocity!$I:$I,Velocity!$A:$A,$A245,Velocity!$B:$B,$C245)/Assumptions!$B$4*Assumptions!$B$6</f>
        <v>2.17708333333333</v>
      </c>
      <c r="X245" s="7" t="n">
        <f aca="false">SUMIFS(Doors!AJ:AJ,Doors!$A:$A,$D245,Doors!$B:$B,$B245,Doors!$C:$C,$C245)*SUMIFS(Velocity!$I:$I,Velocity!$A:$A,$A245,Velocity!$B:$B,$C245)/Assumptions!$B$4*Assumptions!$B$6</f>
        <v>2.17708333333333</v>
      </c>
      <c r="Y245" s="7" t="n">
        <f aca="false">SUMIFS(Doors!AK:AK,Doors!$A:$A,$D245,Doors!$B:$B,$B245,Doors!$C:$C,$C245)*SUMIFS(Velocity!$I:$I,Velocity!$A:$A,$A245,Velocity!$B:$B,$C245)/Assumptions!$B$4*Assumptions!$B$6</f>
        <v>2.17708333333333</v>
      </c>
      <c r="Z245" s="7" t="n">
        <f aca="false">SUMIFS(Doors!AL:AL,Doors!$A:$A,$D245,Doors!$B:$B,$B245,Doors!$C:$C,$C245)*SUMIFS(Velocity!$I:$I,Velocity!$A:$A,$A245,Velocity!$B:$B,$C245)/Assumptions!$B$4*Assumptions!$B$6</f>
        <v>2.17708333333333</v>
      </c>
      <c r="AA245" s="7" t="n">
        <f aca="false">SUMIFS(Doors!AM:AM,Doors!$A:$A,$D245,Doors!$B:$B,$B245,Doors!$C:$C,$C245)*SUMIFS(Velocity!$I:$I,Velocity!$A:$A,$A245,Velocity!$B:$B,$C245)/Assumptions!$B$4*Assumptions!$B$6</f>
        <v>2.375</v>
      </c>
      <c r="AB245" s="7" t="n">
        <f aca="false">SUMIFS(Doors!AN:AN,Doors!$A:$A,$D245,Doors!$B:$B,$B245,Doors!$C:$C,$C245)*SUMIFS(Velocity!$I:$I,Velocity!$A:$A,$A245,Velocity!$B:$B,$C245)/Assumptions!$B$4*Assumptions!$B$6</f>
        <v>2.375</v>
      </c>
      <c r="AC245" s="7" t="n">
        <f aca="false">SUMIFS(Doors!AO:AO,Doors!$A:$A,$D245,Doors!$B:$B,$B245,Doors!$C:$C,$C245)*SUMIFS(Velocity!$I:$I,Velocity!$A:$A,$A245,Velocity!$B:$B,$C245)/Assumptions!$B$4*Assumptions!$B$6</f>
        <v>2.375</v>
      </c>
      <c r="AD245" s="7" t="n">
        <f aca="false">SUMIFS(Doors!AP:AP,Doors!$A:$A,$D245,Doors!$B:$B,$B245,Doors!$C:$C,$C245)*SUMIFS(Velocity!$I:$I,Velocity!$A:$A,$A245,Velocity!$B:$B,$C245)/Assumptions!$B$4*Assumptions!$B$6</f>
        <v>2.375</v>
      </c>
      <c r="AE245" s="7" t="n">
        <f aca="false">SUMIFS(Doors!AQ:AQ,Doors!$A:$A,$D245,Doors!$B:$B,$B245,Doors!$C:$C,$C245)*SUMIFS(Velocity!$I:$I,Velocity!$A:$A,$A245,Velocity!$B:$B,$C245)/Assumptions!$B$4*Assumptions!$B$6</f>
        <v>2.57291666666667</v>
      </c>
      <c r="AF245" s="7" t="n">
        <f aca="false">SUMIFS(Doors!AR:AR,Doors!$A:$A,$D245,Doors!$B:$B,$B245,Doors!$C:$C,$C245)*SUMIFS(Velocity!$I:$I,Velocity!$A:$A,$A245,Velocity!$B:$B,$C245)/Assumptions!$B$4*Assumptions!$B$6</f>
        <v>2.57291666666667</v>
      </c>
      <c r="AG245" s="7" t="n">
        <f aca="false">SUMIFS(Doors!AS:AS,Doors!$A:$A,$D245,Doors!$B:$B,$B245,Doors!$C:$C,$C245)*SUMIFS(Velocity!$I:$I,Velocity!$A:$A,$A245,Velocity!$B:$B,$C245)/Assumptions!$B$4*Assumptions!$B$6</f>
        <v>2.57291666666667</v>
      </c>
      <c r="AH245" s="7" t="n">
        <f aca="false">SUMIFS(Doors!AT:AT,Doors!$A:$A,$D245,Doors!$B:$B,$B245,Doors!$C:$C,$C245)*SUMIFS(Velocity!$I:$I,Velocity!$A:$A,$A245,Velocity!$B:$B,$C245)/Assumptions!$B$4*Assumptions!$B$6</f>
        <v>2.57291666666667</v>
      </c>
      <c r="AI245" s="7" t="n">
        <f aca="false">SUMIFS(Doors!AU:AU,Doors!$A:$A,$D245,Doors!$B:$B,$B245,Doors!$C:$C,$C245)*SUMIFS(Velocity!$I:$I,Velocity!$A:$A,$A245,Velocity!$B:$B,$C245)/Assumptions!$B$4*Assumptions!$B$6</f>
        <v>2.57291666666667</v>
      </c>
      <c r="AJ245" s="7" t="n">
        <f aca="false">SUMIFS(Doors!AV:AV,Doors!$A:$A,$D245,Doors!$B:$B,$B245,Doors!$C:$C,$C245)*SUMIFS(Velocity!$I:$I,Velocity!$A:$A,$A245,Velocity!$B:$B,$C245)/Assumptions!$B$4*Assumptions!$B$6</f>
        <v>2.77083333333333</v>
      </c>
      <c r="AK245" s="7" t="n">
        <f aca="false">SUMIFS(Doors!AW:AW,Doors!$A:$A,$D245,Doors!$B:$B,$B245,Doors!$C:$C,$C245)*SUMIFS(Velocity!$I:$I,Velocity!$A:$A,$A245,Velocity!$B:$B,$C245)/Assumptions!$B$4*Assumptions!$B$6</f>
        <v>2.77083333333333</v>
      </c>
      <c r="AL245" s="7" t="n">
        <f aca="false">SUMIFS(Doors!AX:AX,Doors!$A:$A,$D245,Doors!$B:$B,$B245,Doors!$C:$C,$C245)*SUMIFS(Velocity!$I:$I,Velocity!$A:$A,$A245,Velocity!$B:$B,$C245)/Assumptions!$B$4*Assumptions!$B$6</f>
        <v>2.77083333333333</v>
      </c>
      <c r="AM245" s="7" t="n">
        <f aca="false">SUMIFS(Doors!AY:AY,Doors!$A:$A,$D245,Doors!$B:$B,$B245,Doors!$C:$C,$C245)*SUMIFS(Velocity!$I:$I,Velocity!$A:$A,$A245,Velocity!$B:$B,$C245)/Assumptions!$B$4*Assumptions!$B$6</f>
        <v>2.77083333333333</v>
      </c>
      <c r="AN245" s="7" t="n">
        <f aca="false">SUMIFS(Doors!AZ:AZ,Doors!$A:$A,$D245,Doors!$B:$B,$B245,Doors!$C:$C,$C245)*SUMIFS(Velocity!$I:$I,Velocity!$A:$A,$A245,Velocity!$B:$B,$C245)/Assumptions!$B$4*Assumptions!$B$6</f>
        <v>2.77083333333333</v>
      </c>
      <c r="AO245" s="7" t="n">
        <f aca="false">SUMIFS(Doors!BA:BA,Doors!$A:$A,$D245,Doors!$B:$B,$B245,Doors!$C:$C,$C245)*SUMIFS(Velocity!$I:$I,Velocity!$A:$A,$A245,Velocity!$B:$B,$C245)/Assumptions!$B$4*Assumptions!$B$6</f>
        <v>2.77083333333333</v>
      </c>
      <c r="AP245" s="7" t="n">
        <f aca="false">SUMIFS(Doors!BB:BB,Doors!$A:$A,$D245,Doors!$B:$B,$B245,Doors!$C:$C,$C245)*SUMIFS(Velocity!$I:$I,Velocity!$A:$A,$A245,Velocity!$B:$B,$C245)/Assumptions!$B$4*Assumptions!$B$6</f>
        <v>2.77083333333333</v>
      </c>
      <c r="AQ245" s="7" t="n">
        <f aca="false">SUMIFS(Doors!BC:BC,Doors!$A:$A,$D245,Doors!$B:$B,$B245,Doors!$C:$C,$C245)*SUMIFS(Velocity!$I:$I,Velocity!$A:$A,$A245,Velocity!$B:$B,$C245)/Assumptions!$B$4*Assumptions!$B$6</f>
        <v>2.77083333333333</v>
      </c>
      <c r="AR245" s="7" t="n">
        <f aca="false">SUMIFS(Doors!BD:BD,Doors!$A:$A,$D245,Doors!$B:$B,$B245,Doors!$C:$C,$C245)*SUMIFS(Velocity!$I:$I,Velocity!$A:$A,$A245,Velocity!$B:$B,$C245)/Assumptions!$B$4*Assumptions!$B$6</f>
        <v>2.96875</v>
      </c>
      <c r="AS245" s="7" t="n">
        <f aca="false">SUMIFS(Doors!BE:BE,Doors!$A:$A,$D245,Doors!$B:$B,$B245,Doors!$C:$C,$C245)*SUMIFS(Velocity!$I:$I,Velocity!$A:$A,$A245,Velocity!$B:$B,$C245)/Assumptions!$B$4*Assumptions!$B$6</f>
        <v>2.96875</v>
      </c>
      <c r="AT245" s="7" t="n">
        <f aca="false">SUMIFS(Doors!BF:BF,Doors!$A:$A,$D245,Doors!$B:$B,$B245,Doors!$C:$C,$C245)*SUMIFS(Velocity!$I:$I,Velocity!$A:$A,$A245,Velocity!$B:$B,$C245)/Assumptions!$B$4*Assumptions!$B$6</f>
        <v>2.96875</v>
      </c>
      <c r="AU245" s="7" t="n">
        <f aca="false">SUMIFS(Doors!BG:BG,Doors!$A:$A,$D245,Doors!$B:$B,$B245,Doors!$C:$C,$C245)*SUMIFS(Velocity!$I:$I,Velocity!$A:$A,$A245,Velocity!$B:$B,$C245)/Assumptions!$B$4*Assumptions!$B$6</f>
        <v>2.96875</v>
      </c>
      <c r="AV245" s="7" t="n">
        <f aca="false">SUMIFS(Doors!BH:BH,Doors!$A:$A,$D245,Doors!$B:$B,$B245,Doors!$C:$C,$C245)*SUMIFS(Velocity!$I:$I,Velocity!$A:$A,$A245,Velocity!$B:$B,$C245)/Assumptions!$B$4*Assumptions!$B$6</f>
        <v>2.96875</v>
      </c>
      <c r="AW245" s="7" t="n">
        <f aca="false">SUMIFS(Doors!BI:BI,Doors!$A:$A,$D245,Doors!$B:$B,$B245,Doors!$C:$C,$C245)*SUMIFS(Velocity!$I:$I,Velocity!$A:$A,$A245,Velocity!$B:$B,$C245)/Assumptions!$B$4*Assumptions!$B$6</f>
        <v>2.96875</v>
      </c>
      <c r="AX245" s="7" t="n">
        <f aca="false">SUMIFS(Doors!BJ:BJ,Doors!$A:$A,$D245,Doors!$B:$B,$B245,Doors!$C:$C,$C245)*SUMIFS(Velocity!$I:$I,Velocity!$A:$A,$A245,Velocity!$B:$B,$C245)/Assumptions!$B$4*Assumptions!$B$6</f>
        <v>2.96875</v>
      </c>
      <c r="AY245" s="7" t="n">
        <f aca="false">SUMIFS(Doors!BK:BK,Doors!$A:$A,$D245,Doors!$B:$B,$B245,Doors!$C:$C,$C245)*SUMIFS(Velocity!$I:$I,Velocity!$A:$A,$A245,Velocity!$B:$B,$C245)/Assumptions!$B$4*Assumptions!$B$6</f>
        <v>2.96875</v>
      </c>
      <c r="AZ245" s="7" t="n">
        <f aca="false">SUMIFS(Doors!BL:BL,Doors!$A:$A,$D245,Doors!$B:$B,$B245,Doors!$C:$C,$C245)*SUMIFS(Velocity!$I:$I,Velocity!$A:$A,$A245,Velocity!$B:$B,$C245)/Assumptions!$B$4*Assumptions!$B$6</f>
        <v>2.96875</v>
      </c>
      <c r="BA245" s="7" t="n">
        <f aca="false">SUMIFS(Doors!BM:BM,Doors!$A:$A,$D245,Doors!$B:$B,$B245,Doors!$C:$C,$C245)*SUMIFS(Velocity!$I:$I,Velocity!$A:$A,$A245,Velocity!$B:$B,$C245)/Assumptions!$B$4*Assumptions!$B$6</f>
        <v>2.96875</v>
      </c>
      <c r="BB245" s="7" t="n">
        <f aca="false">SUMIFS(Doors!BN:BN,Doors!$A:$A,$D245,Doors!$B:$B,$B245,Doors!$C:$C,$C245)*SUMIFS(Velocity!$I:$I,Velocity!$A:$A,$A245,Velocity!$B:$B,$C245)/Assumptions!$B$4*Assumptions!$B$6</f>
        <v>2.96875</v>
      </c>
      <c r="BC245" s="7" t="n">
        <f aca="false">SUMIFS(Doors!BO:BO,Doors!$A:$A,$D245,Doors!$B:$B,$B245,Doors!$C:$C,$C245)*SUMIFS(Velocity!$I:$I,Velocity!$A:$A,$A245,Velocity!$B:$B,$C245)/Assumptions!$B$4*Assumptions!$B$6</f>
        <v>2.96875</v>
      </c>
      <c r="BD245" s="7" t="n">
        <f aca="false">SUMIFS(Doors!BP:BP,Doors!$A:$A,$D245,Doors!$B:$B,$B245,Doors!$C:$C,$C245)*SUMIFS(Velocity!$I:$I,Velocity!$A:$A,$A245,Velocity!$B:$B,$C245)/Assumptions!$B$4*Assumptions!$B$6</f>
        <v>2.96875</v>
      </c>
    </row>
    <row r="246" customFormat="false" ht="15" hidden="false" customHeight="false" outlineLevel="0" collapsed="false">
      <c r="A246" s="0" t="s">
        <v>110</v>
      </c>
      <c r="B246" s="0" t="s">
        <v>132</v>
      </c>
      <c r="C246" s="0" t="s">
        <v>121</v>
      </c>
      <c r="D246" s="0" t="s">
        <v>235</v>
      </c>
      <c r="E246" s="7" t="n">
        <f aca="false">SUMIFS(Doors!Q:Q,Doors!$A:$A,$D246,Doors!$B:$B,$B246,Doors!$C:$C,$C246)*SUMIFS(Velocity!$I:$I,Velocity!$A:$A,$A246,Velocity!$B:$B,$C246)/Assumptions!$B$4*Assumptions!$B$6</f>
        <v>0.608333333333333</v>
      </c>
      <c r="F246" s="7" t="n">
        <f aca="false">SUMIFS(Doors!R:R,Doors!$A:$A,$D246,Doors!$B:$B,$B246,Doors!$C:$C,$C246)*SUMIFS(Velocity!$I:$I,Velocity!$A:$A,$A246,Velocity!$B:$B,$C246)/Assumptions!$B$4*Assumptions!$B$6</f>
        <v>0.608333333333333</v>
      </c>
      <c r="G246" s="7" t="n">
        <f aca="false">SUMIFS(Doors!S:S,Doors!$A:$A,$D246,Doors!$B:$B,$B246,Doors!$C:$C,$C246)*SUMIFS(Velocity!$I:$I,Velocity!$A:$A,$A246,Velocity!$B:$B,$C246)/Assumptions!$B$4*Assumptions!$B$6</f>
        <v>0.608333333333333</v>
      </c>
      <c r="H246" s="7" t="n">
        <f aca="false">SUMIFS(Doors!T:T,Doors!$A:$A,$D246,Doors!$B:$B,$B246,Doors!$C:$C,$C246)*SUMIFS(Velocity!$I:$I,Velocity!$A:$A,$A246,Velocity!$B:$B,$C246)/Assumptions!$B$4*Assumptions!$B$6</f>
        <v>0.608333333333333</v>
      </c>
      <c r="I246" s="7" t="n">
        <f aca="false">SUMIFS(Doors!U:U,Doors!$A:$A,$D246,Doors!$B:$B,$B246,Doors!$C:$C,$C246)*SUMIFS(Velocity!$I:$I,Velocity!$A:$A,$A246,Velocity!$B:$B,$C246)/Assumptions!$B$4*Assumptions!$B$6</f>
        <v>0.608333333333333</v>
      </c>
      <c r="J246" s="7" t="n">
        <f aca="false">SUMIFS(Doors!V:V,Doors!$A:$A,$D246,Doors!$B:$B,$B246,Doors!$C:$C,$C246)*SUMIFS(Velocity!$I:$I,Velocity!$A:$A,$A246,Velocity!$B:$B,$C246)/Assumptions!$B$4*Assumptions!$B$6</f>
        <v>0.9125</v>
      </c>
      <c r="K246" s="7" t="n">
        <f aca="false">SUMIFS(Doors!W:W,Doors!$A:$A,$D246,Doors!$B:$B,$B246,Doors!$C:$C,$C246)*SUMIFS(Velocity!$I:$I,Velocity!$A:$A,$A246,Velocity!$B:$B,$C246)/Assumptions!$B$4*Assumptions!$B$6</f>
        <v>0.9125</v>
      </c>
      <c r="L246" s="7" t="n">
        <f aca="false">SUMIFS(Doors!X:X,Doors!$A:$A,$D246,Doors!$B:$B,$B246,Doors!$C:$C,$C246)*SUMIFS(Velocity!$I:$I,Velocity!$A:$A,$A246,Velocity!$B:$B,$C246)/Assumptions!$B$4*Assumptions!$B$6</f>
        <v>0.9125</v>
      </c>
      <c r="M246" s="7" t="n">
        <f aca="false">SUMIFS(Doors!Y:Y,Doors!$A:$A,$D246,Doors!$B:$B,$B246,Doors!$C:$C,$C246)*SUMIFS(Velocity!$I:$I,Velocity!$A:$A,$A246,Velocity!$B:$B,$C246)/Assumptions!$B$4*Assumptions!$B$6</f>
        <v>0.9125</v>
      </c>
      <c r="N246" s="7" t="n">
        <f aca="false">SUMIFS(Doors!Z:Z,Doors!$A:$A,$D246,Doors!$B:$B,$B246,Doors!$C:$C,$C246)*SUMIFS(Velocity!$I:$I,Velocity!$A:$A,$A246,Velocity!$B:$B,$C246)/Assumptions!$B$4*Assumptions!$B$6</f>
        <v>1.21666666666667</v>
      </c>
      <c r="O246" s="7" t="n">
        <f aca="false">SUMIFS(Doors!AA:AA,Doors!$A:$A,$D246,Doors!$B:$B,$B246,Doors!$C:$C,$C246)*SUMIFS(Velocity!$I:$I,Velocity!$A:$A,$A246,Velocity!$B:$B,$C246)/Assumptions!$B$4*Assumptions!$B$6</f>
        <v>1.21666666666667</v>
      </c>
      <c r="P246" s="7" t="n">
        <f aca="false">SUMIFS(Doors!AB:AB,Doors!$A:$A,$D246,Doors!$B:$B,$B246,Doors!$C:$C,$C246)*SUMIFS(Velocity!$I:$I,Velocity!$A:$A,$A246,Velocity!$B:$B,$C246)/Assumptions!$B$4*Assumptions!$B$6</f>
        <v>1.21666666666667</v>
      </c>
      <c r="Q246" s="7" t="n">
        <f aca="false">SUMIFS(Doors!AC:AC,Doors!$A:$A,$D246,Doors!$B:$B,$B246,Doors!$C:$C,$C246)*SUMIFS(Velocity!$I:$I,Velocity!$A:$A,$A246,Velocity!$B:$B,$C246)/Assumptions!$B$4*Assumptions!$B$6</f>
        <v>1.21666666666667</v>
      </c>
      <c r="R246" s="7" t="n">
        <f aca="false">SUMIFS(Doors!AD:AD,Doors!$A:$A,$D246,Doors!$B:$B,$B246,Doors!$C:$C,$C246)*SUMIFS(Velocity!$I:$I,Velocity!$A:$A,$A246,Velocity!$B:$B,$C246)/Assumptions!$B$4*Assumptions!$B$6</f>
        <v>1.52083333333333</v>
      </c>
      <c r="S246" s="7" t="n">
        <f aca="false">SUMIFS(Doors!AE:AE,Doors!$A:$A,$D246,Doors!$B:$B,$B246,Doors!$C:$C,$C246)*SUMIFS(Velocity!$I:$I,Velocity!$A:$A,$A246,Velocity!$B:$B,$C246)/Assumptions!$B$4*Assumptions!$B$6</f>
        <v>1.52083333333333</v>
      </c>
      <c r="T246" s="7" t="n">
        <f aca="false">SUMIFS(Doors!AF:AF,Doors!$A:$A,$D246,Doors!$B:$B,$B246,Doors!$C:$C,$C246)*SUMIFS(Velocity!$I:$I,Velocity!$A:$A,$A246,Velocity!$B:$B,$C246)/Assumptions!$B$4*Assumptions!$B$6</f>
        <v>1.52083333333333</v>
      </c>
      <c r="U246" s="7" t="n">
        <f aca="false">SUMIFS(Doors!AG:AG,Doors!$A:$A,$D246,Doors!$B:$B,$B246,Doors!$C:$C,$C246)*SUMIFS(Velocity!$I:$I,Velocity!$A:$A,$A246,Velocity!$B:$B,$C246)/Assumptions!$B$4*Assumptions!$B$6</f>
        <v>1.52083333333333</v>
      </c>
      <c r="V246" s="7" t="n">
        <f aca="false">SUMIFS(Doors!AH:AH,Doors!$A:$A,$D246,Doors!$B:$B,$B246,Doors!$C:$C,$C246)*SUMIFS(Velocity!$I:$I,Velocity!$A:$A,$A246,Velocity!$B:$B,$C246)/Assumptions!$B$4*Assumptions!$B$6</f>
        <v>1.52083333333333</v>
      </c>
      <c r="W246" s="7" t="n">
        <f aca="false">SUMIFS(Doors!AI:AI,Doors!$A:$A,$D246,Doors!$B:$B,$B246,Doors!$C:$C,$C246)*SUMIFS(Velocity!$I:$I,Velocity!$A:$A,$A246,Velocity!$B:$B,$C246)/Assumptions!$B$4*Assumptions!$B$6</f>
        <v>1.825</v>
      </c>
      <c r="X246" s="7" t="n">
        <f aca="false">SUMIFS(Doors!AJ:AJ,Doors!$A:$A,$D246,Doors!$B:$B,$B246,Doors!$C:$C,$C246)*SUMIFS(Velocity!$I:$I,Velocity!$A:$A,$A246,Velocity!$B:$B,$C246)/Assumptions!$B$4*Assumptions!$B$6</f>
        <v>1.825</v>
      </c>
      <c r="Y246" s="7" t="n">
        <f aca="false">SUMIFS(Doors!AK:AK,Doors!$A:$A,$D246,Doors!$B:$B,$B246,Doors!$C:$C,$C246)*SUMIFS(Velocity!$I:$I,Velocity!$A:$A,$A246,Velocity!$B:$B,$C246)/Assumptions!$B$4*Assumptions!$B$6</f>
        <v>1.825</v>
      </c>
      <c r="Z246" s="7" t="n">
        <f aca="false">SUMIFS(Doors!AL:AL,Doors!$A:$A,$D246,Doors!$B:$B,$B246,Doors!$C:$C,$C246)*SUMIFS(Velocity!$I:$I,Velocity!$A:$A,$A246,Velocity!$B:$B,$C246)/Assumptions!$B$4*Assumptions!$B$6</f>
        <v>1.825</v>
      </c>
      <c r="AA246" s="7" t="n">
        <f aca="false">SUMIFS(Doors!AM:AM,Doors!$A:$A,$D246,Doors!$B:$B,$B246,Doors!$C:$C,$C246)*SUMIFS(Velocity!$I:$I,Velocity!$A:$A,$A246,Velocity!$B:$B,$C246)/Assumptions!$B$4*Assumptions!$B$6</f>
        <v>2.12916666666667</v>
      </c>
      <c r="AB246" s="7" t="n">
        <f aca="false">SUMIFS(Doors!AN:AN,Doors!$A:$A,$D246,Doors!$B:$B,$B246,Doors!$C:$C,$C246)*SUMIFS(Velocity!$I:$I,Velocity!$A:$A,$A246,Velocity!$B:$B,$C246)/Assumptions!$B$4*Assumptions!$B$6</f>
        <v>2.12916666666667</v>
      </c>
      <c r="AC246" s="7" t="n">
        <f aca="false">SUMIFS(Doors!AO:AO,Doors!$A:$A,$D246,Doors!$B:$B,$B246,Doors!$C:$C,$C246)*SUMIFS(Velocity!$I:$I,Velocity!$A:$A,$A246,Velocity!$B:$B,$C246)/Assumptions!$B$4*Assumptions!$B$6</f>
        <v>2.12916666666667</v>
      </c>
      <c r="AD246" s="7" t="n">
        <f aca="false">SUMIFS(Doors!AP:AP,Doors!$A:$A,$D246,Doors!$B:$B,$B246,Doors!$C:$C,$C246)*SUMIFS(Velocity!$I:$I,Velocity!$A:$A,$A246,Velocity!$B:$B,$C246)/Assumptions!$B$4*Assumptions!$B$6</f>
        <v>2.12916666666667</v>
      </c>
      <c r="AE246" s="7" t="n">
        <f aca="false">SUMIFS(Doors!AQ:AQ,Doors!$A:$A,$D246,Doors!$B:$B,$B246,Doors!$C:$C,$C246)*SUMIFS(Velocity!$I:$I,Velocity!$A:$A,$A246,Velocity!$B:$B,$C246)/Assumptions!$B$4*Assumptions!$B$6</f>
        <v>2.12916666666667</v>
      </c>
      <c r="AF246" s="7" t="n">
        <f aca="false">SUMIFS(Doors!AR:AR,Doors!$A:$A,$D246,Doors!$B:$B,$B246,Doors!$C:$C,$C246)*SUMIFS(Velocity!$I:$I,Velocity!$A:$A,$A246,Velocity!$B:$B,$C246)/Assumptions!$B$4*Assumptions!$B$6</f>
        <v>2.12916666666667</v>
      </c>
      <c r="AG246" s="7" t="n">
        <f aca="false">SUMIFS(Doors!AS:AS,Doors!$A:$A,$D246,Doors!$B:$B,$B246,Doors!$C:$C,$C246)*SUMIFS(Velocity!$I:$I,Velocity!$A:$A,$A246,Velocity!$B:$B,$C246)/Assumptions!$B$4*Assumptions!$B$6</f>
        <v>2.12916666666667</v>
      </c>
      <c r="AH246" s="7" t="n">
        <f aca="false">SUMIFS(Doors!AT:AT,Doors!$A:$A,$D246,Doors!$B:$B,$B246,Doors!$C:$C,$C246)*SUMIFS(Velocity!$I:$I,Velocity!$A:$A,$A246,Velocity!$B:$B,$C246)/Assumptions!$B$4*Assumptions!$B$6</f>
        <v>2.12916666666667</v>
      </c>
      <c r="AI246" s="7" t="n">
        <f aca="false">SUMIFS(Doors!AU:AU,Doors!$A:$A,$D246,Doors!$B:$B,$B246,Doors!$C:$C,$C246)*SUMIFS(Velocity!$I:$I,Velocity!$A:$A,$A246,Velocity!$B:$B,$C246)/Assumptions!$B$4*Assumptions!$B$6</f>
        <v>2.12916666666667</v>
      </c>
      <c r="AJ246" s="7" t="n">
        <f aca="false">SUMIFS(Doors!AV:AV,Doors!$A:$A,$D246,Doors!$B:$B,$B246,Doors!$C:$C,$C246)*SUMIFS(Velocity!$I:$I,Velocity!$A:$A,$A246,Velocity!$B:$B,$C246)/Assumptions!$B$4*Assumptions!$B$6</f>
        <v>2.43333333333333</v>
      </c>
      <c r="AK246" s="7" t="n">
        <f aca="false">SUMIFS(Doors!AW:AW,Doors!$A:$A,$D246,Doors!$B:$B,$B246,Doors!$C:$C,$C246)*SUMIFS(Velocity!$I:$I,Velocity!$A:$A,$A246,Velocity!$B:$B,$C246)/Assumptions!$B$4*Assumptions!$B$6</f>
        <v>2.43333333333333</v>
      </c>
      <c r="AL246" s="7" t="n">
        <f aca="false">SUMIFS(Doors!AX:AX,Doors!$A:$A,$D246,Doors!$B:$B,$B246,Doors!$C:$C,$C246)*SUMIFS(Velocity!$I:$I,Velocity!$A:$A,$A246,Velocity!$B:$B,$C246)/Assumptions!$B$4*Assumptions!$B$6</f>
        <v>2.43333333333333</v>
      </c>
      <c r="AM246" s="7" t="n">
        <f aca="false">SUMIFS(Doors!AY:AY,Doors!$A:$A,$D246,Doors!$B:$B,$B246,Doors!$C:$C,$C246)*SUMIFS(Velocity!$I:$I,Velocity!$A:$A,$A246,Velocity!$B:$B,$C246)/Assumptions!$B$4*Assumptions!$B$6</f>
        <v>2.43333333333333</v>
      </c>
      <c r="AN246" s="7" t="n">
        <f aca="false">SUMIFS(Doors!AZ:AZ,Doors!$A:$A,$D246,Doors!$B:$B,$B246,Doors!$C:$C,$C246)*SUMIFS(Velocity!$I:$I,Velocity!$A:$A,$A246,Velocity!$B:$B,$C246)/Assumptions!$B$4*Assumptions!$B$6</f>
        <v>2.43333333333333</v>
      </c>
      <c r="AO246" s="7" t="n">
        <f aca="false">SUMIFS(Doors!BA:BA,Doors!$A:$A,$D246,Doors!$B:$B,$B246,Doors!$C:$C,$C246)*SUMIFS(Velocity!$I:$I,Velocity!$A:$A,$A246,Velocity!$B:$B,$C246)/Assumptions!$B$4*Assumptions!$B$6</f>
        <v>2.43333333333333</v>
      </c>
      <c r="AP246" s="7" t="n">
        <f aca="false">SUMIFS(Doors!BB:BB,Doors!$A:$A,$D246,Doors!$B:$B,$B246,Doors!$C:$C,$C246)*SUMIFS(Velocity!$I:$I,Velocity!$A:$A,$A246,Velocity!$B:$B,$C246)/Assumptions!$B$4*Assumptions!$B$6</f>
        <v>2.43333333333333</v>
      </c>
      <c r="AQ246" s="7" t="n">
        <f aca="false">SUMIFS(Doors!BC:BC,Doors!$A:$A,$D246,Doors!$B:$B,$B246,Doors!$C:$C,$C246)*SUMIFS(Velocity!$I:$I,Velocity!$A:$A,$A246,Velocity!$B:$B,$C246)/Assumptions!$B$4*Assumptions!$B$6</f>
        <v>2.43333333333333</v>
      </c>
      <c r="AR246" s="7" t="n">
        <f aca="false">SUMIFS(Doors!BD:BD,Doors!$A:$A,$D246,Doors!$B:$B,$B246,Doors!$C:$C,$C246)*SUMIFS(Velocity!$I:$I,Velocity!$A:$A,$A246,Velocity!$B:$B,$C246)/Assumptions!$B$4*Assumptions!$B$6</f>
        <v>2.43333333333333</v>
      </c>
      <c r="AS246" s="7" t="n">
        <f aca="false">SUMIFS(Doors!BE:BE,Doors!$A:$A,$D246,Doors!$B:$B,$B246,Doors!$C:$C,$C246)*SUMIFS(Velocity!$I:$I,Velocity!$A:$A,$A246,Velocity!$B:$B,$C246)/Assumptions!$B$4*Assumptions!$B$6</f>
        <v>2.43333333333333</v>
      </c>
      <c r="AT246" s="7" t="n">
        <f aca="false">SUMIFS(Doors!BF:BF,Doors!$A:$A,$D246,Doors!$B:$B,$B246,Doors!$C:$C,$C246)*SUMIFS(Velocity!$I:$I,Velocity!$A:$A,$A246,Velocity!$B:$B,$C246)/Assumptions!$B$4*Assumptions!$B$6</f>
        <v>2.43333333333333</v>
      </c>
      <c r="AU246" s="7" t="n">
        <f aca="false">SUMIFS(Doors!BG:BG,Doors!$A:$A,$D246,Doors!$B:$B,$B246,Doors!$C:$C,$C246)*SUMIFS(Velocity!$I:$I,Velocity!$A:$A,$A246,Velocity!$B:$B,$C246)/Assumptions!$B$4*Assumptions!$B$6</f>
        <v>2.43333333333333</v>
      </c>
      <c r="AV246" s="7" t="n">
        <f aca="false">SUMIFS(Doors!BH:BH,Doors!$A:$A,$D246,Doors!$B:$B,$B246,Doors!$C:$C,$C246)*SUMIFS(Velocity!$I:$I,Velocity!$A:$A,$A246,Velocity!$B:$B,$C246)/Assumptions!$B$4*Assumptions!$B$6</f>
        <v>2.43333333333333</v>
      </c>
      <c r="AW246" s="7" t="n">
        <f aca="false">SUMIFS(Doors!BI:BI,Doors!$A:$A,$D246,Doors!$B:$B,$B246,Doors!$C:$C,$C246)*SUMIFS(Velocity!$I:$I,Velocity!$A:$A,$A246,Velocity!$B:$B,$C246)/Assumptions!$B$4*Assumptions!$B$6</f>
        <v>2.43333333333333</v>
      </c>
      <c r="AX246" s="7" t="n">
        <f aca="false">SUMIFS(Doors!BJ:BJ,Doors!$A:$A,$D246,Doors!$B:$B,$B246,Doors!$C:$C,$C246)*SUMIFS(Velocity!$I:$I,Velocity!$A:$A,$A246,Velocity!$B:$B,$C246)/Assumptions!$B$4*Assumptions!$B$6</f>
        <v>2.43333333333333</v>
      </c>
      <c r="AY246" s="7" t="n">
        <f aca="false">SUMIFS(Doors!BK:BK,Doors!$A:$A,$D246,Doors!$B:$B,$B246,Doors!$C:$C,$C246)*SUMIFS(Velocity!$I:$I,Velocity!$A:$A,$A246,Velocity!$B:$B,$C246)/Assumptions!$B$4*Assumptions!$B$6</f>
        <v>2.43333333333333</v>
      </c>
      <c r="AZ246" s="7" t="n">
        <f aca="false">SUMIFS(Doors!BL:BL,Doors!$A:$A,$D246,Doors!$B:$B,$B246,Doors!$C:$C,$C246)*SUMIFS(Velocity!$I:$I,Velocity!$A:$A,$A246,Velocity!$B:$B,$C246)/Assumptions!$B$4*Assumptions!$B$6</f>
        <v>2.43333333333333</v>
      </c>
      <c r="BA246" s="7" t="n">
        <f aca="false">SUMIFS(Doors!BM:BM,Doors!$A:$A,$D246,Doors!$B:$B,$B246,Doors!$C:$C,$C246)*SUMIFS(Velocity!$I:$I,Velocity!$A:$A,$A246,Velocity!$B:$B,$C246)/Assumptions!$B$4*Assumptions!$B$6</f>
        <v>2.43333333333333</v>
      </c>
      <c r="BB246" s="7" t="n">
        <f aca="false">SUMIFS(Doors!BN:BN,Doors!$A:$A,$D246,Doors!$B:$B,$B246,Doors!$C:$C,$C246)*SUMIFS(Velocity!$I:$I,Velocity!$A:$A,$A246,Velocity!$B:$B,$C246)/Assumptions!$B$4*Assumptions!$B$6</f>
        <v>2.43333333333333</v>
      </c>
      <c r="BC246" s="7" t="n">
        <f aca="false">SUMIFS(Doors!BO:BO,Doors!$A:$A,$D246,Doors!$B:$B,$B246,Doors!$C:$C,$C246)*SUMIFS(Velocity!$I:$I,Velocity!$A:$A,$A246,Velocity!$B:$B,$C246)/Assumptions!$B$4*Assumptions!$B$6</f>
        <v>2.43333333333333</v>
      </c>
      <c r="BD246" s="7" t="n">
        <f aca="false">SUMIFS(Doors!BP:BP,Doors!$A:$A,$D246,Doors!$B:$B,$B246,Doors!$C:$C,$C246)*SUMIFS(Velocity!$I:$I,Velocity!$A:$A,$A246,Velocity!$B:$B,$C246)/Assumptions!$B$4*Assumptions!$B$6</f>
        <v>2.43333333333333</v>
      </c>
    </row>
    <row r="247" customFormat="false" ht="15" hidden="false" customHeight="false" outlineLevel="0" collapsed="false">
      <c r="A247" s="0" t="s">
        <v>110</v>
      </c>
      <c r="B247" s="0" t="s">
        <v>132</v>
      </c>
      <c r="C247" s="0" t="s">
        <v>122</v>
      </c>
      <c r="D247" s="0" t="s">
        <v>235</v>
      </c>
      <c r="E247" s="7" t="n">
        <f aca="false">SUMIFS(Doors!Q:Q,Doors!$A:$A,$D247,Doors!$B:$B,$B247,Doors!$C:$C,$C247)*SUMIFS(Velocity!$I:$I,Velocity!$A:$A,$A247,Velocity!$B:$B,$C247)/Assumptions!$B$4*Assumptions!$B$6</f>
        <v>0</v>
      </c>
      <c r="F247" s="7" t="n">
        <f aca="false">SUMIFS(Doors!R:R,Doors!$A:$A,$D247,Doors!$B:$B,$B247,Doors!$C:$C,$C247)*SUMIFS(Velocity!$I:$I,Velocity!$A:$A,$A247,Velocity!$B:$B,$C247)/Assumptions!$B$4*Assumptions!$B$6</f>
        <v>0</v>
      </c>
      <c r="G247" s="7" t="n">
        <f aca="false">SUMIFS(Doors!S:S,Doors!$A:$A,$D247,Doors!$B:$B,$B247,Doors!$C:$C,$C247)*SUMIFS(Velocity!$I:$I,Velocity!$A:$A,$A247,Velocity!$B:$B,$C247)/Assumptions!$B$4*Assumptions!$B$6</f>
        <v>0</v>
      </c>
      <c r="H247" s="7" t="n">
        <f aca="false">SUMIFS(Doors!T:T,Doors!$A:$A,$D247,Doors!$B:$B,$B247,Doors!$C:$C,$C247)*SUMIFS(Velocity!$I:$I,Velocity!$A:$A,$A247,Velocity!$B:$B,$C247)/Assumptions!$B$4*Assumptions!$B$6</f>
        <v>0</v>
      </c>
      <c r="I247" s="7" t="n">
        <f aca="false">SUMIFS(Doors!U:U,Doors!$A:$A,$D247,Doors!$B:$B,$B247,Doors!$C:$C,$C247)*SUMIFS(Velocity!$I:$I,Velocity!$A:$A,$A247,Velocity!$B:$B,$C247)/Assumptions!$B$4*Assumptions!$B$6</f>
        <v>0</v>
      </c>
      <c r="J247" s="7" t="n">
        <f aca="false">SUMIFS(Doors!V:V,Doors!$A:$A,$D247,Doors!$B:$B,$B247,Doors!$C:$C,$C247)*SUMIFS(Velocity!$I:$I,Velocity!$A:$A,$A247,Velocity!$B:$B,$C247)/Assumptions!$B$4*Assumptions!$B$6</f>
        <v>0</v>
      </c>
      <c r="K247" s="7" t="n">
        <f aca="false">SUMIFS(Doors!W:W,Doors!$A:$A,$D247,Doors!$B:$B,$B247,Doors!$C:$C,$C247)*SUMIFS(Velocity!$I:$I,Velocity!$A:$A,$A247,Velocity!$B:$B,$C247)/Assumptions!$B$4*Assumptions!$B$6</f>
        <v>0</v>
      </c>
      <c r="L247" s="7" t="n">
        <f aca="false">SUMIFS(Doors!X:X,Doors!$A:$A,$D247,Doors!$B:$B,$B247,Doors!$C:$C,$C247)*SUMIFS(Velocity!$I:$I,Velocity!$A:$A,$A247,Velocity!$B:$B,$C247)/Assumptions!$B$4*Assumptions!$B$6</f>
        <v>0</v>
      </c>
      <c r="M247" s="7" t="n">
        <f aca="false">SUMIFS(Doors!Y:Y,Doors!$A:$A,$D247,Doors!$B:$B,$B247,Doors!$C:$C,$C247)*SUMIFS(Velocity!$I:$I,Velocity!$A:$A,$A247,Velocity!$B:$B,$C247)/Assumptions!$B$4*Assumptions!$B$6</f>
        <v>0</v>
      </c>
      <c r="N247" s="7" t="n">
        <f aca="false">SUMIFS(Doors!Z:Z,Doors!$A:$A,$D247,Doors!$B:$B,$B247,Doors!$C:$C,$C247)*SUMIFS(Velocity!$I:$I,Velocity!$A:$A,$A247,Velocity!$B:$B,$C247)/Assumptions!$B$4*Assumptions!$B$6</f>
        <v>0</v>
      </c>
      <c r="O247" s="7" t="n">
        <f aca="false">SUMIFS(Doors!AA:AA,Doors!$A:$A,$D247,Doors!$B:$B,$B247,Doors!$C:$C,$C247)*SUMIFS(Velocity!$I:$I,Velocity!$A:$A,$A247,Velocity!$B:$B,$C247)/Assumptions!$B$4*Assumptions!$B$6</f>
        <v>0</v>
      </c>
      <c r="P247" s="7" t="n">
        <f aca="false">SUMIFS(Doors!AB:AB,Doors!$A:$A,$D247,Doors!$B:$B,$B247,Doors!$C:$C,$C247)*SUMIFS(Velocity!$I:$I,Velocity!$A:$A,$A247,Velocity!$B:$B,$C247)/Assumptions!$B$4*Assumptions!$B$6</f>
        <v>0</v>
      </c>
      <c r="Q247" s="7" t="n">
        <f aca="false">SUMIFS(Doors!AC:AC,Doors!$A:$A,$D247,Doors!$B:$B,$B247,Doors!$C:$C,$C247)*SUMIFS(Velocity!$I:$I,Velocity!$A:$A,$A247,Velocity!$B:$B,$C247)/Assumptions!$B$4*Assumptions!$B$6</f>
        <v>0</v>
      </c>
      <c r="R247" s="7" t="n">
        <f aca="false">SUMIFS(Doors!AD:AD,Doors!$A:$A,$D247,Doors!$B:$B,$B247,Doors!$C:$C,$C247)*SUMIFS(Velocity!$I:$I,Velocity!$A:$A,$A247,Velocity!$B:$B,$C247)/Assumptions!$B$4*Assumptions!$B$6</f>
        <v>0</v>
      </c>
      <c r="S247" s="7" t="n">
        <f aca="false">SUMIFS(Doors!AE:AE,Doors!$A:$A,$D247,Doors!$B:$B,$B247,Doors!$C:$C,$C247)*SUMIFS(Velocity!$I:$I,Velocity!$A:$A,$A247,Velocity!$B:$B,$C247)/Assumptions!$B$4*Assumptions!$B$6</f>
        <v>0</v>
      </c>
      <c r="T247" s="7" t="n">
        <f aca="false">SUMIFS(Doors!AF:AF,Doors!$A:$A,$D247,Doors!$B:$B,$B247,Doors!$C:$C,$C247)*SUMIFS(Velocity!$I:$I,Velocity!$A:$A,$A247,Velocity!$B:$B,$C247)/Assumptions!$B$4*Assumptions!$B$6</f>
        <v>0</v>
      </c>
      <c r="U247" s="7" t="n">
        <f aca="false">SUMIFS(Doors!AG:AG,Doors!$A:$A,$D247,Doors!$B:$B,$B247,Doors!$C:$C,$C247)*SUMIFS(Velocity!$I:$I,Velocity!$A:$A,$A247,Velocity!$B:$B,$C247)/Assumptions!$B$4*Assumptions!$B$6</f>
        <v>0</v>
      </c>
      <c r="V247" s="7" t="n">
        <f aca="false">SUMIFS(Doors!AH:AH,Doors!$A:$A,$D247,Doors!$B:$B,$B247,Doors!$C:$C,$C247)*SUMIFS(Velocity!$I:$I,Velocity!$A:$A,$A247,Velocity!$B:$B,$C247)/Assumptions!$B$4*Assumptions!$B$6</f>
        <v>0</v>
      </c>
      <c r="W247" s="7" t="n">
        <f aca="false">SUMIFS(Doors!AI:AI,Doors!$A:$A,$D247,Doors!$B:$B,$B247,Doors!$C:$C,$C247)*SUMIFS(Velocity!$I:$I,Velocity!$A:$A,$A247,Velocity!$B:$B,$C247)/Assumptions!$B$4*Assumptions!$B$6</f>
        <v>0</v>
      </c>
      <c r="X247" s="7" t="n">
        <f aca="false">SUMIFS(Doors!AJ:AJ,Doors!$A:$A,$D247,Doors!$B:$B,$B247,Doors!$C:$C,$C247)*SUMIFS(Velocity!$I:$I,Velocity!$A:$A,$A247,Velocity!$B:$B,$C247)/Assumptions!$B$4*Assumptions!$B$6</f>
        <v>0</v>
      </c>
      <c r="Y247" s="7" t="n">
        <f aca="false">SUMIFS(Doors!AK:AK,Doors!$A:$A,$D247,Doors!$B:$B,$B247,Doors!$C:$C,$C247)*SUMIFS(Velocity!$I:$I,Velocity!$A:$A,$A247,Velocity!$B:$B,$C247)/Assumptions!$B$4*Assumptions!$B$6</f>
        <v>0</v>
      </c>
      <c r="Z247" s="7" t="n">
        <f aca="false">SUMIFS(Doors!AL:AL,Doors!$A:$A,$D247,Doors!$B:$B,$B247,Doors!$C:$C,$C247)*SUMIFS(Velocity!$I:$I,Velocity!$A:$A,$A247,Velocity!$B:$B,$C247)/Assumptions!$B$4*Assumptions!$B$6</f>
        <v>0</v>
      </c>
      <c r="AA247" s="7" t="n">
        <f aca="false">SUMIFS(Doors!AM:AM,Doors!$A:$A,$D247,Doors!$B:$B,$B247,Doors!$C:$C,$C247)*SUMIFS(Velocity!$I:$I,Velocity!$A:$A,$A247,Velocity!$B:$B,$C247)/Assumptions!$B$4*Assumptions!$B$6</f>
        <v>0</v>
      </c>
      <c r="AB247" s="7" t="n">
        <f aca="false">SUMIFS(Doors!AN:AN,Doors!$A:$A,$D247,Doors!$B:$B,$B247,Doors!$C:$C,$C247)*SUMIFS(Velocity!$I:$I,Velocity!$A:$A,$A247,Velocity!$B:$B,$C247)/Assumptions!$B$4*Assumptions!$B$6</f>
        <v>0</v>
      </c>
      <c r="AC247" s="7" t="n">
        <f aca="false">SUMIFS(Doors!AO:AO,Doors!$A:$A,$D247,Doors!$B:$B,$B247,Doors!$C:$C,$C247)*SUMIFS(Velocity!$I:$I,Velocity!$A:$A,$A247,Velocity!$B:$B,$C247)/Assumptions!$B$4*Assumptions!$B$6</f>
        <v>0</v>
      </c>
      <c r="AD247" s="7" t="n">
        <f aca="false">SUMIFS(Doors!AP:AP,Doors!$A:$A,$D247,Doors!$B:$B,$B247,Doors!$C:$C,$C247)*SUMIFS(Velocity!$I:$I,Velocity!$A:$A,$A247,Velocity!$B:$B,$C247)/Assumptions!$B$4*Assumptions!$B$6</f>
        <v>0</v>
      </c>
      <c r="AE247" s="7" t="n">
        <f aca="false">SUMIFS(Doors!AQ:AQ,Doors!$A:$A,$D247,Doors!$B:$B,$B247,Doors!$C:$C,$C247)*SUMIFS(Velocity!$I:$I,Velocity!$A:$A,$A247,Velocity!$B:$B,$C247)/Assumptions!$B$4*Assumptions!$B$6</f>
        <v>0</v>
      </c>
      <c r="AF247" s="7" t="n">
        <f aca="false">SUMIFS(Doors!AR:AR,Doors!$A:$A,$D247,Doors!$B:$B,$B247,Doors!$C:$C,$C247)*SUMIFS(Velocity!$I:$I,Velocity!$A:$A,$A247,Velocity!$B:$B,$C247)/Assumptions!$B$4*Assumptions!$B$6</f>
        <v>0</v>
      </c>
      <c r="AG247" s="7" t="n">
        <f aca="false">SUMIFS(Doors!AS:AS,Doors!$A:$A,$D247,Doors!$B:$B,$B247,Doors!$C:$C,$C247)*SUMIFS(Velocity!$I:$I,Velocity!$A:$A,$A247,Velocity!$B:$B,$C247)/Assumptions!$B$4*Assumptions!$B$6</f>
        <v>0</v>
      </c>
      <c r="AH247" s="7" t="n">
        <f aca="false">SUMIFS(Doors!AT:AT,Doors!$A:$A,$D247,Doors!$B:$B,$B247,Doors!$C:$C,$C247)*SUMIFS(Velocity!$I:$I,Velocity!$A:$A,$A247,Velocity!$B:$B,$C247)/Assumptions!$B$4*Assumptions!$B$6</f>
        <v>0</v>
      </c>
      <c r="AI247" s="7" t="n">
        <f aca="false">SUMIFS(Doors!AU:AU,Doors!$A:$A,$D247,Doors!$B:$B,$B247,Doors!$C:$C,$C247)*SUMIFS(Velocity!$I:$I,Velocity!$A:$A,$A247,Velocity!$B:$B,$C247)/Assumptions!$B$4*Assumptions!$B$6</f>
        <v>0</v>
      </c>
      <c r="AJ247" s="7" t="n">
        <f aca="false">SUMIFS(Doors!AV:AV,Doors!$A:$A,$D247,Doors!$B:$B,$B247,Doors!$C:$C,$C247)*SUMIFS(Velocity!$I:$I,Velocity!$A:$A,$A247,Velocity!$B:$B,$C247)/Assumptions!$B$4*Assumptions!$B$6</f>
        <v>0</v>
      </c>
      <c r="AK247" s="7" t="n">
        <f aca="false">SUMIFS(Doors!AW:AW,Doors!$A:$A,$D247,Doors!$B:$B,$B247,Doors!$C:$C,$C247)*SUMIFS(Velocity!$I:$I,Velocity!$A:$A,$A247,Velocity!$B:$B,$C247)/Assumptions!$B$4*Assumptions!$B$6</f>
        <v>0</v>
      </c>
      <c r="AL247" s="7" t="n">
        <f aca="false">SUMIFS(Doors!AX:AX,Doors!$A:$A,$D247,Doors!$B:$B,$B247,Doors!$C:$C,$C247)*SUMIFS(Velocity!$I:$I,Velocity!$A:$A,$A247,Velocity!$B:$B,$C247)/Assumptions!$B$4*Assumptions!$B$6</f>
        <v>0</v>
      </c>
      <c r="AM247" s="7" t="n">
        <f aca="false">SUMIFS(Doors!AY:AY,Doors!$A:$A,$D247,Doors!$B:$B,$B247,Doors!$C:$C,$C247)*SUMIFS(Velocity!$I:$I,Velocity!$A:$A,$A247,Velocity!$B:$B,$C247)/Assumptions!$B$4*Assumptions!$B$6</f>
        <v>0</v>
      </c>
      <c r="AN247" s="7" t="n">
        <f aca="false">SUMIFS(Doors!AZ:AZ,Doors!$A:$A,$D247,Doors!$B:$B,$B247,Doors!$C:$C,$C247)*SUMIFS(Velocity!$I:$I,Velocity!$A:$A,$A247,Velocity!$B:$B,$C247)/Assumptions!$B$4*Assumptions!$B$6</f>
        <v>0</v>
      </c>
      <c r="AO247" s="7" t="n">
        <f aca="false">SUMIFS(Doors!BA:BA,Doors!$A:$A,$D247,Doors!$B:$B,$B247,Doors!$C:$C,$C247)*SUMIFS(Velocity!$I:$I,Velocity!$A:$A,$A247,Velocity!$B:$B,$C247)/Assumptions!$B$4*Assumptions!$B$6</f>
        <v>0</v>
      </c>
      <c r="AP247" s="7" t="n">
        <f aca="false">SUMIFS(Doors!BB:BB,Doors!$A:$A,$D247,Doors!$B:$B,$B247,Doors!$C:$C,$C247)*SUMIFS(Velocity!$I:$I,Velocity!$A:$A,$A247,Velocity!$B:$B,$C247)/Assumptions!$B$4*Assumptions!$B$6</f>
        <v>0</v>
      </c>
      <c r="AQ247" s="7" t="n">
        <f aca="false">SUMIFS(Doors!BC:BC,Doors!$A:$A,$D247,Doors!$B:$B,$B247,Doors!$C:$C,$C247)*SUMIFS(Velocity!$I:$I,Velocity!$A:$A,$A247,Velocity!$B:$B,$C247)/Assumptions!$B$4*Assumptions!$B$6</f>
        <v>0</v>
      </c>
      <c r="AR247" s="7" t="n">
        <f aca="false">SUMIFS(Doors!BD:BD,Doors!$A:$A,$D247,Doors!$B:$B,$B247,Doors!$C:$C,$C247)*SUMIFS(Velocity!$I:$I,Velocity!$A:$A,$A247,Velocity!$B:$B,$C247)/Assumptions!$B$4*Assumptions!$B$6</f>
        <v>0</v>
      </c>
      <c r="AS247" s="7" t="n">
        <f aca="false">SUMIFS(Doors!BE:BE,Doors!$A:$A,$D247,Doors!$B:$B,$B247,Doors!$C:$C,$C247)*SUMIFS(Velocity!$I:$I,Velocity!$A:$A,$A247,Velocity!$B:$B,$C247)/Assumptions!$B$4*Assumptions!$B$6</f>
        <v>0</v>
      </c>
      <c r="AT247" s="7" t="n">
        <f aca="false">SUMIFS(Doors!BF:BF,Doors!$A:$A,$D247,Doors!$B:$B,$B247,Doors!$C:$C,$C247)*SUMIFS(Velocity!$I:$I,Velocity!$A:$A,$A247,Velocity!$B:$B,$C247)/Assumptions!$B$4*Assumptions!$B$6</f>
        <v>0</v>
      </c>
      <c r="AU247" s="7" t="n">
        <f aca="false">SUMIFS(Doors!BG:BG,Doors!$A:$A,$D247,Doors!$B:$B,$B247,Doors!$C:$C,$C247)*SUMIFS(Velocity!$I:$I,Velocity!$A:$A,$A247,Velocity!$B:$B,$C247)/Assumptions!$B$4*Assumptions!$B$6</f>
        <v>0</v>
      </c>
      <c r="AV247" s="7" t="n">
        <f aca="false">SUMIFS(Doors!BH:BH,Doors!$A:$A,$D247,Doors!$B:$B,$B247,Doors!$C:$C,$C247)*SUMIFS(Velocity!$I:$I,Velocity!$A:$A,$A247,Velocity!$B:$B,$C247)/Assumptions!$B$4*Assumptions!$B$6</f>
        <v>0</v>
      </c>
      <c r="AW247" s="7" t="n">
        <f aca="false">SUMIFS(Doors!BI:BI,Doors!$A:$A,$D247,Doors!$B:$B,$B247,Doors!$C:$C,$C247)*SUMIFS(Velocity!$I:$I,Velocity!$A:$A,$A247,Velocity!$B:$B,$C247)/Assumptions!$B$4*Assumptions!$B$6</f>
        <v>0</v>
      </c>
      <c r="AX247" s="7" t="n">
        <f aca="false">SUMIFS(Doors!BJ:BJ,Doors!$A:$A,$D247,Doors!$B:$B,$B247,Doors!$C:$C,$C247)*SUMIFS(Velocity!$I:$I,Velocity!$A:$A,$A247,Velocity!$B:$B,$C247)/Assumptions!$B$4*Assumptions!$B$6</f>
        <v>0</v>
      </c>
      <c r="AY247" s="7" t="n">
        <f aca="false">SUMIFS(Doors!BK:BK,Doors!$A:$A,$D247,Doors!$B:$B,$B247,Doors!$C:$C,$C247)*SUMIFS(Velocity!$I:$I,Velocity!$A:$A,$A247,Velocity!$B:$B,$C247)/Assumptions!$B$4*Assumptions!$B$6</f>
        <v>0</v>
      </c>
      <c r="AZ247" s="7" t="n">
        <f aca="false">SUMIFS(Doors!BL:BL,Doors!$A:$A,$D247,Doors!$B:$B,$B247,Doors!$C:$C,$C247)*SUMIFS(Velocity!$I:$I,Velocity!$A:$A,$A247,Velocity!$B:$B,$C247)/Assumptions!$B$4*Assumptions!$B$6</f>
        <v>0</v>
      </c>
      <c r="BA247" s="7" t="n">
        <f aca="false">SUMIFS(Doors!BM:BM,Doors!$A:$A,$D247,Doors!$B:$B,$B247,Doors!$C:$C,$C247)*SUMIFS(Velocity!$I:$I,Velocity!$A:$A,$A247,Velocity!$B:$B,$C247)/Assumptions!$B$4*Assumptions!$B$6</f>
        <v>0</v>
      </c>
      <c r="BB247" s="7" t="n">
        <f aca="false">SUMIFS(Doors!BN:BN,Doors!$A:$A,$D247,Doors!$B:$B,$B247,Doors!$C:$C,$C247)*SUMIFS(Velocity!$I:$I,Velocity!$A:$A,$A247,Velocity!$B:$B,$C247)/Assumptions!$B$4*Assumptions!$B$6</f>
        <v>0</v>
      </c>
      <c r="BC247" s="7" t="n">
        <f aca="false">SUMIFS(Doors!BO:BO,Doors!$A:$A,$D247,Doors!$B:$B,$B247,Doors!$C:$C,$C247)*SUMIFS(Velocity!$I:$I,Velocity!$A:$A,$A247,Velocity!$B:$B,$C247)/Assumptions!$B$4*Assumptions!$B$6</f>
        <v>0</v>
      </c>
      <c r="BD247" s="7" t="n">
        <f aca="false">SUMIFS(Doors!BP:BP,Doors!$A:$A,$D247,Doors!$B:$B,$B247,Doors!$C:$C,$C247)*SUMIFS(Velocity!$I:$I,Velocity!$A:$A,$A247,Velocity!$B:$B,$C247)/Assumptions!$B$4*Assumptions!$B$6</f>
        <v>0</v>
      </c>
    </row>
    <row r="248" customFormat="false" ht="15" hidden="false" customHeight="false" outlineLevel="0" collapsed="false">
      <c r="A248" s="0" t="s">
        <v>110</v>
      </c>
      <c r="B248" s="0" t="s">
        <v>132</v>
      </c>
      <c r="C248" s="0" t="s">
        <v>123</v>
      </c>
      <c r="D248" s="0" t="s">
        <v>235</v>
      </c>
      <c r="E248" s="7" t="n">
        <f aca="false">SUMIFS(Doors!Q:Q,Doors!$A:$A,$D248,Doors!$B:$B,$B248,Doors!$C:$C,$C248)*SUMIFS(Velocity!$I:$I,Velocity!$A:$A,$A248,Velocity!$B:$B,$C248)/Assumptions!$B$4*Assumptions!$B$6</f>
        <v>0.216666666666667</v>
      </c>
      <c r="F248" s="7" t="n">
        <f aca="false">SUMIFS(Doors!R:R,Doors!$A:$A,$D248,Doors!$B:$B,$B248,Doors!$C:$C,$C248)*SUMIFS(Velocity!$I:$I,Velocity!$A:$A,$A248,Velocity!$B:$B,$C248)/Assumptions!$B$4*Assumptions!$B$6</f>
        <v>0.216666666666667</v>
      </c>
      <c r="G248" s="7" t="n">
        <f aca="false">SUMIFS(Doors!S:S,Doors!$A:$A,$D248,Doors!$B:$B,$B248,Doors!$C:$C,$C248)*SUMIFS(Velocity!$I:$I,Velocity!$A:$A,$A248,Velocity!$B:$B,$C248)/Assumptions!$B$4*Assumptions!$B$6</f>
        <v>0.216666666666667</v>
      </c>
      <c r="H248" s="7" t="n">
        <f aca="false">SUMIFS(Doors!T:T,Doors!$A:$A,$D248,Doors!$B:$B,$B248,Doors!$C:$C,$C248)*SUMIFS(Velocity!$I:$I,Velocity!$A:$A,$A248,Velocity!$B:$B,$C248)/Assumptions!$B$4*Assumptions!$B$6</f>
        <v>0.216666666666667</v>
      </c>
      <c r="I248" s="7" t="n">
        <f aca="false">SUMIFS(Doors!U:U,Doors!$A:$A,$D248,Doors!$B:$B,$B248,Doors!$C:$C,$C248)*SUMIFS(Velocity!$I:$I,Velocity!$A:$A,$A248,Velocity!$B:$B,$C248)/Assumptions!$B$4*Assumptions!$B$6</f>
        <v>0.216666666666667</v>
      </c>
      <c r="J248" s="7" t="n">
        <f aca="false">SUMIFS(Doors!V:V,Doors!$A:$A,$D248,Doors!$B:$B,$B248,Doors!$C:$C,$C248)*SUMIFS(Velocity!$I:$I,Velocity!$A:$A,$A248,Velocity!$B:$B,$C248)/Assumptions!$B$4*Assumptions!$B$6</f>
        <v>0.325</v>
      </c>
      <c r="K248" s="7" t="n">
        <f aca="false">SUMIFS(Doors!W:W,Doors!$A:$A,$D248,Doors!$B:$B,$B248,Doors!$C:$C,$C248)*SUMIFS(Velocity!$I:$I,Velocity!$A:$A,$A248,Velocity!$B:$B,$C248)/Assumptions!$B$4*Assumptions!$B$6</f>
        <v>0.325</v>
      </c>
      <c r="L248" s="7" t="n">
        <f aca="false">SUMIFS(Doors!X:X,Doors!$A:$A,$D248,Doors!$B:$B,$B248,Doors!$C:$C,$C248)*SUMIFS(Velocity!$I:$I,Velocity!$A:$A,$A248,Velocity!$B:$B,$C248)/Assumptions!$B$4*Assumptions!$B$6</f>
        <v>0.325</v>
      </c>
      <c r="M248" s="7" t="n">
        <f aca="false">SUMIFS(Doors!Y:Y,Doors!$A:$A,$D248,Doors!$B:$B,$B248,Doors!$C:$C,$C248)*SUMIFS(Velocity!$I:$I,Velocity!$A:$A,$A248,Velocity!$B:$B,$C248)/Assumptions!$B$4*Assumptions!$B$6</f>
        <v>0.325</v>
      </c>
      <c r="N248" s="7" t="n">
        <f aca="false">SUMIFS(Doors!Z:Z,Doors!$A:$A,$D248,Doors!$B:$B,$B248,Doors!$C:$C,$C248)*SUMIFS(Velocity!$I:$I,Velocity!$A:$A,$A248,Velocity!$B:$B,$C248)/Assumptions!$B$4*Assumptions!$B$6</f>
        <v>0.541666666666667</v>
      </c>
      <c r="O248" s="7" t="n">
        <f aca="false">SUMIFS(Doors!AA:AA,Doors!$A:$A,$D248,Doors!$B:$B,$B248,Doors!$C:$C,$C248)*SUMIFS(Velocity!$I:$I,Velocity!$A:$A,$A248,Velocity!$B:$B,$C248)/Assumptions!$B$4*Assumptions!$B$6</f>
        <v>0.541666666666667</v>
      </c>
      <c r="P248" s="7" t="n">
        <f aca="false">SUMIFS(Doors!AB:AB,Doors!$A:$A,$D248,Doors!$B:$B,$B248,Doors!$C:$C,$C248)*SUMIFS(Velocity!$I:$I,Velocity!$A:$A,$A248,Velocity!$B:$B,$C248)/Assumptions!$B$4*Assumptions!$B$6</f>
        <v>0.541666666666667</v>
      </c>
      <c r="Q248" s="7" t="n">
        <f aca="false">SUMIFS(Doors!AC:AC,Doors!$A:$A,$D248,Doors!$B:$B,$B248,Doors!$C:$C,$C248)*SUMIFS(Velocity!$I:$I,Velocity!$A:$A,$A248,Velocity!$B:$B,$C248)/Assumptions!$B$4*Assumptions!$B$6</f>
        <v>0.541666666666667</v>
      </c>
      <c r="R248" s="7" t="n">
        <f aca="false">SUMIFS(Doors!AD:AD,Doors!$A:$A,$D248,Doors!$B:$B,$B248,Doors!$C:$C,$C248)*SUMIFS(Velocity!$I:$I,Velocity!$A:$A,$A248,Velocity!$B:$B,$C248)/Assumptions!$B$4*Assumptions!$B$6</f>
        <v>0.65</v>
      </c>
      <c r="S248" s="7" t="n">
        <f aca="false">SUMIFS(Doors!AE:AE,Doors!$A:$A,$D248,Doors!$B:$B,$B248,Doors!$C:$C,$C248)*SUMIFS(Velocity!$I:$I,Velocity!$A:$A,$A248,Velocity!$B:$B,$C248)/Assumptions!$B$4*Assumptions!$B$6</f>
        <v>0.65</v>
      </c>
      <c r="T248" s="7" t="n">
        <f aca="false">SUMIFS(Doors!AF:AF,Doors!$A:$A,$D248,Doors!$B:$B,$B248,Doors!$C:$C,$C248)*SUMIFS(Velocity!$I:$I,Velocity!$A:$A,$A248,Velocity!$B:$B,$C248)/Assumptions!$B$4*Assumptions!$B$6</f>
        <v>0.65</v>
      </c>
      <c r="U248" s="7" t="n">
        <f aca="false">SUMIFS(Doors!AG:AG,Doors!$A:$A,$D248,Doors!$B:$B,$B248,Doors!$C:$C,$C248)*SUMIFS(Velocity!$I:$I,Velocity!$A:$A,$A248,Velocity!$B:$B,$C248)/Assumptions!$B$4*Assumptions!$B$6</f>
        <v>0.65</v>
      </c>
      <c r="V248" s="7" t="n">
        <f aca="false">SUMIFS(Doors!AH:AH,Doors!$A:$A,$D248,Doors!$B:$B,$B248,Doors!$C:$C,$C248)*SUMIFS(Velocity!$I:$I,Velocity!$A:$A,$A248,Velocity!$B:$B,$C248)/Assumptions!$B$4*Assumptions!$B$6</f>
        <v>0.65</v>
      </c>
      <c r="W248" s="7" t="n">
        <f aca="false">SUMIFS(Doors!AI:AI,Doors!$A:$A,$D248,Doors!$B:$B,$B248,Doors!$C:$C,$C248)*SUMIFS(Velocity!$I:$I,Velocity!$A:$A,$A248,Velocity!$B:$B,$C248)/Assumptions!$B$4*Assumptions!$B$6</f>
        <v>0.758333333333333</v>
      </c>
      <c r="X248" s="7" t="n">
        <f aca="false">SUMIFS(Doors!AJ:AJ,Doors!$A:$A,$D248,Doors!$B:$B,$B248,Doors!$C:$C,$C248)*SUMIFS(Velocity!$I:$I,Velocity!$A:$A,$A248,Velocity!$B:$B,$C248)/Assumptions!$B$4*Assumptions!$B$6</f>
        <v>0.758333333333333</v>
      </c>
      <c r="Y248" s="7" t="n">
        <f aca="false">SUMIFS(Doors!AK:AK,Doors!$A:$A,$D248,Doors!$B:$B,$B248,Doors!$C:$C,$C248)*SUMIFS(Velocity!$I:$I,Velocity!$A:$A,$A248,Velocity!$B:$B,$C248)/Assumptions!$B$4*Assumptions!$B$6</f>
        <v>0.758333333333333</v>
      </c>
      <c r="Z248" s="7" t="n">
        <f aca="false">SUMIFS(Doors!AL:AL,Doors!$A:$A,$D248,Doors!$B:$B,$B248,Doors!$C:$C,$C248)*SUMIFS(Velocity!$I:$I,Velocity!$A:$A,$A248,Velocity!$B:$B,$C248)/Assumptions!$B$4*Assumptions!$B$6</f>
        <v>0.758333333333333</v>
      </c>
      <c r="AA248" s="7" t="n">
        <f aca="false">SUMIFS(Doors!AM:AM,Doors!$A:$A,$D248,Doors!$B:$B,$B248,Doors!$C:$C,$C248)*SUMIFS(Velocity!$I:$I,Velocity!$A:$A,$A248,Velocity!$B:$B,$C248)/Assumptions!$B$4*Assumptions!$B$6</f>
        <v>0.866666666666667</v>
      </c>
      <c r="AB248" s="7" t="n">
        <f aca="false">SUMIFS(Doors!AN:AN,Doors!$A:$A,$D248,Doors!$B:$B,$B248,Doors!$C:$C,$C248)*SUMIFS(Velocity!$I:$I,Velocity!$A:$A,$A248,Velocity!$B:$B,$C248)/Assumptions!$B$4*Assumptions!$B$6</f>
        <v>0.866666666666667</v>
      </c>
      <c r="AC248" s="7" t="n">
        <f aca="false">SUMIFS(Doors!AO:AO,Doors!$A:$A,$D248,Doors!$B:$B,$B248,Doors!$C:$C,$C248)*SUMIFS(Velocity!$I:$I,Velocity!$A:$A,$A248,Velocity!$B:$B,$C248)/Assumptions!$B$4*Assumptions!$B$6</f>
        <v>0.866666666666667</v>
      </c>
      <c r="AD248" s="7" t="n">
        <f aca="false">SUMIFS(Doors!AP:AP,Doors!$A:$A,$D248,Doors!$B:$B,$B248,Doors!$C:$C,$C248)*SUMIFS(Velocity!$I:$I,Velocity!$A:$A,$A248,Velocity!$B:$B,$C248)/Assumptions!$B$4*Assumptions!$B$6</f>
        <v>0.866666666666667</v>
      </c>
      <c r="AE248" s="7" t="n">
        <f aca="false">SUMIFS(Doors!AQ:AQ,Doors!$A:$A,$D248,Doors!$B:$B,$B248,Doors!$C:$C,$C248)*SUMIFS(Velocity!$I:$I,Velocity!$A:$A,$A248,Velocity!$B:$B,$C248)/Assumptions!$B$4*Assumptions!$B$6</f>
        <v>0.975</v>
      </c>
      <c r="AF248" s="7" t="n">
        <f aca="false">SUMIFS(Doors!AR:AR,Doors!$A:$A,$D248,Doors!$B:$B,$B248,Doors!$C:$C,$C248)*SUMIFS(Velocity!$I:$I,Velocity!$A:$A,$A248,Velocity!$B:$B,$C248)/Assumptions!$B$4*Assumptions!$B$6</f>
        <v>0.975</v>
      </c>
      <c r="AG248" s="7" t="n">
        <f aca="false">SUMIFS(Doors!AS:AS,Doors!$A:$A,$D248,Doors!$B:$B,$B248,Doors!$C:$C,$C248)*SUMIFS(Velocity!$I:$I,Velocity!$A:$A,$A248,Velocity!$B:$B,$C248)/Assumptions!$B$4*Assumptions!$B$6</f>
        <v>0.975</v>
      </c>
      <c r="AH248" s="7" t="n">
        <f aca="false">SUMIFS(Doors!AT:AT,Doors!$A:$A,$D248,Doors!$B:$B,$B248,Doors!$C:$C,$C248)*SUMIFS(Velocity!$I:$I,Velocity!$A:$A,$A248,Velocity!$B:$B,$C248)/Assumptions!$B$4*Assumptions!$B$6</f>
        <v>0.975</v>
      </c>
      <c r="AI248" s="7" t="n">
        <f aca="false">SUMIFS(Doors!AU:AU,Doors!$A:$A,$D248,Doors!$B:$B,$B248,Doors!$C:$C,$C248)*SUMIFS(Velocity!$I:$I,Velocity!$A:$A,$A248,Velocity!$B:$B,$C248)/Assumptions!$B$4*Assumptions!$B$6</f>
        <v>0.975</v>
      </c>
      <c r="AJ248" s="7" t="n">
        <f aca="false">SUMIFS(Doors!AV:AV,Doors!$A:$A,$D248,Doors!$B:$B,$B248,Doors!$C:$C,$C248)*SUMIFS(Velocity!$I:$I,Velocity!$A:$A,$A248,Velocity!$B:$B,$C248)/Assumptions!$B$4*Assumptions!$B$6</f>
        <v>1.08333333333333</v>
      </c>
      <c r="AK248" s="7" t="n">
        <f aca="false">SUMIFS(Doors!AW:AW,Doors!$A:$A,$D248,Doors!$B:$B,$B248,Doors!$C:$C,$C248)*SUMIFS(Velocity!$I:$I,Velocity!$A:$A,$A248,Velocity!$B:$B,$C248)/Assumptions!$B$4*Assumptions!$B$6</f>
        <v>1.08333333333333</v>
      </c>
      <c r="AL248" s="7" t="n">
        <f aca="false">SUMIFS(Doors!AX:AX,Doors!$A:$A,$D248,Doors!$B:$B,$B248,Doors!$C:$C,$C248)*SUMIFS(Velocity!$I:$I,Velocity!$A:$A,$A248,Velocity!$B:$B,$C248)/Assumptions!$B$4*Assumptions!$B$6</f>
        <v>1.08333333333333</v>
      </c>
      <c r="AM248" s="7" t="n">
        <f aca="false">SUMIFS(Doors!AY:AY,Doors!$A:$A,$D248,Doors!$B:$B,$B248,Doors!$C:$C,$C248)*SUMIFS(Velocity!$I:$I,Velocity!$A:$A,$A248,Velocity!$B:$B,$C248)/Assumptions!$B$4*Assumptions!$B$6</f>
        <v>1.08333333333333</v>
      </c>
      <c r="AN248" s="7" t="n">
        <f aca="false">SUMIFS(Doors!AZ:AZ,Doors!$A:$A,$D248,Doors!$B:$B,$B248,Doors!$C:$C,$C248)*SUMIFS(Velocity!$I:$I,Velocity!$A:$A,$A248,Velocity!$B:$B,$C248)/Assumptions!$B$4*Assumptions!$B$6</f>
        <v>1.08333333333333</v>
      </c>
      <c r="AO248" s="7" t="n">
        <f aca="false">SUMIFS(Doors!BA:BA,Doors!$A:$A,$D248,Doors!$B:$B,$B248,Doors!$C:$C,$C248)*SUMIFS(Velocity!$I:$I,Velocity!$A:$A,$A248,Velocity!$B:$B,$C248)/Assumptions!$B$4*Assumptions!$B$6</f>
        <v>1.08333333333333</v>
      </c>
      <c r="AP248" s="7" t="n">
        <f aca="false">SUMIFS(Doors!BB:BB,Doors!$A:$A,$D248,Doors!$B:$B,$B248,Doors!$C:$C,$C248)*SUMIFS(Velocity!$I:$I,Velocity!$A:$A,$A248,Velocity!$B:$B,$C248)/Assumptions!$B$4*Assumptions!$B$6</f>
        <v>1.08333333333333</v>
      </c>
      <c r="AQ248" s="7" t="n">
        <f aca="false">SUMIFS(Doors!BC:BC,Doors!$A:$A,$D248,Doors!$B:$B,$B248,Doors!$C:$C,$C248)*SUMIFS(Velocity!$I:$I,Velocity!$A:$A,$A248,Velocity!$B:$B,$C248)/Assumptions!$B$4*Assumptions!$B$6</f>
        <v>1.08333333333333</v>
      </c>
      <c r="AR248" s="7" t="n">
        <f aca="false">SUMIFS(Doors!BD:BD,Doors!$A:$A,$D248,Doors!$B:$B,$B248,Doors!$C:$C,$C248)*SUMIFS(Velocity!$I:$I,Velocity!$A:$A,$A248,Velocity!$B:$B,$C248)/Assumptions!$B$4*Assumptions!$B$6</f>
        <v>1.08333333333333</v>
      </c>
      <c r="AS248" s="7" t="n">
        <f aca="false">SUMIFS(Doors!BE:BE,Doors!$A:$A,$D248,Doors!$B:$B,$B248,Doors!$C:$C,$C248)*SUMIFS(Velocity!$I:$I,Velocity!$A:$A,$A248,Velocity!$B:$B,$C248)/Assumptions!$B$4*Assumptions!$B$6</f>
        <v>1.08333333333333</v>
      </c>
      <c r="AT248" s="7" t="n">
        <f aca="false">SUMIFS(Doors!BF:BF,Doors!$A:$A,$D248,Doors!$B:$B,$B248,Doors!$C:$C,$C248)*SUMIFS(Velocity!$I:$I,Velocity!$A:$A,$A248,Velocity!$B:$B,$C248)/Assumptions!$B$4*Assumptions!$B$6</f>
        <v>1.08333333333333</v>
      </c>
      <c r="AU248" s="7" t="n">
        <f aca="false">SUMIFS(Doors!BG:BG,Doors!$A:$A,$D248,Doors!$B:$B,$B248,Doors!$C:$C,$C248)*SUMIFS(Velocity!$I:$I,Velocity!$A:$A,$A248,Velocity!$B:$B,$C248)/Assumptions!$B$4*Assumptions!$B$6</f>
        <v>1.08333333333333</v>
      </c>
      <c r="AV248" s="7" t="n">
        <f aca="false">SUMIFS(Doors!BH:BH,Doors!$A:$A,$D248,Doors!$B:$B,$B248,Doors!$C:$C,$C248)*SUMIFS(Velocity!$I:$I,Velocity!$A:$A,$A248,Velocity!$B:$B,$C248)/Assumptions!$B$4*Assumptions!$B$6</f>
        <v>1.08333333333333</v>
      </c>
      <c r="AW248" s="7" t="n">
        <f aca="false">SUMIFS(Doors!BI:BI,Doors!$A:$A,$D248,Doors!$B:$B,$B248,Doors!$C:$C,$C248)*SUMIFS(Velocity!$I:$I,Velocity!$A:$A,$A248,Velocity!$B:$B,$C248)/Assumptions!$B$4*Assumptions!$B$6</f>
        <v>1.08333333333333</v>
      </c>
      <c r="AX248" s="7" t="n">
        <f aca="false">SUMIFS(Doors!BJ:BJ,Doors!$A:$A,$D248,Doors!$B:$B,$B248,Doors!$C:$C,$C248)*SUMIFS(Velocity!$I:$I,Velocity!$A:$A,$A248,Velocity!$B:$B,$C248)/Assumptions!$B$4*Assumptions!$B$6</f>
        <v>1.08333333333333</v>
      </c>
      <c r="AY248" s="7" t="n">
        <f aca="false">SUMIFS(Doors!BK:BK,Doors!$A:$A,$D248,Doors!$B:$B,$B248,Doors!$C:$C,$C248)*SUMIFS(Velocity!$I:$I,Velocity!$A:$A,$A248,Velocity!$B:$B,$C248)/Assumptions!$B$4*Assumptions!$B$6</f>
        <v>1.08333333333333</v>
      </c>
      <c r="AZ248" s="7" t="n">
        <f aca="false">SUMIFS(Doors!BL:BL,Doors!$A:$A,$D248,Doors!$B:$B,$B248,Doors!$C:$C,$C248)*SUMIFS(Velocity!$I:$I,Velocity!$A:$A,$A248,Velocity!$B:$B,$C248)/Assumptions!$B$4*Assumptions!$B$6</f>
        <v>1.08333333333333</v>
      </c>
      <c r="BA248" s="7" t="n">
        <f aca="false">SUMIFS(Doors!BM:BM,Doors!$A:$A,$D248,Doors!$B:$B,$B248,Doors!$C:$C,$C248)*SUMIFS(Velocity!$I:$I,Velocity!$A:$A,$A248,Velocity!$B:$B,$C248)/Assumptions!$B$4*Assumptions!$B$6</f>
        <v>1.08333333333333</v>
      </c>
      <c r="BB248" s="7" t="n">
        <f aca="false">SUMIFS(Doors!BN:BN,Doors!$A:$A,$D248,Doors!$B:$B,$B248,Doors!$C:$C,$C248)*SUMIFS(Velocity!$I:$I,Velocity!$A:$A,$A248,Velocity!$B:$B,$C248)/Assumptions!$B$4*Assumptions!$B$6</f>
        <v>1.08333333333333</v>
      </c>
      <c r="BC248" s="7" t="n">
        <f aca="false">SUMIFS(Doors!BO:BO,Doors!$A:$A,$D248,Doors!$B:$B,$B248,Doors!$C:$C,$C248)*SUMIFS(Velocity!$I:$I,Velocity!$A:$A,$A248,Velocity!$B:$B,$C248)/Assumptions!$B$4*Assumptions!$B$6</f>
        <v>1.08333333333333</v>
      </c>
      <c r="BD248" s="7" t="n">
        <f aca="false">SUMIFS(Doors!BP:BP,Doors!$A:$A,$D248,Doors!$B:$B,$B248,Doors!$C:$C,$C248)*SUMIFS(Velocity!$I:$I,Velocity!$A:$A,$A248,Velocity!$B:$B,$C248)/Assumptions!$B$4*Assumptions!$B$6</f>
        <v>1.08333333333333</v>
      </c>
    </row>
    <row r="249" customFormat="false" ht="15" hidden="false" customHeight="false" outlineLevel="0" collapsed="false">
      <c r="A249" s="0" t="s">
        <v>110</v>
      </c>
      <c r="B249" s="0" t="s">
        <v>133</v>
      </c>
      <c r="C249" s="0" t="s">
        <v>115</v>
      </c>
      <c r="D249" s="0" t="s">
        <v>235</v>
      </c>
      <c r="E249" s="7" t="n">
        <f aca="false">SUMIFS(Doors!Q:Q,Doors!$A:$A,$D249,Doors!$B:$B,$B249,Doors!$C:$C,$C249)*SUMIFS(Velocity!$I:$I,Velocity!$A:$A,$A249,Velocity!$B:$B,$C249)/Assumptions!$B$4*Assumptions!$B$6</f>
        <v>0</v>
      </c>
      <c r="F249" s="7" t="n">
        <f aca="false">SUMIFS(Doors!R:R,Doors!$A:$A,$D249,Doors!$B:$B,$B249,Doors!$C:$C,$C249)*SUMIFS(Velocity!$I:$I,Velocity!$A:$A,$A249,Velocity!$B:$B,$C249)/Assumptions!$B$4*Assumptions!$B$6</f>
        <v>0</v>
      </c>
      <c r="G249" s="7" t="n">
        <f aca="false">SUMIFS(Doors!S:S,Doors!$A:$A,$D249,Doors!$B:$B,$B249,Doors!$C:$C,$C249)*SUMIFS(Velocity!$I:$I,Velocity!$A:$A,$A249,Velocity!$B:$B,$C249)/Assumptions!$B$4*Assumptions!$B$6</f>
        <v>0</v>
      </c>
      <c r="H249" s="7" t="n">
        <f aca="false">SUMIFS(Doors!T:T,Doors!$A:$A,$D249,Doors!$B:$B,$B249,Doors!$C:$C,$C249)*SUMIFS(Velocity!$I:$I,Velocity!$A:$A,$A249,Velocity!$B:$B,$C249)/Assumptions!$B$4*Assumptions!$B$6</f>
        <v>0</v>
      </c>
      <c r="I249" s="7" t="n">
        <f aca="false">SUMIFS(Doors!U:U,Doors!$A:$A,$D249,Doors!$B:$B,$B249,Doors!$C:$C,$C249)*SUMIFS(Velocity!$I:$I,Velocity!$A:$A,$A249,Velocity!$B:$B,$C249)/Assumptions!$B$4*Assumptions!$B$6</f>
        <v>0</v>
      </c>
      <c r="J249" s="7" t="n">
        <f aca="false">SUMIFS(Doors!V:V,Doors!$A:$A,$D249,Doors!$B:$B,$B249,Doors!$C:$C,$C249)*SUMIFS(Velocity!$I:$I,Velocity!$A:$A,$A249,Velocity!$B:$B,$C249)/Assumptions!$B$4*Assumptions!$B$6</f>
        <v>0</v>
      </c>
      <c r="K249" s="7" t="n">
        <f aca="false">SUMIFS(Doors!W:W,Doors!$A:$A,$D249,Doors!$B:$B,$B249,Doors!$C:$C,$C249)*SUMIFS(Velocity!$I:$I,Velocity!$A:$A,$A249,Velocity!$B:$B,$C249)/Assumptions!$B$4*Assumptions!$B$6</f>
        <v>0</v>
      </c>
      <c r="L249" s="7" t="n">
        <f aca="false">SUMIFS(Doors!X:X,Doors!$A:$A,$D249,Doors!$B:$B,$B249,Doors!$C:$C,$C249)*SUMIFS(Velocity!$I:$I,Velocity!$A:$A,$A249,Velocity!$B:$B,$C249)/Assumptions!$B$4*Assumptions!$B$6</f>
        <v>0</v>
      </c>
      <c r="M249" s="7" t="n">
        <f aca="false">SUMIFS(Doors!Y:Y,Doors!$A:$A,$D249,Doors!$B:$B,$B249,Doors!$C:$C,$C249)*SUMIFS(Velocity!$I:$I,Velocity!$A:$A,$A249,Velocity!$B:$B,$C249)/Assumptions!$B$4*Assumptions!$B$6</f>
        <v>0</v>
      </c>
      <c r="N249" s="7" t="n">
        <f aca="false">SUMIFS(Doors!Z:Z,Doors!$A:$A,$D249,Doors!$B:$B,$B249,Doors!$C:$C,$C249)*SUMIFS(Velocity!$I:$I,Velocity!$A:$A,$A249,Velocity!$B:$B,$C249)/Assumptions!$B$4*Assumptions!$B$6</f>
        <v>0.366666666666667</v>
      </c>
      <c r="O249" s="7" t="n">
        <f aca="false">SUMIFS(Doors!AA:AA,Doors!$A:$A,$D249,Doors!$B:$B,$B249,Doors!$C:$C,$C249)*SUMIFS(Velocity!$I:$I,Velocity!$A:$A,$A249,Velocity!$B:$B,$C249)/Assumptions!$B$4*Assumptions!$B$6</f>
        <v>0.366666666666667</v>
      </c>
      <c r="P249" s="7" t="n">
        <f aca="false">SUMIFS(Doors!AB:AB,Doors!$A:$A,$D249,Doors!$B:$B,$B249,Doors!$C:$C,$C249)*SUMIFS(Velocity!$I:$I,Velocity!$A:$A,$A249,Velocity!$B:$B,$C249)/Assumptions!$B$4*Assumptions!$B$6</f>
        <v>0.366666666666667</v>
      </c>
      <c r="Q249" s="7" t="n">
        <f aca="false">SUMIFS(Doors!AC:AC,Doors!$A:$A,$D249,Doors!$B:$B,$B249,Doors!$C:$C,$C249)*SUMIFS(Velocity!$I:$I,Velocity!$A:$A,$A249,Velocity!$B:$B,$C249)/Assumptions!$B$4*Assumptions!$B$6</f>
        <v>0.366666666666667</v>
      </c>
      <c r="R249" s="7" t="n">
        <f aca="false">SUMIFS(Doors!AD:AD,Doors!$A:$A,$D249,Doors!$B:$B,$B249,Doors!$C:$C,$C249)*SUMIFS(Velocity!$I:$I,Velocity!$A:$A,$A249,Velocity!$B:$B,$C249)/Assumptions!$B$4*Assumptions!$B$6</f>
        <v>1.1</v>
      </c>
      <c r="S249" s="7" t="n">
        <f aca="false">SUMIFS(Doors!AE:AE,Doors!$A:$A,$D249,Doors!$B:$B,$B249,Doors!$C:$C,$C249)*SUMIFS(Velocity!$I:$I,Velocity!$A:$A,$A249,Velocity!$B:$B,$C249)/Assumptions!$B$4*Assumptions!$B$6</f>
        <v>1.1</v>
      </c>
      <c r="T249" s="7" t="n">
        <f aca="false">SUMIFS(Doors!AF:AF,Doors!$A:$A,$D249,Doors!$B:$B,$B249,Doors!$C:$C,$C249)*SUMIFS(Velocity!$I:$I,Velocity!$A:$A,$A249,Velocity!$B:$B,$C249)/Assumptions!$B$4*Assumptions!$B$6</f>
        <v>1.1</v>
      </c>
      <c r="U249" s="7" t="n">
        <f aca="false">SUMIFS(Doors!AG:AG,Doors!$A:$A,$D249,Doors!$B:$B,$B249,Doors!$C:$C,$C249)*SUMIFS(Velocity!$I:$I,Velocity!$A:$A,$A249,Velocity!$B:$B,$C249)/Assumptions!$B$4*Assumptions!$B$6</f>
        <v>1.1</v>
      </c>
      <c r="V249" s="7" t="n">
        <f aca="false">SUMIFS(Doors!AH:AH,Doors!$A:$A,$D249,Doors!$B:$B,$B249,Doors!$C:$C,$C249)*SUMIFS(Velocity!$I:$I,Velocity!$A:$A,$A249,Velocity!$B:$B,$C249)/Assumptions!$B$4*Assumptions!$B$6</f>
        <v>1.1</v>
      </c>
      <c r="W249" s="7" t="n">
        <f aca="false">SUMIFS(Doors!AI:AI,Doors!$A:$A,$D249,Doors!$B:$B,$B249,Doors!$C:$C,$C249)*SUMIFS(Velocity!$I:$I,Velocity!$A:$A,$A249,Velocity!$B:$B,$C249)/Assumptions!$B$4*Assumptions!$B$6</f>
        <v>1.83333333333333</v>
      </c>
      <c r="X249" s="7" t="n">
        <f aca="false">SUMIFS(Doors!AJ:AJ,Doors!$A:$A,$D249,Doors!$B:$B,$B249,Doors!$C:$C,$C249)*SUMIFS(Velocity!$I:$I,Velocity!$A:$A,$A249,Velocity!$B:$B,$C249)/Assumptions!$B$4*Assumptions!$B$6</f>
        <v>1.83333333333333</v>
      </c>
      <c r="Y249" s="7" t="n">
        <f aca="false">SUMIFS(Doors!AK:AK,Doors!$A:$A,$D249,Doors!$B:$B,$B249,Doors!$C:$C,$C249)*SUMIFS(Velocity!$I:$I,Velocity!$A:$A,$A249,Velocity!$B:$B,$C249)/Assumptions!$B$4*Assumptions!$B$6</f>
        <v>1.83333333333333</v>
      </c>
      <c r="Z249" s="7" t="n">
        <f aca="false">SUMIFS(Doors!AL:AL,Doors!$A:$A,$D249,Doors!$B:$B,$B249,Doors!$C:$C,$C249)*SUMIFS(Velocity!$I:$I,Velocity!$A:$A,$A249,Velocity!$B:$B,$C249)/Assumptions!$B$4*Assumptions!$B$6</f>
        <v>1.83333333333333</v>
      </c>
      <c r="AA249" s="7" t="n">
        <f aca="false">SUMIFS(Doors!AM:AM,Doors!$A:$A,$D249,Doors!$B:$B,$B249,Doors!$C:$C,$C249)*SUMIFS(Velocity!$I:$I,Velocity!$A:$A,$A249,Velocity!$B:$B,$C249)/Assumptions!$B$4*Assumptions!$B$6</f>
        <v>2.56666666666667</v>
      </c>
      <c r="AB249" s="7" t="n">
        <f aca="false">SUMIFS(Doors!AN:AN,Doors!$A:$A,$D249,Doors!$B:$B,$B249,Doors!$C:$C,$C249)*SUMIFS(Velocity!$I:$I,Velocity!$A:$A,$A249,Velocity!$B:$B,$C249)/Assumptions!$B$4*Assumptions!$B$6</f>
        <v>2.56666666666667</v>
      </c>
      <c r="AC249" s="7" t="n">
        <f aca="false">SUMIFS(Doors!AO:AO,Doors!$A:$A,$D249,Doors!$B:$B,$B249,Doors!$C:$C,$C249)*SUMIFS(Velocity!$I:$I,Velocity!$A:$A,$A249,Velocity!$B:$B,$C249)/Assumptions!$B$4*Assumptions!$B$6</f>
        <v>2.56666666666667</v>
      </c>
      <c r="AD249" s="7" t="n">
        <f aca="false">SUMIFS(Doors!AP:AP,Doors!$A:$A,$D249,Doors!$B:$B,$B249,Doors!$C:$C,$C249)*SUMIFS(Velocity!$I:$I,Velocity!$A:$A,$A249,Velocity!$B:$B,$C249)/Assumptions!$B$4*Assumptions!$B$6</f>
        <v>2.56666666666667</v>
      </c>
      <c r="AE249" s="7" t="n">
        <f aca="false">SUMIFS(Doors!AQ:AQ,Doors!$A:$A,$D249,Doors!$B:$B,$B249,Doors!$C:$C,$C249)*SUMIFS(Velocity!$I:$I,Velocity!$A:$A,$A249,Velocity!$B:$B,$C249)/Assumptions!$B$4*Assumptions!$B$6</f>
        <v>3.3</v>
      </c>
      <c r="AF249" s="7" t="n">
        <f aca="false">SUMIFS(Doors!AR:AR,Doors!$A:$A,$D249,Doors!$B:$B,$B249,Doors!$C:$C,$C249)*SUMIFS(Velocity!$I:$I,Velocity!$A:$A,$A249,Velocity!$B:$B,$C249)/Assumptions!$B$4*Assumptions!$B$6</f>
        <v>3.3</v>
      </c>
      <c r="AG249" s="7" t="n">
        <f aca="false">SUMIFS(Doors!AS:AS,Doors!$A:$A,$D249,Doors!$B:$B,$B249,Doors!$C:$C,$C249)*SUMIFS(Velocity!$I:$I,Velocity!$A:$A,$A249,Velocity!$B:$B,$C249)/Assumptions!$B$4*Assumptions!$B$6</f>
        <v>3.3</v>
      </c>
      <c r="AH249" s="7" t="n">
        <f aca="false">SUMIFS(Doors!AT:AT,Doors!$A:$A,$D249,Doors!$B:$B,$B249,Doors!$C:$C,$C249)*SUMIFS(Velocity!$I:$I,Velocity!$A:$A,$A249,Velocity!$B:$B,$C249)/Assumptions!$B$4*Assumptions!$B$6</f>
        <v>3.3</v>
      </c>
      <c r="AI249" s="7" t="n">
        <f aca="false">SUMIFS(Doors!AU:AU,Doors!$A:$A,$D249,Doors!$B:$B,$B249,Doors!$C:$C,$C249)*SUMIFS(Velocity!$I:$I,Velocity!$A:$A,$A249,Velocity!$B:$B,$C249)/Assumptions!$B$4*Assumptions!$B$6</f>
        <v>3.3</v>
      </c>
      <c r="AJ249" s="7" t="n">
        <f aca="false">SUMIFS(Doors!AV:AV,Doors!$A:$A,$D249,Doors!$B:$B,$B249,Doors!$C:$C,$C249)*SUMIFS(Velocity!$I:$I,Velocity!$A:$A,$A249,Velocity!$B:$B,$C249)/Assumptions!$B$4*Assumptions!$B$6</f>
        <v>4.03333333333333</v>
      </c>
      <c r="AK249" s="7" t="n">
        <f aca="false">SUMIFS(Doors!AW:AW,Doors!$A:$A,$D249,Doors!$B:$B,$B249,Doors!$C:$C,$C249)*SUMIFS(Velocity!$I:$I,Velocity!$A:$A,$A249,Velocity!$B:$B,$C249)/Assumptions!$B$4*Assumptions!$B$6</f>
        <v>4.03333333333333</v>
      </c>
      <c r="AL249" s="7" t="n">
        <f aca="false">SUMIFS(Doors!AX:AX,Doors!$A:$A,$D249,Doors!$B:$B,$B249,Doors!$C:$C,$C249)*SUMIFS(Velocity!$I:$I,Velocity!$A:$A,$A249,Velocity!$B:$B,$C249)/Assumptions!$B$4*Assumptions!$B$6</f>
        <v>4.03333333333333</v>
      </c>
      <c r="AM249" s="7" t="n">
        <f aca="false">SUMIFS(Doors!AY:AY,Doors!$A:$A,$D249,Doors!$B:$B,$B249,Doors!$C:$C,$C249)*SUMIFS(Velocity!$I:$I,Velocity!$A:$A,$A249,Velocity!$B:$B,$C249)/Assumptions!$B$4*Assumptions!$B$6</f>
        <v>4.03333333333333</v>
      </c>
      <c r="AN249" s="7" t="n">
        <f aca="false">SUMIFS(Doors!AZ:AZ,Doors!$A:$A,$D249,Doors!$B:$B,$B249,Doors!$C:$C,$C249)*SUMIFS(Velocity!$I:$I,Velocity!$A:$A,$A249,Velocity!$B:$B,$C249)/Assumptions!$B$4*Assumptions!$B$6</f>
        <v>4.76666666666667</v>
      </c>
      <c r="AO249" s="7" t="n">
        <f aca="false">SUMIFS(Doors!BA:BA,Doors!$A:$A,$D249,Doors!$B:$B,$B249,Doors!$C:$C,$C249)*SUMIFS(Velocity!$I:$I,Velocity!$A:$A,$A249,Velocity!$B:$B,$C249)/Assumptions!$B$4*Assumptions!$B$6</f>
        <v>4.76666666666667</v>
      </c>
      <c r="AP249" s="7" t="n">
        <f aca="false">SUMIFS(Doors!BB:BB,Doors!$A:$A,$D249,Doors!$B:$B,$B249,Doors!$C:$C,$C249)*SUMIFS(Velocity!$I:$I,Velocity!$A:$A,$A249,Velocity!$B:$B,$C249)/Assumptions!$B$4*Assumptions!$B$6</f>
        <v>4.76666666666667</v>
      </c>
      <c r="AQ249" s="7" t="n">
        <f aca="false">SUMIFS(Doors!BC:BC,Doors!$A:$A,$D249,Doors!$B:$B,$B249,Doors!$C:$C,$C249)*SUMIFS(Velocity!$I:$I,Velocity!$A:$A,$A249,Velocity!$B:$B,$C249)/Assumptions!$B$4*Assumptions!$B$6</f>
        <v>4.76666666666667</v>
      </c>
      <c r="AR249" s="7" t="n">
        <f aca="false">SUMIFS(Doors!BD:BD,Doors!$A:$A,$D249,Doors!$B:$B,$B249,Doors!$C:$C,$C249)*SUMIFS(Velocity!$I:$I,Velocity!$A:$A,$A249,Velocity!$B:$B,$C249)/Assumptions!$B$4*Assumptions!$B$6</f>
        <v>5.13333333333333</v>
      </c>
      <c r="AS249" s="7" t="n">
        <f aca="false">SUMIFS(Doors!BE:BE,Doors!$A:$A,$D249,Doors!$B:$B,$B249,Doors!$C:$C,$C249)*SUMIFS(Velocity!$I:$I,Velocity!$A:$A,$A249,Velocity!$B:$B,$C249)/Assumptions!$B$4*Assumptions!$B$6</f>
        <v>5.13333333333333</v>
      </c>
      <c r="AT249" s="7" t="n">
        <f aca="false">SUMIFS(Doors!BF:BF,Doors!$A:$A,$D249,Doors!$B:$B,$B249,Doors!$C:$C,$C249)*SUMIFS(Velocity!$I:$I,Velocity!$A:$A,$A249,Velocity!$B:$B,$C249)/Assumptions!$B$4*Assumptions!$B$6</f>
        <v>5.13333333333333</v>
      </c>
      <c r="AU249" s="7" t="n">
        <f aca="false">SUMIFS(Doors!BG:BG,Doors!$A:$A,$D249,Doors!$B:$B,$B249,Doors!$C:$C,$C249)*SUMIFS(Velocity!$I:$I,Velocity!$A:$A,$A249,Velocity!$B:$B,$C249)/Assumptions!$B$4*Assumptions!$B$6</f>
        <v>5.13333333333333</v>
      </c>
      <c r="AV249" s="7" t="n">
        <f aca="false">SUMIFS(Doors!BH:BH,Doors!$A:$A,$D249,Doors!$B:$B,$B249,Doors!$C:$C,$C249)*SUMIFS(Velocity!$I:$I,Velocity!$A:$A,$A249,Velocity!$B:$B,$C249)/Assumptions!$B$4*Assumptions!$B$6</f>
        <v>5.13333333333333</v>
      </c>
      <c r="AW249" s="7" t="n">
        <f aca="false">SUMIFS(Doors!BI:BI,Doors!$A:$A,$D249,Doors!$B:$B,$B249,Doors!$C:$C,$C249)*SUMIFS(Velocity!$I:$I,Velocity!$A:$A,$A249,Velocity!$B:$B,$C249)/Assumptions!$B$4*Assumptions!$B$6</f>
        <v>5.5</v>
      </c>
      <c r="AX249" s="7" t="n">
        <f aca="false">SUMIFS(Doors!BJ:BJ,Doors!$A:$A,$D249,Doors!$B:$B,$B249,Doors!$C:$C,$C249)*SUMIFS(Velocity!$I:$I,Velocity!$A:$A,$A249,Velocity!$B:$B,$C249)/Assumptions!$B$4*Assumptions!$B$6</f>
        <v>5.5</v>
      </c>
      <c r="AY249" s="7" t="n">
        <f aca="false">SUMIFS(Doors!BK:BK,Doors!$A:$A,$D249,Doors!$B:$B,$B249,Doors!$C:$C,$C249)*SUMIFS(Velocity!$I:$I,Velocity!$A:$A,$A249,Velocity!$B:$B,$C249)/Assumptions!$B$4*Assumptions!$B$6</f>
        <v>5.5</v>
      </c>
      <c r="AZ249" s="7" t="n">
        <f aca="false">SUMIFS(Doors!BL:BL,Doors!$A:$A,$D249,Doors!$B:$B,$B249,Doors!$C:$C,$C249)*SUMIFS(Velocity!$I:$I,Velocity!$A:$A,$A249,Velocity!$B:$B,$C249)/Assumptions!$B$4*Assumptions!$B$6</f>
        <v>5.5</v>
      </c>
      <c r="BA249" s="7" t="n">
        <f aca="false">SUMIFS(Doors!BM:BM,Doors!$A:$A,$D249,Doors!$B:$B,$B249,Doors!$C:$C,$C249)*SUMIFS(Velocity!$I:$I,Velocity!$A:$A,$A249,Velocity!$B:$B,$C249)/Assumptions!$B$4*Assumptions!$B$6</f>
        <v>5.86666666666667</v>
      </c>
      <c r="BB249" s="7" t="n">
        <f aca="false">SUMIFS(Doors!BN:BN,Doors!$A:$A,$D249,Doors!$B:$B,$B249,Doors!$C:$C,$C249)*SUMIFS(Velocity!$I:$I,Velocity!$A:$A,$A249,Velocity!$B:$B,$C249)/Assumptions!$B$4*Assumptions!$B$6</f>
        <v>5.86666666666667</v>
      </c>
      <c r="BC249" s="7" t="n">
        <f aca="false">SUMIFS(Doors!BO:BO,Doors!$A:$A,$D249,Doors!$B:$B,$B249,Doors!$C:$C,$C249)*SUMIFS(Velocity!$I:$I,Velocity!$A:$A,$A249,Velocity!$B:$B,$C249)/Assumptions!$B$4*Assumptions!$B$6</f>
        <v>5.86666666666667</v>
      </c>
      <c r="BD249" s="7" t="n">
        <f aca="false">SUMIFS(Doors!BP:BP,Doors!$A:$A,$D249,Doors!$B:$B,$B249,Doors!$C:$C,$C249)*SUMIFS(Velocity!$I:$I,Velocity!$A:$A,$A249,Velocity!$B:$B,$C249)/Assumptions!$B$4*Assumptions!$B$6</f>
        <v>5.86666666666667</v>
      </c>
    </row>
    <row r="250" customFormat="false" ht="15" hidden="false" customHeight="false" outlineLevel="0" collapsed="false">
      <c r="A250" s="0" t="s">
        <v>110</v>
      </c>
      <c r="B250" s="0" t="s">
        <v>133</v>
      </c>
      <c r="C250" s="0" t="s">
        <v>116</v>
      </c>
      <c r="D250" s="0" t="s">
        <v>235</v>
      </c>
      <c r="E250" s="7" t="n">
        <f aca="false">SUMIFS(Doors!Q:Q,Doors!$A:$A,$D250,Doors!$B:$B,$B250,Doors!$C:$C,$C250)*SUMIFS(Velocity!$I:$I,Velocity!$A:$A,$A250,Velocity!$B:$B,$C250)/Assumptions!$B$4*Assumptions!$B$6</f>
        <v>0</v>
      </c>
      <c r="F250" s="7" t="n">
        <f aca="false">SUMIFS(Doors!R:R,Doors!$A:$A,$D250,Doors!$B:$B,$B250,Doors!$C:$C,$C250)*SUMIFS(Velocity!$I:$I,Velocity!$A:$A,$A250,Velocity!$B:$B,$C250)/Assumptions!$B$4*Assumptions!$B$6</f>
        <v>0</v>
      </c>
      <c r="G250" s="7" t="n">
        <f aca="false">SUMIFS(Doors!S:S,Doors!$A:$A,$D250,Doors!$B:$B,$B250,Doors!$C:$C,$C250)*SUMIFS(Velocity!$I:$I,Velocity!$A:$A,$A250,Velocity!$B:$B,$C250)/Assumptions!$B$4*Assumptions!$B$6</f>
        <v>0</v>
      </c>
      <c r="H250" s="7" t="n">
        <f aca="false">SUMIFS(Doors!T:T,Doors!$A:$A,$D250,Doors!$B:$B,$B250,Doors!$C:$C,$C250)*SUMIFS(Velocity!$I:$I,Velocity!$A:$A,$A250,Velocity!$B:$B,$C250)/Assumptions!$B$4*Assumptions!$B$6</f>
        <v>0</v>
      </c>
      <c r="I250" s="7" t="n">
        <f aca="false">SUMIFS(Doors!U:U,Doors!$A:$A,$D250,Doors!$B:$B,$B250,Doors!$C:$C,$C250)*SUMIFS(Velocity!$I:$I,Velocity!$A:$A,$A250,Velocity!$B:$B,$C250)/Assumptions!$B$4*Assumptions!$B$6</f>
        <v>0</v>
      </c>
      <c r="J250" s="7" t="n">
        <f aca="false">SUMIFS(Doors!V:V,Doors!$A:$A,$D250,Doors!$B:$B,$B250,Doors!$C:$C,$C250)*SUMIFS(Velocity!$I:$I,Velocity!$A:$A,$A250,Velocity!$B:$B,$C250)/Assumptions!$B$4*Assumptions!$B$6</f>
        <v>0</v>
      </c>
      <c r="K250" s="7" t="n">
        <f aca="false">SUMIFS(Doors!W:W,Doors!$A:$A,$D250,Doors!$B:$B,$B250,Doors!$C:$C,$C250)*SUMIFS(Velocity!$I:$I,Velocity!$A:$A,$A250,Velocity!$B:$B,$C250)/Assumptions!$B$4*Assumptions!$B$6</f>
        <v>0</v>
      </c>
      <c r="L250" s="7" t="n">
        <f aca="false">SUMIFS(Doors!X:X,Doors!$A:$A,$D250,Doors!$B:$B,$B250,Doors!$C:$C,$C250)*SUMIFS(Velocity!$I:$I,Velocity!$A:$A,$A250,Velocity!$B:$B,$C250)/Assumptions!$B$4*Assumptions!$B$6</f>
        <v>0</v>
      </c>
      <c r="M250" s="7" t="n">
        <f aca="false">SUMIFS(Doors!Y:Y,Doors!$A:$A,$D250,Doors!$B:$B,$B250,Doors!$C:$C,$C250)*SUMIFS(Velocity!$I:$I,Velocity!$A:$A,$A250,Velocity!$B:$B,$C250)/Assumptions!$B$4*Assumptions!$B$6</f>
        <v>0</v>
      </c>
      <c r="N250" s="7" t="n">
        <f aca="false">SUMIFS(Doors!Z:Z,Doors!$A:$A,$D250,Doors!$B:$B,$B250,Doors!$C:$C,$C250)*SUMIFS(Velocity!$I:$I,Velocity!$A:$A,$A250,Velocity!$B:$B,$C250)/Assumptions!$B$4*Assumptions!$B$6</f>
        <v>0</v>
      </c>
      <c r="O250" s="7" t="n">
        <f aca="false">SUMIFS(Doors!AA:AA,Doors!$A:$A,$D250,Doors!$B:$B,$B250,Doors!$C:$C,$C250)*SUMIFS(Velocity!$I:$I,Velocity!$A:$A,$A250,Velocity!$B:$B,$C250)/Assumptions!$B$4*Assumptions!$B$6</f>
        <v>0</v>
      </c>
      <c r="P250" s="7" t="n">
        <f aca="false">SUMIFS(Doors!AB:AB,Doors!$A:$A,$D250,Doors!$B:$B,$B250,Doors!$C:$C,$C250)*SUMIFS(Velocity!$I:$I,Velocity!$A:$A,$A250,Velocity!$B:$B,$C250)/Assumptions!$B$4*Assumptions!$B$6</f>
        <v>0</v>
      </c>
      <c r="Q250" s="7" t="n">
        <f aca="false">SUMIFS(Doors!AC:AC,Doors!$A:$A,$D250,Doors!$B:$B,$B250,Doors!$C:$C,$C250)*SUMIFS(Velocity!$I:$I,Velocity!$A:$A,$A250,Velocity!$B:$B,$C250)/Assumptions!$B$4*Assumptions!$B$6</f>
        <v>0</v>
      </c>
      <c r="R250" s="7" t="n">
        <f aca="false">SUMIFS(Doors!AD:AD,Doors!$A:$A,$D250,Doors!$B:$B,$B250,Doors!$C:$C,$C250)*SUMIFS(Velocity!$I:$I,Velocity!$A:$A,$A250,Velocity!$B:$B,$C250)/Assumptions!$B$4*Assumptions!$B$6</f>
        <v>0.316666666666667</v>
      </c>
      <c r="S250" s="7" t="n">
        <f aca="false">SUMIFS(Doors!AE:AE,Doors!$A:$A,$D250,Doors!$B:$B,$B250,Doors!$C:$C,$C250)*SUMIFS(Velocity!$I:$I,Velocity!$A:$A,$A250,Velocity!$B:$B,$C250)/Assumptions!$B$4*Assumptions!$B$6</f>
        <v>0.316666666666667</v>
      </c>
      <c r="T250" s="7" t="n">
        <f aca="false">SUMIFS(Doors!AF:AF,Doors!$A:$A,$D250,Doors!$B:$B,$B250,Doors!$C:$C,$C250)*SUMIFS(Velocity!$I:$I,Velocity!$A:$A,$A250,Velocity!$B:$B,$C250)/Assumptions!$B$4*Assumptions!$B$6</f>
        <v>0.316666666666667</v>
      </c>
      <c r="U250" s="7" t="n">
        <f aca="false">SUMIFS(Doors!AG:AG,Doors!$A:$A,$D250,Doors!$B:$B,$B250,Doors!$C:$C,$C250)*SUMIFS(Velocity!$I:$I,Velocity!$A:$A,$A250,Velocity!$B:$B,$C250)/Assumptions!$B$4*Assumptions!$B$6</f>
        <v>0.316666666666667</v>
      </c>
      <c r="V250" s="7" t="n">
        <f aca="false">SUMIFS(Doors!AH:AH,Doors!$A:$A,$D250,Doors!$B:$B,$B250,Doors!$C:$C,$C250)*SUMIFS(Velocity!$I:$I,Velocity!$A:$A,$A250,Velocity!$B:$B,$C250)/Assumptions!$B$4*Assumptions!$B$6</f>
        <v>0.316666666666667</v>
      </c>
      <c r="W250" s="7" t="n">
        <f aca="false">SUMIFS(Doors!AI:AI,Doors!$A:$A,$D250,Doors!$B:$B,$B250,Doors!$C:$C,$C250)*SUMIFS(Velocity!$I:$I,Velocity!$A:$A,$A250,Velocity!$B:$B,$C250)/Assumptions!$B$4*Assumptions!$B$6</f>
        <v>0.633333333333333</v>
      </c>
      <c r="X250" s="7" t="n">
        <f aca="false">SUMIFS(Doors!AJ:AJ,Doors!$A:$A,$D250,Doors!$B:$B,$B250,Doors!$C:$C,$C250)*SUMIFS(Velocity!$I:$I,Velocity!$A:$A,$A250,Velocity!$B:$B,$C250)/Assumptions!$B$4*Assumptions!$B$6</f>
        <v>0.633333333333333</v>
      </c>
      <c r="Y250" s="7" t="n">
        <f aca="false">SUMIFS(Doors!AK:AK,Doors!$A:$A,$D250,Doors!$B:$B,$B250,Doors!$C:$C,$C250)*SUMIFS(Velocity!$I:$I,Velocity!$A:$A,$A250,Velocity!$B:$B,$C250)/Assumptions!$B$4*Assumptions!$B$6</f>
        <v>0.633333333333333</v>
      </c>
      <c r="Z250" s="7" t="n">
        <f aca="false">SUMIFS(Doors!AL:AL,Doors!$A:$A,$D250,Doors!$B:$B,$B250,Doors!$C:$C,$C250)*SUMIFS(Velocity!$I:$I,Velocity!$A:$A,$A250,Velocity!$B:$B,$C250)/Assumptions!$B$4*Assumptions!$B$6</f>
        <v>0.633333333333333</v>
      </c>
      <c r="AA250" s="7" t="n">
        <f aca="false">SUMIFS(Doors!AM:AM,Doors!$A:$A,$D250,Doors!$B:$B,$B250,Doors!$C:$C,$C250)*SUMIFS(Velocity!$I:$I,Velocity!$A:$A,$A250,Velocity!$B:$B,$C250)/Assumptions!$B$4*Assumptions!$B$6</f>
        <v>1.26666666666667</v>
      </c>
      <c r="AB250" s="7" t="n">
        <f aca="false">SUMIFS(Doors!AN:AN,Doors!$A:$A,$D250,Doors!$B:$B,$B250,Doors!$C:$C,$C250)*SUMIFS(Velocity!$I:$I,Velocity!$A:$A,$A250,Velocity!$B:$B,$C250)/Assumptions!$B$4*Assumptions!$B$6</f>
        <v>1.26666666666667</v>
      </c>
      <c r="AC250" s="7" t="n">
        <f aca="false">SUMIFS(Doors!AO:AO,Doors!$A:$A,$D250,Doors!$B:$B,$B250,Doors!$C:$C,$C250)*SUMIFS(Velocity!$I:$I,Velocity!$A:$A,$A250,Velocity!$B:$B,$C250)/Assumptions!$B$4*Assumptions!$B$6</f>
        <v>1.26666666666667</v>
      </c>
      <c r="AD250" s="7" t="n">
        <f aca="false">SUMIFS(Doors!AP:AP,Doors!$A:$A,$D250,Doors!$B:$B,$B250,Doors!$C:$C,$C250)*SUMIFS(Velocity!$I:$I,Velocity!$A:$A,$A250,Velocity!$B:$B,$C250)/Assumptions!$B$4*Assumptions!$B$6</f>
        <v>1.26666666666667</v>
      </c>
      <c r="AE250" s="7" t="n">
        <f aca="false">SUMIFS(Doors!AQ:AQ,Doors!$A:$A,$D250,Doors!$B:$B,$B250,Doors!$C:$C,$C250)*SUMIFS(Velocity!$I:$I,Velocity!$A:$A,$A250,Velocity!$B:$B,$C250)/Assumptions!$B$4*Assumptions!$B$6</f>
        <v>1.58333333333333</v>
      </c>
      <c r="AF250" s="7" t="n">
        <f aca="false">SUMIFS(Doors!AR:AR,Doors!$A:$A,$D250,Doors!$B:$B,$B250,Doors!$C:$C,$C250)*SUMIFS(Velocity!$I:$I,Velocity!$A:$A,$A250,Velocity!$B:$B,$C250)/Assumptions!$B$4*Assumptions!$B$6</f>
        <v>1.58333333333333</v>
      </c>
      <c r="AG250" s="7" t="n">
        <f aca="false">SUMIFS(Doors!AS:AS,Doors!$A:$A,$D250,Doors!$B:$B,$B250,Doors!$C:$C,$C250)*SUMIFS(Velocity!$I:$I,Velocity!$A:$A,$A250,Velocity!$B:$B,$C250)/Assumptions!$B$4*Assumptions!$B$6</f>
        <v>1.58333333333333</v>
      </c>
      <c r="AH250" s="7" t="n">
        <f aca="false">SUMIFS(Doors!AT:AT,Doors!$A:$A,$D250,Doors!$B:$B,$B250,Doors!$C:$C,$C250)*SUMIFS(Velocity!$I:$I,Velocity!$A:$A,$A250,Velocity!$B:$B,$C250)/Assumptions!$B$4*Assumptions!$B$6</f>
        <v>1.58333333333333</v>
      </c>
      <c r="AI250" s="7" t="n">
        <f aca="false">SUMIFS(Doors!AU:AU,Doors!$A:$A,$D250,Doors!$B:$B,$B250,Doors!$C:$C,$C250)*SUMIFS(Velocity!$I:$I,Velocity!$A:$A,$A250,Velocity!$B:$B,$C250)/Assumptions!$B$4*Assumptions!$B$6</f>
        <v>1.58333333333333</v>
      </c>
      <c r="AJ250" s="7" t="n">
        <f aca="false">SUMIFS(Doors!AV:AV,Doors!$A:$A,$D250,Doors!$B:$B,$B250,Doors!$C:$C,$C250)*SUMIFS(Velocity!$I:$I,Velocity!$A:$A,$A250,Velocity!$B:$B,$C250)/Assumptions!$B$4*Assumptions!$B$6</f>
        <v>1.9</v>
      </c>
      <c r="AK250" s="7" t="n">
        <f aca="false">SUMIFS(Doors!AW:AW,Doors!$A:$A,$D250,Doors!$B:$B,$B250,Doors!$C:$C,$C250)*SUMIFS(Velocity!$I:$I,Velocity!$A:$A,$A250,Velocity!$B:$B,$C250)/Assumptions!$B$4*Assumptions!$B$6</f>
        <v>1.9</v>
      </c>
      <c r="AL250" s="7" t="n">
        <f aca="false">SUMIFS(Doors!AX:AX,Doors!$A:$A,$D250,Doors!$B:$B,$B250,Doors!$C:$C,$C250)*SUMIFS(Velocity!$I:$I,Velocity!$A:$A,$A250,Velocity!$B:$B,$C250)/Assumptions!$B$4*Assumptions!$B$6</f>
        <v>1.9</v>
      </c>
      <c r="AM250" s="7" t="n">
        <f aca="false">SUMIFS(Doors!AY:AY,Doors!$A:$A,$D250,Doors!$B:$B,$B250,Doors!$C:$C,$C250)*SUMIFS(Velocity!$I:$I,Velocity!$A:$A,$A250,Velocity!$B:$B,$C250)/Assumptions!$B$4*Assumptions!$B$6</f>
        <v>1.9</v>
      </c>
      <c r="AN250" s="7" t="n">
        <f aca="false">SUMIFS(Doors!AZ:AZ,Doors!$A:$A,$D250,Doors!$B:$B,$B250,Doors!$C:$C,$C250)*SUMIFS(Velocity!$I:$I,Velocity!$A:$A,$A250,Velocity!$B:$B,$C250)/Assumptions!$B$4*Assumptions!$B$6</f>
        <v>2.21666666666667</v>
      </c>
      <c r="AO250" s="7" t="n">
        <f aca="false">SUMIFS(Doors!BA:BA,Doors!$A:$A,$D250,Doors!$B:$B,$B250,Doors!$C:$C,$C250)*SUMIFS(Velocity!$I:$I,Velocity!$A:$A,$A250,Velocity!$B:$B,$C250)/Assumptions!$B$4*Assumptions!$B$6</f>
        <v>2.21666666666667</v>
      </c>
      <c r="AP250" s="7" t="n">
        <f aca="false">SUMIFS(Doors!BB:BB,Doors!$A:$A,$D250,Doors!$B:$B,$B250,Doors!$C:$C,$C250)*SUMIFS(Velocity!$I:$I,Velocity!$A:$A,$A250,Velocity!$B:$B,$C250)/Assumptions!$B$4*Assumptions!$B$6</f>
        <v>2.21666666666667</v>
      </c>
      <c r="AQ250" s="7" t="n">
        <f aca="false">SUMIFS(Doors!BC:BC,Doors!$A:$A,$D250,Doors!$B:$B,$B250,Doors!$C:$C,$C250)*SUMIFS(Velocity!$I:$I,Velocity!$A:$A,$A250,Velocity!$B:$B,$C250)/Assumptions!$B$4*Assumptions!$B$6</f>
        <v>2.21666666666667</v>
      </c>
      <c r="AR250" s="7" t="n">
        <f aca="false">SUMIFS(Doors!BD:BD,Doors!$A:$A,$D250,Doors!$B:$B,$B250,Doors!$C:$C,$C250)*SUMIFS(Velocity!$I:$I,Velocity!$A:$A,$A250,Velocity!$B:$B,$C250)/Assumptions!$B$4*Assumptions!$B$6</f>
        <v>2.53333333333333</v>
      </c>
      <c r="AS250" s="7" t="n">
        <f aca="false">SUMIFS(Doors!BE:BE,Doors!$A:$A,$D250,Doors!$B:$B,$B250,Doors!$C:$C,$C250)*SUMIFS(Velocity!$I:$I,Velocity!$A:$A,$A250,Velocity!$B:$B,$C250)/Assumptions!$B$4*Assumptions!$B$6</f>
        <v>2.53333333333333</v>
      </c>
      <c r="AT250" s="7" t="n">
        <f aca="false">SUMIFS(Doors!BF:BF,Doors!$A:$A,$D250,Doors!$B:$B,$B250,Doors!$C:$C,$C250)*SUMIFS(Velocity!$I:$I,Velocity!$A:$A,$A250,Velocity!$B:$B,$C250)/Assumptions!$B$4*Assumptions!$B$6</f>
        <v>2.53333333333333</v>
      </c>
      <c r="AU250" s="7" t="n">
        <f aca="false">SUMIFS(Doors!BG:BG,Doors!$A:$A,$D250,Doors!$B:$B,$B250,Doors!$C:$C,$C250)*SUMIFS(Velocity!$I:$I,Velocity!$A:$A,$A250,Velocity!$B:$B,$C250)/Assumptions!$B$4*Assumptions!$B$6</f>
        <v>2.53333333333333</v>
      </c>
      <c r="AV250" s="7" t="n">
        <f aca="false">SUMIFS(Doors!BH:BH,Doors!$A:$A,$D250,Doors!$B:$B,$B250,Doors!$C:$C,$C250)*SUMIFS(Velocity!$I:$I,Velocity!$A:$A,$A250,Velocity!$B:$B,$C250)/Assumptions!$B$4*Assumptions!$B$6</f>
        <v>2.53333333333333</v>
      </c>
      <c r="AW250" s="7" t="n">
        <f aca="false">SUMIFS(Doors!BI:BI,Doors!$A:$A,$D250,Doors!$B:$B,$B250,Doors!$C:$C,$C250)*SUMIFS(Velocity!$I:$I,Velocity!$A:$A,$A250,Velocity!$B:$B,$C250)/Assumptions!$B$4*Assumptions!$B$6</f>
        <v>2.85</v>
      </c>
      <c r="AX250" s="7" t="n">
        <f aca="false">SUMIFS(Doors!BJ:BJ,Doors!$A:$A,$D250,Doors!$B:$B,$B250,Doors!$C:$C,$C250)*SUMIFS(Velocity!$I:$I,Velocity!$A:$A,$A250,Velocity!$B:$B,$C250)/Assumptions!$B$4*Assumptions!$B$6</f>
        <v>2.85</v>
      </c>
      <c r="AY250" s="7" t="n">
        <f aca="false">SUMIFS(Doors!BK:BK,Doors!$A:$A,$D250,Doors!$B:$B,$B250,Doors!$C:$C,$C250)*SUMIFS(Velocity!$I:$I,Velocity!$A:$A,$A250,Velocity!$B:$B,$C250)/Assumptions!$B$4*Assumptions!$B$6</f>
        <v>2.85</v>
      </c>
      <c r="AZ250" s="7" t="n">
        <f aca="false">SUMIFS(Doors!BL:BL,Doors!$A:$A,$D250,Doors!$B:$B,$B250,Doors!$C:$C,$C250)*SUMIFS(Velocity!$I:$I,Velocity!$A:$A,$A250,Velocity!$B:$B,$C250)/Assumptions!$B$4*Assumptions!$B$6</f>
        <v>2.85</v>
      </c>
      <c r="BA250" s="7" t="n">
        <f aca="false">SUMIFS(Doors!BM:BM,Doors!$A:$A,$D250,Doors!$B:$B,$B250,Doors!$C:$C,$C250)*SUMIFS(Velocity!$I:$I,Velocity!$A:$A,$A250,Velocity!$B:$B,$C250)/Assumptions!$B$4*Assumptions!$B$6</f>
        <v>3.16666666666667</v>
      </c>
      <c r="BB250" s="7" t="n">
        <f aca="false">SUMIFS(Doors!BN:BN,Doors!$A:$A,$D250,Doors!$B:$B,$B250,Doors!$C:$C,$C250)*SUMIFS(Velocity!$I:$I,Velocity!$A:$A,$A250,Velocity!$B:$B,$C250)/Assumptions!$B$4*Assumptions!$B$6</f>
        <v>3.16666666666667</v>
      </c>
      <c r="BC250" s="7" t="n">
        <f aca="false">SUMIFS(Doors!BO:BO,Doors!$A:$A,$D250,Doors!$B:$B,$B250,Doors!$C:$C,$C250)*SUMIFS(Velocity!$I:$I,Velocity!$A:$A,$A250,Velocity!$B:$B,$C250)/Assumptions!$B$4*Assumptions!$B$6</f>
        <v>3.16666666666667</v>
      </c>
      <c r="BD250" s="7" t="n">
        <f aca="false">SUMIFS(Doors!BP:BP,Doors!$A:$A,$D250,Doors!$B:$B,$B250,Doors!$C:$C,$C250)*SUMIFS(Velocity!$I:$I,Velocity!$A:$A,$A250,Velocity!$B:$B,$C250)/Assumptions!$B$4*Assumptions!$B$6</f>
        <v>3.16666666666667</v>
      </c>
    </row>
    <row r="251" customFormat="false" ht="15" hidden="false" customHeight="false" outlineLevel="0" collapsed="false">
      <c r="A251" s="0" t="s">
        <v>110</v>
      </c>
      <c r="B251" s="0" t="s">
        <v>133</v>
      </c>
      <c r="C251" s="0" t="s">
        <v>117</v>
      </c>
      <c r="D251" s="0" t="s">
        <v>235</v>
      </c>
      <c r="E251" s="7" t="n">
        <f aca="false">SUMIFS(Doors!Q:Q,Doors!$A:$A,$D251,Doors!$B:$B,$B251,Doors!$C:$C,$C251)*SUMIFS(Velocity!$I:$I,Velocity!$A:$A,$A251,Velocity!$B:$B,$C251)/Assumptions!$B$4*Assumptions!$B$6</f>
        <v>0</v>
      </c>
      <c r="F251" s="7" t="n">
        <f aca="false">SUMIFS(Doors!R:R,Doors!$A:$A,$D251,Doors!$B:$B,$B251,Doors!$C:$C,$C251)*SUMIFS(Velocity!$I:$I,Velocity!$A:$A,$A251,Velocity!$B:$B,$C251)/Assumptions!$B$4*Assumptions!$B$6</f>
        <v>0</v>
      </c>
      <c r="G251" s="7" t="n">
        <f aca="false">SUMIFS(Doors!S:S,Doors!$A:$A,$D251,Doors!$B:$B,$B251,Doors!$C:$C,$C251)*SUMIFS(Velocity!$I:$I,Velocity!$A:$A,$A251,Velocity!$B:$B,$C251)/Assumptions!$B$4*Assumptions!$B$6</f>
        <v>0</v>
      </c>
      <c r="H251" s="7" t="n">
        <f aca="false">SUMIFS(Doors!T:T,Doors!$A:$A,$D251,Doors!$B:$B,$B251,Doors!$C:$C,$C251)*SUMIFS(Velocity!$I:$I,Velocity!$A:$A,$A251,Velocity!$B:$B,$C251)/Assumptions!$B$4*Assumptions!$B$6</f>
        <v>0</v>
      </c>
      <c r="I251" s="7" t="n">
        <f aca="false">SUMIFS(Doors!U:U,Doors!$A:$A,$D251,Doors!$B:$B,$B251,Doors!$C:$C,$C251)*SUMIFS(Velocity!$I:$I,Velocity!$A:$A,$A251,Velocity!$B:$B,$C251)/Assumptions!$B$4*Assumptions!$B$6</f>
        <v>0</v>
      </c>
      <c r="J251" s="7" t="n">
        <f aca="false">SUMIFS(Doors!V:V,Doors!$A:$A,$D251,Doors!$B:$B,$B251,Doors!$C:$C,$C251)*SUMIFS(Velocity!$I:$I,Velocity!$A:$A,$A251,Velocity!$B:$B,$C251)/Assumptions!$B$4*Assumptions!$B$6</f>
        <v>0</v>
      </c>
      <c r="K251" s="7" t="n">
        <f aca="false">SUMIFS(Doors!W:W,Doors!$A:$A,$D251,Doors!$B:$B,$B251,Doors!$C:$C,$C251)*SUMIFS(Velocity!$I:$I,Velocity!$A:$A,$A251,Velocity!$B:$B,$C251)/Assumptions!$B$4*Assumptions!$B$6</f>
        <v>0</v>
      </c>
      <c r="L251" s="7" t="n">
        <f aca="false">SUMIFS(Doors!X:X,Doors!$A:$A,$D251,Doors!$B:$B,$B251,Doors!$C:$C,$C251)*SUMIFS(Velocity!$I:$I,Velocity!$A:$A,$A251,Velocity!$B:$B,$C251)/Assumptions!$B$4*Assumptions!$B$6</f>
        <v>0</v>
      </c>
      <c r="M251" s="7" t="n">
        <f aca="false">SUMIFS(Doors!Y:Y,Doors!$A:$A,$D251,Doors!$B:$B,$B251,Doors!$C:$C,$C251)*SUMIFS(Velocity!$I:$I,Velocity!$A:$A,$A251,Velocity!$B:$B,$C251)/Assumptions!$B$4*Assumptions!$B$6</f>
        <v>0</v>
      </c>
      <c r="N251" s="7" t="n">
        <f aca="false">SUMIFS(Doors!Z:Z,Doors!$A:$A,$D251,Doors!$B:$B,$B251,Doors!$C:$C,$C251)*SUMIFS(Velocity!$I:$I,Velocity!$A:$A,$A251,Velocity!$B:$B,$C251)/Assumptions!$B$4*Assumptions!$B$6</f>
        <v>0</v>
      </c>
      <c r="O251" s="7" t="n">
        <f aca="false">SUMIFS(Doors!AA:AA,Doors!$A:$A,$D251,Doors!$B:$B,$B251,Doors!$C:$C,$C251)*SUMIFS(Velocity!$I:$I,Velocity!$A:$A,$A251,Velocity!$B:$B,$C251)/Assumptions!$B$4*Assumptions!$B$6</f>
        <v>0</v>
      </c>
      <c r="P251" s="7" t="n">
        <f aca="false">SUMIFS(Doors!AB:AB,Doors!$A:$A,$D251,Doors!$B:$B,$B251,Doors!$C:$C,$C251)*SUMIFS(Velocity!$I:$I,Velocity!$A:$A,$A251,Velocity!$B:$B,$C251)/Assumptions!$B$4*Assumptions!$B$6</f>
        <v>0</v>
      </c>
      <c r="Q251" s="7" t="n">
        <f aca="false">SUMIFS(Doors!AC:AC,Doors!$A:$A,$D251,Doors!$B:$B,$B251,Doors!$C:$C,$C251)*SUMIFS(Velocity!$I:$I,Velocity!$A:$A,$A251,Velocity!$B:$B,$C251)/Assumptions!$B$4*Assumptions!$B$6</f>
        <v>0</v>
      </c>
      <c r="R251" s="7" t="n">
        <f aca="false">SUMIFS(Doors!AD:AD,Doors!$A:$A,$D251,Doors!$B:$B,$B251,Doors!$C:$C,$C251)*SUMIFS(Velocity!$I:$I,Velocity!$A:$A,$A251,Velocity!$B:$B,$C251)/Assumptions!$B$4*Assumptions!$B$6</f>
        <v>0</v>
      </c>
      <c r="S251" s="7" t="n">
        <f aca="false">SUMIFS(Doors!AE:AE,Doors!$A:$A,$D251,Doors!$B:$B,$B251,Doors!$C:$C,$C251)*SUMIFS(Velocity!$I:$I,Velocity!$A:$A,$A251,Velocity!$B:$B,$C251)/Assumptions!$B$4*Assumptions!$B$6</f>
        <v>0</v>
      </c>
      <c r="T251" s="7" t="n">
        <f aca="false">SUMIFS(Doors!AF:AF,Doors!$A:$A,$D251,Doors!$B:$B,$B251,Doors!$C:$C,$C251)*SUMIFS(Velocity!$I:$I,Velocity!$A:$A,$A251,Velocity!$B:$B,$C251)/Assumptions!$B$4*Assumptions!$B$6</f>
        <v>0</v>
      </c>
      <c r="U251" s="7" t="n">
        <f aca="false">SUMIFS(Doors!AG:AG,Doors!$A:$A,$D251,Doors!$B:$B,$B251,Doors!$C:$C,$C251)*SUMIFS(Velocity!$I:$I,Velocity!$A:$A,$A251,Velocity!$B:$B,$C251)/Assumptions!$B$4*Assumptions!$B$6</f>
        <v>0</v>
      </c>
      <c r="V251" s="7" t="n">
        <f aca="false">SUMIFS(Doors!AH:AH,Doors!$A:$A,$D251,Doors!$B:$B,$B251,Doors!$C:$C,$C251)*SUMIFS(Velocity!$I:$I,Velocity!$A:$A,$A251,Velocity!$B:$B,$C251)/Assumptions!$B$4*Assumptions!$B$6</f>
        <v>0</v>
      </c>
      <c r="W251" s="7" t="n">
        <f aca="false">SUMIFS(Doors!AI:AI,Doors!$A:$A,$D251,Doors!$B:$B,$B251,Doors!$C:$C,$C251)*SUMIFS(Velocity!$I:$I,Velocity!$A:$A,$A251,Velocity!$B:$B,$C251)/Assumptions!$B$4*Assumptions!$B$6</f>
        <v>0</v>
      </c>
      <c r="X251" s="7" t="n">
        <f aca="false">SUMIFS(Doors!AJ:AJ,Doors!$A:$A,$D251,Doors!$B:$B,$B251,Doors!$C:$C,$C251)*SUMIFS(Velocity!$I:$I,Velocity!$A:$A,$A251,Velocity!$B:$B,$C251)/Assumptions!$B$4*Assumptions!$B$6</f>
        <v>0</v>
      </c>
      <c r="Y251" s="7" t="n">
        <f aca="false">SUMIFS(Doors!AK:AK,Doors!$A:$A,$D251,Doors!$B:$B,$B251,Doors!$C:$C,$C251)*SUMIFS(Velocity!$I:$I,Velocity!$A:$A,$A251,Velocity!$B:$B,$C251)/Assumptions!$B$4*Assumptions!$B$6</f>
        <v>0</v>
      </c>
      <c r="Z251" s="7" t="n">
        <f aca="false">SUMIFS(Doors!AL:AL,Doors!$A:$A,$D251,Doors!$B:$B,$B251,Doors!$C:$C,$C251)*SUMIFS(Velocity!$I:$I,Velocity!$A:$A,$A251,Velocity!$B:$B,$C251)/Assumptions!$B$4*Assumptions!$B$6</f>
        <v>0</v>
      </c>
      <c r="AA251" s="7" t="n">
        <f aca="false">SUMIFS(Doors!AM:AM,Doors!$A:$A,$D251,Doors!$B:$B,$B251,Doors!$C:$C,$C251)*SUMIFS(Velocity!$I:$I,Velocity!$A:$A,$A251,Velocity!$B:$B,$C251)/Assumptions!$B$4*Assumptions!$B$6</f>
        <v>1.37083333333333</v>
      </c>
      <c r="AB251" s="7" t="n">
        <f aca="false">SUMIFS(Doors!AN:AN,Doors!$A:$A,$D251,Doors!$B:$B,$B251,Doors!$C:$C,$C251)*SUMIFS(Velocity!$I:$I,Velocity!$A:$A,$A251,Velocity!$B:$B,$C251)/Assumptions!$B$4*Assumptions!$B$6</f>
        <v>1.37083333333333</v>
      </c>
      <c r="AC251" s="7" t="n">
        <f aca="false">SUMIFS(Doors!AO:AO,Doors!$A:$A,$D251,Doors!$B:$B,$B251,Doors!$C:$C,$C251)*SUMIFS(Velocity!$I:$I,Velocity!$A:$A,$A251,Velocity!$B:$B,$C251)/Assumptions!$B$4*Assumptions!$B$6</f>
        <v>1.37083333333333</v>
      </c>
      <c r="AD251" s="7" t="n">
        <f aca="false">SUMIFS(Doors!AP:AP,Doors!$A:$A,$D251,Doors!$B:$B,$B251,Doors!$C:$C,$C251)*SUMIFS(Velocity!$I:$I,Velocity!$A:$A,$A251,Velocity!$B:$B,$C251)/Assumptions!$B$4*Assumptions!$B$6</f>
        <v>1.37083333333333</v>
      </c>
      <c r="AE251" s="7" t="n">
        <f aca="false">SUMIFS(Doors!AQ:AQ,Doors!$A:$A,$D251,Doors!$B:$B,$B251,Doors!$C:$C,$C251)*SUMIFS(Velocity!$I:$I,Velocity!$A:$A,$A251,Velocity!$B:$B,$C251)/Assumptions!$B$4*Assumptions!$B$6</f>
        <v>2.05625</v>
      </c>
      <c r="AF251" s="7" t="n">
        <f aca="false">SUMIFS(Doors!AR:AR,Doors!$A:$A,$D251,Doors!$B:$B,$B251,Doors!$C:$C,$C251)*SUMIFS(Velocity!$I:$I,Velocity!$A:$A,$A251,Velocity!$B:$B,$C251)/Assumptions!$B$4*Assumptions!$B$6</f>
        <v>2.05625</v>
      </c>
      <c r="AG251" s="7" t="n">
        <f aca="false">SUMIFS(Doors!AS:AS,Doors!$A:$A,$D251,Doors!$B:$B,$B251,Doors!$C:$C,$C251)*SUMIFS(Velocity!$I:$I,Velocity!$A:$A,$A251,Velocity!$B:$B,$C251)/Assumptions!$B$4*Assumptions!$B$6</f>
        <v>2.05625</v>
      </c>
      <c r="AH251" s="7" t="n">
        <f aca="false">SUMIFS(Doors!AT:AT,Doors!$A:$A,$D251,Doors!$B:$B,$B251,Doors!$C:$C,$C251)*SUMIFS(Velocity!$I:$I,Velocity!$A:$A,$A251,Velocity!$B:$B,$C251)/Assumptions!$B$4*Assumptions!$B$6</f>
        <v>2.05625</v>
      </c>
      <c r="AI251" s="7" t="n">
        <f aca="false">SUMIFS(Doors!AU:AU,Doors!$A:$A,$D251,Doors!$B:$B,$B251,Doors!$C:$C,$C251)*SUMIFS(Velocity!$I:$I,Velocity!$A:$A,$A251,Velocity!$B:$B,$C251)/Assumptions!$B$4*Assumptions!$B$6</f>
        <v>2.05625</v>
      </c>
      <c r="AJ251" s="7" t="n">
        <f aca="false">SUMIFS(Doors!AV:AV,Doors!$A:$A,$D251,Doors!$B:$B,$B251,Doors!$C:$C,$C251)*SUMIFS(Velocity!$I:$I,Velocity!$A:$A,$A251,Velocity!$B:$B,$C251)/Assumptions!$B$4*Assumptions!$B$6</f>
        <v>3.42708333333333</v>
      </c>
      <c r="AK251" s="7" t="n">
        <f aca="false">SUMIFS(Doors!AW:AW,Doors!$A:$A,$D251,Doors!$B:$B,$B251,Doors!$C:$C,$C251)*SUMIFS(Velocity!$I:$I,Velocity!$A:$A,$A251,Velocity!$B:$B,$C251)/Assumptions!$B$4*Assumptions!$B$6</f>
        <v>3.42708333333333</v>
      </c>
      <c r="AL251" s="7" t="n">
        <f aca="false">SUMIFS(Doors!AX:AX,Doors!$A:$A,$D251,Doors!$B:$B,$B251,Doors!$C:$C,$C251)*SUMIFS(Velocity!$I:$I,Velocity!$A:$A,$A251,Velocity!$B:$B,$C251)/Assumptions!$B$4*Assumptions!$B$6</f>
        <v>3.42708333333333</v>
      </c>
      <c r="AM251" s="7" t="n">
        <f aca="false">SUMIFS(Doors!AY:AY,Doors!$A:$A,$D251,Doors!$B:$B,$B251,Doors!$C:$C,$C251)*SUMIFS(Velocity!$I:$I,Velocity!$A:$A,$A251,Velocity!$B:$B,$C251)/Assumptions!$B$4*Assumptions!$B$6</f>
        <v>3.42708333333333</v>
      </c>
      <c r="AN251" s="7" t="n">
        <f aca="false">SUMIFS(Doors!AZ:AZ,Doors!$A:$A,$D251,Doors!$B:$B,$B251,Doors!$C:$C,$C251)*SUMIFS(Velocity!$I:$I,Velocity!$A:$A,$A251,Velocity!$B:$B,$C251)/Assumptions!$B$4*Assumptions!$B$6</f>
        <v>4.79791666666667</v>
      </c>
      <c r="AO251" s="7" t="n">
        <f aca="false">SUMIFS(Doors!BA:BA,Doors!$A:$A,$D251,Doors!$B:$B,$B251,Doors!$C:$C,$C251)*SUMIFS(Velocity!$I:$I,Velocity!$A:$A,$A251,Velocity!$B:$B,$C251)/Assumptions!$B$4*Assumptions!$B$6</f>
        <v>4.79791666666667</v>
      </c>
      <c r="AP251" s="7" t="n">
        <f aca="false">SUMIFS(Doors!BB:BB,Doors!$A:$A,$D251,Doors!$B:$B,$B251,Doors!$C:$C,$C251)*SUMIFS(Velocity!$I:$I,Velocity!$A:$A,$A251,Velocity!$B:$B,$C251)/Assumptions!$B$4*Assumptions!$B$6</f>
        <v>4.79791666666667</v>
      </c>
      <c r="AQ251" s="7" t="n">
        <f aca="false">SUMIFS(Doors!BC:BC,Doors!$A:$A,$D251,Doors!$B:$B,$B251,Doors!$C:$C,$C251)*SUMIFS(Velocity!$I:$I,Velocity!$A:$A,$A251,Velocity!$B:$B,$C251)/Assumptions!$B$4*Assumptions!$B$6</f>
        <v>4.79791666666667</v>
      </c>
      <c r="AR251" s="7" t="n">
        <f aca="false">SUMIFS(Doors!BD:BD,Doors!$A:$A,$D251,Doors!$B:$B,$B251,Doors!$C:$C,$C251)*SUMIFS(Velocity!$I:$I,Velocity!$A:$A,$A251,Velocity!$B:$B,$C251)/Assumptions!$B$4*Assumptions!$B$6</f>
        <v>5.48333333333333</v>
      </c>
      <c r="AS251" s="7" t="n">
        <f aca="false">SUMIFS(Doors!BE:BE,Doors!$A:$A,$D251,Doors!$B:$B,$B251,Doors!$C:$C,$C251)*SUMIFS(Velocity!$I:$I,Velocity!$A:$A,$A251,Velocity!$B:$B,$C251)/Assumptions!$B$4*Assumptions!$B$6</f>
        <v>5.48333333333333</v>
      </c>
      <c r="AT251" s="7" t="n">
        <f aca="false">SUMIFS(Doors!BF:BF,Doors!$A:$A,$D251,Doors!$B:$B,$B251,Doors!$C:$C,$C251)*SUMIFS(Velocity!$I:$I,Velocity!$A:$A,$A251,Velocity!$B:$B,$C251)/Assumptions!$B$4*Assumptions!$B$6</f>
        <v>5.48333333333333</v>
      </c>
      <c r="AU251" s="7" t="n">
        <f aca="false">SUMIFS(Doors!BG:BG,Doors!$A:$A,$D251,Doors!$B:$B,$B251,Doors!$C:$C,$C251)*SUMIFS(Velocity!$I:$I,Velocity!$A:$A,$A251,Velocity!$B:$B,$C251)/Assumptions!$B$4*Assumptions!$B$6</f>
        <v>5.48333333333333</v>
      </c>
      <c r="AV251" s="7" t="n">
        <f aca="false">SUMIFS(Doors!BH:BH,Doors!$A:$A,$D251,Doors!$B:$B,$B251,Doors!$C:$C,$C251)*SUMIFS(Velocity!$I:$I,Velocity!$A:$A,$A251,Velocity!$B:$B,$C251)/Assumptions!$B$4*Assumptions!$B$6</f>
        <v>5.48333333333333</v>
      </c>
      <c r="AW251" s="7" t="n">
        <f aca="false">SUMIFS(Doors!BI:BI,Doors!$A:$A,$D251,Doors!$B:$B,$B251,Doors!$C:$C,$C251)*SUMIFS(Velocity!$I:$I,Velocity!$A:$A,$A251,Velocity!$B:$B,$C251)/Assumptions!$B$4*Assumptions!$B$6</f>
        <v>6.16875</v>
      </c>
      <c r="AX251" s="7" t="n">
        <f aca="false">SUMIFS(Doors!BJ:BJ,Doors!$A:$A,$D251,Doors!$B:$B,$B251,Doors!$C:$C,$C251)*SUMIFS(Velocity!$I:$I,Velocity!$A:$A,$A251,Velocity!$B:$B,$C251)/Assumptions!$B$4*Assumptions!$B$6</f>
        <v>6.16875</v>
      </c>
      <c r="AY251" s="7" t="n">
        <f aca="false">SUMIFS(Doors!BK:BK,Doors!$A:$A,$D251,Doors!$B:$B,$B251,Doors!$C:$C,$C251)*SUMIFS(Velocity!$I:$I,Velocity!$A:$A,$A251,Velocity!$B:$B,$C251)/Assumptions!$B$4*Assumptions!$B$6</f>
        <v>6.16875</v>
      </c>
      <c r="AZ251" s="7" t="n">
        <f aca="false">SUMIFS(Doors!BL:BL,Doors!$A:$A,$D251,Doors!$B:$B,$B251,Doors!$C:$C,$C251)*SUMIFS(Velocity!$I:$I,Velocity!$A:$A,$A251,Velocity!$B:$B,$C251)/Assumptions!$B$4*Assumptions!$B$6</f>
        <v>6.16875</v>
      </c>
      <c r="BA251" s="7" t="n">
        <f aca="false">SUMIFS(Doors!BM:BM,Doors!$A:$A,$D251,Doors!$B:$B,$B251,Doors!$C:$C,$C251)*SUMIFS(Velocity!$I:$I,Velocity!$A:$A,$A251,Velocity!$B:$B,$C251)/Assumptions!$B$4*Assumptions!$B$6</f>
        <v>6.85416666666667</v>
      </c>
      <c r="BB251" s="7" t="n">
        <f aca="false">SUMIFS(Doors!BN:BN,Doors!$A:$A,$D251,Doors!$B:$B,$B251,Doors!$C:$C,$C251)*SUMIFS(Velocity!$I:$I,Velocity!$A:$A,$A251,Velocity!$B:$B,$C251)/Assumptions!$B$4*Assumptions!$B$6</f>
        <v>6.85416666666667</v>
      </c>
      <c r="BC251" s="7" t="n">
        <f aca="false">SUMIFS(Doors!BO:BO,Doors!$A:$A,$D251,Doors!$B:$B,$B251,Doors!$C:$C,$C251)*SUMIFS(Velocity!$I:$I,Velocity!$A:$A,$A251,Velocity!$B:$B,$C251)/Assumptions!$B$4*Assumptions!$B$6</f>
        <v>6.85416666666667</v>
      </c>
      <c r="BD251" s="7" t="n">
        <f aca="false">SUMIFS(Doors!BP:BP,Doors!$A:$A,$D251,Doors!$B:$B,$B251,Doors!$C:$C,$C251)*SUMIFS(Velocity!$I:$I,Velocity!$A:$A,$A251,Velocity!$B:$B,$C251)/Assumptions!$B$4*Assumptions!$B$6</f>
        <v>6.85416666666667</v>
      </c>
    </row>
    <row r="252" customFormat="false" ht="15" hidden="false" customHeight="false" outlineLevel="0" collapsed="false">
      <c r="A252" s="0" t="s">
        <v>110</v>
      </c>
      <c r="B252" s="0" t="s">
        <v>133</v>
      </c>
      <c r="C252" s="0" t="s">
        <v>118</v>
      </c>
      <c r="D252" s="0" t="s">
        <v>235</v>
      </c>
      <c r="E252" s="7" t="n">
        <f aca="false">SUMIFS(Doors!Q:Q,Doors!$A:$A,$D252,Doors!$B:$B,$B252,Doors!$C:$C,$C252)*SUMIFS(Velocity!$I:$I,Velocity!$A:$A,$A252,Velocity!$B:$B,$C252)/Assumptions!$B$4*Assumptions!$B$6</f>
        <v>0</v>
      </c>
      <c r="F252" s="7" t="n">
        <f aca="false">SUMIFS(Doors!R:R,Doors!$A:$A,$D252,Doors!$B:$B,$B252,Doors!$C:$C,$C252)*SUMIFS(Velocity!$I:$I,Velocity!$A:$A,$A252,Velocity!$B:$B,$C252)/Assumptions!$B$4*Assumptions!$B$6</f>
        <v>0</v>
      </c>
      <c r="G252" s="7" t="n">
        <f aca="false">SUMIFS(Doors!S:S,Doors!$A:$A,$D252,Doors!$B:$B,$B252,Doors!$C:$C,$C252)*SUMIFS(Velocity!$I:$I,Velocity!$A:$A,$A252,Velocity!$B:$B,$C252)/Assumptions!$B$4*Assumptions!$B$6</f>
        <v>0</v>
      </c>
      <c r="H252" s="7" t="n">
        <f aca="false">SUMIFS(Doors!T:T,Doors!$A:$A,$D252,Doors!$B:$B,$B252,Doors!$C:$C,$C252)*SUMIFS(Velocity!$I:$I,Velocity!$A:$A,$A252,Velocity!$B:$B,$C252)/Assumptions!$B$4*Assumptions!$B$6</f>
        <v>0</v>
      </c>
      <c r="I252" s="7" t="n">
        <f aca="false">SUMIFS(Doors!U:U,Doors!$A:$A,$D252,Doors!$B:$B,$B252,Doors!$C:$C,$C252)*SUMIFS(Velocity!$I:$I,Velocity!$A:$A,$A252,Velocity!$B:$B,$C252)/Assumptions!$B$4*Assumptions!$B$6</f>
        <v>0</v>
      </c>
      <c r="J252" s="7" t="n">
        <f aca="false">SUMIFS(Doors!V:V,Doors!$A:$A,$D252,Doors!$B:$B,$B252,Doors!$C:$C,$C252)*SUMIFS(Velocity!$I:$I,Velocity!$A:$A,$A252,Velocity!$B:$B,$C252)/Assumptions!$B$4*Assumptions!$B$6</f>
        <v>0</v>
      </c>
      <c r="K252" s="7" t="n">
        <f aca="false">SUMIFS(Doors!W:W,Doors!$A:$A,$D252,Doors!$B:$B,$B252,Doors!$C:$C,$C252)*SUMIFS(Velocity!$I:$I,Velocity!$A:$A,$A252,Velocity!$B:$B,$C252)/Assumptions!$B$4*Assumptions!$B$6</f>
        <v>0</v>
      </c>
      <c r="L252" s="7" t="n">
        <f aca="false">SUMIFS(Doors!X:X,Doors!$A:$A,$D252,Doors!$B:$B,$B252,Doors!$C:$C,$C252)*SUMIFS(Velocity!$I:$I,Velocity!$A:$A,$A252,Velocity!$B:$B,$C252)/Assumptions!$B$4*Assumptions!$B$6</f>
        <v>0</v>
      </c>
      <c r="M252" s="7" t="n">
        <f aca="false">SUMIFS(Doors!Y:Y,Doors!$A:$A,$D252,Doors!$B:$B,$B252,Doors!$C:$C,$C252)*SUMIFS(Velocity!$I:$I,Velocity!$A:$A,$A252,Velocity!$B:$B,$C252)/Assumptions!$B$4*Assumptions!$B$6</f>
        <v>0</v>
      </c>
      <c r="N252" s="7" t="n">
        <f aca="false">SUMIFS(Doors!Z:Z,Doors!$A:$A,$D252,Doors!$B:$B,$B252,Doors!$C:$C,$C252)*SUMIFS(Velocity!$I:$I,Velocity!$A:$A,$A252,Velocity!$B:$B,$C252)/Assumptions!$B$4*Assumptions!$B$6</f>
        <v>0</v>
      </c>
      <c r="O252" s="7" t="n">
        <f aca="false">SUMIFS(Doors!AA:AA,Doors!$A:$A,$D252,Doors!$B:$B,$B252,Doors!$C:$C,$C252)*SUMIFS(Velocity!$I:$I,Velocity!$A:$A,$A252,Velocity!$B:$B,$C252)/Assumptions!$B$4*Assumptions!$B$6</f>
        <v>0</v>
      </c>
      <c r="P252" s="7" t="n">
        <f aca="false">SUMIFS(Doors!AB:AB,Doors!$A:$A,$D252,Doors!$B:$B,$B252,Doors!$C:$C,$C252)*SUMIFS(Velocity!$I:$I,Velocity!$A:$A,$A252,Velocity!$B:$B,$C252)/Assumptions!$B$4*Assumptions!$B$6</f>
        <v>0</v>
      </c>
      <c r="Q252" s="7" t="n">
        <f aca="false">SUMIFS(Doors!AC:AC,Doors!$A:$A,$D252,Doors!$B:$B,$B252,Doors!$C:$C,$C252)*SUMIFS(Velocity!$I:$I,Velocity!$A:$A,$A252,Velocity!$B:$B,$C252)/Assumptions!$B$4*Assumptions!$B$6</f>
        <v>0</v>
      </c>
      <c r="R252" s="7" t="n">
        <f aca="false">SUMIFS(Doors!AD:AD,Doors!$A:$A,$D252,Doors!$B:$B,$B252,Doors!$C:$C,$C252)*SUMIFS(Velocity!$I:$I,Velocity!$A:$A,$A252,Velocity!$B:$B,$C252)/Assumptions!$B$4*Assumptions!$B$6</f>
        <v>0</v>
      </c>
      <c r="S252" s="7" t="n">
        <f aca="false">SUMIFS(Doors!AE:AE,Doors!$A:$A,$D252,Doors!$B:$B,$B252,Doors!$C:$C,$C252)*SUMIFS(Velocity!$I:$I,Velocity!$A:$A,$A252,Velocity!$B:$B,$C252)/Assumptions!$B$4*Assumptions!$B$6</f>
        <v>0</v>
      </c>
      <c r="T252" s="7" t="n">
        <f aca="false">SUMIFS(Doors!AF:AF,Doors!$A:$A,$D252,Doors!$B:$B,$B252,Doors!$C:$C,$C252)*SUMIFS(Velocity!$I:$I,Velocity!$A:$A,$A252,Velocity!$B:$B,$C252)/Assumptions!$B$4*Assumptions!$B$6</f>
        <v>0</v>
      </c>
      <c r="U252" s="7" t="n">
        <f aca="false">SUMIFS(Doors!AG:AG,Doors!$A:$A,$D252,Doors!$B:$B,$B252,Doors!$C:$C,$C252)*SUMIFS(Velocity!$I:$I,Velocity!$A:$A,$A252,Velocity!$B:$B,$C252)/Assumptions!$B$4*Assumptions!$B$6</f>
        <v>0</v>
      </c>
      <c r="V252" s="7" t="n">
        <f aca="false">SUMIFS(Doors!AH:AH,Doors!$A:$A,$D252,Doors!$B:$B,$B252,Doors!$C:$C,$C252)*SUMIFS(Velocity!$I:$I,Velocity!$A:$A,$A252,Velocity!$B:$B,$C252)/Assumptions!$B$4*Assumptions!$B$6</f>
        <v>0</v>
      </c>
      <c r="W252" s="7" t="n">
        <f aca="false">SUMIFS(Doors!AI:AI,Doors!$A:$A,$D252,Doors!$B:$B,$B252,Doors!$C:$C,$C252)*SUMIFS(Velocity!$I:$I,Velocity!$A:$A,$A252,Velocity!$B:$B,$C252)/Assumptions!$B$4*Assumptions!$B$6</f>
        <v>0</v>
      </c>
      <c r="X252" s="7" t="n">
        <f aca="false">SUMIFS(Doors!AJ:AJ,Doors!$A:$A,$D252,Doors!$B:$B,$B252,Doors!$C:$C,$C252)*SUMIFS(Velocity!$I:$I,Velocity!$A:$A,$A252,Velocity!$B:$B,$C252)/Assumptions!$B$4*Assumptions!$B$6</f>
        <v>0</v>
      </c>
      <c r="Y252" s="7" t="n">
        <f aca="false">SUMIFS(Doors!AK:AK,Doors!$A:$A,$D252,Doors!$B:$B,$B252,Doors!$C:$C,$C252)*SUMIFS(Velocity!$I:$I,Velocity!$A:$A,$A252,Velocity!$B:$B,$C252)/Assumptions!$B$4*Assumptions!$B$6</f>
        <v>0</v>
      </c>
      <c r="Z252" s="7" t="n">
        <f aca="false">SUMIFS(Doors!AL:AL,Doors!$A:$A,$D252,Doors!$B:$B,$B252,Doors!$C:$C,$C252)*SUMIFS(Velocity!$I:$I,Velocity!$A:$A,$A252,Velocity!$B:$B,$C252)/Assumptions!$B$4*Assumptions!$B$6</f>
        <v>0</v>
      </c>
      <c r="AA252" s="7" t="n">
        <f aca="false">SUMIFS(Doors!AM:AM,Doors!$A:$A,$D252,Doors!$B:$B,$B252,Doors!$C:$C,$C252)*SUMIFS(Velocity!$I:$I,Velocity!$A:$A,$A252,Velocity!$B:$B,$C252)/Assumptions!$B$4*Assumptions!$B$6</f>
        <v>0</v>
      </c>
      <c r="AB252" s="7" t="n">
        <f aca="false">SUMIFS(Doors!AN:AN,Doors!$A:$A,$D252,Doors!$B:$B,$B252,Doors!$C:$C,$C252)*SUMIFS(Velocity!$I:$I,Velocity!$A:$A,$A252,Velocity!$B:$B,$C252)/Assumptions!$B$4*Assumptions!$B$6</f>
        <v>0</v>
      </c>
      <c r="AC252" s="7" t="n">
        <f aca="false">SUMIFS(Doors!AO:AO,Doors!$A:$A,$D252,Doors!$B:$B,$B252,Doors!$C:$C,$C252)*SUMIFS(Velocity!$I:$I,Velocity!$A:$A,$A252,Velocity!$B:$B,$C252)/Assumptions!$B$4*Assumptions!$B$6</f>
        <v>0</v>
      </c>
      <c r="AD252" s="7" t="n">
        <f aca="false">SUMIFS(Doors!AP:AP,Doors!$A:$A,$D252,Doors!$B:$B,$B252,Doors!$C:$C,$C252)*SUMIFS(Velocity!$I:$I,Velocity!$A:$A,$A252,Velocity!$B:$B,$C252)/Assumptions!$B$4*Assumptions!$B$6</f>
        <v>0</v>
      </c>
      <c r="AE252" s="7" t="n">
        <f aca="false">SUMIFS(Doors!AQ:AQ,Doors!$A:$A,$D252,Doors!$B:$B,$B252,Doors!$C:$C,$C252)*SUMIFS(Velocity!$I:$I,Velocity!$A:$A,$A252,Velocity!$B:$B,$C252)/Assumptions!$B$4*Assumptions!$B$6</f>
        <v>0</v>
      </c>
      <c r="AF252" s="7" t="n">
        <f aca="false">SUMIFS(Doors!AR:AR,Doors!$A:$A,$D252,Doors!$B:$B,$B252,Doors!$C:$C,$C252)*SUMIFS(Velocity!$I:$I,Velocity!$A:$A,$A252,Velocity!$B:$B,$C252)/Assumptions!$B$4*Assumptions!$B$6</f>
        <v>0</v>
      </c>
      <c r="AG252" s="7" t="n">
        <f aca="false">SUMIFS(Doors!AS:AS,Doors!$A:$A,$D252,Doors!$B:$B,$B252,Doors!$C:$C,$C252)*SUMIFS(Velocity!$I:$I,Velocity!$A:$A,$A252,Velocity!$B:$B,$C252)/Assumptions!$B$4*Assumptions!$B$6</f>
        <v>0</v>
      </c>
      <c r="AH252" s="7" t="n">
        <f aca="false">SUMIFS(Doors!AT:AT,Doors!$A:$A,$D252,Doors!$B:$B,$B252,Doors!$C:$C,$C252)*SUMIFS(Velocity!$I:$I,Velocity!$A:$A,$A252,Velocity!$B:$B,$C252)/Assumptions!$B$4*Assumptions!$B$6</f>
        <v>0</v>
      </c>
      <c r="AI252" s="7" t="n">
        <f aca="false">SUMIFS(Doors!AU:AU,Doors!$A:$A,$D252,Doors!$B:$B,$B252,Doors!$C:$C,$C252)*SUMIFS(Velocity!$I:$I,Velocity!$A:$A,$A252,Velocity!$B:$B,$C252)/Assumptions!$B$4*Assumptions!$B$6</f>
        <v>0</v>
      </c>
      <c r="AJ252" s="7" t="n">
        <f aca="false">SUMIFS(Doors!AV:AV,Doors!$A:$A,$D252,Doors!$B:$B,$B252,Doors!$C:$C,$C252)*SUMIFS(Velocity!$I:$I,Velocity!$A:$A,$A252,Velocity!$B:$B,$C252)/Assumptions!$B$4*Assumptions!$B$6</f>
        <v>0</v>
      </c>
      <c r="AK252" s="7" t="n">
        <f aca="false">SUMIFS(Doors!AW:AW,Doors!$A:$A,$D252,Doors!$B:$B,$B252,Doors!$C:$C,$C252)*SUMIFS(Velocity!$I:$I,Velocity!$A:$A,$A252,Velocity!$B:$B,$C252)/Assumptions!$B$4*Assumptions!$B$6</f>
        <v>0</v>
      </c>
      <c r="AL252" s="7" t="n">
        <f aca="false">SUMIFS(Doors!AX:AX,Doors!$A:$A,$D252,Doors!$B:$B,$B252,Doors!$C:$C,$C252)*SUMIFS(Velocity!$I:$I,Velocity!$A:$A,$A252,Velocity!$B:$B,$C252)/Assumptions!$B$4*Assumptions!$B$6</f>
        <v>0</v>
      </c>
      <c r="AM252" s="7" t="n">
        <f aca="false">SUMIFS(Doors!AY:AY,Doors!$A:$A,$D252,Doors!$B:$B,$B252,Doors!$C:$C,$C252)*SUMIFS(Velocity!$I:$I,Velocity!$A:$A,$A252,Velocity!$B:$B,$C252)/Assumptions!$B$4*Assumptions!$B$6</f>
        <v>0</v>
      </c>
      <c r="AN252" s="7" t="n">
        <f aca="false">SUMIFS(Doors!AZ:AZ,Doors!$A:$A,$D252,Doors!$B:$B,$B252,Doors!$C:$C,$C252)*SUMIFS(Velocity!$I:$I,Velocity!$A:$A,$A252,Velocity!$B:$B,$C252)/Assumptions!$B$4*Assumptions!$B$6</f>
        <v>0</v>
      </c>
      <c r="AO252" s="7" t="n">
        <f aca="false">SUMIFS(Doors!BA:BA,Doors!$A:$A,$D252,Doors!$B:$B,$B252,Doors!$C:$C,$C252)*SUMIFS(Velocity!$I:$I,Velocity!$A:$A,$A252,Velocity!$B:$B,$C252)/Assumptions!$B$4*Assumptions!$B$6</f>
        <v>0</v>
      </c>
      <c r="AP252" s="7" t="n">
        <f aca="false">SUMIFS(Doors!BB:BB,Doors!$A:$A,$D252,Doors!$B:$B,$B252,Doors!$C:$C,$C252)*SUMIFS(Velocity!$I:$I,Velocity!$A:$A,$A252,Velocity!$B:$B,$C252)/Assumptions!$B$4*Assumptions!$B$6</f>
        <v>0</v>
      </c>
      <c r="AQ252" s="7" t="n">
        <f aca="false">SUMIFS(Doors!BC:BC,Doors!$A:$A,$D252,Doors!$B:$B,$B252,Doors!$C:$C,$C252)*SUMIFS(Velocity!$I:$I,Velocity!$A:$A,$A252,Velocity!$B:$B,$C252)/Assumptions!$B$4*Assumptions!$B$6</f>
        <v>0</v>
      </c>
      <c r="AR252" s="7" t="n">
        <f aca="false">SUMIFS(Doors!BD:BD,Doors!$A:$A,$D252,Doors!$B:$B,$B252,Doors!$C:$C,$C252)*SUMIFS(Velocity!$I:$I,Velocity!$A:$A,$A252,Velocity!$B:$B,$C252)/Assumptions!$B$4*Assumptions!$B$6</f>
        <v>25.25</v>
      </c>
      <c r="AS252" s="7" t="n">
        <f aca="false">SUMIFS(Doors!BE:BE,Doors!$A:$A,$D252,Doors!$B:$B,$B252,Doors!$C:$C,$C252)*SUMIFS(Velocity!$I:$I,Velocity!$A:$A,$A252,Velocity!$B:$B,$C252)/Assumptions!$B$4*Assumptions!$B$6</f>
        <v>25.25</v>
      </c>
      <c r="AT252" s="7" t="n">
        <f aca="false">SUMIFS(Doors!BF:BF,Doors!$A:$A,$D252,Doors!$B:$B,$B252,Doors!$C:$C,$C252)*SUMIFS(Velocity!$I:$I,Velocity!$A:$A,$A252,Velocity!$B:$B,$C252)/Assumptions!$B$4*Assumptions!$B$6</f>
        <v>25.25</v>
      </c>
      <c r="AU252" s="7" t="n">
        <f aca="false">SUMIFS(Doors!BG:BG,Doors!$A:$A,$D252,Doors!$B:$B,$B252,Doors!$C:$C,$C252)*SUMIFS(Velocity!$I:$I,Velocity!$A:$A,$A252,Velocity!$B:$B,$C252)/Assumptions!$B$4*Assumptions!$B$6</f>
        <v>25.25</v>
      </c>
      <c r="AV252" s="7" t="n">
        <f aca="false">SUMIFS(Doors!BH:BH,Doors!$A:$A,$D252,Doors!$B:$B,$B252,Doors!$C:$C,$C252)*SUMIFS(Velocity!$I:$I,Velocity!$A:$A,$A252,Velocity!$B:$B,$C252)/Assumptions!$B$4*Assumptions!$B$6</f>
        <v>25.25</v>
      </c>
      <c r="AW252" s="7" t="n">
        <f aca="false">SUMIFS(Doors!BI:BI,Doors!$A:$A,$D252,Doors!$B:$B,$B252,Doors!$C:$C,$C252)*SUMIFS(Velocity!$I:$I,Velocity!$A:$A,$A252,Velocity!$B:$B,$C252)/Assumptions!$B$4*Assumptions!$B$6</f>
        <v>33.6666666666667</v>
      </c>
      <c r="AX252" s="7" t="n">
        <f aca="false">SUMIFS(Doors!BJ:BJ,Doors!$A:$A,$D252,Doors!$B:$B,$B252,Doors!$C:$C,$C252)*SUMIFS(Velocity!$I:$I,Velocity!$A:$A,$A252,Velocity!$B:$B,$C252)/Assumptions!$B$4*Assumptions!$B$6</f>
        <v>33.6666666666667</v>
      </c>
      <c r="AY252" s="7" t="n">
        <f aca="false">SUMIFS(Doors!BK:BK,Doors!$A:$A,$D252,Doors!$B:$B,$B252,Doors!$C:$C,$C252)*SUMIFS(Velocity!$I:$I,Velocity!$A:$A,$A252,Velocity!$B:$B,$C252)/Assumptions!$B$4*Assumptions!$B$6</f>
        <v>33.6666666666667</v>
      </c>
      <c r="AZ252" s="7" t="n">
        <f aca="false">SUMIFS(Doors!BL:BL,Doors!$A:$A,$D252,Doors!$B:$B,$B252,Doors!$C:$C,$C252)*SUMIFS(Velocity!$I:$I,Velocity!$A:$A,$A252,Velocity!$B:$B,$C252)/Assumptions!$B$4*Assumptions!$B$6</f>
        <v>33.6666666666667</v>
      </c>
      <c r="BA252" s="7" t="n">
        <f aca="false">SUMIFS(Doors!BM:BM,Doors!$A:$A,$D252,Doors!$B:$B,$B252,Doors!$C:$C,$C252)*SUMIFS(Velocity!$I:$I,Velocity!$A:$A,$A252,Velocity!$B:$B,$C252)/Assumptions!$B$4*Assumptions!$B$6</f>
        <v>42.0833333333333</v>
      </c>
      <c r="BB252" s="7" t="n">
        <f aca="false">SUMIFS(Doors!BN:BN,Doors!$A:$A,$D252,Doors!$B:$B,$B252,Doors!$C:$C,$C252)*SUMIFS(Velocity!$I:$I,Velocity!$A:$A,$A252,Velocity!$B:$B,$C252)/Assumptions!$B$4*Assumptions!$B$6</f>
        <v>42.0833333333333</v>
      </c>
      <c r="BC252" s="7" t="n">
        <f aca="false">SUMIFS(Doors!BO:BO,Doors!$A:$A,$D252,Doors!$B:$B,$B252,Doors!$C:$C,$C252)*SUMIFS(Velocity!$I:$I,Velocity!$A:$A,$A252,Velocity!$B:$B,$C252)/Assumptions!$B$4*Assumptions!$B$6</f>
        <v>42.0833333333333</v>
      </c>
      <c r="BD252" s="7" t="n">
        <f aca="false">SUMIFS(Doors!BP:BP,Doors!$A:$A,$D252,Doors!$B:$B,$B252,Doors!$C:$C,$C252)*SUMIFS(Velocity!$I:$I,Velocity!$A:$A,$A252,Velocity!$B:$B,$C252)/Assumptions!$B$4*Assumptions!$B$6</f>
        <v>42.0833333333333</v>
      </c>
    </row>
    <row r="253" customFormat="false" ht="15" hidden="false" customHeight="false" outlineLevel="0" collapsed="false">
      <c r="A253" s="0" t="s">
        <v>110</v>
      </c>
      <c r="B253" s="0" t="s">
        <v>133</v>
      </c>
      <c r="C253" s="0" t="s">
        <v>119</v>
      </c>
      <c r="D253" s="0" t="s">
        <v>235</v>
      </c>
      <c r="E253" s="7" t="n">
        <f aca="false">SUMIFS(Doors!Q:Q,Doors!$A:$A,$D253,Doors!$B:$B,$B253,Doors!$C:$C,$C253)*SUMIFS(Velocity!$I:$I,Velocity!$A:$A,$A253,Velocity!$B:$B,$C253)/Assumptions!$B$4*Assumptions!$B$6</f>
        <v>0.5</v>
      </c>
      <c r="F253" s="7" t="n">
        <f aca="false">SUMIFS(Doors!R:R,Doors!$A:$A,$D253,Doors!$B:$B,$B253,Doors!$C:$C,$C253)*SUMIFS(Velocity!$I:$I,Velocity!$A:$A,$A253,Velocity!$B:$B,$C253)/Assumptions!$B$4*Assumptions!$B$6</f>
        <v>0.5</v>
      </c>
      <c r="G253" s="7" t="n">
        <f aca="false">SUMIFS(Doors!S:S,Doors!$A:$A,$D253,Doors!$B:$B,$B253,Doors!$C:$C,$C253)*SUMIFS(Velocity!$I:$I,Velocity!$A:$A,$A253,Velocity!$B:$B,$C253)/Assumptions!$B$4*Assumptions!$B$6</f>
        <v>0.5</v>
      </c>
      <c r="H253" s="7" t="n">
        <f aca="false">SUMIFS(Doors!T:T,Doors!$A:$A,$D253,Doors!$B:$B,$B253,Doors!$C:$C,$C253)*SUMIFS(Velocity!$I:$I,Velocity!$A:$A,$A253,Velocity!$B:$B,$C253)/Assumptions!$B$4*Assumptions!$B$6</f>
        <v>0.5</v>
      </c>
      <c r="I253" s="7" t="n">
        <f aca="false">SUMIFS(Doors!U:U,Doors!$A:$A,$D253,Doors!$B:$B,$B253,Doors!$C:$C,$C253)*SUMIFS(Velocity!$I:$I,Velocity!$A:$A,$A253,Velocity!$B:$B,$C253)/Assumptions!$B$4*Assumptions!$B$6</f>
        <v>0.5</v>
      </c>
      <c r="J253" s="7" t="n">
        <f aca="false">SUMIFS(Doors!V:V,Doors!$A:$A,$D253,Doors!$B:$B,$B253,Doors!$C:$C,$C253)*SUMIFS(Velocity!$I:$I,Velocity!$A:$A,$A253,Velocity!$B:$B,$C253)/Assumptions!$B$4*Assumptions!$B$6</f>
        <v>0.833333333333333</v>
      </c>
      <c r="K253" s="7" t="n">
        <f aca="false">SUMIFS(Doors!W:W,Doors!$A:$A,$D253,Doors!$B:$B,$B253,Doors!$C:$C,$C253)*SUMIFS(Velocity!$I:$I,Velocity!$A:$A,$A253,Velocity!$B:$B,$C253)/Assumptions!$B$4*Assumptions!$B$6</f>
        <v>0.833333333333333</v>
      </c>
      <c r="L253" s="7" t="n">
        <f aca="false">SUMIFS(Doors!X:X,Doors!$A:$A,$D253,Doors!$B:$B,$B253,Doors!$C:$C,$C253)*SUMIFS(Velocity!$I:$I,Velocity!$A:$A,$A253,Velocity!$B:$B,$C253)/Assumptions!$B$4*Assumptions!$B$6</f>
        <v>0.833333333333333</v>
      </c>
      <c r="M253" s="7" t="n">
        <f aca="false">SUMIFS(Doors!Y:Y,Doors!$A:$A,$D253,Doors!$B:$B,$B253,Doors!$C:$C,$C253)*SUMIFS(Velocity!$I:$I,Velocity!$A:$A,$A253,Velocity!$B:$B,$C253)/Assumptions!$B$4*Assumptions!$B$6</f>
        <v>0.833333333333333</v>
      </c>
      <c r="N253" s="7" t="n">
        <f aca="false">SUMIFS(Doors!Z:Z,Doors!$A:$A,$D253,Doors!$B:$B,$B253,Doors!$C:$C,$C253)*SUMIFS(Velocity!$I:$I,Velocity!$A:$A,$A253,Velocity!$B:$B,$C253)/Assumptions!$B$4*Assumptions!$B$6</f>
        <v>1.16666666666667</v>
      </c>
      <c r="O253" s="7" t="n">
        <f aca="false">SUMIFS(Doors!AA:AA,Doors!$A:$A,$D253,Doors!$B:$B,$B253,Doors!$C:$C,$C253)*SUMIFS(Velocity!$I:$I,Velocity!$A:$A,$A253,Velocity!$B:$B,$C253)/Assumptions!$B$4*Assumptions!$B$6</f>
        <v>1.16666666666667</v>
      </c>
      <c r="P253" s="7" t="n">
        <f aca="false">SUMIFS(Doors!AB:AB,Doors!$A:$A,$D253,Doors!$B:$B,$B253,Doors!$C:$C,$C253)*SUMIFS(Velocity!$I:$I,Velocity!$A:$A,$A253,Velocity!$B:$B,$C253)/Assumptions!$B$4*Assumptions!$B$6</f>
        <v>1.16666666666667</v>
      </c>
      <c r="Q253" s="7" t="n">
        <f aca="false">SUMIFS(Doors!AC:AC,Doors!$A:$A,$D253,Doors!$B:$B,$B253,Doors!$C:$C,$C253)*SUMIFS(Velocity!$I:$I,Velocity!$A:$A,$A253,Velocity!$B:$B,$C253)/Assumptions!$B$4*Assumptions!$B$6</f>
        <v>1.16666666666667</v>
      </c>
      <c r="R253" s="7" t="n">
        <f aca="false">SUMIFS(Doors!AD:AD,Doors!$A:$A,$D253,Doors!$B:$B,$B253,Doors!$C:$C,$C253)*SUMIFS(Velocity!$I:$I,Velocity!$A:$A,$A253,Velocity!$B:$B,$C253)/Assumptions!$B$4*Assumptions!$B$6</f>
        <v>1.5</v>
      </c>
      <c r="S253" s="7" t="n">
        <f aca="false">SUMIFS(Doors!AE:AE,Doors!$A:$A,$D253,Doors!$B:$B,$B253,Doors!$C:$C,$C253)*SUMIFS(Velocity!$I:$I,Velocity!$A:$A,$A253,Velocity!$B:$B,$C253)/Assumptions!$B$4*Assumptions!$B$6</f>
        <v>1.5</v>
      </c>
      <c r="T253" s="7" t="n">
        <f aca="false">SUMIFS(Doors!AF:AF,Doors!$A:$A,$D253,Doors!$B:$B,$B253,Doors!$C:$C,$C253)*SUMIFS(Velocity!$I:$I,Velocity!$A:$A,$A253,Velocity!$B:$B,$C253)/Assumptions!$B$4*Assumptions!$B$6</f>
        <v>1.5</v>
      </c>
      <c r="U253" s="7" t="n">
        <f aca="false">SUMIFS(Doors!AG:AG,Doors!$A:$A,$D253,Doors!$B:$B,$B253,Doors!$C:$C,$C253)*SUMIFS(Velocity!$I:$I,Velocity!$A:$A,$A253,Velocity!$B:$B,$C253)/Assumptions!$B$4*Assumptions!$B$6</f>
        <v>1.5</v>
      </c>
      <c r="V253" s="7" t="n">
        <f aca="false">SUMIFS(Doors!AH:AH,Doors!$A:$A,$D253,Doors!$B:$B,$B253,Doors!$C:$C,$C253)*SUMIFS(Velocity!$I:$I,Velocity!$A:$A,$A253,Velocity!$B:$B,$C253)/Assumptions!$B$4*Assumptions!$B$6</f>
        <v>1.5</v>
      </c>
      <c r="W253" s="7" t="n">
        <f aca="false">SUMIFS(Doors!AI:AI,Doors!$A:$A,$D253,Doors!$B:$B,$B253,Doors!$C:$C,$C253)*SUMIFS(Velocity!$I:$I,Velocity!$A:$A,$A253,Velocity!$B:$B,$C253)/Assumptions!$B$4*Assumptions!$B$6</f>
        <v>1.66666666666667</v>
      </c>
      <c r="X253" s="7" t="n">
        <f aca="false">SUMIFS(Doors!AJ:AJ,Doors!$A:$A,$D253,Doors!$B:$B,$B253,Doors!$C:$C,$C253)*SUMIFS(Velocity!$I:$I,Velocity!$A:$A,$A253,Velocity!$B:$B,$C253)/Assumptions!$B$4*Assumptions!$B$6</f>
        <v>1.66666666666667</v>
      </c>
      <c r="Y253" s="7" t="n">
        <f aca="false">SUMIFS(Doors!AK:AK,Doors!$A:$A,$D253,Doors!$B:$B,$B253,Doors!$C:$C,$C253)*SUMIFS(Velocity!$I:$I,Velocity!$A:$A,$A253,Velocity!$B:$B,$C253)/Assumptions!$B$4*Assumptions!$B$6</f>
        <v>1.66666666666667</v>
      </c>
      <c r="Z253" s="7" t="n">
        <f aca="false">SUMIFS(Doors!AL:AL,Doors!$A:$A,$D253,Doors!$B:$B,$B253,Doors!$C:$C,$C253)*SUMIFS(Velocity!$I:$I,Velocity!$A:$A,$A253,Velocity!$B:$B,$C253)/Assumptions!$B$4*Assumptions!$B$6</f>
        <v>1.66666666666667</v>
      </c>
      <c r="AA253" s="7" t="n">
        <f aca="false">SUMIFS(Doors!AM:AM,Doors!$A:$A,$D253,Doors!$B:$B,$B253,Doors!$C:$C,$C253)*SUMIFS(Velocity!$I:$I,Velocity!$A:$A,$A253,Velocity!$B:$B,$C253)/Assumptions!$B$4*Assumptions!$B$6</f>
        <v>1.83333333333333</v>
      </c>
      <c r="AB253" s="7" t="n">
        <f aca="false">SUMIFS(Doors!AN:AN,Doors!$A:$A,$D253,Doors!$B:$B,$B253,Doors!$C:$C,$C253)*SUMIFS(Velocity!$I:$I,Velocity!$A:$A,$A253,Velocity!$B:$B,$C253)/Assumptions!$B$4*Assumptions!$B$6</f>
        <v>1.83333333333333</v>
      </c>
      <c r="AC253" s="7" t="n">
        <f aca="false">SUMIFS(Doors!AO:AO,Doors!$A:$A,$D253,Doors!$B:$B,$B253,Doors!$C:$C,$C253)*SUMIFS(Velocity!$I:$I,Velocity!$A:$A,$A253,Velocity!$B:$B,$C253)/Assumptions!$B$4*Assumptions!$B$6</f>
        <v>1.83333333333333</v>
      </c>
      <c r="AD253" s="7" t="n">
        <f aca="false">SUMIFS(Doors!AP:AP,Doors!$A:$A,$D253,Doors!$B:$B,$B253,Doors!$C:$C,$C253)*SUMIFS(Velocity!$I:$I,Velocity!$A:$A,$A253,Velocity!$B:$B,$C253)/Assumptions!$B$4*Assumptions!$B$6</f>
        <v>1.83333333333333</v>
      </c>
      <c r="AE253" s="7" t="n">
        <f aca="false">SUMIFS(Doors!AQ:AQ,Doors!$A:$A,$D253,Doors!$B:$B,$B253,Doors!$C:$C,$C253)*SUMIFS(Velocity!$I:$I,Velocity!$A:$A,$A253,Velocity!$B:$B,$C253)/Assumptions!$B$4*Assumptions!$B$6</f>
        <v>2</v>
      </c>
      <c r="AF253" s="7" t="n">
        <f aca="false">SUMIFS(Doors!AR:AR,Doors!$A:$A,$D253,Doors!$B:$B,$B253,Doors!$C:$C,$C253)*SUMIFS(Velocity!$I:$I,Velocity!$A:$A,$A253,Velocity!$B:$B,$C253)/Assumptions!$B$4*Assumptions!$B$6</f>
        <v>2</v>
      </c>
      <c r="AG253" s="7" t="n">
        <f aca="false">SUMIFS(Doors!AS:AS,Doors!$A:$A,$D253,Doors!$B:$B,$B253,Doors!$C:$C,$C253)*SUMIFS(Velocity!$I:$I,Velocity!$A:$A,$A253,Velocity!$B:$B,$C253)/Assumptions!$B$4*Assumptions!$B$6</f>
        <v>2</v>
      </c>
      <c r="AH253" s="7" t="n">
        <f aca="false">SUMIFS(Doors!AT:AT,Doors!$A:$A,$D253,Doors!$B:$B,$B253,Doors!$C:$C,$C253)*SUMIFS(Velocity!$I:$I,Velocity!$A:$A,$A253,Velocity!$B:$B,$C253)/Assumptions!$B$4*Assumptions!$B$6</f>
        <v>2</v>
      </c>
      <c r="AI253" s="7" t="n">
        <f aca="false">SUMIFS(Doors!AU:AU,Doors!$A:$A,$D253,Doors!$B:$B,$B253,Doors!$C:$C,$C253)*SUMIFS(Velocity!$I:$I,Velocity!$A:$A,$A253,Velocity!$B:$B,$C253)/Assumptions!$B$4*Assumptions!$B$6</f>
        <v>2</v>
      </c>
      <c r="AJ253" s="7" t="n">
        <f aca="false">SUMIFS(Doors!AV:AV,Doors!$A:$A,$D253,Doors!$B:$B,$B253,Doors!$C:$C,$C253)*SUMIFS(Velocity!$I:$I,Velocity!$A:$A,$A253,Velocity!$B:$B,$C253)/Assumptions!$B$4*Assumptions!$B$6</f>
        <v>2.16666666666667</v>
      </c>
      <c r="AK253" s="7" t="n">
        <f aca="false">SUMIFS(Doors!AW:AW,Doors!$A:$A,$D253,Doors!$B:$B,$B253,Doors!$C:$C,$C253)*SUMIFS(Velocity!$I:$I,Velocity!$A:$A,$A253,Velocity!$B:$B,$C253)/Assumptions!$B$4*Assumptions!$B$6</f>
        <v>2.16666666666667</v>
      </c>
      <c r="AL253" s="7" t="n">
        <f aca="false">SUMIFS(Doors!AX:AX,Doors!$A:$A,$D253,Doors!$B:$B,$B253,Doors!$C:$C,$C253)*SUMIFS(Velocity!$I:$I,Velocity!$A:$A,$A253,Velocity!$B:$B,$C253)/Assumptions!$B$4*Assumptions!$B$6</f>
        <v>2.16666666666667</v>
      </c>
      <c r="AM253" s="7" t="n">
        <f aca="false">SUMIFS(Doors!AY:AY,Doors!$A:$A,$D253,Doors!$B:$B,$B253,Doors!$C:$C,$C253)*SUMIFS(Velocity!$I:$I,Velocity!$A:$A,$A253,Velocity!$B:$B,$C253)/Assumptions!$B$4*Assumptions!$B$6</f>
        <v>2.16666666666667</v>
      </c>
      <c r="AN253" s="7" t="n">
        <f aca="false">SUMIFS(Doors!AZ:AZ,Doors!$A:$A,$D253,Doors!$B:$B,$B253,Doors!$C:$C,$C253)*SUMIFS(Velocity!$I:$I,Velocity!$A:$A,$A253,Velocity!$B:$B,$C253)/Assumptions!$B$4*Assumptions!$B$6</f>
        <v>2.33333333333333</v>
      </c>
      <c r="AO253" s="7" t="n">
        <f aca="false">SUMIFS(Doors!BA:BA,Doors!$A:$A,$D253,Doors!$B:$B,$B253,Doors!$C:$C,$C253)*SUMIFS(Velocity!$I:$I,Velocity!$A:$A,$A253,Velocity!$B:$B,$C253)/Assumptions!$B$4*Assumptions!$B$6</f>
        <v>2.33333333333333</v>
      </c>
      <c r="AP253" s="7" t="n">
        <f aca="false">SUMIFS(Doors!BB:BB,Doors!$A:$A,$D253,Doors!$B:$B,$B253,Doors!$C:$C,$C253)*SUMIFS(Velocity!$I:$I,Velocity!$A:$A,$A253,Velocity!$B:$B,$C253)/Assumptions!$B$4*Assumptions!$B$6</f>
        <v>2.33333333333333</v>
      </c>
      <c r="AQ253" s="7" t="n">
        <f aca="false">SUMIFS(Doors!BC:BC,Doors!$A:$A,$D253,Doors!$B:$B,$B253,Doors!$C:$C,$C253)*SUMIFS(Velocity!$I:$I,Velocity!$A:$A,$A253,Velocity!$B:$B,$C253)/Assumptions!$B$4*Assumptions!$B$6</f>
        <v>2.33333333333333</v>
      </c>
      <c r="AR253" s="7" t="n">
        <f aca="false">SUMIFS(Doors!BD:BD,Doors!$A:$A,$D253,Doors!$B:$B,$B253,Doors!$C:$C,$C253)*SUMIFS(Velocity!$I:$I,Velocity!$A:$A,$A253,Velocity!$B:$B,$C253)/Assumptions!$B$4*Assumptions!$B$6</f>
        <v>2.33333333333333</v>
      </c>
      <c r="AS253" s="7" t="n">
        <f aca="false">SUMIFS(Doors!BE:BE,Doors!$A:$A,$D253,Doors!$B:$B,$B253,Doors!$C:$C,$C253)*SUMIFS(Velocity!$I:$I,Velocity!$A:$A,$A253,Velocity!$B:$B,$C253)/Assumptions!$B$4*Assumptions!$B$6</f>
        <v>2.33333333333333</v>
      </c>
      <c r="AT253" s="7" t="n">
        <f aca="false">SUMIFS(Doors!BF:BF,Doors!$A:$A,$D253,Doors!$B:$B,$B253,Doors!$C:$C,$C253)*SUMIFS(Velocity!$I:$I,Velocity!$A:$A,$A253,Velocity!$B:$B,$C253)/Assumptions!$B$4*Assumptions!$B$6</f>
        <v>2.33333333333333</v>
      </c>
      <c r="AU253" s="7" t="n">
        <f aca="false">SUMIFS(Doors!BG:BG,Doors!$A:$A,$D253,Doors!$B:$B,$B253,Doors!$C:$C,$C253)*SUMIFS(Velocity!$I:$I,Velocity!$A:$A,$A253,Velocity!$B:$B,$C253)/Assumptions!$B$4*Assumptions!$B$6</f>
        <v>2.33333333333333</v>
      </c>
      <c r="AV253" s="7" t="n">
        <f aca="false">SUMIFS(Doors!BH:BH,Doors!$A:$A,$D253,Doors!$B:$B,$B253,Doors!$C:$C,$C253)*SUMIFS(Velocity!$I:$I,Velocity!$A:$A,$A253,Velocity!$B:$B,$C253)/Assumptions!$B$4*Assumptions!$B$6</f>
        <v>2.33333333333333</v>
      </c>
      <c r="AW253" s="7" t="n">
        <f aca="false">SUMIFS(Doors!BI:BI,Doors!$A:$A,$D253,Doors!$B:$B,$B253,Doors!$C:$C,$C253)*SUMIFS(Velocity!$I:$I,Velocity!$A:$A,$A253,Velocity!$B:$B,$C253)/Assumptions!$B$4*Assumptions!$B$6</f>
        <v>2.5</v>
      </c>
      <c r="AX253" s="7" t="n">
        <f aca="false">SUMIFS(Doors!BJ:BJ,Doors!$A:$A,$D253,Doors!$B:$B,$B253,Doors!$C:$C,$C253)*SUMIFS(Velocity!$I:$I,Velocity!$A:$A,$A253,Velocity!$B:$B,$C253)/Assumptions!$B$4*Assumptions!$B$6</f>
        <v>2.5</v>
      </c>
      <c r="AY253" s="7" t="n">
        <f aca="false">SUMIFS(Doors!BK:BK,Doors!$A:$A,$D253,Doors!$B:$B,$B253,Doors!$C:$C,$C253)*SUMIFS(Velocity!$I:$I,Velocity!$A:$A,$A253,Velocity!$B:$B,$C253)/Assumptions!$B$4*Assumptions!$B$6</f>
        <v>2.5</v>
      </c>
      <c r="AZ253" s="7" t="n">
        <f aca="false">SUMIFS(Doors!BL:BL,Doors!$A:$A,$D253,Doors!$B:$B,$B253,Doors!$C:$C,$C253)*SUMIFS(Velocity!$I:$I,Velocity!$A:$A,$A253,Velocity!$B:$B,$C253)/Assumptions!$B$4*Assumptions!$B$6</f>
        <v>2.5</v>
      </c>
      <c r="BA253" s="7" t="n">
        <f aca="false">SUMIFS(Doors!BM:BM,Doors!$A:$A,$D253,Doors!$B:$B,$B253,Doors!$C:$C,$C253)*SUMIFS(Velocity!$I:$I,Velocity!$A:$A,$A253,Velocity!$B:$B,$C253)/Assumptions!$B$4*Assumptions!$B$6</f>
        <v>2.5</v>
      </c>
      <c r="BB253" s="7" t="n">
        <f aca="false">SUMIFS(Doors!BN:BN,Doors!$A:$A,$D253,Doors!$B:$B,$B253,Doors!$C:$C,$C253)*SUMIFS(Velocity!$I:$I,Velocity!$A:$A,$A253,Velocity!$B:$B,$C253)/Assumptions!$B$4*Assumptions!$B$6</f>
        <v>2.5</v>
      </c>
      <c r="BC253" s="7" t="n">
        <f aca="false">SUMIFS(Doors!BO:BO,Doors!$A:$A,$D253,Doors!$B:$B,$B253,Doors!$C:$C,$C253)*SUMIFS(Velocity!$I:$I,Velocity!$A:$A,$A253,Velocity!$B:$B,$C253)/Assumptions!$B$4*Assumptions!$B$6</f>
        <v>2.5</v>
      </c>
      <c r="BD253" s="7" t="n">
        <f aca="false">SUMIFS(Doors!BP:BP,Doors!$A:$A,$D253,Doors!$B:$B,$B253,Doors!$C:$C,$C253)*SUMIFS(Velocity!$I:$I,Velocity!$A:$A,$A253,Velocity!$B:$B,$C253)/Assumptions!$B$4*Assumptions!$B$6</f>
        <v>2.5</v>
      </c>
    </row>
    <row r="254" customFormat="false" ht="15" hidden="false" customHeight="false" outlineLevel="0" collapsed="false">
      <c r="A254" s="0" t="s">
        <v>110</v>
      </c>
      <c r="B254" s="0" t="s">
        <v>133</v>
      </c>
      <c r="C254" s="0" t="s">
        <v>120</v>
      </c>
      <c r="D254" s="0" t="s">
        <v>235</v>
      </c>
      <c r="E254" s="7" t="n">
        <f aca="false">SUMIFS(Doors!Q:Q,Doors!$A:$A,$D254,Doors!$B:$B,$B254,Doors!$C:$C,$C254)*SUMIFS(Velocity!$I:$I,Velocity!$A:$A,$A254,Velocity!$B:$B,$C254)/Assumptions!$B$4*Assumptions!$B$6</f>
        <v>0.59375</v>
      </c>
      <c r="F254" s="7" t="n">
        <f aca="false">SUMIFS(Doors!R:R,Doors!$A:$A,$D254,Doors!$B:$B,$B254,Doors!$C:$C,$C254)*SUMIFS(Velocity!$I:$I,Velocity!$A:$A,$A254,Velocity!$B:$B,$C254)/Assumptions!$B$4*Assumptions!$B$6</f>
        <v>0.59375</v>
      </c>
      <c r="G254" s="7" t="n">
        <f aca="false">SUMIFS(Doors!S:S,Doors!$A:$A,$D254,Doors!$B:$B,$B254,Doors!$C:$C,$C254)*SUMIFS(Velocity!$I:$I,Velocity!$A:$A,$A254,Velocity!$B:$B,$C254)/Assumptions!$B$4*Assumptions!$B$6</f>
        <v>0.59375</v>
      </c>
      <c r="H254" s="7" t="n">
        <f aca="false">SUMIFS(Doors!T:T,Doors!$A:$A,$D254,Doors!$B:$B,$B254,Doors!$C:$C,$C254)*SUMIFS(Velocity!$I:$I,Velocity!$A:$A,$A254,Velocity!$B:$B,$C254)/Assumptions!$B$4*Assumptions!$B$6</f>
        <v>0.59375</v>
      </c>
      <c r="I254" s="7" t="n">
        <f aca="false">SUMIFS(Doors!U:U,Doors!$A:$A,$D254,Doors!$B:$B,$B254,Doors!$C:$C,$C254)*SUMIFS(Velocity!$I:$I,Velocity!$A:$A,$A254,Velocity!$B:$B,$C254)/Assumptions!$B$4*Assumptions!$B$6</f>
        <v>0.59375</v>
      </c>
      <c r="J254" s="7" t="n">
        <f aca="false">SUMIFS(Doors!V:V,Doors!$A:$A,$D254,Doors!$B:$B,$B254,Doors!$C:$C,$C254)*SUMIFS(Velocity!$I:$I,Velocity!$A:$A,$A254,Velocity!$B:$B,$C254)/Assumptions!$B$4*Assumptions!$B$6</f>
        <v>0.989583333333333</v>
      </c>
      <c r="K254" s="7" t="n">
        <f aca="false">SUMIFS(Doors!W:W,Doors!$A:$A,$D254,Doors!$B:$B,$B254,Doors!$C:$C,$C254)*SUMIFS(Velocity!$I:$I,Velocity!$A:$A,$A254,Velocity!$B:$B,$C254)/Assumptions!$B$4*Assumptions!$B$6</f>
        <v>0.989583333333333</v>
      </c>
      <c r="L254" s="7" t="n">
        <f aca="false">SUMIFS(Doors!X:X,Doors!$A:$A,$D254,Doors!$B:$B,$B254,Doors!$C:$C,$C254)*SUMIFS(Velocity!$I:$I,Velocity!$A:$A,$A254,Velocity!$B:$B,$C254)/Assumptions!$B$4*Assumptions!$B$6</f>
        <v>0.989583333333333</v>
      </c>
      <c r="M254" s="7" t="n">
        <f aca="false">SUMIFS(Doors!Y:Y,Doors!$A:$A,$D254,Doors!$B:$B,$B254,Doors!$C:$C,$C254)*SUMIFS(Velocity!$I:$I,Velocity!$A:$A,$A254,Velocity!$B:$B,$C254)/Assumptions!$B$4*Assumptions!$B$6</f>
        <v>0.989583333333333</v>
      </c>
      <c r="N254" s="7" t="n">
        <f aca="false">SUMIFS(Doors!Z:Z,Doors!$A:$A,$D254,Doors!$B:$B,$B254,Doors!$C:$C,$C254)*SUMIFS(Velocity!$I:$I,Velocity!$A:$A,$A254,Velocity!$B:$B,$C254)/Assumptions!$B$4*Assumptions!$B$6</f>
        <v>1.38541666666667</v>
      </c>
      <c r="O254" s="7" t="n">
        <f aca="false">SUMIFS(Doors!AA:AA,Doors!$A:$A,$D254,Doors!$B:$B,$B254,Doors!$C:$C,$C254)*SUMIFS(Velocity!$I:$I,Velocity!$A:$A,$A254,Velocity!$B:$B,$C254)/Assumptions!$B$4*Assumptions!$B$6</f>
        <v>1.38541666666667</v>
      </c>
      <c r="P254" s="7" t="n">
        <f aca="false">SUMIFS(Doors!AB:AB,Doors!$A:$A,$D254,Doors!$B:$B,$B254,Doors!$C:$C,$C254)*SUMIFS(Velocity!$I:$I,Velocity!$A:$A,$A254,Velocity!$B:$B,$C254)/Assumptions!$B$4*Assumptions!$B$6</f>
        <v>1.38541666666667</v>
      </c>
      <c r="Q254" s="7" t="n">
        <f aca="false">SUMIFS(Doors!AC:AC,Doors!$A:$A,$D254,Doors!$B:$B,$B254,Doors!$C:$C,$C254)*SUMIFS(Velocity!$I:$I,Velocity!$A:$A,$A254,Velocity!$B:$B,$C254)/Assumptions!$B$4*Assumptions!$B$6</f>
        <v>1.38541666666667</v>
      </c>
      <c r="R254" s="7" t="n">
        <f aca="false">SUMIFS(Doors!AD:AD,Doors!$A:$A,$D254,Doors!$B:$B,$B254,Doors!$C:$C,$C254)*SUMIFS(Velocity!$I:$I,Velocity!$A:$A,$A254,Velocity!$B:$B,$C254)/Assumptions!$B$4*Assumptions!$B$6</f>
        <v>1.78125</v>
      </c>
      <c r="S254" s="7" t="n">
        <f aca="false">SUMIFS(Doors!AE:AE,Doors!$A:$A,$D254,Doors!$B:$B,$B254,Doors!$C:$C,$C254)*SUMIFS(Velocity!$I:$I,Velocity!$A:$A,$A254,Velocity!$B:$B,$C254)/Assumptions!$B$4*Assumptions!$B$6</f>
        <v>1.78125</v>
      </c>
      <c r="T254" s="7" t="n">
        <f aca="false">SUMIFS(Doors!AF:AF,Doors!$A:$A,$D254,Doors!$B:$B,$B254,Doors!$C:$C,$C254)*SUMIFS(Velocity!$I:$I,Velocity!$A:$A,$A254,Velocity!$B:$B,$C254)/Assumptions!$B$4*Assumptions!$B$6</f>
        <v>1.78125</v>
      </c>
      <c r="U254" s="7" t="n">
        <f aca="false">SUMIFS(Doors!AG:AG,Doors!$A:$A,$D254,Doors!$B:$B,$B254,Doors!$C:$C,$C254)*SUMIFS(Velocity!$I:$I,Velocity!$A:$A,$A254,Velocity!$B:$B,$C254)/Assumptions!$B$4*Assumptions!$B$6</f>
        <v>1.78125</v>
      </c>
      <c r="V254" s="7" t="n">
        <f aca="false">SUMIFS(Doors!AH:AH,Doors!$A:$A,$D254,Doors!$B:$B,$B254,Doors!$C:$C,$C254)*SUMIFS(Velocity!$I:$I,Velocity!$A:$A,$A254,Velocity!$B:$B,$C254)/Assumptions!$B$4*Assumptions!$B$6</f>
        <v>1.78125</v>
      </c>
      <c r="W254" s="7" t="n">
        <f aca="false">SUMIFS(Doors!AI:AI,Doors!$A:$A,$D254,Doors!$B:$B,$B254,Doors!$C:$C,$C254)*SUMIFS(Velocity!$I:$I,Velocity!$A:$A,$A254,Velocity!$B:$B,$C254)/Assumptions!$B$4*Assumptions!$B$6</f>
        <v>2.17708333333333</v>
      </c>
      <c r="X254" s="7" t="n">
        <f aca="false">SUMIFS(Doors!AJ:AJ,Doors!$A:$A,$D254,Doors!$B:$B,$B254,Doors!$C:$C,$C254)*SUMIFS(Velocity!$I:$I,Velocity!$A:$A,$A254,Velocity!$B:$B,$C254)/Assumptions!$B$4*Assumptions!$B$6</f>
        <v>2.17708333333333</v>
      </c>
      <c r="Y254" s="7" t="n">
        <f aca="false">SUMIFS(Doors!AK:AK,Doors!$A:$A,$D254,Doors!$B:$B,$B254,Doors!$C:$C,$C254)*SUMIFS(Velocity!$I:$I,Velocity!$A:$A,$A254,Velocity!$B:$B,$C254)/Assumptions!$B$4*Assumptions!$B$6</f>
        <v>2.17708333333333</v>
      </c>
      <c r="Z254" s="7" t="n">
        <f aca="false">SUMIFS(Doors!AL:AL,Doors!$A:$A,$D254,Doors!$B:$B,$B254,Doors!$C:$C,$C254)*SUMIFS(Velocity!$I:$I,Velocity!$A:$A,$A254,Velocity!$B:$B,$C254)/Assumptions!$B$4*Assumptions!$B$6</f>
        <v>2.17708333333333</v>
      </c>
      <c r="AA254" s="7" t="n">
        <f aca="false">SUMIFS(Doors!AM:AM,Doors!$A:$A,$D254,Doors!$B:$B,$B254,Doors!$C:$C,$C254)*SUMIFS(Velocity!$I:$I,Velocity!$A:$A,$A254,Velocity!$B:$B,$C254)/Assumptions!$B$4*Assumptions!$B$6</f>
        <v>2.375</v>
      </c>
      <c r="AB254" s="7" t="n">
        <f aca="false">SUMIFS(Doors!AN:AN,Doors!$A:$A,$D254,Doors!$B:$B,$B254,Doors!$C:$C,$C254)*SUMIFS(Velocity!$I:$I,Velocity!$A:$A,$A254,Velocity!$B:$B,$C254)/Assumptions!$B$4*Assumptions!$B$6</f>
        <v>2.375</v>
      </c>
      <c r="AC254" s="7" t="n">
        <f aca="false">SUMIFS(Doors!AO:AO,Doors!$A:$A,$D254,Doors!$B:$B,$B254,Doors!$C:$C,$C254)*SUMIFS(Velocity!$I:$I,Velocity!$A:$A,$A254,Velocity!$B:$B,$C254)/Assumptions!$B$4*Assumptions!$B$6</f>
        <v>2.375</v>
      </c>
      <c r="AD254" s="7" t="n">
        <f aca="false">SUMIFS(Doors!AP:AP,Doors!$A:$A,$D254,Doors!$B:$B,$B254,Doors!$C:$C,$C254)*SUMIFS(Velocity!$I:$I,Velocity!$A:$A,$A254,Velocity!$B:$B,$C254)/Assumptions!$B$4*Assumptions!$B$6</f>
        <v>2.375</v>
      </c>
      <c r="AE254" s="7" t="n">
        <f aca="false">SUMIFS(Doors!AQ:AQ,Doors!$A:$A,$D254,Doors!$B:$B,$B254,Doors!$C:$C,$C254)*SUMIFS(Velocity!$I:$I,Velocity!$A:$A,$A254,Velocity!$B:$B,$C254)/Assumptions!$B$4*Assumptions!$B$6</f>
        <v>2.57291666666667</v>
      </c>
      <c r="AF254" s="7" t="n">
        <f aca="false">SUMIFS(Doors!AR:AR,Doors!$A:$A,$D254,Doors!$B:$B,$B254,Doors!$C:$C,$C254)*SUMIFS(Velocity!$I:$I,Velocity!$A:$A,$A254,Velocity!$B:$B,$C254)/Assumptions!$B$4*Assumptions!$B$6</f>
        <v>2.57291666666667</v>
      </c>
      <c r="AG254" s="7" t="n">
        <f aca="false">SUMIFS(Doors!AS:AS,Doors!$A:$A,$D254,Doors!$B:$B,$B254,Doors!$C:$C,$C254)*SUMIFS(Velocity!$I:$I,Velocity!$A:$A,$A254,Velocity!$B:$B,$C254)/Assumptions!$B$4*Assumptions!$B$6</f>
        <v>2.57291666666667</v>
      </c>
      <c r="AH254" s="7" t="n">
        <f aca="false">SUMIFS(Doors!AT:AT,Doors!$A:$A,$D254,Doors!$B:$B,$B254,Doors!$C:$C,$C254)*SUMIFS(Velocity!$I:$I,Velocity!$A:$A,$A254,Velocity!$B:$B,$C254)/Assumptions!$B$4*Assumptions!$B$6</f>
        <v>2.57291666666667</v>
      </c>
      <c r="AI254" s="7" t="n">
        <f aca="false">SUMIFS(Doors!AU:AU,Doors!$A:$A,$D254,Doors!$B:$B,$B254,Doors!$C:$C,$C254)*SUMIFS(Velocity!$I:$I,Velocity!$A:$A,$A254,Velocity!$B:$B,$C254)/Assumptions!$B$4*Assumptions!$B$6</f>
        <v>2.57291666666667</v>
      </c>
      <c r="AJ254" s="7" t="n">
        <f aca="false">SUMIFS(Doors!AV:AV,Doors!$A:$A,$D254,Doors!$B:$B,$B254,Doors!$C:$C,$C254)*SUMIFS(Velocity!$I:$I,Velocity!$A:$A,$A254,Velocity!$B:$B,$C254)/Assumptions!$B$4*Assumptions!$B$6</f>
        <v>2.77083333333333</v>
      </c>
      <c r="AK254" s="7" t="n">
        <f aca="false">SUMIFS(Doors!AW:AW,Doors!$A:$A,$D254,Doors!$B:$B,$B254,Doors!$C:$C,$C254)*SUMIFS(Velocity!$I:$I,Velocity!$A:$A,$A254,Velocity!$B:$B,$C254)/Assumptions!$B$4*Assumptions!$B$6</f>
        <v>2.77083333333333</v>
      </c>
      <c r="AL254" s="7" t="n">
        <f aca="false">SUMIFS(Doors!AX:AX,Doors!$A:$A,$D254,Doors!$B:$B,$B254,Doors!$C:$C,$C254)*SUMIFS(Velocity!$I:$I,Velocity!$A:$A,$A254,Velocity!$B:$B,$C254)/Assumptions!$B$4*Assumptions!$B$6</f>
        <v>2.77083333333333</v>
      </c>
      <c r="AM254" s="7" t="n">
        <f aca="false">SUMIFS(Doors!AY:AY,Doors!$A:$A,$D254,Doors!$B:$B,$B254,Doors!$C:$C,$C254)*SUMIFS(Velocity!$I:$I,Velocity!$A:$A,$A254,Velocity!$B:$B,$C254)/Assumptions!$B$4*Assumptions!$B$6</f>
        <v>2.77083333333333</v>
      </c>
      <c r="AN254" s="7" t="n">
        <f aca="false">SUMIFS(Doors!AZ:AZ,Doors!$A:$A,$D254,Doors!$B:$B,$B254,Doors!$C:$C,$C254)*SUMIFS(Velocity!$I:$I,Velocity!$A:$A,$A254,Velocity!$B:$B,$C254)/Assumptions!$B$4*Assumptions!$B$6</f>
        <v>2.77083333333333</v>
      </c>
      <c r="AO254" s="7" t="n">
        <f aca="false">SUMIFS(Doors!BA:BA,Doors!$A:$A,$D254,Doors!$B:$B,$B254,Doors!$C:$C,$C254)*SUMIFS(Velocity!$I:$I,Velocity!$A:$A,$A254,Velocity!$B:$B,$C254)/Assumptions!$B$4*Assumptions!$B$6</f>
        <v>2.77083333333333</v>
      </c>
      <c r="AP254" s="7" t="n">
        <f aca="false">SUMIFS(Doors!BB:BB,Doors!$A:$A,$D254,Doors!$B:$B,$B254,Doors!$C:$C,$C254)*SUMIFS(Velocity!$I:$I,Velocity!$A:$A,$A254,Velocity!$B:$B,$C254)/Assumptions!$B$4*Assumptions!$B$6</f>
        <v>2.77083333333333</v>
      </c>
      <c r="AQ254" s="7" t="n">
        <f aca="false">SUMIFS(Doors!BC:BC,Doors!$A:$A,$D254,Doors!$B:$B,$B254,Doors!$C:$C,$C254)*SUMIFS(Velocity!$I:$I,Velocity!$A:$A,$A254,Velocity!$B:$B,$C254)/Assumptions!$B$4*Assumptions!$B$6</f>
        <v>2.77083333333333</v>
      </c>
      <c r="AR254" s="7" t="n">
        <f aca="false">SUMIFS(Doors!BD:BD,Doors!$A:$A,$D254,Doors!$B:$B,$B254,Doors!$C:$C,$C254)*SUMIFS(Velocity!$I:$I,Velocity!$A:$A,$A254,Velocity!$B:$B,$C254)/Assumptions!$B$4*Assumptions!$B$6</f>
        <v>2.96875</v>
      </c>
      <c r="AS254" s="7" t="n">
        <f aca="false">SUMIFS(Doors!BE:BE,Doors!$A:$A,$D254,Doors!$B:$B,$B254,Doors!$C:$C,$C254)*SUMIFS(Velocity!$I:$I,Velocity!$A:$A,$A254,Velocity!$B:$B,$C254)/Assumptions!$B$4*Assumptions!$B$6</f>
        <v>2.96875</v>
      </c>
      <c r="AT254" s="7" t="n">
        <f aca="false">SUMIFS(Doors!BF:BF,Doors!$A:$A,$D254,Doors!$B:$B,$B254,Doors!$C:$C,$C254)*SUMIFS(Velocity!$I:$I,Velocity!$A:$A,$A254,Velocity!$B:$B,$C254)/Assumptions!$B$4*Assumptions!$B$6</f>
        <v>2.96875</v>
      </c>
      <c r="AU254" s="7" t="n">
        <f aca="false">SUMIFS(Doors!BG:BG,Doors!$A:$A,$D254,Doors!$B:$B,$B254,Doors!$C:$C,$C254)*SUMIFS(Velocity!$I:$I,Velocity!$A:$A,$A254,Velocity!$B:$B,$C254)/Assumptions!$B$4*Assumptions!$B$6</f>
        <v>2.96875</v>
      </c>
      <c r="AV254" s="7" t="n">
        <f aca="false">SUMIFS(Doors!BH:BH,Doors!$A:$A,$D254,Doors!$B:$B,$B254,Doors!$C:$C,$C254)*SUMIFS(Velocity!$I:$I,Velocity!$A:$A,$A254,Velocity!$B:$B,$C254)/Assumptions!$B$4*Assumptions!$B$6</f>
        <v>2.96875</v>
      </c>
      <c r="AW254" s="7" t="n">
        <f aca="false">SUMIFS(Doors!BI:BI,Doors!$A:$A,$D254,Doors!$B:$B,$B254,Doors!$C:$C,$C254)*SUMIFS(Velocity!$I:$I,Velocity!$A:$A,$A254,Velocity!$B:$B,$C254)/Assumptions!$B$4*Assumptions!$B$6</f>
        <v>2.96875</v>
      </c>
      <c r="AX254" s="7" t="n">
        <f aca="false">SUMIFS(Doors!BJ:BJ,Doors!$A:$A,$D254,Doors!$B:$B,$B254,Doors!$C:$C,$C254)*SUMIFS(Velocity!$I:$I,Velocity!$A:$A,$A254,Velocity!$B:$B,$C254)/Assumptions!$B$4*Assumptions!$B$6</f>
        <v>2.96875</v>
      </c>
      <c r="AY254" s="7" t="n">
        <f aca="false">SUMIFS(Doors!BK:BK,Doors!$A:$A,$D254,Doors!$B:$B,$B254,Doors!$C:$C,$C254)*SUMIFS(Velocity!$I:$I,Velocity!$A:$A,$A254,Velocity!$B:$B,$C254)/Assumptions!$B$4*Assumptions!$B$6</f>
        <v>2.96875</v>
      </c>
      <c r="AZ254" s="7" t="n">
        <f aca="false">SUMIFS(Doors!BL:BL,Doors!$A:$A,$D254,Doors!$B:$B,$B254,Doors!$C:$C,$C254)*SUMIFS(Velocity!$I:$I,Velocity!$A:$A,$A254,Velocity!$B:$B,$C254)/Assumptions!$B$4*Assumptions!$B$6</f>
        <v>2.96875</v>
      </c>
      <c r="BA254" s="7" t="n">
        <f aca="false">SUMIFS(Doors!BM:BM,Doors!$A:$A,$D254,Doors!$B:$B,$B254,Doors!$C:$C,$C254)*SUMIFS(Velocity!$I:$I,Velocity!$A:$A,$A254,Velocity!$B:$B,$C254)/Assumptions!$B$4*Assumptions!$B$6</f>
        <v>2.96875</v>
      </c>
      <c r="BB254" s="7" t="n">
        <f aca="false">SUMIFS(Doors!BN:BN,Doors!$A:$A,$D254,Doors!$B:$B,$B254,Doors!$C:$C,$C254)*SUMIFS(Velocity!$I:$I,Velocity!$A:$A,$A254,Velocity!$B:$B,$C254)/Assumptions!$B$4*Assumptions!$B$6</f>
        <v>2.96875</v>
      </c>
      <c r="BC254" s="7" t="n">
        <f aca="false">SUMIFS(Doors!BO:BO,Doors!$A:$A,$D254,Doors!$B:$B,$B254,Doors!$C:$C,$C254)*SUMIFS(Velocity!$I:$I,Velocity!$A:$A,$A254,Velocity!$B:$B,$C254)/Assumptions!$B$4*Assumptions!$B$6</f>
        <v>2.96875</v>
      </c>
      <c r="BD254" s="7" t="n">
        <f aca="false">SUMIFS(Doors!BP:BP,Doors!$A:$A,$D254,Doors!$B:$B,$B254,Doors!$C:$C,$C254)*SUMIFS(Velocity!$I:$I,Velocity!$A:$A,$A254,Velocity!$B:$B,$C254)/Assumptions!$B$4*Assumptions!$B$6</f>
        <v>2.96875</v>
      </c>
    </row>
    <row r="255" customFormat="false" ht="15" hidden="false" customHeight="false" outlineLevel="0" collapsed="false">
      <c r="A255" s="0" t="s">
        <v>110</v>
      </c>
      <c r="B255" s="0" t="s">
        <v>133</v>
      </c>
      <c r="C255" s="0" t="s">
        <v>121</v>
      </c>
      <c r="D255" s="0" t="s">
        <v>235</v>
      </c>
      <c r="E255" s="7" t="n">
        <f aca="false">SUMIFS(Doors!Q:Q,Doors!$A:$A,$D255,Doors!$B:$B,$B255,Doors!$C:$C,$C255)*SUMIFS(Velocity!$I:$I,Velocity!$A:$A,$A255,Velocity!$B:$B,$C255)/Assumptions!$B$4*Assumptions!$B$6</f>
        <v>0.608333333333333</v>
      </c>
      <c r="F255" s="7" t="n">
        <f aca="false">SUMIFS(Doors!R:R,Doors!$A:$A,$D255,Doors!$B:$B,$B255,Doors!$C:$C,$C255)*SUMIFS(Velocity!$I:$I,Velocity!$A:$A,$A255,Velocity!$B:$B,$C255)/Assumptions!$B$4*Assumptions!$B$6</f>
        <v>0.608333333333333</v>
      </c>
      <c r="G255" s="7" t="n">
        <f aca="false">SUMIFS(Doors!S:S,Doors!$A:$A,$D255,Doors!$B:$B,$B255,Doors!$C:$C,$C255)*SUMIFS(Velocity!$I:$I,Velocity!$A:$A,$A255,Velocity!$B:$B,$C255)/Assumptions!$B$4*Assumptions!$B$6</f>
        <v>0.608333333333333</v>
      </c>
      <c r="H255" s="7" t="n">
        <f aca="false">SUMIFS(Doors!T:T,Doors!$A:$A,$D255,Doors!$B:$B,$B255,Doors!$C:$C,$C255)*SUMIFS(Velocity!$I:$I,Velocity!$A:$A,$A255,Velocity!$B:$B,$C255)/Assumptions!$B$4*Assumptions!$B$6</f>
        <v>0.608333333333333</v>
      </c>
      <c r="I255" s="7" t="n">
        <f aca="false">SUMIFS(Doors!U:U,Doors!$A:$A,$D255,Doors!$B:$B,$B255,Doors!$C:$C,$C255)*SUMIFS(Velocity!$I:$I,Velocity!$A:$A,$A255,Velocity!$B:$B,$C255)/Assumptions!$B$4*Assumptions!$B$6</f>
        <v>0.608333333333333</v>
      </c>
      <c r="J255" s="7" t="n">
        <f aca="false">SUMIFS(Doors!V:V,Doors!$A:$A,$D255,Doors!$B:$B,$B255,Doors!$C:$C,$C255)*SUMIFS(Velocity!$I:$I,Velocity!$A:$A,$A255,Velocity!$B:$B,$C255)/Assumptions!$B$4*Assumptions!$B$6</f>
        <v>0.9125</v>
      </c>
      <c r="K255" s="7" t="n">
        <f aca="false">SUMIFS(Doors!W:W,Doors!$A:$A,$D255,Doors!$B:$B,$B255,Doors!$C:$C,$C255)*SUMIFS(Velocity!$I:$I,Velocity!$A:$A,$A255,Velocity!$B:$B,$C255)/Assumptions!$B$4*Assumptions!$B$6</f>
        <v>0.9125</v>
      </c>
      <c r="L255" s="7" t="n">
        <f aca="false">SUMIFS(Doors!X:X,Doors!$A:$A,$D255,Doors!$B:$B,$B255,Doors!$C:$C,$C255)*SUMIFS(Velocity!$I:$I,Velocity!$A:$A,$A255,Velocity!$B:$B,$C255)/Assumptions!$B$4*Assumptions!$B$6</f>
        <v>0.9125</v>
      </c>
      <c r="M255" s="7" t="n">
        <f aca="false">SUMIFS(Doors!Y:Y,Doors!$A:$A,$D255,Doors!$B:$B,$B255,Doors!$C:$C,$C255)*SUMIFS(Velocity!$I:$I,Velocity!$A:$A,$A255,Velocity!$B:$B,$C255)/Assumptions!$B$4*Assumptions!$B$6</f>
        <v>0.9125</v>
      </c>
      <c r="N255" s="7" t="n">
        <f aca="false">SUMIFS(Doors!Z:Z,Doors!$A:$A,$D255,Doors!$B:$B,$B255,Doors!$C:$C,$C255)*SUMIFS(Velocity!$I:$I,Velocity!$A:$A,$A255,Velocity!$B:$B,$C255)/Assumptions!$B$4*Assumptions!$B$6</f>
        <v>1.21666666666667</v>
      </c>
      <c r="O255" s="7" t="n">
        <f aca="false">SUMIFS(Doors!AA:AA,Doors!$A:$A,$D255,Doors!$B:$B,$B255,Doors!$C:$C,$C255)*SUMIFS(Velocity!$I:$I,Velocity!$A:$A,$A255,Velocity!$B:$B,$C255)/Assumptions!$B$4*Assumptions!$B$6</f>
        <v>1.21666666666667</v>
      </c>
      <c r="P255" s="7" t="n">
        <f aca="false">SUMIFS(Doors!AB:AB,Doors!$A:$A,$D255,Doors!$B:$B,$B255,Doors!$C:$C,$C255)*SUMIFS(Velocity!$I:$I,Velocity!$A:$A,$A255,Velocity!$B:$B,$C255)/Assumptions!$B$4*Assumptions!$B$6</f>
        <v>1.21666666666667</v>
      </c>
      <c r="Q255" s="7" t="n">
        <f aca="false">SUMIFS(Doors!AC:AC,Doors!$A:$A,$D255,Doors!$B:$B,$B255,Doors!$C:$C,$C255)*SUMIFS(Velocity!$I:$I,Velocity!$A:$A,$A255,Velocity!$B:$B,$C255)/Assumptions!$B$4*Assumptions!$B$6</f>
        <v>1.21666666666667</v>
      </c>
      <c r="R255" s="7" t="n">
        <f aca="false">SUMIFS(Doors!AD:AD,Doors!$A:$A,$D255,Doors!$B:$B,$B255,Doors!$C:$C,$C255)*SUMIFS(Velocity!$I:$I,Velocity!$A:$A,$A255,Velocity!$B:$B,$C255)/Assumptions!$B$4*Assumptions!$B$6</f>
        <v>1.52083333333333</v>
      </c>
      <c r="S255" s="7" t="n">
        <f aca="false">SUMIFS(Doors!AE:AE,Doors!$A:$A,$D255,Doors!$B:$B,$B255,Doors!$C:$C,$C255)*SUMIFS(Velocity!$I:$I,Velocity!$A:$A,$A255,Velocity!$B:$B,$C255)/Assumptions!$B$4*Assumptions!$B$6</f>
        <v>1.52083333333333</v>
      </c>
      <c r="T255" s="7" t="n">
        <f aca="false">SUMIFS(Doors!AF:AF,Doors!$A:$A,$D255,Doors!$B:$B,$B255,Doors!$C:$C,$C255)*SUMIFS(Velocity!$I:$I,Velocity!$A:$A,$A255,Velocity!$B:$B,$C255)/Assumptions!$B$4*Assumptions!$B$6</f>
        <v>1.52083333333333</v>
      </c>
      <c r="U255" s="7" t="n">
        <f aca="false">SUMIFS(Doors!AG:AG,Doors!$A:$A,$D255,Doors!$B:$B,$B255,Doors!$C:$C,$C255)*SUMIFS(Velocity!$I:$I,Velocity!$A:$A,$A255,Velocity!$B:$B,$C255)/Assumptions!$B$4*Assumptions!$B$6</f>
        <v>1.52083333333333</v>
      </c>
      <c r="V255" s="7" t="n">
        <f aca="false">SUMIFS(Doors!AH:AH,Doors!$A:$A,$D255,Doors!$B:$B,$B255,Doors!$C:$C,$C255)*SUMIFS(Velocity!$I:$I,Velocity!$A:$A,$A255,Velocity!$B:$B,$C255)/Assumptions!$B$4*Assumptions!$B$6</f>
        <v>1.52083333333333</v>
      </c>
      <c r="W255" s="7" t="n">
        <f aca="false">SUMIFS(Doors!AI:AI,Doors!$A:$A,$D255,Doors!$B:$B,$B255,Doors!$C:$C,$C255)*SUMIFS(Velocity!$I:$I,Velocity!$A:$A,$A255,Velocity!$B:$B,$C255)/Assumptions!$B$4*Assumptions!$B$6</f>
        <v>1.825</v>
      </c>
      <c r="X255" s="7" t="n">
        <f aca="false">SUMIFS(Doors!AJ:AJ,Doors!$A:$A,$D255,Doors!$B:$B,$B255,Doors!$C:$C,$C255)*SUMIFS(Velocity!$I:$I,Velocity!$A:$A,$A255,Velocity!$B:$B,$C255)/Assumptions!$B$4*Assumptions!$B$6</f>
        <v>1.825</v>
      </c>
      <c r="Y255" s="7" t="n">
        <f aca="false">SUMIFS(Doors!AK:AK,Doors!$A:$A,$D255,Doors!$B:$B,$B255,Doors!$C:$C,$C255)*SUMIFS(Velocity!$I:$I,Velocity!$A:$A,$A255,Velocity!$B:$B,$C255)/Assumptions!$B$4*Assumptions!$B$6</f>
        <v>1.825</v>
      </c>
      <c r="Z255" s="7" t="n">
        <f aca="false">SUMIFS(Doors!AL:AL,Doors!$A:$A,$D255,Doors!$B:$B,$B255,Doors!$C:$C,$C255)*SUMIFS(Velocity!$I:$I,Velocity!$A:$A,$A255,Velocity!$B:$B,$C255)/Assumptions!$B$4*Assumptions!$B$6</f>
        <v>1.825</v>
      </c>
      <c r="AA255" s="7" t="n">
        <f aca="false">SUMIFS(Doors!AM:AM,Doors!$A:$A,$D255,Doors!$B:$B,$B255,Doors!$C:$C,$C255)*SUMIFS(Velocity!$I:$I,Velocity!$A:$A,$A255,Velocity!$B:$B,$C255)/Assumptions!$B$4*Assumptions!$B$6</f>
        <v>2.12916666666667</v>
      </c>
      <c r="AB255" s="7" t="n">
        <f aca="false">SUMIFS(Doors!AN:AN,Doors!$A:$A,$D255,Doors!$B:$B,$B255,Doors!$C:$C,$C255)*SUMIFS(Velocity!$I:$I,Velocity!$A:$A,$A255,Velocity!$B:$B,$C255)/Assumptions!$B$4*Assumptions!$B$6</f>
        <v>2.12916666666667</v>
      </c>
      <c r="AC255" s="7" t="n">
        <f aca="false">SUMIFS(Doors!AO:AO,Doors!$A:$A,$D255,Doors!$B:$B,$B255,Doors!$C:$C,$C255)*SUMIFS(Velocity!$I:$I,Velocity!$A:$A,$A255,Velocity!$B:$B,$C255)/Assumptions!$B$4*Assumptions!$B$6</f>
        <v>2.12916666666667</v>
      </c>
      <c r="AD255" s="7" t="n">
        <f aca="false">SUMIFS(Doors!AP:AP,Doors!$A:$A,$D255,Doors!$B:$B,$B255,Doors!$C:$C,$C255)*SUMIFS(Velocity!$I:$I,Velocity!$A:$A,$A255,Velocity!$B:$B,$C255)/Assumptions!$B$4*Assumptions!$B$6</f>
        <v>2.12916666666667</v>
      </c>
      <c r="AE255" s="7" t="n">
        <f aca="false">SUMIFS(Doors!AQ:AQ,Doors!$A:$A,$D255,Doors!$B:$B,$B255,Doors!$C:$C,$C255)*SUMIFS(Velocity!$I:$I,Velocity!$A:$A,$A255,Velocity!$B:$B,$C255)/Assumptions!$B$4*Assumptions!$B$6</f>
        <v>2.12916666666667</v>
      </c>
      <c r="AF255" s="7" t="n">
        <f aca="false">SUMIFS(Doors!AR:AR,Doors!$A:$A,$D255,Doors!$B:$B,$B255,Doors!$C:$C,$C255)*SUMIFS(Velocity!$I:$I,Velocity!$A:$A,$A255,Velocity!$B:$B,$C255)/Assumptions!$B$4*Assumptions!$B$6</f>
        <v>2.12916666666667</v>
      </c>
      <c r="AG255" s="7" t="n">
        <f aca="false">SUMIFS(Doors!AS:AS,Doors!$A:$A,$D255,Doors!$B:$B,$B255,Doors!$C:$C,$C255)*SUMIFS(Velocity!$I:$I,Velocity!$A:$A,$A255,Velocity!$B:$B,$C255)/Assumptions!$B$4*Assumptions!$B$6</f>
        <v>2.12916666666667</v>
      </c>
      <c r="AH255" s="7" t="n">
        <f aca="false">SUMIFS(Doors!AT:AT,Doors!$A:$A,$D255,Doors!$B:$B,$B255,Doors!$C:$C,$C255)*SUMIFS(Velocity!$I:$I,Velocity!$A:$A,$A255,Velocity!$B:$B,$C255)/Assumptions!$B$4*Assumptions!$B$6</f>
        <v>2.12916666666667</v>
      </c>
      <c r="AI255" s="7" t="n">
        <f aca="false">SUMIFS(Doors!AU:AU,Doors!$A:$A,$D255,Doors!$B:$B,$B255,Doors!$C:$C,$C255)*SUMIFS(Velocity!$I:$I,Velocity!$A:$A,$A255,Velocity!$B:$B,$C255)/Assumptions!$B$4*Assumptions!$B$6</f>
        <v>2.12916666666667</v>
      </c>
      <c r="AJ255" s="7" t="n">
        <f aca="false">SUMIFS(Doors!AV:AV,Doors!$A:$A,$D255,Doors!$B:$B,$B255,Doors!$C:$C,$C255)*SUMIFS(Velocity!$I:$I,Velocity!$A:$A,$A255,Velocity!$B:$B,$C255)/Assumptions!$B$4*Assumptions!$B$6</f>
        <v>2.43333333333333</v>
      </c>
      <c r="AK255" s="7" t="n">
        <f aca="false">SUMIFS(Doors!AW:AW,Doors!$A:$A,$D255,Doors!$B:$B,$B255,Doors!$C:$C,$C255)*SUMIFS(Velocity!$I:$I,Velocity!$A:$A,$A255,Velocity!$B:$B,$C255)/Assumptions!$B$4*Assumptions!$B$6</f>
        <v>2.43333333333333</v>
      </c>
      <c r="AL255" s="7" t="n">
        <f aca="false">SUMIFS(Doors!AX:AX,Doors!$A:$A,$D255,Doors!$B:$B,$B255,Doors!$C:$C,$C255)*SUMIFS(Velocity!$I:$I,Velocity!$A:$A,$A255,Velocity!$B:$B,$C255)/Assumptions!$B$4*Assumptions!$B$6</f>
        <v>2.43333333333333</v>
      </c>
      <c r="AM255" s="7" t="n">
        <f aca="false">SUMIFS(Doors!AY:AY,Doors!$A:$A,$D255,Doors!$B:$B,$B255,Doors!$C:$C,$C255)*SUMIFS(Velocity!$I:$I,Velocity!$A:$A,$A255,Velocity!$B:$B,$C255)/Assumptions!$B$4*Assumptions!$B$6</f>
        <v>2.43333333333333</v>
      </c>
      <c r="AN255" s="7" t="n">
        <f aca="false">SUMIFS(Doors!AZ:AZ,Doors!$A:$A,$D255,Doors!$B:$B,$B255,Doors!$C:$C,$C255)*SUMIFS(Velocity!$I:$I,Velocity!$A:$A,$A255,Velocity!$B:$B,$C255)/Assumptions!$B$4*Assumptions!$B$6</f>
        <v>2.43333333333333</v>
      </c>
      <c r="AO255" s="7" t="n">
        <f aca="false">SUMIFS(Doors!BA:BA,Doors!$A:$A,$D255,Doors!$B:$B,$B255,Doors!$C:$C,$C255)*SUMIFS(Velocity!$I:$I,Velocity!$A:$A,$A255,Velocity!$B:$B,$C255)/Assumptions!$B$4*Assumptions!$B$6</f>
        <v>2.43333333333333</v>
      </c>
      <c r="AP255" s="7" t="n">
        <f aca="false">SUMIFS(Doors!BB:BB,Doors!$A:$A,$D255,Doors!$B:$B,$B255,Doors!$C:$C,$C255)*SUMIFS(Velocity!$I:$I,Velocity!$A:$A,$A255,Velocity!$B:$B,$C255)/Assumptions!$B$4*Assumptions!$B$6</f>
        <v>2.43333333333333</v>
      </c>
      <c r="AQ255" s="7" t="n">
        <f aca="false">SUMIFS(Doors!BC:BC,Doors!$A:$A,$D255,Doors!$B:$B,$B255,Doors!$C:$C,$C255)*SUMIFS(Velocity!$I:$I,Velocity!$A:$A,$A255,Velocity!$B:$B,$C255)/Assumptions!$B$4*Assumptions!$B$6</f>
        <v>2.43333333333333</v>
      </c>
      <c r="AR255" s="7" t="n">
        <f aca="false">SUMIFS(Doors!BD:BD,Doors!$A:$A,$D255,Doors!$B:$B,$B255,Doors!$C:$C,$C255)*SUMIFS(Velocity!$I:$I,Velocity!$A:$A,$A255,Velocity!$B:$B,$C255)/Assumptions!$B$4*Assumptions!$B$6</f>
        <v>2.43333333333333</v>
      </c>
      <c r="AS255" s="7" t="n">
        <f aca="false">SUMIFS(Doors!BE:BE,Doors!$A:$A,$D255,Doors!$B:$B,$B255,Doors!$C:$C,$C255)*SUMIFS(Velocity!$I:$I,Velocity!$A:$A,$A255,Velocity!$B:$B,$C255)/Assumptions!$B$4*Assumptions!$B$6</f>
        <v>2.43333333333333</v>
      </c>
      <c r="AT255" s="7" t="n">
        <f aca="false">SUMIFS(Doors!BF:BF,Doors!$A:$A,$D255,Doors!$B:$B,$B255,Doors!$C:$C,$C255)*SUMIFS(Velocity!$I:$I,Velocity!$A:$A,$A255,Velocity!$B:$B,$C255)/Assumptions!$B$4*Assumptions!$B$6</f>
        <v>2.43333333333333</v>
      </c>
      <c r="AU255" s="7" t="n">
        <f aca="false">SUMIFS(Doors!BG:BG,Doors!$A:$A,$D255,Doors!$B:$B,$B255,Doors!$C:$C,$C255)*SUMIFS(Velocity!$I:$I,Velocity!$A:$A,$A255,Velocity!$B:$B,$C255)/Assumptions!$B$4*Assumptions!$B$6</f>
        <v>2.43333333333333</v>
      </c>
      <c r="AV255" s="7" t="n">
        <f aca="false">SUMIFS(Doors!BH:BH,Doors!$A:$A,$D255,Doors!$B:$B,$B255,Doors!$C:$C,$C255)*SUMIFS(Velocity!$I:$I,Velocity!$A:$A,$A255,Velocity!$B:$B,$C255)/Assumptions!$B$4*Assumptions!$B$6</f>
        <v>2.43333333333333</v>
      </c>
      <c r="AW255" s="7" t="n">
        <f aca="false">SUMIFS(Doors!BI:BI,Doors!$A:$A,$D255,Doors!$B:$B,$B255,Doors!$C:$C,$C255)*SUMIFS(Velocity!$I:$I,Velocity!$A:$A,$A255,Velocity!$B:$B,$C255)/Assumptions!$B$4*Assumptions!$B$6</f>
        <v>2.43333333333333</v>
      </c>
      <c r="AX255" s="7" t="n">
        <f aca="false">SUMIFS(Doors!BJ:BJ,Doors!$A:$A,$D255,Doors!$B:$B,$B255,Doors!$C:$C,$C255)*SUMIFS(Velocity!$I:$I,Velocity!$A:$A,$A255,Velocity!$B:$B,$C255)/Assumptions!$B$4*Assumptions!$B$6</f>
        <v>2.43333333333333</v>
      </c>
      <c r="AY255" s="7" t="n">
        <f aca="false">SUMIFS(Doors!BK:BK,Doors!$A:$A,$D255,Doors!$B:$B,$B255,Doors!$C:$C,$C255)*SUMIFS(Velocity!$I:$I,Velocity!$A:$A,$A255,Velocity!$B:$B,$C255)/Assumptions!$B$4*Assumptions!$B$6</f>
        <v>2.43333333333333</v>
      </c>
      <c r="AZ255" s="7" t="n">
        <f aca="false">SUMIFS(Doors!BL:BL,Doors!$A:$A,$D255,Doors!$B:$B,$B255,Doors!$C:$C,$C255)*SUMIFS(Velocity!$I:$I,Velocity!$A:$A,$A255,Velocity!$B:$B,$C255)/Assumptions!$B$4*Assumptions!$B$6</f>
        <v>2.43333333333333</v>
      </c>
      <c r="BA255" s="7" t="n">
        <f aca="false">SUMIFS(Doors!BM:BM,Doors!$A:$A,$D255,Doors!$B:$B,$B255,Doors!$C:$C,$C255)*SUMIFS(Velocity!$I:$I,Velocity!$A:$A,$A255,Velocity!$B:$B,$C255)/Assumptions!$B$4*Assumptions!$B$6</f>
        <v>2.43333333333333</v>
      </c>
      <c r="BB255" s="7" t="n">
        <f aca="false">SUMIFS(Doors!BN:BN,Doors!$A:$A,$D255,Doors!$B:$B,$B255,Doors!$C:$C,$C255)*SUMIFS(Velocity!$I:$I,Velocity!$A:$A,$A255,Velocity!$B:$B,$C255)/Assumptions!$B$4*Assumptions!$B$6</f>
        <v>2.43333333333333</v>
      </c>
      <c r="BC255" s="7" t="n">
        <f aca="false">SUMIFS(Doors!BO:BO,Doors!$A:$A,$D255,Doors!$B:$B,$B255,Doors!$C:$C,$C255)*SUMIFS(Velocity!$I:$I,Velocity!$A:$A,$A255,Velocity!$B:$B,$C255)/Assumptions!$B$4*Assumptions!$B$6</f>
        <v>2.43333333333333</v>
      </c>
      <c r="BD255" s="7" t="n">
        <f aca="false">SUMIFS(Doors!BP:BP,Doors!$A:$A,$D255,Doors!$B:$B,$B255,Doors!$C:$C,$C255)*SUMIFS(Velocity!$I:$I,Velocity!$A:$A,$A255,Velocity!$B:$B,$C255)/Assumptions!$B$4*Assumptions!$B$6</f>
        <v>2.43333333333333</v>
      </c>
    </row>
    <row r="256" customFormat="false" ht="15" hidden="false" customHeight="false" outlineLevel="0" collapsed="false">
      <c r="A256" s="0" t="s">
        <v>110</v>
      </c>
      <c r="B256" s="0" t="s">
        <v>133</v>
      </c>
      <c r="C256" s="0" t="s">
        <v>122</v>
      </c>
      <c r="D256" s="0" t="s">
        <v>235</v>
      </c>
      <c r="E256" s="7" t="n">
        <f aca="false">SUMIFS(Doors!Q:Q,Doors!$A:$A,$D256,Doors!$B:$B,$B256,Doors!$C:$C,$C256)*SUMIFS(Velocity!$I:$I,Velocity!$A:$A,$A256,Velocity!$B:$B,$C256)/Assumptions!$B$4*Assumptions!$B$6</f>
        <v>0</v>
      </c>
      <c r="F256" s="7" t="n">
        <f aca="false">SUMIFS(Doors!R:R,Doors!$A:$A,$D256,Doors!$B:$B,$B256,Doors!$C:$C,$C256)*SUMIFS(Velocity!$I:$I,Velocity!$A:$A,$A256,Velocity!$B:$B,$C256)/Assumptions!$B$4*Assumptions!$B$6</f>
        <v>0</v>
      </c>
      <c r="G256" s="7" t="n">
        <f aca="false">SUMIFS(Doors!S:S,Doors!$A:$A,$D256,Doors!$B:$B,$B256,Doors!$C:$C,$C256)*SUMIFS(Velocity!$I:$I,Velocity!$A:$A,$A256,Velocity!$B:$B,$C256)/Assumptions!$B$4*Assumptions!$B$6</f>
        <v>0</v>
      </c>
      <c r="H256" s="7" t="n">
        <f aca="false">SUMIFS(Doors!T:T,Doors!$A:$A,$D256,Doors!$B:$B,$B256,Doors!$C:$C,$C256)*SUMIFS(Velocity!$I:$I,Velocity!$A:$A,$A256,Velocity!$B:$B,$C256)/Assumptions!$B$4*Assumptions!$B$6</f>
        <v>0</v>
      </c>
      <c r="I256" s="7" t="n">
        <f aca="false">SUMIFS(Doors!U:U,Doors!$A:$A,$D256,Doors!$B:$B,$B256,Doors!$C:$C,$C256)*SUMIFS(Velocity!$I:$I,Velocity!$A:$A,$A256,Velocity!$B:$B,$C256)/Assumptions!$B$4*Assumptions!$B$6</f>
        <v>0</v>
      </c>
      <c r="J256" s="7" t="n">
        <f aca="false">SUMIFS(Doors!V:V,Doors!$A:$A,$D256,Doors!$B:$B,$B256,Doors!$C:$C,$C256)*SUMIFS(Velocity!$I:$I,Velocity!$A:$A,$A256,Velocity!$B:$B,$C256)/Assumptions!$B$4*Assumptions!$B$6</f>
        <v>0</v>
      </c>
      <c r="K256" s="7" t="n">
        <f aca="false">SUMIFS(Doors!W:W,Doors!$A:$A,$D256,Doors!$B:$B,$B256,Doors!$C:$C,$C256)*SUMIFS(Velocity!$I:$I,Velocity!$A:$A,$A256,Velocity!$B:$B,$C256)/Assumptions!$B$4*Assumptions!$B$6</f>
        <v>0</v>
      </c>
      <c r="L256" s="7" t="n">
        <f aca="false">SUMIFS(Doors!X:X,Doors!$A:$A,$D256,Doors!$B:$B,$B256,Doors!$C:$C,$C256)*SUMIFS(Velocity!$I:$I,Velocity!$A:$A,$A256,Velocity!$B:$B,$C256)/Assumptions!$B$4*Assumptions!$B$6</f>
        <v>0</v>
      </c>
      <c r="M256" s="7" t="n">
        <f aca="false">SUMIFS(Doors!Y:Y,Doors!$A:$A,$D256,Doors!$B:$B,$B256,Doors!$C:$C,$C256)*SUMIFS(Velocity!$I:$I,Velocity!$A:$A,$A256,Velocity!$B:$B,$C256)/Assumptions!$B$4*Assumptions!$B$6</f>
        <v>0</v>
      </c>
      <c r="N256" s="7" t="n">
        <f aca="false">SUMIFS(Doors!Z:Z,Doors!$A:$A,$D256,Doors!$B:$B,$B256,Doors!$C:$C,$C256)*SUMIFS(Velocity!$I:$I,Velocity!$A:$A,$A256,Velocity!$B:$B,$C256)/Assumptions!$B$4*Assumptions!$B$6</f>
        <v>0</v>
      </c>
      <c r="O256" s="7" t="n">
        <f aca="false">SUMIFS(Doors!AA:AA,Doors!$A:$A,$D256,Doors!$B:$B,$B256,Doors!$C:$C,$C256)*SUMIFS(Velocity!$I:$I,Velocity!$A:$A,$A256,Velocity!$B:$B,$C256)/Assumptions!$B$4*Assumptions!$B$6</f>
        <v>0</v>
      </c>
      <c r="P256" s="7" t="n">
        <f aca="false">SUMIFS(Doors!AB:AB,Doors!$A:$A,$D256,Doors!$B:$B,$B256,Doors!$C:$C,$C256)*SUMIFS(Velocity!$I:$I,Velocity!$A:$A,$A256,Velocity!$B:$B,$C256)/Assumptions!$B$4*Assumptions!$B$6</f>
        <v>0</v>
      </c>
      <c r="Q256" s="7" t="n">
        <f aca="false">SUMIFS(Doors!AC:AC,Doors!$A:$A,$D256,Doors!$B:$B,$B256,Doors!$C:$C,$C256)*SUMIFS(Velocity!$I:$I,Velocity!$A:$A,$A256,Velocity!$B:$B,$C256)/Assumptions!$B$4*Assumptions!$B$6</f>
        <v>0</v>
      </c>
      <c r="R256" s="7" t="n">
        <f aca="false">SUMIFS(Doors!AD:AD,Doors!$A:$A,$D256,Doors!$B:$B,$B256,Doors!$C:$C,$C256)*SUMIFS(Velocity!$I:$I,Velocity!$A:$A,$A256,Velocity!$B:$B,$C256)/Assumptions!$B$4*Assumptions!$B$6</f>
        <v>0</v>
      </c>
      <c r="S256" s="7" t="n">
        <f aca="false">SUMIFS(Doors!AE:AE,Doors!$A:$A,$D256,Doors!$B:$B,$B256,Doors!$C:$C,$C256)*SUMIFS(Velocity!$I:$I,Velocity!$A:$A,$A256,Velocity!$B:$B,$C256)/Assumptions!$B$4*Assumptions!$B$6</f>
        <v>0</v>
      </c>
      <c r="T256" s="7" t="n">
        <f aca="false">SUMIFS(Doors!AF:AF,Doors!$A:$A,$D256,Doors!$B:$B,$B256,Doors!$C:$C,$C256)*SUMIFS(Velocity!$I:$I,Velocity!$A:$A,$A256,Velocity!$B:$B,$C256)/Assumptions!$B$4*Assumptions!$B$6</f>
        <v>0</v>
      </c>
      <c r="U256" s="7" t="n">
        <f aca="false">SUMIFS(Doors!AG:AG,Doors!$A:$A,$D256,Doors!$B:$B,$B256,Doors!$C:$C,$C256)*SUMIFS(Velocity!$I:$I,Velocity!$A:$A,$A256,Velocity!$B:$B,$C256)/Assumptions!$B$4*Assumptions!$B$6</f>
        <v>0</v>
      </c>
      <c r="V256" s="7" t="n">
        <f aca="false">SUMIFS(Doors!AH:AH,Doors!$A:$A,$D256,Doors!$B:$B,$B256,Doors!$C:$C,$C256)*SUMIFS(Velocity!$I:$I,Velocity!$A:$A,$A256,Velocity!$B:$B,$C256)/Assumptions!$B$4*Assumptions!$B$6</f>
        <v>0</v>
      </c>
      <c r="W256" s="7" t="n">
        <f aca="false">SUMIFS(Doors!AI:AI,Doors!$A:$A,$D256,Doors!$B:$B,$B256,Doors!$C:$C,$C256)*SUMIFS(Velocity!$I:$I,Velocity!$A:$A,$A256,Velocity!$B:$B,$C256)/Assumptions!$B$4*Assumptions!$B$6</f>
        <v>0</v>
      </c>
      <c r="X256" s="7" t="n">
        <f aca="false">SUMIFS(Doors!AJ:AJ,Doors!$A:$A,$D256,Doors!$B:$B,$B256,Doors!$C:$C,$C256)*SUMIFS(Velocity!$I:$I,Velocity!$A:$A,$A256,Velocity!$B:$B,$C256)/Assumptions!$B$4*Assumptions!$B$6</f>
        <v>0</v>
      </c>
      <c r="Y256" s="7" t="n">
        <f aca="false">SUMIFS(Doors!AK:AK,Doors!$A:$A,$D256,Doors!$B:$B,$B256,Doors!$C:$C,$C256)*SUMIFS(Velocity!$I:$I,Velocity!$A:$A,$A256,Velocity!$B:$B,$C256)/Assumptions!$B$4*Assumptions!$B$6</f>
        <v>0</v>
      </c>
      <c r="Z256" s="7" t="n">
        <f aca="false">SUMIFS(Doors!AL:AL,Doors!$A:$A,$D256,Doors!$B:$B,$B256,Doors!$C:$C,$C256)*SUMIFS(Velocity!$I:$I,Velocity!$A:$A,$A256,Velocity!$B:$B,$C256)/Assumptions!$B$4*Assumptions!$B$6</f>
        <v>0</v>
      </c>
      <c r="AA256" s="7" t="n">
        <f aca="false">SUMIFS(Doors!AM:AM,Doors!$A:$A,$D256,Doors!$B:$B,$B256,Doors!$C:$C,$C256)*SUMIFS(Velocity!$I:$I,Velocity!$A:$A,$A256,Velocity!$B:$B,$C256)/Assumptions!$B$4*Assumptions!$B$6</f>
        <v>0</v>
      </c>
      <c r="AB256" s="7" t="n">
        <f aca="false">SUMIFS(Doors!AN:AN,Doors!$A:$A,$D256,Doors!$B:$B,$B256,Doors!$C:$C,$C256)*SUMIFS(Velocity!$I:$I,Velocity!$A:$A,$A256,Velocity!$B:$B,$C256)/Assumptions!$B$4*Assumptions!$B$6</f>
        <v>0</v>
      </c>
      <c r="AC256" s="7" t="n">
        <f aca="false">SUMIFS(Doors!AO:AO,Doors!$A:$A,$D256,Doors!$B:$B,$B256,Doors!$C:$C,$C256)*SUMIFS(Velocity!$I:$I,Velocity!$A:$A,$A256,Velocity!$B:$B,$C256)/Assumptions!$B$4*Assumptions!$B$6</f>
        <v>0</v>
      </c>
      <c r="AD256" s="7" t="n">
        <f aca="false">SUMIFS(Doors!AP:AP,Doors!$A:$A,$D256,Doors!$B:$B,$B256,Doors!$C:$C,$C256)*SUMIFS(Velocity!$I:$I,Velocity!$A:$A,$A256,Velocity!$B:$B,$C256)/Assumptions!$B$4*Assumptions!$B$6</f>
        <v>0</v>
      </c>
      <c r="AE256" s="7" t="n">
        <f aca="false">SUMIFS(Doors!AQ:AQ,Doors!$A:$A,$D256,Doors!$B:$B,$B256,Doors!$C:$C,$C256)*SUMIFS(Velocity!$I:$I,Velocity!$A:$A,$A256,Velocity!$B:$B,$C256)/Assumptions!$B$4*Assumptions!$B$6</f>
        <v>0</v>
      </c>
      <c r="AF256" s="7" t="n">
        <f aca="false">SUMIFS(Doors!AR:AR,Doors!$A:$A,$D256,Doors!$B:$B,$B256,Doors!$C:$C,$C256)*SUMIFS(Velocity!$I:$I,Velocity!$A:$A,$A256,Velocity!$B:$B,$C256)/Assumptions!$B$4*Assumptions!$B$6</f>
        <v>0</v>
      </c>
      <c r="AG256" s="7" t="n">
        <f aca="false">SUMIFS(Doors!AS:AS,Doors!$A:$A,$D256,Doors!$B:$B,$B256,Doors!$C:$C,$C256)*SUMIFS(Velocity!$I:$I,Velocity!$A:$A,$A256,Velocity!$B:$B,$C256)/Assumptions!$B$4*Assumptions!$B$6</f>
        <v>0</v>
      </c>
      <c r="AH256" s="7" t="n">
        <f aca="false">SUMIFS(Doors!AT:AT,Doors!$A:$A,$D256,Doors!$B:$B,$B256,Doors!$C:$C,$C256)*SUMIFS(Velocity!$I:$I,Velocity!$A:$A,$A256,Velocity!$B:$B,$C256)/Assumptions!$B$4*Assumptions!$B$6</f>
        <v>0</v>
      </c>
      <c r="AI256" s="7" t="n">
        <f aca="false">SUMIFS(Doors!AU:AU,Doors!$A:$A,$D256,Doors!$B:$B,$B256,Doors!$C:$C,$C256)*SUMIFS(Velocity!$I:$I,Velocity!$A:$A,$A256,Velocity!$B:$B,$C256)/Assumptions!$B$4*Assumptions!$B$6</f>
        <v>0</v>
      </c>
      <c r="AJ256" s="7" t="n">
        <f aca="false">SUMIFS(Doors!AV:AV,Doors!$A:$A,$D256,Doors!$B:$B,$B256,Doors!$C:$C,$C256)*SUMIFS(Velocity!$I:$I,Velocity!$A:$A,$A256,Velocity!$B:$B,$C256)/Assumptions!$B$4*Assumptions!$B$6</f>
        <v>0</v>
      </c>
      <c r="AK256" s="7" t="n">
        <f aca="false">SUMIFS(Doors!AW:AW,Doors!$A:$A,$D256,Doors!$B:$B,$B256,Doors!$C:$C,$C256)*SUMIFS(Velocity!$I:$I,Velocity!$A:$A,$A256,Velocity!$B:$B,$C256)/Assumptions!$B$4*Assumptions!$B$6</f>
        <v>0</v>
      </c>
      <c r="AL256" s="7" t="n">
        <f aca="false">SUMIFS(Doors!AX:AX,Doors!$A:$A,$D256,Doors!$B:$B,$B256,Doors!$C:$C,$C256)*SUMIFS(Velocity!$I:$I,Velocity!$A:$A,$A256,Velocity!$B:$B,$C256)/Assumptions!$B$4*Assumptions!$B$6</f>
        <v>0</v>
      </c>
      <c r="AM256" s="7" t="n">
        <f aca="false">SUMIFS(Doors!AY:AY,Doors!$A:$A,$D256,Doors!$B:$B,$B256,Doors!$C:$C,$C256)*SUMIFS(Velocity!$I:$I,Velocity!$A:$A,$A256,Velocity!$B:$B,$C256)/Assumptions!$B$4*Assumptions!$B$6</f>
        <v>0</v>
      </c>
      <c r="AN256" s="7" t="n">
        <f aca="false">SUMIFS(Doors!AZ:AZ,Doors!$A:$A,$D256,Doors!$B:$B,$B256,Doors!$C:$C,$C256)*SUMIFS(Velocity!$I:$I,Velocity!$A:$A,$A256,Velocity!$B:$B,$C256)/Assumptions!$B$4*Assumptions!$B$6</f>
        <v>0</v>
      </c>
      <c r="AO256" s="7" t="n">
        <f aca="false">SUMIFS(Doors!BA:BA,Doors!$A:$A,$D256,Doors!$B:$B,$B256,Doors!$C:$C,$C256)*SUMIFS(Velocity!$I:$I,Velocity!$A:$A,$A256,Velocity!$B:$B,$C256)/Assumptions!$B$4*Assumptions!$B$6</f>
        <v>0</v>
      </c>
      <c r="AP256" s="7" t="n">
        <f aca="false">SUMIFS(Doors!BB:BB,Doors!$A:$A,$D256,Doors!$B:$B,$B256,Doors!$C:$C,$C256)*SUMIFS(Velocity!$I:$I,Velocity!$A:$A,$A256,Velocity!$B:$B,$C256)/Assumptions!$B$4*Assumptions!$B$6</f>
        <v>0</v>
      </c>
      <c r="AQ256" s="7" t="n">
        <f aca="false">SUMIFS(Doors!BC:BC,Doors!$A:$A,$D256,Doors!$B:$B,$B256,Doors!$C:$C,$C256)*SUMIFS(Velocity!$I:$I,Velocity!$A:$A,$A256,Velocity!$B:$B,$C256)/Assumptions!$B$4*Assumptions!$B$6</f>
        <v>0</v>
      </c>
      <c r="AR256" s="7" t="n">
        <f aca="false">SUMIFS(Doors!BD:BD,Doors!$A:$A,$D256,Doors!$B:$B,$B256,Doors!$C:$C,$C256)*SUMIFS(Velocity!$I:$I,Velocity!$A:$A,$A256,Velocity!$B:$B,$C256)/Assumptions!$B$4*Assumptions!$B$6</f>
        <v>0</v>
      </c>
      <c r="AS256" s="7" t="n">
        <f aca="false">SUMIFS(Doors!BE:BE,Doors!$A:$A,$D256,Doors!$B:$B,$B256,Doors!$C:$C,$C256)*SUMIFS(Velocity!$I:$I,Velocity!$A:$A,$A256,Velocity!$B:$B,$C256)/Assumptions!$B$4*Assumptions!$B$6</f>
        <v>0</v>
      </c>
      <c r="AT256" s="7" t="n">
        <f aca="false">SUMIFS(Doors!BF:BF,Doors!$A:$A,$D256,Doors!$B:$B,$B256,Doors!$C:$C,$C256)*SUMIFS(Velocity!$I:$I,Velocity!$A:$A,$A256,Velocity!$B:$B,$C256)/Assumptions!$B$4*Assumptions!$B$6</f>
        <v>0</v>
      </c>
      <c r="AU256" s="7" t="n">
        <f aca="false">SUMIFS(Doors!BG:BG,Doors!$A:$A,$D256,Doors!$B:$B,$B256,Doors!$C:$C,$C256)*SUMIFS(Velocity!$I:$I,Velocity!$A:$A,$A256,Velocity!$B:$B,$C256)/Assumptions!$B$4*Assumptions!$B$6</f>
        <v>0</v>
      </c>
      <c r="AV256" s="7" t="n">
        <f aca="false">SUMIFS(Doors!BH:BH,Doors!$A:$A,$D256,Doors!$B:$B,$B256,Doors!$C:$C,$C256)*SUMIFS(Velocity!$I:$I,Velocity!$A:$A,$A256,Velocity!$B:$B,$C256)/Assumptions!$B$4*Assumptions!$B$6</f>
        <v>0</v>
      </c>
      <c r="AW256" s="7" t="n">
        <f aca="false">SUMIFS(Doors!BI:BI,Doors!$A:$A,$D256,Doors!$B:$B,$B256,Doors!$C:$C,$C256)*SUMIFS(Velocity!$I:$I,Velocity!$A:$A,$A256,Velocity!$B:$B,$C256)/Assumptions!$B$4*Assumptions!$B$6</f>
        <v>0</v>
      </c>
      <c r="AX256" s="7" t="n">
        <f aca="false">SUMIFS(Doors!BJ:BJ,Doors!$A:$A,$D256,Doors!$B:$B,$B256,Doors!$C:$C,$C256)*SUMIFS(Velocity!$I:$I,Velocity!$A:$A,$A256,Velocity!$B:$B,$C256)/Assumptions!$B$4*Assumptions!$B$6</f>
        <v>0</v>
      </c>
      <c r="AY256" s="7" t="n">
        <f aca="false">SUMIFS(Doors!BK:BK,Doors!$A:$A,$D256,Doors!$B:$B,$B256,Doors!$C:$C,$C256)*SUMIFS(Velocity!$I:$I,Velocity!$A:$A,$A256,Velocity!$B:$B,$C256)/Assumptions!$B$4*Assumptions!$B$6</f>
        <v>0</v>
      </c>
      <c r="AZ256" s="7" t="n">
        <f aca="false">SUMIFS(Doors!BL:BL,Doors!$A:$A,$D256,Doors!$B:$B,$B256,Doors!$C:$C,$C256)*SUMIFS(Velocity!$I:$I,Velocity!$A:$A,$A256,Velocity!$B:$B,$C256)/Assumptions!$B$4*Assumptions!$B$6</f>
        <v>0</v>
      </c>
      <c r="BA256" s="7" t="n">
        <f aca="false">SUMIFS(Doors!BM:BM,Doors!$A:$A,$D256,Doors!$B:$B,$B256,Doors!$C:$C,$C256)*SUMIFS(Velocity!$I:$I,Velocity!$A:$A,$A256,Velocity!$B:$B,$C256)/Assumptions!$B$4*Assumptions!$B$6</f>
        <v>0</v>
      </c>
      <c r="BB256" s="7" t="n">
        <f aca="false">SUMIFS(Doors!BN:BN,Doors!$A:$A,$D256,Doors!$B:$B,$B256,Doors!$C:$C,$C256)*SUMIFS(Velocity!$I:$I,Velocity!$A:$A,$A256,Velocity!$B:$B,$C256)/Assumptions!$B$4*Assumptions!$B$6</f>
        <v>0</v>
      </c>
      <c r="BC256" s="7" t="n">
        <f aca="false">SUMIFS(Doors!BO:BO,Doors!$A:$A,$D256,Doors!$B:$B,$B256,Doors!$C:$C,$C256)*SUMIFS(Velocity!$I:$I,Velocity!$A:$A,$A256,Velocity!$B:$B,$C256)/Assumptions!$B$4*Assumptions!$B$6</f>
        <v>0</v>
      </c>
      <c r="BD256" s="7" t="n">
        <f aca="false">SUMIFS(Doors!BP:BP,Doors!$A:$A,$D256,Doors!$B:$B,$B256,Doors!$C:$C,$C256)*SUMIFS(Velocity!$I:$I,Velocity!$A:$A,$A256,Velocity!$B:$B,$C256)/Assumptions!$B$4*Assumptions!$B$6</f>
        <v>0</v>
      </c>
    </row>
    <row r="257" customFormat="false" ht="15" hidden="false" customHeight="false" outlineLevel="0" collapsed="false">
      <c r="A257" s="0" t="s">
        <v>110</v>
      </c>
      <c r="B257" s="0" t="s">
        <v>133</v>
      </c>
      <c r="C257" s="0" t="s">
        <v>123</v>
      </c>
      <c r="D257" s="0" t="s">
        <v>235</v>
      </c>
      <c r="E257" s="7" t="n">
        <f aca="false">SUMIFS(Doors!Q:Q,Doors!$A:$A,$D257,Doors!$B:$B,$B257,Doors!$C:$C,$C257)*SUMIFS(Velocity!$I:$I,Velocity!$A:$A,$A257,Velocity!$B:$B,$C257)/Assumptions!$B$4*Assumptions!$B$6</f>
        <v>0.216666666666667</v>
      </c>
      <c r="F257" s="7" t="n">
        <f aca="false">SUMIFS(Doors!R:R,Doors!$A:$A,$D257,Doors!$B:$B,$B257,Doors!$C:$C,$C257)*SUMIFS(Velocity!$I:$I,Velocity!$A:$A,$A257,Velocity!$B:$B,$C257)/Assumptions!$B$4*Assumptions!$B$6</f>
        <v>0.216666666666667</v>
      </c>
      <c r="G257" s="7" t="n">
        <f aca="false">SUMIFS(Doors!S:S,Doors!$A:$A,$D257,Doors!$B:$B,$B257,Doors!$C:$C,$C257)*SUMIFS(Velocity!$I:$I,Velocity!$A:$A,$A257,Velocity!$B:$B,$C257)/Assumptions!$B$4*Assumptions!$B$6</f>
        <v>0.216666666666667</v>
      </c>
      <c r="H257" s="7" t="n">
        <f aca="false">SUMIFS(Doors!T:T,Doors!$A:$A,$D257,Doors!$B:$B,$B257,Doors!$C:$C,$C257)*SUMIFS(Velocity!$I:$I,Velocity!$A:$A,$A257,Velocity!$B:$B,$C257)/Assumptions!$B$4*Assumptions!$B$6</f>
        <v>0.216666666666667</v>
      </c>
      <c r="I257" s="7" t="n">
        <f aca="false">SUMIFS(Doors!U:U,Doors!$A:$A,$D257,Doors!$B:$B,$B257,Doors!$C:$C,$C257)*SUMIFS(Velocity!$I:$I,Velocity!$A:$A,$A257,Velocity!$B:$B,$C257)/Assumptions!$B$4*Assumptions!$B$6</f>
        <v>0.216666666666667</v>
      </c>
      <c r="J257" s="7" t="n">
        <f aca="false">SUMIFS(Doors!V:V,Doors!$A:$A,$D257,Doors!$B:$B,$B257,Doors!$C:$C,$C257)*SUMIFS(Velocity!$I:$I,Velocity!$A:$A,$A257,Velocity!$B:$B,$C257)/Assumptions!$B$4*Assumptions!$B$6</f>
        <v>0.325</v>
      </c>
      <c r="K257" s="7" t="n">
        <f aca="false">SUMIFS(Doors!W:W,Doors!$A:$A,$D257,Doors!$B:$B,$B257,Doors!$C:$C,$C257)*SUMIFS(Velocity!$I:$I,Velocity!$A:$A,$A257,Velocity!$B:$B,$C257)/Assumptions!$B$4*Assumptions!$B$6</f>
        <v>0.325</v>
      </c>
      <c r="L257" s="7" t="n">
        <f aca="false">SUMIFS(Doors!X:X,Doors!$A:$A,$D257,Doors!$B:$B,$B257,Doors!$C:$C,$C257)*SUMIFS(Velocity!$I:$I,Velocity!$A:$A,$A257,Velocity!$B:$B,$C257)/Assumptions!$B$4*Assumptions!$B$6</f>
        <v>0.325</v>
      </c>
      <c r="M257" s="7" t="n">
        <f aca="false">SUMIFS(Doors!Y:Y,Doors!$A:$A,$D257,Doors!$B:$B,$B257,Doors!$C:$C,$C257)*SUMIFS(Velocity!$I:$I,Velocity!$A:$A,$A257,Velocity!$B:$B,$C257)/Assumptions!$B$4*Assumptions!$B$6</f>
        <v>0.325</v>
      </c>
      <c r="N257" s="7" t="n">
        <f aca="false">SUMIFS(Doors!Z:Z,Doors!$A:$A,$D257,Doors!$B:$B,$B257,Doors!$C:$C,$C257)*SUMIFS(Velocity!$I:$I,Velocity!$A:$A,$A257,Velocity!$B:$B,$C257)/Assumptions!$B$4*Assumptions!$B$6</f>
        <v>0.541666666666667</v>
      </c>
      <c r="O257" s="7" t="n">
        <f aca="false">SUMIFS(Doors!AA:AA,Doors!$A:$A,$D257,Doors!$B:$B,$B257,Doors!$C:$C,$C257)*SUMIFS(Velocity!$I:$I,Velocity!$A:$A,$A257,Velocity!$B:$B,$C257)/Assumptions!$B$4*Assumptions!$B$6</f>
        <v>0.541666666666667</v>
      </c>
      <c r="P257" s="7" t="n">
        <f aca="false">SUMIFS(Doors!AB:AB,Doors!$A:$A,$D257,Doors!$B:$B,$B257,Doors!$C:$C,$C257)*SUMIFS(Velocity!$I:$I,Velocity!$A:$A,$A257,Velocity!$B:$B,$C257)/Assumptions!$B$4*Assumptions!$B$6</f>
        <v>0.541666666666667</v>
      </c>
      <c r="Q257" s="7" t="n">
        <f aca="false">SUMIFS(Doors!AC:AC,Doors!$A:$A,$D257,Doors!$B:$B,$B257,Doors!$C:$C,$C257)*SUMIFS(Velocity!$I:$I,Velocity!$A:$A,$A257,Velocity!$B:$B,$C257)/Assumptions!$B$4*Assumptions!$B$6</f>
        <v>0.541666666666667</v>
      </c>
      <c r="R257" s="7" t="n">
        <f aca="false">SUMIFS(Doors!AD:AD,Doors!$A:$A,$D257,Doors!$B:$B,$B257,Doors!$C:$C,$C257)*SUMIFS(Velocity!$I:$I,Velocity!$A:$A,$A257,Velocity!$B:$B,$C257)/Assumptions!$B$4*Assumptions!$B$6</f>
        <v>0.65</v>
      </c>
      <c r="S257" s="7" t="n">
        <f aca="false">SUMIFS(Doors!AE:AE,Doors!$A:$A,$D257,Doors!$B:$B,$B257,Doors!$C:$C,$C257)*SUMIFS(Velocity!$I:$I,Velocity!$A:$A,$A257,Velocity!$B:$B,$C257)/Assumptions!$B$4*Assumptions!$B$6</f>
        <v>0.65</v>
      </c>
      <c r="T257" s="7" t="n">
        <f aca="false">SUMIFS(Doors!AF:AF,Doors!$A:$A,$D257,Doors!$B:$B,$B257,Doors!$C:$C,$C257)*SUMIFS(Velocity!$I:$I,Velocity!$A:$A,$A257,Velocity!$B:$B,$C257)/Assumptions!$B$4*Assumptions!$B$6</f>
        <v>0.65</v>
      </c>
      <c r="U257" s="7" t="n">
        <f aca="false">SUMIFS(Doors!AG:AG,Doors!$A:$A,$D257,Doors!$B:$B,$B257,Doors!$C:$C,$C257)*SUMIFS(Velocity!$I:$I,Velocity!$A:$A,$A257,Velocity!$B:$B,$C257)/Assumptions!$B$4*Assumptions!$B$6</f>
        <v>0.65</v>
      </c>
      <c r="V257" s="7" t="n">
        <f aca="false">SUMIFS(Doors!AH:AH,Doors!$A:$A,$D257,Doors!$B:$B,$B257,Doors!$C:$C,$C257)*SUMIFS(Velocity!$I:$I,Velocity!$A:$A,$A257,Velocity!$B:$B,$C257)/Assumptions!$B$4*Assumptions!$B$6</f>
        <v>0.65</v>
      </c>
      <c r="W257" s="7" t="n">
        <f aca="false">SUMIFS(Doors!AI:AI,Doors!$A:$A,$D257,Doors!$B:$B,$B257,Doors!$C:$C,$C257)*SUMIFS(Velocity!$I:$I,Velocity!$A:$A,$A257,Velocity!$B:$B,$C257)/Assumptions!$B$4*Assumptions!$B$6</f>
        <v>0.758333333333333</v>
      </c>
      <c r="X257" s="7" t="n">
        <f aca="false">SUMIFS(Doors!AJ:AJ,Doors!$A:$A,$D257,Doors!$B:$B,$B257,Doors!$C:$C,$C257)*SUMIFS(Velocity!$I:$I,Velocity!$A:$A,$A257,Velocity!$B:$B,$C257)/Assumptions!$B$4*Assumptions!$B$6</f>
        <v>0.758333333333333</v>
      </c>
      <c r="Y257" s="7" t="n">
        <f aca="false">SUMIFS(Doors!AK:AK,Doors!$A:$A,$D257,Doors!$B:$B,$B257,Doors!$C:$C,$C257)*SUMIFS(Velocity!$I:$I,Velocity!$A:$A,$A257,Velocity!$B:$B,$C257)/Assumptions!$B$4*Assumptions!$B$6</f>
        <v>0.758333333333333</v>
      </c>
      <c r="Z257" s="7" t="n">
        <f aca="false">SUMIFS(Doors!AL:AL,Doors!$A:$A,$D257,Doors!$B:$B,$B257,Doors!$C:$C,$C257)*SUMIFS(Velocity!$I:$I,Velocity!$A:$A,$A257,Velocity!$B:$B,$C257)/Assumptions!$B$4*Assumptions!$B$6</f>
        <v>0.758333333333333</v>
      </c>
      <c r="AA257" s="7" t="n">
        <f aca="false">SUMIFS(Doors!AM:AM,Doors!$A:$A,$D257,Doors!$B:$B,$B257,Doors!$C:$C,$C257)*SUMIFS(Velocity!$I:$I,Velocity!$A:$A,$A257,Velocity!$B:$B,$C257)/Assumptions!$B$4*Assumptions!$B$6</f>
        <v>0.866666666666667</v>
      </c>
      <c r="AB257" s="7" t="n">
        <f aca="false">SUMIFS(Doors!AN:AN,Doors!$A:$A,$D257,Doors!$B:$B,$B257,Doors!$C:$C,$C257)*SUMIFS(Velocity!$I:$I,Velocity!$A:$A,$A257,Velocity!$B:$B,$C257)/Assumptions!$B$4*Assumptions!$B$6</f>
        <v>0.866666666666667</v>
      </c>
      <c r="AC257" s="7" t="n">
        <f aca="false">SUMIFS(Doors!AO:AO,Doors!$A:$A,$D257,Doors!$B:$B,$B257,Doors!$C:$C,$C257)*SUMIFS(Velocity!$I:$I,Velocity!$A:$A,$A257,Velocity!$B:$B,$C257)/Assumptions!$B$4*Assumptions!$B$6</f>
        <v>0.866666666666667</v>
      </c>
      <c r="AD257" s="7" t="n">
        <f aca="false">SUMIFS(Doors!AP:AP,Doors!$A:$A,$D257,Doors!$B:$B,$B257,Doors!$C:$C,$C257)*SUMIFS(Velocity!$I:$I,Velocity!$A:$A,$A257,Velocity!$B:$B,$C257)/Assumptions!$B$4*Assumptions!$B$6</f>
        <v>0.866666666666667</v>
      </c>
      <c r="AE257" s="7" t="n">
        <f aca="false">SUMIFS(Doors!AQ:AQ,Doors!$A:$A,$D257,Doors!$B:$B,$B257,Doors!$C:$C,$C257)*SUMIFS(Velocity!$I:$I,Velocity!$A:$A,$A257,Velocity!$B:$B,$C257)/Assumptions!$B$4*Assumptions!$B$6</f>
        <v>0.975</v>
      </c>
      <c r="AF257" s="7" t="n">
        <f aca="false">SUMIFS(Doors!AR:AR,Doors!$A:$A,$D257,Doors!$B:$B,$B257,Doors!$C:$C,$C257)*SUMIFS(Velocity!$I:$I,Velocity!$A:$A,$A257,Velocity!$B:$B,$C257)/Assumptions!$B$4*Assumptions!$B$6</f>
        <v>0.975</v>
      </c>
      <c r="AG257" s="7" t="n">
        <f aca="false">SUMIFS(Doors!AS:AS,Doors!$A:$A,$D257,Doors!$B:$B,$B257,Doors!$C:$C,$C257)*SUMIFS(Velocity!$I:$I,Velocity!$A:$A,$A257,Velocity!$B:$B,$C257)/Assumptions!$B$4*Assumptions!$B$6</f>
        <v>0.975</v>
      </c>
      <c r="AH257" s="7" t="n">
        <f aca="false">SUMIFS(Doors!AT:AT,Doors!$A:$A,$D257,Doors!$B:$B,$B257,Doors!$C:$C,$C257)*SUMIFS(Velocity!$I:$I,Velocity!$A:$A,$A257,Velocity!$B:$B,$C257)/Assumptions!$B$4*Assumptions!$B$6</f>
        <v>0.975</v>
      </c>
      <c r="AI257" s="7" t="n">
        <f aca="false">SUMIFS(Doors!AU:AU,Doors!$A:$A,$D257,Doors!$B:$B,$B257,Doors!$C:$C,$C257)*SUMIFS(Velocity!$I:$I,Velocity!$A:$A,$A257,Velocity!$B:$B,$C257)/Assumptions!$B$4*Assumptions!$B$6</f>
        <v>0.975</v>
      </c>
      <c r="AJ257" s="7" t="n">
        <f aca="false">SUMIFS(Doors!AV:AV,Doors!$A:$A,$D257,Doors!$B:$B,$B257,Doors!$C:$C,$C257)*SUMIFS(Velocity!$I:$I,Velocity!$A:$A,$A257,Velocity!$B:$B,$C257)/Assumptions!$B$4*Assumptions!$B$6</f>
        <v>1.08333333333333</v>
      </c>
      <c r="AK257" s="7" t="n">
        <f aca="false">SUMIFS(Doors!AW:AW,Doors!$A:$A,$D257,Doors!$B:$B,$B257,Doors!$C:$C,$C257)*SUMIFS(Velocity!$I:$I,Velocity!$A:$A,$A257,Velocity!$B:$B,$C257)/Assumptions!$B$4*Assumptions!$B$6</f>
        <v>1.08333333333333</v>
      </c>
      <c r="AL257" s="7" t="n">
        <f aca="false">SUMIFS(Doors!AX:AX,Doors!$A:$A,$D257,Doors!$B:$B,$B257,Doors!$C:$C,$C257)*SUMIFS(Velocity!$I:$I,Velocity!$A:$A,$A257,Velocity!$B:$B,$C257)/Assumptions!$B$4*Assumptions!$B$6</f>
        <v>1.08333333333333</v>
      </c>
      <c r="AM257" s="7" t="n">
        <f aca="false">SUMIFS(Doors!AY:AY,Doors!$A:$A,$D257,Doors!$B:$B,$B257,Doors!$C:$C,$C257)*SUMIFS(Velocity!$I:$I,Velocity!$A:$A,$A257,Velocity!$B:$B,$C257)/Assumptions!$B$4*Assumptions!$B$6</f>
        <v>1.08333333333333</v>
      </c>
      <c r="AN257" s="7" t="n">
        <f aca="false">SUMIFS(Doors!AZ:AZ,Doors!$A:$A,$D257,Doors!$B:$B,$B257,Doors!$C:$C,$C257)*SUMIFS(Velocity!$I:$I,Velocity!$A:$A,$A257,Velocity!$B:$B,$C257)/Assumptions!$B$4*Assumptions!$B$6</f>
        <v>1.08333333333333</v>
      </c>
      <c r="AO257" s="7" t="n">
        <f aca="false">SUMIFS(Doors!BA:BA,Doors!$A:$A,$D257,Doors!$B:$B,$B257,Doors!$C:$C,$C257)*SUMIFS(Velocity!$I:$I,Velocity!$A:$A,$A257,Velocity!$B:$B,$C257)/Assumptions!$B$4*Assumptions!$B$6</f>
        <v>1.08333333333333</v>
      </c>
      <c r="AP257" s="7" t="n">
        <f aca="false">SUMIFS(Doors!BB:BB,Doors!$A:$A,$D257,Doors!$B:$B,$B257,Doors!$C:$C,$C257)*SUMIFS(Velocity!$I:$I,Velocity!$A:$A,$A257,Velocity!$B:$B,$C257)/Assumptions!$B$4*Assumptions!$B$6</f>
        <v>1.08333333333333</v>
      </c>
      <c r="AQ257" s="7" t="n">
        <f aca="false">SUMIFS(Doors!BC:BC,Doors!$A:$A,$D257,Doors!$B:$B,$B257,Doors!$C:$C,$C257)*SUMIFS(Velocity!$I:$I,Velocity!$A:$A,$A257,Velocity!$B:$B,$C257)/Assumptions!$B$4*Assumptions!$B$6</f>
        <v>1.08333333333333</v>
      </c>
      <c r="AR257" s="7" t="n">
        <f aca="false">SUMIFS(Doors!BD:BD,Doors!$A:$A,$D257,Doors!$B:$B,$B257,Doors!$C:$C,$C257)*SUMIFS(Velocity!$I:$I,Velocity!$A:$A,$A257,Velocity!$B:$B,$C257)/Assumptions!$B$4*Assumptions!$B$6</f>
        <v>1.08333333333333</v>
      </c>
      <c r="AS257" s="7" t="n">
        <f aca="false">SUMIFS(Doors!BE:BE,Doors!$A:$A,$D257,Doors!$B:$B,$B257,Doors!$C:$C,$C257)*SUMIFS(Velocity!$I:$I,Velocity!$A:$A,$A257,Velocity!$B:$B,$C257)/Assumptions!$B$4*Assumptions!$B$6</f>
        <v>1.08333333333333</v>
      </c>
      <c r="AT257" s="7" t="n">
        <f aca="false">SUMIFS(Doors!BF:BF,Doors!$A:$A,$D257,Doors!$B:$B,$B257,Doors!$C:$C,$C257)*SUMIFS(Velocity!$I:$I,Velocity!$A:$A,$A257,Velocity!$B:$B,$C257)/Assumptions!$B$4*Assumptions!$B$6</f>
        <v>1.08333333333333</v>
      </c>
      <c r="AU257" s="7" t="n">
        <f aca="false">SUMIFS(Doors!BG:BG,Doors!$A:$A,$D257,Doors!$B:$B,$B257,Doors!$C:$C,$C257)*SUMIFS(Velocity!$I:$I,Velocity!$A:$A,$A257,Velocity!$B:$B,$C257)/Assumptions!$B$4*Assumptions!$B$6</f>
        <v>1.08333333333333</v>
      </c>
      <c r="AV257" s="7" t="n">
        <f aca="false">SUMIFS(Doors!BH:BH,Doors!$A:$A,$D257,Doors!$B:$B,$B257,Doors!$C:$C,$C257)*SUMIFS(Velocity!$I:$I,Velocity!$A:$A,$A257,Velocity!$B:$B,$C257)/Assumptions!$B$4*Assumptions!$B$6</f>
        <v>1.08333333333333</v>
      </c>
      <c r="AW257" s="7" t="n">
        <f aca="false">SUMIFS(Doors!BI:BI,Doors!$A:$A,$D257,Doors!$B:$B,$B257,Doors!$C:$C,$C257)*SUMIFS(Velocity!$I:$I,Velocity!$A:$A,$A257,Velocity!$B:$B,$C257)/Assumptions!$B$4*Assumptions!$B$6</f>
        <v>1.08333333333333</v>
      </c>
      <c r="AX257" s="7" t="n">
        <f aca="false">SUMIFS(Doors!BJ:BJ,Doors!$A:$A,$D257,Doors!$B:$B,$B257,Doors!$C:$C,$C257)*SUMIFS(Velocity!$I:$I,Velocity!$A:$A,$A257,Velocity!$B:$B,$C257)/Assumptions!$B$4*Assumptions!$B$6</f>
        <v>1.08333333333333</v>
      </c>
      <c r="AY257" s="7" t="n">
        <f aca="false">SUMIFS(Doors!BK:BK,Doors!$A:$A,$D257,Doors!$B:$B,$B257,Doors!$C:$C,$C257)*SUMIFS(Velocity!$I:$I,Velocity!$A:$A,$A257,Velocity!$B:$B,$C257)/Assumptions!$B$4*Assumptions!$B$6</f>
        <v>1.08333333333333</v>
      </c>
      <c r="AZ257" s="7" t="n">
        <f aca="false">SUMIFS(Doors!BL:BL,Doors!$A:$A,$D257,Doors!$B:$B,$B257,Doors!$C:$C,$C257)*SUMIFS(Velocity!$I:$I,Velocity!$A:$A,$A257,Velocity!$B:$B,$C257)/Assumptions!$B$4*Assumptions!$B$6</f>
        <v>1.08333333333333</v>
      </c>
      <c r="BA257" s="7" t="n">
        <f aca="false">SUMIFS(Doors!BM:BM,Doors!$A:$A,$D257,Doors!$B:$B,$B257,Doors!$C:$C,$C257)*SUMIFS(Velocity!$I:$I,Velocity!$A:$A,$A257,Velocity!$B:$B,$C257)/Assumptions!$B$4*Assumptions!$B$6</f>
        <v>1.08333333333333</v>
      </c>
      <c r="BB257" s="7" t="n">
        <f aca="false">SUMIFS(Doors!BN:BN,Doors!$A:$A,$D257,Doors!$B:$B,$B257,Doors!$C:$C,$C257)*SUMIFS(Velocity!$I:$I,Velocity!$A:$A,$A257,Velocity!$B:$B,$C257)/Assumptions!$B$4*Assumptions!$B$6</f>
        <v>1.08333333333333</v>
      </c>
      <c r="BC257" s="7" t="n">
        <f aca="false">SUMIFS(Doors!BO:BO,Doors!$A:$A,$D257,Doors!$B:$B,$B257,Doors!$C:$C,$C257)*SUMIFS(Velocity!$I:$I,Velocity!$A:$A,$A257,Velocity!$B:$B,$C257)/Assumptions!$B$4*Assumptions!$B$6</f>
        <v>1.08333333333333</v>
      </c>
      <c r="BD257" s="7" t="n">
        <f aca="false">SUMIFS(Doors!BP:BP,Doors!$A:$A,$D257,Doors!$B:$B,$B257,Doors!$C:$C,$C257)*SUMIFS(Velocity!$I:$I,Velocity!$A:$A,$A257,Velocity!$B:$B,$C257)/Assumptions!$B$4*Assumptions!$B$6</f>
        <v>1.08333333333333</v>
      </c>
    </row>
    <row r="258" customFormat="false" ht="15" hidden="false" customHeight="false" outlineLevel="0" collapsed="false">
      <c r="A258" s="0" t="s">
        <v>110</v>
      </c>
      <c r="B258" s="0" t="s">
        <v>134</v>
      </c>
      <c r="C258" s="0" t="s">
        <v>115</v>
      </c>
      <c r="D258" s="0" t="s">
        <v>235</v>
      </c>
      <c r="E258" s="7" t="n">
        <f aca="false">SUMIFS(Doors!Q:Q,Doors!$A:$A,$D258,Doors!$B:$B,$B258,Doors!$C:$C,$C258)*SUMIFS(Velocity!$I:$I,Velocity!$A:$A,$A258,Velocity!$B:$B,$C258)/Assumptions!$B$4*Assumptions!$B$6</f>
        <v>0</v>
      </c>
      <c r="F258" s="7" t="n">
        <f aca="false">SUMIFS(Doors!R:R,Doors!$A:$A,$D258,Doors!$B:$B,$B258,Doors!$C:$C,$C258)*SUMIFS(Velocity!$I:$I,Velocity!$A:$A,$A258,Velocity!$B:$B,$C258)/Assumptions!$B$4*Assumptions!$B$6</f>
        <v>0</v>
      </c>
      <c r="G258" s="7" t="n">
        <f aca="false">SUMIFS(Doors!S:S,Doors!$A:$A,$D258,Doors!$B:$B,$B258,Doors!$C:$C,$C258)*SUMIFS(Velocity!$I:$I,Velocity!$A:$A,$A258,Velocity!$B:$B,$C258)/Assumptions!$B$4*Assumptions!$B$6</f>
        <v>0</v>
      </c>
      <c r="H258" s="7" t="n">
        <f aca="false">SUMIFS(Doors!T:T,Doors!$A:$A,$D258,Doors!$B:$B,$B258,Doors!$C:$C,$C258)*SUMIFS(Velocity!$I:$I,Velocity!$A:$A,$A258,Velocity!$B:$B,$C258)/Assumptions!$B$4*Assumptions!$B$6</f>
        <v>0</v>
      </c>
      <c r="I258" s="7" t="n">
        <f aca="false">SUMIFS(Doors!U:U,Doors!$A:$A,$D258,Doors!$B:$B,$B258,Doors!$C:$C,$C258)*SUMIFS(Velocity!$I:$I,Velocity!$A:$A,$A258,Velocity!$B:$B,$C258)/Assumptions!$B$4*Assumptions!$B$6</f>
        <v>0</v>
      </c>
      <c r="J258" s="7" t="n">
        <f aca="false">SUMIFS(Doors!V:V,Doors!$A:$A,$D258,Doors!$B:$B,$B258,Doors!$C:$C,$C258)*SUMIFS(Velocity!$I:$I,Velocity!$A:$A,$A258,Velocity!$B:$B,$C258)/Assumptions!$B$4*Assumptions!$B$6</f>
        <v>0</v>
      </c>
      <c r="K258" s="7" t="n">
        <f aca="false">SUMIFS(Doors!W:W,Doors!$A:$A,$D258,Doors!$B:$B,$B258,Doors!$C:$C,$C258)*SUMIFS(Velocity!$I:$I,Velocity!$A:$A,$A258,Velocity!$B:$B,$C258)/Assumptions!$B$4*Assumptions!$B$6</f>
        <v>0</v>
      </c>
      <c r="L258" s="7" t="n">
        <f aca="false">SUMIFS(Doors!X:X,Doors!$A:$A,$D258,Doors!$B:$B,$B258,Doors!$C:$C,$C258)*SUMIFS(Velocity!$I:$I,Velocity!$A:$A,$A258,Velocity!$B:$B,$C258)/Assumptions!$B$4*Assumptions!$B$6</f>
        <v>0</v>
      </c>
      <c r="M258" s="7" t="n">
        <f aca="false">SUMIFS(Doors!Y:Y,Doors!$A:$A,$D258,Doors!$B:$B,$B258,Doors!$C:$C,$C258)*SUMIFS(Velocity!$I:$I,Velocity!$A:$A,$A258,Velocity!$B:$B,$C258)/Assumptions!$B$4*Assumptions!$B$6</f>
        <v>0</v>
      </c>
      <c r="N258" s="7" t="n">
        <f aca="false">SUMIFS(Doors!Z:Z,Doors!$A:$A,$D258,Doors!$B:$B,$B258,Doors!$C:$C,$C258)*SUMIFS(Velocity!$I:$I,Velocity!$A:$A,$A258,Velocity!$B:$B,$C258)/Assumptions!$B$4*Assumptions!$B$6</f>
        <v>0</v>
      </c>
      <c r="O258" s="7" t="n">
        <f aca="false">SUMIFS(Doors!AA:AA,Doors!$A:$A,$D258,Doors!$B:$B,$B258,Doors!$C:$C,$C258)*SUMIFS(Velocity!$I:$I,Velocity!$A:$A,$A258,Velocity!$B:$B,$C258)/Assumptions!$B$4*Assumptions!$B$6</f>
        <v>0</v>
      </c>
      <c r="P258" s="7" t="n">
        <f aca="false">SUMIFS(Doors!AB:AB,Doors!$A:$A,$D258,Doors!$B:$B,$B258,Doors!$C:$C,$C258)*SUMIFS(Velocity!$I:$I,Velocity!$A:$A,$A258,Velocity!$B:$B,$C258)/Assumptions!$B$4*Assumptions!$B$6</f>
        <v>0</v>
      </c>
      <c r="Q258" s="7" t="n">
        <f aca="false">SUMIFS(Doors!AC:AC,Doors!$A:$A,$D258,Doors!$B:$B,$B258,Doors!$C:$C,$C258)*SUMIFS(Velocity!$I:$I,Velocity!$A:$A,$A258,Velocity!$B:$B,$C258)/Assumptions!$B$4*Assumptions!$B$6</f>
        <v>0</v>
      </c>
      <c r="R258" s="7" t="n">
        <f aca="false">SUMIFS(Doors!AD:AD,Doors!$A:$A,$D258,Doors!$B:$B,$B258,Doors!$C:$C,$C258)*SUMIFS(Velocity!$I:$I,Velocity!$A:$A,$A258,Velocity!$B:$B,$C258)/Assumptions!$B$4*Assumptions!$B$6</f>
        <v>0.366666666666667</v>
      </c>
      <c r="S258" s="7" t="n">
        <f aca="false">SUMIFS(Doors!AE:AE,Doors!$A:$A,$D258,Doors!$B:$B,$B258,Doors!$C:$C,$C258)*SUMIFS(Velocity!$I:$I,Velocity!$A:$A,$A258,Velocity!$B:$B,$C258)/Assumptions!$B$4*Assumptions!$B$6</f>
        <v>0.366666666666667</v>
      </c>
      <c r="T258" s="7" t="n">
        <f aca="false">SUMIFS(Doors!AF:AF,Doors!$A:$A,$D258,Doors!$B:$B,$B258,Doors!$C:$C,$C258)*SUMIFS(Velocity!$I:$I,Velocity!$A:$A,$A258,Velocity!$B:$B,$C258)/Assumptions!$B$4*Assumptions!$B$6</f>
        <v>0.366666666666667</v>
      </c>
      <c r="U258" s="7" t="n">
        <f aca="false">SUMIFS(Doors!AG:AG,Doors!$A:$A,$D258,Doors!$B:$B,$B258,Doors!$C:$C,$C258)*SUMIFS(Velocity!$I:$I,Velocity!$A:$A,$A258,Velocity!$B:$B,$C258)/Assumptions!$B$4*Assumptions!$B$6</f>
        <v>0.366666666666667</v>
      </c>
      <c r="V258" s="7" t="n">
        <f aca="false">SUMIFS(Doors!AH:AH,Doors!$A:$A,$D258,Doors!$B:$B,$B258,Doors!$C:$C,$C258)*SUMIFS(Velocity!$I:$I,Velocity!$A:$A,$A258,Velocity!$B:$B,$C258)/Assumptions!$B$4*Assumptions!$B$6</f>
        <v>0.366666666666667</v>
      </c>
      <c r="W258" s="7" t="n">
        <f aca="false">SUMIFS(Doors!AI:AI,Doors!$A:$A,$D258,Doors!$B:$B,$B258,Doors!$C:$C,$C258)*SUMIFS(Velocity!$I:$I,Velocity!$A:$A,$A258,Velocity!$B:$B,$C258)/Assumptions!$B$4*Assumptions!$B$6</f>
        <v>0.733333333333333</v>
      </c>
      <c r="X258" s="7" t="n">
        <f aca="false">SUMIFS(Doors!AJ:AJ,Doors!$A:$A,$D258,Doors!$B:$B,$B258,Doors!$C:$C,$C258)*SUMIFS(Velocity!$I:$I,Velocity!$A:$A,$A258,Velocity!$B:$B,$C258)/Assumptions!$B$4*Assumptions!$B$6</f>
        <v>0.733333333333333</v>
      </c>
      <c r="Y258" s="7" t="n">
        <f aca="false">SUMIFS(Doors!AK:AK,Doors!$A:$A,$D258,Doors!$B:$B,$B258,Doors!$C:$C,$C258)*SUMIFS(Velocity!$I:$I,Velocity!$A:$A,$A258,Velocity!$B:$B,$C258)/Assumptions!$B$4*Assumptions!$B$6</f>
        <v>0.733333333333333</v>
      </c>
      <c r="Z258" s="7" t="n">
        <f aca="false">SUMIFS(Doors!AL:AL,Doors!$A:$A,$D258,Doors!$B:$B,$B258,Doors!$C:$C,$C258)*SUMIFS(Velocity!$I:$I,Velocity!$A:$A,$A258,Velocity!$B:$B,$C258)/Assumptions!$B$4*Assumptions!$B$6</f>
        <v>0.733333333333333</v>
      </c>
      <c r="AA258" s="7" t="n">
        <f aca="false">SUMIFS(Doors!AM:AM,Doors!$A:$A,$D258,Doors!$B:$B,$B258,Doors!$C:$C,$C258)*SUMIFS(Velocity!$I:$I,Velocity!$A:$A,$A258,Velocity!$B:$B,$C258)/Assumptions!$B$4*Assumptions!$B$6</f>
        <v>1.1</v>
      </c>
      <c r="AB258" s="7" t="n">
        <f aca="false">SUMIFS(Doors!AN:AN,Doors!$A:$A,$D258,Doors!$B:$B,$B258,Doors!$C:$C,$C258)*SUMIFS(Velocity!$I:$I,Velocity!$A:$A,$A258,Velocity!$B:$B,$C258)/Assumptions!$B$4*Assumptions!$B$6</f>
        <v>1.1</v>
      </c>
      <c r="AC258" s="7" t="n">
        <f aca="false">SUMIFS(Doors!AO:AO,Doors!$A:$A,$D258,Doors!$B:$B,$B258,Doors!$C:$C,$C258)*SUMIFS(Velocity!$I:$I,Velocity!$A:$A,$A258,Velocity!$B:$B,$C258)/Assumptions!$B$4*Assumptions!$B$6</f>
        <v>1.1</v>
      </c>
      <c r="AD258" s="7" t="n">
        <f aca="false">SUMIFS(Doors!AP:AP,Doors!$A:$A,$D258,Doors!$B:$B,$B258,Doors!$C:$C,$C258)*SUMIFS(Velocity!$I:$I,Velocity!$A:$A,$A258,Velocity!$B:$B,$C258)/Assumptions!$B$4*Assumptions!$B$6</f>
        <v>1.1</v>
      </c>
      <c r="AE258" s="7" t="n">
        <f aca="false">SUMIFS(Doors!AQ:AQ,Doors!$A:$A,$D258,Doors!$B:$B,$B258,Doors!$C:$C,$C258)*SUMIFS(Velocity!$I:$I,Velocity!$A:$A,$A258,Velocity!$B:$B,$C258)/Assumptions!$B$4*Assumptions!$B$6</f>
        <v>1.46666666666667</v>
      </c>
      <c r="AF258" s="7" t="n">
        <f aca="false">SUMIFS(Doors!AR:AR,Doors!$A:$A,$D258,Doors!$B:$B,$B258,Doors!$C:$C,$C258)*SUMIFS(Velocity!$I:$I,Velocity!$A:$A,$A258,Velocity!$B:$B,$C258)/Assumptions!$B$4*Assumptions!$B$6</f>
        <v>1.46666666666667</v>
      </c>
      <c r="AG258" s="7" t="n">
        <f aca="false">SUMIFS(Doors!AS:AS,Doors!$A:$A,$D258,Doors!$B:$B,$B258,Doors!$C:$C,$C258)*SUMIFS(Velocity!$I:$I,Velocity!$A:$A,$A258,Velocity!$B:$B,$C258)/Assumptions!$B$4*Assumptions!$B$6</f>
        <v>1.46666666666667</v>
      </c>
      <c r="AH258" s="7" t="n">
        <f aca="false">SUMIFS(Doors!AT:AT,Doors!$A:$A,$D258,Doors!$B:$B,$B258,Doors!$C:$C,$C258)*SUMIFS(Velocity!$I:$I,Velocity!$A:$A,$A258,Velocity!$B:$B,$C258)/Assumptions!$B$4*Assumptions!$B$6</f>
        <v>1.46666666666667</v>
      </c>
      <c r="AI258" s="7" t="n">
        <f aca="false">SUMIFS(Doors!AU:AU,Doors!$A:$A,$D258,Doors!$B:$B,$B258,Doors!$C:$C,$C258)*SUMIFS(Velocity!$I:$I,Velocity!$A:$A,$A258,Velocity!$B:$B,$C258)/Assumptions!$B$4*Assumptions!$B$6</f>
        <v>1.46666666666667</v>
      </c>
      <c r="AJ258" s="7" t="n">
        <f aca="false">SUMIFS(Doors!AV:AV,Doors!$A:$A,$D258,Doors!$B:$B,$B258,Doors!$C:$C,$C258)*SUMIFS(Velocity!$I:$I,Velocity!$A:$A,$A258,Velocity!$B:$B,$C258)/Assumptions!$B$4*Assumptions!$B$6</f>
        <v>1.83333333333333</v>
      </c>
      <c r="AK258" s="7" t="n">
        <f aca="false">SUMIFS(Doors!AW:AW,Doors!$A:$A,$D258,Doors!$B:$B,$B258,Doors!$C:$C,$C258)*SUMIFS(Velocity!$I:$I,Velocity!$A:$A,$A258,Velocity!$B:$B,$C258)/Assumptions!$B$4*Assumptions!$B$6</f>
        <v>1.83333333333333</v>
      </c>
      <c r="AL258" s="7" t="n">
        <f aca="false">SUMIFS(Doors!AX:AX,Doors!$A:$A,$D258,Doors!$B:$B,$B258,Doors!$C:$C,$C258)*SUMIFS(Velocity!$I:$I,Velocity!$A:$A,$A258,Velocity!$B:$B,$C258)/Assumptions!$B$4*Assumptions!$B$6</f>
        <v>1.83333333333333</v>
      </c>
      <c r="AM258" s="7" t="n">
        <f aca="false">SUMIFS(Doors!AY:AY,Doors!$A:$A,$D258,Doors!$B:$B,$B258,Doors!$C:$C,$C258)*SUMIFS(Velocity!$I:$I,Velocity!$A:$A,$A258,Velocity!$B:$B,$C258)/Assumptions!$B$4*Assumptions!$B$6</f>
        <v>1.83333333333333</v>
      </c>
      <c r="AN258" s="7" t="n">
        <f aca="false">SUMIFS(Doors!AZ:AZ,Doors!$A:$A,$D258,Doors!$B:$B,$B258,Doors!$C:$C,$C258)*SUMIFS(Velocity!$I:$I,Velocity!$A:$A,$A258,Velocity!$B:$B,$C258)/Assumptions!$B$4*Assumptions!$B$6</f>
        <v>2.2</v>
      </c>
      <c r="AO258" s="7" t="n">
        <f aca="false">SUMIFS(Doors!BA:BA,Doors!$A:$A,$D258,Doors!$B:$B,$B258,Doors!$C:$C,$C258)*SUMIFS(Velocity!$I:$I,Velocity!$A:$A,$A258,Velocity!$B:$B,$C258)/Assumptions!$B$4*Assumptions!$B$6</f>
        <v>2.2</v>
      </c>
      <c r="AP258" s="7" t="n">
        <f aca="false">SUMIFS(Doors!BB:BB,Doors!$A:$A,$D258,Doors!$B:$B,$B258,Doors!$C:$C,$C258)*SUMIFS(Velocity!$I:$I,Velocity!$A:$A,$A258,Velocity!$B:$B,$C258)/Assumptions!$B$4*Assumptions!$B$6</f>
        <v>2.2</v>
      </c>
      <c r="AQ258" s="7" t="n">
        <f aca="false">SUMIFS(Doors!BC:BC,Doors!$A:$A,$D258,Doors!$B:$B,$B258,Doors!$C:$C,$C258)*SUMIFS(Velocity!$I:$I,Velocity!$A:$A,$A258,Velocity!$B:$B,$C258)/Assumptions!$B$4*Assumptions!$B$6</f>
        <v>2.2</v>
      </c>
      <c r="AR258" s="7" t="n">
        <f aca="false">SUMIFS(Doors!BD:BD,Doors!$A:$A,$D258,Doors!$B:$B,$B258,Doors!$C:$C,$C258)*SUMIFS(Velocity!$I:$I,Velocity!$A:$A,$A258,Velocity!$B:$B,$C258)/Assumptions!$B$4*Assumptions!$B$6</f>
        <v>2.2</v>
      </c>
      <c r="AS258" s="7" t="n">
        <f aca="false">SUMIFS(Doors!BE:BE,Doors!$A:$A,$D258,Doors!$B:$B,$B258,Doors!$C:$C,$C258)*SUMIFS(Velocity!$I:$I,Velocity!$A:$A,$A258,Velocity!$B:$B,$C258)/Assumptions!$B$4*Assumptions!$B$6</f>
        <v>2.2</v>
      </c>
      <c r="AT258" s="7" t="n">
        <f aca="false">SUMIFS(Doors!BF:BF,Doors!$A:$A,$D258,Doors!$B:$B,$B258,Doors!$C:$C,$C258)*SUMIFS(Velocity!$I:$I,Velocity!$A:$A,$A258,Velocity!$B:$B,$C258)/Assumptions!$B$4*Assumptions!$B$6</f>
        <v>2.2</v>
      </c>
      <c r="AU258" s="7" t="n">
        <f aca="false">SUMIFS(Doors!BG:BG,Doors!$A:$A,$D258,Doors!$B:$B,$B258,Doors!$C:$C,$C258)*SUMIFS(Velocity!$I:$I,Velocity!$A:$A,$A258,Velocity!$B:$B,$C258)/Assumptions!$B$4*Assumptions!$B$6</f>
        <v>2.2</v>
      </c>
      <c r="AV258" s="7" t="n">
        <f aca="false">SUMIFS(Doors!BH:BH,Doors!$A:$A,$D258,Doors!$B:$B,$B258,Doors!$C:$C,$C258)*SUMIFS(Velocity!$I:$I,Velocity!$A:$A,$A258,Velocity!$B:$B,$C258)/Assumptions!$B$4*Assumptions!$B$6</f>
        <v>2.2</v>
      </c>
      <c r="AW258" s="7" t="n">
        <f aca="false">SUMIFS(Doors!BI:BI,Doors!$A:$A,$D258,Doors!$B:$B,$B258,Doors!$C:$C,$C258)*SUMIFS(Velocity!$I:$I,Velocity!$A:$A,$A258,Velocity!$B:$B,$C258)/Assumptions!$B$4*Assumptions!$B$6</f>
        <v>2.56666666666667</v>
      </c>
      <c r="AX258" s="7" t="n">
        <f aca="false">SUMIFS(Doors!BJ:BJ,Doors!$A:$A,$D258,Doors!$B:$B,$B258,Doors!$C:$C,$C258)*SUMIFS(Velocity!$I:$I,Velocity!$A:$A,$A258,Velocity!$B:$B,$C258)/Assumptions!$B$4*Assumptions!$B$6</f>
        <v>2.56666666666667</v>
      </c>
      <c r="AY258" s="7" t="n">
        <f aca="false">SUMIFS(Doors!BK:BK,Doors!$A:$A,$D258,Doors!$B:$B,$B258,Doors!$C:$C,$C258)*SUMIFS(Velocity!$I:$I,Velocity!$A:$A,$A258,Velocity!$B:$B,$C258)/Assumptions!$B$4*Assumptions!$B$6</f>
        <v>2.56666666666667</v>
      </c>
      <c r="AZ258" s="7" t="n">
        <f aca="false">SUMIFS(Doors!BL:BL,Doors!$A:$A,$D258,Doors!$B:$B,$B258,Doors!$C:$C,$C258)*SUMIFS(Velocity!$I:$I,Velocity!$A:$A,$A258,Velocity!$B:$B,$C258)/Assumptions!$B$4*Assumptions!$B$6</f>
        <v>2.56666666666667</v>
      </c>
      <c r="BA258" s="7" t="n">
        <f aca="false">SUMIFS(Doors!BM:BM,Doors!$A:$A,$D258,Doors!$B:$B,$B258,Doors!$C:$C,$C258)*SUMIFS(Velocity!$I:$I,Velocity!$A:$A,$A258,Velocity!$B:$B,$C258)/Assumptions!$B$4*Assumptions!$B$6</f>
        <v>2.56666666666667</v>
      </c>
      <c r="BB258" s="7" t="n">
        <f aca="false">SUMIFS(Doors!BN:BN,Doors!$A:$A,$D258,Doors!$B:$B,$B258,Doors!$C:$C,$C258)*SUMIFS(Velocity!$I:$I,Velocity!$A:$A,$A258,Velocity!$B:$B,$C258)/Assumptions!$B$4*Assumptions!$B$6</f>
        <v>2.56666666666667</v>
      </c>
      <c r="BC258" s="7" t="n">
        <f aca="false">SUMIFS(Doors!BO:BO,Doors!$A:$A,$D258,Doors!$B:$B,$B258,Doors!$C:$C,$C258)*SUMIFS(Velocity!$I:$I,Velocity!$A:$A,$A258,Velocity!$B:$B,$C258)/Assumptions!$B$4*Assumptions!$B$6</f>
        <v>2.56666666666667</v>
      </c>
      <c r="BD258" s="7" t="n">
        <f aca="false">SUMIFS(Doors!BP:BP,Doors!$A:$A,$D258,Doors!$B:$B,$B258,Doors!$C:$C,$C258)*SUMIFS(Velocity!$I:$I,Velocity!$A:$A,$A258,Velocity!$B:$B,$C258)/Assumptions!$B$4*Assumptions!$B$6</f>
        <v>2.56666666666667</v>
      </c>
    </row>
    <row r="259" customFormat="false" ht="15" hidden="false" customHeight="false" outlineLevel="0" collapsed="false">
      <c r="A259" s="0" t="s">
        <v>110</v>
      </c>
      <c r="B259" s="0" t="s">
        <v>134</v>
      </c>
      <c r="C259" s="0" t="s">
        <v>116</v>
      </c>
      <c r="D259" s="0" t="s">
        <v>235</v>
      </c>
      <c r="E259" s="7" t="n">
        <f aca="false">SUMIFS(Doors!Q:Q,Doors!$A:$A,$D259,Doors!$B:$B,$B259,Doors!$C:$C,$C259)*SUMIFS(Velocity!$I:$I,Velocity!$A:$A,$A259,Velocity!$B:$B,$C259)/Assumptions!$B$4*Assumptions!$B$6</f>
        <v>0</v>
      </c>
      <c r="F259" s="7" t="n">
        <f aca="false">SUMIFS(Doors!R:R,Doors!$A:$A,$D259,Doors!$B:$B,$B259,Doors!$C:$C,$C259)*SUMIFS(Velocity!$I:$I,Velocity!$A:$A,$A259,Velocity!$B:$B,$C259)/Assumptions!$B$4*Assumptions!$B$6</f>
        <v>0</v>
      </c>
      <c r="G259" s="7" t="n">
        <f aca="false">SUMIFS(Doors!S:S,Doors!$A:$A,$D259,Doors!$B:$B,$B259,Doors!$C:$C,$C259)*SUMIFS(Velocity!$I:$I,Velocity!$A:$A,$A259,Velocity!$B:$B,$C259)/Assumptions!$B$4*Assumptions!$B$6</f>
        <v>0</v>
      </c>
      <c r="H259" s="7" t="n">
        <f aca="false">SUMIFS(Doors!T:T,Doors!$A:$A,$D259,Doors!$B:$B,$B259,Doors!$C:$C,$C259)*SUMIFS(Velocity!$I:$I,Velocity!$A:$A,$A259,Velocity!$B:$B,$C259)/Assumptions!$B$4*Assumptions!$B$6</f>
        <v>0</v>
      </c>
      <c r="I259" s="7" t="n">
        <f aca="false">SUMIFS(Doors!U:U,Doors!$A:$A,$D259,Doors!$B:$B,$B259,Doors!$C:$C,$C259)*SUMIFS(Velocity!$I:$I,Velocity!$A:$A,$A259,Velocity!$B:$B,$C259)/Assumptions!$B$4*Assumptions!$B$6</f>
        <v>0</v>
      </c>
      <c r="J259" s="7" t="n">
        <f aca="false">SUMIFS(Doors!V:V,Doors!$A:$A,$D259,Doors!$B:$B,$B259,Doors!$C:$C,$C259)*SUMIFS(Velocity!$I:$I,Velocity!$A:$A,$A259,Velocity!$B:$B,$C259)/Assumptions!$B$4*Assumptions!$B$6</f>
        <v>0</v>
      </c>
      <c r="K259" s="7" t="n">
        <f aca="false">SUMIFS(Doors!W:W,Doors!$A:$A,$D259,Doors!$B:$B,$B259,Doors!$C:$C,$C259)*SUMIFS(Velocity!$I:$I,Velocity!$A:$A,$A259,Velocity!$B:$B,$C259)/Assumptions!$B$4*Assumptions!$B$6</f>
        <v>0</v>
      </c>
      <c r="L259" s="7" t="n">
        <f aca="false">SUMIFS(Doors!X:X,Doors!$A:$A,$D259,Doors!$B:$B,$B259,Doors!$C:$C,$C259)*SUMIFS(Velocity!$I:$I,Velocity!$A:$A,$A259,Velocity!$B:$B,$C259)/Assumptions!$B$4*Assumptions!$B$6</f>
        <v>0</v>
      </c>
      <c r="M259" s="7" t="n">
        <f aca="false">SUMIFS(Doors!Y:Y,Doors!$A:$A,$D259,Doors!$B:$B,$B259,Doors!$C:$C,$C259)*SUMIFS(Velocity!$I:$I,Velocity!$A:$A,$A259,Velocity!$B:$B,$C259)/Assumptions!$B$4*Assumptions!$B$6</f>
        <v>0</v>
      </c>
      <c r="N259" s="7" t="n">
        <f aca="false">SUMIFS(Doors!Z:Z,Doors!$A:$A,$D259,Doors!$B:$B,$B259,Doors!$C:$C,$C259)*SUMIFS(Velocity!$I:$I,Velocity!$A:$A,$A259,Velocity!$B:$B,$C259)/Assumptions!$B$4*Assumptions!$B$6</f>
        <v>0</v>
      </c>
      <c r="O259" s="7" t="n">
        <f aca="false">SUMIFS(Doors!AA:AA,Doors!$A:$A,$D259,Doors!$B:$B,$B259,Doors!$C:$C,$C259)*SUMIFS(Velocity!$I:$I,Velocity!$A:$A,$A259,Velocity!$B:$B,$C259)/Assumptions!$B$4*Assumptions!$B$6</f>
        <v>0</v>
      </c>
      <c r="P259" s="7" t="n">
        <f aca="false">SUMIFS(Doors!AB:AB,Doors!$A:$A,$D259,Doors!$B:$B,$B259,Doors!$C:$C,$C259)*SUMIFS(Velocity!$I:$I,Velocity!$A:$A,$A259,Velocity!$B:$B,$C259)/Assumptions!$B$4*Assumptions!$B$6</f>
        <v>0</v>
      </c>
      <c r="Q259" s="7" t="n">
        <f aca="false">SUMIFS(Doors!AC:AC,Doors!$A:$A,$D259,Doors!$B:$B,$B259,Doors!$C:$C,$C259)*SUMIFS(Velocity!$I:$I,Velocity!$A:$A,$A259,Velocity!$B:$B,$C259)/Assumptions!$B$4*Assumptions!$B$6</f>
        <v>0</v>
      </c>
      <c r="R259" s="7" t="n">
        <f aca="false">SUMIFS(Doors!AD:AD,Doors!$A:$A,$D259,Doors!$B:$B,$B259,Doors!$C:$C,$C259)*SUMIFS(Velocity!$I:$I,Velocity!$A:$A,$A259,Velocity!$B:$B,$C259)/Assumptions!$B$4*Assumptions!$B$6</f>
        <v>0</v>
      </c>
      <c r="S259" s="7" t="n">
        <f aca="false">SUMIFS(Doors!AE:AE,Doors!$A:$A,$D259,Doors!$B:$B,$B259,Doors!$C:$C,$C259)*SUMIFS(Velocity!$I:$I,Velocity!$A:$A,$A259,Velocity!$B:$B,$C259)/Assumptions!$B$4*Assumptions!$B$6</f>
        <v>0</v>
      </c>
      <c r="T259" s="7" t="n">
        <f aca="false">SUMIFS(Doors!AF:AF,Doors!$A:$A,$D259,Doors!$B:$B,$B259,Doors!$C:$C,$C259)*SUMIFS(Velocity!$I:$I,Velocity!$A:$A,$A259,Velocity!$B:$B,$C259)/Assumptions!$B$4*Assumptions!$B$6</f>
        <v>0</v>
      </c>
      <c r="U259" s="7" t="n">
        <f aca="false">SUMIFS(Doors!AG:AG,Doors!$A:$A,$D259,Doors!$B:$B,$B259,Doors!$C:$C,$C259)*SUMIFS(Velocity!$I:$I,Velocity!$A:$A,$A259,Velocity!$B:$B,$C259)/Assumptions!$B$4*Assumptions!$B$6</f>
        <v>0</v>
      </c>
      <c r="V259" s="7" t="n">
        <f aca="false">SUMIFS(Doors!AH:AH,Doors!$A:$A,$D259,Doors!$B:$B,$B259,Doors!$C:$C,$C259)*SUMIFS(Velocity!$I:$I,Velocity!$A:$A,$A259,Velocity!$B:$B,$C259)/Assumptions!$B$4*Assumptions!$B$6</f>
        <v>0</v>
      </c>
      <c r="W259" s="7" t="n">
        <f aca="false">SUMIFS(Doors!AI:AI,Doors!$A:$A,$D259,Doors!$B:$B,$B259,Doors!$C:$C,$C259)*SUMIFS(Velocity!$I:$I,Velocity!$A:$A,$A259,Velocity!$B:$B,$C259)/Assumptions!$B$4*Assumptions!$B$6</f>
        <v>0.316666666666667</v>
      </c>
      <c r="X259" s="7" t="n">
        <f aca="false">SUMIFS(Doors!AJ:AJ,Doors!$A:$A,$D259,Doors!$B:$B,$B259,Doors!$C:$C,$C259)*SUMIFS(Velocity!$I:$I,Velocity!$A:$A,$A259,Velocity!$B:$B,$C259)/Assumptions!$B$4*Assumptions!$B$6</f>
        <v>0.316666666666667</v>
      </c>
      <c r="Y259" s="7" t="n">
        <f aca="false">SUMIFS(Doors!AK:AK,Doors!$A:$A,$D259,Doors!$B:$B,$B259,Doors!$C:$C,$C259)*SUMIFS(Velocity!$I:$I,Velocity!$A:$A,$A259,Velocity!$B:$B,$C259)/Assumptions!$B$4*Assumptions!$B$6</f>
        <v>0.316666666666667</v>
      </c>
      <c r="Z259" s="7" t="n">
        <f aca="false">SUMIFS(Doors!AL:AL,Doors!$A:$A,$D259,Doors!$B:$B,$B259,Doors!$C:$C,$C259)*SUMIFS(Velocity!$I:$I,Velocity!$A:$A,$A259,Velocity!$B:$B,$C259)/Assumptions!$B$4*Assumptions!$B$6</f>
        <v>0.316666666666667</v>
      </c>
      <c r="AA259" s="7" t="n">
        <f aca="false">SUMIFS(Doors!AM:AM,Doors!$A:$A,$D259,Doors!$B:$B,$B259,Doors!$C:$C,$C259)*SUMIFS(Velocity!$I:$I,Velocity!$A:$A,$A259,Velocity!$B:$B,$C259)/Assumptions!$B$4*Assumptions!$B$6</f>
        <v>0.633333333333333</v>
      </c>
      <c r="AB259" s="7" t="n">
        <f aca="false">SUMIFS(Doors!AN:AN,Doors!$A:$A,$D259,Doors!$B:$B,$B259,Doors!$C:$C,$C259)*SUMIFS(Velocity!$I:$I,Velocity!$A:$A,$A259,Velocity!$B:$B,$C259)/Assumptions!$B$4*Assumptions!$B$6</f>
        <v>0.633333333333333</v>
      </c>
      <c r="AC259" s="7" t="n">
        <f aca="false">SUMIFS(Doors!AO:AO,Doors!$A:$A,$D259,Doors!$B:$B,$B259,Doors!$C:$C,$C259)*SUMIFS(Velocity!$I:$I,Velocity!$A:$A,$A259,Velocity!$B:$B,$C259)/Assumptions!$B$4*Assumptions!$B$6</f>
        <v>0.633333333333333</v>
      </c>
      <c r="AD259" s="7" t="n">
        <f aca="false">SUMIFS(Doors!AP:AP,Doors!$A:$A,$D259,Doors!$B:$B,$B259,Doors!$C:$C,$C259)*SUMIFS(Velocity!$I:$I,Velocity!$A:$A,$A259,Velocity!$B:$B,$C259)/Assumptions!$B$4*Assumptions!$B$6</f>
        <v>0.633333333333333</v>
      </c>
      <c r="AE259" s="7" t="n">
        <f aca="false">SUMIFS(Doors!AQ:AQ,Doors!$A:$A,$D259,Doors!$B:$B,$B259,Doors!$C:$C,$C259)*SUMIFS(Velocity!$I:$I,Velocity!$A:$A,$A259,Velocity!$B:$B,$C259)/Assumptions!$B$4*Assumptions!$B$6</f>
        <v>0.633333333333333</v>
      </c>
      <c r="AF259" s="7" t="n">
        <f aca="false">SUMIFS(Doors!AR:AR,Doors!$A:$A,$D259,Doors!$B:$B,$B259,Doors!$C:$C,$C259)*SUMIFS(Velocity!$I:$I,Velocity!$A:$A,$A259,Velocity!$B:$B,$C259)/Assumptions!$B$4*Assumptions!$B$6</f>
        <v>0.633333333333333</v>
      </c>
      <c r="AG259" s="7" t="n">
        <f aca="false">SUMIFS(Doors!AS:AS,Doors!$A:$A,$D259,Doors!$B:$B,$B259,Doors!$C:$C,$C259)*SUMIFS(Velocity!$I:$I,Velocity!$A:$A,$A259,Velocity!$B:$B,$C259)/Assumptions!$B$4*Assumptions!$B$6</f>
        <v>0.633333333333333</v>
      </c>
      <c r="AH259" s="7" t="n">
        <f aca="false">SUMIFS(Doors!AT:AT,Doors!$A:$A,$D259,Doors!$B:$B,$B259,Doors!$C:$C,$C259)*SUMIFS(Velocity!$I:$I,Velocity!$A:$A,$A259,Velocity!$B:$B,$C259)/Assumptions!$B$4*Assumptions!$B$6</f>
        <v>0.633333333333333</v>
      </c>
      <c r="AI259" s="7" t="n">
        <f aca="false">SUMIFS(Doors!AU:AU,Doors!$A:$A,$D259,Doors!$B:$B,$B259,Doors!$C:$C,$C259)*SUMIFS(Velocity!$I:$I,Velocity!$A:$A,$A259,Velocity!$B:$B,$C259)/Assumptions!$B$4*Assumptions!$B$6</f>
        <v>0.633333333333333</v>
      </c>
      <c r="AJ259" s="7" t="n">
        <f aca="false">SUMIFS(Doors!AV:AV,Doors!$A:$A,$D259,Doors!$B:$B,$B259,Doors!$C:$C,$C259)*SUMIFS(Velocity!$I:$I,Velocity!$A:$A,$A259,Velocity!$B:$B,$C259)/Assumptions!$B$4*Assumptions!$B$6</f>
        <v>0.95</v>
      </c>
      <c r="AK259" s="7" t="n">
        <f aca="false">SUMIFS(Doors!AW:AW,Doors!$A:$A,$D259,Doors!$B:$B,$B259,Doors!$C:$C,$C259)*SUMIFS(Velocity!$I:$I,Velocity!$A:$A,$A259,Velocity!$B:$B,$C259)/Assumptions!$B$4*Assumptions!$B$6</f>
        <v>0.95</v>
      </c>
      <c r="AL259" s="7" t="n">
        <f aca="false">SUMIFS(Doors!AX:AX,Doors!$A:$A,$D259,Doors!$B:$B,$B259,Doors!$C:$C,$C259)*SUMIFS(Velocity!$I:$I,Velocity!$A:$A,$A259,Velocity!$B:$B,$C259)/Assumptions!$B$4*Assumptions!$B$6</f>
        <v>0.95</v>
      </c>
      <c r="AM259" s="7" t="n">
        <f aca="false">SUMIFS(Doors!AY:AY,Doors!$A:$A,$D259,Doors!$B:$B,$B259,Doors!$C:$C,$C259)*SUMIFS(Velocity!$I:$I,Velocity!$A:$A,$A259,Velocity!$B:$B,$C259)/Assumptions!$B$4*Assumptions!$B$6</f>
        <v>0.95</v>
      </c>
      <c r="AN259" s="7" t="n">
        <f aca="false">SUMIFS(Doors!AZ:AZ,Doors!$A:$A,$D259,Doors!$B:$B,$B259,Doors!$C:$C,$C259)*SUMIFS(Velocity!$I:$I,Velocity!$A:$A,$A259,Velocity!$B:$B,$C259)/Assumptions!$B$4*Assumptions!$B$6</f>
        <v>0.95</v>
      </c>
      <c r="AO259" s="7" t="n">
        <f aca="false">SUMIFS(Doors!BA:BA,Doors!$A:$A,$D259,Doors!$B:$B,$B259,Doors!$C:$C,$C259)*SUMIFS(Velocity!$I:$I,Velocity!$A:$A,$A259,Velocity!$B:$B,$C259)/Assumptions!$B$4*Assumptions!$B$6</f>
        <v>0.95</v>
      </c>
      <c r="AP259" s="7" t="n">
        <f aca="false">SUMIFS(Doors!BB:BB,Doors!$A:$A,$D259,Doors!$B:$B,$B259,Doors!$C:$C,$C259)*SUMIFS(Velocity!$I:$I,Velocity!$A:$A,$A259,Velocity!$B:$B,$C259)/Assumptions!$B$4*Assumptions!$B$6</f>
        <v>0.95</v>
      </c>
      <c r="AQ259" s="7" t="n">
        <f aca="false">SUMIFS(Doors!BC:BC,Doors!$A:$A,$D259,Doors!$B:$B,$B259,Doors!$C:$C,$C259)*SUMIFS(Velocity!$I:$I,Velocity!$A:$A,$A259,Velocity!$B:$B,$C259)/Assumptions!$B$4*Assumptions!$B$6</f>
        <v>0.95</v>
      </c>
      <c r="AR259" s="7" t="n">
        <f aca="false">SUMIFS(Doors!BD:BD,Doors!$A:$A,$D259,Doors!$B:$B,$B259,Doors!$C:$C,$C259)*SUMIFS(Velocity!$I:$I,Velocity!$A:$A,$A259,Velocity!$B:$B,$C259)/Assumptions!$B$4*Assumptions!$B$6</f>
        <v>1.26666666666667</v>
      </c>
      <c r="AS259" s="7" t="n">
        <f aca="false">SUMIFS(Doors!BE:BE,Doors!$A:$A,$D259,Doors!$B:$B,$B259,Doors!$C:$C,$C259)*SUMIFS(Velocity!$I:$I,Velocity!$A:$A,$A259,Velocity!$B:$B,$C259)/Assumptions!$B$4*Assumptions!$B$6</f>
        <v>1.26666666666667</v>
      </c>
      <c r="AT259" s="7" t="n">
        <f aca="false">SUMIFS(Doors!BF:BF,Doors!$A:$A,$D259,Doors!$B:$B,$B259,Doors!$C:$C,$C259)*SUMIFS(Velocity!$I:$I,Velocity!$A:$A,$A259,Velocity!$B:$B,$C259)/Assumptions!$B$4*Assumptions!$B$6</f>
        <v>1.26666666666667</v>
      </c>
      <c r="AU259" s="7" t="n">
        <f aca="false">SUMIFS(Doors!BG:BG,Doors!$A:$A,$D259,Doors!$B:$B,$B259,Doors!$C:$C,$C259)*SUMIFS(Velocity!$I:$I,Velocity!$A:$A,$A259,Velocity!$B:$B,$C259)/Assumptions!$B$4*Assumptions!$B$6</f>
        <v>1.26666666666667</v>
      </c>
      <c r="AV259" s="7" t="n">
        <f aca="false">SUMIFS(Doors!BH:BH,Doors!$A:$A,$D259,Doors!$B:$B,$B259,Doors!$C:$C,$C259)*SUMIFS(Velocity!$I:$I,Velocity!$A:$A,$A259,Velocity!$B:$B,$C259)/Assumptions!$B$4*Assumptions!$B$6</f>
        <v>1.26666666666667</v>
      </c>
      <c r="AW259" s="7" t="n">
        <f aca="false">SUMIFS(Doors!BI:BI,Doors!$A:$A,$D259,Doors!$B:$B,$B259,Doors!$C:$C,$C259)*SUMIFS(Velocity!$I:$I,Velocity!$A:$A,$A259,Velocity!$B:$B,$C259)/Assumptions!$B$4*Assumptions!$B$6</f>
        <v>1.26666666666667</v>
      </c>
      <c r="AX259" s="7" t="n">
        <f aca="false">SUMIFS(Doors!BJ:BJ,Doors!$A:$A,$D259,Doors!$B:$B,$B259,Doors!$C:$C,$C259)*SUMIFS(Velocity!$I:$I,Velocity!$A:$A,$A259,Velocity!$B:$B,$C259)/Assumptions!$B$4*Assumptions!$B$6</f>
        <v>1.26666666666667</v>
      </c>
      <c r="AY259" s="7" t="n">
        <f aca="false">SUMIFS(Doors!BK:BK,Doors!$A:$A,$D259,Doors!$B:$B,$B259,Doors!$C:$C,$C259)*SUMIFS(Velocity!$I:$I,Velocity!$A:$A,$A259,Velocity!$B:$B,$C259)/Assumptions!$B$4*Assumptions!$B$6</f>
        <v>1.26666666666667</v>
      </c>
      <c r="AZ259" s="7" t="n">
        <f aca="false">SUMIFS(Doors!BL:BL,Doors!$A:$A,$D259,Doors!$B:$B,$B259,Doors!$C:$C,$C259)*SUMIFS(Velocity!$I:$I,Velocity!$A:$A,$A259,Velocity!$B:$B,$C259)/Assumptions!$B$4*Assumptions!$B$6</f>
        <v>1.26666666666667</v>
      </c>
      <c r="BA259" s="7" t="n">
        <f aca="false">SUMIFS(Doors!BM:BM,Doors!$A:$A,$D259,Doors!$B:$B,$B259,Doors!$C:$C,$C259)*SUMIFS(Velocity!$I:$I,Velocity!$A:$A,$A259,Velocity!$B:$B,$C259)/Assumptions!$B$4*Assumptions!$B$6</f>
        <v>1.26666666666667</v>
      </c>
      <c r="BB259" s="7" t="n">
        <f aca="false">SUMIFS(Doors!BN:BN,Doors!$A:$A,$D259,Doors!$B:$B,$B259,Doors!$C:$C,$C259)*SUMIFS(Velocity!$I:$I,Velocity!$A:$A,$A259,Velocity!$B:$B,$C259)/Assumptions!$B$4*Assumptions!$B$6</f>
        <v>1.26666666666667</v>
      </c>
      <c r="BC259" s="7" t="n">
        <f aca="false">SUMIFS(Doors!BO:BO,Doors!$A:$A,$D259,Doors!$B:$B,$B259,Doors!$C:$C,$C259)*SUMIFS(Velocity!$I:$I,Velocity!$A:$A,$A259,Velocity!$B:$B,$C259)/Assumptions!$B$4*Assumptions!$B$6</f>
        <v>1.26666666666667</v>
      </c>
      <c r="BD259" s="7" t="n">
        <f aca="false">SUMIFS(Doors!BP:BP,Doors!$A:$A,$D259,Doors!$B:$B,$B259,Doors!$C:$C,$C259)*SUMIFS(Velocity!$I:$I,Velocity!$A:$A,$A259,Velocity!$B:$B,$C259)/Assumptions!$B$4*Assumptions!$B$6</f>
        <v>1.26666666666667</v>
      </c>
    </row>
    <row r="260" customFormat="false" ht="15" hidden="false" customHeight="false" outlineLevel="0" collapsed="false">
      <c r="A260" s="0" t="s">
        <v>110</v>
      </c>
      <c r="B260" s="0" t="s">
        <v>134</v>
      </c>
      <c r="C260" s="0" t="s">
        <v>117</v>
      </c>
      <c r="D260" s="0" t="s">
        <v>235</v>
      </c>
      <c r="E260" s="7" t="n">
        <f aca="false">SUMIFS(Doors!Q:Q,Doors!$A:$A,$D260,Doors!$B:$B,$B260,Doors!$C:$C,$C260)*SUMIFS(Velocity!$I:$I,Velocity!$A:$A,$A260,Velocity!$B:$B,$C260)/Assumptions!$B$4*Assumptions!$B$6</f>
        <v>0</v>
      </c>
      <c r="F260" s="7" t="n">
        <f aca="false">SUMIFS(Doors!R:R,Doors!$A:$A,$D260,Doors!$B:$B,$B260,Doors!$C:$C,$C260)*SUMIFS(Velocity!$I:$I,Velocity!$A:$A,$A260,Velocity!$B:$B,$C260)/Assumptions!$B$4*Assumptions!$B$6</f>
        <v>0</v>
      </c>
      <c r="G260" s="7" t="n">
        <f aca="false">SUMIFS(Doors!S:S,Doors!$A:$A,$D260,Doors!$B:$B,$B260,Doors!$C:$C,$C260)*SUMIFS(Velocity!$I:$I,Velocity!$A:$A,$A260,Velocity!$B:$B,$C260)/Assumptions!$B$4*Assumptions!$B$6</f>
        <v>0</v>
      </c>
      <c r="H260" s="7" t="n">
        <f aca="false">SUMIFS(Doors!T:T,Doors!$A:$A,$D260,Doors!$B:$B,$B260,Doors!$C:$C,$C260)*SUMIFS(Velocity!$I:$I,Velocity!$A:$A,$A260,Velocity!$B:$B,$C260)/Assumptions!$B$4*Assumptions!$B$6</f>
        <v>0</v>
      </c>
      <c r="I260" s="7" t="n">
        <f aca="false">SUMIFS(Doors!U:U,Doors!$A:$A,$D260,Doors!$B:$B,$B260,Doors!$C:$C,$C260)*SUMIFS(Velocity!$I:$I,Velocity!$A:$A,$A260,Velocity!$B:$B,$C260)/Assumptions!$B$4*Assumptions!$B$6</f>
        <v>0</v>
      </c>
      <c r="J260" s="7" t="n">
        <f aca="false">SUMIFS(Doors!V:V,Doors!$A:$A,$D260,Doors!$B:$B,$B260,Doors!$C:$C,$C260)*SUMIFS(Velocity!$I:$I,Velocity!$A:$A,$A260,Velocity!$B:$B,$C260)/Assumptions!$B$4*Assumptions!$B$6</f>
        <v>0</v>
      </c>
      <c r="K260" s="7" t="n">
        <f aca="false">SUMIFS(Doors!W:W,Doors!$A:$A,$D260,Doors!$B:$B,$B260,Doors!$C:$C,$C260)*SUMIFS(Velocity!$I:$I,Velocity!$A:$A,$A260,Velocity!$B:$B,$C260)/Assumptions!$B$4*Assumptions!$B$6</f>
        <v>0</v>
      </c>
      <c r="L260" s="7" t="n">
        <f aca="false">SUMIFS(Doors!X:X,Doors!$A:$A,$D260,Doors!$B:$B,$B260,Doors!$C:$C,$C260)*SUMIFS(Velocity!$I:$I,Velocity!$A:$A,$A260,Velocity!$B:$B,$C260)/Assumptions!$B$4*Assumptions!$B$6</f>
        <v>0</v>
      </c>
      <c r="M260" s="7" t="n">
        <f aca="false">SUMIFS(Doors!Y:Y,Doors!$A:$A,$D260,Doors!$B:$B,$B260,Doors!$C:$C,$C260)*SUMIFS(Velocity!$I:$I,Velocity!$A:$A,$A260,Velocity!$B:$B,$C260)/Assumptions!$B$4*Assumptions!$B$6</f>
        <v>0</v>
      </c>
      <c r="N260" s="7" t="n">
        <f aca="false">SUMIFS(Doors!Z:Z,Doors!$A:$A,$D260,Doors!$B:$B,$B260,Doors!$C:$C,$C260)*SUMIFS(Velocity!$I:$I,Velocity!$A:$A,$A260,Velocity!$B:$B,$C260)/Assumptions!$B$4*Assumptions!$B$6</f>
        <v>0</v>
      </c>
      <c r="O260" s="7" t="n">
        <f aca="false">SUMIFS(Doors!AA:AA,Doors!$A:$A,$D260,Doors!$B:$B,$B260,Doors!$C:$C,$C260)*SUMIFS(Velocity!$I:$I,Velocity!$A:$A,$A260,Velocity!$B:$B,$C260)/Assumptions!$B$4*Assumptions!$B$6</f>
        <v>0</v>
      </c>
      <c r="P260" s="7" t="n">
        <f aca="false">SUMIFS(Doors!AB:AB,Doors!$A:$A,$D260,Doors!$B:$B,$B260,Doors!$C:$C,$C260)*SUMIFS(Velocity!$I:$I,Velocity!$A:$A,$A260,Velocity!$B:$B,$C260)/Assumptions!$B$4*Assumptions!$B$6</f>
        <v>0</v>
      </c>
      <c r="Q260" s="7" t="n">
        <f aca="false">SUMIFS(Doors!AC:AC,Doors!$A:$A,$D260,Doors!$B:$B,$B260,Doors!$C:$C,$C260)*SUMIFS(Velocity!$I:$I,Velocity!$A:$A,$A260,Velocity!$B:$B,$C260)/Assumptions!$B$4*Assumptions!$B$6</f>
        <v>0</v>
      </c>
      <c r="R260" s="7" t="n">
        <f aca="false">SUMIFS(Doors!AD:AD,Doors!$A:$A,$D260,Doors!$B:$B,$B260,Doors!$C:$C,$C260)*SUMIFS(Velocity!$I:$I,Velocity!$A:$A,$A260,Velocity!$B:$B,$C260)/Assumptions!$B$4*Assumptions!$B$6</f>
        <v>0</v>
      </c>
      <c r="S260" s="7" t="n">
        <f aca="false">SUMIFS(Doors!AE:AE,Doors!$A:$A,$D260,Doors!$B:$B,$B260,Doors!$C:$C,$C260)*SUMIFS(Velocity!$I:$I,Velocity!$A:$A,$A260,Velocity!$B:$B,$C260)/Assumptions!$B$4*Assumptions!$B$6</f>
        <v>0</v>
      </c>
      <c r="T260" s="7" t="n">
        <f aca="false">SUMIFS(Doors!AF:AF,Doors!$A:$A,$D260,Doors!$B:$B,$B260,Doors!$C:$C,$C260)*SUMIFS(Velocity!$I:$I,Velocity!$A:$A,$A260,Velocity!$B:$B,$C260)/Assumptions!$B$4*Assumptions!$B$6</f>
        <v>0</v>
      </c>
      <c r="U260" s="7" t="n">
        <f aca="false">SUMIFS(Doors!AG:AG,Doors!$A:$A,$D260,Doors!$B:$B,$B260,Doors!$C:$C,$C260)*SUMIFS(Velocity!$I:$I,Velocity!$A:$A,$A260,Velocity!$B:$B,$C260)/Assumptions!$B$4*Assumptions!$B$6</f>
        <v>0</v>
      </c>
      <c r="V260" s="7" t="n">
        <f aca="false">SUMIFS(Doors!AH:AH,Doors!$A:$A,$D260,Doors!$B:$B,$B260,Doors!$C:$C,$C260)*SUMIFS(Velocity!$I:$I,Velocity!$A:$A,$A260,Velocity!$B:$B,$C260)/Assumptions!$B$4*Assumptions!$B$6</f>
        <v>0</v>
      </c>
      <c r="W260" s="7" t="n">
        <f aca="false">SUMIFS(Doors!AI:AI,Doors!$A:$A,$D260,Doors!$B:$B,$B260,Doors!$C:$C,$C260)*SUMIFS(Velocity!$I:$I,Velocity!$A:$A,$A260,Velocity!$B:$B,$C260)/Assumptions!$B$4*Assumptions!$B$6</f>
        <v>0</v>
      </c>
      <c r="X260" s="7" t="n">
        <f aca="false">SUMIFS(Doors!AJ:AJ,Doors!$A:$A,$D260,Doors!$B:$B,$B260,Doors!$C:$C,$C260)*SUMIFS(Velocity!$I:$I,Velocity!$A:$A,$A260,Velocity!$B:$B,$C260)/Assumptions!$B$4*Assumptions!$B$6</f>
        <v>0</v>
      </c>
      <c r="Y260" s="7" t="n">
        <f aca="false">SUMIFS(Doors!AK:AK,Doors!$A:$A,$D260,Doors!$B:$B,$B260,Doors!$C:$C,$C260)*SUMIFS(Velocity!$I:$I,Velocity!$A:$A,$A260,Velocity!$B:$B,$C260)/Assumptions!$B$4*Assumptions!$B$6</f>
        <v>0</v>
      </c>
      <c r="Z260" s="7" t="n">
        <f aca="false">SUMIFS(Doors!AL:AL,Doors!$A:$A,$D260,Doors!$B:$B,$B260,Doors!$C:$C,$C260)*SUMIFS(Velocity!$I:$I,Velocity!$A:$A,$A260,Velocity!$B:$B,$C260)/Assumptions!$B$4*Assumptions!$B$6</f>
        <v>0</v>
      </c>
      <c r="AA260" s="7" t="n">
        <f aca="false">SUMIFS(Doors!AM:AM,Doors!$A:$A,$D260,Doors!$B:$B,$B260,Doors!$C:$C,$C260)*SUMIFS(Velocity!$I:$I,Velocity!$A:$A,$A260,Velocity!$B:$B,$C260)/Assumptions!$B$4*Assumptions!$B$6</f>
        <v>0</v>
      </c>
      <c r="AB260" s="7" t="n">
        <f aca="false">SUMIFS(Doors!AN:AN,Doors!$A:$A,$D260,Doors!$B:$B,$B260,Doors!$C:$C,$C260)*SUMIFS(Velocity!$I:$I,Velocity!$A:$A,$A260,Velocity!$B:$B,$C260)/Assumptions!$B$4*Assumptions!$B$6</f>
        <v>0</v>
      </c>
      <c r="AC260" s="7" t="n">
        <f aca="false">SUMIFS(Doors!AO:AO,Doors!$A:$A,$D260,Doors!$B:$B,$B260,Doors!$C:$C,$C260)*SUMIFS(Velocity!$I:$I,Velocity!$A:$A,$A260,Velocity!$B:$B,$C260)/Assumptions!$B$4*Assumptions!$B$6</f>
        <v>0</v>
      </c>
      <c r="AD260" s="7" t="n">
        <f aca="false">SUMIFS(Doors!AP:AP,Doors!$A:$A,$D260,Doors!$B:$B,$B260,Doors!$C:$C,$C260)*SUMIFS(Velocity!$I:$I,Velocity!$A:$A,$A260,Velocity!$B:$B,$C260)/Assumptions!$B$4*Assumptions!$B$6</f>
        <v>0</v>
      </c>
      <c r="AE260" s="7" t="n">
        <f aca="false">SUMIFS(Doors!AQ:AQ,Doors!$A:$A,$D260,Doors!$B:$B,$B260,Doors!$C:$C,$C260)*SUMIFS(Velocity!$I:$I,Velocity!$A:$A,$A260,Velocity!$B:$B,$C260)/Assumptions!$B$4*Assumptions!$B$6</f>
        <v>0.685416666666667</v>
      </c>
      <c r="AF260" s="7" t="n">
        <f aca="false">SUMIFS(Doors!AR:AR,Doors!$A:$A,$D260,Doors!$B:$B,$B260,Doors!$C:$C,$C260)*SUMIFS(Velocity!$I:$I,Velocity!$A:$A,$A260,Velocity!$B:$B,$C260)/Assumptions!$B$4*Assumptions!$B$6</f>
        <v>0.685416666666667</v>
      </c>
      <c r="AG260" s="7" t="n">
        <f aca="false">SUMIFS(Doors!AS:AS,Doors!$A:$A,$D260,Doors!$B:$B,$B260,Doors!$C:$C,$C260)*SUMIFS(Velocity!$I:$I,Velocity!$A:$A,$A260,Velocity!$B:$B,$C260)/Assumptions!$B$4*Assumptions!$B$6</f>
        <v>0.685416666666667</v>
      </c>
      <c r="AH260" s="7" t="n">
        <f aca="false">SUMIFS(Doors!AT:AT,Doors!$A:$A,$D260,Doors!$B:$B,$B260,Doors!$C:$C,$C260)*SUMIFS(Velocity!$I:$I,Velocity!$A:$A,$A260,Velocity!$B:$B,$C260)/Assumptions!$B$4*Assumptions!$B$6</f>
        <v>0.685416666666667</v>
      </c>
      <c r="AI260" s="7" t="n">
        <f aca="false">SUMIFS(Doors!AU:AU,Doors!$A:$A,$D260,Doors!$B:$B,$B260,Doors!$C:$C,$C260)*SUMIFS(Velocity!$I:$I,Velocity!$A:$A,$A260,Velocity!$B:$B,$C260)/Assumptions!$B$4*Assumptions!$B$6</f>
        <v>0.685416666666667</v>
      </c>
      <c r="AJ260" s="7" t="n">
        <f aca="false">SUMIFS(Doors!AV:AV,Doors!$A:$A,$D260,Doors!$B:$B,$B260,Doors!$C:$C,$C260)*SUMIFS(Velocity!$I:$I,Velocity!$A:$A,$A260,Velocity!$B:$B,$C260)/Assumptions!$B$4*Assumptions!$B$6</f>
        <v>1.37083333333333</v>
      </c>
      <c r="AK260" s="7" t="n">
        <f aca="false">SUMIFS(Doors!AW:AW,Doors!$A:$A,$D260,Doors!$B:$B,$B260,Doors!$C:$C,$C260)*SUMIFS(Velocity!$I:$I,Velocity!$A:$A,$A260,Velocity!$B:$B,$C260)/Assumptions!$B$4*Assumptions!$B$6</f>
        <v>1.37083333333333</v>
      </c>
      <c r="AL260" s="7" t="n">
        <f aca="false">SUMIFS(Doors!AX:AX,Doors!$A:$A,$D260,Doors!$B:$B,$B260,Doors!$C:$C,$C260)*SUMIFS(Velocity!$I:$I,Velocity!$A:$A,$A260,Velocity!$B:$B,$C260)/Assumptions!$B$4*Assumptions!$B$6</f>
        <v>1.37083333333333</v>
      </c>
      <c r="AM260" s="7" t="n">
        <f aca="false">SUMIFS(Doors!AY:AY,Doors!$A:$A,$D260,Doors!$B:$B,$B260,Doors!$C:$C,$C260)*SUMIFS(Velocity!$I:$I,Velocity!$A:$A,$A260,Velocity!$B:$B,$C260)/Assumptions!$B$4*Assumptions!$B$6</f>
        <v>1.37083333333333</v>
      </c>
      <c r="AN260" s="7" t="n">
        <f aca="false">SUMIFS(Doors!AZ:AZ,Doors!$A:$A,$D260,Doors!$B:$B,$B260,Doors!$C:$C,$C260)*SUMIFS(Velocity!$I:$I,Velocity!$A:$A,$A260,Velocity!$B:$B,$C260)/Assumptions!$B$4*Assumptions!$B$6</f>
        <v>1.37083333333333</v>
      </c>
      <c r="AO260" s="7" t="n">
        <f aca="false">SUMIFS(Doors!BA:BA,Doors!$A:$A,$D260,Doors!$B:$B,$B260,Doors!$C:$C,$C260)*SUMIFS(Velocity!$I:$I,Velocity!$A:$A,$A260,Velocity!$B:$B,$C260)/Assumptions!$B$4*Assumptions!$B$6</f>
        <v>1.37083333333333</v>
      </c>
      <c r="AP260" s="7" t="n">
        <f aca="false">SUMIFS(Doors!BB:BB,Doors!$A:$A,$D260,Doors!$B:$B,$B260,Doors!$C:$C,$C260)*SUMIFS(Velocity!$I:$I,Velocity!$A:$A,$A260,Velocity!$B:$B,$C260)/Assumptions!$B$4*Assumptions!$B$6</f>
        <v>1.37083333333333</v>
      </c>
      <c r="AQ260" s="7" t="n">
        <f aca="false">SUMIFS(Doors!BC:BC,Doors!$A:$A,$D260,Doors!$B:$B,$B260,Doors!$C:$C,$C260)*SUMIFS(Velocity!$I:$I,Velocity!$A:$A,$A260,Velocity!$B:$B,$C260)/Assumptions!$B$4*Assumptions!$B$6</f>
        <v>1.37083333333333</v>
      </c>
      <c r="AR260" s="7" t="n">
        <f aca="false">SUMIFS(Doors!BD:BD,Doors!$A:$A,$D260,Doors!$B:$B,$B260,Doors!$C:$C,$C260)*SUMIFS(Velocity!$I:$I,Velocity!$A:$A,$A260,Velocity!$B:$B,$C260)/Assumptions!$B$4*Assumptions!$B$6</f>
        <v>2.05625</v>
      </c>
      <c r="AS260" s="7" t="n">
        <f aca="false">SUMIFS(Doors!BE:BE,Doors!$A:$A,$D260,Doors!$B:$B,$B260,Doors!$C:$C,$C260)*SUMIFS(Velocity!$I:$I,Velocity!$A:$A,$A260,Velocity!$B:$B,$C260)/Assumptions!$B$4*Assumptions!$B$6</f>
        <v>2.05625</v>
      </c>
      <c r="AT260" s="7" t="n">
        <f aca="false">SUMIFS(Doors!BF:BF,Doors!$A:$A,$D260,Doors!$B:$B,$B260,Doors!$C:$C,$C260)*SUMIFS(Velocity!$I:$I,Velocity!$A:$A,$A260,Velocity!$B:$B,$C260)/Assumptions!$B$4*Assumptions!$B$6</f>
        <v>2.05625</v>
      </c>
      <c r="AU260" s="7" t="n">
        <f aca="false">SUMIFS(Doors!BG:BG,Doors!$A:$A,$D260,Doors!$B:$B,$B260,Doors!$C:$C,$C260)*SUMIFS(Velocity!$I:$I,Velocity!$A:$A,$A260,Velocity!$B:$B,$C260)/Assumptions!$B$4*Assumptions!$B$6</f>
        <v>2.05625</v>
      </c>
      <c r="AV260" s="7" t="n">
        <f aca="false">SUMIFS(Doors!BH:BH,Doors!$A:$A,$D260,Doors!$B:$B,$B260,Doors!$C:$C,$C260)*SUMIFS(Velocity!$I:$I,Velocity!$A:$A,$A260,Velocity!$B:$B,$C260)/Assumptions!$B$4*Assumptions!$B$6</f>
        <v>2.05625</v>
      </c>
      <c r="AW260" s="7" t="n">
        <f aca="false">SUMIFS(Doors!BI:BI,Doors!$A:$A,$D260,Doors!$B:$B,$B260,Doors!$C:$C,$C260)*SUMIFS(Velocity!$I:$I,Velocity!$A:$A,$A260,Velocity!$B:$B,$C260)/Assumptions!$B$4*Assumptions!$B$6</f>
        <v>2.05625</v>
      </c>
      <c r="AX260" s="7" t="n">
        <f aca="false">SUMIFS(Doors!BJ:BJ,Doors!$A:$A,$D260,Doors!$B:$B,$B260,Doors!$C:$C,$C260)*SUMIFS(Velocity!$I:$I,Velocity!$A:$A,$A260,Velocity!$B:$B,$C260)/Assumptions!$B$4*Assumptions!$B$6</f>
        <v>2.05625</v>
      </c>
      <c r="AY260" s="7" t="n">
        <f aca="false">SUMIFS(Doors!BK:BK,Doors!$A:$A,$D260,Doors!$B:$B,$B260,Doors!$C:$C,$C260)*SUMIFS(Velocity!$I:$I,Velocity!$A:$A,$A260,Velocity!$B:$B,$C260)/Assumptions!$B$4*Assumptions!$B$6</f>
        <v>2.05625</v>
      </c>
      <c r="AZ260" s="7" t="n">
        <f aca="false">SUMIFS(Doors!BL:BL,Doors!$A:$A,$D260,Doors!$B:$B,$B260,Doors!$C:$C,$C260)*SUMIFS(Velocity!$I:$I,Velocity!$A:$A,$A260,Velocity!$B:$B,$C260)/Assumptions!$B$4*Assumptions!$B$6</f>
        <v>2.05625</v>
      </c>
      <c r="BA260" s="7" t="n">
        <f aca="false">SUMIFS(Doors!BM:BM,Doors!$A:$A,$D260,Doors!$B:$B,$B260,Doors!$C:$C,$C260)*SUMIFS(Velocity!$I:$I,Velocity!$A:$A,$A260,Velocity!$B:$B,$C260)/Assumptions!$B$4*Assumptions!$B$6</f>
        <v>2.05625</v>
      </c>
      <c r="BB260" s="7" t="n">
        <f aca="false">SUMIFS(Doors!BN:BN,Doors!$A:$A,$D260,Doors!$B:$B,$B260,Doors!$C:$C,$C260)*SUMIFS(Velocity!$I:$I,Velocity!$A:$A,$A260,Velocity!$B:$B,$C260)/Assumptions!$B$4*Assumptions!$B$6</f>
        <v>2.05625</v>
      </c>
      <c r="BC260" s="7" t="n">
        <f aca="false">SUMIFS(Doors!BO:BO,Doors!$A:$A,$D260,Doors!$B:$B,$B260,Doors!$C:$C,$C260)*SUMIFS(Velocity!$I:$I,Velocity!$A:$A,$A260,Velocity!$B:$B,$C260)/Assumptions!$B$4*Assumptions!$B$6</f>
        <v>2.05625</v>
      </c>
      <c r="BD260" s="7" t="n">
        <f aca="false">SUMIFS(Doors!BP:BP,Doors!$A:$A,$D260,Doors!$B:$B,$B260,Doors!$C:$C,$C260)*SUMIFS(Velocity!$I:$I,Velocity!$A:$A,$A260,Velocity!$B:$B,$C260)/Assumptions!$B$4*Assumptions!$B$6</f>
        <v>2.05625</v>
      </c>
    </row>
    <row r="261" customFormat="false" ht="15" hidden="false" customHeight="false" outlineLevel="0" collapsed="false">
      <c r="A261" s="0" t="s">
        <v>110</v>
      </c>
      <c r="B261" s="0" t="s">
        <v>134</v>
      </c>
      <c r="C261" s="0" t="s">
        <v>118</v>
      </c>
      <c r="D261" s="0" t="s">
        <v>235</v>
      </c>
      <c r="E261" s="7" t="n">
        <f aca="false">SUMIFS(Doors!Q:Q,Doors!$A:$A,$D261,Doors!$B:$B,$B261,Doors!$C:$C,$C261)*SUMIFS(Velocity!$I:$I,Velocity!$A:$A,$A261,Velocity!$B:$B,$C261)/Assumptions!$B$4*Assumptions!$B$6</f>
        <v>0</v>
      </c>
      <c r="F261" s="7" t="n">
        <f aca="false">SUMIFS(Doors!R:R,Doors!$A:$A,$D261,Doors!$B:$B,$B261,Doors!$C:$C,$C261)*SUMIFS(Velocity!$I:$I,Velocity!$A:$A,$A261,Velocity!$B:$B,$C261)/Assumptions!$B$4*Assumptions!$B$6</f>
        <v>0</v>
      </c>
      <c r="G261" s="7" t="n">
        <f aca="false">SUMIFS(Doors!S:S,Doors!$A:$A,$D261,Doors!$B:$B,$B261,Doors!$C:$C,$C261)*SUMIFS(Velocity!$I:$I,Velocity!$A:$A,$A261,Velocity!$B:$B,$C261)/Assumptions!$B$4*Assumptions!$B$6</f>
        <v>0</v>
      </c>
      <c r="H261" s="7" t="n">
        <f aca="false">SUMIFS(Doors!T:T,Doors!$A:$A,$D261,Doors!$B:$B,$B261,Doors!$C:$C,$C261)*SUMIFS(Velocity!$I:$I,Velocity!$A:$A,$A261,Velocity!$B:$B,$C261)/Assumptions!$B$4*Assumptions!$B$6</f>
        <v>0</v>
      </c>
      <c r="I261" s="7" t="n">
        <f aca="false">SUMIFS(Doors!U:U,Doors!$A:$A,$D261,Doors!$B:$B,$B261,Doors!$C:$C,$C261)*SUMIFS(Velocity!$I:$I,Velocity!$A:$A,$A261,Velocity!$B:$B,$C261)/Assumptions!$B$4*Assumptions!$B$6</f>
        <v>0</v>
      </c>
      <c r="J261" s="7" t="n">
        <f aca="false">SUMIFS(Doors!V:V,Doors!$A:$A,$D261,Doors!$B:$B,$B261,Doors!$C:$C,$C261)*SUMIFS(Velocity!$I:$I,Velocity!$A:$A,$A261,Velocity!$B:$B,$C261)/Assumptions!$B$4*Assumptions!$B$6</f>
        <v>0</v>
      </c>
      <c r="K261" s="7" t="n">
        <f aca="false">SUMIFS(Doors!W:W,Doors!$A:$A,$D261,Doors!$B:$B,$B261,Doors!$C:$C,$C261)*SUMIFS(Velocity!$I:$I,Velocity!$A:$A,$A261,Velocity!$B:$B,$C261)/Assumptions!$B$4*Assumptions!$B$6</f>
        <v>0</v>
      </c>
      <c r="L261" s="7" t="n">
        <f aca="false">SUMIFS(Doors!X:X,Doors!$A:$A,$D261,Doors!$B:$B,$B261,Doors!$C:$C,$C261)*SUMIFS(Velocity!$I:$I,Velocity!$A:$A,$A261,Velocity!$B:$B,$C261)/Assumptions!$B$4*Assumptions!$B$6</f>
        <v>0</v>
      </c>
      <c r="M261" s="7" t="n">
        <f aca="false">SUMIFS(Doors!Y:Y,Doors!$A:$A,$D261,Doors!$B:$B,$B261,Doors!$C:$C,$C261)*SUMIFS(Velocity!$I:$I,Velocity!$A:$A,$A261,Velocity!$B:$B,$C261)/Assumptions!$B$4*Assumptions!$B$6</f>
        <v>0</v>
      </c>
      <c r="N261" s="7" t="n">
        <f aca="false">SUMIFS(Doors!Z:Z,Doors!$A:$A,$D261,Doors!$B:$B,$B261,Doors!$C:$C,$C261)*SUMIFS(Velocity!$I:$I,Velocity!$A:$A,$A261,Velocity!$B:$B,$C261)/Assumptions!$B$4*Assumptions!$B$6</f>
        <v>0</v>
      </c>
      <c r="O261" s="7" t="n">
        <f aca="false">SUMIFS(Doors!AA:AA,Doors!$A:$A,$D261,Doors!$B:$B,$B261,Doors!$C:$C,$C261)*SUMIFS(Velocity!$I:$I,Velocity!$A:$A,$A261,Velocity!$B:$B,$C261)/Assumptions!$B$4*Assumptions!$B$6</f>
        <v>0</v>
      </c>
      <c r="P261" s="7" t="n">
        <f aca="false">SUMIFS(Doors!AB:AB,Doors!$A:$A,$D261,Doors!$B:$B,$B261,Doors!$C:$C,$C261)*SUMIFS(Velocity!$I:$I,Velocity!$A:$A,$A261,Velocity!$B:$B,$C261)/Assumptions!$B$4*Assumptions!$B$6</f>
        <v>0</v>
      </c>
      <c r="Q261" s="7" t="n">
        <f aca="false">SUMIFS(Doors!AC:AC,Doors!$A:$A,$D261,Doors!$B:$B,$B261,Doors!$C:$C,$C261)*SUMIFS(Velocity!$I:$I,Velocity!$A:$A,$A261,Velocity!$B:$B,$C261)/Assumptions!$B$4*Assumptions!$B$6</f>
        <v>0</v>
      </c>
      <c r="R261" s="7" t="n">
        <f aca="false">SUMIFS(Doors!AD:AD,Doors!$A:$A,$D261,Doors!$B:$B,$B261,Doors!$C:$C,$C261)*SUMIFS(Velocity!$I:$I,Velocity!$A:$A,$A261,Velocity!$B:$B,$C261)/Assumptions!$B$4*Assumptions!$B$6</f>
        <v>0</v>
      </c>
      <c r="S261" s="7" t="n">
        <f aca="false">SUMIFS(Doors!AE:AE,Doors!$A:$A,$D261,Doors!$B:$B,$B261,Doors!$C:$C,$C261)*SUMIFS(Velocity!$I:$I,Velocity!$A:$A,$A261,Velocity!$B:$B,$C261)/Assumptions!$B$4*Assumptions!$B$6</f>
        <v>0</v>
      </c>
      <c r="T261" s="7" t="n">
        <f aca="false">SUMIFS(Doors!AF:AF,Doors!$A:$A,$D261,Doors!$B:$B,$B261,Doors!$C:$C,$C261)*SUMIFS(Velocity!$I:$I,Velocity!$A:$A,$A261,Velocity!$B:$B,$C261)/Assumptions!$B$4*Assumptions!$B$6</f>
        <v>0</v>
      </c>
      <c r="U261" s="7" t="n">
        <f aca="false">SUMIFS(Doors!AG:AG,Doors!$A:$A,$D261,Doors!$B:$B,$B261,Doors!$C:$C,$C261)*SUMIFS(Velocity!$I:$I,Velocity!$A:$A,$A261,Velocity!$B:$B,$C261)/Assumptions!$B$4*Assumptions!$B$6</f>
        <v>0</v>
      </c>
      <c r="V261" s="7" t="n">
        <f aca="false">SUMIFS(Doors!AH:AH,Doors!$A:$A,$D261,Doors!$B:$B,$B261,Doors!$C:$C,$C261)*SUMIFS(Velocity!$I:$I,Velocity!$A:$A,$A261,Velocity!$B:$B,$C261)/Assumptions!$B$4*Assumptions!$B$6</f>
        <v>0</v>
      </c>
      <c r="W261" s="7" t="n">
        <f aca="false">SUMIFS(Doors!AI:AI,Doors!$A:$A,$D261,Doors!$B:$B,$B261,Doors!$C:$C,$C261)*SUMIFS(Velocity!$I:$I,Velocity!$A:$A,$A261,Velocity!$B:$B,$C261)/Assumptions!$B$4*Assumptions!$B$6</f>
        <v>0</v>
      </c>
      <c r="X261" s="7" t="n">
        <f aca="false">SUMIFS(Doors!AJ:AJ,Doors!$A:$A,$D261,Doors!$B:$B,$B261,Doors!$C:$C,$C261)*SUMIFS(Velocity!$I:$I,Velocity!$A:$A,$A261,Velocity!$B:$B,$C261)/Assumptions!$B$4*Assumptions!$B$6</f>
        <v>0</v>
      </c>
      <c r="Y261" s="7" t="n">
        <f aca="false">SUMIFS(Doors!AK:AK,Doors!$A:$A,$D261,Doors!$B:$B,$B261,Doors!$C:$C,$C261)*SUMIFS(Velocity!$I:$I,Velocity!$A:$A,$A261,Velocity!$B:$B,$C261)/Assumptions!$B$4*Assumptions!$B$6</f>
        <v>0</v>
      </c>
      <c r="Z261" s="7" t="n">
        <f aca="false">SUMIFS(Doors!AL:AL,Doors!$A:$A,$D261,Doors!$B:$B,$B261,Doors!$C:$C,$C261)*SUMIFS(Velocity!$I:$I,Velocity!$A:$A,$A261,Velocity!$B:$B,$C261)/Assumptions!$B$4*Assumptions!$B$6</f>
        <v>0</v>
      </c>
      <c r="AA261" s="7" t="n">
        <f aca="false">SUMIFS(Doors!AM:AM,Doors!$A:$A,$D261,Doors!$B:$B,$B261,Doors!$C:$C,$C261)*SUMIFS(Velocity!$I:$I,Velocity!$A:$A,$A261,Velocity!$B:$B,$C261)/Assumptions!$B$4*Assumptions!$B$6</f>
        <v>0</v>
      </c>
      <c r="AB261" s="7" t="n">
        <f aca="false">SUMIFS(Doors!AN:AN,Doors!$A:$A,$D261,Doors!$B:$B,$B261,Doors!$C:$C,$C261)*SUMIFS(Velocity!$I:$I,Velocity!$A:$A,$A261,Velocity!$B:$B,$C261)/Assumptions!$B$4*Assumptions!$B$6</f>
        <v>0</v>
      </c>
      <c r="AC261" s="7" t="n">
        <f aca="false">SUMIFS(Doors!AO:AO,Doors!$A:$A,$D261,Doors!$B:$B,$B261,Doors!$C:$C,$C261)*SUMIFS(Velocity!$I:$I,Velocity!$A:$A,$A261,Velocity!$B:$B,$C261)/Assumptions!$B$4*Assumptions!$B$6</f>
        <v>0</v>
      </c>
      <c r="AD261" s="7" t="n">
        <f aca="false">SUMIFS(Doors!AP:AP,Doors!$A:$A,$D261,Doors!$B:$B,$B261,Doors!$C:$C,$C261)*SUMIFS(Velocity!$I:$I,Velocity!$A:$A,$A261,Velocity!$B:$B,$C261)/Assumptions!$B$4*Assumptions!$B$6</f>
        <v>0</v>
      </c>
      <c r="AE261" s="7" t="n">
        <f aca="false">SUMIFS(Doors!AQ:AQ,Doors!$A:$A,$D261,Doors!$B:$B,$B261,Doors!$C:$C,$C261)*SUMIFS(Velocity!$I:$I,Velocity!$A:$A,$A261,Velocity!$B:$B,$C261)/Assumptions!$B$4*Assumptions!$B$6</f>
        <v>0</v>
      </c>
      <c r="AF261" s="7" t="n">
        <f aca="false">SUMIFS(Doors!AR:AR,Doors!$A:$A,$D261,Doors!$B:$B,$B261,Doors!$C:$C,$C261)*SUMIFS(Velocity!$I:$I,Velocity!$A:$A,$A261,Velocity!$B:$B,$C261)/Assumptions!$B$4*Assumptions!$B$6</f>
        <v>0</v>
      </c>
      <c r="AG261" s="7" t="n">
        <f aca="false">SUMIFS(Doors!AS:AS,Doors!$A:$A,$D261,Doors!$B:$B,$B261,Doors!$C:$C,$C261)*SUMIFS(Velocity!$I:$I,Velocity!$A:$A,$A261,Velocity!$B:$B,$C261)/Assumptions!$B$4*Assumptions!$B$6</f>
        <v>0</v>
      </c>
      <c r="AH261" s="7" t="n">
        <f aca="false">SUMIFS(Doors!AT:AT,Doors!$A:$A,$D261,Doors!$B:$B,$B261,Doors!$C:$C,$C261)*SUMIFS(Velocity!$I:$I,Velocity!$A:$A,$A261,Velocity!$B:$B,$C261)/Assumptions!$B$4*Assumptions!$B$6</f>
        <v>0</v>
      </c>
      <c r="AI261" s="7" t="n">
        <f aca="false">SUMIFS(Doors!AU:AU,Doors!$A:$A,$D261,Doors!$B:$B,$B261,Doors!$C:$C,$C261)*SUMIFS(Velocity!$I:$I,Velocity!$A:$A,$A261,Velocity!$B:$B,$C261)/Assumptions!$B$4*Assumptions!$B$6</f>
        <v>0</v>
      </c>
      <c r="AJ261" s="7" t="n">
        <f aca="false">SUMIFS(Doors!AV:AV,Doors!$A:$A,$D261,Doors!$B:$B,$B261,Doors!$C:$C,$C261)*SUMIFS(Velocity!$I:$I,Velocity!$A:$A,$A261,Velocity!$B:$B,$C261)/Assumptions!$B$4*Assumptions!$B$6</f>
        <v>0</v>
      </c>
      <c r="AK261" s="7" t="n">
        <f aca="false">SUMIFS(Doors!AW:AW,Doors!$A:$A,$D261,Doors!$B:$B,$B261,Doors!$C:$C,$C261)*SUMIFS(Velocity!$I:$I,Velocity!$A:$A,$A261,Velocity!$B:$B,$C261)/Assumptions!$B$4*Assumptions!$B$6</f>
        <v>0</v>
      </c>
      <c r="AL261" s="7" t="n">
        <f aca="false">SUMIFS(Doors!AX:AX,Doors!$A:$A,$D261,Doors!$B:$B,$B261,Doors!$C:$C,$C261)*SUMIFS(Velocity!$I:$I,Velocity!$A:$A,$A261,Velocity!$B:$B,$C261)/Assumptions!$B$4*Assumptions!$B$6</f>
        <v>0</v>
      </c>
      <c r="AM261" s="7" t="n">
        <f aca="false">SUMIFS(Doors!AY:AY,Doors!$A:$A,$D261,Doors!$B:$B,$B261,Doors!$C:$C,$C261)*SUMIFS(Velocity!$I:$I,Velocity!$A:$A,$A261,Velocity!$B:$B,$C261)/Assumptions!$B$4*Assumptions!$B$6</f>
        <v>0</v>
      </c>
      <c r="AN261" s="7" t="n">
        <f aca="false">SUMIFS(Doors!AZ:AZ,Doors!$A:$A,$D261,Doors!$B:$B,$B261,Doors!$C:$C,$C261)*SUMIFS(Velocity!$I:$I,Velocity!$A:$A,$A261,Velocity!$B:$B,$C261)/Assumptions!$B$4*Assumptions!$B$6</f>
        <v>0</v>
      </c>
      <c r="AO261" s="7" t="n">
        <f aca="false">SUMIFS(Doors!BA:BA,Doors!$A:$A,$D261,Doors!$B:$B,$B261,Doors!$C:$C,$C261)*SUMIFS(Velocity!$I:$I,Velocity!$A:$A,$A261,Velocity!$B:$B,$C261)/Assumptions!$B$4*Assumptions!$B$6</f>
        <v>0</v>
      </c>
      <c r="AP261" s="7" t="n">
        <f aca="false">SUMIFS(Doors!BB:BB,Doors!$A:$A,$D261,Doors!$B:$B,$B261,Doors!$C:$C,$C261)*SUMIFS(Velocity!$I:$I,Velocity!$A:$A,$A261,Velocity!$B:$B,$C261)/Assumptions!$B$4*Assumptions!$B$6</f>
        <v>0</v>
      </c>
      <c r="AQ261" s="7" t="n">
        <f aca="false">SUMIFS(Doors!BC:BC,Doors!$A:$A,$D261,Doors!$B:$B,$B261,Doors!$C:$C,$C261)*SUMIFS(Velocity!$I:$I,Velocity!$A:$A,$A261,Velocity!$B:$B,$C261)/Assumptions!$B$4*Assumptions!$B$6</f>
        <v>0</v>
      </c>
      <c r="AR261" s="7" t="n">
        <f aca="false">SUMIFS(Doors!BD:BD,Doors!$A:$A,$D261,Doors!$B:$B,$B261,Doors!$C:$C,$C261)*SUMIFS(Velocity!$I:$I,Velocity!$A:$A,$A261,Velocity!$B:$B,$C261)/Assumptions!$B$4*Assumptions!$B$6</f>
        <v>0</v>
      </c>
      <c r="AS261" s="7" t="n">
        <f aca="false">SUMIFS(Doors!BE:BE,Doors!$A:$A,$D261,Doors!$B:$B,$B261,Doors!$C:$C,$C261)*SUMIFS(Velocity!$I:$I,Velocity!$A:$A,$A261,Velocity!$B:$B,$C261)/Assumptions!$B$4*Assumptions!$B$6</f>
        <v>0</v>
      </c>
      <c r="AT261" s="7" t="n">
        <f aca="false">SUMIFS(Doors!BF:BF,Doors!$A:$A,$D261,Doors!$B:$B,$B261,Doors!$C:$C,$C261)*SUMIFS(Velocity!$I:$I,Velocity!$A:$A,$A261,Velocity!$B:$B,$C261)/Assumptions!$B$4*Assumptions!$B$6</f>
        <v>0</v>
      </c>
      <c r="AU261" s="7" t="n">
        <f aca="false">SUMIFS(Doors!BG:BG,Doors!$A:$A,$D261,Doors!$B:$B,$B261,Doors!$C:$C,$C261)*SUMIFS(Velocity!$I:$I,Velocity!$A:$A,$A261,Velocity!$B:$B,$C261)/Assumptions!$B$4*Assumptions!$B$6</f>
        <v>0</v>
      </c>
      <c r="AV261" s="7" t="n">
        <f aca="false">SUMIFS(Doors!BH:BH,Doors!$A:$A,$D261,Doors!$B:$B,$B261,Doors!$C:$C,$C261)*SUMIFS(Velocity!$I:$I,Velocity!$A:$A,$A261,Velocity!$B:$B,$C261)/Assumptions!$B$4*Assumptions!$B$6</f>
        <v>0</v>
      </c>
      <c r="AW261" s="7" t="n">
        <f aca="false">SUMIFS(Doors!BI:BI,Doors!$A:$A,$D261,Doors!$B:$B,$B261,Doors!$C:$C,$C261)*SUMIFS(Velocity!$I:$I,Velocity!$A:$A,$A261,Velocity!$B:$B,$C261)/Assumptions!$B$4*Assumptions!$B$6</f>
        <v>0</v>
      </c>
      <c r="AX261" s="7" t="n">
        <f aca="false">SUMIFS(Doors!BJ:BJ,Doors!$A:$A,$D261,Doors!$B:$B,$B261,Doors!$C:$C,$C261)*SUMIFS(Velocity!$I:$I,Velocity!$A:$A,$A261,Velocity!$B:$B,$C261)/Assumptions!$B$4*Assumptions!$B$6</f>
        <v>0</v>
      </c>
      <c r="AY261" s="7" t="n">
        <f aca="false">SUMIFS(Doors!BK:BK,Doors!$A:$A,$D261,Doors!$B:$B,$B261,Doors!$C:$C,$C261)*SUMIFS(Velocity!$I:$I,Velocity!$A:$A,$A261,Velocity!$B:$B,$C261)/Assumptions!$B$4*Assumptions!$B$6</f>
        <v>0</v>
      </c>
      <c r="AZ261" s="7" t="n">
        <f aca="false">SUMIFS(Doors!BL:BL,Doors!$A:$A,$D261,Doors!$B:$B,$B261,Doors!$C:$C,$C261)*SUMIFS(Velocity!$I:$I,Velocity!$A:$A,$A261,Velocity!$B:$B,$C261)/Assumptions!$B$4*Assumptions!$B$6</f>
        <v>0</v>
      </c>
      <c r="BA261" s="7" t="n">
        <f aca="false">SUMIFS(Doors!BM:BM,Doors!$A:$A,$D261,Doors!$B:$B,$B261,Doors!$C:$C,$C261)*SUMIFS(Velocity!$I:$I,Velocity!$A:$A,$A261,Velocity!$B:$B,$C261)/Assumptions!$B$4*Assumptions!$B$6</f>
        <v>0</v>
      </c>
      <c r="BB261" s="7" t="n">
        <f aca="false">SUMIFS(Doors!BN:BN,Doors!$A:$A,$D261,Doors!$B:$B,$B261,Doors!$C:$C,$C261)*SUMIFS(Velocity!$I:$I,Velocity!$A:$A,$A261,Velocity!$B:$B,$C261)/Assumptions!$B$4*Assumptions!$B$6</f>
        <v>0</v>
      </c>
      <c r="BC261" s="7" t="n">
        <f aca="false">SUMIFS(Doors!BO:BO,Doors!$A:$A,$D261,Doors!$B:$B,$B261,Doors!$C:$C,$C261)*SUMIFS(Velocity!$I:$I,Velocity!$A:$A,$A261,Velocity!$B:$B,$C261)/Assumptions!$B$4*Assumptions!$B$6</f>
        <v>0</v>
      </c>
      <c r="BD261" s="7" t="n">
        <f aca="false">SUMIFS(Doors!BP:BP,Doors!$A:$A,$D261,Doors!$B:$B,$B261,Doors!$C:$C,$C261)*SUMIFS(Velocity!$I:$I,Velocity!$A:$A,$A261,Velocity!$B:$B,$C261)/Assumptions!$B$4*Assumptions!$B$6</f>
        <v>0</v>
      </c>
    </row>
    <row r="262" customFormat="false" ht="15" hidden="false" customHeight="false" outlineLevel="0" collapsed="false">
      <c r="A262" s="0" t="s">
        <v>110</v>
      </c>
      <c r="B262" s="0" t="s">
        <v>134</v>
      </c>
      <c r="C262" s="0" t="s">
        <v>119</v>
      </c>
      <c r="D262" s="0" t="s">
        <v>235</v>
      </c>
      <c r="E262" s="7" t="n">
        <f aca="false">SUMIFS(Doors!Q:Q,Doors!$A:$A,$D262,Doors!$B:$B,$B262,Doors!$C:$C,$C262)*SUMIFS(Velocity!$I:$I,Velocity!$A:$A,$A262,Velocity!$B:$B,$C262)/Assumptions!$B$4*Assumptions!$B$6</f>
        <v>0.166666666666667</v>
      </c>
      <c r="F262" s="7" t="n">
        <f aca="false">SUMIFS(Doors!R:R,Doors!$A:$A,$D262,Doors!$B:$B,$B262,Doors!$C:$C,$C262)*SUMIFS(Velocity!$I:$I,Velocity!$A:$A,$A262,Velocity!$B:$B,$C262)/Assumptions!$B$4*Assumptions!$B$6</f>
        <v>0.166666666666667</v>
      </c>
      <c r="G262" s="7" t="n">
        <f aca="false">SUMIFS(Doors!S:S,Doors!$A:$A,$D262,Doors!$B:$B,$B262,Doors!$C:$C,$C262)*SUMIFS(Velocity!$I:$I,Velocity!$A:$A,$A262,Velocity!$B:$B,$C262)/Assumptions!$B$4*Assumptions!$B$6</f>
        <v>0.166666666666667</v>
      </c>
      <c r="H262" s="7" t="n">
        <f aca="false">SUMIFS(Doors!T:T,Doors!$A:$A,$D262,Doors!$B:$B,$B262,Doors!$C:$C,$C262)*SUMIFS(Velocity!$I:$I,Velocity!$A:$A,$A262,Velocity!$B:$B,$C262)/Assumptions!$B$4*Assumptions!$B$6</f>
        <v>0.166666666666667</v>
      </c>
      <c r="I262" s="7" t="n">
        <f aca="false">SUMIFS(Doors!U:U,Doors!$A:$A,$D262,Doors!$B:$B,$B262,Doors!$C:$C,$C262)*SUMIFS(Velocity!$I:$I,Velocity!$A:$A,$A262,Velocity!$B:$B,$C262)/Assumptions!$B$4*Assumptions!$B$6</f>
        <v>0.166666666666667</v>
      </c>
      <c r="J262" s="7" t="n">
        <f aca="false">SUMIFS(Doors!V:V,Doors!$A:$A,$D262,Doors!$B:$B,$B262,Doors!$C:$C,$C262)*SUMIFS(Velocity!$I:$I,Velocity!$A:$A,$A262,Velocity!$B:$B,$C262)/Assumptions!$B$4*Assumptions!$B$6</f>
        <v>0.166666666666667</v>
      </c>
      <c r="K262" s="7" t="n">
        <f aca="false">SUMIFS(Doors!W:W,Doors!$A:$A,$D262,Doors!$B:$B,$B262,Doors!$C:$C,$C262)*SUMIFS(Velocity!$I:$I,Velocity!$A:$A,$A262,Velocity!$B:$B,$C262)/Assumptions!$B$4*Assumptions!$B$6</f>
        <v>0.166666666666667</v>
      </c>
      <c r="L262" s="7" t="n">
        <f aca="false">SUMIFS(Doors!X:X,Doors!$A:$A,$D262,Doors!$B:$B,$B262,Doors!$C:$C,$C262)*SUMIFS(Velocity!$I:$I,Velocity!$A:$A,$A262,Velocity!$B:$B,$C262)/Assumptions!$B$4*Assumptions!$B$6</f>
        <v>0.166666666666667</v>
      </c>
      <c r="M262" s="7" t="n">
        <f aca="false">SUMIFS(Doors!Y:Y,Doors!$A:$A,$D262,Doors!$B:$B,$B262,Doors!$C:$C,$C262)*SUMIFS(Velocity!$I:$I,Velocity!$A:$A,$A262,Velocity!$B:$B,$C262)/Assumptions!$B$4*Assumptions!$B$6</f>
        <v>0.166666666666667</v>
      </c>
      <c r="N262" s="7" t="n">
        <f aca="false">SUMIFS(Doors!Z:Z,Doors!$A:$A,$D262,Doors!$B:$B,$B262,Doors!$C:$C,$C262)*SUMIFS(Velocity!$I:$I,Velocity!$A:$A,$A262,Velocity!$B:$B,$C262)/Assumptions!$B$4*Assumptions!$B$6</f>
        <v>0.333333333333333</v>
      </c>
      <c r="O262" s="7" t="n">
        <f aca="false">SUMIFS(Doors!AA:AA,Doors!$A:$A,$D262,Doors!$B:$B,$B262,Doors!$C:$C,$C262)*SUMIFS(Velocity!$I:$I,Velocity!$A:$A,$A262,Velocity!$B:$B,$C262)/Assumptions!$B$4*Assumptions!$B$6</f>
        <v>0.333333333333333</v>
      </c>
      <c r="P262" s="7" t="n">
        <f aca="false">SUMIFS(Doors!AB:AB,Doors!$A:$A,$D262,Doors!$B:$B,$B262,Doors!$C:$C,$C262)*SUMIFS(Velocity!$I:$I,Velocity!$A:$A,$A262,Velocity!$B:$B,$C262)/Assumptions!$B$4*Assumptions!$B$6</f>
        <v>0.333333333333333</v>
      </c>
      <c r="Q262" s="7" t="n">
        <f aca="false">SUMIFS(Doors!AC:AC,Doors!$A:$A,$D262,Doors!$B:$B,$B262,Doors!$C:$C,$C262)*SUMIFS(Velocity!$I:$I,Velocity!$A:$A,$A262,Velocity!$B:$B,$C262)/Assumptions!$B$4*Assumptions!$B$6</f>
        <v>0.333333333333333</v>
      </c>
      <c r="R262" s="7" t="n">
        <f aca="false">SUMIFS(Doors!AD:AD,Doors!$A:$A,$D262,Doors!$B:$B,$B262,Doors!$C:$C,$C262)*SUMIFS(Velocity!$I:$I,Velocity!$A:$A,$A262,Velocity!$B:$B,$C262)/Assumptions!$B$4*Assumptions!$B$6</f>
        <v>0.333333333333333</v>
      </c>
      <c r="S262" s="7" t="n">
        <f aca="false">SUMIFS(Doors!AE:AE,Doors!$A:$A,$D262,Doors!$B:$B,$B262,Doors!$C:$C,$C262)*SUMIFS(Velocity!$I:$I,Velocity!$A:$A,$A262,Velocity!$B:$B,$C262)/Assumptions!$B$4*Assumptions!$B$6</f>
        <v>0.333333333333333</v>
      </c>
      <c r="T262" s="7" t="n">
        <f aca="false">SUMIFS(Doors!AF:AF,Doors!$A:$A,$D262,Doors!$B:$B,$B262,Doors!$C:$C,$C262)*SUMIFS(Velocity!$I:$I,Velocity!$A:$A,$A262,Velocity!$B:$B,$C262)/Assumptions!$B$4*Assumptions!$B$6</f>
        <v>0.333333333333333</v>
      </c>
      <c r="U262" s="7" t="n">
        <f aca="false">SUMIFS(Doors!AG:AG,Doors!$A:$A,$D262,Doors!$B:$B,$B262,Doors!$C:$C,$C262)*SUMIFS(Velocity!$I:$I,Velocity!$A:$A,$A262,Velocity!$B:$B,$C262)/Assumptions!$B$4*Assumptions!$B$6</f>
        <v>0.333333333333333</v>
      </c>
      <c r="V262" s="7" t="n">
        <f aca="false">SUMIFS(Doors!AH:AH,Doors!$A:$A,$D262,Doors!$B:$B,$B262,Doors!$C:$C,$C262)*SUMIFS(Velocity!$I:$I,Velocity!$A:$A,$A262,Velocity!$B:$B,$C262)/Assumptions!$B$4*Assumptions!$B$6</f>
        <v>0.333333333333333</v>
      </c>
      <c r="W262" s="7" t="n">
        <f aca="false">SUMIFS(Doors!AI:AI,Doors!$A:$A,$D262,Doors!$B:$B,$B262,Doors!$C:$C,$C262)*SUMIFS(Velocity!$I:$I,Velocity!$A:$A,$A262,Velocity!$B:$B,$C262)/Assumptions!$B$4*Assumptions!$B$6</f>
        <v>0.5</v>
      </c>
      <c r="X262" s="7" t="n">
        <f aca="false">SUMIFS(Doors!AJ:AJ,Doors!$A:$A,$D262,Doors!$B:$B,$B262,Doors!$C:$C,$C262)*SUMIFS(Velocity!$I:$I,Velocity!$A:$A,$A262,Velocity!$B:$B,$C262)/Assumptions!$B$4*Assumptions!$B$6</f>
        <v>0.5</v>
      </c>
      <c r="Y262" s="7" t="n">
        <f aca="false">SUMIFS(Doors!AK:AK,Doors!$A:$A,$D262,Doors!$B:$B,$B262,Doors!$C:$C,$C262)*SUMIFS(Velocity!$I:$I,Velocity!$A:$A,$A262,Velocity!$B:$B,$C262)/Assumptions!$B$4*Assumptions!$B$6</f>
        <v>0.5</v>
      </c>
      <c r="Z262" s="7" t="n">
        <f aca="false">SUMIFS(Doors!AL:AL,Doors!$A:$A,$D262,Doors!$B:$B,$B262,Doors!$C:$C,$C262)*SUMIFS(Velocity!$I:$I,Velocity!$A:$A,$A262,Velocity!$B:$B,$C262)/Assumptions!$B$4*Assumptions!$B$6</f>
        <v>0.5</v>
      </c>
      <c r="AA262" s="7" t="n">
        <f aca="false">SUMIFS(Doors!AM:AM,Doors!$A:$A,$D262,Doors!$B:$B,$B262,Doors!$C:$C,$C262)*SUMIFS(Velocity!$I:$I,Velocity!$A:$A,$A262,Velocity!$B:$B,$C262)/Assumptions!$B$4*Assumptions!$B$6</f>
        <v>0.5</v>
      </c>
      <c r="AB262" s="7" t="n">
        <f aca="false">SUMIFS(Doors!AN:AN,Doors!$A:$A,$D262,Doors!$B:$B,$B262,Doors!$C:$C,$C262)*SUMIFS(Velocity!$I:$I,Velocity!$A:$A,$A262,Velocity!$B:$B,$C262)/Assumptions!$B$4*Assumptions!$B$6</f>
        <v>0.5</v>
      </c>
      <c r="AC262" s="7" t="n">
        <f aca="false">SUMIFS(Doors!AO:AO,Doors!$A:$A,$D262,Doors!$B:$B,$B262,Doors!$C:$C,$C262)*SUMIFS(Velocity!$I:$I,Velocity!$A:$A,$A262,Velocity!$B:$B,$C262)/Assumptions!$B$4*Assumptions!$B$6</f>
        <v>0.5</v>
      </c>
      <c r="AD262" s="7" t="n">
        <f aca="false">SUMIFS(Doors!AP:AP,Doors!$A:$A,$D262,Doors!$B:$B,$B262,Doors!$C:$C,$C262)*SUMIFS(Velocity!$I:$I,Velocity!$A:$A,$A262,Velocity!$B:$B,$C262)/Assumptions!$B$4*Assumptions!$B$6</f>
        <v>0.5</v>
      </c>
      <c r="AE262" s="7" t="n">
        <f aca="false">SUMIFS(Doors!AQ:AQ,Doors!$A:$A,$D262,Doors!$B:$B,$B262,Doors!$C:$C,$C262)*SUMIFS(Velocity!$I:$I,Velocity!$A:$A,$A262,Velocity!$B:$B,$C262)/Assumptions!$B$4*Assumptions!$B$6</f>
        <v>0.666666666666667</v>
      </c>
      <c r="AF262" s="7" t="n">
        <f aca="false">SUMIFS(Doors!AR:AR,Doors!$A:$A,$D262,Doors!$B:$B,$B262,Doors!$C:$C,$C262)*SUMIFS(Velocity!$I:$I,Velocity!$A:$A,$A262,Velocity!$B:$B,$C262)/Assumptions!$B$4*Assumptions!$B$6</f>
        <v>0.666666666666667</v>
      </c>
      <c r="AG262" s="7" t="n">
        <f aca="false">SUMIFS(Doors!AS:AS,Doors!$A:$A,$D262,Doors!$B:$B,$B262,Doors!$C:$C,$C262)*SUMIFS(Velocity!$I:$I,Velocity!$A:$A,$A262,Velocity!$B:$B,$C262)/Assumptions!$B$4*Assumptions!$B$6</f>
        <v>0.666666666666667</v>
      </c>
      <c r="AH262" s="7" t="n">
        <f aca="false">SUMIFS(Doors!AT:AT,Doors!$A:$A,$D262,Doors!$B:$B,$B262,Doors!$C:$C,$C262)*SUMIFS(Velocity!$I:$I,Velocity!$A:$A,$A262,Velocity!$B:$B,$C262)/Assumptions!$B$4*Assumptions!$B$6</f>
        <v>0.666666666666667</v>
      </c>
      <c r="AI262" s="7" t="n">
        <f aca="false">SUMIFS(Doors!AU:AU,Doors!$A:$A,$D262,Doors!$B:$B,$B262,Doors!$C:$C,$C262)*SUMIFS(Velocity!$I:$I,Velocity!$A:$A,$A262,Velocity!$B:$B,$C262)/Assumptions!$B$4*Assumptions!$B$6</f>
        <v>0.666666666666667</v>
      </c>
      <c r="AJ262" s="7" t="n">
        <f aca="false">SUMIFS(Doors!AV:AV,Doors!$A:$A,$D262,Doors!$B:$B,$B262,Doors!$C:$C,$C262)*SUMIFS(Velocity!$I:$I,Velocity!$A:$A,$A262,Velocity!$B:$B,$C262)/Assumptions!$B$4*Assumptions!$B$6</f>
        <v>0.666666666666667</v>
      </c>
      <c r="AK262" s="7" t="n">
        <f aca="false">SUMIFS(Doors!AW:AW,Doors!$A:$A,$D262,Doors!$B:$B,$B262,Doors!$C:$C,$C262)*SUMIFS(Velocity!$I:$I,Velocity!$A:$A,$A262,Velocity!$B:$B,$C262)/Assumptions!$B$4*Assumptions!$B$6</f>
        <v>0.666666666666667</v>
      </c>
      <c r="AL262" s="7" t="n">
        <f aca="false">SUMIFS(Doors!AX:AX,Doors!$A:$A,$D262,Doors!$B:$B,$B262,Doors!$C:$C,$C262)*SUMIFS(Velocity!$I:$I,Velocity!$A:$A,$A262,Velocity!$B:$B,$C262)/Assumptions!$B$4*Assumptions!$B$6</f>
        <v>0.666666666666667</v>
      </c>
      <c r="AM262" s="7" t="n">
        <f aca="false">SUMIFS(Doors!AY:AY,Doors!$A:$A,$D262,Doors!$B:$B,$B262,Doors!$C:$C,$C262)*SUMIFS(Velocity!$I:$I,Velocity!$A:$A,$A262,Velocity!$B:$B,$C262)/Assumptions!$B$4*Assumptions!$B$6</f>
        <v>0.666666666666667</v>
      </c>
      <c r="AN262" s="7" t="n">
        <f aca="false">SUMIFS(Doors!AZ:AZ,Doors!$A:$A,$D262,Doors!$B:$B,$B262,Doors!$C:$C,$C262)*SUMIFS(Velocity!$I:$I,Velocity!$A:$A,$A262,Velocity!$B:$B,$C262)/Assumptions!$B$4*Assumptions!$B$6</f>
        <v>0.666666666666667</v>
      </c>
      <c r="AO262" s="7" t="n">
        <f aca="false">SUMIFS(Doors!BA:BA,Doors!$A:$A,$D262,Doors!$B:$B,$B262,Doors!$C:$C,$C262)*SUMIFS(Velocity!$I:$I,Velocity!$A:$A,$A262,Velocity!$B:$B,$C262)/Assumptions!$B$4*Assumptions!$B$6</f>
        <v>0.666666666666667</v>
      </c>
      <c r="AP262" s="7" t="n">
        <f aca="false">SUMIFS(Doors!BB:BB,Doors!$A:$A,$D262,Doors!$B:$B,$B262,Doors!$C:$C,$C262)*SUMIFS(Velocity!$I:$I,Velocity!$A:$A,$A262,Velocity!$B:$B,$C262)/Assumptions!$B$4*Assumptions!$B$6</f>
        <v>0.666666666666667</v>
      </c>
      <c r="AQ262" s="7" t="n">
        <f aca="false">SUMIFS(Doors!BC:BC,Doors!$A:$A,$D262,Doors!$B:$B,$B262,Doors!$C:$C,$C262)*SUMIFS(Velocity!$I:$I,Velocity!$A:$A,$A262,Velocity!$B:$B,$C262)/Assumptions!$B$4*Assumptions!$B$6</f>
        <v>0.666666666666667</v>
      </c>
      <c r="AR262" s="7" t="n">
        <f aca="false">SUMIFS(Doors!BD:BD,Doors!$A:$A,$D262,Doors!$B:$B,$B262,Doors!$C:$C,$C262)*SUMIFS(Velocity!$I:$I,Velocity!$A:$A,$A262,Velocity!$B:$B,$C262)/Assumptions!$B$4*Assumptions!$B$6</f>
        <v>0.833333333333333</v>
      </c>
      <c r="AS262" s="7" t="n">
        <f aca="false">SUMIFS(Doors!BE:BE,Doors!$A:$A,$D262,Doors!$B:$B,$B262,Doors!$C:$C,$C262)*SUMIFS(Velocity!$I:$I,Velocity!$A:$A,$A262,Velocity!$B:$B,$C262)/Assumptions!$B$4*Assumptions!$B$6</f>
        <v>0.833333333333333</v>
      </c>
      <c r="AT262" s="7" t="n">
        <f aca="false">SUMIFS(Doors!BF:BF,Doors!$A:$A,$D262,Doors!$B:$B,$B262,Doors!$C:$C,$C262)*SUMIFS(Velocity!$I:$I,Velocity!$A:$A,$A262,Velocity!$B:$B,$C262)/Assumptions!$B$4*Assumptions!$B$6</f>
        <v>0.833333333333333</v>
      </c>
      <c r="AU262" s="7" t="n">
        <f aca="false">SUMIFS(Doors!BG:BG,Doors!$A:$A,$D262,Doors!$B:$B,$B262,Doors!$C:$C,$C262)*SUMIFS(Velocity!$I:$I,Velocity!$A:$A,$A262,Velocity!$B:$B,$C262)/Assumptions!$B$4*Assumptions!$B$6</f>
        <v>0.833333333333333</v>
      </c>
      <c r="AV262" s="7" t="n">
        <f aca="false">SUMIFS(Doors!BH:BH,Doors!$A:$A,$D262,Doors!$B:$B,$B262,Doors!$C:$C,$C262)*SUMIFS(Velocity!$I:$I,Velocity!$A:$A,$A262,Velocity!$B:$B,$C262)/Assumptions!$B$4*Assumptions!$B$6</f>
        <v>0.833333333333333</v>
      </c>
      <c r="AW262" s="7" t="n">
        <f aca="false">SUMIFS(Doors!BI:BI,Doors!$A:$A,$D262,Doors!$B:$B,$B262,Doors!$C:$C,$C262)*SUMIFS(Velocity!$I:$I,Velocity!$A:$A,$A262,Velocity!$B:$B,$C262)/Assumptions!$B$4*Assumptions!$B$6</f>
        <v>0.833333333333333</v>
      </c>
      <c r="AX262" s="7" t="n">
        <f aca="false">SUMIFS(Doors!BJ:BJ,Doors!$A:$A,$D262,Doors!$B:$B,$B262,Doors!$C:$C,$C262)*SUMIFS(Velocity!$I:$I,Velocity!$A:$A,$A262,Velocity!$B:$B,$C262)/Assumptions!$B$4*Assumptions!$B$6</f>
        <v>0.833333333333333</v>
      </c>
      <c r="AY262" s="7" t="n">
        <f aca="false">SUMIFS(Doors!BK:BK,Doors!$A:$A,$D262,Doors!$B:$B,$B262,Doors!$C:$C,$C262)*SUMIFS(Velocity!$I:$I,Velocity!$A:$A,$A262,Velocity!$B:$B,$C262)/Assumptions!$B$4*Assumptions!$B$6</f>
        <v>0.833333333333333</v>
      </c>
      <c r="AZ262" s="7" t="n">
        <f aca="false">SUMIFS(Doors!BL:BL,Doors!$A:$A,$D262,Doors!$B:$B,$B262,Doors!$C:$C,$C262)*SUMIFS(Velocity!$I:$I,Velocity!$A:$A,$A262,Velocity!$B:$B,$C262)/Assumptions!$B$4*Assumptions!$B$6</f>
        <v>0.833333333333333</v>
      </c>
      <c r="BA262" s="7" t="n">
        <f aca="false">SUMIFS(Doors!BM:BM,Doors!$A:$A,$D262,Doors!$B:$B,$B262,Doors!$C:$C,$C262)*SUMIFS(Velocity!$I:$I,Velocity!$A:$A,$A262,Velocity!$B:$B,$C262)/Assumptions!$B$4*Assumptions!$B$6</f>
        <v>0.833333333333333</v>
      </c>
      <c r="BB262" s="7" t="n">
        <f aca="false">SUMIFS(Doors!BN:BN,Doors!$A:$A,$D262,Doors!$B:$B,$B262,Doors!$C:$C,$C262)*SUMIFS(Velocity!$I:$I,Velocity!$A:$A,$A262,Velocity!$B:$B,$C262)/Assumptions!$B$4*Assumptions!$B$6</f>
        <v>0.833333333333333</v>
      </c>
      <c r="BC262" s="7" t="n">
        <f aca="false">SUMIFS(Doors!BO:BO,Doors!$A:$A,$D262,Doors!$B:$B,$B262,Doors!$C:$C,$C262)*SUMIFS(Velocity!$I:$I,Velocity!$A:$A,$A262,Velocity!$B:$B,$C262)/Assumptions!$B$4*Assumptions!$B$6</f>
        <v>0.833333333333333</v>
      </c>
      <c r="BD262" s="7" t="n">
        <f aca="false">SUMIFS(Doors!BP:BP,Doors!$A:$A,$D262,Doors!$B:$B,$B262,Doors!$C:$C,$C262)*SUMIFS(Velocity!$I:$I,Velocity!$A:$A,$A262,Velocity!$B:$B,$C262)/Assumptions!$B$4*Assumptions!$B$6</f>
        <v>0.833333333333333</v>
      </c>
    </row>
    <row r="263" customFormat="false" ht="15" hidden="false" customHeight="false" outlineLevel="0" collapsed="false">
      <c r="A263" s="0" t="s">
        <v>110</v>
      </c>
      <c r="B263" s="0" t="s">
        <v>134</v>
      </c>
      <c r="C263" s="0" t="s">
        <v>120</v>
      </c>
      <c r="D263" s="0" t="s">
        <v>235</v>
      </c>
      <c r="E263" s="7" t="n">
        <f aca="false">SUMIFS(Doors!Q:Q,Doors!$A:$A,$D263,Doors!$B:$B,$B263,Doors!$C:$C,$C263)*SUMIFS(Velocity!$I:$I,Velocity!$A:$A,$A263,Velocity!$B:$B,$C263)/Assumptions!$B$4*Assumptions!$B$6</f>
        <v>0.197916666666667</v>
      </c>
      <c r="F263" s="7" t="n">
        <f aca="false">SUMIFS(Doors!R:R,Doors!$A:$A,$D263,Doors!$B:$B,$B263,Doors!$C:$C,$C263)*SUMIFS(Velocity!$I:$I,Velocity!$A:$A,$A263,Velocity!$B:$B,$C263)/Assumptions!$B$4*Assumptions!$B$6</f>
        <v>0.197916666666667</v>
      </c>
      <c r="G263" s="7" t="n">
        <f aca="false">SUMIFS(Doors!S:S,Doors!$A:$A,$D263,Doors!$B:$B,$B263,Doors!$C:$C,$C263)*SUMIFS(Velocity!$I:$I,Velocity!$A:$A,$A263,Velocity!$B:$B,$C263)/Assumptions!$B$4*Assumptions!$B$6</f>
        <v>0.197916666666667</v>
      </c>
      <c r="H263" s="7" t="n">
        <f aca="false">SUMIFS(Doors!T:T,Doors!$A:$A,$D263,Doors!$B:$B,$B263,Doors!$C:$C,$C263)*SUMIFS(Velocity!$I:$I,Velocity!$A:$A,$A263,Velocity!$B:$B,$C263)/Assumptions!$B$4*Assumptions!$B$6</f>
        <v>0.197916666666667</v>
      </c>
      <c r="I263" s="7" t="n">
        <f aca="false">SUMIFS(Doors!U:U,Doors!$A:$A,$D263,Doors!$B:$B,$B263,Doors!$C:$C,$C263)*SUMIFS(Velocity!$I:$I,Velocity!$A:$A,$A263,Velocity!$B:$B,$C263)/Assumptions!$B$4*Assumptions!$B$6</f>
        <v>0.197916666666667</v>
      </c>
      <c r="J263" s="7" t="n">
        <f aca="false">SUMIFS(Doors!V:V,Doors!$A:$A,$D263,Doors!$B:$B,$B263,Doors!$C:$C,$C263)*SUMIFS(Velocity!$I:$I,Velocity!$A:$A,$A263,Velocity!$B:$B,$C263)/Assumptions!$B$4*Assumptions!$B$6</f>
        <v>0.395833333333333</v>
      </c>
      <c r="K263" s="7" t="n">
        <f aca="false">SUMIFS(Doors!W:W,Doors!$A:$A,$D263,Doors!$B:$B,$B263,Doors!$C:$C,$C263)*SUMIFS(Velocity!$I:$I,Velocity!$A:$A,$A263,Velocity!$B:$B,$C263)/Assumptions!$B$4*Assumptions!$B$6</f>
        <v>0.395833333333333</v>
      </c>
      <c r="L263" s="7" t="n">
        <f aca="false">SUMIFS(Doors!X:X,Doors!$A:$A,$D263,Doors!$B:$B,$B263,Doors!$C:$C,$C263)*SUMIFS(Velocity!$I:$I,Velocity!$A:$A,$A263,Velocity!$B:$B,$C263)/Assumptions!$B$4*Assumptions!$B$6</f>
        <v>0.395833333333333</v>
      </c>
      <c r="M263" s="7" t="n">
        <f aca="false">SUMIFS(Doors!Y:Y,Doors!$A:$A,$D263,Doors!$B:$B,$B263,Doors!$C:$C,$C263)*SUMIFS(Velocity!$I:$I,Velocity!$A:$A,$A263,Velocity!$B:$B,$C263)/Assumptions!$B$4*Assumptions!$B$6</f>
        <v>0.395833333333333</v>
      </c>
      <c r="N263" s="7" t="n">
        <f aca="false">SUMIFS(Doors!Z:Z,Doors!$A:$A,$D263,Doors!$B:$B,$B263,Doors!$C:$C,$C263)*SUMIFS(Velocity!$I:$I,Velocity!$A:$A,$A263,Velocity!$B:$B,$C263)/Assumptions!$B$4*Assumptions!$B$6</f>
        <v>0.395833333333333</v>
      </c>
      <c r="O263" s="7" t="n">
        <f aca="false">SUMIFS(Doors!AA:AA,Doors!$A:$A,$D263,Doors!$B:$B,$B263,Doors!$C:$C,$C263)*SUMIFS(Velocity!$I:$I,Velocity!$A:$A,$A263,Velocity!$B:$B,$C263)/Assumptions!$B$4*Assumptions!$B$6</f>
        <v>0.395833333333333</v>
      </c>
      <c r="P263" s="7" t="n">
        <f aca="false">SUMIFS(Doors!AB:AB,Doors!$A:$A,$D263,Doors!$B:$B,$B263,Doors!$C:$C,$C263)*SUMIFS(Velocity!$I:$I,Velocity!$A:$A,$A263,Velocity!$B:$B,$C263)/Assumptions!$B$4*Assumptions!$B$6</f>
        <v>0.395833333333333</v>
      </c>
      <c r="Q263" s="7" t="n">
        <f aca="false">SUMIFS(Doors!AC:AC,Doors!$A:$A,$D263,Doors!$B:$B,$B263,Doors!$C:$C,$C263)*SUMIFS(Velocity!$I:$I,Velocity!$A:$A,$A263,Velocity!$B:$B,$C263)/Assumptions!$B$4*Assumptions!$B$6</f>
        <v>0.395833333333333</v>
      </c>
      <c r="R263" s="7" t="n">
        <f aca="false">SUMIFS(Doors!AD:AD,Doors!$A:$A,$D263,Doors!$B:$B,$B263,Doors!$C:$C,$C263)*SUMIFS(Velocity!$I:$I,Velocity!$A:$A,$A263,Velocity!$B:$B,$C263)/Assumptions!$B$4*Assumptions!$B$6</f>
        <v>0.59375</v>
      </c>
      <c r="S263" s="7" t="n">
        <f aca="false">SUMIFS(Doors!AE:AE,Doors!$A:$A,$D263,Doors!$B:$B,$B263,Doors!$C:$C,$C263)*SUMIFS(Velocity!$I:$I,Velocity!$A:$A,$A263,Velocity!$B:$B,$C263)/Assumptions!$B$4*Assumptions!$B$6</f>
        <v>0.59375</v>
      </c>
      <c r="T263" s="7" t="n">
        <f aca="false">SUMIFS(Doors!AF:AF,Doors!$A:$A,$D263,Doors!$B:$B,$B263,Doors!$C:$C,$C263)*SUMIFS(Velocity!$I:$I,Velocity!$A:$A,$A263,Velocity!$B:$B,$C263)/Assumptions!$B$4*Assumptions!$B$6</f>
        <v>0.59375</v>
      </c>
      <c r="U263" s="7" t="n">
        <f aca="false">SUMIFS(Doors!AG:AG,Doors!$A:$A,$D263,Doors!$B:$B,$B263,Doors!$C:$C,$C263)*SUMIFS(Velocity!$I:$I,Velocity!$A:$A,$A263,Velocity!$B:$B,$C263)/Assumptions!$B$4*Assumptions!$B$6</f>
        <v>0.59375</v>
      </c>
      <c r="V263" s="7" t="n">
        <f aca="false">SUMIFS(Doors!AH:AH,Doors!$A:$A,$D263,Doors!$B:$B,$B263,Doors!$C:$C,$C263)*SUMIFS(Velocity!$I:$I,Velocity!$A:$A,$A263,Velocity!$B:$B,$C263)/Assumptions!$B$4*Assumptions!$B$6</f>
        <v>0.59375</v>
      </c>
      <c r="W263" s="7" t="n">
        <f aca="false">SUMIFS(Doors!AI:AI,Doors!$A:$A,$D263,Doors!$B:$B,$B263,Doors!$C:$C,$C263)*SUMIFS(Velocity!$I:$I,Velocity!$A:$A,$A263,Velocity!$B:$B,$C263)/Assumptions!$B$4*Assumptions!$B$6</f>
        <v>0.59375</v>
      </c>
      <c r="X263" s="7" t="n">
        <f aca="false">SUMIFS(Doors!AJ:AJ,Doors!$A:$A,$D263,Doors!$B:$B,$B263,Doors!$C:$C,$C263)*SUMIFS(Velocity!$I:$I,Velocity!$A:$A,$A263,Velocity!$B:$B,$C263)/Assumptions!$B$4*Assumptions!$B$6</f>
        <v>0.59375</v>
      </c>
      <c r="Y263" s="7" t="n">
        <f aca="false">SUMIFS(Doors!AK:AK,Doors!$A:$A,$D263,Doors!$B:$B,$B263,Doors!$C:$C,$C263)*SUMIFS(Velocity!$I:$I,Velocity!$A:$A,$A263,Velocity!$B:$B,$C263)/Assumptions!$B$4*Assumptions!$B$6</f>
        <v>0.59375</v>
      </c>
      <c r="Z263" s="7" t="n">
        <f aca="false">SUMIFS(Doors!AL:AL,Doors!$A:$A,$D263,Doors!$B:$B,$B263,Doors!$C:$C,$C263)*SUMIFS(Velocity!$I:$I,Velocity!$A:$A,$A263,Velocity!$B:$B,$C263)/Assumptions!$B$4*Assumptions!$B$6</f>
        <v>0.59375</v>
      </c>
      <c r="AA263" s="7" t="n">
        <f aca="false">SUMIFS(Doors!AM:AM,Doors!$A:$A,$D263,Doors!$B:$B,$B263,Doors!$C:$C,$C263)*SUMIFS(Velocity!$I:$I,Velocity!$A:$A,$A263,Velocity!$B:$B,$C263)/Assumptions!$B$4*Assumptions!$B$6</f>
        <v>0.791666666666667</v>
      </c>
      <c r="AB263" s="7" t="n">
        <f aca="false">SUMIFS(Doors!AN:AN,Doors!$A:$A,$D263,Doors!$B:$B,$B263,Doors!$C:$C,$C263)*SUMIFS(Velocity!$I:$I,Velocity!$A:$A,$A263,Velocity!$B:$B,$C263)/Assumptions!$B$4*Assumptions!$B$6</f>
        <v>0.791666666666667</v>
      </c>
      <c r="AC263" s="7" t="n">
        <f aca="false">SUMIFS(Doors!AO:AO,Doors!$A:$A,$D263,Doors!$B:$B,$B263,Doors!$C:$C,$C263)*SUMIFS(Velocity!$I:$I,Velocity!$A:$A,$A263,Velocity!$B:$B,$C263)/Assumptions!$B$4*Assumptions!$B$6</f>
        <v>0.791666666666667</v>
      </c>
      <c r="AD263" s="7" t="n">
        <f aca="false">SUMIFS(Doors!AP:AP,Doors!$A:$A,$D263,Doors!$B:$B,$B263,Doors!$C:$C,$C263)*SUMIFS(Velocity!$I:$I,Velocity!$A:$A,$A263,Velocity!$B:$B,$C263)/Assumptions!$B$4*Assumptions!$B$6</f>
        <v>0.791666666666667</v>
      </c>
      <c r="AE263" s="7" t="n">
        <f aca="false">SUMIFS(Doors!AQ:AQ,Doors!$A:$A,$D263,Doors!$B:$B,$B263,Doors!$C:$C,$C263)*SUMIFS(Velocity!$I:$I,Velocity!$A:$A,$A263,Velocity!$B:$B,$C263)/Assumptions!$B$4*Assumptions!$B$6</f>
        <v>0.791666666666667</v>
      </c>
      <c r="AF263" s="7" t="n">
        <f aca="false">SUMIFS(Doors!AR:AR,Doors!$A:$A,$D263,Doors!$B:$B,$B263,Doors!$C:$C,$C263)*SUMIFS(Velocity!$I:$I,Velocity!$A:$A,$A263,Velocity!$B:$B,$C263)/Assumptions!$B$4*Assumptions!$B$6</f>
        <v>0.791666666666667</v>
      </c>
      <c r="AG263" s="7" t="n">
        <f aca="false">SUMIFS(Doors!AS:AS,Doors!$A:$A,$D263,Doors!$B:$B,$B263,Doors!$C:$C,$C263)*SUMIFS(Velocity!$I:$I,Velocity!$A:$A,$A263,Velocity!$B:$B,$C263)/Assumptions!$B$4*Assumptions!$B$6</f>
        <v>0.791666666666667</v>
      </c>
      <c r="AH263" s="7" t="n">
        <f aca="false">SUMIFS(Doors!AT:AT,Doors!$A:$A,$D263,Doors!$B:$B,$B263,Doors!$C:$C,$C263)*SUMIFS(Velocity!$I:$I,Velocity!$A:$A,$A263,Velocity!$B:$B,$C263)/Assumptions!$B$4*Assumptions!$B$6</f>
        <v>0.791666666666667</v>
      </c>
      <c r="AI263" s="7" t="n">
        <f aca="false">SUMIFS(Doors!AU:AU,Doors!$A:$A,$D263,Doors!$B:$B,$B263,Doors!$C:$C,$C263)*SUMIFS(Velocity!$I:$I,Velocity!$A:$A,$A263,Velocity!$B:$B,$C263)/Assumptions!$B$4*Assumptions!$B$6</f>
        <v>0.791666666666667</v>
      </c>
      <c r="AJ263" s="7" t="n">
        <f aca="false">SUMIFS(Doors!AV:AV,Doors!$A:$A,$D263,Doors!$B:$B,$B263,Doors!$C:$C,$C263)*SUMIFS(Velocity!$I:$I,Velocity!$A:$A,$A263,Velocity!$B:$B,$C263)/Assumptions!$B$4*Assumptions!$B$6</f>
        <v>0.989583333333333</v>
      </c>
      <c r="AK263" s="7" t="n">
        <f aca="false">SUMIFS(Doors!AW:AW,Doors!$A:$A,$D263,Doors!$B:$B,$B263,Doors!$C:$C,$C263)*SUMIFS(Velocity!$I:$I,Velocity!$A:$A,$A263,Velocity!$B:$B,$C263)/Assumptions!$B$4*Assumptions!$B$6</f>
        <v>0.989583333333333</v>
      </c>
      <c r="AL263" s="7" t="n">
        <f aca="false">SUMIFS(Doors!AX:AX,Doors!$A:$A,$D263,Doors!$B:$B,$B263,Doors!$C:$C,$C263)*SUMIFS(Velocity!$I:$I,Velocity!$A:$A,$A263,Velocity!$B:$B,$C263)/Assumptions!$B$4*Assumptions!$B$6</f>
        <v>0.989583333333333</v>
      </c>
      <c r="AM263" s="7" t="n">
        <f aca="false">SUMIFS(Doors!AY:AY,Doors!$A:$A,$D263,Doors!$B:$B,$B263,Doors!$C:$C,$C263)*SUMIFS(Velocity!$I:$I,Velocity!$A:$A,$A263,Velocity!$B:$B,$C263)/Assumptions!$B$4*Assumptions!$B$6</f>
        <v>0.989583333333333</v>
      </c>
      <c r="AN263" s="7" t="n">
        <f aca="false">SUMIFS(Doors!AZ:AZ,Doors!$A:$A,$D263,Doors!$B:$B,$B263,Doors!$C:$C,$C263)*SUMIFS(Velocity!$I:$I,Velocity!$A:$A,$A263,Velocity!$B:$B,$C263)/Assumptions!$B$4*Assumptions!$B$6</f>
        <v>0.989583333333333</v>
      </c>
      <c r="AO263" s="7" t="n">
        <f aca="false">SUMIFS(Doors!BA:BA,Doors!$A:$A,$D263,Doors!$B:$B,$B263,Doors!$C:$C,$C263)*SUMIFS(Velocity!$I:$I,Velocity!$A:$A,$A263,Velocity!$B:$B,$C263)/Assumptions!$B$4*Assumptions!$B$6</f>
        <v>0.989583333333333</v>
      </c>
      <c r="AP263" s="7" t="n">
        <f aca="false">SUMIFS(Doors!BB:BB,Doors!$A:$A,$D263,Doors!$B:$B,$B263,Doors!$C:$C,$C263)*SUMIFS(Velocity!$I:$I,Velocity!$A:$A,$A263,Velocity!$B:$B,$C263)/Assumptions!$B$4*Assumptions!$B$6</f>
        <v>0.989583333333333</v>
      </c>
      <c r="AQ263" s="7" t="n">
        <f aca="false">SUMIFS(Doors!BC:BC,Doors!$A:$A,$D263,Doors!$B:$B,$B263,Doors!$C:$C,$C263)*SUMIFS(Velocity!$I:$I,Velocity!$A:$A,$A263,Velocity!$B:$B,$C263)/Assumptions!$B$4*Assumptions!$B$6</f>
        <v>0.989583333333333</v>
      </c>
      <c r="AR263" s="7" t="n">
        <f aca="false">SUMIFS(Doors!BD:BD,Doors!$A:$A,$D263,Doors!$B:$B,$B263,Doors!$C:$C,$C263)*SUMIFS(Velocity!$I:$I,Velocity!$A:$A,$A263,Velocity!$B:$B,$C263)/Assumptions!$B$4*Assumptions!$B$6</f>
        <v>0.989583333333333</v>
      </c>
      <c r="AS263" s="7" t="n">
        <f aca="false">SUMIFS(Doors!BE:BE,Doors!$A:$A,$D263,Doors!$B:$B,$B263,Doors!$C:$C,$C263)*SUMIFS(Velocity!$I:$I,Velocity!$A:$A,$A263,Velocity!$B:$B,$C263)/Assumptions!$B$4*Assumptions!$B$6</f>
        <v>0.989583333333333</v>
      </c>
      <c r="AT263" s="7" t="n">
        <f aca="false">SUMIFS(Doors!BF:BF,Doors!$A:$A,$D263,Doors!$B:$B,$B263,Doors!$C:$C,$C263)*SUMIFS(Velocity!$I:$I,Velocity!$A:$A,$A263,Velocity!$B:$B,$C263)/Assumptions!$B$4*Assumptions!$B$6</f>
        <v>0.989583333333333</v>
      </c>
      <c r="AU263" s="7" t="n">
        <f aca="false">SUMIFS(Doors!BG:BG,Doors!$A:$A,$D263,Doors!$B:$B,$B263,Doors!$C:$C,$C263)*SUMIFS(Velocity!$I:$I,Velocity!$A:$A,$A263,Velocity!$B:$B,$C263)/Assumptions!$B$4*Assumptions!$B$6</f>
        <v>0.989583333333333</v>
      </c>
      <c r="AV263" s="7" t="n">
        <f aca="false">SUMIFS(Doors!BH:BH,Doors!$A:$A,$D263,Doors!$B:$B,$B263,Doors!$C:$C,$C263)*SUMIFS(Velocity!$I:$I,Velocity!$A:$A,$A263,Velocity!$B:$B,$C263)/Assumptions!$B$4*Assumptions!$B$6</f>
        <v>0.989583333333333</v>
      </c>
      <c r="AW263" s="7" t="n">
        <f aca="false">SUMIFS(Doors!BI:BI,Doors!$A:$A,$D263,Doors!$B:$B,$B263,Doors!$C:$C,$C263)*SUMIFS(Velocity!$I:$I,Velocity!$A:$A,$A263,Velocity!$B:$B,$C263)/Assumptions!$B$4*Assumptions!$B$6</f>
        <v>0.989583333333333</v>
      </c>
      <c r="AX263" s="7" t="n">
        <f aca="false">SUMIFS(Doors!BJ:BJ,Doors!$A:$A,$D263,Doors!$B:$B,$B263,Doors!$C:$C,$C263)*SUMIFS(Velocity!$I:$I,Velocity!$A:$A,$A263,Velocity!$B:$B,$C263)/Assumptions!$B$4*Assumptions!$B$6</f>
        <v>0.989583333333333</v>
      </c>
      <c r="AY263" s="7" t="n">
        <f aca="false">SUMIFS(Doors!BK:BK,Doors!$A:$A,$D263,Doors!$B:$B,$B263,Doors!$C:$C,$C263)*SUMIFS(Velocity!$I:$I,Velocity!$A:$A,$A263,Velocity!$B:$B,$C263)/Assumptions!$B$4*Assumptions!$B$6</f>
        <v>0.989583333333333</v>
      </c>
      <c r="AZ263" s="7" t="n">
        <f aca="false">SUMIFS(Doors!BL:BL,Doors!$A:$A,$D263,Doors!$B:$B,$B263,Doors!$C:$C,$C263)*SUMIFS(Velocity!$I:$I,Velocity!$A:$A,$A263,Velocity!$B:$B,$C263)/Assumptions!$B$4*Assumptions!$B$6</f>
        <v>0.989583333333333</v>
      </c>
      <c r="BA263" s="7" t="n">
        <f aca="false">SUMIFS(Doors!BM:BM,Doors!$A:$A,$D263,Doors!$B:$B,$B263,Doors!$C:$C,$C263)*SUMIFS(Velocity!$I:$I,Velocity!$A:$A,$A263,Velocity!$B:$B,$C263)/Assumptions!$B$4*Assumptions!$B$6</f>
        <v>0.989583333333333</v>
      </c>
      <c r="BB263" s="7" t="n">
        <f aca="false">SUMIFS(Doors!BN:BN,Doors!$A:$A,$D263,Doors!$B:$B,$B263,Doors!$C:$C,$C263)*SUMIFS(Velocity!$I:$I,Velocity!$A:$A,$A263,Velocity!$B:$B,$C263)/Assumptions!$B$4*Assumptions!$B$6</f>
        <v>0.989583333333333</v>
      </c>
      <c r="BC263" s="7" t="n">
        <f aca="false">SUMIFS(Doors!BO:BO,Doors!$A:$A,$D263,Doors!$B:$B,$B263,Doors!$C:$C,$C263)*SUMIFS(Velocity!$I:$I,Velocity!$A:$A,$A263,Velocity!$B:$B,$C263)/Assumptions!$B$4*Assumptions!$B$6</f>
        <v>0.989583333333333</v>
      </c>
      <c r="BD263" s="7" t="n">
        <f aca="false">SUMIFS(Doors!BP:BP,Doors!$A:$A,$D263,Doors!$B:$B,$B263,Doors!$C:$C,$C263)*SUMIFS(Velocity!$I:$I,Velocity!$A:$A,$A263,Velocity!$B:$B,$C263)/Assumptions!$B$4*Assumptions!$B$6</f>
        <v>0.989583333333333</v>
      </c>
    </row>
    <row r="264" customFormat="false" ht="15" hidden="false" customHeight="false" outlineLevel="0" collapsed="false">
      <c r="A264" s="0" t="s">
        <v>110</v>
      </c>
      <c r="B264" s="0" t="s">
        <v>134</v>
      </c>
      <c r="C264" s="0" t="s">
        <v>121</v>
      </c>
      <c r="D264" s="0" t="s">
        <v>235</v>
      </c>
      <c r="E264" s="7" t="n">
        <f aca="false">SUMIFS(Doors!Q:Q,Doors!$A:$A,$D264,Doors!$B:$B,$B264,Doors!$C:$C,$C264)*SUMIFS(Velocity!$I:$I,Velocity!$A:$A,$A264,Velocity!$B:$B,$C264)/Assumptions!$B$4*Assumptions!$B$6</f>
        <v>0</v>
      </c>
      <c r="F264" s="7" t="n">
        <f aca="false">SUMIFS(Doors!R:R,Doors!$A:$A,$D264,Doors!$B:$B,$B264,Doors!$C:$C,$C264)*SUMIFS(Velocity!$I:$I,Velocity!$A:$A,$A264,Velocity!$B:$B,$C264)/Assumptions!$B$4*Assumptions!$B$6</f>
        <v>0</v>
      </c>
      <c r="G264" s="7" t="n">
        <f aca="false">SUMIFS(Doors!S:S,Doors!$A:$A,$D264,Doors!$B:$B,$B264,Doors!$C:$C,$C264)*SUMIFS(Velocity!$I:$I,Velocity!$A:$A,$A264,Velocity!$B:$B,$C264)/Assumptions!$B$4*Assumptions!$B$6</f>
        <v>0</v>
      </c>
      <c r="H264" s="7" t="n">
        <f aca="false">SUMIFS(Doors!T:T,Doors!$A:$A,$D264,Doors!$B:$B,$B264,Doors!$C:$C,$C264)*SUMIFS(Velocity!$I:$I,Velocity!$A:$A,$A264,Velocity!$B:$B,$C264)/Assumptions!$B$4*Assumptions!$B$6</f>
        <v>0</v>
      </c>
      <c r="I264" s="7" t="n">
        <f aca="false">SUMIFS(Doors!U:U,Doors!$A:$A,$D264,Doors!$B:$B,$B264,Doors!$C:$C,$C264)*SUMIFS(Velocity!$I:$I,Velocity!$A:$A,$A264,Velocity!$B:$B,$C264)/Assumptions!$B$4*Assumptions!$B$6</f>
        <v>0</v>
      </c>
      <c r="J264" s="7" t="n">
        <f aca="false">SUMIFS(Doors!V:V,Doors!$A:$A,$D264,Doors!$B:$B,$B264,Doors!$C:$C,$C264)*SUMIFS(Velocity!$I:$I,Velocity!$A:$A,$A264,Velocity!$B:$B,$C264)/Assumptions!$B$4*Assumptions!$B$6</f>
        <v>0</v>
      </c>
      <c r="K264" s="7" t="n">
        <f aca="false">SUMIFS(Doors!W:W,Doors!$A:$A,$D264,Doors!$B:$B,$B264,Doors!$C:$C,$C264)*SUMIFS(Velocity!$I:$I,Velocity!$A:$A,$A264,Velocity!$B:$B,$C264)/Assumptions!$B$4*Assumptions!$B$6</f>
        <v>0</v>
      </c>
      <c r="L264" s="7" t="n">
        <f aca="false">SUMIFS(Doors!X:X,Doors!$A:$A,$D264,Doors!$B:$B,$B264,Doors!$C:$C,$C264)*SUMIFS(Velocity!$I:$I,Velocity!$A:$A,$A264,Velocity!$B:$B,$C264)/Assumptions!$B$4*Assumptions!$B$6</f>
        <v>0</v>
      </c>
      <c r="M264" s="7" t="n">
        <f aca="false">SUMIFS(Doors!Y:Y,Doors!$A:$A,$D264,Doors!$B:$B,$B264,Doors!$C:$C,$C264)*SUMIFS(Velocity!$I:$I,Velocity!$A:$A,$A264,Velocity!$B:$B,$C264)/Assumptions!$B$4*Assumptions!$B$6</f>
        <v>0</v>
      </c>
      <c r="N264" s="7" t="n">
        <f aca="false">SUMIFS(Doors!Z:Z,Doors!$A:$A,$D264,Doors!$B:$B,$B264,Doors!$C:$C,$C264)*SUMIFS(Velocity!$I:$I,Velocity!$A:$A,$A264,Velocity!$B:$B,$C264)/Assumptions!$B$4*Assumptions!$B$6</f>
        <v>0.304166666666667</v>
      </c>
      <c r="O264" s="7" t="n">
        <f aca="false">SUMIFS(Doors!AA:AA,Doors!$A:$A,$D264,Doors!$B:$B,$B264,Doors!$C:$C,$C264)*SUMIFS(Velocity!$I:$I,Velocity!$A:$A,$A264,Velocity!$B:$B,$C264)/Assumptions!$B$4*Assumptions!$B$6</f>
        <v>0.304166666666667</v>
      </c>
      <c r="P264" s="7" t="n">
        <f aca="false">SUMIFS(Doors!AB:AB,Doors!$A:$A,$D264,Doors!$B:$B,$B264,Doors!$C:$C,$C264)*SUMIFS(Velocity!$I:$I,Velocity!$A:$A,$A264,Velocity!$B:$B,$C264)/Assumptions!$B$4*Assumptions!$B$6</f>
        <v>0.304166666666667</v>
      </c>
      <c r="Q264" s="7" t="n">
        <f aca="false">SUMIFS(Doors!AC:AC,Doors!$A:$A,$D264,Doors!$B:$B,$B264,Doors!$C:$C,$C264)*SUMIFS(Velocity!$I:$I,Velocity!$A:$A,$A264,Velocity!$B:$B,$C264)/Assumptions!$B$4*Assumptions!$B$6</f>
        <v>0.304166666666667</v>
      </c>
      <c r="R264" s="7" t="n">
        <f aca="false">SUMIFS(Doors!AD:AD,Doors!$A:$A,$D264,Doors!$B:$B,$B264,Doors!$C:$C,$C264)*SUMIFS(Velocity!$I:$I,Velocity!$A:$A,$A264,Velocity!$B:$B,$C264)/Assumptions!$B$4*Assumptions!$B$6</f>
        <v>0.304166666666667</v>
      </c>
      <c r="S264" s="7" t="n">
        <f aca="false">SUMIFS(Doors!AE:AE,Doors!$A:$A,$D264,Doors!$B:$B,$B264,Doors!$C:$C,$C264)*SUMIFS(Velocity!$I:$I,Velocity!$A:$A,$A264,Velocity!$B:$B,$C264)/Assumptions!$B$4*Assumptions!$B$6</f>
        <v>0.304166666666667</v>
      </c>
      <c r="T264" s="7" t="n">
        <f aca="false">SUMIFS(Doors!AF:AF,Doors!$A:$A,$D264,Doors!$B:$B,$B264,Doors!$C:$C,$C264)*SUMIFS(Velocity!$I:$I,Velocity!$A:$A,$A264,Velocity!$B:$B,$C264)/Assumptions!$B$4*Assumptions!$B$6</f>
        <v>0.304166666666667</v>
      </c>
      <c r="U264" s="7" t="n">
        <f aca="false">SUMIFS(Doors!AG:AG,Doors!$A:$A,$D264,Doors!$B:$B,$B264,Doors!$C:$C,$C264)*SUMIFS(Velocity!$I:$I,Velocity!$A:$A,$A264,Velocity!$B:$B,$C264)/Assumptions!$B$4*Assumptions!$B$6</f>
        <v>0.304166666666667</v>
      </c>
      <c r="V264" s="7" t="n">
        <f aca="false">SUMIFS(Doors!AH:AH,Doors!$A:$A,$D264,Doors!$B:$B,$B264,Doors!$C:$C,$C264)*SUMIFS(Velocity!$I:$I,Velocity!$A:$A,$A264,Velocity!$B:$B,$C264)/Assumptions!$B$4*Assumptions!$B$6</f>
        <v>0.304166666666667</v>
      </c>
      <c r="W264" s="7" t="n">
        <f aca="false">SUMIFS(Doors!AI:AI,Doors!$A:$A,$D264,Doors!$B:$B,$B264,Doors!$C:$C,$C264)*SUMIFS(Velocity!$I:$I,Velocity!$A:$A,$A264,Velocity!$B:$B,$C264)/Assumptions!$B$4*Assumptions!$B$6</f>
        <v>0.608333333333333</v>
      </c>
      <c r="X264" s="7" t="n">
        <f aca="false">SUMIFS(Doors!AJ:AJ,Doors!$A:$A,$D264,Doors!$B:$B,$B264,Doors!$C:$C,$C264)*SUMIFS(Velocity!$I:$I,Velocity!$A:$A,$A264,Velocity!$B:$B,$C264)/Assumptions!$B$4*Assumptions!$B$6</f>
        <v>0.608333333333333</v>
      </c>
      <c r="Y264" s="7" t="n">
        <f aca="false">SUMIFS(Doors!AK:AK,Doors!$A:$A,$D264,Doors!$B:$B,$B264,Doors!$C:$C,$C264)*SUMIFS(Velocity!$I:$I,Velocity!$A:$A,$A264,Velocity!$B:$B,$C264)/Assumptions!$B$4*Assumptions!$B$6</f>
        <v>0.608333333333333</v>
      </c>
      <c r="Z264" s="7" t="n">
        <f aca="false">SUMIFS(Doors!AL:AL,Doors!$A:$A,$D264,Doors!$B:$B,$B264,Doors!$C:$C,$C264)*SUMIFS(Velocity!$I:$I,Velocity!$A:$A,$A264,Velocity!$B:$B,$C264)/Assumptions!$B$4*Assumptions!$B$6</f>
        <v>0.608333333333333</v>
      </c>
      <c r="AA264" s="7" t="n">
        <f aca="false">SUMIFS(Doors!AM:AM,Doors!$A:$A,$D264,Doors!$B:$B,$B264,Doors!$C:$C,$C264)*SUMIFS(Velocity!$I:$I,Velocity!$A:$A,$A264,Velocity!$B:$B,$C264)/Assumptions!$B$4*Assumptions!$B$6</f>
        <v>0.608333333333333</v>
      </c>
      <c r="AB264" s="7" t="n">
        <f aca="false">SUMIFS(Doors!AN:AN,Doors!$A:$A,$D264,Doors!$B:$B,$B264,Doors!$C:$C,$C264)*SUMIFS(Velocity!$I:$I,Velocity!$A:$A,$A264,Velocity!$B:$B,$C264)/Assumptions!$B$4*Assumptions!$B$6</f>
        <v>0.608333333333333</v>
      </c>
      <c r="AC264" s="7" t="n">
        <f aca="false">SUMIFS(Doors!AO:AO,Doors!$A:$A,$D264,Doors!$B:$B,$B264,Doors!$C:$C,$C264)*SUMIFS(Velocity!$I:$I,Velocity!$A:$A,$A264,Velocity!$B:$B,$C264)/Assumptions!$B$4*Assumptions!$B$6</f>
        <v>0.608333333333333</v>
      </c>
      <c r="AD264" s="7" t="n">
        <f aca="false">SUMIFS(Doors!AP:AP,Doors!$A:$A,$D264,Doors!$B:$B,$B264,Doors!$C:$C,$C264)*SUMIFS(Velocity!$I:$I,Velocity!$A:$A,$A264,Velocity!$B:$B,$C264)/Assumptions!$B$4*Assumptions!$B$6</f>
        <v>0.608333333333333</v>
      </c>
      <c r="AE264" s="7" t="n">
        <f aca="false">SUMIFS(Doors!AQ:AQ,Doors!$A:$A,$D264,Doors!$B:$B,$B264,Doors!$C:$C,$C264)*SUMIFS(Velocity!$I:$I,Velocity!$A:$A,$A264,Velocity!$B:$B,$C264)/Assumptions!$B$4*Assumptions!$B$6</f>
        <v>0.608333333333333</v>
      </c>
      <c r="AF264" s="7" t="n">
        <f aca="false">SUMIFS(Doors!AR:AR,Doors!$A:$A,$D264,Doors!$B:$B,$B264,Doors!$C:$C,$C264)*SUMIFS(Velocity!$I:$I,Velocity!$A:$A,$A264,Velocity!$B:$B,$C264)/Assumptions!$B$4*Assumptions!$B$6</f>
        <v>0.608333333333333</v>
      </c>
      <c r="AG264" s="7" t="n">
        <f aca="false">SUMIFS(Doors!AS:AS,Doors!$A:$A,$D264,Doors!$B:$B,$B264,Doors!$C:$C,$C264)*SUMIFS(Velocity!$I:$I,Velocity!$A:$A,$A264,Velocity!$B:$B,$C264)/Assumptions!$B$4*Assumptions!$B$6</f>
        <v>0.608333333333333</v>
      </c>
      <c r="AH264" s="7" t="n">
        <f aca="false">SUMIFS(Doors!AT:AT,Doors!$A:$A,$D264,Doors!$B:$B,$B264,Doors!$C:$C,$C264)*SUMIFS(Velocity!$I:$I,Velocity!$A:$A,$A264,Velocity!$B:$B,$C264)/Assumptions!$B$4*Assumptions!$B$6</f>
        <v>0.608333333333333</v>
      </c>
      <c r="AI264" s="7" t="n">
        <f aca="false">SUMIFS(Doors!AU:AU,Doors!$A:$A,$D264,Doors!$B:$B,$B264,Doors!$C:$C,$C264)*SUMIFS(Velocity!$I:$I,Velocity!$A:$A,$A264,Velocity!$B:$B,$C264)/Assumptions!$B$4*Assumptions!$B$6</f>
        <v>0.608333333333333</v>
      </c>
      <c r="AJ264" s="7" t="n">
        <f aca="false">SUMIFS(Doors!AV:AV,Doors!$A:$A,$D264,Doors!$B:$B,$B264,Doors!$C:$C,$C264)*SUMIFS(Velocity!$I:$I,Velocity!$A:$A,$A264,Velocity!$B:$B,$C264)/Assumptions!$B$4*Assumptions!$B$6</f>
        <v>0.9125</v>
      </c>
      <c r="AK264" s="7" t="n">
        <f aca="false">SUMIFS(Doors!AW:AW,Doors!$A:$A,$D264,Doors!$B:$B,$B264,Doors!$C:$C,$C264)*SUMIFS(Velocity!$I:$I,Velocity!$A:$A,$A264,Velocity!$B:$B,$C264)/Assumptions!$B$4*Assumptions!$B$6</f>
        <v>0.9125</v>
      </c>
      <c r="AL264" s="7" t="n">
        <f aca="false">SUMIFS(Doors!AX:AX,Doors!$A:$A,$D264,Doors!$B:$B,$B264,Doors!$C:$C,$C264)*SUMIFS(Velocity!$I:$I,Velocity!$A:$A,$A264,Velocity!$B:$B,$C264)/Assumptions!$B$4*Assumptions!$B$6</f>
        <v>0.9125</v>
      </c>
      <c r="AM264" s="7" t="n">
        <f aca="false">SUMIFS(Doors!AY:AY,Doors!$A:$A,$D264,Doors!$B:$B,$B264,Doors!$C:$C,$C264)*SUMIFS(Velocity!$I:$I,Velocity!$A:$A,$A264,Velocity!$B:$B,$C264)/Assumptions!$B$4*Assumptions!$B$6</f>
        <v>0.9125</v>
      </c>
      <c r="AN264" s="7" t="n">
        <f aca="false">SUMIFS(Doors!AZ:AZ,Doors!$A:$A,$D264,Doors!$B:$B,$B264,Doors!$C:$C,$C264)*SUMIFS(Velocity!$I:$I,Velocity!$A:$A,$A264,Velocity!$B:$B,$C264)/Assumptions!$B$4*Assumptions!$B$6</f>
        <v>0.9125</v>
      </c>
      <c r="AO264" s="7" t="n">
        <f aca="false">SUMIFS(Doors!BA:BA,Doors!$A:$A,$D264,Doors!$B:$B,$B264,Doors!$C:$C,$C264)*SUMIFS(Velocity!$I:$I,Velocity!$A:$A,$A264,Velocity!$B:$B,$C264)/Assumptions!$B$4*Assumptions!$B$6</f>
        <v>0.9125</v>
      </c>
      <c r="AP264" s="7" t="n">
        <f aca="false">SUMIFS(Doors!BB:BB,Doors!$A:$A,$D264,Doors!$B:$B,$B264,Doors!$C:$C,$C264)*SUMIFS(Velocity!$I:$I,Velocity!$A:$A,$A264,Velocity!$B:$B,$C264)/Assumptions!$B$4*Assumptions!$B$6</f>
        <v>0.9125</v>
      </c>
      <c r="AQ264" s="7" t="n">
        <f aca="false">SUMIFS(Doors!BC:BC,Doors!$A:$A,$D264,Doors!$B:$B,$B264,Doors!$C:$C,$C264)*SUMIFS(Velocity!$I:$I,Velocity!$A:$A,$A264,Velocity!$B:$B,$C264)/Assumptions!$B$4*Assumptions!$B$6</f>
        <v>0.9125</v>
      </c>
      <c r="AR264" s="7" t="n">
        <f aca="false">SUMIFS(Doors!BD:BD,Doors!$A:$A,$D264,Doors!$B:$B,$B264,Doors!$C:$C,$C264)*SUMIFS(Velocity!$I:$I,Velocity!$A:$A,$A264,Velocity!$B:$B,$C264)/Assumptions!$B$4*Assumptions!$B$6</f>
        <v>0.9125</v>
      </c>
      <c r="AS264" s="7" t="n">
        <f aca="false">SUMIFS(Doors!BE:BE,Doors!$A:$A,$D264,Doors!$B:$B,$B264,Doors!$C:$C,$C264)*SUMIFS(Velocity!$I:$I,Velocity!$A:$A,$A264,Velocity!$B:$B,$C264)/Assumptions!$B$4*Assumptions!$B$6</f>
        <v>0.9125</v>
      </c>
      <c r="AT264" s="7" t="n">
        <f aca="false">SUMIFS(Doors!BF:BF,Doors!$A:$A,$D264,Doors!$B:$B,$B264,Doors!$C:$C,$C264)*SUMIFS(Velocity!$I:$I,Velocity!$A:$A,$A264,Velocity!$B:$B,$C264)/Assumptions!$B$4*Assumptions!$B$6</f>
        <v>0.9125</v>
      </c>
      <c r="AU264" s="7" t="n">
        <f aca="false">SUMIFS(Doors!BG:BG,Doors!$A:$A,$D264,Doors!$B:$B,$B264,Doors!$C:$C,$C264)*SUMIFS(Velocity!$I:$I,Velocity!$A:$A,$A264,Velocity!$B:$B,$C264)/Assumptions!$B$4*Assumptions!$B$6</f>
        <v>0.9125</v>
      </c>
      <c r="AV264" s="7" t="n">
        <f aca="false">SUMIFS(Doors!BH:BH,Doors!$A:$A,$D264,Doors!$B:$B,$B264,Doors!$C:$C,$C264)*SUMIFS(Velocity!$I:$I,Velocity!$A:$A,$A264,Velocity!$B:$B,$C264)/Assumptions!$B$4*Assumptions!$B$6</f>
        <v>0.9125</v>
      </c>
      <c r="AW264" s="7" t="n">
        <f aca="false">SUMIFS(Doors!BI:BI,Doors!$A:$A,$D264,Doors!$B:$B,$B264,Doors!$C:$C,$C264)*SUMIFS(Velocity!$I:$I,Velocity!$A:$A,$A264,Velocity!$B:$B,$C264)/Assumptions!$B$4*Assumptions!$B$6</f>
        <v>0.9125</v>
      </c>
      <c r="AX264" s="7" t="n">
        <f aca="false">SUMIFS(Doors!BJ:BJ,Doors!$A:$A,$D264,Doors!$B:$B,$B264,Doors!$C:$C,$C264)*SUMIFS(Velocity!$I:$I,Velocity!$A:$A,$A264,Velocity!$B:$B,$C264)/Assumptions!$B$4*Assumptions!$B$6</f>
        <v>0.9125</v>
      </c>
      <c r="AY264" s="7" t="n">
        <f aca="false">SUMIFS(Doors!BK:BK,Doors!$A:$A,$D264,Doors!$B:$B,$B264,Doors!$C:$C,$C264)*SUMIFS(Velocity!$I:$I,Velocity!$A:$A,$A264,Velocity!$B:$B,$C264)/Assumptions!$B$4*Assumptions!$B$6</f>
        <v>0.9125</v>
      </c>
      <c r="AZ264" s="7" t="n">
        <f aca="false">SUMIFS(Doors!BL:BL,Doors!$A:$A,$D264,Doors!$B:$B,$B264,Doors!$C:$C,$C264)*SUMIFS(Velocity!$I:$I,Velocity!$A:$A,$A264,Velocity!$B:$B,$C264)/Assumptions!$B$4*Assumptions!$B$6</f>
        <v>0.9125</v>
      </c>
      <c r="BA264" s="7" t="n">
        <f aca="false">SUMIFS(Doors!BM:BM,Doors!$A:$A,$D264,Doors!$B:$B,$B264,Doors!$C:$C,$C264)*SUMIFS(Velocity!$I:$I,Velocity!$A:$A,$A264,Velocity!$B:$B,$C264)/Assumptions!$B$4*Assumptions!$B$6</f>
        <v>0.9125</v>
      </c>
      <c r="BB264" s="7" t="n">
        <f aca="false">SUMIFS(Doors!BN:BN,Doors!$A:$A,$D264,Doors!$B:$B,$B264,Doors!$C:$C,$C264)*SUMIFS(Velocity!$I:$I,Velocity!$A:$A,$A264,Velocity!$B:$B,$C264)/Assumptions!$B$4*Assumptions!$B$6</f>
        <v>0.9125</v>
      </c>
      <c r="BC264" s="7" t="n">
        <f aca="false">SUMIFS(Doors!BO:BO,Doors!$A:$A,$D264,Doors!$B:$B,$B264,Doors!$C:$C,$C264)*SUMIFS(Velocity!$I:$I,Velocity!$A:$A,$A264,Velocity!$B:$B,$C264)/Assumptions!$B$4*Assumptions!$B$6</f>
        <v>0.9125</v>
      </c>
      <c r="BD264" s="7" t="n">
        <f aca="false">SUMIFS(Doors!BP:BP,Doors!$A:$A,$D264,Doors!$B:$B,$B264,Doors!$C:$C,$C264)*SUMIFS(Velocity!$I:$I,Velocity!$A:$A,$A264,Velocity!$B:$B,$C264)/Assumptions!$B$4*Assumptions!$B$6</f>
        <v>0.9125</v>
      </c>
    </row>
    <row r="265" customFormat="false" ht="15" hidden="false" customHeight="false" outlineLevel="0" collapsed="false">
      <c r="A265" s="0" t="s">
        <v>110</v>
      </c>
      <c r="B265" s="0" t="s">
        <v>134</v>
      </c>
      <c r="C265" s="0" t="s">
        <v>122</v>
      </c>
      <c r="D265" s="0" t="s">
        <v>235</v>
      </c>
      <c r="E265" s="7" t="n">
        <f aca="false">SUMIFS(Doors!Q:Q,Doors!$A:$A,$D265,Doors!$B:$B,$B265,Doors!$C:$C,$C265)*SUMIFS(Velocity!$I:$I,Velocity!$A:$A,$A265,Velocity!$B:$B,$C265)/Assumptions!$B$4*Assumptions!$B$6</f>
        <v>0</v>
      </c>
      <c r="F265" s="7" t="n">
        <f aca="false">SUMIFS(Doors!R:R,Doors!$A:$A,$D265,Doors!$B:$B,$B265,Doors!$C:$C,$C265)*SUMIFS(Velocity!$I:$I,Velocity!$A:$A,$A265,Velocity!$B:$B,$C265)/Assumptions!$B$4*Assumptions!$B$6</f>
        <v>0</v>
      </c>
      <c r="G265" s="7" t="n">
        <f aca="false">SUMIFS(Doors!S:S,Doors!$A:$A,$D265,Doors!$B:$B,$B265,Doors!$C:$C,$C265)*SUMIFS(Velocity!$I:$I,Velocity!$A:$A,$A265,Velocity!$B:$B,$C265)/Assumptions!$B$4*Assumptions!$B$6</f>
        <v>0</v>
      </c>
      <c r="H265" s="7" t="n">
        <f aca="false">SUMIFS(Doors!T:T,Doors!$A:$A,$D265,Doors!$B:$B,$B265,Doors!$C:$C,$C265)*SUMIFS(Velocity!$I:$I,Velocity!$A:$A,$A265,Velocity!$B:$B,$C265)/Assumptions!$B$4*Assumptions!$B$6</f>
        <v>0</v>
      </c>
      <c r="I265" s="7" t="n">
        <f aca="false">SUMIFS(Doors!U:U,Doors!$A:$A,$D265,Doors!$B:$B,$B265,Doors!$C:$C,$C265)*SUMIFS(Velocity!$I:$I,Velocity!$A:$A,$A265,Velocity!$B:$B,$C265)/Assumptions!$B$4*Assumptions!$B$6</f>
        <v>0</v>
      </c>
      <c r="J265" s="7" t="n">
        <f aca="false">SUMIFS(Doors!V:V,Doors!$A:$A,$D265,Doors!$B:$B,$B265,Doors!$C:$C,$C265)*SUMIFS(Velocity!$I:$I,Velocity!$A:$A,$A265,Velocity!$B:$B,$C265)/Assumptions!$B$4*Assumptions!$B$6</f>
        <v>0</v>
      </c>
      <c r="K265" s="7" t="n">
        <f aca="false">SUMIFS(Doors!W:W,Doors!$A:$A,$D265,Doors!$B:$B,$B265,Doors!$C:$C,$C265)*SUMIFS(Velocity!$I:$I,Velocity!$A:$A,$A265,Velocity!$B:$B,$C265)/Assumptions!$B$4*Assumptions!$B$6</f>
        <v>0</v>
      </c>
      <c r="L265" s="7" t="n">
        <f aca="false">SUMIFS(Doors!X:X,Doors!$A:$A,$D265,Doors!$B:$B,$B265,Doors!$C:$C,$C265)*SUMIFS(Velocity!$I:$I,Velocity!$A:$A,$A265,Velocity!$B:$B,$C265)/Assumptions!$B$4*Assumptions!$B$6</f>
        <v>0</v>
      </c>
      <c r="M265" s="7" t="n">
        <f aca="false">SUMIFS(Doors!Y:Y,Doors!$A:$A,$D265,Doors!$B:$B,$B265,Doors!$C:$C,$C265)*SUMIFS(Velocity!$I:$I,Velocity!$A:$A,$A265,Velocity!$B:$B,$C265)/Assumptions!$B$4*Assumptions!$B$6</f>
        <v>0</v>
      </c>
      <c r="N265" s="7" t="n">
        <f aca="false">SUMIFS(Doors!Z:Z,Doors!$A:$A,$D265,Doors!$B:$B,$B265,Doors!$C:$C,$C265)*SUMIFS(Velocity!$I:$I,Velocity!$A:$A,$A265,Velocity!$B:$B,$C265)/Assumptions!$B$4*Assumptions!$B$6</f>
        <v>0</v>
      </c>
      <c r="O265" s="7" t="n">
        <f aca="false">SUMIFS(Doors!AA:AA,Doors!$A:$A,$D265,Doors!$B:$B,$B265,Doors!$C:$C,$C265)*SUMIFS(Velocity!$I:$I,Velocity!$A:$A,$A265,Velocity!$B:$B,$C265)/Assumptions!$B$4*Assumptions!$B$6</f>
        <v>0</v>
      </c>
      <c r="P265" s="7" t="n">
        <f aca="false">SUMIFS(Doors!AB:AB,Doors!$A:$A,$D265,Doors!$B:$B,$B265,Doors!$C:$C,$C265)*SUMIFS(Velocity!$I:$I,Velocity!$A:$A,$A265,Velocity!$B:$B,$C265)/Assumptions!$B$4*Assumptions!$B$6</f>
        <v>0</v>
      </c>
      <c r="Q265" s="7" t="n">
        <f aca="false">SUMIFS(Doors!AC:AC,Doors!$A:$A,$D265,Doors!$B:$B,$B265,Doors!$C:$C,$C265)*SUMIFS(Velocity!$I:$I,Velocity!$A:$A,$A265,Velocity!$B:$B,$C265)/Assumptions!$B$4*Assumptions!$B$6</f>
        <v>0</v>
      </c>
      <c r="R265" s="7" t="n">
        <f aca="false">SUMIFS(Doors!AD:AD,Doors!$A:$A,$D265,Doors!$B:$B,$B265,Doors!$C:$C,$C265)*SUMIFS(Velocity!$I:$I,Velocity!$A:$A,$A265,Velocity!$B:$B,$C265)/Assumptions!$B$4*Assumptions!$B$6</f>
        <v>0</v>
      </c>
      <c r="S265" s="7" t="n">
        <f aca="false">SUMIFS(Doors!AE:AE,Doors!$A:$A,$D265,Doors!$B:$B,$B265,Doors!$C:$C,$C265)*SUMIFS(Velocity!$I:$I,Velocity!$A:$A,$A265,Velocity!$B:$B,$C265)/Assumptions!$B$4*Assumptions!$B$6</f>
        <v>0</v>
      </c>
      <c r="T265" s="7" t="n">
        <f aca="false">SUMIFS(Doors!AF:AF,Doors!$A:$A,$D265,Doors!$B:$B,$B265,Doors!$C:$C,$C265)*SUMIFS(Velocity!$I:$I,Velocity!$A:$A,$A265,Velocity!$B:$B,$C265)/Assumptions!$B$4*Assumptions!$B$6</f>
        <v>0</v>
      </c>
      <c r="U265" s="7" t="n">
        <f aca="false">SUMIFS(Doors!AG:AG,Doors!$A:$A,$D265,Doors!$B:$B,$B265,Doors!$C:$C,$C265)*SUMIFS(Velocity!$I:$I,Velocity!$A:$A,$A265,Velocity!$B:$B,$C265)/Assumptions!$B$4*Assumptions!$B$6</f>
        <v>0</v>
      </c>
      <c r="V265" s="7" t="n">
        <f aca="false">SUMIFS(Doors!AH:AH,Doors!$A:$A,$D265,Doors!$B:$B,$B265,Doors!$C:$C,$C265)*SUMIFS(Velocity!$I:$I,Velocity!$A:$A,$A265,Velocity!$B:$B,$C265)/Assumptions!$B$4*Assumptions!$B$6</f>
        <v>0</v>
      </c>
      <c r="W265" s="7" t="n">
        <f aca="false">SUMIFS(Doors!AI:AI,Doors!$A:$A,$D265,Doors!$B:$B,$B265,Doors!$C:$C,$C265)*SUMIFS(Velocity!$I:$I,Velocity!$A:$A,$A265,Velocity!$B:$B,$C265)/Assumptions!$B$4*Assumptions!$B$6</f>
        <v>0</v>
      </c>
      <c r="X265" s="7" t="n">
        <f aca="false">SUMIFS(Doors!AJ:AJ,Doors!$A:$A,$D265,Doors!$B:$B,$B265,Doors!$C:$C,$C265)*SUMIFS(Velocity!$I:$I,Velocity!$A:$A,$A265,Velocity!$B:$B,$C265)/Assumptions!$B$4*Assumptions!$B$6</f>
        <v>0</v>
      </c>
      <c r="Y265" s="7" t="n">
        <f aca="false">SUMIFS(Doors!AK:AK,Doors!$A:$A,$D265,Doors!$B:$B,$B265,Doors!$C:$C,$C265)*SUMIFS(Velocity!$I:$I,Velocity!$A:$A,$A265,Velocity!$B:$B,$C265)/Assumptions!$B$4*Assumptions!$B$6</f>
        <v>0</v>
      </c>
      <c r="Z265" s="7" t="n">
        <f aca="false">SUMIFS(Doors!AL:AL,Doors!$A:$A,$D265,Doors!$B:$B,$B265,Doors!$C:$C,$C265)*SUMIFS(Velocity!$I:$I,Velocity!$A:$A,$A265,Velocity!$B:$B,$C265)/Assumptions!$B$4*Assumptions!$B$6</f>
        <v>0</v>
      </c>
      <c r="AA265" s="7" t="n">
        <f aca="false">SUMIFS(Doors!AM:AM,Doors!$A:$A,$D265,Doors!$B:$B,$B265,Doors!$C:$C,$C265)*SUMIFS(Velocity!$I:$I,Velocity!$A:$A,$A265,Velocity!$B:$B,$C265)/Assumptions!$B$4*Assumptions!$B$6</f>
        <v>0</v>
      </c>
      <c r="AB265" s="7" t="n">
        <f aca="false">SUMIFS(Doors!AN:AN,Doors!$A:$A,$D265,Doors!$B:$B,$B265,Doors!$C:$C,$C265)*SUMIFS(Velocity!$I:$I,Velocity!$A:$A,$A265,Velocity!$B:$B,$C265)/Assumptions!$B$4*Assumptions!$B$6</f>
        <v>0</v>
      </c>
      <c r="AC265" s="7" t="n">
        <f aca="false">SUMIFS(Doors!AO:AO,Doors!$A:$A,$D265,Doors!$B:$B,$B265,Doors!$C:$C,$C265)*SUMIFS(Velocity!$I:$I,Velocity!$A:$A,$A265,Velocity!$B:$B,$C265)/Assumptions!$B$4*Assumptions!$B$6</f>
        <v>0</v>
      </c>
      <c r="AD265" s="7" t="n">
        <f aca="false">SUMIFS(Doors!AP:AP,Doors!$A:$A,$D265,Doors!$B:$B,$B265,Doors!$C:$C,$C265)*SUMIFS(Velocity!$I:$I,Velocity!$A:$A,$A265,Velocity!$B:$B,$C265)/Assumptions!$B$4*Assumptions!$B$6</f>
        <v>0</v>
      </c>
      <c r="AE265" s="7" t="n">
        <f aca="false">SUMIFS(Doors!AQ:AQ,Doors!$A:$A,$D265,Doors!$B:$B,$B265,Doors!$C:$C,$C265)*SUMIFS(Velocity!$I:$I,Velocity!$A:$A,$A265,Velocity!$B:$B,$C265)/Assumptions!$B$4*Assumptions!$B$6</f>
        <v>0</v>
      </c>
      <c r="AF265" s="7" t="n">
        <f aca="false">SUMIFS(Doors!AR:AR,Doors!$A:$A,$D265,Doors!$B:$B,$B265,Doors!$C:$C,$C265)*SUMIFS(Velocity!$I:$I,Velocity!$A:$A,$A265,Velocity!$B:$B,$C265)/Assumptions!$B$4*Assumptions!$B$6</f>
        <v>0</v>
      </c>
      <c r="AG265" s="7" t="n">
        <f aca="false">SUMIFS(Doors!AS:AS,Doors!$A:$A,$D265,Doors!$B:$B,$B265,Doors!$C:$C,$C265)*SUMIFS(Velocity!$I:$I,Velocity!$A:$A,$A265,Velocity!$B:$B,$C265)/Assumptions!$B$4*Assumptions!$B$6</f>
        <v>0</v>
      </c>
      <c r="AH265" s="7" t="n">
        <f aca="false">SUMIFS(Doors!AT:AT,Doors!$A:$A,$D265,Doors!$B:$B,$B265,Doors!$C:$C,$C265)*SUMIFS(Velocity!$I:$I,Velocity!$A:$A,$A265,Velocity!$B:$B,$C265)/Assumptions!$B$4*Assumptions!$B$6</f>
        <v>0</v>
      </c>
      <c r="AI265" s="7" t="n">
        <f aca="false">SUMIFS(Doors!AU:AU,Doors!$A:$A,$D265,Doors!$B:$B,$B265,Doors!$C:$C,$C265)*SUMIFS(Velocity!$I:$I,Velocity!$A:$A,$A265,Velocity!$B:$B,$C265)/Assumptions!$B$4*Assumptions!$B$6</f>
        <v>0</v>
      </c>
      <c r="AJ265" s="7" t="n">
        <f aca="false">SUMIFS(Doors!AV:AV,Doors!$A:$A,$D265,Doors!$B:$B,$B265,Doors!$C:$C,$C265)*SUMIFS(Velocity!$I:$I,Velocity!$A:$A,$A265,Velocity!$B:$B,$C265)/Assumptions!$B$4*Assumptions!$B$6</f>
        <v>0</v>
      </c>
      <c r="AK265" s="7" t="n">
        <f aca="false">SUMIFS(Doors!AW:AW,Doors!$A:$A,$D265,Doors!$B:$B,$B265,Doors!$C:$C,$C265)*SUMIFS(Velocity!$I:$I,Velocity!$A:$A,$A265,Velocity!$B:$B,$C265)/Assumptions!$B$4*Assumptions!$B$6</f>
        <v>0</v>
      </c>
      <c r="AL265" s="7" t="n">
        <f aca="false">SUMIFS(Doors!AX:AX,Doors!$A:$A,$D265,Doors!$B:$B,$B265,Doors!$C:$C,$C265)*SUMIFS(Velocity!$I:$I,Velocity!$A:$A,$A265,Velocity!$B:$B,$C265)/Assumptions!$B$4*Assumptions!$B$6</f>
        <v>0</v>
      </c>
      <c r="AM265" s="7" t="n">
        <f aca="false">SUMIFS(Doors!AY:AY,Doors!$A:$A,$D265,Doors!$B:$B,$B265,Doors!$C:$C,$C265)*SUMIFS(Velocity!$I:$I,Velocity!$A:$A,$A265,Velocity!$B:$B,$C265)/Assumptions!$B$4*Assumptions!$B$6</f>
        <v>0</v>
      </c>
      <c r="AN265" s="7" t="n">
        <f aca="false">SUMIFS(Doors!AZ:AZ,Doors!$A:$A,$D265,Doors!$B:$B,$B265,Doors!$C:$C,$C265)*SUMIFS(Velocity!$I:$I,Velocity!$A:$A,$A265,Velocity!$B:$B,$C265)/Assumptions!$B$4*Assumptions!$B$6</f>
        <v>0</v>
      </c>
      <c r="AO265" s="7" t="n">
        <f aca="false">SUMIFS(Doors!BA:BA,Doors!$A:$A,$D265,Doors!$B:$B,$B265,Doors!$C:$C,$C265)*SUMIFS(Velocity!$I:$I,Velocity!$A:$A,$A265,Velocity!$B:$B,$C265)/Assumptions!$B$4*Assumptions!$B$6</f>
        <v>0</v>
      </c>
      <c r="AP265" s="7" t="n">
        <f aca="false">SUMIFS(Doors!BB:BB,Doors!$A:$A,$D265,Doors!$B:$B,$B265,Doors!$C:$C,$C265)*SUMIFS(Velocity!$I:$I,Velocity!$A:$A,$A265,Velocity!$B:$B,$C265)/Assumptions!$B$4*Assumptions!$B$6</f>
        <v>0</v>
      </c>
      <c r="AQ265" s="7" t="n">
        <f aca="false">SUMIFS(Doors!BC:BC,Doors!$A:$A,$D265,Doors!$B:$B,$B265,Doors!$C:$C,$C265)*SUMIFS(Velocity!$I:$I,Velocity!$A:$A,$A265,Velocity!$B:$B,$C265)/Assumptions!$B$4*Assumptions!$B$6</f>
        <v>0</v>
      </c>
      <c r="AR265" s="7" t="n">
        <f aca="false">SUMIFS(Doors!BD:BD,Doors!$A:$A,$D265,Doors!$B:$B,$B265,Doors!$C:$C,$C265)*SUMIFS(Velocity!$I:$I,Velocity!$A:$A,$A265,Velocity!$B:$B,$C265)/Assumptions!$B$4*Assumptions!$B$6</f>
        <v>0</v>
      </c>
      <c r="AS265" s="7" t="n">
        <f aca="false">SUMIFS(Doors!BE:BE,Doors!$A:$A,$D265,Doors!$B:$B,$B265,Doors!$C:$C,$C265)*SUMIFS(Velocity!$I:$I,Velocity!$A:$A,$A265,Velocity!$B:$B,$C265)/Assumptions!$B$4*Assumptions!$B$6</f>
        <v>0</v>
      </c>
      <c r="AT265" s="7" t="n">
        <f aca="false">SUMIFS(Doors!BF:BF,Doors!$A:$A,$D265,Doors!$B:$B,$B265,Doors!$C:$C,$C265)*SUMIFS(Velocity!$I:$I,Velocity!$A:$A,$A265,Velocity!$B:$B,$C265)/Assumptions!$B$4*Assumptions!$B$6</f>
        <v>0</v>
      </c>
      <c r="AU265" s="7" t="n">
        <f aca="false">SUMIFS(Doors!BG:BG,Doors!$A:$A,$D265,Doors!$B:$B,$B265,Doors!$C:$C,$C265)*SUMIFS(Velocity!$I:$I,Velocity!$A:$A,$A265,Velocity!$B:$B,$C265)/Assumptions!$B$4*Assumptions!$B$6</f>
        <v>0</v>
      </c>
      <c r="AV265" s="7" t="n">
        <f aca="false">SUMIFS(Doors!BH:BH,Doors!$A:$A,$D265,Doors!$B:$B,$B265,Doors!$C:$C,$C265)*SUMIFS(Velocity!$I:$I,Velocity!$A:$A,$A265,Velocity!$B:$B,$C265)/Assumptions!$B$4*Assumptions!$B$6</f>
        <v>0</v>
      </c>
      <c r="AW265" s="7" t="n">
        <f aca="false">SUMIFS(Doors!BI:BI,Doors!$A:$A,$D265,Doors!$B:$B,$B265,Doors!$C:$C,$C265)*SUMIFS(Velocity!$I:$I,Velocity!$A:$A,$A265,Velocity!$B:$B,$C265)/Assumptions!$B$4*Assumptions!$B$6</f>
        <v>0</v>
      </c>
      <c r="AX265" s="7" t="n">
        <f aca="false">SUMIFS(Doors!BJ:BJ,Doors!$A:$A,$D265,Doors!$B:$B,$B265,Doors!$C:$C,$C265)*SUMIFS(Velocity!$I:$I,Velocity!$A:$A,$A265,Velocity!$B:$B,$C265)/Assumptions!$B$4*Assumptions!$B$6</f>
        <v>0</v>
      </c>
      <c r="AY265" s="7" t="n">
        <f aca="false">SUMIFS(Doors!BK:BK,Doors!$A:$A,$D265,Doors!$B:$B,$B265,Doors!$C:$C,$C265)*SUMIFS(Velocity!$I:$I,Velocity!$A:$A,$A265,Velocity!$B:$B,$C265)/Assumptions!$B$4*Assumptions!$B$6</f>
        <v>0</v>
      </c>
      <c r="AZ265" s="7" t="n">
        <f aca="false">SUMIFS(Doors!BL:BL,Doors!$A:$A,$D265,Doors!$B:$B,$B265,Doors!$C:$C,$C265)*SUMIFS(Velocity!$I:$I,Velocity!$A:$A,$A265,Velocity!$B:$B,$C265)/Assumptions!$B$4*Assumptions!$B$6</f>
        <v>0</v>
      </c>
      <c r="BA265" s="7" t="n">
        <f aca="false">SUMIFS(Doors!BM:BM,Doors!$A:$A,$D265,Doors!$B:$B,$B265,Doors!$C:$C,$C265)*SUMIFS(Velocity!$I:$I,Velocity!$A:$A,$A265,Velocity!$B:$B,$C265)/Assumptions!$B$4*Assumptions!$B$6</f>
        <v>0</v>
      </c>
      <c r="BB265" s="7" t="n">
        <f aca="false">SUMIFS(Doors!BN:BN,Doors!$A:$A,$D265,Doors!$B:$B,$B265,Doors!$C:$C,$C265)*SUMIFS(Velocity!$I:$I,Velocity!$A:$A,$A265,Velocity!$B:$B,$C265)/Assumptions!$B$4*Assumptions!$B$6</f>
        <v>0</v>
      </c>
      <c r="BC265" s="7" t="n">
        <f aca="false">SUMIFS(Doors!BO:BO,Doors!$A:$A,$D265,Doors!$B:$B,$B265,Doors!$C:$C,$C265)*SUMIFS(Velocity!$I:$I,Velocity!$A:$A,$A265,Velocity!$B:$B,$C265)/Assumptions!$B$4*Assumptions!$B$6</f>
        <v>0</v>
      </c>
      <c r="BD265" s="7" t="n">
        <f aca="false">SUMIFS(Doors!BP:BP,Doors!$A:$A,$D265,Doors!$B:$B,$B265,Doors!$C:$C,$C265)*SUMIFS(Velocity!$I:$I,Velocity!$A:$A,$A265,Velocity!$B:$B,$C265)/Assumptions!$B$4*Assumptions!$B$6</f>
        <v>0</v>
      </c>
    </row>
    <row r="266" customFormat="false" ht="15" hidden="false" customHeight="false" outlineLevel="0" collapsed="false">
      <c r="A266" s="0" t="s">
        <v>110</v>
      </c>
      <c r="B266" s="0" t="s">
        <v>134</v>
      </c>
      <c r="C266" s="0" t="s">
        <v>123</v>
      </c>
      <c r="D266" s="0" t="s">
        <v>235</v>
      </c>
      <c r="E266" s="7" t="n">
        <f aca="false">SUMIFS(Doors!Q:Q,Doors!$A:$A,$D266,Doors!$B:$B,$B266,Doors!$C:$C,$C266)*SUMIFS(Velocity!$I:$I,Velocity!$A:$A,$A266,Velocity!$B:$B,$C266)/Assumptions!$B$4*Assumptions!$B$6</f>
        <v>0</v>
      </c>
      <c r="F266" s="7" t="n">
        <f aca="false">SUMIFS(Doors!R:R,Doors!$A:$A,$D266,Doors!$B:$B,$B266,Doors!$C:$C,$C266)*SUMIFS(Velocity!$I:$I,Velocity!$A:$A,$A266,Velocity!$B:$B,$C266)/Assumptions!$B$4*Assumptions!$B$6</f>
        <v>0</v>
      </c>
      <c r="G266" s="7" t="n">
        <f aca="false">SUMIFS(Doors!S:S,Doors!$A:$A,$D266,Doors!$B:$B,$B266,Doors!$C:$C,$C266)*SUMIFS(Velocity!$I:$I,Velocity!$A:$A,$A266,Velocity!$B:$B,$C266)/Assumptions!$B$4*Assumptions!$B$6</f>
        <v>0</v>
      </c>
      <c r="H266" s="7" t="n">
        <f aca="false">SUMIFS(Doors!T:T,Doors!$A:$A,$D266,Doors!$B:$B,$B266,Doors!$C:$C,$C266)*SUMIFS(Velocity!$I:$I,Velocity!$A:$A,$A266,Velocity!$B:$B,$C266)/Assumptions!$B$4*Assumptions!$B$6</f>
        <v>0</v>
      </c>
      <c r="I266" s="7" t="n">
        <f aca="false">SUMIFS(Doors!U:U,Doors!$A:$A,$D266,Doors!$B:$B,$B266,Doors!$C:$C,$C266)*SUMIFS(Velocity!$I:$I,Velocity!$A:$A,$A266,Velocity!$B:$B,$C266)/Assumptions!$B$4*Assumptions!$B$6</f>
        <v>0</v>
      </c>
      <c r="J266" s="7" t="n">
        <f aca="false">SUMIFS(Doors!V:V,Doors!$A:$A,$D266,Doors!$B:$B,$B266,Doors!$C:$C,$C266)*SUMIFS(Velocity!$I:$I,Velocity!$A:$A,$A266,Velocity!$B:$B,$C266)/Assumptions!$B$4*Assumptions!$B$6</f>
        <v>0</v>
      </c>
      <c r="K266" s="7" t="n">
        <f aca="false">SUMIFS(Doors!W:W,Doors!$A:$A,$D266,Doors!$B:$B,$B266,Doors!$C:$C,$C266)*SUMIFS(Velocity!$I:$I,Velocity!$A:$A,$A266,Velocity!$B:$B,$C266)/Assumptions!$B$4*Assumptions!$B$6</f>
        <v>0</v>
      </c>
      <c r="L266" s="7" t="n">
        <f aca="false">SUMIFS(Doors!X:X,Doors!$A:$A,$D266,Doors!$B:$B,$B266,Doors!$C:$C,$C266)*SUMIFS(Velocity!$I:$I,Velocity!$A:$A,$A266,Velocity!$B:$B,$C266)/Assumptions!$B$4*Assumptions!$B$6</f>
        <v>0</v>
      </c>
      <c r="M266" s="7" t="n">
        <f aca="false">SUMIFS(Doors!Y:Y,Doors!$A:$A,$D266,Doors!$B:$B,$B266,Doors!$C:$C,$C266)*SUMIFS(Velocity!$I:$I,Velocity!$A:$A,$A266,Velocity!$B:$B,$C266)/Assumptions!$B$4*Assumptions!$B$6</f>
        <v>0</v>
      </c>
      <c r="N266" s="7" t="n">
        <f aca="false">SUMIFS(Doors!Z:Z,Doors!$A:$A,$D266,Doors!$B:$B,$B266,Doors!$C:$C,$C266)*SUMIFS(Velocity!$I:$I,Velocity!$A:$A,$A266,Velocity!$B:$B,$C266)/Assumptions!$B$4*Assumptions!$B$6</f>
        <v>0</v>
      </c>
      <c r="O266" s="7" t="n">
        <f aca="false">SUMIFS(Doors!AA:AA,Doors!$A:$A,$D266,Doors!$B:$B,$B266,Doors!$C:$C,$C266)*SUMIFS(Velocity!$I:$I,Velocity!$A:$A,$A266,Velocity!$B:$B,$C266)/Assumptions!$B$4*Assumptions!$B$6</f>
        <v>0</v>
      </c>
      <c r="P266" s="7" t="n">
        <f aca="false">SUMIFS(Doors!AB:AB,Doors!$A:$A,$D266,Doors!$B:$B,$B266,Doors!$C:$C,$C266)*SUMIFS(Velocity!$I:$I,Velocity!$A:$A,$A266,Velocity!$B:$B,$C266)/Assumptions!$B$4*Assumptions!$B$6</f>
        <v>0</v>
      </c>
      <c r="Q266" s="7" t="n">
        <f aca="false">SUMIFS(Doors!AC:AC,Doors!$A:$A,$D266,Doors!$B:$B,$B266,Doors!$C:$C,$C266)*SUMIFS(Velocity!$I:$I,Velocity!$A:$A,$A266,Velocity!$B:$B,$C266)/Assumptions!$B$4*Assumptions!$B$6</f>
        <v>0</v>
      </c>
      <c r="R266" s="7" t="n">
        <f aca="false">SUMIFS(Doors!AD:AD,Doors!$A:$A,$D266,Doors!$B:$B,$B266,Doors!$C:$C,$C266)*SUMIFS(Velocity!$I:$I,Velocity!$A:$A,$A266,Velocity!$B:$B,$C266)/Assumptions!$B$4*Assumptions!$B$6</f>
        <v>0</v>
      </c>
      <c r="S266" s="7" t="n">
        <f aca="false">SUMIFS(Doors!AE:AE,Doors!$A:$A,$D266,Doors!$B:$B,$B266,Doors!$C:$C,$C266)*SUMIFS(Velocity!$I:$I,Velocity!$A:$A,$A266,Velocity!$B:$B,$C266)/Assumptions!$B$4*Assumptions!$B$6</f>
        <v>0</v>
      </c>
      <c r="T266" s="7" t="n">
        <f aca="false">SUMIFS(Doors!AF:AF,Doors!$A:$A,$D266,Doors!$B:$B,$B266,Doors!$C:$C,$C266)*SUMIFS(Velocity!$I:$I,Velocity!$A:$A,$A266,Velocity!$B:$B,$C266)/Assumptions!$B$4*Assumptions!$B$6</f>
        <v>0</v>
      </c>
      <c r="U266" s="7" t="n">
        <f aca="false">SUMIFS(Doors!AG:AG,Doors!$A:$A,$D266,Doors!$B:$B,$B266,Doors!$C:$C,$C266)*SUMIFS(Velocity!$I:$I,Velocity!$A:$A,$A266,Velocity!$B:$B,$C266)/Assumptions!$B$4*Assumptions!$B$6</f>
        <v>0</v>
      </c>
      <c r="V266" s="7" t="n">
        <f aca="false">SUMIFS(Doors!AH:AH,Doors!$A:$A,$D266,Doors!$B:$B,$B266,Doors!$C:$C,$C266)*SUMIFS(Velocity!$I:$I,Velocity!$A:$A,$A266,Velocity!$B:$B,$C266)/Assumptions!$B$4*Assumptions!$B$6</f>
        <v>0</v>
      </c>
      <c r="W266" s="7" t="n">
        <f aca="false">SUMIFS(Doors!AI:AI,Doors!$A:$A,$D266,Doors!$B:$B,$B266,Doors!$C:$C,$C266)*SUMIFS(Velocity!$I:$I,Velocity!$A:$A,$A266,Velocity!$B:$B,$C266)/Assumptions!$B$4*Assumptions!$B$6</f>
        <v>0</v>
      </c>
      <c r="X266" s="7" t="n">
        <f aca="false">SUMIFS(Doors!AJ:AJ,Doors!$A:$A,$D266,Doors!$B:$B,$B266,Doors!$C:$C,$C266)*SUMIFS(Velocity!$I:$I,Velocity!$A:$A,$A266,Velocity!$B:$B,$C266)/Assumptions!$B$4*Assumptions!$B$6</f>
        <v>0</v>
      </c>
      <c r="Y266" s="7" t="n">
        <f aca="false">SUMIFS(Doors!AK:AK,Doors!$A:$A,$D266,Doors!$B:$B,$B266,Doors!$C:$C,$C266)*SUMIFS(Velocity!$I:$I,Velocity!$A:$A,$A266,Velocity!$B:$B,$C266)/Assumptions!$B$4*Assumptions!$B$6</f>
        <v>0</v>
      </c>
      <c r="Z266" s="7" t="n">
        <f aca="false">SUMIFS(Doors!AL:AL,Doors!$A:$A,$D266,Doors!$B:$B,$B266,Doors!$C:$C,$C266)*SUMIFS(Velocity!$I:$I,Velocity!$A:$A,$A266,Velocity!$B:$B,$C266)/Assumptions!$B$4*Assumptions!$B$6</f>
        <v>0</v>
      </c>
      <c r="AA266" s="7" t="n">
        <f aca="false">SUMIFS(Doors!AM:AM,Doors!$A:$A,$D266,Doors!$B:$B,$B266,Doors!$C:$C,$C266)*SUMIFS(Velocity!$I:$I,Velocity!$A:$A,$A266,Velocity!$B:$B,$C266)/Assumptions!$B$4*Assumptions!$B$6</f>
        <v>0</v>
      </c>
      <c r="AB266" s="7" t="n">
        <f aca="false">SUMIFS(Doors!AN:AN,Doors!$A:$A,$D266,Doors!$B:$B,$B266,Doors!$C:$C,$C266)*SUMIFS(Velocity!$I:$I,Velocity!$A:$A,$A266,Velocity!$B:$B,$C266)/Assumptions!$B$4*Assumptions!$B$6</f>
        <v>0</v>
      </c>
      <c r="AC266" s="7" t="n">
        <f aca="false">SUMIFS(Doors!AO:AO,Doors!$A:$A,$D266,Doors!$B:$B,$B266,Doors!$C:$C,$C266)*SUMIFS(Velocity!$I:$I,Velocity!$A:$A,$A266,Velocity!$B:$B,$C266)/Assumptions!$B$4*Assumptions!$B$6</f>
        <v>0</v>
      </c>
      <c r="AD266" s="7" t="n">
        <f aca="false">SUMIFS(Doors!AP:AP,Doors!$A:$A,$D266,Doors!$B:$B,$B266,Doors!$C:$C,$C266)*SUMIFS(Velocity!$I:$I,Velocity!$A:$A,$A266,Velocity!$B:$B,$C266)/Assumptions!$B$4*Assumptions!$B$6</f>
        <v>0</v>
      </c>
      <c r="AE266" s="7" t="n">
        <f aca="false">SUMIFS(Doors!AQ:AQ,Doors!$A:$A,$D266,Doors!$B:$B,$B266,Doors!$C:$C,$C266)*SUMIFS(Velocity!$I:$I,Velocity!$A:$A,$A266,Velocity!$B:$B,$C266)/Assumptions!$B$4*Assumptions!$B$6</f>
        <v>0</v>
      </c>
      <c r="AF266" s="7" t="n">
        <f aca="false">SUMIFS(Doors!AR:AR,Doors!$A:$A,$D266,Doors!$B:$B,$B266,Doors!$C:$C,$C266)*SUMIFS(Velocity!$I:$I,Velocity!$A:$A,$A266,Velocity!$B:$B,$C266)/Assumptions!$B$4*Assumptions!$B$6</f>
        <v>0</v>
      </c>
      <c r="AG266" s="7" t="n">
        <f aca="false">SUMIFS(Doors!AS:AS,Doors!$A:$A,$D266,Doors!$B:$B,$B266,Doors!$C:$C,$C266)*SUMIFS(Velocity!$I:$I,Velocity!$A:$A,$A266,Velocity!$B:$B,$C266)/Assumptions!$B$4*Assumptions!$B$6</f>
        <v>0</v>
      </c>
      <c r="AH266" s="7" t="n">
        <f aca="false">SUMIFS(Doors!AT:AT,Doors!$A:$A,$D266,Doors!$B:$B,$B266,Doors!$C:$C,$C266)*SUMIFS(Velocity!$I:$I,Velocity!$A:$A,$A266,Velocity!$B:$B,$C266)/Assumptions!$B$4*Assumptions!$B$6</f>
        <v>0</v>
      </c>
      <c r="AI266" s="7" t="n">
        <f aca="false">SUMIFS(Doors!AU:AU,Doors!$A:$A,$D266,Doors!$B:$B,$B266,Doors!$C:$C,$C266)*SUMIFS(Velocity!$I:$I,Velocity!$A:$A,$A266,Velocity!$B:$B,$C266)/Assumptions!$B$4*Assumptions!$B$6</f>
        <v>0</v>
      </c>
      <c r="AJ266" s="7" t="n">
        <f aca="false">SUMIFS(Doors!AV:AV,Doors!$A:$A,$D266,Doors!$B:$B,$B266,Doors!$C:$C,$C266)*SUMIFS(Velocity!$I:$I,Velocity!$A:$A,$A266,Velocity!$B:$B,$C266)/Assumptions!$B$4*Assumptions!$B$6</f>
        <v>0</v>
      </c>
      <c r="AK266" s="7" t="n">
        <f aca="false">SUMIFS(Doors!AW:AW,Doors!$A:$A,$D266,Doors!$B:$B,$B266,Doors!$C:$C,$C266)*SUMIFS(Velocity!$I:$I,Velocity!$A:$A,$A266,Velocity!$B:$B,$C266)/Assumptions!$B$4*Assumptions!$B$6</f>
        <v>0</v>
      </c>
      <c r="AL266" s="7" t="n">
        <f aca="false">SUMIFS(Doors!AX:AX,Doors!$A:$A,$D266,Doors!$B:$B,$B266,Doors!$C:$C,$C266)*SUMIFS(Velocity!$I:$I,Velocity!$A:$A,$A266,Velocity!$B:$B,$C266)/Assumptions!$B$4*Assumptions!$B$6</f>
        <v>0</v>
      </c>
      <c r="AM266" s="7" t="n">
        <f aca="false">SUMIFS(Doors!AY:AY,Doors!$A:$A,$D266,Doors!$B:$B,$B266,Doors!$C:$C,$C266)*SUMIFS(Velocity!$I:$I,Velocity!$A:$A,$A266,Velocity!$B:$B,$C266)/Assumptions!$B$4*Assumptions!$B$6</f>
        <v>0</v>
      </c>
      <c r="AN266" s="7" t="n">
        <f aca="false">SUMIFS(Doors!AZ:AZ,Doors!$A:$A,$D266,Doors!$B:$B,$B266,Doors!$C:$C,$C266)*SUMIFS(Velocity!$I:$I,Velocity!$A:$A,$A266,Velocity!$B:$B,$C266)/Assumptions!$B$4*Assumptions!$B$6</f>
        <v>0</v>
      </c>
      <c r="AO266" s="7" t="n">
        <f aca="false">SUMIFS(Doors!BA:BA,Doors!$A:$A,$D266,Doors!$B:$B,$B266,Doors!$C:$C,$C266)*SUMIFS(Velocity!$I:$I,Velocity!$A:$A,$A266,Velocity!$B:$B,$C266)/Assumptions!$B$4*Assumptions!$B$6</f>
        <v>0</v>
      </c>
      <c r="AP266" s="7" t="n">
        <f aca="false">SUMIFS(Doors!BB:BB,Doors!$A:$A,$D266,Doors!$B:$B,$B266,Doors!$C:$C,$C266)*SUMIFS(Velocity!$I:$I,Velocity!$A:$A,$A266,Velocity!$B:$B,$C266)/Assumptions!$B$4*Assumptions!$B$6</f>
        <v>0</v>
      </c>
      <c r="AQ266" s="7" t="n">
        <f aca="false">SUMIFS(Doors!BC:BC,Doors!$A:$A,$D266,Doors!$B:$B,$B266,Doors!$C:$C,$C266)*SUMIFS(Velocity!$I:$I,Velocity!$A:$A,$A266,Velocity!$B:$B,$C266)/Assumptions!$B$4*Assumptions!$B$6</f>
        <v>0</v>
      </c>
      <c r="AR266" s="7" t="n">
        <f aca="false">SUMIFS(Doors!BD:BD,Doors!$A:$A,$D266,Doors!$B:$B,$B266,Doors!$C:$C,$C266)*SUMIFS(Velocity!$I:$I,Velocity!$A:$A,$A266,Velocity!$B:$B,$C266)/Assumptions!$B$4*Assumptions!$B$6</f>
        <v>0</v>
      </c>
      <c r="AS266" s="7" t="n">
        <f aca="false">SUMIFS(Doors!BE:BE,Doors!$A:$A,$D266,Doors!$B:$B,$B266,Doors!$C:$C,$C266)*SUMIFS(Velocity!$I:$I,Velocity!$A:$A,$A266,Velocity!$B:$B,$C266)/Assumptions!$B$4*Assumptions!$B$6</f>
        <v>0</v>
      </c>
      <c r="AT266" s="7" t="n">
        <f aca="false">SUMIFS(Doors!BF:BF,Doors!$A:$A,$D266,Doors!$B:$B,$B266,Doors!$C:$C,$C266)*SUMIFS(Velocity!$I:$I,Velocity!$A:$A,$A266,Velocity!$B:$B,$C266)/Assumptions!$B$4*Assumptions!$B$6</f>
        <v>0</v>
      </c>
      <c r="AU266" s="7" t="n">
        <f aca="false">SUMIFS(Doors!BG:BG,Doors!$A:$A,$D266,Doors!$B:$B,$B266,Doors!$C:$C,$C266)*SUMIFS(Velocity!$I:$I,Velocity!$A:$A,$A266,Velocity!$B:$B,$C266)/Assumptions!$B$4*Assumptions!$B$6</f>
        <v>0</v>
      </c>
      <c r="AV266" s="7" t="n">
        <f aca="false">SUMIFS(Doors!BH:BH,Doors!$A:$A,$D266,Doors!$B:$B,$B266,Doors!$C:$C,$C266)*SUMIFS(Velocity!$I:$I,Velocity!$A:$A,$A266,Velocity!$B:$B,$C266)/Assumptions!$B$4*Assumptions!$B$6</f>
        <v>0</v>
      </c>
      <c r="AW266" s="7" t="n">
        <f aca="false">SUMIFS(Doors!BI:BI,Doors!$A:$A,$D266,Doors!$B:$B,$B266,Doors!$C:$C,$C266)*SUMIFS(Velocity!$I:$I,Velocity!$A:$A,$A266,Velocity!$B:$B,$C266)/Assumptions!$B$4*Assumptions!$B$6</f>
        <v>0</v>
      </c>
      <c r="AX266" s="7" t="n">
        <f aca="false">SUMIFS(Doors!BJ:BJ,Doors!$A:$A,$D266,Doors!$B:$B,$B266,Doors!$C:$C,$C266)*SUMIFS(Velocity!$I:$I,Velocity!$A:$A,$A266,Velocity!$B:$B,$C266)/Assumptions!$B$4*Assumptions!$B$6</f>
        <v>0</v>
      </c>
      <c r="AY266" s="7" t="n">
        <f aca="false">SUMIFS(Doors!BK:BK,Doors!$A:$A,$D266,Doors!$B:$B,$B266,Doors!$C:$C,$C266)*SUMIFS(Velocity!$I:$I,Velocity!$A:$A,$A266,Velocity!$B:$B,$C266)/Assumptions!$B$4*Assumptions!$B$6</f>
        <v>0</v>
      </c>
      <c r="AZ266" s="7" t="n">
        <f aca="false">SUMIFS(Doors!BL:BL,Doors!$A:$A,$D266,Doors!$B:$B,$B266,Doors!$C:$C,$C266)*SUMIFS(Velocity!$I:$I,Velocity!$A:$A,$A266,Velocity!$B:$B,$C266)/Assumptions!$B$4*Assumptions!$B$6</f>
        <v>0</v>
      </c>
      <c r="BA266" s="7" t="n">
        <f aca="false">SUMIFS(Doors!BM:BM,Doors!$A:$A,$D266,Doors!$B:$B,$B266,Doors!$C:$C,$C266)*SUMIFS(Velocity!$I:$I,Velocity!$A:$A,$A266,Velocity!$B:$B,$C266)/Assumptions!$B$4*Assumptions!$B$6</f>
        <v>0</v>
      </c>
      <c r="BB266" s="7" t="n">
        <f aca="false">SUMIFS(Doors!BN:BN,Doors!$A:$A,$D266,Doors!$B:$B,$B266,Doors!$C:$C,$C266)*SUMIFS(Velocity!$I:$I,Velocity!$A:$A,$A266,Velocity!$B:$B,$C266)/Assumptions!$B$4*Assumptions!$B$6</f>
        <v>0</v>
      </c>
      <c r="BC266" s="7" t="n">
        <f aca="false">SUMIFS(Doors!BO:BO,Doors!$A:$A,$D266,Doors!$B:$B,$B266,Doors!$C:$C,$C266)*SUMIFS(Velocity!$I:$I,Velocity!$A:$A,$A266,Velocity!$B:$B,$C266)/Assumptions!$B$4*Assumptions!$B$6</f>
        <v>0</v>
      </c>
      <c r="BD266" s="7" t="n">
        <f aca="false">SUMIFS(Doors!BP:BP,Doors!$A:$A,$D266,Doors!$B:$B,$B266,Doors!$C:$C,$C266)*SUMIFS(Velocity!$I:$I,Velocity!$A:$A,$A266,Velocity!$B:$B,$C266)/Assumptions!$B$4*Assumptions!$B$6</f>
        <v>0</v>
      </c>
    </row>
    <row r="267" customFormat="false" ht="15" hidden="false" customHeight="false" outlineLevel="0" collapsed="false">
      <c r="A267" s="0" t="s">
        <v>110</v>
      </c>
      <c r="B267" s="0" t="s">
        <v>135</v>
      </c>
      <c r="C267" s="0" t="s">
        <v>115</v>
      </c>
      <c r="D267" s="0" t="s">
        <v>235</v>
      </c>
      <c r="E267" s="7" t="n">
        <f aca="false">SUMIFS(Doors!Q:Q,Doors!$A:$A,$D267,Doors!$B:$B,$B267,Doors!$C:$C,$C267)*SUMIFS(Velocity!$I:$I,Velocity!$A:$A,$A267,Velocity!$B:$B,$C267)/Assumptions!$B$4*Assumptions!$B$6</f>
        <v>0</v>
      </c>
      <c r="F267" s="7" t="n">
        <f aca="false">SUMIFS(Doors!R:R,Doors!$A:$A,$D267,Doors!$B:$B,$B267,Doors!$C:$C,$C267)*SUMIFS(Velocity!$I:$I,Velocity!$A:$A,$A267,Velocity!$B:$B,$C267)/Assumptions!$B$4*Assumptions!$B$6</f>
        <v>0</v>
      </c>
      <c r="G267" s="7" t="n">
        <f aca="false">SUMIFS(Doors!S:S,Doors!$A:$A,$D267,Doors!$B:$B,$B267,Doors!$C:$C,$C267)*SUMIFS(Velocity!$I:$I,Velocity!$A:$A,$A267,Velocity!$B:$B,$C267)/Assumptions!$B$4*Assumptions!$B$6</f>
        <v>0</v>
      </c>
      <c r="H267" s="7" t="n">
        <f aca="false">SUMIFS(Doors!T:T,Doors!$A:$A,$D267,Doors!$B:$B,$B267,Doors!$C:$C,$C267)*SUMIFS(Velocity!$I:$I,Velocity!$A:$A,$A267,Velocity!$B:$B,$C267)/Assumptions!$B$4*Assumptions!$B$6</f>
        <v>0</v>
      </c>
      <c r="I267" s="7" t="n">
        <f aca="false">SUMIFS(Doors!U:U,Doors!$A:$A,$D267,Doors!$B:$B,$B267,Doors!$C:$C,$C267)*SUMIFS(Velocity!$I:$I,Velocity!$A:$A,$A267,Velocity!$B:$B,$C267)/Assumptions!$B$4*Assumptions!$B$6</f>
        <v>0</v>
      </c>
      <c r="J267" s="7" t="n">
        <f aca="false">SUMIFS(Doors!V:V,Doors!$A:$A,$D267,Doors!$B:$B,$B267,Doors!$C:$C,$C267)*SUMIFS(Velocity!$I:$I,Velocity!$A:$A,$A267,Velocity!$B:$B,$C267)/Assumptions!$B$4*Assumptions!$B$6</f>
        <v>0</v>
      </c>
      <c r="K267" s="7" t="n">
        <f aca="false">SUMIFS(Doors!W:W,Doors!$A:$A,$D267,Doors!$B:$B,$B267,Doors!$C:$C,$C267)*SUMIFS(Velocity!$I:$I,Velocity!$A:$A,$A267,Velocity!$B:$B,$C267)/Assumptions!$B$4*Assumptions!$B$6</f>
        <v>0</v>
      </c>
      <c r="L267" s="7" t="n">
        <f aca="false">SUMIFS(Doors!X:X,Doors!$A:$A,$D267,Doors!$B:$B,$B267,Doors!$C:$C,$C267)*SUMIFS(Velocity!$I:$I,Velocity!$A:$A,$A267,Velocity!$B:$B,$C267)/Assumptions!$B$4*Assumptions!$B$6</f>
        <v>0</v>
      </c>
      <c r="M267" s="7" t="n">
        <f aca="false">SUMIFS(Doors!Y:Y,Doors!$A:$A,$D267,Doors!$B:$B,$B267,Doors!$C:$C,$C267)*SUMIFS(Velocity!$I:$I,Velocity!$A:$A,$A267,Velocity!$B:$B,$C267)/Assumptions!$B$4*Assumptions!$B$6</f>
        <v>0</v>
      </c>
      <c r="N267" s="7" t="n">
        <f aca="false">SUMIFS(Doors!Z:Z,Doors!$A:$A,$D267,Doors!$B:$B,$B267,Doors!$C:$C,$C267)*SUMIFS(Velocity!$I:$I,Velocity!$A:$A,$A267,Velocity!$B:$B,$C267)/Assumptions!$B$4*Assumptions!$B$6</f>
        <v>0</v>
      </c>
      <c r="O267" s="7" t="n">
        <f aca="false">SUMIFS(Doors!AA:AA,Doors!$A:$A,$D267,Doors!$B:$B,$B267,Doors!$C:$C,$C267)*SUMIFS(Velocity!$I:$I,Velocity!$A:$A,$A267,Velocity!$B:$B,$C267)/Assumptions!$B$4*Assumptions!$B$6</f>
        <v>0</v>
      </c>
      <c r="P267" s="7" t="n">
        <f aca="false">SUMIFS(Doors!AB:AB,Doors!$A:$A,$D267,Doors!$B:$B,$B267,Doors!$C:$C,$C267)*SUMIFS(Velocity!$I:$I,Velocity!$A:$A,$A267,Velocity!$B:$B,$C267)/Assumptions!$B$4*Assumptions!$B$6</f>
        <v>0</v>
      </c>
      <c r="Q267" s="7" t="n">
        <f aca="false">SUMIFS(Doors!AC:AC,Doors!$A:$A,$D267,Doors!$B:$B,$B267,Doors!$C:$C,$C267)*SUMIFS(Velocity!$I:$I,Velocity!$A:$A,$A267,Velocity!$B:$B,$C267)/Assumptions!$B$4*Assumptions!$B$6</f>
        <v>0</v>
      </c>
      <c r="R267" s="7" t="n">
        <f aca="false">SUMIFS(Doors!AD:AD,Doors!$A:$A,$D267,Doors!$B:$B,$B267,Doors!$C:$C,$C267)*SUMIFS(Velocity!$I:$I,Velocity!$A:$A,$A267,Velocity!$B:$B,$C267)/Assumptions!$B$4*Assumptions!$B$6</f>
        <v>0.366666666666667</v>
      </c>
      <c r="S267" s="7" t="n">
        <f aca="false">SUMIFS(Doors!AE:AE,Doors!$A:$A,$D267,Doors!$B:$B,$B267,Doors!$C:$C,$C267)*SUMIFS(Velocity!$I:$I,Velocity!$A:$A,$A267,Velocity!$B:$B,$C267)/Assumptions!$B$4*Assumptions!$B$6</f>
        <v>0.366666666666667</v>
      </c>
      <c r="T267" s="7" t="n">
        <f aca="false">SUMIFS(Doors!AF:AF,Doors!$A:$A,$D267,Doors!$B:$B,$B267,Doors!$C:$C,$C267)*SUMIFS(Velocity!$I:$I,Velocity!$A:$A,$A267,Velocity!$B:$B,$C267)/Assumptions!$B$4*Assumptions!$B$6</f>
        <v>0.366666666666667</v>
      </c>
      <c r="U267" s="7" t="n">
        <f aca="false">SUMIFS(Doors!AG:AG,Doors!$A:$A,$D267,Doors!$B:$B,$B267,Doors!$C:$C,$C267)*SUMIFS(Velocity!$I:$I,Velocity!$A:$A,$A267,Velocity!$B:$B,$C267)/Assumptions!$B$4*Assumptions!$B$6</f>
        <v>0.366666666666667</v>
      </c>
      <c r="V267" s="7" t="n">
        <f aca="false">SUMIFS(Doors!AH:AH,Doors!$A:$A,$D267,Doors!$B:$B,$B267,Doors!$C:$C,$C267)*SUMIFS(Velocity!$I:$I,Velocity!$A:$A,$A267,Velocity!$B:$B,$C267)/Assumptions!$B$4*Assumptions!$B$6</f>
        <v>0.366666666666667</v>
      </c>
      <c r="W267" s="7" t="n">
        <f aca="false">SUMIFS(Doors!AI:AI,Doors!$A:$A,$D267,Doors!$B:$B,$B267,Doors!$C:$C,$C267)*SUMIFS(Velocity!$I:$I,Velocity!$A:$A,$A267,Velocity!$B:$B,$C267)/Assumptions!$B$4*Assumptions!$B$6</f>
        <v>0.733333333333333</v>
      </c>
      <c r="X267" s="7" t="n">
        <f aca="false">SUMIFS(Doors!AJ:AJ,Doors!$A:$A,$D267,Doors!$B:$B,$B267,Doors!$C:$C,$C267)*SUMIFS(Velocity!$I:$I,Velocity!$A:$A,$A267,Velocity!$B:$B,$C267)/Assumptions!$B$4*Assumptions!$B$6</f>
        <v>0.733333333333333</v>
      </c>
      <c r="Y267" s="7" t="n">
        <f aca="false">SUMIFS(Doors!AK:AK,Doors!$A:$A,$D267,Doors!$B:$B,$B267,Doors!$C:$C,$C267)*SUMIFS(Velocity!$I:$I,Velocity!$A:$A,$A267,Velocity!$B:$B,$C267)/Assumptions!$B$4*Assumptions!$B$6</f>
        <v>0.733333333333333</v>
      </c>
      <c r="Z267" s="7" t="n">
        <f aca="false">SUMIFS(Doors!AL:AL,Doors!$A:$A,$D267,Doors!$B:$B,$B267,Doors!$C:$C,$C267)*SUMIFS(Velocity!$I:$I,Velocity!$A:$A,$A267,Velocity!$B:$B,$C267)/Assumptions!$B$4*Assumptions!$B$6</f>
        <v>0.733333333333333</v>
      </c>
      <c r="AA267" s="7" t="n">
        <f aca="false">SUMIFS(Doors!AM:AM,Doors!$A:$A,$D267,Doors!$B:$B,$B267,Doors!$C:$C,$C267)*SUMIFS(Velocity!$I:$I,Velocity!$A:$A,$A267,Velocity!$B:$B,$C267)/Assumptions!$B$4*Assumptions!$B$6</f>
        <v>1.1</v>
      </c>
      <c r="AB267" s="7" t="n">
        <f aca="false">SUMIFS(Doors!AN:AN,Doors!$A:$A,$D267,Doors!$B:$B,$B267,Doors!$C:$C,$C267)*SUMIFS(Velocity!$I:$I,Velocity!$A:$A,$A267,Velocity!$B:$B,$C267)/Assumptions!$B$4*Assumptions!$B$6</f>
        <v>1.1</v>
      </c>
      <c r="AC267" s="7" t="n">
        <f aca="false">SUMIFS(Doors!AO:AO,Doors!$A:$A,$D267,Doors!$B:$B,$B267,Doors!$C:$C,$C267)*SUMIFS(Velocity!$I:$I,Velocity!$A:$A,$A267,Velocity!$B:$B,$C267)/Assumptions!$B$4*Assumptions!$B$6</f>
        <v>1.1</v>
      </c>
      <c r="AD267" s="7" t="n">
        <f aca="false">SUMIFS(Doors!AP:AP,Doors!$A:$A,$D267,Doors!$B:$B,$B267,Doors!$C:$C,$C267)*SUMIFS(Velocity!$I:$I,Velocity!$A:$A,$A267,Velocity!$B:$B,$C267)/Assumptions!$B$4*Assumptions!$B$6</f>
        <v>1.1</v>
      </c>
      <c r="AE267" s="7" t="n">
        <f aca="false">SUMIFS(Doors!AQ:AQ,Doors!$A:$A,$D267,Doors!$B:$B,$B267,Doors!$C:$C,$C267)*SUMIFS(Velocity!$I:$I,Velocity!$A:$A,$A267,Velocity!$B:$B,$C267)/Assumptions!$B$4*Assumptions!$B$6</f>
        <v>1.46666666666667</v>
      </c>
      <c r="AF267" s="7" t="n">
        <f aca="false">SUMIFS(Doors!AR:AR,Doors!$A:$A,$D267,Doors!$B:$B,$B267,Doors!$C:$C,$C267)*SUMIFS(Velocity!$I:$I,Velocity!$A:$A,$A267,Velocity!$B:$B,$C267)/Assumptions!$B$4*Assumptions!$B$6</f>
        <v>1.46666666666667</v>
      </c>
      <c r="AG267" s="7" t="n">
        <f aca="false">SUMIFS(Doors!AS:AS,Doors!$A:$A,$D267,Doors!$B:$B,$B267,Doors!$C:$C,$C267)*SUMIFS(Velocity!$I:$I,Velocity!$A:$A,$A267,Velocity!$B:$B,$C267)/Assumptions!$B$4*Assumptions!$B$6</f>
        <v>1.46666666666667</v>
      </c>
      <c r="AH267" s="7" t="n">
        <f aca="false">SUMIFS(Doors!AT:AT,Doors!$A:$A,$D267,Doors!$B:$B,$B267,Doors!$C:$C,$C267)*SUMIFS(Velocity!$I:$I,Velocity!$A:$A,$A267,Velocity!$B:$B,$C267)/Assumptions!$B$4*Assumptions!$B$6</f>
        <v>1.46666666666667</v>
      </c>
      <c r="AI267" s="7" t="n">
        <f aca="false">SUMIFS(Doors!AU:AU,Doors!$A:$A,$D267,Doors!$B:$B,$B267,Doors!$C:$C,$C267)*SUMIFS(Velocity!$I:$I,Velocity!$A:$A,$A267,Velocity!$B:$B,$C267)/Assumptions!$B$4*Assumptions!$B$6</f>
        <v>1.46666666666667</v>
      </c>
      <c r="AJ267" s="7" t="n">
        <f aca="false">SUMIFS(Doors!AV:AV,Doors!$A:$A,$D267,Doors!$B:$B,$B267,Doors!$C:$C,$C267)*SUMIFS(Velocity!$I:$I,Velocity!$A:$A,$A267,Velocity!$B:$B,$C267)/Assumptions!$B$4*Assumptions!$B$6</f>
        <v>1.83333333333333</v>
      </c>
      <c r="AK267" s="7" t="n">
        <f aca="false">SUMIFS(Doors!AW:AW,Doors!$A:$A,$D267,Doors!$B:$B,$B267,Doors!$C:$C,$C267)*SUMIFS(Velocity!$I:$I,Velocity!$A:$A,$A267,Velocity!$B:$B,$C267)/Assumptions!$B$4*Assumptions!$B$6</f>
        <v>1.83333333333333</v>
      </c>
      <c r="AL267" s="7" t="n">
        <f aca="false">SUMIFS(Doors!AX:AX,Doors!$A:$A,$D267,Doors!$B:$B,$B267,Doors!$C:$C,$C267)*SUMIFS(Velocity!$I:$I,Velocity!$A:$A,$A267,Velocity!$B:$B,$C267)/Assumptions!$B$4*Assumptions!$B$6</f>
        <v>1.83333333333333</v>
      </c>
      <c r="AM267" s="7" t="n">
        <f aca="false">SUMIFS(Doors!AY:AY,Doors!$A:$A,$D267,Doors!$B:$B,$B267,Doors!$C:$C,$C267)*SUMIFS(Velocity!$I:$I,Velocity!$A:$A,$A267,Velocity!$B:$B,$C267)/Assumptions!$B$4*Assumptions!$B$6</f>
        <v>1.83333333333333</v>
      </c>
      <c r="AN267" s="7" t="n">
        <f aca="false">SUMIFS(Doors!AZ:AZ,Doors!$A:$A,$D267,Doors!$B:$B,$B267,Doors!$C:$C,$C267)*SUMIFS(Velocity!$I:$I,Velocity!$A:$A,$A267,Velocity!$B:$B,$C267)/Assumptions!$B$4*Assumptions!$B$6</f>
        <v>2.2</v>
      </c>
      <c r="AO267" s="7" t="n">
        <f aca="false">SUMIFS(Doors!BA:BA,Doors!$A:$A,$D267,Doors!$B:$B,$B267,Doors!$C:$C,$C267)*SUMIFS(Velocity!$I:$I,Velocity!$A:$A,$A267,Velocity!$B:$B,$C267)/Assumptions!$B$4*Assumptions!$B$6</f>
        <v>2.2</v>
      </c>
      <c r="AP267" s="7" t="n">
        <f aca="false">SUMIFS(Doors!BB:BB,Doors!$A:$A,$D267,Doors!$B:$B,$B267,Doors!$C:$C,$C267)*SUMIFS(Velocity!$I:$I,Velocity!$A:$A,$A267,Velocity!$B:$B,$C267)/Assumptions!$B$4*Assumptions!$B$6</f>
        <v>2.2</v>
      </c>
      <c r="AQ267" s="7" t="n">
        <f aca="false">SUMIFS(Doors!BC:BC,Doors!$A:$A,$D267,Doors!$B:$B,$B267,Doors!$C:$C,$C267)*SUMIFS(Velocity!$I:$I,Velocity!$A:$A,$A267,Velocity!$B:$B,$C267)/Assumptions!$B$4*Assumptions!$B$6</f>
        <v>2.2</v>
      </c>
      <c r="AR267" s="7" t="n">
        <f aca="false">SUMIFS(Doors!BD:BD,Doors!$A:$A,$D267,Doors!$B:$B,$B267,Doors!$C:$C,$C267)*SUMIFS(Velocity!$I:$I,Velocity!$A:$A,$A267,Velocity!$B:$B,$C267)/Assumptions!$B$4*Assumptions!$B$6</f>
        <v>2.2</v>
      </c>
      <c r="AS267" s="7" t="n">
        <f aca="false">SUMIFS(Doors!BE:BE,Doors!$A:$A,$D267,Doors!$B:$B,$B267,Doors!$C:$C,$C267)*SUMIFS(Velocity!$I:$I,Velocity!$A:$A,$A267,Velocity!$B:$B,$C267)/Assumptions!$B$4*Assumptions!$B$6</f>
        <v>2.2</v>
      </c>
      <c r="AT267" s="7" t="n">
        <f aca="false">SUMIFS(Doors!BF:BF,Doors!$A:$A,$D267,Doors!$B:$B,$B267,Doors!$C:$C,$C267)*SUMIFS(Velocity!$I:$I,Velocity!$A:$A,$A267,Velocity!$B:$B,$C267)/Assumptions!$B$4*Assumptions!$B$6</f>
        <v>2.2</v>
      </c>
      <c r="AU267" s="7" t="n">
        <f aca="false">SUMIFS(Doors!BG:BG,Doors!$A:$A,$D267,Doors!$B:$B,$B267,Doors!$C:$C,$C267)*SUMIFS(Velocity!$I:$I,Velocity!$A:$A,$A267,Velocity!$B:$B,$C267)/Assumptions!$B$4*Assumptions!$B$6</f>
        <v>2.2</v>
      </c>
      <c r="AV267" s="7" t="n">
        <f aca="false">SUMIFS(Doors!BH:BH,Doors!$A:$A,$D267,Doors!$B:$B,$B267,Doors!$C:$C,$C267)*SUMIFS(Velocity!$I:$I,Velocity!$A:$A,$A267,Velocity!$B:$B,$C267)/Assumptions!$B$4*Assumptions!$B$6</f>
        <v>2.2</v>
      </c>
      <c r="AW267" s="7" t="n">
        <f aca="false">SUMIFS(Doors!BI:BI,Doors!$A:$A,$D267,Doors!$B:$B,$B267,Doors!$C:$C,$C267)*SUMIFS(Velocity!$I:$I,Velocity!$A:$A,$A267,Velocity!$B:$B,$C267)/Assumptions!$B$4*Assumptions!$B$6</f>
        <v>2.56666666666667</v>
      </c>
      <c r="AX267" s="7" t="n">
        <f aca="false">SUMIFS(Doors!BJ:BJ,Doors!$A:$A,$D267,Doors!$B:$B,$B267,Doors!$C:$C,$C267)*SUMIFS(Velocity!$I:$I,Velocity!$A:$A,$A267,Velocity!$B:$B,$C267)/Assumptions!$B$4*Assumptions!$B$6</f>
        <v>2.56666666666667</v>
      </c>
      <c r="AY267" s="7" t="n">
        <f aca="false">SUMIFS(Doors!BK:BK,Doors!$A:$A,$D267,Doors!$B:$B,$B267,Doors!$C:$C,$C267)*SUMIFS(Velocity!$I:$I,Velocity!$A:$A,$A267,Velocity!$B:$B,$C267)/Assumptions!$B$4*Assumptions!$B$6</f>
        <v>2.56666666666667</v>
      </c>
      <c r="AZ267" s="7" t="n">
        <f aca="false">SUMIFS(Doors!BL:BL,Doors!$A:$A,$D267,Doors!$B:$B,$B267,Doors!$C:$C,$C267)*SUMIFS(Velocity!$I:$I,Velocity!$A:$A,$A267,Velocity!$B:$B,$C267)/Assumptions!$B$4*Assumptions!$B$6</f>
        <v>2.56666666666667</v>
      </c>
      <c r="BA267" s="7" t="n">
        <f aca="false">SUMIFS(Doors!BM:BM,Doors!$A:$A,$D267,Doors!$B:$B,$B267,Doors!$C:$C,$C267)*SUMIFS(Velocity!$I:$I,Velocity!$A:$A,$A267,Velocity!$B:$B,$C267)/Assumptions!$B$4*Assumptions!$B$6</f>
        <v>2.56666666666667</v>
      </c>
      <c r="BB267" s="7" t="n">
        <f aca="false">SUMIFS(Doors!BN:BN,Doors!$A:$A,$D267,Doors!$B:$B,$B267,Doors!$C:$C,$C267)*SUMIFS(Velocity!$I:$I,Velocity!$A:$A,$A267,Velocity!$B:$B,$C267)/Assumptions!$B$4*Assumptions!$B$6</f>
        <v>2.56666666666667</v>
      </c>
      <c r="BC267" s="7" t="n">
        <f aca="false">SUMIFS(Doors!BO:BO,Doors!$A:$A,$D267,Doors!$B:$B,$B267,Doors!$C:$C,$C267)*SUMIFS(Velocity!$I:$I,Velocity!$A:$A,$A267,Velocity!$B:$B,$C267)/Assumptions!$B$4*Assumptions!$B$6</f>
        <v>2.56666666666667</v>
      </c>
      <c r="BD267" s="7" t="n">
        <f aca="false">SUMIFS(Doors!BP:BP,Doors!$A:$A,$D267,Doors!$B:$B,$B267,Doors!$C:$C,$C267)*SUMIFS(Velocity!$I:$I,Velocity!$A:$A,$A267,Velocity!$B:$B,$C267)/Assumptions!$B$4*Assumptions!$B$6</f>
        <v>2.56666666666667</v>
      </c>
    </row>
    <row r="268" customFormat="false" ht="15" hidden="false" customHeight="false" outlineLevel="0" collapsed="false">
      <c r="A268" s="0" t="s">
        <v>110</v>
      </c>
      <c r="B268" s="0" t="s">
        <v>135</v>
      </c>
      <c r="C268" s="0" t="s">
        <v>116</v>
      </c>
      <c r="D268" s="0" t="s">
        <v>235</v>
      </c>
      <c r="E268" s="7" t="n">
        <f aca="false">SUMIFS(Doors!Q:Q,Doors!$A:$A,$D268,Doors!$B:$B,$B268,Doors!$C:$C,$C268)*SUMIFS(Velocity!$I:$I,Velocity!$A:$A,$A268,Velocity!$B:$B,$C268)/Assumptions!$B$4*Assumptions!$B$6</f>
        <v>0</v>
      </c>
      <c r="F268" s="7" t="n">
        <f aca="false">SUMIFS(Doors!R:R,Doors!$A:$A,$D268,Doors!$B:$B,$B268,Doors!$C:$C,$C268)*SUMIFS(Velocity!$I:$I,Velocity!$A:$A,$A268,Velocity!$B:$B,$C268)/Assumptions!$B$4*Assumptions!$B$6</f>
        <v>0</v>
      </c>
      <c r="G268" s="7" t="n">
        <f aca="false">SUMIFS(Doors!S:S,Doors!$A:$A,$D268,Doors!$B:$B,$B268,Doors!$C:$C,$C268)*SUMIFS(Velocity!$I:$I,Velocity!$A:$A,$A268,Velocity!$B:$B,$C268)/Assumptions!$B$4*Assumptions!$B$6</f>
        <v>0</v>
      </c>
      <c r="H268" s="7" t="n">
        <f aca="false">SUMIFS(Doors!T:T,Doors!$A:$A,$D268,Doors!$B:$B,$B268,Doors!$C:$C,$C268)*SUMIFS(Velocity!$I:$I,Velocity!$A:$A,$A268,Velocity!$B:$B,$C268)/Assumptions!$B$4*Assumptions!$B$6</f>
        <v>0</v>
      </c>
      <c r="I268" s="7" t="n">
        <f aca="false">SUMIFS(Doors!U:U,Doors!$A:$A,$D268,Doors!$B:$B,$B268,Doors!$C:$C,$C268)*SUMIFS(Velocity!$I:$I,Velocity!$A:$A,$A268,Velocity!$B:$B,$C268)/Assumptions!$B$4*Assumptions!$B$6</f>
        <v>0</v>
      </c>
      <c r="J268" s="7" t="n">
        <f aca="false">SUMIFS(Doors!V:V,Doors!$A:$A,$D268,Doors!$B:$B,$B268,Doors!$C:$C,$C268)*SUMIFS(Velocity!$I:$I,Velocity!$A:$A,$A268,Velocity!$B:$B,$C268)/Assumptions!$B$4*Assumptions!$B$6</f>
        <v>0</v>
      </c>
      <c r="K268" s="7" t="n">
        <f aca="false">SUMIFS(Doors!W:W,Doors!$A:$A,$D268,Doors!$B:$B,$B268,Doors!$C:$C,$C268)*SUMIFS(Velocity!$I:$I,Velocity!$A:$A,$A268,Velocity!$B:$B,$C268)/Assumptions!$B$4*Assumptions!$B$6</f>
        <v>0</v>
      </c>
      <c r="L268" s="7" t="n">
        <f aca="false">SUMIFS(Doors!X:X,Doors!$A:$A,$D268,Doors!$B:$B,$B268,Doors!$C:$C,$C268)*SUMIFS(Velocity!$I:$I,Velocity!$A:$A,$A268,Velocity!$B:$B,$C268)/Assumptions!$B$4*Assumptions!$B$6</f>
        <v>0</v>
      </c>
      <c r="M268" s="7" t="n">
        <f aca="false">SUMIFS(Doors!Y:Y,Doors!$A:$A,$D268,Doors!$B:$B,$B268,Doors!$C:$C,$C268)*SUMIFS(Velocity!$I:$I,Velocity!$A:$A,$A268,Velocity!$B:$B,$C268)/Assumptions!$B$4*Assumptions!$B$6</f>
        <v>0</v>
      </c>
      <c r="N268" s="7" t="n">
        <f aca="false">SUMIFS(Doors!Z:Z,Doors!$A:$A,$D268,Doors!$B:$B,$B268,Doors!$C:$C,$C268)*SUMIFS(Velocity!$I:$I,Velocity!$A:$A,$A268,Velocity!$B:$B,$C268)/Assumptions!$B$4*Assumptions!$B$6</f>
        <v>0</v>
      </c>
      <c r="O268" s="7" t="n">
        <f aca="false">SUMIFS(Doors!AA:AA,Doors!$A:$A,$D268,Doors!$B:$B,$B268,Doors!$C:$C,$C268)*SUMIFS(Velocity!$I:$I,Velocity!$A:$A,$A268,Velocity!$B:$B,$C268)/Assumptions!$B$4*Assumptions!$B$6</f>
        <v>0</v>
      </c>
      <c r="P268" s="7" t="n">
        <f aca="false">SUMIFS(Doors!AB:AB,Doors!$A:$A,$D268,Doors!$B:$B,$B268,Doors!$C:$C,$C268)*SUMIFS(Velocity!$I:$I,Velocity!$A:$A,$A268,Velocity!$B:$B,$C268)/Assumptions!$B$4*Assumptions!$B$6</f>
        <v>0</v>
      </c>
      <c r="Q268" s="7" t="n">
        <f aca="false">SUMIFS(Doors!AC:AC,Doors!$A:$A,$D268,Doors!$B:$B,$B268,Doors!$C:$C,$C268)*SUMIFS(Velocity!$I:$I,Velocity!$A:$A,$A268,Velocity!$B:$B,$C268)/Assumptions!$B$4*Assumptions!$B$6</f>
        <v>0</v>
      </c>
      <c r="R268" s="7" t="n">
        <f aca="false">SUMIFS(Doors!AD:AD,Doors!$A:$A,$D268,Doors!$B:$B,$B268,Doors!$C:$C,$C268)*SUMIFS(Velocity!$I:$I,Velocity!$A:$A,$A268,Velocity!$B:$B,$C268)/Assumptions!$B$4*Assumptions!$B$6</f>
        <v>0</v>
      </c>
      <c r="S268" s="7" t="n">
        <f aca="false">SUMIFS(Doors!AE:AE,Doors!$A:$A,$D268,Doors!$B:$B,$B268,Doors!$C:$C,$C268)*SUMIFS(Velocity!$I:$I,Velocity!$A:$A,$A268,Velocity!$B:$B,$C268)/Assumptions!$B$4*Assumptions!$B$6</f>
        <v>0</v>
      </c>
      <c r="T268" s="7" t="n">
        <f aca="false">SUMIFS(Doors!AF:AF,Doors!$A:$A,$D268,Doors!$B:$B,$B268,Doors!$C:$C,$C268)*SUMIFS(Velocity!$I:$I,Velocity!$A:$A,$A268,Velocity!$B:$B,$C268)/Assumptions!$B$4*Assumptions!$B$6</f>
        <v>0</v>
      </c>
      <c r="U268" s="7" t="n">
        <f aca="false">SUMIFS(Doors!AG:AG,Doors!$A:$A,$D268,Doors!$B:$B,$B268,Doors!$C:$C,$C268)*SUMIFS(Velocity!$I:$I,Velocity!$A:$A,$A268,Velocity!$B:$B,$C268)/Assumptions!$B$4*Assumptions!$B$6</f>
        <v>0</v>
      </c>
      <c r="V268" s="7" t="n">
        <f aca="false">SUMIFS(Doors!AH:AH,Doors!$A:$A,$D268,Doors!$B:$B,$B268,Doors!$C:$C,$C268)*SUMIFS(Velocity!$I:$I,Velocity!$A:$A,$A268,Velocity!$B:$B,$C268)/Assumptions!$B$4*Assumptions!$B$6</f>
        <v>0</v>
      </c>
      <c r="W268" s="7" t="n">
        <f aca="false">SUMIFS(Doors!AI:AI,Doors!$A:$A,$D268,Doors!$B:$B,$B268,Doors!$C:$C,$C268)*SUMIFS(Velocity!$I:$I,Velocity!$A:$A,$A268,Velocity!$B:$B,$C268)/Assumptions!$B$4*Assumptions!$B$6</f>
        <v>0.316666666666667</v>
      </c>
      <c r="X268" s="7" t="n">
        <f aca="false">SUMIFS(Doors!AJ:AJ,Doors!$A:$A,$D268,Doors!$B:$B,$B268,Doors!$C:$C,$C268)*SUMIFS(Velocity!$I:$I,Velocity!$A:$A,$A268,Velocity!$B:$B,$C268)/Assumptions!$B$4*Assumptions!$B$6</f>
        <v>0.316666666666667</v>
      </c>
      <c r="Y268" s="7" t="n">
        <f aca="false">SUMIFS(Doors!AK:AK,Doors!$A:$A,$D268,Doors!$B:$B,$B268,Doors!$C:$C,$C268)*SUMIFS(Velocity!$I:$I,Velocity!$A:$A,$A268,Velocity!$B:$B,$C268)/Assumptions!$B$4*Assumptions!$B$6</f>
        <v>0.316666666666667</v>
      </c>
      <c r="Z268" s="7" t="n">
        <f aca="false">SUMIFS(Doors!AL:AL,Doors!$A:$A,$D268,Doors!$B:$B,$B268,Doors!$C:$C,$C268)*SUMIFS(Velocity!$I:$I,Velocity!$A:$A,$A268,Velocity!$B:$B,$C268)/Assumptions!$B$4*Assumptions!$B$6</f>
        <v>0.316666666666667</v>
      </c>
      <c r="AA268" s="7" t="n">
        <f aca="false">SUMIFS(Doors!AM:AM,Doors!$A:$A,$D268,Doors!$B:$B,$B268,Doors!$C:$C,$C268)*SUMIFS(Velocity!$I:$I,Velocity!$A:$A,$A268,Velocity!$B:$B,$C268)/Assumptions!$B$4*Assumptions!$B$6</f>
        <v>0.633333333333333</v>
      </c>
      <c r="AB268" s="7" t="n">
        <f aca="false">SUMIFS(Doors!AN:AN,Doors!$A:$A,$D268,Doors!$B:$B,$B268,Doors!$C:$C,$C268)*SUMIFS(Velocity!$I:$I,Velocity!$A:$A,$A268,Velocity!$B:$B,$C268)/Assumptions!$B$4*Assumptions!$B$6</f>
        <v>0.633333333333333</v>
      </c>
      <c r="AC268" s="7" t="n">
        <f aca="false">SUMIFS(Doors!AO:AO,Doors!$A:$A,$D268,Doors!$B:$B,$B268,Doors!$C:$C,$C268)*SUMIFS(Velocity!$I:$I,Velocity!$A:$A,$A268,Velocity!$B:$B,$C268)/Assumptions!$B$4*Assumptions!$B$6</f>
        <v>0.633333333333333</v>
      </c>
      <c r="AD268" s="7" t="n">
        <f aca="false">SUMIFS(Doors!AP:AP,Doors!$A:$A,$D268,Doors!$B:$B,$B268,Doors!$C:$C,$C268)*SUMIFS(Velocity!$I:$I,Velocity!$A:$A,$A268,Velocity!$B:$B,$C268)/Assumptions!$B$4*Assumptions!$B$6</f>
        <v>0.633333333333333</v>
      </c>
      <c r="AE268" s="7" t="n">
        <f aca="false">SUMIFS(Doors!AQ:AQ,Doors!$A:$A,$D268,Doors!$B:$B,$B268,Doors!$C:$C,$C268)*SUMIFS(Velocity!$I:$I,Velocity!$A:$A,$A268,Velocity!$B:$B,$C268)/Assumptions!$B$4*Assumptions!$B$6</f>
        <v>0.633333333333333</v>
      </c>
      <c r="AF268" s="7" t="n">
        <f aca="false">SUMIFS(Doors!AR:AR,Doors!$A:$A,$D268,Doors!$B:$B,$B268,Doors!$C:$C,$C268)*SUMIFS(Velocity!$I:$I,Velocity!$A:$A,$A268,Velocity!$B:$B,$C268)/Assumptions!$B$4*Assumptions!$B$6</f>
        <v>0.633333333333333</v>
      </c>
      <c r="AG268" s="7" t="n">
        <f aca="false">SUMIFS(Doors!AS:AS,Doors!$A:$A,$D268,Doors!$B:$B,$B268,Doors!$C:$C,$C268)*SUMIFS(Velocity!$I:$I,Velocity!$A:$A,$A268,Velocity!$B:$B,$C268)/Assumptions!$B$4*Assumptions!$B$6</f>
        <v>0.633333333333333</v>
      </c>
      <c r="AH268" s="7" t="n">
        <f aca="false">SUMIFS(Doors!AT:AT,Doors!$A:$A,$D268,Doors!$B:$B,$B268,Doors!$C:$C,$C268)*SUMIFS(Velocity!$I:$I,Velocity!$A:$A,$A268,Velocity!$B:$B,$C268)/Assumptions!$B$4*Assumptions!$B$6</f>
        <v>0.633333333333333</v>
      </c>
      <c r="AI268" s="7" t="n">
        <f aca="false">SUMIFS(Doors!AU:AU,Doors!$A:$A,$D268,Doors!$B:$B,$B268,Doors!$C:$C,$C268)*SUMIFS(Velocity!$I:$I,Velocity!$A:$A,$A268,Velocity!$B:$B,$C268)/Assumptions!$B$4*Assumptions!$B$6</f>
        <v>0.633333333333333</v>
      </c>
      <c r="AJ268" s="7" t="n">
        <f aca="false">SUMIFS(Doors!AV:AV,Doors!$A:$A,$D268,Doors!$B:$B,$B268,Doors!$C:$C,$C268)*SUMIFS(Velocity!$I:$I,Velocity!$A:$A,$A268,Velocity!$B:$B,$C268)/Assumptions!$B$4*Assumptions!$B$6</f>
        <v>0.95</v>
      </c>
      <c r="AK268" s="7" t="n">
        <f aca="false">SUMIFS(Doors!AW:AW,Doors!$A:$A,$D268,Doors!$B:$B,$B268,Doors!$C:$C,$C268)*SUMIFS(Velocity!$I:$I,Velocity!$A:$A,$A268,Velocity!$B:$B,$C268)/Assumptions!$B$4*Assumptions!$B$6</f>
        <v>0.95</v>
      </c>
      <c r="AL268" s="7" t="n">
        <f aca="false">SUMIFS(Doors!AX:AX,Doors!$A:$A,$D268,Doors!$B:$B,$B268,Doors!$C:$C,$C268)*SUMIFS(Velocity!$I:$I,Velocity!$A:$A,$A268,Velocity!$B:$B,$C268)/Assumptions!$B$4*Assumptions!$B$6</f>
        <v>0.95</v>
      </c>
      <c r="AM268" s="7" t="n">
        <f aca="false">SUMIFS(Doors!AY:AY,Doors!$A:$A,$D268,Doors!$B:$B,$B268,Doors!$C:$C,$C268)*SUMIFS(Velocity!$I:$I,Velocity!$A:$A,$A268,Velocity!$B:$B,$C268)/Assumptions!$B$4*Assumptions!$B$6</f>
        <v>0.95</v>
      </c>
      <c r="AN268" s="7" t="n">
        <f aca="false">SUMIFS(Doors!AZ:AZ,Doors!$A:$A,$D268,Doors!$B:$B,$B268,Doors!$C:$C,$C268)*SUMIFS(Velocity!$I:$I,Velocity!$A:$A,$A268,Velocity!$B:$B,$C268)/Assumptions!$B$4*Assumptions!$B$6</f>
        <v>0.95</v>
      </c>
      <c r="AO268" s="7" t="n">
        <f aca="false">SUMIFS(Doors!BA:BA,Doors!$A:$A,$D268,Doors!$B:$B,$B268,Doors!$C:$C,$C268)*SUMIFS(Velocity!$I:$I,Velocity!$A:$A,$A268,Velocity!$B:$B,$C268)/Assumptions!$B$4*Assumptions!$B$6</f>
        <v>0.95</v>
      </c>
      <c r="AP268" s="7" t="n">
        <f aca="false">SUMIFS(Doors!BB:BB,Doors!$A:$A,$D268,Doors!$B:$B,$B268,Doors!$C:$C,$C268)*SUMIFS(Velocity!$I:$I,Velocity!$A:$A,$A268,Velocity!$B:$B,$C268)/Assumptions!$B$4*Assumptions!$B$6</f>
        <v>0.95</v>
      </c>
      <c r="AQ268" s="7" t="n">
        <f aca="false">SUMIFS(Doors!BC:BC,Doors!$A:$A,$D268,Doors!$B:$B,$B268,Doors!$C:$C,$C268)*SUMIFS(Velocity!$I:$I,Velocity!$A:$A,$A268,Velocity!$B:$B,$C268)/Assumptions!$B$4*Assumptions!$B$6</f>
        <v>0.95</v>
      </c>
      <c r="AR268" s="7" t="n">
        <f aca="false">SUMIFS(Doors!BD:BD,Doors!$A:$A,$D268,Doors!$B:$B,$B268,Doors!$C:$C,$C268)*SUMIFS(Velocity!$I:$I,Velocity!$A:$A,$A268,Velocity!$B:$B,$C268)/Assumptions!$B$4*Assumptions!$B$6</f>
        <v>1.26666666666667</v>
      </c>
      <c r="AS268" s="7" t="n">
        <f aca="false">SUMIFS(Doors!BE:BE,Doors!$A:$A,$D268,Doors!$B:$B,$B268,Doors!$C:$C,$C268)*SUMIFS(Velocity!$I:$I,Velocity!$A:$A,$A268,Velocity!$B:$B,$C268)/Assumptions!$B$4*Assumptions!$B$6</f>
        <v>1.26666666666667</v>
      </c>
      <c r="AT268" s="7" t="n">
        <f aca="false">SUMIFS(Doors!BF:BF,Doors!$A:$A,$D268,Doors!$B:$B,$B268,Doors!$C:$C,$C268)*SUMIFS(Velocity!$I:$I,Velocity!$A:$A,$A268,Velocity!$B:$B,$C268)/Assumptions!$B$4*Assumptions!$B$6</f>
        <v>1.26666666666667</v>
      </c>
      <c r="AU268" s="7" t="n">
        <f aca="false">SUMIFS(Doors!BG:BG,Doors!$A:$A,$D268,Doors!$B:$B,$B268,Doors!$C:$C,$C268)*SUMIFS(Velocity!$I:$I,Velocity!$A:$A,$A268,Velocity!$B:$B,$C268)/Assumptions!$B$4*Assumptions!$B$6</f>
        <v>1.26666666666667</v>
      </c>
      <c r="AV268" s="7" t="n">
        <f aca="false">SUMIFS(Doors!BH:BH,Doors!$A:$A,$D268,Doors!$B:$B,$B268,Doors!$C:$C,$C268)*SUMIFS(Velocity!$I:$I,Velocity!$A:$A,$A268,Velocity!$B:$B,$C268)/Assumptions!$B$4*Assumptions!$B$6</f>
        <v>1.26666666666667</v>
      </c>
      <c r="AW268" s="7" t="n">
        <f aca="false">SUMIFS(Doors!BI:BI,Doors!$A:$A,$D268,Doors!$B:$B,$B268,Doors!$C:$C,$C268)*SUMIFS(Velocity!$I:$I,Velocity!$A:$A,$A268,Velocity!$B:$B,$C268)/Assumptions!$B$4*Assumptions!$B$6</f>
        <v>1.26666666666667</v>
      </c>
      <c r="AX268" s="7" t="n">
        <f aca="false">SUMIFS(Doors!BJ:BJ,Doors!$A:$A,$D268,Doors!$B:$B,$B268,Doors!$C:$C,$C268)*SUMIFS(Velocity!$I:$I,Velocity!$A:$A,$A268,Velocity!$B:$B,$C268)/Assumptions!$B$4*Assumptions!$B$6</f>
        <v>1.26666666666667</v>
      </c>
      <c r="AY268" s="7" t="n">
        <f aca="false">SUMIFS(Doors!BK:BK,Doors!$A:$A,$D268,Doors!$B:$B,$B268,Doors!$C:$C,$C268)*SUMIFS(Velocity!$I:$I,Velocity!$A:$A,$A268,Velocity!$B:$B,$C268)/Assumptions!$B$4*Assumptions!$B$6</f>
        <v>1.26666666666667</v>
      </c>
      <c r="AZ268" s="7" t="n">
        <f aca="false">SUMIFS(Doors!BL:BL,Doors!$A:$A,$D268,Doors!$B:$B,$B268,Doors!$C:$C,$C268)*SUMIFS(Velocity!$I:$I,Velocity!$A:$A,$A268,Velocity!$B:$B,$C268)/Assumptions!$B$4*Assumptions!$B$6</f>
        <v>1.26666666666667</v>
      </c>
      <c r="BA268" s="7" t="n">
        <f aca="false">SUMIFS(Doors!BM:BM,Doors!$A:$A,$D268,Doors!$B:$B,$B268,Doors!$C:$C,$C268)*SUMIFS(Velocity!$I:$I,Velocity!$A:$A,$A268,Velocity!$B:$B,$C268)/Assumptions!$B$4*Assumptions!$B$6</f>
        <v>1.26666666666667</v>
      </c>
      <c r="BB268" s="7" t="n">
        <f aca="false">SUMIFS(Doors!BN:BN,Doors!$A:$A,$D268,Doors!$B:$B,$B268,Doors!$C:$C,$C268)*SUMIFS(Velocity!$I:$I,Velocity!$A:$A,$A268,Velocity!$B:$B,$C268)/Assumptions!$B$4*Assumptions!$B$6</f>
        <v>1.26666666666667</v>
      </c>
      <c r="BC268" s="7" t="n">
        <f aca="false">SUMIFS(Doors!BO:BO,Doors!$A:$A,$D268,Doors!$B:$B,$B268,Doors!$C:$C,$C268)*SUMIFS(Velocity!$I:$I,Velocity!$A:$A,$A268,Velocity!$B:$B,$C268)/Assumptions!$B$4*Assumptions!$B$6</f>
        <v>1.26666666666667</v>
      </c>
      <c r="BD268" s="7" t="n">
        <f aca="false">SUMIFS(Doors!BP:BP,Doors!$A:$A,$D268,Doors!$B:$B,$B268,Doors!$C:$C,$C268)*SUMIFS(Velocity!$I:$I,Velocity!$A:$A,$A268,Velocity!$B:$B,$C268)/Assumptions!$B$4*Assumptions!$B$6</f>
        <v>1.26666666666667</v>
      </c>
    </row>
    <row r="269" customFormat="false" ht="15" hidden="false" customHeight="false" outlineLevel="0" collapsed="false">
      <c r="A269" s="0" t="s">
        <v>110</v>
      </c>
      <c r="B269" s="0" t="s">
        <v>135</v>
      </c>
      <c r="C269" s="0" t="s">
        <v>117</v>
      </c>
      <c r="D269" s="0" t="s">
        <v>235</v>
      </c>
      <c r="E269" s="7" t="n">
        <f aca="false">SUMIFS(Doors!Q:Q,Doors!$A:$A,$D269,Doors!$B:$B,$B269,Doors!$C:$C,$C269)*SUMIFS(Velocity!$I:$I,Velocity!$A:$A,$A269,Velocity!$B:$B,$C269)/Assumptions!$B$4*Assumptions!$B$6</f>
        <v>0</v>
      </c>
      <c r="F269" s="7" t="n">
        <f aca="false">SUMIFS(Doors!R:R,Doors!$A:$A,$D269,Doors!$B:$B,$B269,Doors!$C:$C,$C269)*SUMIFS(Velocity!$I:$I,Velocity!$A:$A,$A269,Velocity!$B:$B,$C269)/Assumptions!$B$4*Assumptions!$B$6</f>
        <v>0</v>
      </c>
      <c r="G269" s="7" t="n">
        <f aca="false">SUMIFS(Doors!S:S,Doors!$A:$A,$D269,Doors!$B:$B,$B269,Doors!$C:$C,$C269)*SUMIFS(Velocity!$I:$I,Velocity!$A:$A,$A269,Velocity!$B:$B,$C269)/Assumptions!$B$4*Assumptions!$B$6</f>
        <v>0</v>
      </c>
      <c r="H269" s="7" t="n">
        <f aca="false">SUMIFS(Doors!T:T,Doors!$A:$A,$D269,Doors!$B:$B,$B269,Doors!$C:$C,$C269)*SUMIFS(Velocity!$I:$I,Velocity!$A:$A,$A269,Velocity!$B:$B,$C269)/Assumptions!$B$4*Assumptions!$B$6</f>
        <v>0</v>
      </c>
      <c r="I269" s="7" t="n">
        <f aca="false">SUMIFS(Doors!U:U,Doors!$A:$A,$D269,Doors!$B:$B,$B269,Doors!$C:$C,$C269)*SUMIFS(Velocity!$I:$I,Velocity!$A:$A,$A269,Velocity!$B:$B,$C269)/Assumptions!$B$4*Assumptions!$B$6</f>
        <v>0</v>
      </c>
      <c r="J269" s="7" t="n">
        <f aca="false">SUMIFS(Doors!V:V,Doors!$A:$A,$D269,Doors!$B:$B,$B269,Doors!$C:$C,$C269)*SUMIFS(Velocity!$I:$I,Velocity!$A:$A,$A269,Velocity!$B:$B,$C269)/Assumptions!$B$4*Assumptions!$B$6</f>
        <v>0</v>
      </c>
      <c r="K269" s="7" t="n">
        <f aca="false">SUMIFS(Doors!W:W,Doors!$A:$A,$D269,Doors!$B:$B,$B269,Doors!$C:$C,$C269)*SUMIFS(Velocity!$I:$I,Velocity!$A:$A,$A269,Velocity!$B:$B,$C269)/Assumptions!$B$4*Assumptions!$B$6</f>
        <v>0</v>
      </c>
      <c r="L269" s="7" t="n">
        <f aca="false">SUMIFS(Doors!X:X,Doors!$A:$A,$D269,Doors!$B:$B,$B269,Doors!$C:$C,$C269)*SUMIFS(Velocity!$I:$I,Velocity!$A:$A,$A269,Velocity!$B:$B,$C269)/Assumptions!$B$4*Assumptions!$B$6</f>
        <v>0</v>
      </c>
      <c r="M269" s="7" t="n">
        <f aca="false">SUMIFS(Doors!Y:Y,Doors!$A:$A,$D269,Doors!$B:$B,$B269,Doors!$C:$C,$C269)*SUMIFS(Velocity!$I:$I,Velocity!$A:$A,$A269,Velocity!$B:$B,$C269)/Assumptions!$B$4*Assumptions!$B$6</f>
        <v>0</v>
      </c>
      <c r="N269" s="7" t="n">
        <f aca="false">SUMIFS(Doors!Z:Z,Doors!$A:$A,$D269,Doors!$B:$B,$B269,Doors!$C:$C,$C269)*SUMIFS(Velocity!$I:$I,Velocity!$A:$A,$A269,Velocity!$B:$B,$C269)/Assumptions!$B$4*Assumptions!$B$6</f>
        <v>0</v>
      </c>
      <c r="O269" s="7" t="n">
        <f aca="false">SUMIFS(Doors!AA:AA,Doors!$A:$A,$D269,Doors!$B:$B,$B269,Doors!$C:$C,$C269)*SUMIFS(Velocity!$I:$I,Velocity!$A:$A,$A269,Velocity!$B:$B,$C269)/Assumptions!$B$4*Assumptions!$B$6</f>
        <v>0</v>
      </c>
      <c r="P269" s="7" t="n">
        <f aca="false">SUMIFS(Doors!AB:AB,Doors!$A:$A,$D269,Doors!$B:$B,$B269,Doors!$C:$C,$C269)*SUMIFS(Velocity!$I:$I,Velocity!$A:$A,$A269,Velocity!$B:$B,$C269)/Assumptions!$B$4*Assumptions!$B$6</f>
        <v>0</v>
      </c>
      <c r="Q269" s="7" t="n">
        <f aca="false">SUMIFS(Doors!AC:AC,Doors!$A:$A,$D269,Doors!$B:$B,$B269,Doors!$C:$C,$C269)*SUMIFS(Velocity!$I:$I,Velocity!$A:$A,$A269,Velocity!$B:$B,$C269)/Assumptions!$B$4*Assumptions!$B$6</f>
        <v>0</v>
      </c>
      <c r="R269" s="7" t="n">
        <f aca="false">SUMIFS(Doors!AD:AD,Doors!$A:$A,$D269,Doors!$B:$B,$B269,Doors!$C:$C,$C269)*SUMIFS(Velocity!$I:$I,Velocity!$A:$A,$A269,Velocity!$B:$B,$C269)/Assumptions!$B$4*Assumptions!$B$6</f>
        <v>0</v>
      </c>
      <c r="S269" s="7" t="n">
        <f aca="false">SUMIFS(Doors!AE:AE,Doors!$A:$A,$D269,Doors!$B:$B,$B269,Doors!$C:$C,$C269)*SUMIFS(Velocity!$I:$I,Velocity!$A:$A,$A269,Velocity!$B:$B,$C269)/Assumptions!$B$4*Assumptions!$B$6</f>
        <v>0</v>
      </c>
      <c r="T269" s="7" t="n">
        <f aca="false">SUMIFS(Doors!AF:AF,Doors!$A:$A,$D269,Doors!$B:$B,$B269,Doors!$C:$C,$C269)*SUMIFS(Velocity!$I:$I,Velocity!$A:$A,$A269,Velocity!$B:$B,$C269)/Assumptions!$B$4*Assumptions!$B$6</f>
        <v>0</v>
      </c>
      <c r="U269" s="7" t="n">
        <f aca="false">SUMIFS(Doors!AG:AG,Doors!$A:$A,$D269,Doors!$B:$B,$B269,Doors!$C:$C,$C269)*SUMIFS(Velocity!$I:$I,Velocity!$A:$A,$A269,Velocity!$B:$B,$C269)/Assumptions!$B$4*Assumptions!$B$6</f>
        <v>0</v>
      </c>
      <c r="V269" s="7" t="n">
        <f aca="false">SUMIFS(Doors!AH:AH,Doors!$A:$A,$D269,Doors!$B:$B,$B269,Doors!$C:$C,$C269)*SUMIFS(Velocity!$I:$I,Velocity!$A:$A,$A269,Velocity!$B:$B,$C269)/Assumptions!$B$4*Assumptions!$B$6</f>
        <v>0</v>
      </c>
      <c r="W269" s="7" t="n">
        <f aca="false">SUMIFS(Doors!AI:AI,Doors!$A:$A,$D269,Doors!$B:$B,$B269,Doors!$C:$C,$C269)*SUMIFS(Velocity!$I:$I,Velocity!$A:$A,$A269,Velocity!$B:$B,$C269)/Assumptions!$B$4*Assumptions!$B$6</f>
        <v>0</v>
      </c>
      <c r="X269" s="7" t="n">
        <f aca="false">SUMIFS(Doors!AJ:AJ,Doors!$A:$A,$D269,Doors!$B:$B,$B269,Doors!$C:$C,$C269)*SUMIFS(Velocity!$I:$I,Velocity!$A:$A,$A269,Velocity!$B:$B,$C269)/Assumptions!$B$4*Assumptions!$B$6</f>
        <v>0</v>
      </c>
      <c r="Y269" s="7" t="n">
        <f aca="false">SUMIFS(Doors!AK:AK,Doors!$A:$A,$D269,Doors!$B:$B,$B269,Doors!$C:$C,$C269)*SUMIFS(Velocity!$I:$I,Velocity!$A:$A,$A269,Velocity!$B:$B,$C269)/Assumptions!$B$4*Assumptions!$B$6</f>
        <v>0</v>
      </c>
      <c r="Z269" s="7" t="n">
        <f aca="false">SUMIFS(Doors!AL:AL,Doors!$A:$A,$D269,Doors!$B:$B,$B269,Doors!$C:$C,$C269)*SUMIFS(Velocity!$I:$I,Velocity!$A:$A,$A269,Velocity!$B:$B,$C269)/Assumptions!$B$4*Assumptions!$B$6</f>
        <v>0</v>
      </c>
      <c r="AA269" s="7" t="n">
        <f aca="false">SUMIFS(Doors!AM:AM,Doors!$A:$A,$D269,Doors!$B:$B,$B269,Doors!$C:$C,$C269)*SUMIFS(Velocity!$I:$I,Velocity!$A:$A,$A269,Velocity!$B:$B,$C269)/Assumptions!$B$4*Assumptions!$B$6</f>
        <v>0</v>
      </c>
      <c r="AB269" s="7" t="n">
        <f aca="false">SUMIFS(Doors!AN:AN,Doors!$A:$A,$D269,Doors!$B:$B,$B269,Doors!$C:$C,$C269)*SUMIFS(Velocity!$I:$I,Velocity!$A:$A,$A269,Velocity!$B:$B,$C269)/Assumptions!$B$4*Assumptions!$B$6</f>
        <v>0</v>
      </c>
      <c r="AC269" s="7" t="n">
        <f aca="false">SUMIFS(Doors!AO:AO,Doors!$A:$A,$D269,Doors!$B:$B,$B269,Doors!$C:$C,$C269)*SUMIFS(Velocity!$I:$I,Velocity!$A:$A,$A269,Velocity!$B:$B,$C269)/Assumptions!$B$4*Assumptions!$B$6</f>
        <v>0</v>
      </c>
      <c r="AD269" s="7" t="n">
        <f aca="false">SUMIFS(Doors!AP:AP,Doors!$A:$A,$D269,Doors!$B:$B,$B269,Doors!$C:$C,$C269)*SUMIFS(Velocity!$I:$I,Velocity!$A:$A,$A269,Velocity!$B:$B,$C269)/Assumptions!$B$4*Assumptions!$B$6</f>
        <v>0</v>
      </c>
      <c r="AE269" s="7" t="n">
        <f aca="false">SUMIFS(Doors!AQ:AQ,Doors!$A:$A,$D269,Doors!$B:$B,$B269,Doors!$C:$C,$C269)*SUMIFS(Velocity!$I:$I,Velocity!$A:$A,$A269,Velocity!$B:$B,$C269)/Assumptions!$B$4*Assumptions!$B$6</f>
        <v>0.685416666666667</v>
      </c>
      <c r="AF269" s="7" t="n">
        <f aca="false">SUMIFS(Doors!AR:AR,Doors!$A:$A,$D269,Doors!$B:$B,$B269,Doors!$C:$C,$C269)*SUMIFS(Velocity!$I:$I,Velocity!$A:$A,$A269,Velocity!$B:$B,$C269)/Assumptions!$B$4*Assumptions!$B$6</f>
        <v>0.685416666666667</v>
      </c>
      <c r="AG269" s="7" t="n">
        <f aca="false">SUMIFS(Doors!AS:AS,Doors!$A:$A,$D269,Doors!$B:$B,$B269,Doors!$C:$C,$C269)*SUMIFS(Velocity!$I:$I,Velocity!$A:$A,$A269,Velocity!$B:$B,$C269)/Assumptions!$B$4*Assumptions!$B$6</f>
        <v>0.685416666666667</v>
      </c>
      <c r="AH269" s="7" t="n">
        <f aca="false">SUMIFS(Doors!AT:AT,Doors!$A:$A,$D269,Doors!$B:$B,$B269,Doors!$C:$C,$C269)*SUMIFS(Velocity!$I:$I,Velocity!$A:$A,$A269,Velocity!$B:$B,$C269)/Assumptions!$B$4*Assumptions!$B$6</f>
        <v>0.685416666666667</v>
      </c>
      <c r="AI269" s="7" t="n">
        <f aca="false">SUMIFS(Doors!AU:AU,Doors!$A:$A,$D269,Doors!$B:$B,$B269,Doors!$C:$C,$C269)*SUMIFS(Velocity!$I:$I,Velocity!$A:$A,$A269,Velocity!$B:$B,$C269)/Assumptions!$B$4*Assumptions!$B$6</f>
        <v>0.685416666666667</v>
      </c>
      <c r="AJ269" s="7" t="n">
        <f aca="false">SUMIFS(Doors!AV:AV,Doors!$A:$A,$D269,Doors!$B:$B,$B269,Doors!$C:$C,$C269)*SUMIFS(Velocity!$I:$I,Velocity!$A:$A,$A269,Velocity!$B:$B,$C269)/Assumptions!$B$4*Assumptions!$B$6</f>
        <v>1.37083333333333</v>
      </c>
      <c r="AK269" s="7" t="n">
        <f aca="false">SUMIFS(Doors!AW:AW,Doors!$A:$A,$D269,Doors!$B:$B,$B269,Doors!$C:$C,$C269)*SUMIFS(Velocity!$I:$I,Velocity!$A:$A,$A269,Velocity!$B:$B,$C269)/Assumptions!$B$4*Assumptions!$B$6</f>
        <v>1.37083333333333</v>
      </c>
      <c r="AL269" s="7" t="n">
        <f aca="false">SUMIFS(Doors!AX:AX,Doors!$A:$A,$D269,Doors!$B:$B,$B269,Doors!$C:$C,$C269)*SUMIFS(Velocity!$I:$I,Velocity!$A:$A,$A269,Velocity!$B:$B,$C269)/Assumptions!$B$4*Assumptions!$B$6</f>
        <v>1.37083333333333</v>
      </c>
      <c r="AM269" s="7" t="n">
        <f aca="false">SUMIFS(Doors!AY:AY,Doors!$A:$A,$D269,Doors!$B:$B,$B269,Doors!$C:$C,$C269)*SUMIFS(Velocity!$I:$I,Velocity!$A:$A,$A269,Velocity!$B:$B,$C269)/Assumptions!$B$4*Assumptions!$B$6</f>
        <v>1.37083333333333</v>
      </c>
      <c r="AN269" s="7" t="n">
        <f aca="false">SUMIFS(Doors!AZ:AZ,Doors!$A:$A,$D269,Doors!$B:$B,$B269,Doors!$C:$C,$C269)*SUMIFS(Velocity!$I:$I,Velocity!$A:$A,$A269,Velocity!$B:$B,$C269)/Assumptions!$B$4*Assumptions!$B$6</f>
        <v>1.37083333333333</v>
      </c>
      <c r="AO269" s="7" t="n">
        <f aca="false">SUMIFS(Doors!BA:BA,Doors!$A:$A,$D269,Doors!$B:$B,$B269,Doors!$C:$C,$C269)*SUMIFS(Velocity!$I:$I,Velocity!$A:$A,$A269,Velocity!$B:$B,$C269)/Assumptions!$B$4*Assumptions!$B$6</f>
        <v>1.37083333333333</v>
      </c>
      <c r="AP269" s="7" t="n">
        <f aca="false">SUMIFS(Doors!BB:BB,Doors!$A:$A,$D269,Doors!$B:$B,$B269,Doors!$C:$C,$C269)*SUMIFS(Velocity!$I:$I,Velocity!$A:$A,$A269,Velocity!$B:$B,$C269)/Assumptions!$B$4*Assumptions!$B$6</f>
        <v>1.37083333333333</v>
      </c>
      <c r="AQ269" s="7" t="n">
        <f aca="false">SUMIFS(Doors!BC:BC,Doors!$A:$A,$D269,Doors!$B:$B,$B269,Doors!$C:$C,$C269)*SUMIFS(Velocity!$I:$I,Velocity!$A:$A,$A269,Velocity!$B:$B,$C269)/Assumptions!$B$4*Assumptions!$B$6</f>
        <v>1.37083333333333</v>
      </c>
      <c r="AR269" s="7" t="n">
        <f aca="false">SUMIFS(Doors!BD:BD,Doors!$A:$A,$D269,Doors!$B:$B,$B269,Doors!$C:$C,$C269)*SUMIFS(Velocity!$I:$I,Velocity!$A:$A,$A269,Velocity!$B:$B,$C269)/Assumptions!$B$4*Assumptions!$B$6</f>
        <v>2.05625</v>
      </c>
      <c r="AS269" s="7" t="n">
        <f aca="false">SUMIFS(Doors!BE:BE,Doors!$A:$A,$D269,Doors!$B:$B,$B269,Doors!$C:$C,$C269)*SUMIFS(Velocity!$I:$I,Velocity!$A:$A,$A269,Velocity!$B:$B,$C269)/Assumptions!$B$4*Assumptions!$B$6</f>
        <v>2.05625</v>
      </c>
      <c r="AT269" s="7" t="n">
        <f aca="false">SUMIFS(Doors!BF:BF,Doors!$A:$A,$D269,Doors!$B:$B,$B269,Doors!$C:$C,$C269)*SUMIFS(Velocity!$I:$I,Velocity!$A:$A,$A269,Velocity!$B:$B,$C269)/Assumptions!$B$4*Assumptions!$B$6</f>
        <v>2.05625</v>
      </c>
      <c r="AU269" s="7" t="n">
        <f aca="false">SUMIFS(Doors!BG:BG,Doors!$A:$A,$D269,Doors!$B:$B,$B269,Doors!$C:$C,$C269)*SUMIFS(Velocity!$I:$I,Velocity!$A:$A,$A269,Velocity!$B:$B,$C269)/Assumptions!$B$4*Assumptions!$B$6</f>
        <v>2.05625</v>
      </c>
      <c r="AV269" s="7" t="n">
        <f aca="false">SUMIFS(Doors!BH:BH,Doors!$A:$A,$D269,Doors!$B:$B,$B269,Doors!$C:$C,$C269)*SUMIFS(Velocity!$I:$I,Velocity!$A:$A,$A269,Velocity!$B:$B,$C269)/Assumptions!$B$4*Assumptions!$B$6</f>
        <v>2.05625</v>
      </c>
      <c r="AW269" s="7" t="n">
        <f aca="false">SUMIFS(Doors!BI:BI,Doors!$A:$A,$D269,Doors!$B:$B,$B269,Doors!$C:$C,$C269)*SUMIFS(Velocity!$I:$I,Velocity!$A:$A,$A269,Velocity!$B:$B,$C269)/Assumptions!$B$4*Assumptions!$B$6</f>
        <v>2.05625</v>
      </c>
      <c r="AX269" s="7" t="n">
        <f aca="false">SUMIFS(Doors!BJ:BJ,Doors!$A:$A,$D269,Doors!$B:$B,$B269,Doors!$C:$C,$C269)*SUMIFS(Velocity!$I:$I,Velocity!$A:$A,$A269,Velocity!$B:$B,$C269)/Assumptions!$B$4*Assumptions!$B$6</f>
        <v>2.05625</v>
      </c>
      <c r="AY269" s="7" t="n">
        <f aca="false">SUMIFS(Doors!BK:BK,Doors!$A:$A,$D269,Doors!$B:$B,$B269,Doors!$C:$C,$C269)*SUMIFS(Velocity!$I:$I,Velocity!$A:$A,$A269,Velocity!$B:$B,$C269)/Assumptions!$B$4*Assumptions!$B$6</f>
        <v>2.05625</v>
      </c>
      <c r="AZ269" s="7" t="n">
        <f aca="false">SUMIFS(Doors!BL:BL,Doors!$A:$A,$D269,Doors!$B:$B,$B269,Doors!$C:$C,$C269)*SUMIFS(Velocity!$I:$I,Velocity!$A:$A,$A269,Velocity!$B:$B,$C269)/Assumptions!$B$4*Assumptions!$B$6</f>
        <v>2.05625</v>
      </c>
      <c r="BA269" s="7" t="n">
        <f aca="false">SUMIFS(Doors!BM:BM,Doors!$A:$A,$D269,Doors!$B:$B,$B269,Doors!$C:$C,$C269)*SUMIFS(Velocity!$I:$I,Velocity!$A:$A,$A269,Velocity!$B:$B,$C269)/Assumptions!$B$4*Assumptions!$B$6</f>
        <v>2.05625</v>
      </c>
      <c r="BB269" s="7" t="n">
        <f aca="false">SUMIFS(Doors!BN:BN,Doors!$A:$A,$D269,Doors!$B:$B,$B269,Doors!$C:$C,$C269)*SUMIFS(Velocity!$I:$I,Velocity!$A:$A,$A269,Velocity!$B:$B,$C269)/Assumptions!$B$4*Assumptions!$B$6</f>
        <v>2.05625</v>
      </c>
      <c r="BC269" s="7" t="n">
        <f aca="false">SUMIFS(Doors!BO:BO,Doors!$A:$A,$D269,Doors!$B:$B,$B269,Doors!$C:$C,$C269)*SUMIFS(Velocity!$I:$I,Velocity!$A:$A,$A269,Velocity!$B:$B,$C269)/Assumptions!$B$4*Assumptions!$B$6</f>
        <v>2.05625</v>
      </c>
      <c r="BD269" s="7" t="n">
        <f aca="false">SUMIFS(Doors!BP:BP,Doors!$A:$A,$D269,Doors!$B:$B,$B269,Doors!$C:$C,$C269)*SUMIFS(Velocity!$I:$I,Velocity!$A:$A,$A269,Velocity!$B:$B,$C269)/Assumptions!$B$4*Assumptions!$B$6</f>
        <v>2.05625</v>
      </c>
    </row>
    <row r="270" customFormat="false" ht="15" hidden="false" customHeight="false" outlineLevel="0" collapsed="false">
      <c r="A270" s="0" t="s">
        <v>110</v>
      </c>
      <c r="B270" s="0" t="s">
        <v>135</v>
      </c>
      <c r="C270" s="0" t="s">
        <v>118</v>
      </c>
      <c r="D270" s="0" t="s">
        <v>235</v>
      </c>
      <c r="E270" s="7" t="n">
        <f aca="false">SUMIFS(Doors!Q:Q,Doors!$A:$A,$D270,Doors!$B:$B,$B270,Doors!$C:$C,$C270)*SUMIFS(Velocity!$I:$I,Velocity!$A:$A,$A270,Velocity!$B:$B,$C270)/Assumptions!$B$4*Assumptions!$B$6</f>
        <v>0</v>
      </c>
      <c r="F270" s="7" t="n">
        <f aca="false">SUMIFS(Doors!R:R,Doors!$A:$A,$D270,Doors!$B:$B,$B270,Doors!$C:$C,$C270)*SUMIFS(Velocity!$I:$I,Velocity!$A:$A,$A270,Velocity!$B:$B,$C270)/Assumptions!$B$4*Assumptions!$B$6</f>
        <v>0</v>
      </c>
      <c r="G270" s="7" t="n">
        <f aca="false">SUMIFS(Doors!S:S,Doors!$A:$A,$D270,Doors!$B:$B,$B270,Doors!$C:$C,$C270)*SUMIFS(Velocity!$I:$I,Velocity!$A:$A,$A270,Velocity!$B:$B,$C270)/Assumptions!$B$4*Assumptions!$B$6</f>
        <v>0</v>
      </c>
      <c r="H270" s="7" t="n">
        <f aca="false">SUMIFS(Doors!T:T,Doors!$A:$A,$D270,Doors!$B:$B,$B270,Doors!$C:$C,$C270)*SUMIFS(Velocity!$I:$I,Velocity!$A:$A,$A270,Velocity!$B:$B,$C270)/Assumptions!$B$4*Assumptions!$B$6</f>
        <v>0</v>
      </c>
      <c r="I270" s="7" t="n">
        <f aca="false">SUMIFS(Doors!U:U,Doors!$A:$A,$D270,Doors!$B:$B,$B270,Doors!$C:$C,$C270)*SUMIFS(Velocity!$I:$I,Velocity!$A:$A,$A270,Velocity!$B:$B,$C270)/Assumptions!$B$4*Assumptions!$B$6</f>
        <v>0</v>
      </c>
      <c r="J270" s="7" t="n">
        <f aca="false">SUMIFS(Doors!V:V,Doors!$A:$A,$D270,Doors!$B:$B,$B270,Doors!$C:$C,$C270)*SUMIFS(Velocity!$I:$I,Velocity!$A:$A,$A270,Velocity!$B:$B,$C270)/Assumptions!$B$4*Assumptions!$B$6</f>
        <v>0</v>
      </c>
      <c r="K270" s="7" t="n">
        <f aca="false">SUMIFS(Doors!W:W,Doors!$A:$A,$D270,Doors!$B:$B,$B270,Doors!$C:$C,$C270)*SUMIFS(Velocity!$I:$I,Velocity!$A:$A,$A270,Velocity!$B:$B,$C270)/Assumptions!$B$4*Assumptions!$B$6</f>
        <v>0</v>
      </c>
      <c r="L270" s="7" t="n">
        <f aca="false">SUMIFS(Doors!X:X,Doors!$A:$A,$D270,Doors!$B:$B,$B270,Doors!$C:$C,$C270)*SUMIFS(Velocity!$I:$I,Velocity!$A:$A,$A270,Velocity!$B:$B,$C270)/Assumptions!$B$4*Assumptions!$B$6</f>
        <v>0</v>
      </c>
      <c r="M270" s="7" t="n">
        <f aca="false">SUMIFS(Doors!Y:Y,Doors!$A:$A,$D270,Doors!$B:$B,$B270,Doors!$C:$C,$C270)*SUMIFS(Velocity!$I:$I,Velocity!$A:$A,$A270,Velocity!$B:$B,$C270)/Assumptions!$B$4*Assumptions!$B$6</f>
        <v>0</v>
      </c>
      <c r="N270" s="7" t="n">
        <f aca="false">SUMIFS(Doors!Z:Z,Doors!$A:$A,$D270,Doors!$B:$B,$B270,Doors!$C:$C,$C270)*SUMIFS(Velocity!$I:$I,Velocity!$A:$A,$A270,Velocity!$B:$B,$C270)/Assumptions!$B$4*Assumptions!$B$6</f>
        <v>0</v>
      </c>
      <c r="O270" s="7" t="n">
        <f aca="false">SUMIFS(Doors!AA:AA,Doors!$A:$A,$D270,Doors!$B:$B,$B270,Doors!$C:$C,$C270)*SUMIFS(Velocity!$I:$I,Velocity!$A:$A,$A270,Velocity!$B:$B,$C270)/Assumptions!$B$4*Assumptions!$B$6</f>
        <v>0</v>
      </c>
      <c r="P270" s="7" t="n">
        <f aca="false">SUMIFS(Doors!AB:AB,Doors!$A:$A,$D270,Doors!$B:$B,$B270,Doors!$C:$C,$C270)*SUMIFS(Velocity!$I:$I,Velocity!$A:$A,$A270,Velocity!$B:$B,$C270)/Assumptions!$B$4*Assumptions!$B$6</f>
        <v>0</v>
      </c>
      <c r="Q270" s="7" t="n">
        <f aca="false">SUMIFS(Doors!AC:AC,Doors!$A:$A,$D270,Doors!$B:$B,$B270,Doors!$C:$C,$C270)*SUMIFS(Velocity!$I:$I,Velocity!$A:$A,$A270,Velocity!$B:$B,$C270)/Assumptions!$B$4*Assumptions!$B$6</f>
        <v>0</v>
      </c>
      <c r="R270" s="7" t="n">
        <f aca="false">SUMIFS(Doors!AD:AD,Doors!$A:$A,$D270,Doors!$B:$B,$B270,Doors!$C:$C,$C270)*SUMIFS(Velocity!$I:$I,Velocity!$A:$A,$A270,Velocity!$B:$B,$C270)/Assumptions!$B$4*Assumptions!$B$6</f>
        <v>0</v>
      </c>
      <c r="S270" s="7" t="n">
        <f aca="false">SUMIFS(Doors!AE:AE,Doors!$A:$A,$D270,Doors!$B:$B,$B270,Doors!$C:$C,$C270)*SUMIFS(Velocity!$I:$I,Velocity!$A:$A,$A270,Velocity!$B:$B,$C270)/Assumptions!$B$4*Assumptions!$B$6</f>
        <v>0</v>
      </c>
      <c r="T270" s="7" t="n">
        <f aca="false">SUMIFS(Doors!AF:AF,Doors!$A:$A,$D270,Doors!$B:$B,$B270,Doors!$C:$C,$C270)*SUMIFS(Velocity!$I:$I,Velocity!$A:$A,$A270,Velocity!$B:$B,$C270)/Assumptions!$B$4*Assumptions!$B$6</f>
        <v>0</v>
      </c>
      <c r="U270" s="7" t="n">
        <f aca="false">SUMIFS(Doors!AG:AG,Doors!$A:$A,$D270,Doors!$B:$B,$B270,Doors!$C:$C,$C270)*SUMIFS(Velocity!$I:$I,Velocity!$A:$A,$A270,Velocity!$B:$B,$C270)/Assumptions!$B$4*Assumptions!$B$6</f>
        <v>0</v>
      </c>
      <c r="V270" s="7" t="n">
        <f aca="false">SUMIFS(Doors!AH:AH,Doors!$A:$A,$D270,Doors!$B:$B,$B270,Doors!$C:$C,$C270)*SUMIFS(Velocity!$I:$I,Velocity!$A:$A,$A270,Velocity!$B:$B,$C270)/Assumptions!$B$4*Assumptions!$B$6</f>
        <v>0</v>
      </c>
      <c r="W270" s="7" t="n">
        <f aca="false">SUMIFS(Doors!AI:AI,Doors!$A:$A,$D270,Doors!$B:$B,$B270,Doors!$C:$C,$C270)*SUMIFS(Velocity!$I:$I,Velocity!$A:$A,$A270,Velocity!$B:$B,$C270)/Assumptions!$B$4*Assumptions!$B$6</f>
        <v>0</v>
      </c>
      <c r="X270" s="7" t="n">
        <f aca="false">SUMIFS(Doors!AJ:AJ,Doors!$A:$A,$D270,Doors!$B:$B,$B270,Doors!$C:$C,$C270)*SUMIFS(Velocity!$I:$I,Velocity!$A:$A,$A270,Velocity!$B:$B,$C270)/Assumptions!$B$4*Assumptions!$B$6</f>
        <v>0</v>
      </c>
      <c r="Y270" s="7" t="n">
        <f aca="false">SUMIFS(Doors!AK:AK,Doors!$A:$A,$D270,Doors!$B:$B,$B270,Doors!$C:$C,$C270)*SUMIFS(Velocity!$I:$I,Velocity!$A:$A,$A270,Velocity!$B:$B,$C270)/Assumptions!$B$4*Assumptions!$B$6</f>
        <v>0</v>
      </c>
      <c r="Z270" s="7" t="n">
        <f aca="false">SUMIFS(Doors!AL:AL,Doors!$A:$A,$D270,Doors!$B:$B,$B270,Doors!$C:$C,$C270)*SUMIFS(Velocity!$I:$I,Velocity!$A:$A,$A270,Velocity!$B:$B,$C270)/Assumptions!$B$4*Assumptions!$B$6</f>
        <v>0</v>
      </c>
      <c r="AA270" s="7" t="n">
        <f aca="false">SUMIFS(Doors!AM:AM,Doors!$A:$A,$D270,Doors!$B:$B,$B270,Doors!$C:$C,$C270)*SUMIFS(Velocity!$I:$I,Velocity!$A:$A,$A270,Velocity!$B:$B,$C270)/Assumptions!$B$4*Assumptions!$B$6</f>
        <v>0</v>
      </c>
      <c r="AB270" s="7" t="n">
        <f aca="false">SUMIFS(Doors!AN:AN,Doors!$A:$A,$D270,Doors!$B:$B,$B270,Doors!$C:$C,$C270)*SUMIFS(Velocity!$I:$I,Velocity!$A:$A,$A270,Velocity!$B:$B,$C270)/Assumptions!$B$4*Assumptions!$B$6</f>
        <v>0</v>
      </c>
      <c r="AC270" s="7" t="n">
        <f aca="false">SUMIFS(Doors!AO:AO,Doors!$A:$A,$D270,Doors!$B:$B,$B270,Doors!$C:$C,$C270)*SUMIFS(Velocity!$I:$I,Velocity!$A:$A,$A270,Velocity!$B:$B,$C270)/Assumptions!$B$4*Assumptions!$B$6</f>
        <v>0</v>
      </c>
      <c r="AD270" s="7" t="n">
        <f aca="false">SUMIFS(Doors!AP:AP,Doors!$A:$A,$D270,Doors!$B:$B,$B270,Doors!$C:$C,$C270)*SUMIFS(Velocity!$I:$I,Velocity!$A:$A,$A270,Velocity!$B:$B,$C270)/Assumptions!$B$4*Assumptions!$B$6</f>
        <v>0</v>
      </c>
      <c r="AE270" s="7" t="n">
        <f aca="false">SUMIFS(Doors!AQ:AQ,Doors!$A:$A,$D270,Doors!$B:$B,$B270,Doors!$C:$C,$C270)*SUMIFS(Velocity!$I:$I,Velocity!$A:$A,$A270,Velocity!$B:$B,$C270)/Assumptions!$B$4*Assumptions!$B$6</f>
        <v>0</v>
      </c>
      <c r="AF270" s="7" t="n">
        <f aca="false">SUMIFS(Doors!AR:AR,Doors!$A:$A,$D270,Doors!$B:$B,$B270,Doors!$C:$C,$C270)*SUMIFS(Velocity!$I:$I,Velocity!$A:$A,$A270,Velocity!$B:$B,$C270)/Assumptions!$B$4*Assumptions!$B$6</f>
        <v>0</v>
      </c>
      <c r="AG270" s="7" t="n">
        <f aca="false">SUMIFS(Doors!AS:AS,Doors!$A:$A,$D270,Doors!$B:$B,$B270,Doors!$C:$C,$C270)*SUMIFS(Velocity!$I:$I,Velocity!$A:$A,$A270,Velocity!$B:$B,$C270)/Assumptions!$B$4*Assumptions!$B$6</f>
        <v>0</v>
      </c>
      <c r="AH270" s="7" t="n">
        <f aca="false">SUMIFS(Doors!AT:AT,Doors!$A:$A,$D270,Doors!$B:$B,$B270,Doors!$C:$C,$C270)*SUMIFS(Velocity!$I:$I,Velocity!$A:$A,$A270,Velocity!$B:$B,$C270)/Assumptions!$B$4*Assumptions!$B$6</f>
        <v>0</v>
      </c>
      <c r="AI270" s="7" t="n">
        <f aca="false">SUMIFS(Doors!AU:AU,Doors!$A:$A,$D270,Doors!$B:$B,$B270,Doors!$C:$C,$C270)*SUMIFS(Velocity!$I:$I,Velocity!$A:$A,$A270,Velocity!$B:$B,$C270)/Assumptions!$B$4*Assumptions!$B$6</f>
        <v>0</v>
      </c>
      <c r="AJ270" s="7" t="n">
        <f aca="false">SUMIFS(Doors!AV:AV,Doors!$A:$A,$D270,Doors!$B:$B,$B270,Doors!$C:$C,$C270)*SUMIFS(Velocity!$I:$I,Velocity!$A:$A,$A270,Velocity!$B:$B,$C270)/Assumptions!$B$4*Assumptions!$B$6</f>
        <v>0</v>
      </c>
      <c r="AK270" s="7" t="n">
        <f aca="false">SUMIFS(Doors!AW:AW,Doors!$A:$A,$D270,Doors!$B:$B,$B270,Doors!$C:$C,$C270)*SUMIFS(Velocity!$I:$I,Velocity!$A:$A,$A270,Velocity!$B:$B,$C270)/Assumptions!$B$4*Assumptions!$B$6</f>
        <v>0</v>
      </c>
      <c r="AL270" s="7" t="n">
        <f aca="false">SUMIFS(Doors!AX:AX,Doors!$A:$A,$D270,Doors!$B:$B,$B270,Doors!$C:$C,$C270)*SUMIFS(Velocity!$I:$I,Velocity!$A:$A,$A270,Velocity!$B:$B,$C270)/Assumptions!$B$4*Assumptions!$B$6</f>
        <v>0</v>
      </c>
      <c r="AM270" s="7" t="n">
        <f aca="false">SUMIFS(Doors!AY:AY,Doors!$A:$A,$D270,Doors!$B:$B,$B270,Doors!$C:$C,$C270)*SUMIFS(Velocity!$I:$I,Velocity!$A:$A,$A270,Velocity!$B:$B,$C270)/Assumptions!$B$4*Assumptions!$B$6</f>
        <v>0</v>
      </c>
      <c r="AN270" s="7" t="n">
        <f aca="false">SUMIFS(Doors!AZ:AZ,Doors!$A:$A,$D270,Doors!$B:$B,$B270,Doors!$C:$C,$C270)*SUMIFS(Velocity!$I:$I,Velocity!$A:$A,$A270,Velocity!$B:$B,$C270)/Assumptions!$B$4*Assumptions!$B$6</f>
        <v>0</v>
      </c>
      <c r="AO270" s="7" t="n">
        <f aca="false">SUMIFS(Doors!BA:BA,Doors!$A:$A,$D270,Doors!$B:$B,$B270,Doors!$C:$C,$C270)*SUMIFS(Velocity!$I:$I,Velocity!$A:$A,$A270,Velocity!$B:$B,$C270)/Assumptions!$B$4*Assumptions!$B$6</f>
        <v>0</v>
      </c>
      <c r="AP270" s="7" t="n">
        <f aca="false">SUMIFS(Doors!BB:BB,Doors!$A:$A,$D270,Doors!$B:$B,$B270,Doors!$C:$C,$C270)*SUMIFS(Velocity!$I:$I,Velocity!$A:$A,$A270,Velocity!$B:$B,$C270)/Assumptions!$B$4*Assumptions!$B$6</f>
        <v>0</v>
      </c>
      <c r="AQ270" s="7" t="n">
        <f aca="false">SUMIFS(Doors!BC:BC,Doors!$A:$A,$D270,Doors!$B:$B,$B270,Doors!$C:$C,$C270)*SUMIFS(Velocity!$I:$I,Velocity!$A:$A,$A270,Velocity!$B:$B,$C270)/Assumptions!$B$4*Assumptions!$B$6</f>
        <v>0</v>
      </c>
      <c r="AR270" s="7" t="n">
        <f aca="false">SUMIFS(Doors!BD:BD,Doors!$A:$A,$D270,Doors!$B:$B,$B270,Doors!$C:$C,$C270)*SUMIFS(Velocity!$I:$I,Velocity!$A:$A,$A270,Velocity!$B:$B,$C270)/Assumptions!$B$4*Assumptions!$B$6</f>
        <v>0</v>
      </c>
      <c r="AS270" s="7" t="n">
        <f aca="false">SUMIFS(Doors!BE:BE,Doors!$A:$A,$D270,Doors!$B:$B,$B270,Doors!$C:$C,$C270)*SUMIFS(Velocity!$I:$I,Velocity!$A:$A,$A270,Velocity!$B:$B,$C270)/Assumptions!$B$4*Assumptions!$B$6</f>
        <v>0</v>
      </c>
      <c r="AT270" s="7" t="n">
        <f aca="false">SUMIFS(Doors!BF:BF,Doors!$A:$A,$D270,Doors!$B:$B,$B270,Doors!$C:$C,$C270)*SUMIFS(Velocity!$I:$I,Velocity!$A:$A,$A270,Velocity!$B:$B,$C270)/Assumptions!$B$4*Assumptions!$B$6</f>
        <v>0</v>
      </c>
      <c r="AU270" s="7" t="n">
        <f aca="false">SUMIFS(Doors!BG:BG,Doors!$A:$A,$D270,Doors!$B:$B,$B270,Doors!$C:$C,$C270)*SUMIFS(Velocity!$I:$I,Velocity!$A:$A,$A270,Velocity!$B:$B,$C270)/Assumptions!$B$4*Assumptions!$B$6</f>
        <v>0</v>
      </c>
      <c r="AV270" s="7" t="n">
        <f aca="false">SUMIFS(Doors!BH:BH,Doors!$A:$A,$D270,Doors!$B:$B,$B270,Doors!$C:$C,$C270)*SUMIFS(Velocity!$I:$I,Velocity!$A:$A,$A270,Velocity!$B:$B,$C270)/Assumptions!$B$4*Assumptions!$B$6</f>
        <v>0</v>
      </c>
      <c r="AW270" s="7" t="n">
        <f aca="false">SUMIFS(Doors!BI:BI,Doors!$A:$A,$D270,Doors!$B:$B,$B270,Doors!$C:$C,$C270)*SUMIFS(Velocity!$I:$I,Velocity!$A:$A,$A270,Velocity!$B:$B,$C270)/Assumptions!$B$4*Assumptions!$B$6</f>
        <v>0</v>
      </c>
      <c r="AX270" s="7" t="n">
        <f aca="false">SUMIFS(Doors!BJ:BJ,Doors!$A:$A,$D270,Doors!$B:$B,$B270,Doors!$C:$C,$C270)*SUMIFS(Velocity!$I:$I,Velocity!$A:$A,$A270,Velocity!$B:$B,$C270)/Assumptions!$B$4*Assumptions!$B$6</f>
        <v>0</v>
      </c>
      <c r="AY270" s="7" t="n">
        <f aca="false">SUMIFS(Doors!BK:BK,Doors!$A:$A,$D270,Doors!$B:$B,$B270,Doors!$C:$C,$C270)*SUMIFS(Velocity!$I:$I,Velocity!$A:$A,$A270,Velocity!$B:$B,$C270)/Assumptions!$B$4*Assumptions!$B$6</f>
        <v>0</v>
      </c>
      <c r="AZ270" s="7" t="n">
        <f aca="false">SUMIFS(Doors!BL:BL,Doors!$A:$A,$D270,Doors!$B:$B,$B270,Doors!$C:$C,$C270)*SUMIFS(Velocity!$I:$I,Velocity!$A:$A,$A270,Velocity!$B:$B,$C270)/Assumptions!$B$4*Assumptions!$B$6</f>
        <v>0</v>
      </c>
      <c r="BA270" s="7" t="n">
        <f aca="false">SUMIFS(Doors!BM:BM,Doors!$A:$A,$D270,Doors!$B:$B,$B270,Doors!$C:$C,$C270)*SUMIFS(Velocity!$I:$I,Velocity!$A:$A,$A270,Velocity!$B:$B,$C270)/Assumptions!$B$4*Assumptions!$B$6</f>
        <v>0</v>
      </c>
      <c r="BB270" s="7" t="n">
        <f aca="false">SUMIFS(Doors!BN:BN,Doors!$A:$A,$D270,Doors!$B:$B,$B270,Doors!$C:$C,$C270)*SUMIFS(Velocity!$I:$I,Velocity!$A:$A,$A270,Velocity!$B:$B,$C270)/Assumptions!$B$4*Assumptions!$B$6</f>
        <v>0</v>
      </c>
      <c r="BC270" s="7" t="n">
        <f aca="false">SUMIFS(Doors!BO:BO,Doors!$A:$A,$D270,Doors!$B:$B,$B270,Doors!$C:$C,$C270)*SUMIFS(Velocity!$I:$I,Velocity!$A:$A,$A270,Velocity!$B:$B,$C270)/Assumptions!$B$4*Assumptions!$B$6</f>
        <v>0</v>
      </c>
      <c r="BD270" s="7" t="n">
        <f aca="false">SUMIFS(Doors!BP:BP,Doors!$A:$A,$D270,Doors!$B:$B,$B270,Doors!$C:$C,$C270)*SUMIFS(Velocity!$I:$I,Velocity!$A:$A,$A270,Velocity!$B:$B,$C270)/Assumptions!$B$4*Assumptions!$B$6</f>
        <v>0</v>
      </c>
    </row>
    <row r="271" customFormat="false" ht="15" hidden="false" customHeight="false" outlineLevel="0" collapsed="false">
      <c r="A271" s="0" t="s">
        <v>110</v>
      </c>
      <c r="B271" s="0" t="s">
        <v>135</v>
      </c>
      <c r="C271" s="0" t="s">
        <v>119</v>
      </c>
      <c r="D271" s="0" t="s">
        <v>235</v>
      </c>
      <c r="E271" s="7" t="n">
        <f aca="false">SUMIFS(Doors!Q:Q,Doors!$A:$A,$D271,Doors!$B:$B,$B271,Doors!$C:$C,$C271)*SUMIFS(Velocity!$I:$I,Velocity!$A:$A,$A271,Velocity!$B:$B,$C271)/Assumptions!$B$4*Assumptions!$B$6</f>
        <v>0.166666666666667</v>
      </c>
      <c r="F271" s="7" t="n">
        <f aca="false">SUMIFS(Doors!R:R,Doors!$A:$A,$D271,Doors!$B:$B,$B271,Doors!$C:$C,$C271)*SUMIFS(Velocity!$I:$I,Velocity!$A:$A,$A271,Velocity!$B:$B,$C271)/Assumptions!$B$4*Assumptions!$B$6</f>
        <v>0.166666666666667</v>
      </c>
      <c r="G271" s="7" t="n">
        <f aca="false">SUMIFS(Doors!S:S,Doors!$A:$A,$D271,Doors!$B:$B,$B271,Doors!$C:$C,$C271)*SUMIFS(Velocity!$I:$I,Velocity!$A:$A,$A271,Velocity!$B:$B,$C271)/Assumptions!$B$4*Assumptions!$B$6</f>
        <v>0.166666666666667</v>
      </c>
      <c r="H271" s="7" t="n">
        <f aca="false">SUMIFS(Doors!T:T,Doors!$A:$A,$D271,Doors!$B:$B,$B271,Doors!$C:$C,$C271)*SUMIFS(Velocity!$I:$I,Velocity!$A:$A,$A271,Velocity!$B:$B,$C271)/Assumptions!$B$4*Assumptions!$B$6</f>
        <v>0.166666666666667</v>
      </c>
      <c r="I271" s="7" t="n">
        <f aca="false">SUMIFS(Doors!U:U,Doors!$A:$A,$D271,Doors!$B:$B,$B271,Doors!$C:$C,$C271)*SUMIFS(Velocity!$I:$I,Velocity!$A:$A,$A271,Velocity!$B:$B,$C271)/Assumptions!$B$4*Assumptions!$B$6</f>
        <v>0.166666666666667</v>
      </c>
      <c r="J271" s="7" t="n">
        <f aca="false">SUMIFS(Doors!V:V,Doors!$A:$A,$D271,Doors!$B:$B,$B271,Doors!$C:$C,$C271)*SUMIFS(Velocity!$I:$I,Velocity!$A:$A,$A271,Velocity!$B:$B,$C271)/Assumptions!$B$4*Assumptions!$B$6</f>
        <v>0.166666666666667</v>
      </c>
      <c r="K271" s="7" t="n">
        <f aca="false">SUMIFS(Doors!W:W,Doors!$A:$A,$D271,Doors!$B:$B,$B271,Doors!$C:$C,$C271)*SUMIFS(Velocity!$I:$I,Velocity!$A:$A,$A271,Velocity!$B:$B,$C271)/Assumptions!$B$4*Assumptions!$B$6</f>
        <v>0.166666666666667</v>
      </c>
      <c r="L271" s="7" t="n">
        <f aca="false">SUMIFS(Doors!X:X,Doors!$A:$A,$D271,Doors!$B:$B,$B271,Doors!$C:$C,$C271)*SUMIFS(Velocity!$I:$I,Velocity!$A:$A,$A271,Velocity!$B:$B,$C271)/Assumptions!$B$4*Assumptions!$B$6</f>
        <v>0.166666666666667</v>
      </c>
      <c r="M271" s="7" t="n">
        <f aca="false">SUMIFS(Doors!Y:Y,Doors!$A:$A,$D271,Doors!$B:$B,$B271,Doors!$C:$C,$C271)*SUMIFS(Velocity!$I:$I,Velocity!$A:$A,$A271,Velocity!$B:$B,$C271)/Assumptions!$B$4*Assumptions!$B$6</f>
        <v>0.166666666666667</v>
      </c>
      <c r="N271" s="7" t="n">
        <f aca="false">SUMIFS(Doors!Z:Z,Doors!$A:$A,$D271,Doors!$B:$B,$B271,Doors!$C:$C,$C271)*SUMIFS(Velocity!$I:$I,Velocity!$A:$A,$A271,Velocity!$B:$B,$C271)/Assumptions!$B$4*Assumptions!$B$6</f>
        <v>0.333333333333333</v>
      </c>
      <c r="O271" s="7" t="n">
        <f aca="false">SUMIFS(Doors!AA:AA,Doors!$A:$A,$D271,Doors!$B:$B,$B271,Doors!$C:$C,$C271)*SUMIFS(Velocity!$I:$I,Velocity!$A:$A,$A271,Velocity!$B:$B,$C271)/Assumptions!$B$4*Assumptions!$B$6</f>
        <v>0.333333333333333</v>
      </c>
      <c r="P271" s="7" t="n">
        <f aca="false">SUMIFS(Doors!AB:AB,Doors!$A:$A,$D271,Doors!$B:$B,$B271,Doors!$C:$C,$C271)*SUMIFS(Velocity!$I:$I,Velocity!$A:$A,$A271,Velocity!$B:$B,$C271)/Assumptions!$B$4*Assumptions!$B$6</f>
        <v>0.333333333333333</v>
      </c>
      <c r="Q271" s="7" t="n">
        <f aca="false">SUMIFS(Doors!AC:AC,Doors!$A:$A,$D271,Doors!$B:$B,$B271,Doors!$C:$C,$C271)*SUMIFS(Velocity!$I:$I,Velocity!$A:$A,$A271,Velocity!$B:$B,$C271)/Assumptions!$B$4*Assumptions!$B$6</f>
        <v>0.333333333333333</v>
      </c>
      <c r="R271" s="7" t="n">
        <f aca="false">SUMIFS(Doors!AD:AD,Doors!$A:$A,$D271,Doors!$B:$B,$B271,Doors!$C:$C,$C271)*SUMIFS(Velocity!$I:$I,Velocity!$A:$A,$A271,Velocity!$B:$B,$C271)/Assumptions!$B$4*Assumptions!$B$6</f>
        <v>0.333333333333333</v>
      </c>
      <c r="S271" s="7" t="n">
        <f aca="false">SUMIFS(Doors!AE:AE,Doors!$A:$A,$D271,Doors!$B:$B,$B271,Doors!$C:$C,$C271)*SUMIFS(Velocity!$I:$I,Velocity!$A:$A,$A271,Velocity!$B:$B,$C271)/Assumptions!$B$4*Assumptions!$B$6</f>
        <v>0.333333333333333</v>
      </c>
      <c r="T271" s="7" t="n">
        <f aca="false">SUMIFS(Doors!AF:AF,Doors!$A:$A,$D271,Doors!$B:$B,$B271,Doors!$C:$C,$C271)*SUMIFS(Velocity!$I:$I,Velocity!$A:$A,$A271,Velocity!$B:$B,$C271)/Assumptions!$B$4*Assumptions!$B$6</f>
        <v>0.333333333333333</v>
      </c>
      <c r="U271" s="7" t="n">
        <f aca="false">SUMIFS(Doors!AG:AG,Doors!$A:$A,$D271,Doors!$B:$B,$B271,Doors!$C:$C,$C271)*SUMIFS(Velocity!$I:$I,Velocity!$A:$A,$A271,Velocity!$B:$B,$C271)/Assumptions!$B$4*Assumptions!$B$6</f>
        <v>0.333333333333333</v>
      </c>
      <c r="V271" s="7" t="n">
        <f aca="false">SUMIFS(Doors!AH:AH,Doors!$A:$A,$D271,Doors!$B:$B,$B271,Doors!$C:$C,$C271)*SUMIFS(Velocity!$I:$I,Velocity!$A:$A,$A271,Velocity!$B:$B,$C271)/Assumptions!$B$4*Assumptions!$B$6</f>
        <v>0.333333333333333</v>
      </c>
      <c r="W271" s="7" t="n">
        <f aca="false">SUMIFS(Doors!AI:AI,Doors!$A:$A,$D271,Doors!$B:$B,$B271,Doors!$C:$C,$C271)*SUMIFS(Velocity!$I:$I,Velocity!$A:$A,$A271,Velocity!$B:$B,$C271)/Assumptions!$B$4*Assumptions!$B$6</f>
        <v>0.5</v>
      </c>
      <c r="X271" s="7" t="n">
        <f aca="false">SUMIFS(Doors!AJ:AJ,Doors!$A:$A,$D271,Doors!$B:$B,$B271,Doors!$C:$C,$C271)*SUMIFS(Velocity!$I:$I,Velocity!$A:$A,$A271,Velocity!$B:$B,$C271)/Assumptions!$B$4*Assumptions!$B$6</f>
        <v>0.5</v>
      </c>
      <c r="Y271" s="7" t="n">
        <f aca="false">SUMIFS(Doors!AK:AK,Doors!$A:$A,$D271,Doors!$B:$B,$B271,Doors!$C:$C,$C271)*SUMIFS(Velocity!$I:$I,Velocity!$A:$A,$A271,Velocity!$B:$B,$C271)/Assumptions!$B$4*Assumptions!$B$6</f>
        <v>0.5</v>
      </c>
      <c r="Z271" s="7" t="n">
        <f aca="false">SUMIFS(Doors!AL:AL,Doors!$A:$A,$D271,Doors!$B:$B,$B271,Doors!$C:$C,$C271)*SUMIFS(Velocity!$I:$I,Velocity!$A:$A,$A271,Velocity!$B:$B,$C271)/Assumptions!$B$4*Assumptions!$B$6</f>
        <v>0.5</v>
      </c>
      <c r="AA271" s="7" t="n">
        <f aca="false">SUMIFS(Doors!AM:AM,Doors!$A:$A,$D271,Doors!$B:$B,$B271,Doors!$C:$C,$C271)*SUMIFS(Velocity!$I:$I,Velocity!$A:$A,$A271,Velocity!$B:$B,$C271)/Assumptions!$B$4*Assumptions!$B$6</f>
        <v>0.5</v>
      </c>
      <c r="AB271" s="7" t="n">
        <f aca="false">SUMIFS(Doors!AN:AN,Doors!$A:$A,$D271,Doors!$B:$B,$B271,Doors!$C:$C,$C271)*SUMIFS(Velocity!$I:$I,Velocity!$A:$A,$A271,Velocity!$B:$B,$C271)/Assumptions!$B$4*Assumptions!$B$6</f>
        <v>0.5</v>
      </c>
      <c r="AC271" s="7" t="n">
        <f aca="false">SUMIFS(Doors!AO:AO,Doors!$A:$A,$D271,Doors!$B:$B,$B271,Doors!$C:$C,$C271)*SUMIFS(Velocity!$I:$I,Velocity!$A:$A,$A271,Velocity!$B:$B,$C271)/Assumptions!$B$4*Assumptions!$B$6</f>
        <v>0.5</v>
      </c>
      <c r="AD271" s="7" t="n">
        <f aca="false">SUMIFS(Doors!AP:AP,Doors!$A:$A,$D271,Doors!$B:$B,$B271,Doors!$C:$C,$C271)*SUMIFS(Velocity!$I:$I,Velocity!$A:$A,$A271,Velocity!$B:$B,$C271)/Assumptions!$B$4*Assumptions!$B$6</f>
        <v>0.5</v>
      </c>
      <c r="AE271" s="7" t="n">
        <f aca="false">SUMIFS(Doors!AQ:AQ,Doors!$A:$A,$D271,Doors!$B:$B,$B271,Doors!$C:$C,$C271)*SUMIFS(Velocity!$I:$I,Velocity!$A:$A,$A271,Velocity!$B:$B,$C271)/Assumptions!$B$4*Assumptions!$B$6</f>
        <v>0.666666666666667</v>
      </c>
      <c r="AF271" s="7" t="n">
        <f aca="false">SUMIFS(Doors!AR:AR,Doors!$A:$A,$D271,Doors!$B:$B,$B271,Doors!$C:$C,$C271)*SUMIFS(Velocity!$I:$I,Velocity!$A:$A,$A271,Velocity!$B:$B,$C271)/Assumptions!$B$4*Assumptions!$B$6</f>
        <v>0.666666666666667</v>
      </c>
      <c r="AG271" s="7" t="n">
        <f aca="false">SUMIFS(Doors!AS:AS,Doors!$A:$A,$D271,Doors!$B:$B,$B271,Doors!$C:$C,$C271)*SUMIFS(Velocity!$I:$I,Velocity!$A:$A,$A271,Velocity!$B:$B,$C271)/Assumptions!$B$4*Assumptions!$B$6</f>
        <v>0.666666666666667</v>
      </c>
      <c r="AH271" s="7" t="n">
        <f aca="false">SUMIFS(Doors!AT:AT,Doors!$A:$A,$D271,Doors!$B:$B,$B271,Doors!$C:$C,$C271)*SUMIFS(Velocity!$I:$I,Velocity!$A:$A,$A271,Velocity!$B:$B,$C271)/Assumptions!$B$4*Assumptions!$B$6</f>
        <v>0.666666666666667</v>
      </c>
      <c r="AI271" s="7" t="n">
        <f aca="false">SUMIFS(Doors!AU:AU,Doors!$A:$A,$D271,Doors!$B:$B,$B271,Doors!$C:$C,$C271)*SUMIFS(Velocity!$I:$I,Velocity!$A:$A,$A271,Velocity!$B:$B,$C271)/Assumptions!$B$4*Assumptions!$B$6</f>
        <v>0.666666666666667</v>
      </c>
      <c r="AJ271" s="7" t="n">
        <f aca="false">SUMIFS(Doors!AV:AV,Doors!$A:$A,$D271,Doors!$B:$B,$B271,Doors!$C:$C,$C271)*SUMIFS(Velocity!$I:$I,Velocity!$A:$A,$A271,Velocity!$B:$B,$C271)/Assumptions!$B$4*Assumptions!$B$6</f>
        <v>0.666666666666667</v>
      </c>
      <c r="AK271" s="7" t="n">
        <f aca="false">SUMIFS(Doors!AW:AW,Doors!$A:$A,$D271,Doors!$B:$B,$B271,Doors!$C:$C,$C271)*SUMIFS(Velocity!$I:$I,Velocity!$A:$A,$A271,Velocity!$B:$B,$C271)/Assumptions!$B$4*Assumptions!$B$6</f>
        <v>0.666666666666667</v>
      </c>
      <c r="AL271" s="7" t="n">
        <f aca="false">SUMIFS(Doors!AX:AX,Doors!$A:$A,$D271,Doors!$B:$B,$B271,Doors!$C:$C,$C271)*SUMIFS(Velocity!$I:$I,Velocity!$A:$A,$A271,Velocity!$B:$B,$C271)/Assumptions!$B$4*Assumptions!$B$6</f>
        <v>0.666666666666667</v>
      </c>
      <c r="AM271" s="7" t="n">
        <f aca="false">SUMIFS(Doors!AY:AY,Doors!$A:$A,$D271,Doors!$B:$B,$B271,Doors!$C:$C,$C271)*SUMIFS(Velocity!$I:$I,Velocity!$A:$A,$A271,Velocity!$B:$B,$C271)/Assumptions!$B$4*Assumptions!$B$6</f>
        <v>0.666666666666667</v>
      </c>
      <c r="AN271" s="7" t="n">
        <f aca="false">SUMIFS(Doors!AZ:AZ,Doors!$A:$A,$D271,Doors!$B:$B,$B271,Doors!$C:$C,$C271)*SUMIFS(Velocity!$I:$I,Velocity!$A:$A,$A271,Velocity!$B:$B,$C271)/Assumptions!$B$4*Assumptions!$B$6</f>
        <v>0.666666666666667</v>
      </c>
      <c r="AO271" s="7" t="n">
        <f aca="false">SUMIFS(Doors!BA:BA,Doors!$A:$A,$D271,Doors!$B:$B,$B271,Doors!$C:$C,$C271)*SUMIFS(Velocity!$I:$I,Velocity!$A:$A,$A271,Velocity!$B:$B,$C271)/Assumptions!$B$4*Assumptions!$B$6</f>
        <v>0.666666666666667</v>
      </c>
      <c r="AP271" s="7" t="n">
        <f aca="false">SUMIFS(Doors!BB:BB,Doors!$A:$A,$D271,Doors!$B:$B,$B271,Doors!$C:$C,$C271)*SUMIFS(Velocity!$I:$I,Velocity!$A:$A,$A271,Velocity!$B:$B,$C271)/Assumptions!$B$4*Assumptions!$B$6</f>
        <v>0.666666666666667</v>
      </c>
      <c r="AQ271" s="7" t="n">
        <f aca="false">SUMIFS(Doors!BC:BC,Doors!$A:$A,$D271,Doors!$B:$B,$B271,Doors!$C:$C,$C271)*SUMIFS(Velocity!$I:$I,Velocity!$A:$A,$A271,Velocity!$B:$B,$C271)/Assumptions!$B$4*Assumptions!$B$6</f>
        <v>0.666666666666667</v>
      </c>
      <c r="AR271" s="7" t="n">
        <f aca="false">SUMIFS(Doors!BD:BD,Doors!$A:$A,$D271,Doors!$B:$B,$B271,Doors!$C:$C,$C271)*SUMIFS(Velocity!$I:$I,Velocity!$A:$A,$A271,Velocity!$B:$B,$C271)/Assumptions!$B$4*Assumptions!$B$6</f>
        <v>0.833333333333333</v>
      </c>
      <c r="AS271" s="7" t="n">
        <f aca="false">SUMIFS(Doors!BE:BE,Doors!$A:$A,$D271,Doors!$B:$B,$B271,Doors!$C:$C,$C271)*SUMIFS(Velocity!$I:$I,Velocity!$A:$A,$A271,Velocity!$B:$B,$C271)/Assumptions!$B$4*Assumptions!$B$6</f>
        <v>0.833333333333333</v>
      </c>
      <c r="AT271" s="7" t="n">
        <f aca="false">SUMIFS(Doors!BF:BF,Doors!$A:$A,$D271,Doors!$B:$B,$B271,Doors!$C:$C,$C271)*SUMIFS(Velocity!$I:$I,Velocity!$A:$A,$A271,Velocity!$B:$B,$C271)/Assumptions!$B$4*Assumptions!$B$6</f>
        <v>0.833333333333333</v>
      </c>
      <c r="AU271" s="7" t="n">
        <f aca="false">SUMIFS(Doors!BG:BG,Doors!$A:$A,$D271,Doors!$B:$B,$B271,Doors!$C:$C,$C271)*SUMIFS(Velocity!$I:$I,Velocity!$A:$A,$A271,Velocity!$B:$B,$C271)/Assumptions!$B$4*Assumptions!$B$6</f>
        <v>0.833333333333333</v>
      </c>
      <c r="AV271" s="7" t="n">
        <f aca="false">SUMIFS(Doors!BH:BH,Doors!$A:$A,$D271,Doors!$B:$B,$B271,Doors!$C:$C,$C271)*SUMIFS(Velocity!$I:$I,Velocity!$A:$A,$A271,Velocity!$B:$B,$C271)/Assumptions!$B$4*Assumptions!$B$6</f>
        <v>0.833333333333333</v>
      </c>
      <c r="AW271" s="7" t="n">
        <f aca="false">SUMIFS(Doors!BI:BI,Doors!$A:$A,$D271,Doors!$B:$B,$B271,Doors!$C:$C,$C271)*SUMIFS(Velocity!$I:$I,Velocity!$A:$A,$A271,Velocity!$B:$B,$C271)/Assumptions!$B$4*Assumptions!$B$6</f>
        <v>0.833333333333333</v>
      </c>
      <c r="AX271" s="7" t="n">
        <f aca="false">SUMIFS(Doors!BJ:BJ,Doors!$A:$A,$D271,Doors!$B:$B,$B271,Doors!$C:$C,$C271)*SUMIFS(Velocity!$I:$I,Velocity!$A:$A,$A271,Velocity!$B:$B,$C271)/Assumptions!$B$4*Assumptions!$B$6</f>
        <v>0.833333333333333</v>
      </c>
      <c r="AY271" s="7" t="n">
        <f aca="false">SUMIFS(Doors!BK:BK,Doors!$A:$A,$D271,Doors!$B:$B,$B271,Doors!$C:$C,$C271)*SUMIFS(Velocity!$I:$I,Velocity!$A:$A,$A271,Velocity!$B:$B,$C271)/Assumptions!$B$4*Assumptions!$B$6</f>
        <v>0.833333333333333</v>
      </c>
      <c r="AZ271" s="7" t="n">
        <f aca="false">SUMIFS(Doors!BL:BL,Doors!$A:$A,$D271,Doors!$B:$B,$B271,Doors!$C:$C,$C271)*SUMIFS(Velocity!$I:$I,Velocity!$A:$A,$A271,Velocity!$B:$B,$C271)/Assumptions!$B$4*Assumptions!$B$6</f>
        <v>0.833333333333333</v>
      </c>
      <c r="BA271" s="7" t="n">
        <f aca="false">SUMIFS(Doors!BM:BM,Doors!$A:$A,$D271,Doors!$B:$B,$B271,Doors!$C:$C,$C271)*SUMIFS(Velocity!$I:$I,Velocity!$A:$A,$A271,Velocity!$B:$B,$C271)/Assumptions!$B$4*Assumptions!$B$6</f>
        <v>0.833333333333333</v>
      </c>
      <c r="BB271" s="7" t="n">
        <f aca="false">SUMIFS(Doors!BN:BN,Doors!$A:$A,$D271,Doors!$B:$B,$B271,Doors!$C:$C,$C271)*SUMIFS(Velocity!$I:$I,Velocity!$A:$A,$A271,Velocity!$B:$B,$C271)/Assumptions!$B$4*Assumptions!$B$6</f>
        <v>0.833333333333333</v>
      </c>
      <c r="BC271" s="7" t="n">
        <f aca="false">SUMIFS(Doors!BO:BO,Doors!$A:$A,$D271,Doors!$B:$B,$B271,Doors!$C:$C,$C271)*SUMIFS(Velocity!$I:$I,Velocity!$A:$A,$A271,Velocity!$B:$B,$C271)/Assumptions!$B$4*Assumptions!$B$6</f>
        <v>0.833333333333333</v>
      </c>
      <c r="BD271" s="7" t="n">
        <f aca="false">SUMIFS(Doors!BP:BP,Doors!$A:$A,$D271,Doors!$B:$B,$B271,Doors!$C:$C,$C271)*SUMIFS(Velocity!$I:$I,Velocity!$A:$A,$A271,Velocity!$B:$B,$C271)/Assumptions!$B$4*Assumptions!$B$6</f>
        <v>0.833333333333333</v>
      </c>
    </row>
    <row r="272" customFormat="false" ht="15" hidden="false" customHeight="false" outlineLevel="0" collapsed="false">
      <c r="A272" s="0" t="s">
        <v>110</v>
      </c>
      <c r="B272" s="0" t="s">
        <v>135</v>
      </c>
      <c r="C272" s="0" t="s">
        <v>120</v>
      </c>
      <c r="D272" s="0" t="s">
        <v>235</v>
      </c>
      <c r="E272" s="7" t="n">
        <f aca="false">SUMIFS(Doors!Q:Q,Doors!$A:$A,$D272,Doors!$B:$B,$B272,Doors!$C:$C,$C272)*SUMIFS(Velocity!$I:$I,Velocity!$A:$A,$A272,Velocity!$B:$B,$C272)/Assumptions!$B$4*Assumptions!$B$6</f>
        <v>0.197916666666667</v>
      </c>
      <c r="F272" s="7" t="n">
        <f aca="false">SUMIFS(Doors!R:R,Doors!$A:$A,$D272,Doors!$B:$B,$B272,Doors!$C:$C,$C272)*SUMIFS(Velocity!$I:$I,Velocity!$A:$A,$A272,Velocity!$B:$B,$C272)/Assumptions!$B$4*Assumptions!$B$6</f>
        <v>0.197916666666667</v>
      </c>
      <c r="G272" s="7" t="n">
        <f aca="false">SUMIFS(Doors!S:S,Doors!$A:$A,$D272,Doors!$B:$B,$B272,Doors!$C:$C,$C272)*SUMIFS(Velocity!$I:$I,Velocity!$A:$A,$A272,Velocity!$B:$B,$C272)/Assumptions!$B$4*Assumptions!$B$6</f>
        <v>0.197916666666667</v>
      </c>
      <c r="H272" s="7" t="n">
        <f aca="false">SUMIFS(Doors!T:T,Doors!$A:$A,$D272,Doors!$B:$B,$B272,Doors!$C:$C,$C272)*SUMIFS(Velocity!$I:$I,Velocity!$A:$A,$A272,Velocity!$B:$B,$C272)/Assumptions!$B$4*Assumptions!$B$6</f>
        <v>0.197916666666667</v>
      </c>
      <c r="I272" s="7" t="n">
        <f aca="false">SUMIFS(Doors!U:U,Doors!$A:$A,$D272,Doors!$B:$B,$B272,Doors!$C:$C,$C272)*SUMIFS(Velocity!$I:$I,Velocity!$A:$A,$A272,Velocity!$B:$B,$C272)/Assumptions!$B$4*Assumptions!$B$6</f>
        <v>0.197916666666667</v>
      </c>
      <c r="J272" s="7" t="n">
        <f aca="false">SUMIFS(Doors!V:V,Doors!$A:$A,$D272,Doors!$B:$B,$B272,Doors!$C:$C,$C272)*SUMIFS(Velocity!$I:$I,Velocity!$A:$A,$A272,Velocity!$B:$B,$C272)/Assumptions!$B$4*Assumptions!$B$6</f>
        <v>0.395833333333333</v>
      </c>
      <c r="K272" s="7" t="n">
        <f aca="false">SUMIFS(Doors!W:W,Doors!$A:$A,$D272,Doors!$B:$B,$B272,Doors!$C:$C,$C272)*SUMIFS(Velocity!$I:$I,Velocity!$A:$A,$A272,Velocity!$B:$B,$C272)/Assumptions!$B$4*Assumptions!$B$6</f>
        <v>0.395833333333333</v>
      </c>
      <c r="L272" s="7" t="n">
        <f aca="false">SUMIFS(Doors!X:X,Doors!$A:$A,$D272,Doors!$B:$B,$B272,Doors!$C:$C,$C272)*SUMIFS(Velocity!$I:$I,Velocity!$A:$A,$A272,Velocity!$B:$B,$C272)/Assumptions!$B$4*Assumptions!$B$6</f>
        <v>0.395833333333333</v>
      </c>
      <c r="M272" s="7" t="n">
        <f aca="false">SUMIFS(Doors!Y:Y,Doors!$A:$A,$D272,Doors!$B:$B,$B272,Doors!$C:$C,$C272)*SUMIFS(Velocity!$I:$I,Velocity!$A:$A,$A272,Velocity!$B:$B,$C272)/Assumptions!$B$4*Assumptions!$B$6</f>
        <v>0.395833333333333</v>
      </c>
      <c r="N272" s="7" t="n">
        <f aca="false">SUMIFS(Doors!Z:Z,Doors!$A:$A,$D272,Doors!$B:$B,$B272,Doors!$C:$C,$C272)*SUMIFS(Velocity!$I:$I,Velocity!$A:$A,$A272,Velocity!$B:$B,$C272)/Assumptions!$B$4*Assumptions!$B$6</f>
        <v>0.395833333333333</v>
      </c>
      <c r="O272" s="7" t="n">
        <f aca="false">SUMIFS(Doors!AA:AA,Doors!$A:$A,$D272,Doors!$B:$B,$B272,Doors!$C:$C,$C272)*SUMIFS(Velocity!$I:$I,Velocity!$A:$A,$A272,Velocity!$B:$B,$C272)/Assumptions!$B$4*Assumptions!$B$6</f>
        <v>0.395833333333333</v>
      </c>
      <c r="P272" s="7" t="n">
        <f aca="false">SUMIFS(Doors!AB:AB,Doors!$A:$A,$D272,Doors!$B:$B,$B272,Doors!$C:$C,$C272)*SUMIFS(Velocity!$I:$I,Velocity!$A:$A,$A272,Velocity!$B:$B,$C272)/Assumptions!$B$4*Assumptions!$B$6</f>
        <v>0.395833333333333</v>
      </c>
      <c r="Q272" s="7" t="n">
        <f aca="false">SUMIFS(Doors!AC:AC,Doors!$A:$A,$D272,Doors!$B:$B,$B272,Doors!$C:$C,$C272)*SUMIFS(Velocity!$I:$I,Velocity!$A:$A,$A272,Velocity!$B:$B,$C272)/Assumptions!$B$4*Assumptions!$B$6</f>
        <v>0.395833333333333</v>
      </c>
      <c r="R272" s="7" t="n">
        <f aca="false">SUMIFS(Doors!AD:AD,Doors!$A:$A,$D272,Doors!$B:$B,$B272,Doors!$C:$C,$C272)*SUMIFS(Velocity!$I:$I,Velocity!$A:$A,$A272,Velocity!$B:$B,$C272)/Assumptions!$B$4*Assumptions!$B$6</f>
        <v>0.59375</v>
      </c>
      <c r="S272" s="7" t="n">
        <f aca="false">SUMIFS(Doors!AE:AE,Doors!$A:$A,$D272,Doors!$B:$B,$B272,Doors!$C:$C,$C272)*SUMIFS(Velocity!$I:$I,Velocity!$A:$A,$A272,Velocity!$B:$B,$C272)/Assumptions!$B$4*Assumptions!$B$6</f>
        <v>0.59375</v>
      </c>
      <c r="T272" s="7" t="n">
        <f aca="false">SUMIFS(Doors!AF:AF,Doors!$A:$A,$D272,Doors!$B:$B,$B272,Doors!$C:$C,$C272)*SUMIFS(Velocity!$I:$I,Velocity!$A:$A,$A272,Velocity!$B:$B,$C272)/Assumptions!$B$4*Assumptions!$B$6</f>
        <v>0.59375</v>
      </c>
      <c r="U272" s="7" t="n">
        <f aca="false">SUMIFS(Doors!AG:AG,Doors!$A:$A,$D272,Doors!$B:$B,$B272,Doors!$C:$C,$C272)*SUMIFS(Velocity!$I:$I,Velocity!$A:$A,$A272,Velocity!$B:$B,$C272)/Assumptions!$B$4*Assumptions!$B$6</f>
        <v>0.59375</v>
      </c>
      <c r="V272" s="7" t="n">
        <f aca="false">SUMIFS(Doors!AH:AH,Doors!$A:$A,$D272,Doors!$B:$B,$B272,Doors!$C:$C,$C272)*SUMIFS(Velocity!$I:$I,Velocity!$A:$A,$A272,Velocity!$B:$B,$C272)/Assumptions!$B$4*Assumptions!$B$6</f>
        <v>0.59375</v>
      </c>
      <c r="W272" s="7" t="n">
        <f aca="false">SUMIFS(Doors!AI:AI,Doors!$A:$A,$D272,Doors!$B:$B,$B272,Doors!$C:$C,$C272)*SUMIFS(Velocity!$I:$I,Velocity!$A:$A,$A272,Velocity!$B:$B,$C272)/Assumptions!$B$4*Assumptions!$B$6</f>
        <v>0.59375</v>
      </c>
      <c r="X272" s="7" t="n">
        <f aca="false">SUMIFS(Doors!AJ:AJ,Doors!$A:$A,$D272,Doors!$B:$B,$B272,Doors!$C:$C,$C272)*SUMIFS(Velocity!$I:$I,Velocity!$A:$A,$A272,Velocity!$B:$B,$C272)/Assumptions!$B$4*Assumptions!$B$6</f>
        <v>0.59375</v>
      </c>
      <c r="Y272" s="7" t="n">
        <f aca="false">SUMIFS(Doors!AK:AK,Doors!$A:$A,$D272,Doors!$B:$B,$B272,Doors!$C:$C,$C272)*SUMIFS(Velocity!$I:$I,Velocity!$A:$A,$A272,Velocity!$B:$B,$C272)/Assumptions!$B$4*Assumptions!$B$6</f>
        <v>0.59375</v>
      </c>
      <c r="Z272" s="7" t="n">
        <f aca="false">SUMIFS(Doors!AL:AL,Doors!$A:$A,$D272,Doors!$B:$B,$B272,Doors!$C:$C,$C272)*SUMIFS(Velocity!$I:$I,Velocity!$A:$A,$A272,Velocity!$B:$B,$C272)/Assumptions!$B$4*Assumptions!$B$6</f>
        <v>0.59375</v>
      </c>
      <c r="AA272" s="7" t="n">
        <f aca="false">SUMIFS(Doors!AM:AM,Doors!$A:$A,$D272,Doors!$B:$B,$B272,Doors!$C:$C,$C272)*SUMIFS(Velocity!$I:$I,Velocity!$A:$A,$A272,Velocity!$B:$B,$C272)/Assumptions!$B$4*Assumptions!$B$6</f>
        <v>0.791666666666667</v>
      </c>
      <c r="AB272" s="7" t="n">
        <f aca="false">SUMIFS(Doors!AN:AN,Doors!$A:$A,$D272,Doors!$B:$B,$B272,Doors!$C:$C,$C272)*SUMIFS(Velocity!$I:$I,Velocity!$A:$A,$A272,Velocity!$B:$B,$C272)/Assumptions!$B$4*Assumptions!$B$6</f>
        <v>0.791666666666667</v>
      </c>
      <c r="AC272" s="7" t="n">
        <f aca="false">SUMIFS(Doors!AO:AO,Doors!$A:$A,$D272,Doors!$B:$B,$B272,Doors!$C:$C,$C272)*SUMIFS(Velocity!$I:$I,Velocity!$A:$A,$A272,Velocity!$B:$B,$C272)/Assumptions!$B$4*Assumptions!$B$6</f>
        <v>0.791666666666667</v>
      </c>
      <c r="AD272" s="7" t="n">
        <f aca="false">SUMIFS(Doors!AP:AP,Doors!$A:$A,$D272,Doors!$B:$B,$B272,Doors!$C:$C,$C272)*SUMIFS(Velocity!$I:$I,Velocity!$A:$A,$A272,Velocity!$B:$B,$C272)/Assumptions!$B$4*Assumptions!$B$6</f>
        <v>0.791666666666667</v>
      </c>
      <c r="AE272" s="7" t="n">
        <f aca="false">SUMIFS(Doors!AQ:AQ,Doors!$A:$A,$D272,Doors!$B:$B,$B272,Doors!$C:$C,$C272)*SUMIFS(Velocity!$I:$I,Velocity!$A:$A,$A272,Velocity!$B:$B,$C272)/Assumptions!$B$4*Assumptions!$B$6</f>
        <v>0.791666666666667</v>
      </c>
      <c r="AF272" s="7" t="n">
        <f aca="false">SUMIFS(Doors!AR:AR,Doors!$A:$A,$D272,Doors!$B:$B,$B272,Doors!$C:$C,$C272)*SUMIFS(Velocity!$I:$I,Velocity!$A:$A,$A272,Velocity!$B:$B,$C272)/Assumptions!$B$4*Assumptions!$B$6</f>
        <v>0.791666666666667</v>
      </c>
      <c r="AG272" s="7" t="n">
        <f aca="false">SUMIFS(Doors!AS:AS,Doors!$A:$A,$D272,Doors!$B:$B,$B272,Doors!$C:$C,$C272)*SUMIFS(Velocity!$I:$I,Velocity!$A:$A,$A272,Velocity!$B:$B,$C272)/Assumptions!$B$4*Assumptions!$B$6</f>
        <v>0.791666666666667</v>
      </c>
      <c r="AH272" s="7" t="n">
        <f aca="false">SUMIFS(Doors!AT:AT,Doors!$A:$A,$D272,Doors!$B:$B,$B272,Doors!$C:$C,$C272)*SUMIFS(Velocity!$I:$I,Velocity!$A:$A,$A272,Velocity!$B:$B,$C272)/Assumptions!$B$4*Assumptions!$B$6</f>
        <v>0.791666666666667</v>
      </c>
      <c r="AI272" s="7" t="n">
        <f aca="false">SUMIFS(Doors!AU:AU,Doors!$A:$A,$D272,Doors!$B:$B,$B272,Doors!$C:$C,$C272)*SUMIFS(Velocity!$I:$I,Velocity!$A:$A,$A272,Velocity!$B:$B,$C272)/Assumptions!$B$4*Assumptions!$B$6</f>
        <v>0.791666666666667</v>
      </c>
      <c r="AJ272" s="7" t="n">
        <f aca="false">SUMIFS(Doors!AV:AV,Doors!$A:$A,$D272,Doors!$B:$B,$B272,Doors!$C:$C,$C272)*SUMIFS(Velocity!$I:$I,Velocity!$A:$A,$A272,Velocity!$B:$B,$C272)/Assumptions!$B$4*Assumptions!$B$6</f>
        <v>0.989583333333333</v>
      </c>
      <c r="AK272" s="7" t="n">
        <f aca="false">SUMIFS(Doors!AW:AW,Doors!$A:$A,$D272,Doors!$B:$B,$B272,Doors!$C:$C,$C272)*SUMIFS(Velocity!$I:$I,Velocity!$A:$A,$A272,Velocity!$B:$B,$C272)/Assumptions!$B$4*Assumptions!$B$6</f>
        <v>0.989583333333333</v>
      </c>
      <c r="AL272" s="7" t="n">
        <f aca="false">SUMIFS(Doors!AX:AX,Doors!$A:$A,$D272,Doors!$B:$B,$B272,Doors!$C:$C,$C272)*SUMIFS(Velocity!$I:$I,Velocity!$A:$A,$A272,Velocity!$B:$B,$C272)/Assumptions!$B$4*Assumptions!$B$6</f>
        <v>0.989583333333333</v>
      </c>
      <c r="AM272" s="7" t="n">
        <f aca="false">SUMIFS(Doors!AY:AY,Doors!$A:$A,$D272,Doors!$B:$B,$B272,Doors!$C:$C,$C272)*SUMIFS(Velocity!$I:$I,Velocity!$A:$A,$A272,Velocity!$B:$B,$C272)/Assumptions!$B$4*Assumptions!$B$6</f>
        <v>0.989583333333333</v>
      </c>
      <c r="AN272" s="7" t="n">
        <f aca="false">SUMIFS(Doors!AZ:AZ,Doors!$A:$A,$D272,Doors!$B:$B,$B272,Doors!$C:$C,$C272)*SUMIFS(Velocity!$I:$I,Velocity!$A:$A,$A272,Velocity!$B:$B,$C272)/Assumptions!$B$4*Assumptions!$B$6</f>
        <v>0.989583333333333</v>
      </c>
      <c r="AO272" s="7" t="n">
        <f aca="false">SUMIFS(Doors!BA:BA,Doors!$A:$A,$D272,Doors!$B:$B,$B272,Doors!$C:$C,$C272)*SUMIFS(Velocity!$I:$I,Velocity!$A:$A,$A272,Velocity!$B:$B,$C272)/Assumptions!$B$4*Assumptions!$B$6</f>
        <v>0.989583333333333</v>
      </c>
      <c r="AP272" s="7" t="n">
        <f aca="false">SUMIFS(Doors!BB:BB,Doors!$A:$A,$D272,Doors!$B:$B,$B272,Doors!$C:$C,$C272)*SUMIFS(Velocity!$I:$I,Velocity!$A:$A,$A272,Velocity!$B:$B,$C272)/Assumptions!$B$4*Assumptions!$B$6</f>
        <v>0.989583333333333</v>
      </c>
      <c r="AQ272" s="7" t="n">
        <f aca="false">SUMIFS(Doors!BC:BC,Doors!$A:$A,$D272,Doors!$B:$B,$B272,Doors!$C:$C,$C272)*SUMIFS(Velocity!$I:$I,Velocity!$A:$A,$A272,Velocity!$B:$B,$C272)/Assumptions!$B$4*Assumptions!$B$6</f>
        <v>0.989583333333333</v>
      </c>
      <c r="AR272" s="7" t="n">
        <f aca="false">SUMIFS(Doors!BD:BD,Doors!$A:$A,$D272,Doors!$B:$B,$B272,Doors!$C:$C,$C272)*SUMIFS(Velocity!$I:$I,Velocity!$A:$A,$A272,Velocity!$B:$B,$C272)/Assumptions!$B$4*Assumptions!$B$6</f>
        <v>0.989583333333333</v>
      </c>
      <c r="AS272" s="7" t="n">
        <f aca="false">SUMIFS(Doors!BE:BE,Doors!$A:$A,$D272,Doors!$B:$B,$B272,Doors!$C:$C,$C272)*SUMIFS(Velocity!$I:$I,Velocity!$A:$A,$A272,Velocity!$B:$B,$C272)/Assumptions!$B$4*Assumptions!$B$6</f>
        <v>0.989583333333333</v>
      </c>
      <c r="AT272" s="7" t="n">
        <f aca="false">SUMIFS(Doors!BF:BF,Doors!$A:$A,$D272,Doors!$B:$B,$B272,Doors!$C:$C,$C272)*SUMIFS(Velocity!$I:$I,Velocity!$A:$A,$A272,Velocity!$B:$B,$C272)/Assumptions!$B$4*Assumptions!$B$6</f>
        <v>0.989583333333333</v>
      </c>
      <c r="AU272" s="7" t="n">
        <f aca="false">SUMIFS(Doors!BG:BG,Doors!$A:$A,$D272,Doors!$B:$B,$B272,Doors!$C:$C,$C272)*SUMIFS(Velocity!$I:$I,Velocity!$A:$A,$A272,Velocity!$B:$B,$C272)/Assumptions!$B$4*Assumptions!$B$6</f>
        <v>0.989583333333333</v>
      </c>
      <c r="AV272" s="7" t="n">
        <f aca="false">SUMIFS(Doors!BH:BH,Doors!$A:$A,$D272,Doors!$B:$B,$B272,Doors!$C:$C,$C272)*SUMIFS(Velocity!$I:$I,Velocity!$A:$A,$A272,Velocity!$B:$B,$C272)/Assumptions!$B$4*Assumptions!$B$6</f>
        <v>0.989583333333333</v>
      </c>
      <c r="AW272" s="7" t="n">
        <f aca="false">SUMIFS(Doors!BI:BI,Doors!$A:$A,$D272,Doors!$B:$B,$B272,Doors!$C:$C,$C272)*SUMIFS(Velocity!$I:$I,Velocity!$A:$A,$A272,Velocity!$B:$B,$C272)/Assumptions!$B$4*Assumptions!$B$6</f>
        <v>0.989583333333333</v>
      </c>
      <c r="AX272" s="7" t="n">
        <f aca="false">SUMIFS(Doors!BJ:BJ,Doors!$A:$A,$D272,Doors!$B:$B,$B272,Doors!$C:$C,$C272)*SUMIFS(Velocity!$I:$I,Velocity!$A:$A,$A272,Velocity!$B:$B,$C272)/Assumptions!$B$4*Assumptions!$B$6</f>
        <v>0.989583333333333</v>
      </c>
      <c r="AY272" s="7" t="n">
        <f aca="false">SUMIFS(Doors!BK:BK,Doors!$A:$A,$D272,Doors!$B:$B,$B272,Doors!$C:$C,$C272)*SUMIFS(Velocity!$I:$I,Velocity!$A:$A,$A272,Velocity!$B:$B,$C272)/Assumptions!$B$4*Assumptions!$B$6</f>
        <v>0.989583333333333</v>
      </c>
      <c r="AZ272" s="7" t="n">
        <f aca="false">SUMIFS(Doors!BL:BL,Doors!$A:$A,$D272,Doors!$B:$B,$B272,Doors!$C:$C,$C272)*SUMIFS(Velocity!$I:$I,Velocity!$A:$A,$A272,Velocity!$B:$B,$C272)/Assumptions!$B$4*Assumptions!$B$6</f>
        <v>0.989583333333333</v>
      </c>
      <c r="BA272" s="7" t="n">
        <f aca="false">SUMIFS(Doors!BM:BM,Doors!$A:$A,$D272,Doors!$B:$B,$B272,Doors!$C:$C,$C272)*SUMIFS(Velocity!$I:$I,Velocity!$A:$A,$A272,Velocity!$B:$B,$C272)/Assumptions!$B$4*Assumptions!$B$6</f>
        <v>0.989583333333333</v>
      </c>
      <c r="BB272" s="7" t="n">
        <f aca="false">SUMIFS(Doors!BN:BN,Doors!$A:$A,$D272,Doors!$B:$B,$B272,Doors!$C:$C,$C272)*SUMIFS(Velocity!$I:$I,Velocity!$A:$A,$A272,Velocity!$B:$B,$C272)/Assumptions!$B$4*Assumptions!$B$6</f>
        <v>0.989583333333333</v>
      </c>
      <c r="BC272" s="7" t="n">
        <f aca="false">SUMIFS(Doors!BO:BO,Doors!$A:$A,$D272,Doors!$B:$B,$B272,Doors!$C:$C,$C272)*SUMIFS(Velocity!$I:$I,Velocity!$A:$A,$A272,Velocity!$B:$B,$C272)/Assumptions!$B$4*Assumptions!$B$6</f>
        <v>0.989583333333333</v>
      </c>
      <c r="BD272" s="7" t="n">
        <f aca="false">SUMIFS(Doors!BP:BP,Doors!$A:$A,$D272,Doors!$B:$B,$B272,Doors!$C:$C,$C272)*SUMIFS(Velocity!$I:$I,Velocity!$A:$A,$A272,Velocity!$B:$B,$C272)/Assumptions!$B$4*Assumptions!$B$6</f>
        <v>0.989583333333333</v>
      </c>
    </row>
    <row r="273" customFormat="false" ht="15" hidden="false" customHeight="false" outlineLevel="0" collapsed="false">
      <c r="A273" s="0" t="s">
        <v>110</v>
      </c>
      <c r="B273" s="0" t="s">
        <v>135</v>
      </c>
      <c r="C273" s="0" t="s">
        <v>121</v>
      </c>
      <c r="D273" s="0" t="s">
        <v>235</v>
      </c>
      <c r="E273" s="7" t="n">
        <f aca="false">SUMIFS(Doors!Q:Q,Doors!$A:$A,$D273,Doors!$B:$B,$B273,Doors!$C:$C,$C273)*SUMIFS(Velocity!$I:$I,Velocity!$A:$A,$A273,Velocity!$B:$B,$C273)/Assumptions!$B$4*Assumptions!$B$6</f>
        <v>0</v>
      </c>
      <c r="F273" s="7" t="n">
        <f aca="false">SUMIFS(Doors!R:R,Doors!$A:$A,$D273,Doors!$B:$B,$B273,Doors!$C:$C,$C273)*SUMIFS(Velocity!$I:$I,Velocity!$A:$A,$A273,Velocity!$B:$B,$C273)/Assumptions!$B$4*Assumptions!$B$6</f>
        <v>0</v>
      </c>
      <c r="G273" s="7" t="n">
        <f aca="false">SUMIFS(Doors!S:S,Doors!$A:$A,$D273,Doors!$B:$B,$B273,Doors!$C:$C,$C273)*SUMIFS(Velocity!$I:$I,Velocity!$A:$A,$A273,Velocity!$B:$B,$C273)/Assumptions!$B$4*Assumptions!$B$6</f>
        <v>0</v>
      </c>
      <c r="H273" s="7" t="n">
        <f aca="false">SUMIFS(Doors!T:T,Doors!$A:$A,$D273,Doors!$B:$B,$B273,Doors!$C:$C,$C273)*SUMIFS(Velocity!$I:$I,Velocity!$A:$A,$A273,Velocity!$B:$B,$C273)/Assumptions!$B$4*Assumptions!$B$6</f>
        <v>0</v>
      </c>
      <c r="I273" s="7" t="n">
        <f aca="false">SUMIFS(Doors!U:U,Doors!$A:$A,$D273,Doors!$B:$B,$B273,Doors!$C:$C,$C273)*SUMIFS(Velocity!$I:$I,Velocity!$A:$A,$A273,Velocity!$B:$B,$C273)/Assumptions!$B$4*Assumptions!$B$6</f>
        <v>0</v>
      </c>
      <c r="J273" s="7" t="n">
        <f aca="false">SUMIFS(Doors!V:V,Doors!$A:$A,$D273,Doors!$B:$B,$B273,Doors!$C:$C,$C273)*SUMIFS(Velocity!$I:$I,Velocity!$A:$A,$A273,Velocity!$B:$B,$C273)/Assumptions!$B$4*Assumptions!$B$6</f>
        <v>0</v>
      </c>
      <c r="K273" s="7" t="n">
        <f aca="false">SUMIFS(Doors!W:W,Doors!$A:$A,$D273,Doors!$B:$B,$B273,Doors!$C:$C,$C273)*SUMIFS(Velocity!$I:$I,Velocity!$A:$A,$A273,Velocity!$B:$B,$C273)/Assumptions!$B$4*Assumptions!$B$6</f>
        <v>0</v>
      </c>
      <c r="L273" s="7" t="n">
        <f aca="false">SUMIFS(Doors!X:X,Doors!$A:$A,$D273,Doors!$B:$B,$B273,Doors!$C:$C,$C273)*SUMIFS(Velocity!$I:$I,Velocity!$A:$A,$A273,Velocity!$B:$B,$C273)/Assumptions!$B$4*Assumptions!$B$6</f>
        <v>0</v>
      </c>
      <c r="M273" s="7" t="n">
        <f aca="false">SUMIFS(Doors!Y:Y,Doors!$A:$A,$D273,Doors!$B:$B,$B273,Doors!$C:$C,$C273)*SUMIFS(Velocity!$I:$I,Velocity!$A:$A,$A273,Velocity!$B:$B,$C273)/Assumptions!$B$4*Assumptions!$B$6</f>
        <v>0</v>
      </c>
      <c r="N273" s="7" t="n">
        <f aca="false">SUMIFS(Doors!Z:Z,Doors!$A:$A,$D273,Doors!$B:$B,$B273,Doors!$C:$C,$C273)*SUMIFS(Velocity!$I:$I,Velocity!$A:$A,$A273,Velocity!$B:$B,$C273)/Assumptions!$B$4*Assumptions!$B$6</f>
        <v>0.304166666666667</v>
      </c>
      <c r="O273" s="7" t="n">
        <f aca="false">SUMIFS(Doors!AA:AA,Doors!$A:$A,$D273,Doors!$B:$B,$B273,Doors!$C:$C,$C273)*SUMIFS(Velocity!$I:$I,Velocity!$A:$A,$A273,Velocity!$B:$B,$C273)/Assumptions!$B$4*Assumptions!$B$6</f>
        <v>0.304166666666667</v>
      </c>
      <c r="P273" s="7" t="n">
        <f aca="false">SUMIFS(Doors!AB:AB,Doors!$A:$A,$D273,Doors!$B:$B,$B273,Doors!$C:$C,$C273)*SUMIFS(Velocity!$I:$I,Velocity!$A:$A,$A273,Velocity!$B:$B,$C273)/Assumptions!$B$4*Assumptions!$B$6</f>
        <v>0.304166666666667</v>
      </c>
      <c r="Q273" s="7" t="n">
        <f aca="false">SUMIFS(Doors!AC:AC,Doors!$A:$A,$D273,Doors!$B:$B,$B273,Doors!$C:$C,$C273)*SUMIFS(Velocity!$I:$I,Velocity!$A:$A,$A273,Velocity!$B:$B,$C273)/Assumptions!$B$4*Assumptions!$B$6</f>
        <v>0.304166666666667</v>
      </c>
      <c r="R273" s="7" t="n">
        <f aca="false">SUMIFS(Doors!AD:AD,Doors!$A:$A,$D273,Doors!$B:$B,$B273,Doors!$C:$C,$C273)*SUMIFS(Velocity!$I:$I,Velocity!$A:$A,$A273,Velocity!$B:$B,$C273)/Assumptions!$B$4*Assumptions!$B$6</f>
        <v>0.304166666666667</v>
      </c>
      <c r="S273" s="7" t="n">
        <f aca="false">SUMIFS(Doors!AE:AE,Doors!$A:$A,$D273,Doors!$B:$B,$B273,Doors!$C:$C,$C273)*SUMIFS(Velocity!$I:$I,Velocity!$A:$A,$A273,Velocity!$B:$B,$C273)/Assumptions!$B$4*Assumptions!$B$6</f>
        <v>0.304166666666667</v>
      </c>
      <c r="T273" s="7" t="n">
        <f aca="false">SUMIFS(Doors!AF:AF,Doors!$A:$A,$D273,Doors!$B:$B,$B273,Doors!$C:$C,$C273)*SUMIFS(Velocity!$I:$I,Velocity!$A:$A,$A273,Velocity!$B:$B,$C273)/Assumptions!$B$4*Assumptions!$B$6</f>
        <v>0.304166666666667</v>
      </c>
      <c r="U273" s="7" t="n">
        <f aca="false">SUMIFS(Doors!AG:AG,Doors!$A:$A,$D273,Doors!$B:$B,$B273,Doors!$C:$C,$C273)*SUMIFS(Velocity!$I:$I,Velocity!$A:$A,$A273,Velocity!$B:$B,$C273)/Assumptions!$B$4*Assumptions!$B$6</f>
        <v>0.304166666666667</v>
      </c>
      <c r="V273" s="7" t="n">
        <f aca="false">SUMIFS(Doors!AH:AH,Doors!$A:$A,$D273,Doors!$B:$B,$B273,Doors!$C:$C,$C273)*SUMIFS(Velocity!$I:$I,Velocity!$A:$A,$A273,Velocity!$B:$B,$C273)/Assumptions!$B$4*Assumptions!$B$6</f>
        <v>0.304166666666667</v>
      </c>
      <c r="W273" s="7" t="n">
        <f aca="false">SUMIFS(Doors!AI:AI,Doors!$A:$A,$D273,Doors!$B:$B,$B273,Doors!$C:$C,$C273)*SUMIFS(Velocity!$I:$I,Velocity!$A:$A,$A273,Velocity!$B:$B,$C273)/Assumptions!$B$4*Assumptions!$B$6</f>
        <v>0.608333333333333</v>
      </c>
      <c r="X273" s="7" t="n">
        <f aca="false">SUMIFS(Doors!AJ:AJ,Doors!$A:$A,$D273,Doors!$B:$B,$B273,Doors!$C:$C,$C273)*SUMIFS(Velocity!$I:$I,Velocity!$A:$A,$A273,Velocity!$B:$B,$C273)/Assumptions!$B$4*Assumptions!$B$6</f>
        <v>0.608333333333333</v>
      </c>
      <c r="Y273" s="7" t="n">
        <f aca="false">SUMIFS(Doors!AK:AK,Doors!$A:$A,$D273,Doors!$B:$B,$B273,Doors!$C:$C,$C273)*SUMIFS(Velocity!$I:$I,Velocity!$A:$A,$A273,Velocity!$B:$B,$C273)/Assumptions!$B$4*Assumptions!$B$6</f>
        <v>0.608333333333333</v>
      </c>
      <c r="Z273" s="7" t="n">
        <f aca="false">SUMIFS(Doors!AL:AL,Doors!$A:$A,$D273,Doors!$B:$B,$B273,Doors!$C:$C,$C273)*SUMIFS(Velocity!$I:$I,Velocity!$A:$A,$A273,Velocity!$B:$B,$C273)/Assumptions!$B$4*Assumptions!$B$6</f>
        <v>0.608333333333333</v>
      </c>
      <c r="AA273" s="7" t="n">
        <f aca="false">SUMIFS(Doors!AM:AM,Doors!$A:$A,$D273,Doors!$B:$B,$B273,Doors!$C:$C,$C273)*SUMIFS(Velocity!$I:$I,Velocity!$A:$A,$A273,Velocity!$B:$B,$C273)/Assumptions!$B$4*Assumptions!$B$6</f>
        <v>0.608333333333333</v>
      </c>
      <c r="AB273" s="7" t="n">
        <f aca="false">SUMIFS(Doors!AN:AN,Doors!$A:$A,$D273,Doors!$B:$B,$B273,Doors!$C:$C,$C273)*SUMIFS(Velocity!$I:$I,Velocity!$A:$A,$A273,Velocity!$B:$B,$C273)/Assumptions!$B$4*Assumptions!$B$6</f>
        <v>0.608333333333333</v>
      </c>
      <c r="AC273" s="7" t="n">
        <f aca="false">SUMIFS(Doors!AO:AO,Doors!$A:$A,$D273,Doors!$B:$B,$B273,Doors!$C:$C,$C273)*SUMIFS(Velocity!$I:$I,Velocity!$A:$A,$A273,Velocity!$B:$B,$C273)/Assumptions!$B$4*Assumptions!$B$6</f>
        <v>0.608333333333333</v>
      </c>
      <c r="AD273" s="7" t="n">
        <f aca="false">SUMIFS(Doors!AP:AP,Doors!$A:$A,$D273,Doors!$B:$B,$B273,Doors!$C:$C,$C273)*SUMIFS(Velocity!$I:$I,Velocity!$A:$A,$A273,Velocity!$B:$B,$C273)/Assumptions!$B$4*Assumptions!$B$6</f>
        <v>0.608333333333333</v>
      </c>
      <c r="AE273" s="7" t="n">
        <f aca="false">SUMIFS(Doors!AQ:AQ,Doors!$A:$A,$D273,Doors!$B:$B,$B273,Doors!$C:$C,$C273)*SUMIFS(Velocity!$I:$I,Velocity!$A:$A,$A273,Velocity!$B:$B,$C273)/Assumptions!$B$4*Assumptions!$B$6</f>
        <v>0.608333333333333</v>
      </c>
      <c r="AF273" s="7" t="n">
        <f aca="false">SUMIFS(Doors!AR:AR,Doors!$A:$A,$D273,Doors!$B:$B,$B273,Doors!$C:$C,$C273)*SUMIFS(Velocity!$I:$I,Velocity!$A:$A,$A273,Velocity!$B:$B,$C273)/Assumptions!$B$4*Assumptions!$B$6</f>
        <v>0.608333333333333</v>
      </c>
      <c r="AG273" s="7" t="n">
        <f aca="false">SUMIFS(Doors!AS:AS,Doors!$A:$A,$D273,Doors!$B:$B,$B273,Doors!$C:$C,$C273)*SUMIFS(Velocity!$I:$I,Velocity!$A:$A,$A273,Velocity!$B:$B,$C273)/Assumptions!$B$4*Assumptions!$B$6</f>
        <v>0.608333333333333</v>
      </c>
      <c r="AH273" s="7" t="n">
        <f aca="false">SUMIFS(Doors!AT:AT,Doors!$A:$A,$D273,Doors!$B:$B,$B273,Doors!$C:$C,$C273)*SUMIFS(Velocity!$I:$I,Velocity!$A:$A,$A273,Velocity!$B:$B,$C273)/Assumptions!$B$4*Assumptions!$B$6</f>
        <v>0.608333333333333</v>
      </c>
      <c r="AI273" s="7" t="n">
        <f aca="false">SUMIFS(Doors!AU:AU,Doors!$A:$A,$D273,Doors!$B:$B,$B273,Doors!$C:$C,$C273)*SUMIFS(Velocity!$I:$I,Velocity!$A:$A,$A273,Velocity!$B:$B,$C273)/Assumptions!$B$4*Assumptions!$B$6</f>
        <v>0.608333333333333</v>
      </c>
      <c r="AJ273" s="7" t="n">
        <f aca="false">SUMIFS(Doors!AV:AV,Doors!$A:$A,$D273,Doors!$B:$B,$B273,Doors!$C:$C,$C273)*SUMIFS(Velocity!$I:$I,Velocity!$A:$A,$A273,Velocity!$B:$B,$C273)/Assumptions!$B$4*Assumptions!$B$6</f>
        <v>0.9125</v>
      </c>
      <c r="AK273" s="7" t="n">
        <f aca="false">SUMIFS(Doors!AW:AW,Doors!$A:$A,$D273,Doors!$B:$B,$B273,Doors!$C:$C,$C273)*SUMIFS(Velocity!$I:$I,Velocity!$A:$A,$A273,Velocity!$B:$B,$C273)/Assumptions!$B$4*Assumptions!$B$6</f>
        <v>0.9125</v>
      </c>
      <c r="AL273" s="7" t="n">
        <f aca="false">SUMIFS(Doors!AX:AX,Doors!$A:$A,$D273,Doors!$B:$B,$B273,Doors!$C:$C,$C273)*SUMIFS(Velocity!$I:$I,Velocity!$A:$A,$A273,Velocity!$B:$B,$C273)/Assumptions!$B$4*Assumptions!$B$6</f>
        <v>0.9125</v>
      </c>
      <c r="AM273" s="7" t="n">
        <f aca="false">SUMIFS(Doors!AY:AY,Doors!$A:$A,$D273,Doors!$B:$B,$B273,Doors!$C:$C,$C273)*SUMIFS(Velocity!$I:$I,Velocity!$A:$A,$A273,Velocity!$B:$B,$C273)/Assumptions!$B$4*Assumptions!$B$6</f>
        <v>0.9125</v>
      </c>
      <c r="AN273" s="7" t="n">
        <f aca="false">SUMIFS(Doors!AZ:AZ,Doors!$A:$A,$D273,Doors!$B:$B,$B273,Doors!$C:$C,$C273)*SUMIFS(Velocity!$I:$I,Velocity!$A:$A,$A273,Velocity!$B:$B,$C273)/Assumptions!$B$4*Assumptions!$B$6</f>
        <v>0.9125</v>
      </c>
      <c r="AO273" s="7" t="n">
        <f aca="false">SUMIFS(Doors!BA:BA,Doors!$A:$A,$D273,Doors!$B:$B,$B273,Doors!$C:$C,$C273)*SUMIFS(Velocity!$I:$I,Velocity!$A:$A,$A273,Velocity!$B:$B,$C273)/Assumptions!$B$4*Assumptions!$B$6</f>
        <v>0.9125</v>
      </c>
      <c r="AP273" s="7" t="n">
        <f aca="false">SUMIFS(Doors!BB:BB,Doors!$A:$A,$D273,Doors!$B:$B,$B273,Doors!$C:$C,$C273)*SUMIFS(Velocity!$I:$I,Velocity!$A:$A,$A273,Velocity!$B:$B,$C273)/Assumptions!$B$4*Assumptions!$B$6</f>
        <v>0.9125</v>
      </c>
      <c r="AQ273" s="7" t="n">
        <f aca="false">SUMIFS(Doors!BC:BC,Doors!$A:$A,$D273,Doors!$B:$B,$B273,Doors!$C:$C,$C273)*SUMIFS(Velocity!$I:$I,Velocity!$A:$A,$A273,Velocity!$B:$B,$C273)/Assumptions!$B$4*Assumptions!$B$6</f>
        <v>0.9125</v>
      </c>
      <c r="AR273" s="7" t="n">
        <f aca="false">SUMIFS(Doors!BD:BD,Doors!$A:$A,$D273,Doors!$B:$B,$B273,Doors!$C:$C,$C273)*SUMIFS(Velocity!$I:$I,Velocity!$A:$A,$A273,Velocity!$B:$B,$C273)/Assumptions!$B$4*Assumptions!$B$6</f>
        <v>0.9125</v>
      </c>
      <c r="AS273" s="7" t="n">
        <f aca="false">SUMIFS(Doors!BE:BE,Doors!$A:$A,$D273,Doors!$B:$B,$B273,Doors!$C:$C,$C273)*SUMIFS(Velocity!$I:$I,Velocity!$A:$A,$A273,Velocity!$B:$B,$C273)/Assumptions!$B$4*Assumptions!$B$6</f>
        <v>0.9125</v>
      </c>
      <c r="AT273" s="7" t="n">
        <f aca="false">SUMIFS(Doors!BF:BF,Doors!$A:$A,$D273,Doors!$B:$B,$B273,Doors!$C:$C,$C273)*SUMIFS(Velocity!$I:$I,Velocity!$A:$A,$A273,Velocity!$B:$B,$C273)/Assumptions!$B$4*Assumptions!$B$6</f>
        <v>0.9125</v>
      </c>
      <c r="AU273" s="7" t="n">
        <f aca="false">SUMIFS(Doors!BG:BG,Doors!$A:$A,$D273,Doors!$B:$B,$B273,Doors!$C:$C,$C273)*SUMIFS(Velocity!$I:$I,Velocity!$A:$A,$A273,Velocity!$B:$B,$C273)/Assumptions!$B$4*Assumptions!$B$6</f>
        <v>0.9125</v>
      </c>
      <c r="AV273" s="7" t="n">
        <f aca="false">SUMIFS(Doors!BH:BH,Doors!$A:$A,$D273,Doors!$B:$B,$B273,Doors!$C:$C,$C273)*SUMIFS(Velocity!$I:$I,Velocity!$A:$A,$A273,Velocity!$B:$B,$C273)/Assumptions!$B$4*Assumptions!$B$6</f>
        <v>0.9125</v>
      </c>
      <c r="AW273" s="7" t="n">
        <f aca="false">SUMIFS(Doors!BI:BI,Doors!$A:$A,$D273,Doors!$B:$B,$B273,Doors!$C:$C,$C273)*SUMIFS(Velocity!$I:$I,Velocity!$A:$A,$A273,Velocity!$B:$B,$C273)/Assumptions!$B$4*Assumptions!$B$6</f>
        <v>0.9125</v>
      </c>
      <c r="AX273" s="7" t="n">
        <f aca="false">SUMIFS(Doors!BJ:BJ,Doors!$A:$A,$D273,Doors!$B:$B,$B273,Doors!$C:$C,$C273)*SUMIFS(Velocity!$I:$I,Velocity!$A:$A,$A273,Velocity!$B:$B,$C273)/Assumptions!$B$4*Assumptions!$B$6</f>
        <v>0.9125</v>
      </c>
      <c r="AY273" s="7" t="n">
        <f aca="false">SUMIFS(Doors!BK:BK,Doors!$A:$A,$D273,Doors!$B:$B,$B273,Doors!$C:$C,$C273)*SUMIFS(Velocity!$I:$I,Velocity!$A:$A,$A273,Velocity!$B:$B,$C273)/Assumptions!$B$4*Assumptions!$B$6</f>
        <v>0.9125</v>
      </c>
      <c r="AZ273" s="7" t="n">
        <f aca="false">SUMIFS(Doors!BL:BL,Doors!$A:$A,$D273,Doors!$B:$B,$B273,Doors!$C:$C,$C273)*SUMIFS(Velocity!$I:$I,Velocity!$A:$A,$A273,Velocity!$B:$B,$C273)/Assumptions!$B$4*Assumptions!$B$6</f>
        <v>0.9125</v>
      </c>
      <c r="BA273" s="7" t="n">
        <f aca="false">SUMIFS(Doors!BM:BM,Doors!$A:$A,$D273,Doors!$B:$B,$B273,Doors!$C:$C,$C273)*SUMIFS(Velocity!$I:$I,Velocity!$A:$A,$A273,Velocity!$B:$B,$C273)/Assumptions!$B$4*Assumptions!$B$6</f>
        <v>0.9125</v>
      </c>
      <c r="BB273" s="7" t="n">
        <f aca="false">SUMIFS(Doors!BN:BN,Doors!$A:$A,$D273,Doors!$B:$B,$B273,Doors!$C:$C,$C273)*SUMIFS(Velocity!$I:$I,Velocity!$A:$A,$A273,Velocity!$B:$B,$C273)/Assumptions!$B$4*Assumptions!$B$6</f>
        <v>0.9125</v>
      </c>
      <c r="BC273" s="7" t="n">
        <f aca="false">SUMIFS(Doors!BO:BO,Doors!$A:$A,$D273,Doors!$B:$B,$B273,Doors!$C:$C,$C273)*SUMIFS(Velocity!$I:$I,Velocity!$A:$A,$A273,Velocity!$B:$B,$C273)/Assumptions!$B$4*Assumptions!$B$6</f>
        <v>0.9125</v>
      </c>
      <c r="BD273" s="7" t="n">
        <f aca="false">SUMIFS(Doors!BP:BP,Doors!$A:$A,$D273,Doors!$B:$B,$B273,Doors!$C:$C,$C273)*SUMIFS(Velocity!$I:$I,Velocity!$A:$A,$A273,Velocity!$B:$B,$C273)/Assumptions!$B$4*Assumptions!$B$6</f>
        <v>0.9125</v>
      </c>
    </row>
    <row r="274" customFormat="false" ht="15" hidden="false" customHeight="false" outlineLevel="0" collapsed="false">
      <c r="A274" s="0" t="s">
        <v>110</v>
      </c>
      <c r="B274" s="0" t="s">
        <v>135</v>
      </c>
      <c r="C274" s="0" t="s">
        <v>122</v>
      </c>
      <c r="D274" s="0" t="s">
        <v>235</v>
      </c>
      <c r="E274" s="7" t="n">
        <f aca="false">SUMIFS(Doors!Q:Q,Doors!$A:$A,$D274,Doors!$B:$B,$B274,Doors!$C:$C,$C274)*SUMIFS(Velocity!$I:$I,Velocity!$A:$A,$A274,Velocity!$B:$B,$C274)/Assumptions!$B$4*Assumptions!$B$6</f>
        <v>0</v>
      </c>
      <c r="F274" s="7" t="n">
        <f aca="false">SUMIFS(Doors!R:R,Doors!$A:$A,$D274,Doors!$B:$B,$B274,Doors!$C:$C,$C274)*SUMIFS(Velocity!$I:$I,Velocity!$A:$A,$A274,Velocity!$B:$B,$C274)/Assumptions!$B$4*Assumptions!$B$6</f>
        <v>0</v>
      </c>
      <c r="G274" s="7" t="n">
        <f aca="false">SUMIFS(Doors!S:S,Doors!$A:$A,$D274,Doors!$B:$B,$B274,Doors!$C:$C,$C274)*SUMIFS(Velocity!$I:$I,Velocity!$A:$A,$A274,Velocity!$B:$B,$C274)/Assumptions!$B$4*Assumptions!$B$6</f>
        <v>0</v>
      </c>
      <c r="H274" s="7" t="n">
        <f aca="false">SUMIFS(Doors!T:T,Doors!$A:$A,$D274,Doors!$B:$B,$B274,Doors!$C:$C,$C274)*SUMIFS(Velocity!$I:$I,Velocity!$A:$A,$A274,Velocity!$B:$B,$C274)/Assumptions!$B$4*Assumptions!$B$6</f>
        <v>0</v>
      </c>
      <c r="I274" s="7" t="n">
        <f aca="false">SUMIFS(Doors!U:U,Doors!$A:$A,$D274,Doors!$B:$B,$B274,Doors!$C:$C,$C274)*SUMIFS(Velocity!$I:$I,Velocity!$A:$A,$A274,Velocity!$B:$B,$C274)/Assumptions!$B$4*Assumptions!$B$6</f>
        <v>0</v>
      </c>
      <c r="J274" s="7" t="n">
        <f aca="false">SUMIFS(Doors!V:V,Doors!$A:$A,$D274,Doors!$B:$B,$B274,Doors!$C:$C,$C274)*SUMIFS(Velocity!$I:$I,Velocity!$A:$A,$A274,Velocity!$B:$B,$C274)/Assumptions!$B$4*Assumptions!$B$6</f>
        <v>0</v>
      </c>
      <c r="K274" s="7" t="n">
        <f aca="false">SUMIFS(Doors!W:W,Doors!$A:$A,$D274,Doors!$B:$B,$B274,Doors!$C:$C,$C274)*SUMIFS(Velocity!$I:$I,Velocity!$A:$A,$A274,Velocity!$B:$B,$C274)/Assumptions!$B$4*Assumptions!$B$6</f>
        <v>0</v>
      </c>
      <c r="L274" s="7" t="n">
        <f aca="false">SUMIFS(Doors!X:X,Doors!$A:$A,$D274,Doors!$B:$B,$B274,Doors!$C:$C,$C274)*SUMIFS(Velocity!$I:$I,Velocity!$A:$A,$A274,Velocity!$B:$B,$C274)/Assumptions!$B$4*Assumptions!$B$6</f>
        <v>0</v>
      </c>
      <c r="M274" s="7" t="n">
        <f aca="false">SUMIFS(Doors!Y:Y,Doors!$A:$A,$D274,Doors!$B:$B,$B274,Doors!$C:$C,$C274)*SUMIFS(Velocity!$I:$I,Velocity!$A:$A,$A274,Velocity!$B:$B,$C274)/Assumptions!$B$4*Assumptions!$B$6</f>
        <v>0</v>
      </c>
      <c r="N274" s="7" t="n">
        <f aca="false">SUMIFS(Doors!Z:Z,Doors!$A:$A,$D274,Doors!$B:$B,$B274,Doors!$C:$C,$C274)*SUMIFS(Velocity!$I:$I,Velocity!$A:$A,$A274,Velocity!$B:$B,$C274)/Assumptions!$B$4*Assumptions!$B$6</f>
        <v>0</v>
      </c>
      <c r="O274" s="7" t="n">
        <f aca="false">SUMIFS(Doors!AA:AA,Doors!$A:$A,$D274,Doors!$B:$B,$B274,Doors!$C:$C,$C274)*SUMIFS(Velocity!$I:$I,Velocity!$A:$A,$A274,Velocity!$B:$B,$C274)/Assumptions!$B$4*Assumptions!$B$6</f>
        <v>0</v>
      </c>
      <c r="P274" s="7" t="n">
        <f aca="false">SUMIFS(Doors!AB:AB,Doors!$A:$A,$D274,Doors!$B:$B,$B274,Doors!$C:$C,$C274)*SUMIFS(Velocity!$I:$I,Velocity!$A:$A,$A274,Velocity!$B:$B,$C274)/Assumptions!$B$4*Assumptions!$B$6</f>
        <v>0</v>
      </c>
      <c r="Q274" s="7" t="n">
        <f aca="false">SUMIFS(Doors!AC:AC,Doors!$A:$A,$D274,Doors!$B:$B,$B274,Doors!$C:$C,$C274)*SUMIFS(Velocity!$I:$I,Velocity!$A:$A,$A274,Velocity!$B:$B,$C274)/Assumptions!$B$4*Assumptions!$B$6</f>
        <v>0</v>
      </c>
      <c r="R274" s="7" t="n">
        <f aca="false">SUMIFS(Doors!AD:AD,Doors!$A:$A,$D274,Doors!$B:$B,$B274,Doors!$C:$C,$C274)*SUMIFS(Velocity!$I:$I,Velocity!$A:$A,$A274,Velocity!$B:$B,$C274)/Assumptions!$B$4*Assumptions!$B$6</f>
        <v>0</v>
      </c>
      <c r="S274" s="7" t="n">
        <f aca="false">SUMIFS(Doors!AE:AE,Doors!$A:$A,$D274,Doors!$B:$B,$B274,Doors!$C:$C,$C274)*SUMIFS(Velocity!$I:$I,Velocity!$A:$A,$A274,Velocity!$B:$B,$C274)/Assumptions!$B$4*Assumptions!$B$6</f>
        <v>0</v>
      </c>
      <c r="T274" s="7" t="n">
        <f aca="false">SUMIFS(Doors!AF:AF,Doors!$A:$A,$D274,Doors!$B:$B,$B274,Doors!$C:$C,$C274)*SUMIFS(Velocity!$I:$I,Velocity!$A:$A,$A274,Velocity!$B:$B,$C274)/Assumptions!$B$4*Assumptions!$B$6</f>
        <v>0</v>
      </c>
      <c r="U274" s="7" t="n">
        <f aca="false">SUMIFS(Doors!AG:AG,Doors!$A:$A,$D274,Doors!$B:$B,$B274,Doors!$C:$C,$C274)*SUMIFS(Velocity!$I:$I,Velocity!$A:$A,$A274,Velocity!$B:$B,$C274)/Assumptions!$B$4*Assumptions!$B$6</f>
        <v>0</v>
      </c>
      <c r="V274" s="7" t="n">
        <f aca="false">SUMIFS(Doors!AH:AH,Doors!$A:$A,$D274,Doors!$B:$B,$B274,Doors!$C:$C,$C274)*SUMIFS(Velocity!$I:$I,Velocity!$A:$A,$A274,Velocity!$B:$B,$C274)/Assumptions!$B$4*Assumptions!$B$6</f>
        <v>0</v>
      </c>
      <c r="W274" s="7" t="n">
        <f aca="false">SUMIFS(Doors!AI:AI,Doors!$A:$A,$D274,Doors!$B:$B,$B274,Doors!$C:$C,$C274)*SUMIFS(Velocity!$I:$I,Velocity!$A:$A,$A274,Velocity!$B:$B,$C274)/Assumptions!$B$4*Assumptions!$B$6</f>
        <v>0</v>
      </c>
      <c r="X274" s="7" t="n">
        <f aca="false">SUMIFS(Doors!AJ:AJ,Doors!$A:$A,$D274,Doors!$B:$B,$B274,Doors!$C:$C,$C274)*SUMIFS(Velocity!$I:$I,Velocity!$A:$A,$A274,Velocity!$B:$B,$C274)/Assumptions!$B$4*Assumptions!$B$6</f>
        <v>0</v>
      </c>
      <c r="Y274" s="7" t="n">
        <f aca="false">SUMIFS(Doors!AK:AK,Doors!$A:$A,$D274,Doors!$B:$B,$B274,Doors!$C:$C,$C274)*SUMIFS(Velocity!$I:$I,Velocity!$A:$A,$A274,Velocity!$B:$B,$C274)/Assumptions!$B$4*Assumptions!$B$6</f>
        <v>0</v>
      </c>
      <c r="Z274" s="7" t="n">
        <f aca="false">SUMIFS(Doors!AL:AL,Doors!$A:$A,$D274,Doors!$B:$B,$B274,Doors!$C:$C,$C274)*SUMIFS(Velocity!$I:$I,Velocity!$A:$A,$A274,Velocity!$B:$B,$C274)/Assumptions!$B$4*Assumptions!$B$6</f>
        <v>0</v>
      </c>
      <c r="AA274" s="7" t="n">
        <f aca="false">SUMIFS(Doors!AM:AM,Doors!$A:$A,$D274,Doors!$B:$B,$B274,Doors!$C:$C,$C274)*SUMIFS(Velocity!$I:$I,Velocity!$A:$A,$A274,Velocity!$B:$B,$C274)/Assumptions!$B$4*Assumptions!$B$6</f>
        <v>0</v>
      </c>
      <c r="AB274" s="7" t="n">
        <f aca="false">SUMIFS(Doors!AN:AN,Doors!$A:$A,$D274,Doors!$B:$B,$B274,Doors!$C:$C,$C274)*SUMIFS(Velocity!$I:$I,Velocity!$A:$A,$A274,Velocity!$B:$B,$C274)/Assumptions!$B$4*Assumptions!$B$6</f>
        <v>0</v>
      </c>
      <c r="AC274" s="7" t="n">
        <f aca="false">SUMIFS(Doors!AO:AO,Doors!$A:$A,$D274,Doors!$B:$B,$B274,Doors!$C:$C,$C274)*SUMIFS(Velocity!$I:$I,Velocity!$A:$A,$A274,Velocity!$B:$B,$C274)/Assumptions!$B$4*Assumptions!$B$6</f>
        <v>0</v>
      </c>
      <c r="AD274" s="7" t="n">
        <f aca="false">SUMIFS(Doors!AP:AP,Doors!$A:$A,$D274,Doors!$B:$B,$B274,Doors!$C:$C,$C274)*SUMIFS(Velocity!$I:$I,Velocity!$A:$A,$A274,Velocity!$B:$B,$C274)/Assumptions!$B$4*Assumptions!$B$6</f>
        <v>0</v>
      </c>
      <c r="AE274" s="7" t="n">
        <f aca="false">SUMIFS(Doors!AQ:AQ,Doors!$A:$A,$D274,Doors!$B:$B,$B274,Doors!$C:$C,$C274)*SUMIFS(Velocity!$I:$I,Velocity!$A:$A,$A274,Velocity!$B:$B,$C274)/Assumptions!$B$4*Assumptions!$B$6</f>
        <v>0</v>
      </c>
      <c r="AF274" s="7" t="n">
        <f aca="false">SUMIFS(Doors!AR:AR,Doors!$A:$A,$D274,Doors!$B:$B,$B274,Doors!$C:$C,$C274)*SUMIFS(Velocity!$I:$I,Velocity!$A:$A,$A274,Velocity!$B:$B,$C274)/Assumptions!$B$4*Assumptions!$B$6</f>
        <v>0</v>
      </c>
      <c r="AG274" s="7" t="n">
        <f aca="false">SUMIFS(Doors!AS:AS,Doors!$A:$A,$D274,Doors!$B:$B,$B274,Doors!$C:$C,$C274)*SUMIFS(Velocity!$I:$I,Velocity!$A:$A,$A274,Velocity!$B:$B,$C274)/Assumptions!$B$4*Assumptions!$B$6</f>
        <v>0</v>
      </c>
      <c r="AH274" s="7" t="n">
        <f aca="false">SUMIFS(Doors!AT:AT,Doors!$A:$A,$D274,Doors!$B:$B,$B274,Doors!$C:$C,$C274)*SUMIFS(Velocity!$I:$I,Velocity!$A:$A,$A274,Velocity!$B:$B,$C274)/Assumptions!$B$4*Assumptions!$B$6</f>
        <v>0</v>
      </c>
      <c r="AI274" s="7" t="n">
        <f aca="false">SUMIFS(Doors!AU:AU,Doors!$A:$A,$D274,Doors!$B:$B,$B274,Doors!$C:$C,$C274)*SUMIFS(Velocity!$I:$I,Velocity!$A:$A,$A274,Velocity!$B:$B,$C274)/Assumptions!$B$4*Assumptions!$B$6</f>
        <v>0</v>
      </c>
      <c r="AJ274" s="7" t="n">
        <f aca="false">SUMIFS(Doors!AV:AV,Doors!$A:$A,$D274,Doors!$B:$B,$B274,Doors!$C:$C,$C274)*SUMIFS(Velocity!$I:$I,Velocity!$A:$A,$A274,Velocity!$B:$B,$C274)/Assumptions!$B$4*Assumptions!$B$6</f>
        <v>0</v>
      </c>
      <c r="AK274" s="7" t="n">
        <f aca="false">SUMIFS(Doors!AW:AW,Doors!$A:$A,$D274,Doors!$B:$B,$B274,Doors!$C:$C,$C274)*SUMIFS(Velocity!$I:$I,Velocity!$A:$A,$A274,Velocity!$B:$B,$C274)/Assumptions!$B$4*Assumptions!$B$6</f>
        <v>0</v>
      </c>
      <c r="AL274" s="7" t="n">
        <f aca="false">SUMIFS(Doors!AX:AX,Doors!$A:$A,$D274,Doors!$B:$B,$B274,Doors!$C:$C,$C274)*SUMIFS(Velocity!$I:$I,Velocity!$A:$A,$A274,Velocity!$B:$B,$C274)/Assumptions!$B$4*Assumptions!$B$6</f>
        <v>0</v>
      </c>
      <c r="AM274" s="7" t="n">
        <f aca="false">SUMIFS(Doors!AY:AY,Doors!$A:$A,$D274,Doors!$B:$B,$B274,Doors!$C:$C,$C274)*SUMIFS(Velocity!$I:$I,Velocity!$A:$A,$A274,Velocity!$B:$B,$C274)/Assumptions!$B$4*Assumptions!$B$6</f>
        <v>0</v>
      </c>
      <c r="AN274" s="7" t="n">
        <f aca="false">SUMIFS(Doors!AZ:AZ,Doors!$A:$A,$D274,Doors!$B:$B,$B274,Doors!$C:$C,$C274)*SUMIFS(Velocity!$I:$I,Velocity!$A:$A,$A274,Velocity!$B:$B,$C274)/Assumptions!$B$4*Assumptions!$B$6</f>
        <v>0</v>
      </c>
      <c r="AO274" s="7" t="n">
        <f aca="false">SUMIFS(Doors!BA:BA,Doors!$A:$A,$D274,Doors!$B:$B,$B274,Doors!$C:$C,$C274)*SUMIFS(Velocity!$I:$I,Velocity!$A:$A,$A274,Velocity!$B:$B,$C274)/Assumptions!$B$4*Assumptions!$B$6</f>
        <v>0</v>
      </c>
      <c r="AP274" s="7" t="n">
        <f aca="false">SUMIFS(Doors!BB:BB,Doors!$A:$A,$D274,Doors!$B:$B,$B274,Doors!$C:$C,$C274)*SUMIFS(Velocity!$I:$I,Velocity!$A:$A,$A274,Velocity!$B:$B,$C274)/Assumptions!$B$4*Assumptions!$B$6</f>
        <v>0</v>
      </c>
      <c r="AQ274" s="7" t="n">
        <f aca="false">SUMIFS(Doors!BC:BC,Doors!$A:$A,$D274,Doors!$B:$B,$B274,Doors!$C:$C,$C274)*SUMIFS(Velocity!$I:$I,Velocity!$A:$A,$A274,Velocity!$B:$B,$C274)/Assumptions!$B$4*Assumptions!$B$6</f>
        <v>0</v>
      </c>
      <c r="AR274" s="7" t="n">
        <f aca="false">SUMIFS(Doors!BD:BD,Doors!$A:$A,$D274,Doors!$B:$B,$B274,Doors!$C:$C,$C274)*SUMIFS(Velocity!$I:$I,Velocity!$A:$A,$A274,Velocity!$B:$B,$C274)/Assumptions!$B$4*Assumptions!$B$6</f>
        <v>0</v>
      </c>
      <c r="AS274" s="7" t="n">
        <f aca="false">SUMIFS(Doors!BE:BE,Doors!$A:$A,$D274,Doors!$B:$B,$B274,Doors!$C:$C,$C274)*SUMIFS(Velocity!$I:$I,Velocity!$A:$A,$A274,Velocity!$B:$B,$C274)/Assumptions!$B$4*Assumptions!$B$6</f>
        <v>0</v>
      </c>
      <c r="AT274" s="7" t="n">
        <f aca="false">SUMIFS(Doors!BF:BF,Doors!$A:$A,$D274,Doors!$B:$B,$B274,Doors!$C:$C,$C274)*SUMIFS(Velocity!$I:$I,Velocity!$A:$A,$A274,Velocity!$B:$B,$C274)/Assumptions!$B$4*Assumptions!$B$6</f>
        <v>0</v>
      </c>
      <c r="AU274" s="7" t="n">
        <f aca="false">SUMIFS(Doors!BG:BG,Doors!$A:$A,$D274,Doors!$B:$B,$B274,Doors!$C:$C,$C274)*SUMIFS(Velocity!$I:$I,Velocity!$A:$A,$A274,Velocity!$B:$B,$C274)/Assumptions!$B$4*Assumptions!$B$6</f>
        <v>0</v>
      </c>
      <c r="AV274" s="7" t="n">
        <f aca="false">SUMIFS(Doors!BH:BH,Doors!$A:$A,$D274,Doors!$B:$B,$B274,Doors!$C:$C,$C274)*SUMIFS(Velocity!$I:$I,Velocity!$A:$A,$A274,Velocity!$B:$B,$C274)/Assumptions!$B$4*Assumptions!$B$6</f>
        <v>0</v>
      </c>
      <c r="AW274" s="7" t="n">
        <f aca="false">SUMIFS(Doors!BI:BI,Doors!$A:$A,$D274,Doors!$B:$B,$B274,Doors!$C:$C,$C274)*SUMIFS(Velocity!$I:$I,Velocity!$A:$A,$A274,Velocity!$B:$B,$C274)/Assumptions!$B$4*Assumptions!$B$6</f>
        <v>0</v>
      </c>
      <c r="AX274" s="7" t="n">
        <f aca="false">SUMIFS(Doors!BJ:BJ,Doors!$A:$A,$D274,Doors!$B:$B,$B274,Doors!$C:$C,$C274)*SUMIFS(Velocity!$I:$I,Velocity!$A:$A,$A274,Velocity!$B:$B,$C274)/Assumptions!$B$4*Assumptions!$B$6</f>
        <v>0</v>
      </c>
      <c r="AY274" s="7" t="n">
        <f aca="false">SUMIFS(Doors!BK:BK,Doors!$A:$A,$D274,Doors!$B:$B,$B274,Doors!$C:$C,$C274)*SUMIFS(Velocity!$I:$I,Velocity!$A:$A,$A274,Velocity!$B:$B,$C274)/Assumptions!$B$4*Assumptions!$B$6</f>
        <v>0</v>
      </c>
      <c r="AZ274" s="7" t="n">
        <f aca="false">SUMIFS(Doors!BL:BL,Doors!$A:$A,$D274,Doors!$B:$B,$B274,Doors!$C:$C,$C274)*SUMIFS(Velocity!$I:$I,Velocity!$A:$A,$A274,Velocity!$B:$B,$C274)/Assumptions!$B$4*Assumptions!$B$6</f>
        <v>0</v>
      </c>
      <c r="BA274" s="7" t="n">
        <f aca="false">SUMIFS(Doors!BM:BM,Doors!$A:$A,$D274,Doors!$B:$B,$B274,Doors!$C:$C,$C274)*SUMIFS(Velocity!$I:$I,Velocity!$A:$A,$A274,Velocity!$B:$B,$C274)/Assumptions!$B$4*Assumptions!$B$6</f>
        <v>0</v>
      </c>
      <c r="BB274" s="7" t="n">
        <f aca="false">SUMIFS(Doors!BN:BN,Doors!$A:$A,$D274,Doors!$B:$B,$B274,Doors!$C:$C,$C274)*SUMIFS(Velocity!$I:$I,Velocity!$A:$A,$A274,Velocity!$B:$B,$C274)/Assumptions!$B$4*Assumptions!$B$6</f>
        <v>0</v>
      </c>
      <c r="BC274" s="7" t="n">
        <f aca="false">SUMIFS(Doors!BO:BO,Doors!$A:$A,$D274,Doors!$B:$B,$B274,Doors!$C:$C,$C274)*SUMIFS(Velocity!$I:$I,Velocity!$A:$A,$A274,Velocity!$B:$B,$C274)/Assumptions!$B$4*Assumptions!$B$6</f>
        <v>0</v>
      </c>
      <c r="BD274" s="7" t="n">
        <f aca="false">SUMIFS(Doors!BP:BP,Doors!$A:$A,$D274,Doors!$B:$B,$B274,Doors!$C:$C,$C274)*SUMIFS(Velocity!$I:$I,Velocity!$A:$A,$A274,Velocity!$B:$B,$C274)/Assumptions!$B$4*Assumptions!$B$6</f>
        <v>0</v>
      </c>
    </row>
    <row r="275" customFormat="false" ht="15" hidden="false" customHeight="false" outlineLevel="0" collapsed="false">
      <c r="A275" s="0" t="s">
        <v>110</v>
      </c>
      <c r="B275" s="0" t="s">
        <v>135</v>
      </c>
      <c r="C275" s="0" t="s">
        <v>123</v>
      </c>
      <c r="D275" s="0" t="s">
        <v>235</v>
      </c>
      <c r="E275" s="7" t="n">
        <f aca="false">SUMIFS(Doors!Q:Q,Doors!$A:$A,$D275,Doors!$B:$B,$B275,Doors!$C:$C,$C275)*SUMIFS(Velocity!$I:$I,Velocity!$A:$A,$A275,Velocity!$B:$B,$C275)/Assumptions!$B$4*Assumptions!$B$6</f>
        <v>0</v>
      </c>
      <c r="F275" s="7" t="n">
        <f aca="false">SUMIFS(Doors!R:R,Doors!$A:$A,$D275,Doors!$B:$B,$B275,Doors!$C:$C,$C275)*SUMIFS(Velocity!$I:$I,Velocity!$A:$A,$A275,Velocity!$B:$B,$C275)/Assumptions!$B$4*Assumptions!$B$6</f>
        <v>0</v>
      </c>
      <c r="G275" s="7" t="n">
        <f aca="false">SUMIFS(Doors!S:S,Doors!$A:$A,$D275,Doors!$B:$B,$B275,Doors!$C:$C,$C275)*SUMIFS(Velocity!$I:$I,Velocity!$A:$A,$A275,Velocity!$B:$B,$C275)/Assumptions!$B$4*Assumptions!$B$6</f>
        <v>0</v>
      </c>
      <c r="H275" s="7" t="n">
        <f aca="false">SUMIFS(Doors!T:T,Doors!$A:$A,$D275,Doors!$B:$B,$B275,Doors!$C:$C,$C275)*SUMIFS(Velocity!$I:$I,Velocity!$A:$A,$A275,Velocity!$B:$B,$C275)/Assumptions!$B$4*Assumptions!$B$6</f>
        <v>0</v>
      </c>
      <c r="I275" s="7" t="n">
        <f aca="false">SUMIFS(Doors!U:U,Doors!$A:$A,$D275,Doors!$B:$B,$B275,Doors!$C:$C,$C275)*SUMIFS(Velocity!$I:$I,Velocity!$A:$A,$A275,Velocity!$B:$B,$C275)/Assumptions!$B$4*Assumptions!$B$6</f>
        <v>0</v>
      </c>
      <c r="J275" s="7" t="n">
        <f aca="false">SUMIFS(Doors!V:V,Doors!$A:$A,$D275,Doors!$B:$B,$B275,Doors!$C:$C,$C275)*SUMIFS(Velocity!$I:$I,Velocity!$A:$A,$A275,Velocity!$B:$B,$C275)/Assumptions!$B$4*Assumptions!$B$6</f>
        <v>0</v>
      </c>
      <c r="K275" s="7" t="n">
        <f aca="false">SUMIFS(Doors!W:W,Doors!$A:$A,$D275,Doors!$B:$B,$B275,Doors!$C:$C,$C275)*SUMIFS(Velocity!$I:$I,Velocity!$A:$A,$A275,Velocity!$B:$B,$C275)/Assumptions!$B$4*Assumptions!$B$6</f>
        <v>0</v>
      </c>
      <c r="L275" s="7" t="n">
        <f aca="false">SUMIFS(Doors!X:X,Doors!$A:$A,$D275,Doors!$B:$B,$B275,Doors!$C:$C,$C275)*SUMIFS(Velocity!$I:$I,Velocity!$A:$A,$A275,Velocity!$B:$B,$C275)/Assumptions!$B$4*Assumptions!$B$6</f>
        <v>0</v>
      </c>
      <c r="M275" s="7" t="n">
        <f aca="false">SUMIFS(Doors!Y:Y,Doors!$A:$A,$D275,Doors!$B:$B,$B275,Doors!$C:$C,$C275)*SUMIFS(Velocity!$I:$I,Velocity!$A:$A,$A275,Velocity!$B:$B,$C275)/Assumptions!$B$4*Assumptions!$B$6</f>
        <v>0</v>
      </c>
      <c r="N275" s="7" t="n">
        <f aca="false">SUMIFS(Doors!Z:Z,Doors!$A:$A,$D275,Doors!$B:$B,$B275,Doors!$C:$C,$C275)*SUMIFS(Velocity!$I:$I,Velocity!$A:$A,$A275,Velocity!$B:$B,$C275)/Assumptions!$B$4*Assumptions!$B$6</f>
        <v>0</v>
      </c>
      <c r="O275" s="7" t="n">
        <f aca="false">SUMIFS(Doors!AA:AA,Doors!$A:$A,$D275,Doors!$B:$B,$B275,Doors!$C:$C,$C275)*SUMIFS(Velocity!$I:$I,Velocity!$A:$A,$A275,Velocity!$B:$B,$C275)/Assumptions!$B$4*Assumptions!$B$6</f>
        <v>0</v>
      </c>
      <c r="P275" s="7" t="n">
        <f aca="false">SUMIFS(Doors!AB:AB,Doors!$A:$A,$D275,Doors!$B:$B,$B275,Doors!$C:$C,$C275)*SUMIFS(Velocity!$I:$I,Velocity!$A:$A,$A275,Velocity!$B:$B,$C275)/Assumptions!$B$4*Assumptions!$B$6</f>
        <v>0</v>
      </c>
      <c r="Q275" s="7" t="n">
        <f aca="false">SUMIFS(Doors!AC:AC,Doors!$A:$A,$D275,Doors!$B:$B,$B275,Doors!$C:$C,$C275)*SUMIFS(Velocity!$I:$I,Velocity!$A:$A,$A275,Velocity!$B:$B,$C275)/Assumptions!$B$4*Assumptions!$B$6</f>
        <v>0</v>
      </c>
      <c r="R275" s="7" t="n">
        <f aca="false">SUMIFS(Doors!AD:AD,Doors!$A:$A,$D275,Doors!$B:$B,$B275,Doors!$C:$C,$C275)*SUMIFS(Velocity!$I:$I,Velocity!$A:$A,$A275,Velocity!$B:$B,$C275)/Assumptions!$B$4*Assumptions!$B$6</f>
        <v>0</v>
      </c>
      <c r="S275" s="7" t="n">
        <f aca="false">SUMIFS(Doors!AE:AE,Doors!$A:$A,$D275,Doors!$B:$B,$B275,Doors!$C:$C,$C275)*SUMIFS(Velocity!$I:$I,Velocity!$A:$A,$A275,Velocity!$B:$B,$C275)/Assumptions!$B$4*Assumptions!$B$6</f>
        <v>0</v>
      </c>
      <c r="T275" s="7" t="n">
        <f aca="false">SUMIFS(Doors!AF:AF,Doors!$A:$A,$D275,Doors!$B:$B,$B275,Doors!$C:$C,$C275)*SUMIFS(Velocity!$I:$I,Velocity!$A:$A,$A275,Velocity!$B:$B,$C275)/Assumptions!$B$4*Assumptions!$B$6</f>
        <v>0</v>
      </c>
      <c r="U275" s="7" t="n">
        <f aca="false">SUMIFS(Doors!AG:AG,Doors!$A:$A,$D275,Doors!$B:$B,$B275,Doors!$C:$C,$C275)*SUMIFS(Velocity!$I:$I,Velocity!$A:$A,$A275,Velocity!$B:$B,$C275)/Assumptions!$B$4*Assumptions!$B$6</f>
        <v>0</v>
      </c>
      <c r="V275" s="7" t="n">
        <f aca="false">SUMIFS(Doors!AH:AH,Doors!$A:$A,$D275,Doors!$B:$B,$B275,Doors!$C:$C,$C275)*SUMIFS(Velocity!$I:$I,Velocity!$A:$A,$A275,Velocity!$B:$B,$C275)/Assumptions!$B$4*Assumptions!$B$6</f>
        <v>0</v>
      </c>
      <c r="W275" s="7" t="n">
        <f aca="false">SUMIFS(Doors!AI:AI,Doors!$A:$A,$D275,Doors!$B:$B,$B275,Doors!$C:$C,$C275)*SUMIFS(Velocity!$I:$I,Velocity!$A:$A,$A275,Velocity!$B:$B,$C275)/Assumptions!$B$4*Assumptions!$B$6</f>
        <v>0</v>
      </c>
      <c r="X275" s="7" t="n">
        <f aca="false">SUMIFS(Doors!AJ:AJ,Doors!$A:$A,$D275,Doors!$B:$B,$B275,Doors!$C:$C,$C275)*SUMIFS(Velocity!$I:$I,Velocity!$A:$A,$A275,Velocity!$B:$B,$C275)/Assumptions!$B$4*Assumptions!$B$6</f>
        <v>0</v>
      </c>
      <c r="Y275" s="7" t="n">
        <f aca="false">SUMIFS(Doors!AK:AK,Doors!$A:$A,$D275,Doors!$B:$B,$B275,Doors!$C:$C,$C275)*SUMIFS(Velocity!$I:$I,Velocity!$A:$A,$A275,Velocity!$B:$B,$C275)/Assumptions!$B$4*Assumptions!$B$6</f>
        <v>0</v>
      </c>
      <c r="Z275" s="7" t="n">
        <f aca="false">SUMIFS(Doors!AL:AL,Doors!$A:$A,$D275,Doors!$B:$B,$B275,Doors!$C:$C,$C275)*SUMIFS(Velocity!$I:$I,Velocity!$A:$A,$A275,Velocity!$B:$B,$C275)/Assumptions!$B$4*Assumptions!$B$6</f>
        <v>0</v>
      </c>
      <c r="AA275" s="7" t="n">
        <f aca="false">SUMIFS(Doors!AM:AM,Doors!$A:$A,$D275,Doors!$B:$B,$B275,Doors!$C:$C,$C275)*SUMIFS(Velocity!$I:$I,Velocity!$A:$A,$A275,Velocity!$B:$B,$C275)/Assumptions!$B$4*Assumptions!$B$6</f>
        <v>0</v>
      </c>
      <c r="AB275" s="7" t="n">
        <f aca="false">SUMIFS(Doors!AN:AN,Doors!$A:$A,$D275,Doors!$B:$B,$B275,Doors!$C:$C,$C275)*SUMIFS(Velocity!$I:$I,Velocity!$A:$A,$A275,Velocity!$B:$B,$C275)/Assumptions!$B$4*Assumptions!$B$6</f>
        <v>0</v>
      </c>
      <c r="AC275" s="7" t="n">
        <f aca="false">SUMIFS(Doors!AO:AO,Doors!$A:$A,$D275,Doors!$B:$B,$B275,Doors!$C:$C,$C275)*SUMIFS(Velocity!$I:$I,Velocity!$A:$A,$A275,Velocity!$B:$B,$C275)/Assumptions!$B$4*Assumptions!$B$6</f>
        <v>0</v>
      </c>
      <c r="AD275" s="7" t="n">
        <f aca="false">SUMIFS(Doors!AP:AP,Doors!$A:$A,$D275,Doors!$B:$B,$B275,Doors!$C:$C,$C275)*SUMIFS(Velocity!$I:$I,Velocity!$A:$A,$A275,Velocity!$B:$B,$C275)/Assumptions!$B$4*Assumptions!$B$6</f>
        <v>0</v>
      </c>
      <c r="AE275" s="7" t="n">
        <f aca="false">SUMIFS(Doors!AQ:AQ,Doors!$A:$A,$D275,Doors!$B:$B,$B275,Doors!$C:$C,$C275)*SUMIFS(Velocity!$I:$I,Velocity!$A:$A,$A275,Velocity!$B:$B,$C275)/Assumptions!$B$4*Assumptions!$B$6</f>
        <v>0</v>
      </c>
      <c r="AF275" s="7" t="n">
        <f aca="false">SUMIFS(Doors!AR:AR,Doors!$A:$A,$D275,Doors!$B:$B,$B275,Doors!$C:$C,$C275)*SUMIFS(Velocity!$I:$I,Velocity!$A:$A,$A275,Velocity!$B:$B,$C275)/Assumptions!$B$4*Assumptions!$B$6</f>
        <v>0</v>
      </c>
      <c r="AG275" s="7" t="n">
        <f aca="false">SUMIFS(Doors!AS:AS,Doors!$A:$A,$D275,Doors!$B:$B,$B275,Doors!$C:$C,$C275)*SUMIFS(Velocity!$I:$I,Velocity!$A:$A,$A275,Velocity!$B:$B,$C275)/Assumptions!$B$4*Assumptions!$B$6</f>
        <v>0</v>
      </c>
      <c r="AH275" s="7" t="n">
        <f aca="false">SUMIFS(Doors!AT:AT,Doors!$A:$A,$D275,Doors!$B:$B,$B275,Doors!$C:$C,$C275)*SUMIFS(Velocity!$I:$I,Velocity!$A:$A,$A275,Velocity!$B:$B,$C275)/Assumptions!$B$4*Assumptions!$B$6</f>
        <v>0</v>
      </c>
      <c r="AI275" s="7" t="n">
        <f aca="false">SUMIFS(Doors!AU:AU,Doors!$A:$A,$D275,Doors!$B:$B,$B275,Doors!$C:$C,$C275)*SUMIFS(Velocity!$I:$I,Velocity!$A:$A,$A275,Velocity!$B:$B,$C275)/Assumptions!$B$4*Assumptions!$B$6</f>
        <v>0</v>
      </c>
      <c r="AJ275" s="7" t="n">
        <f aca="false">SUMIFS(Doors!AV:AV,Doors!$A:$A,$D275,Doors!$B:$B,$B275,Doors!$C:$C,$C275)*SUMIFS(Velocity!$I:$I,Velocity!$A:$A,$A275,Velocity!$B:$B,$C275)/Assumptions!$B$4*Assumptions!$B$6</f>
        <v>0</v>
      </c>
      <c r="AK275" s="7" t="n">
        <f aca="false">SUMIFS(Doors!AW:AW,Doors!$A:$A,$D275,Doors!$B:$B,$B275,Doors!$C:$C,$C275)*SUMIFS(Velocity!$I:$I,Velocity!$A:$A,$A275,Velocity!$B:$B,$C275)/Assumptions!$B$4*Assumptions!$B$6</f>
        <v>0</v>
      </c>
      <c r="AL275" s="7" t="n">
        <f aca="false">SUMIFS(Doors!AX:AX,Doors!$A:$A,$D275,Doors!$B:$B,$B275,Doors!$C:$C,$C275)*SUMIFS(Velocity!$I:$I,Velocity!$A:$A,$A275,Velocity!$B:$B,$C275)/Assumptions!$B$4*Assumptions!$B$6</f>
        <v>0</v>
      </c>
      <c r="AM275" s="7" t="n">
        <f aca="false">SUMIFS(Doors!AY:AY,Doors!$A:$A,$D275,Doors!$B:$B,$B275,Doors!$C:$C,$C275)*SUMIFS(Velocity!$I:$I,Velocity!$A:$A,$A275,Velocity!$B:$B,$C275)/Assumptions!$B$4*Assumptions!$B$6</f>
        <v>0</v>
      </c>
      <c r="AN275" s="7" t="n">
        <f aca="false">SUMIFS(Doors!AZ:AZ,Doors!$A:$A,$D275,Doors!$B:$B,$B275,Doors!$C:$C,$C275)*SUMIFS(Velocity!$I:$I,Velocity!$A:$A,$A275,Velocity!$B:$B,$C275)/Assumptions!$B$4*Assumptions!$B$6</f>
        <v>0</v>
      </c>
      <c r="AO275" s="7" t="n">
        <f aca="false">SUMIFS(Doors!BA:BA,Doors!$A:$A,$D275,Doors!$B:$B,$B275,Doors!$C:$C,$C275)*SUMIFS(Velocity!$I:$I,Velocity!$A:$A,$A275,Velocity!$B:$B,$C275)/Assumptions!$B$4*Assumptions!$B$6</f>
        <v>0</v>
      </c>
      <c r="AP275" s="7" t="n">
        <f aca="false">SUMIFS(Doors!BB:BB,Doors!$A:$A,$D275,Doors!$B:$B,$B275,Doors!$C:$C,$C275)*SUMIFS(Velocity!$I:$I,Velocity!$A:$A,$A275,Velocity!$B:$B,$C275)/Assumptions!$B$4*Assumptions!$B$6</f>
        <v>0</v>
      </c>
      <c r="AQ275" s="7" t="n">
        <f aca="false">SUMIFS(Doors!BC:BC,Doors!$A:$A,$D275,Doors!$B:$B,$B275,Doors!$C:$C,$C275)*SUMIFS(Velocity!$I:$I,Velocity!$A:$A,$A275,Velocity!$B:$B,$C275)/Assumptions!$B$4*Assumptions!$B$6</f>
        <v>0</v>
      </c>
      <c r="AR275" s="7" t="n">
        <f aca="false">SUMIFS(Doors!BD:BD,Doors!$A:$A,$D275,Doors!$B:$B,$B275,Doors!$C:$C,$C275)*SUMIFS(Velocity!$I:$I,Velocity!$A:$A,$A275,Velocity!$B:$B,$C275)/Assumptions!$B$4*Assumptions!$B$6</f>
        <v>0</v>
      </c>
      <c r="AS275" s="7" t="n">
        <f aca="false">SUMIFS(Doors!BE:BE,Doors!$A:$A,$D275,Doors!$B:$B,$B275,Doors!$C:$C,$C275)*SUMIFS(Velocity!$I:$I,Velocity!$A:$A,$A275,Velocity!$B:$B,$C275)/Assumptions!$B$4*Assumptions!$B$6</f>
        <v>0</v>
      </c>
      <c r="AT275" s="7" t="n">
        <f aca="false">SUMIFS(Doors!BF:BF,Doors!$A:$A,$D275,Doors!$B:$B,$B275,Doors!$C:$C,$C275)*SUMIFS(Velocity!$I:$I,Velocity!$A:$A,$A275,Velocity!$B:$B,$C275)/Assumptions!$B$4*Assumptions!$B$6</f>
        <v>0</v>
      </c>
      <c r="AU275" s="7" t="n">
        <f aca="false">SUMIFS(Doors!BG:BG,Doors!$A:$A,$D275,Doors!$B:$B,$B275,Doors!$C:$C,$C275)*SUMIFS(Velocity!$I:$I,Velocity!$A:$A,$A275,Velocity!$B:$B,$C275)/Assumptions!$B$4*Assumptions!$B$6</f>
        <v>0</v>
      </c>
      <c r="AV275" s="7" t="n">
        <f aca="false">SUMIFS(Doors!BH:BH,Doors!$A:$A,$D275,Doors!$B:$B,$B275,Doors!$C:$C,$C275)*SUMIFS(Velocity!$I:$I,Velocity!$A:$A,$A275,Velocity!$B:$B,$C275)/Assumptions!$B$4*Assumptions!$B$6</f>
        <v>0</v>
      </c>
      <c r="AW275" s="7" t="n">
        <f aca="false">SUMIFS(Doors!BI:BI,Doors!$A:$A,$D275,Doors!$B:$B,$B275,Doors!$C:$C,$C275)*SUMIFS(Velocity!$I:$I,Velocity!$A:$A,$A275,Velocity!$B:$B,$C275)/Assumptions!$B$4*Assumptions!$B$6</f>
        <v>0</v>
      </c>
      <c r="AX275" s="7" t="n">
        <f aca="false">SUMIFS(Doors!BJ:BJ,Doors!$A:$A,$D275,Doors!$B:$B,$B275,Doors!$C:$C,$C275)*SUMIFS(Velocity!$I:$I,Velocity!$A:$A,$A275,Velocity!$B:$B,$C275)/Assumptions!$B$4*Assumptions!$B$6</f>
        <v>0</v>
      </c>
      <c r="AY275" s="7" t="n">
        <f aca="false">SUMIFS(Doors!BK:BK,Doors!$A:$A,$D275,Doors!$B:$B,$B275,Doors!$C:$C,$C275)*SUMIFS(Velocity!$I:$I,Velocity!$A:$A,$A275,Velocity!$B:$B,$C275)/Assumptions!$B$4*Assumptions!$B$6</f>
        <v>0</v>
      </c>
      <c r="AZ275" s="7" t="n">
        <f aca="false">SUMIFS(Doors!BL:BL,Doors!$A:$A,$D275,Doors!$B:$B,$B275,Doors!$C:$C,$C275)*SUMIFS(Velocity!$I:$I,Velocity!$A:$A,$A275,Velocity!$B:$B,$C275)/Assumptions!$B$4*Assumptions!$B$6</f>
        <v>0</v>
      </c>
      <c r="BA275" s="7" t="n">
        <f aca="false">SUMIFS(Doors!BM:BM,Doors!$A:$A,$D275,Doors!$B:$B,$B275,Doors!$C:$C,$C275)*SUMIFS(Velocity!$I:$I,Velocity!$A:$A,$A275,Velocity!$B:$B,$C275)/Assumptions!$B$4*Assumptions!$B$6</f>
        <v>0</v>
      </c>
      <c r="BB275" s="7" t="n">
        <f aca="false">SUMIFS(Doors!BN:BN,Doors!$A:$A,$D275,Doors!$B:$B,$B275,Doors!$C:$C,$C275)*SUMIFS(Velocity!$I:$I,Velocity!$A:$A,$A275,Velocity!$B:$B,$C275)/Assumptions!$B$4*Assumptions!$B$6</f>
        <v>0</v>
      </c>
      <c r="BC275" s="7" t="n">
        <f aca="false">SUMIFS(Doors!BO:BO,Doors!$A:$A,$D275,Doors!$B:$B,$B275,Doors!$C:$C,$C275)*SUMIFS(Velocity!$I:$I,Velocity!$A:$A,$A275,Velocity!$B:$B,$C275)/Assumptions!$B$4*Assumptions!$B$6</f>
        <v>0</v>
      </c>
      <c r="BD275" s="7" t="n">
        <f aca="false">SUMIFS(Doors!BP:BP,Doors!$A:$A,$D275,Doors!$B:$B,$B275,Doors!$C:$C,$C275)*SUMIFS(Velocity!$I:$I,Velocity!$A:$A,$A275,Velocity!$B:$B,$C275)/Assumptions!$B$4*Assumptions!$B$6</f>
        <v>0</v>
      </c>
    </row>
    <row r="276" customFormat="false" ht="15" hidden="false" customHeight="false" outlineLevel="0" collapsed="false">
      <c r="A276" s="0" t="s">
        <v>111</v>
      </c>
      <c r="B276" s="0" t="s">
        <v>126</v>
      </c>
      <c r="C276" s="0" t="s">
        <v>115</v>
      </c>
      <c r="D276" s="0" t="s">
        <v>236</v>
      </c>
      <c r="E276" s="7" t="n">
        <f aca="false">SUMIFS(Doors!Q:Q,Doors!$A:$A,$D276,Doors!$B:$B,$B276,Doors!$C:$C,$C276)*SUMIFS(Velocity!$I:$I,Velocity!$A:$A,$A276,Velocity!$B:$B,$C276)/Assumptions!$B$4*Assumptions!$B$6</f>
        <v>0</v>
      </c>
      <c r="F276" s="7" t="n">
        <f aca="false">SUMIFS(Doors!R:R,Doors!$A:$A,$D276,Doors!$B:$B,$B276,Doors!$C:$C,$C276)*SUMIFS(Velocity!$I:$I,Velocity!$A:$A,$A276,Velocity!$B:$B,$C276)/Assumptions!$B$4*Assumptions!$B$6</f>
        <v>0</v>
      </c>
      <c r="G276" s="7" t="n">
        <f aca="false">SUMIFS(Doors!S:S,Doors!$A:$A,$D276,Doors!$B:$B,$B276,Doors!$C:$C,$C276)*SUMIFS(Velocity!$I:$I,Velocity!$A:$A,$A276,Velocity!$B:$B,$C276)/Assumptions!$B$4*Assumptions!$B$6</f>
        <v>0</v>
      </c>
      <c r="H276" s="7" t="n">
        <f aca="false">SUMIFS(Doors!T:T,Doors!$A:$A,$D276,Doors!$B:$B,$B276,Doors!$C:$C,$C276)*SUMIFS(Velocity!$I:$I,Velocity!$A:$A,$A276,Velocity!$B:$B,$C276)/Assumptions!$B$4*Assumptions!$B$6</f>
        <v>0</v>
      </c>
      <c r="I276" s="7" t="n">
        <f aca="false">SUMIFS(Doors!U:U,Doors!$A:$A,$D276,Doors!$B:$B,$B276,Doors!$C:$C,$C276)*SUMIFS(Velocity!$I:$I,Velocity!$A:$A,$A276,Velocity!$B:$B,$C276)/Assumptions!$B$4*Assumptions!$B$6</f>
        <v>0</v>
      </c>
      <c r="J276" s="7" t="n">
        <f aca="false">SUMIFS(Doors!V:V,Doors!$A:$A,$D276,Doors!$B:$B,$B276,Doors!$C:$C,$C276)*SUMIFS(Velocity!$I:$I,Velocity!$A:$A,$A276,Velocity!$B:$B,$C276)/Assumptions!$B$4*Assumptions!$B$6</f>
        <v>0</v>
      </c>
      <c r="K276" s="7" t="n">
        <f aca="false">SUMIFS(Doors!W:W,Doors!$A:$A,$D276,Doors!$B:$B,$B276,Doors!$C:$C,$C276)*SUMIFS(Velocity!$I:$I,Velocity!$A:$A,$A276,Velocity!$B:$B,$C276)/Assumptions!$B$4*Assumptions!$B$6</f>
        <v>0</v>
      </c>
      <c r="L276" s="7" t="n">
        <f aca="false">SUMIFS(Doors!X:X,Doors!$A:$A,$D276,Doors!$B:$B,$B276,Doors!$C:$C,$C276)*SUMIFS(Velocity!$I:$I,Velocity!$A:$A,$A276,Velocity!$B:$B,$C276)/Assumptions!$B$4*Assumptions!$B$6</f>
        <v>0</v>
      </c>
      <c r="M276" s="7" t="n">
        <f aca="false">SUMIFS(Doors!Y:Y,Doors!$A:$A,$D276,Doors!$B:$B,$B276,Doors!$C:$C,$C276)*SUMIFS(Velocity!$I:$I,Velocity!$A:$A,$A276,Velocity!$B:$B,$C276)/Assumptions!$B$4*Assumptions!$B$6</f>
        <v>0</v>
      </c>
      <c r="N276" s="7" t="n">
        <f aca="false">SUMIFS(Doors!Z:Z,Doors!$A:$A,$D276,Doors!$B:$B,$B276,Doors!$C:$C,$C276)*SUMIFS(Velocity!$I:$I,Velocity!$A:$A,$A276,Velocity!$B:$B,$C276)/Assumptions!$B$4*Assumptions!$B$6</f>
        <v>0</v>
      </c>
      <c r="O276" s="7" t="n">
        <f aca="false">SUMIFS(Doors!AA:AA,Doors!$A:$A,$D276,Doors!$B:$B,$B276,Doors!$C:$C,$C276)*SUMIFS(Velocity!$I:$I,Velocity!$A:$A,$A276,Velocity!$B:$B,$C276)/Assumptions!$B$4*Assumptions!$B$6</f>
        <v>0</v>
      </c>
      <c r="P276" s="7" t="n">
        <f aca="false">SUMIFS(Doors!AB:AB,Doors!$A:$A,$D276,Doors!$B:$B,$B276,Doors!$C:$C,$C276)*SUMIFS(Velocity!$I:$I,Velocity!$A:$A,$A276,Velocity!$B:$B,$C276)/Assumptions!$B$4*Assumptions!$B$6</f>
        <v>0</v>
      </c>
      <c r="Q276" s="7" t="n">
        <f aca="false">SUMIFS(Doors!AC:AC,Doors!$A:$A,$D276,Doors!$B:$B,$B276,Doors!$C:$C,$C276)*SUMIFS(Velocity!$I:$I,Velocity!$A:$A,$A276,Velocity!$B:$B,$C276)/Assumptions!$B$4*Assumptions!$B$6</f>
        <v>0</v>
      </c>
      <c r="R276" s="7" t="n">
        <f aca="false">SUMIFS(Doors!AD:AD,Doors!$A:$A,$D276,Doors!$B:$B,$B276,Doors!$C:$C,$C276)*SUMIFS(Velocity!$I:$I,Velocity!$A:$A,$A276,Velocity!$B:$B,$C276)/Assumptions!$B$4*Assumptions!$B$6</f>
        <v>0</v>
      </c>
      <c r="S276" s="7" t="n">
        <f aca="false">SUMIFS(Doors!AE:AE,Doors!$A:$A,$D276,Doors!$B:$B,$B276,Doors!$C:$C,$C276)*SUMIFS(Velocity!$I:$I,Velocity!$A:$A,$A276,Velocity!$B:$B,$C276)/Assumptions!$B$4*Assumptions!$B$6</f>
        <v>0</v>
      </c>
      <c r="T276" s="7" t="n">
        <f aca="false">SUMIFS(Doors!AF:AF,Doors!$A:$A,$D276,Doors!$B:$B,$B276,Doors!$C:$C,$C276)*SUMIFS(Velocity!$I:$I,Velocity!$A:$A,$A276,Velocity!$B:$B,$C276)/Assumptions!$B$4*Assumptions!$B$6</f>
        <v>0</v>
      </c>
      <c r="U276" s="7" t="n">
        <f aca="false">SUMIFS(Doors!AG:AG,Doors!$A:$A,$D276,Doors!$B:$B,$B276,Doors!$C:$C,$C276)*SUMIFS(Velocity!$I:$I,Velocity!$A:$A,$A276,Velocity!$B:$B,$C276)/Assumptions!$B$4*Assumptions!$B$6</f>
        <v>0</v>
      </c>
      <c r="V276" s="7" t="n">
        <f aca="false">SUMIFS(Doors!AH:AH,Doors!$A:$A,$D276,Doors!$B:$B,$B276,Doors!$C:$C,$C276)*SUMIFS(Velocity!$I:$I,Velocity!$A:$A,$A276,Velocity!$B:$B,$C276)/Assumptions!$B$4*Assumptions!$B$6</f>
        <v>0</v>
      </c>
      <c r="W276" s="7" t="n">
        <f aca="false">SUMIFS(Doors!AI:AI,Doors!$A:$A,$D276,Doors!$B:$B,$B276,Doors!$C:$C,$C276)*SUMIFS(Velocity!$I:$I,Velocity!$A:$A,$A276,Velocity!$B:$B,$C276)/Assumptions!$B$4*Assumptions!$B$6</f>
        <v>1.04166666666667</v>
      </c>
      <c r="X276" s="7" t="n">
        <f aca="false">SUMIFS(Doors!AJ:AJ,Doors!$A:$A,$D276,Doors!$B:$B,$B276,Doors!$C:$C,$C276)*SUMIFS(Velocity!$I:$I,Velocity!$A:$A,$A276,Velocity!$B:$B,$C276)/Assumptions!$B$4*Assumptions!$B$6</f>
        <v>1.04166666666667</v>
      </c>
      <c r="Y276" s="7" t="n">
        <f aca="false">SUMIFS(Doors!AK:AK,Doors!$A:$A,$D276,Doors!$B:$B,$B276,Doors!$C:$C,$C276)*SUMIFS(Velocity!$I:$I,Velocity!$A:$A,$A276,Velocity!$B:$B,$C276)/Assumptions!$B$4*Assumptions!$B$6</f>
        <v>1.04166666666667</v>
      </c>
      <c r="Z276" s="7" t="n">
        <f aca="false">SUMIFS(Doors!AL:AL,Doors!$A:$A,$D276,Doors!$B:$B,$B276,Doors!$C:$C,$C276)*SUMIFS(Velocity!$I:$I,Velocity!$A:$A,$A276,Velocity!$B:$B,$C276)/Assumptions!$B$4*Assumptions!$B$6</f>
        <v>1.04166666666667</v>
      </c>
      <c r="AA276" s="7" t="n">
        <f aca="false">SUMIFS(Doors!AM:AM,Doors!$A:$A,$D276,Doors!$B:$B,$B276,Doors!$C:$C,$C276)*SUMIFS(Velocity!$I:$I,Velocity!$A:$A,$A276,Velocity!$B:$B,$C276)/Assumptions!$B$4*Assumptions!$B$6</f>
        <v>2.08333333333333</v>
      </c>
      <c r="AB276" s="7" t="n">
        <f aca="false">SUMIFS(Doors!AN:AN,Doors!$A:$A,$D276,Doors!$B:$B,$B276,Doors!$C:$C,$C276)*SUMIFS(Velocity!$I:$I,Velocity!$A:$A,$A276,Velocity!$B:$B,$C276)/Assumptions!$B$4*Assumptions!$B$6</f>
        <v>2.08333333333333</v>
      </c>
      <c r="AC276" s="7" t="n">
        <f aca="false">SUMIFS(Doors!AO:AO,Doors!$A:$A,$D276,Doors!$B:$B,$B276,Doors!$C:$C,$C276)*SUMIFS(Velocity!$I:$I,Velocity!$A:$A,$A276,Velocity!$B:$B,$C276)/Assumptions!$B$4*Assumptions!$B$6</f>
        <v>2.08333333333333</v>
      </c>
      <c r="AD276" s="7" t="n">
        <f aca="false">SUMIFS(Doors!AP:AP,Doors!$A:$A,$D276,Doors!$B:$B,$B276,Doors!$C:$C,$C276)*SUMIFS(Velocity!$I:$I,Velocity!$A:$A,$A276,Velocity!$B:$B,$C276)/Assumptions!$B$4*Assumptions!$B$6</f>
        <v>2.08333333333333</v>
      </c>
      <c r="AE276" s="7" t="n">
        <f aca="false">SUMIFS(Doors!AQ:AQ,Doors!$A:$A,$D276,Doors!$B:$B,$B276,Doors!$C:$C,$C276)*SUMIFS(Velocity!$I:$I,Velocity!$A:$A,$A276,Velocity!$B:$B,$C276)/Assumptions!$B$4*Assumptions!$B$6</f>
        <v>3.125</v>
      </c>
      <c r="AF276" s="7" t="n">
        <f aca="false">SUMIFS(Doors!AR:AR,Doors!$A:$A,$D276,Doors!$B:$B,$B276,Doors!$C:$C,$C276)*SUMIFS(Velocity!$I:$I,Velocity!$A:$A,$A276,Velocity!$B:$B,$C276)/Assumptions!$B$4*Assumptions!$B$6</f>
        <v>3.125</v>
      </c>
      <c r="AG276" s="7" t="n">
        <f aca="false">SUMIFS(Doors!AS:AS,Doors!$A:$A,$D276,Doors!$B:$B,$B276,Doors!$C:$C,$C276)*SUMIFS(Velocity!$I:$I,Velocity!$A:$A,$A276,Velocity!$B:$B,$C276)/Assumptions!$B$4*Assumptions!$B$6</f>
        <v>3.125</v>
      </c>
      <c r="AH276" s="7" t="n">
        <f aca="false">SUMIFS(Doors!AT:AT,Doors!$A:$A,$D276,Doors!$B:$B,$B276,Doors!$C:$C,$C276)*SUMIFS(Velocity!$I:$I,Velocity!$A:$A,$A276,Velocity!$B:$B,$C276)/Assumptions!$B$4*Assumptions!$B$6</f>
        <v>3.125</v>
      </c>
      <c r="AI276" s="7" t="n">
        <f aca="false">SUMIFS(Doors!AU:AU,Doors!$A:$A,$D276,Doors!$B:$B,$B276,Doors!$C:$C,$C276)*SUMIFS(Velocity!$I:$I,Velocity!$A:$A,$A276,Velocity!$B:$B,$C276)/Assumptions!$B$4*Assumptions!$B$6</f>
        <v>3.125</v>
      </c>
      <c r="AJ276" s="7" t="n">
        <f aca="false">SUMIFS(Doors!AV:AV,Doors!$A:$A,$D276,Doors!$B:$B,$B276,Doors!$C:$C,$C276)*SUMIFS(Velocity!$I:$I,Velocity!$A:$A,$A276,Velocity!$B:$B,$C276)/Assumptions!$B$4*Assumptions!$B$6</f>
        <v>4.16666666666667</v>
      </c>
      <c r="AK276" s="7" t="n">
        <f aca="false">SUMIFS(Doors!AW:AW,Doors!$A:$A,$D276,Doors!$B:$B,$B276,Doors!$C:$C,$C276)*SUMIFS(Velocity!$I:$I,Velocity!$A:$A,$A276,Velocity!$B:$B,$C276)/Assumptions!$B$4*Assumptions!$B$6</f>
        <v>4.16666666666667</v>
      </c>
      <c r="AL276" s="7" t="n">
        <f aca="false">SUMIFS(Doors!AX:AX,Doors!$A:$A,$D276,Doors!$B:$B,$B276,Doors!$C:$C,$C276)*SUMIFS(Velocity!$I:$I,Velocity!$A:$A,$A276,Velocity!$B:$B,$C276)/Assumptions!$B$4*Assumptions!$B$6</f>
        <v>4.16666666666667</v>
      </c>
      <c r="AM276" s="7" t="n">
        <f aca="false">SUMIFS(Doors!AY:AY,Doors!$A:$A,$D276,Doors!$B:$B,$B276,Doors!$C:$C,$C276)*SUMIFS(Velocity!$I:$I,Velocity!$A:$A,$A276,Velocity!$B:$B,$C276)/Assumptions!$B$4*Assumptions!$B$6</f>
        <v>4.16666666666667</v>
      </c>
      <c r="AN276" s="7" t="n">
        <f aca="false">SUMIFS(Doors!AZ:AZ,Doors!$A:$A,$D276,Doors!$B:$B,$B276,Doors!$C:$C,$C276)*SUMIFS(Velocity!$I:$I,Velocity!$A:$A,$A276,Velocity!$B:$B,$C276)/Assumptions!$B$4*Assumptions!$B$6</f>
        <v>5.20833333333333</v>
      </c>
      <c r="AO276" s="7" t="n">
        <f aca="false">SUMIFS(Doors!BA:BA,Doors!$A:$A,$D276,Doors!$B:$B,$B276,Doors!$C:$C,$C276)*SUMIFS(Velocity!$I:$I,Velocity!$A:$A,$A276,Velocity!$B:$B,$C276)/Assumptions!$B$4*Assumptions!$B$6</f>
        <v>5.20833333333333</v>
      </c>
      <c r="AP276" s="7" t="n">
        <f aca="false">SUMIFS(Doors!BB:BB,Doors!$A:$A,$D276,Doors!$B:$B,$B276,Doors!$C:$C,$C276)*SUMIFS(Velocity!$I:$I,Velocity!$A:$A,$A276,Velocity!$B:$B,$C276)/Assumptions!$B$4*Assumptions!$B$6</f>
        <v>5.20833333333333</v>
      </c>
      <c r="AQ276" s="7" t="n">
        <f aca="false">SUMIFS(Doors!BC:BC,Doors!$A:$A,$D276,Doors!$B:$B,$B276,Doors!$C:$C,$C276)*SUMIFS(Velocity!$I:$I,Velocity!$A:$A,$A276,Velocity!$B:$B,$C276)/Assumptions!$B$4*Assumptions!$B$6</f>
        <v>5.20833333333333</v>
      </c>
      <c r="AR276" s="7" t="n">
        <f aca="false">SUMIFS(Doors!BD:BD,Doors!$A:$A,$D276,Doors!$B:$B,$B276,Doors!$C:$C,$C276)*SUMIFS(Velocity!$I:$I,Velocity!$A:$A,$A276,Velocity!$B:$B,$C276)/Assumptions!$B$4*Assumptions!$B$6</f>
        <v>5.83333333333333</v>
      </c>
      <c r="AS276" s="7" t="n">
        <f aca="false">SUMIFS(Doors!BE:BE,Doors!$A:$A,$D276,Doors!$B:$B,$B276,Doors!$C:$C,$C276)*SUMIFS(Velocity!$I:$I,Velocity!$A:$A,$A276,Velocity!$B:$B,$C276)/Assumptions!$B$4*Assumptions!$B$6</f>
        <v>5.83333333333333</v>
      </c>
      <c r="AT276" s="7" t="n">
        <f aca="false">SUMIFS(Doors!BF:BF,Doors!$A:$A,$D276,Doors!$B:$B,$B276,Doors!$C:$C,$C276)*SUMIFS(Velocity!$I:$I,Velocity!$A:$A,$A276,Velocity!$B:$B,$C276)/Assumptions!$B$4*Assumptions!$B$6</f>
        <v>5.83333333333333</v>
      </c>
      <c r="AU276" s="7" t="n">
        <f aca="false">SUMIFS(Doors!BG:BG,Doors!$A:$A,$D276,Doors!$B:$B,$B276,Doors!$C:$C,$C276)*SUMIFS(Velocity!$I:$I,Velocity!$A:$A,$A276,Velocity!$B:$B,$C276)/Assumptions!$B$4*Assumptions!$B$6</f>
        <v>5.83333333333333</v>
      </c>
      <c r="AV276" s="7" t="n">
        <f aca="false">SUMIFS(Doors!BH:BH,Doors!$A:$A,$D276,Doors!$B:$B,$B276,Doors!$C:$C,$C276)*SUMIFS(Velocity!$I:$I,Velocity!$A:$A,$A276,Velocity!$B:$B,$C276)/Assumptions!$B$4*Assumptions!$B$6</f>
        <v>5.83333333333333</v>
      </c>
      <c r="AW276" s="7" t="n">
        <f aca="false">SUMIFS(Doors!BI:BI,Doors!$A:$A,$D276,Doors!$B:$B,$B276,Doors!$C:$C,$C276)*SUMIFS(Velocity!$I:$I,Velocity!$A:$A,$A276,Velocity!$B:$B,$C276)/Assumptions!$B$4*Assumptions!$B$6</f>
        <v>6.25</v>
      </c>
      <c r="AX276" s="7" t="n">
        <f aca="false">SUMIFS(Doors!BJ:BJ,Doors!$A:$A,$D276,Doors!$B:$B,$B276,Doors!$C:$C,$C276)*SUMIFS(Velocity!$I:$I,Velocity!$A:$A,$A276,Velocity!$B:$B,$C276)/Assumptions!$B$4*Assumptions!$B$6</f>
        <v>6.25</v>
      </c>
      <c r="AY276" s="7" t="n">
        <f aca="false">SUMIFS(Doors!BK:BK,Doors!$A:$A,$D276,Doors!$B:$B,$B276,Doors!$C:$C,$C276)*SUMIFS(Velocity!$I:$I,Velocity!$A:$A,$A276,Velocity!$B:$B,$C276)/Assumptions!$B$4*Assumptions!$B$6</f>
        <v>6.25</v>
      </c>
      <c r="AZ276" s="7" t="n">
        <f aca="false">SUMIFS(Doors!BL:BL,Doors!$A:$A,$D276,Doors!$B:$B,$B276,Doors!$C:$C,$C276)*SUMIFS(Velocity!$I:$I,Velocity!$A:$A,$A276,Velocity!$B:$B,$C276)/Assumptions!$B$4*Assumptions!$B$6</f>
        <v>6.25</v>
      </c>
      <c r="BA276" s="7" t="n">
        <f aca="false">SUMIFS(Doors!BM:BM,Doors!$A:$A,$D276,Doors!$B:$B,$B276,Doors!$C:$C,$C276)*SUMIFS(Velocity!$I:$I,Velocity!$A:$A,$A276,Velocity!$B:$B,$C276)/Assumptions!$B$4*Assumptions!$B$6</f>
        <v>6.66666666666667</v>
      </c>
      <c r="BB276" s="7" t="n">
        <f aca="false">SUMIFS(Doors!BN:BN,Doors!$A:$A,$D276,Doors!$B:$B,$B276,Doors!$C:$C,$C276)*SUMIFS(Velocity!$I:$I,Velocity!$A:$A,$A276,Velocity!$B:$B,$C276)/Assumptions!$B$4*Assumptions!$B$6</f>
        <v>6.66666666666667</v>
      </c>
      <c r="BC276" s="7" t="n">
        <f aca="false">SUMIFS(Doors!BO:BO,Doors!$A:$A,$D276,Doors!$B:$B,$B276,Doors!$C:$C,$C276)*SUMIFS(Velocity!$I:$I,Velocity!$A:$A,$A276,Velocity!$B:$B,$C276)/Assumptions!$B$4*Assumptions!$B$6</f>
        <v>6.66666666666667</v>
      </c>
      <c r="BD276" s="7" t="n">
        <f aca="false">SUMIFS(Doors!BP:BP,Doors!$A:$A,$D276,Doors!$B:$B,$B276,Doors!$C:$C,$C276)*SUMIFS(Velocity!$I:$I,Velocity!$A:$A,$A276,Velocity!$B:$B,$C276)/Assumptions!$B$4*Assumptions!$B$6</f>
        <v>6.66666666666667</v>
      </c>
    </row>
    <row r="277" customFormat="false" ht="15" hidden="false" customHeight="false" outlineLevel="0" collapsed="false">
      <c r="A277" s="0" t="s">
        <v>111</v>
      </c>
      <c r="B277" s="0" t="s">
        <v>126</v>
      </c>
      <c r="C277" s="0" t="s">
        <v>116</v>
      </c>
      <c r="D277" s="0" t="s">
        <v>236</v>
      </c>
      <c r="E277" s="7" t="n">
        <f aca="false">SUMIFS(Doors!Q:Q,Doors!$A:$A,$D277,Doors!$B:$B,$B277,Doors!$C:$C,$C277)*SUMIFS(Velocity!$I:$I,Velocity!$A:$A,$A277,Velocity!$B:$B,$C277)/Assumptions!$B$4*Assumptions!$B$6</f>
        <v>0</v>
      </c>
      <c r="F277" s="7" t="n">
        <f aca="false">SUMIFS(Doors!R:R,Doors!$A:$A,$D277,Doors!$B:$B,$B277,Doors!$C:$C,$C277)*SUMIFS(Velocity!$I:$I,Velocity!$A:$A,$A277,Velocity!$B:$B,$C277)/Assumptions!$B$4*Assumptions!$B$6</f>
        <v>0</v>
      </c>
      <c r="G277" s="7" t="n">
        <f aca="false">SUMIFS(Doors!S:S,Doors!$A:$A,$D277,Doors!$B:$B,$B277,Doors!$C:$C,$C277)*SUMIFS(Velocity!$I:$I,Velocity!$A:$A,$A277,Velocity!$B:$B,$C277)/Assumptions!$B$4*Assumptions!$B$6</f>
        <v>0</v>
      </c>
      <c r="H277" s="7" t="n">
        <f aca="false">SUMIFS(Doors!T:T,Doors!$A:$A,$D277,Doors!$B:$B,$B277,Doors!$C:$C,$C277)*SUMIFS(Velocity!$I:$I,Velocity!$A:$A,$A277,Velocity!$B:$B,$C277)/Assumptions!$B$4*Assumptions!$B$6</f>
        <v>0</v>
      </c>
      <c r="I277" s="7" t="n">
        <f aca="false">SUMIFS(Doors!U:U,Doors!$A:$A,$D277,Doors!$B:$B,$B277,Doors!$C:$C,$C277)*SUMIFS(Velocity!$I:$I,Velocity!$A:$A,$A277,Velocity!$B:$B,$C277)/Assumptions!$B$4*Assumptions!$B$6</f>
        <v>0</v>
      </c>
      <c r="J277" s="7" t="n">
        <f aca="false">SUMIFS(Doors!V:V,Doors!$A:$A,$D277,Doors!$B:$B,$B277,Doors!$C:$C,$C277)*SUMIFS(Velocity!$I:$I,Velocity!$A:$A,$A277,Velocity!$B:$B,$C277)/Assumptions!$B$4*Assumptions!$B$6</f>
        <v>0</v>
      </c>
      <c r="K277" s="7" t="n">
        <f aca="false">SUMIFS(Doors!W:W,Doors!$A:$A,$D277,Doors!$B:$B,$B277,Doors!$C:$C,$C277)*SUMIFS(Velocity!$I:$I,Velocity!$A:$A,$A277,Velocity!$B:$B,$C277)/Assumptions!$B$4*Assumptions!$B$6</f>
        <v>0</v>
      </c>
      <c r="L277" s="7" t="n">
        <f aca="false">SUMIFS(Doors!X:X,Doors!$A:$A,$D277,Doors!$B:$B,$B277,Doors!$C:$C,$C277)*SUMIFS(Velocity!$I:$I,Velocity!$A:$A,$A277,Velocity!$B:$B,$C277)/Assumptions!$B$4*Assumptions!$B$6</f>
        <v>0</v>
      </c>
      <c r="M277" s="7" t="n">
        <f aca="false">SUMIFS(Doors!Y:Y,Doors!$A:$A,$D277,Doors!$B:$B,$B277,Doors!$C:$C,$C277)*SUMIFS(Velocity!$I:$I,Velocity!$A:$A,$A277,Velocity!$B:$B,$C277)/Assumptions!$B$4*Assumptions!$B$6</f>
        <v>0</v>
      </c>
      <c r="N277" s="7" t="n">
        <f aca="false">SUMIFS(Doors!Z:Z,Doors!$A:$A,$D277,Doors!$B:$B,$B277,Doors!$C:$C,$C277)*SUMIFS(Velocity!$I:$I,Velocity!$A:$A,$A277,Velocity!$B:$B,$C277)/Assumptions!$B$4*Assumptions!$B$6</f>
        <v>0</v>
      </c>
      <c r="O277" s="7" t="n">
        <f aca="false">SUMIFS(Doors!AA:AA,Doors!$A:$A,$D277,Doors!$B:$B,$B277,Doors!$C:$C,$C277)*SUMIFS(Velocity!$I:$I,Velocity!$A:$A,$A277,Velocity!$B:$B,$C277)/Assumptions!$B$4*Assumptions!$B$6</f>
        <v>0</v>
      </c>
      <c r="P277" s="7" t="n">
        <f aca="false">SUMIFS(Doors!AB:AB,Doors!$A:$A,$D277,Doors!$B:$B,$B277,Doors!$C:$C,$C277)*SUMIFS(Velocity!$I:$I,Velocity!$A:$A,$A277,Velocity!$B:$B,$C277)/Assumptions!$B$4*Assumptions!$B$6</f>
        <v>0</v>
      </c>
      <c r="Q277" s="7" t="n">
        <f aca="false">SUMIFS(Doors!AC:AC,Doors!$A:$A,$D277,Doors!$B:$B,$B277,Doors!$C:$C,$C277)*SUMIFS(Velocity!$I:$I,Velocity!$A:$A,$A277,Velocity!$B:$B,$C277)/Assumptions!$B$4*Assumptions!$B$6</f>
        <v>0</v>
      </c>
      <c r="R277" s="7" t="n">
        <f aca="false">SUMIFS(Doors!AD:AD,Doors!$A:$A,$D277,Doors!$B:$B,$B277,Doors!$C:$C,$C277)*SUMIFS(Velocity!$I:$I,Velocity!$A:$A,$A277,Velocity!$B:$B,$C277)/Assumptions!$B$4*Assumptions!$B$6</f>
        <v>0</v>
      </c>
      <c r="S277" s="7" t="n">
        <f aca="false">SUMIFS(Doors!AE:AE,Doors!$A:$A,$D277,Doors!$B:$B,$B277,Doors!$C:$C,$C277)*SUMIFS(Velocity!$I:$I,Velocity!$A:$A,$A277,Velocity!$B:$B,$C277)/Assumptions!$B$4*Assumptions!$B$6</f>
        <v>0</v>
      </c>
      <c r="T277" s="7" t="n">
        <f aca="false">SUMIFS(Doors!AF:AF,Doors!$A:$A,$D277,Doors!$B:$B,$B277,Doors!$C:$C,$C277)*SUMIFS(Velocity!$I:$I,Velocity!$A:$A,$A277,Velocity!$B:$B,$C277)/Assumptions!$B$4*Assumptions!$B$6</f>
        <v>0</v>
      </c>
      <c r="U277" s="7" t="n">
        <f aca="false">SUMIFS(Doors!AG:AG,Doors!$A:$A,$D277,Doors!$B:$B,$B277,Doors!$C:$C,$C277)*SUMIFS(Velocity!$I:$I,Velocity!$A:$A,$A277,Velocity!$B:$B,$C277)/Assumptions!$B$4*Assumptions!$B$6</f>
        <v>0</v>
      </c>
      <c r="V277" s="7" t="n">
        <f aca="false">SUMIFS(Doors!AH:AH,Doors!$A:$A,$D277,Doors!$B:$B,$B277,Doors!$C:$C,$C277)*SUMIFS(Velocity!$I:$I,Velocity!$A:$A,$A277,Velocity!$B:$B,$C277)/Assumptions!$B$4*Assumptions!$B$6</f>
        <v>0</v>
      </c>
      <c r="W277" s="7" t="n">
        <f aca="false">SUMIFS(Doors!AI:AI,Doors!$A:$A,$D277,Doors!$B:$B,$B277,Doors!$C:$C,$C277)*SUMIFS(Velocity!$I:$I,Velocity!$A:$A,$A277,Velocity!$B:$B,$C277)/Assumptions!$B$4*Assumptions!$B$6</f>
        <v>0.458333333333333</v>
      </c>
      <c r="X277" s="7" t="n">
        <f aca="false">SUMIFS(Doors!AJ:AJ,Doors!$A:$A,$D277,Doors!$B:$B,$B277,Doors!$C:$C,$C277)*SUMIFS(Velocity!$I:$I,Velocity!$A:$A,$A277,Velocity!$B:$B,$C277)/Assumptions!$B$4*Assumptions!$B$6</f>
        <v>0.458333333333333</v>
      </c>
      <c r="Y277" s="7" t="n">
        <f aca="false">SUMIFS(Doors!AK:AK,Doors!$A:$A,$D277,Doors!$B:$B,$B277,Doors!$C:$C,$C277)*SUMIFS(Velocity!$I:$I,Velocity!$A:$A,$A277,Velocity!$B:$B,$C277)/Assumptions!$B$4*Assumptions!$B$6</f>
        <v>0.458333333333333</v>
      </c>
      <c r="Z277" s="7" t="n">
        <f aca="false">SUMIFS(Doors!AL:AL,Doors!$A:$A,$D277,Doors!$B:$B,$B277,Doors!$C:$C,$C277)*SUMIFS(Velocity!$I:$I,Velocity!$A:$A,$A277,Velocity!$B:$B,$C277)/Assumptions!$B$4*Assumptions!$B$6</f>
        <v>0.458333333333333</v>
      </c>
      <c r="AA277" s="7" t="n">
        <f aca="false">SUMIFS(Doors!AM:AM,Doors!$A:$A,$D277,Doors!$B:$B,$B277,Doors!$C:$C,$C277)*SUMIFS(Velocity!$I:$I,Velocity!$A:$A,$A277,Velocity!$B:$B,$C277)/Assumptions!$B$4*Assumptions!$B$6</f>
        <v>1.14583333333333</v>
      </c>
      <c r="AB277" s="7" t="n">
        <f aca="false">SUMIFS(Doors!AN:AN,Doors!$A:$A,$D277,Doors!$B:$B,$B277,Doors!$C:$C,$C277)*SUMIFS(Velocity!$I:$I,Velocity!$A:$A,$A277,Velocity!$B:$B,$C277)/Assumptions!$B$4*Assumptions!$B$6</f>
        <v>1.14583333333333</v>
      </c>
      <c r="AC277" s="7" t="n">
        <f aca="false">SUMIFS(Doors!AO:AO,Doors!$A:$A,$D277,Doors!$B:$B,$B277,Doors!$C:$C,$C277)*SUMIFS(Velocity!$I:$I,Velocity!$A:$A,$A277,Velocity!$B:$B,$C277)/Assumptions!$B$4*Assumptions!$B$6</f>
        <v>1.14583333333333</v>
      </c>
      <c r="AD277" s="7" t="n">
        <f aca="false">SUMIFS(Doors!AP:AP,Doors!$A:$A,$D277,Doors!$B:$B,$B277,Doors!$C:$C,$C277)*SUMIFS(Velocity!$I:$I,Velocity!$A:$A,$A277,Velocity!$B:$B,$C277)/Assumptions!$B$4*Assumptions!$B$6</f>
        <v>1.14583333333333</v>
      </c>
      <c r="AE277" s="7" t="n">
        <f aca="false">SUMIFS(Doors!AQ:AQ,Doors!$A:$A,$D277,Doors!$B:$B,$B277,Doors!$C:$C,$C277)*SUMIFS(Velocity!$I:$I,Velocity!$A:$A,$A277,Velocity!$B:$B,$C277)/Assumptions!$B$4*Assumptions!$B$6</f>
        <v>1.83333333333333</v>
      </c>
      <c r="AF277" s="7" t="n">
        <f aca="false">SUMIFS(Doors!AR:AR,Doors!$A:$A,$D277,Doors!$B:$B,$B277,Doors!$C:$C,$C277)*SUMIFS(Velocity!$I:$I,Velocity!$A:$A,$A277,Velocity!$B:$B,$C277)/Assumptions!$B$4*Assumptions!$B$6</f>
        <v>1.83333333333333</v>
      </c>
      <c r="AG277" s="7" t="n">
        <f aca="false">SUMIFS(Doors!AS:AS,Doors!$A:$A,$D277,Doors!$B:$B,$B277,Doors!$C:$C,$C277)*SUMIFS(Velocity!$I:$I,Velocity!$A:$A,$A277,Velocity!$B:$B,$C277)/Assumptions!$B$4*Assumptions!$B$6</f>
        <v>1.83333333333333</v>
      </c>
      <c r="AH277" s="7" t="n">
        <f aca="false">SUMIFS(Doors!AT:AT,Doors!$A:$A,$D277,Doors!$B:$B,$B277,Doors!$C:$C,$C277)*SUMIFS(Velocity!$I:$I,Velocity!$A:$A,$A277,Velocity!$B:$B,$C277)/Assumptions!$B$4*Assumptions!$B$6</f>
        <v>1.83333333333333</v>
      </c>
      <c r="AI277" s="7" t="n">
        <f aca="false">SUMIFS(Doors!AU:AU,Doors!$A:$A,$D277,Doors!$B:$B,$B277,Doors!$C:$C,$C277)*SUMIFS(Velocity!$I:$I,Velocity!$A:$A,$A277,Velocity!$B:$B,$C277)/Assumptions!$B$4*Assumptions!$B$6</f>
        <v>1.83333333333333</v>
      </c>
      <c r="AJ277" s="7" t="n">
        <f aca="false">SUMIFS(Doors!AV:AV,Doors!$A:$A,$D277,Doors!$B:$B,$B277,Doors!$C:$C,$C277)*SUMIFS(Velocity!$I:$I,Velocity!$A:$A,$A277,Velocity!$B:$B,$C277)/Assumptions!$B$4*Assumptions!$B$6</f>
        <v>2.75</v>
      </c>
      <c r="AK277" s="7" t="n">
        <f aca="false">SUMIFS(Doors!AW:AW,Doors!$A:$A,$D277,Doors!$B:$B,$B277,Doors!$C:$C,$C277)*SUMIFS(Velocity!$I:$I,Velocity!$A:$A,$A277,Velocity!$B:$B,$C277)/Assumptions!$B$4*Assumptions!$B$6</f>
        <v>2.75</v>
      </c>
      <c r="AL277" s="7" t="n">
        <f aca="false">SUMIFS(Doors!AX:AX,Doors!$A:$A,$D277,Doors!$B:$B,$B277,Doors!$C:$C,$C277)*SUMIFS(Velocity!$I:$I,Velocity!$A:$A,$A277,Velocity!$B:$B,$C277)/Assumptions!$B$4*Assumptions!$B$6</f>
        <v>2.75</v>
      </c>
      <c r="AM277" s="7" t="n">
        <f aca="false">SUMIFS(Doors!AY:AY,Doors!$A:$A,$D277,Doors!$B:$B,$B277,Doors!$C:$C,$C277)*SUMIFS(Velocity!$I:$I,Velocity!$A:$A,$A277,Velocity!$B:$B,$C277)/Assumptions!$B$4*Assumptions!$B$6</f>
        <v>2.75</v>
      </c>
      <c r="AN277" s="7" t="n">
        <f aca="false">SUMIFS(Doors!AZ:AZ,Doors!$A:$A,$D277,Doors!$B:$B,$B277,Doors!$C:$C,$C277)*SUMIFS(Velocity!$I:$I,Velocity!$A:$A,$A277,Velocity!$B:$B,$C277)/Assumptions!$B$4*Assumptions!$B$6</f>
        <v>3.4375</v>
      </c>
      <c r="AO277" s="7" t="n">
        <f aca="false">SUMIFS(Doors!BA:BA,Doors!$A:$A,$D277,Doors!$B:$B,$B277,Doors!$C:$C,$C277)*SUMIFS(Velocity!$I:$I,Velocity!$A:$A,$A277,Velocity!$B:$B,$C277)/Assumptions!$B$4*Assumptions!$B$6</f>
        <v>3.4375</v>
      </c>
      <c r="AP277" s="7" t="n">
        <f aca="false">SUMIFS(Doors!BB:BB,Doors!$A:$A,$D277,Doors!$B:$B,$B277,Doors!$C:$C,$C277)*SUMIFS(Velocity!$I:$I,Velocity!$A:$A,$A277,Velocity!$B:$B,$C277)/Assumptions!$B$4*Assumptions!$B$6</f>
        <v>3.4375</v>
      </c>
      <c r="AQ277" s="7" t="n">
        <f aca="false">SUMIFS(Doors!BC:BC,Doors!$A:$A,$D277,Doors!$B:$B,$B277,Doors!$C:$C,$C277)*SUMIFS(Velocity!$I:$I,Velocity!$A:$A,$A277,Velocity!$B:$B,$C277)/Assumptions!$B$4*Assumptions!$B$6</f>
        <v>3.4375</v>
      </c>
      <c r="AR277" s="7" t="n">
        <f aca="false">SUMIFS(Doors!BD:BD,Doors!$A:$A,$D277,Doors!$B:$B,$B277,Doors!$C:$C,$C277)*SUMIFS(Velocity!$I:$I,Velocity!$A:$A,$A277,Velocity!$B:$B,$C277)/Assumptions!$B$4*Assumptions!$B$6</f>
        <v>3.89583333333333</v>
      </c>
      <c r="AS277" s="7" t="n">
        <f aca="false">SUMIFS(Doors!BE:BE,Doors!$A:$A,$D277,Doors!$B:$B,$B277,Doors!$C:$C,$C277)*SUMIFS(Velocity!$I:$I,Velocity!$A:$A,$A277,Velocity!$B:$B,$C277)/Assumptions!$B$4*Assumptions!$B$6</f>
        <v>3.89583333333333</v>
      </c>
      <c r="AT277" s="7" t="n">
        <f aca="false">SUMIFS(Doors!BF:BF,Doors!$A:$A,$D277,Doors!$B:$B,$B277,Doors!$C:$C,$C277)*SUMIFS(Velocity!$I:$I,Velocity!$A:$A,$A277,Velocity!$B:$B,$C277)/Assumptions!$B$4*Assumptions!$B$6</f>
        <v>3.89583333333333</v>
      </c>
      <c r="AU277" s="7" t="n">
        <f aca="false">SUMIFS(Doors!BG:BG,Doors!$A:$A,$D277,Doors!$B:$B,$B277,Doors!$C:$C,$C277)*SUMIFS(Velocity!$I:$I,Velocity!$A:$A,$A277,Velocity!$B:$B,$C277)/Assumptions!$B$4*Assumptions!$B$6</f>
        <v>3.89583333333333</v>
      </c>
      <c r="AV277" s="7" t="n">
        <f aca="false">SUMIFS(Doors!BH:BH,Doors!$A:$A,$D277,Doors!$B:$B,$B277,Doors!$C:$C,$C277)*SUMIFS(Velocity!$I:$I,Velocity!$A:$A,$A277,Velocity!$B:$B,$C277)/Assumptions!$B$4*Assumptions!$B$6</f>
        <v>3.89583333333333</v>
      </c>
      <c r="AW277" s="7" t="n">
        <f aca="false">SUMIFS(Doors!BI:BI,Doors!$A:$A,$D277,Doors!$B:$B,$B277,Doors!$C:$C,$C277)*SUMIFS(Velocity!$I:$I,Velocity!$A:$A,$A277,Velocity!$B:$B,$C277)/Assumptions!$B$4*Assumptions!$B$6</f>
        <v>4.125</v>
      </c>
      <c r="AX277" s="7" t="n">
        <f aca="false">SUMIFS(Doors!BJ:BJ,Doors!$A:$A,$D277,Doors!$B:$B,$B277,Doors!$C:$C,$C277)*SUMIFS(Velocity!$I:$I,Velocity!$A:$A,$A277,Velocity!$B:$B,$C277)/Assumptions!$B$4*Assumptions!$B$6</f>
        <v>4.125</v>
      </c>
      <c r="AY277" s="7" t="n">
        <f aca="false">SUMIFS(Doors!BK:BK,Doors!$A:$A,$D277,Doors!$B:$B,$B277,Doors!$C:$C,$C277)*SUMIFS(Velocity!$I:$I,Velocity!$A:$A,$A277,Velocity!$B:$B,$C277)/Assumptions!$B$4*Assumptions!$B$6</f>
        <v>4.125</v>
      </c>
      <c r="AZ277" s="7" t="n">
        <f aca="false">SUMIFS(Doors!BL:BL,Doors!$A:$A,$D277,Doors!$B:$B,$B277,Doors!$C:$C,$C277)*SUMIFS(Velocity!$I:$I,Velocity!$A:$A,$A277,Velocity!$B:$B,$C277)/Assumptions!$B$4*Assumptions!$B$6</f>
        <v>4.125</v>
      </c>
      <c r="BA277" s="7" t="n">
        <f aca="false">SUMIFS(Doors!BM:BM,Doors!$A:$A,$D277,Doors!$B:$B,$B277,Doors!$C:$C,$C277)*SUMIFS(Velocity!$I:$I,Velocity!$A:$A,$A277,Velocity!$B:$B,$C277)/Assumptions!$B$4*Assumptions!$B$6</f>
        <v>4.58333333333333</v>
      </c>
      <c r="BB277" s="7" t="n">
        <f aca="false">SUMIFS(Doors!BN:BN,Doors!$A:$A,$D277,Doors!$B:$B,$B277,Doors!$C:$C,$C277)*SUMIFS(Velocity!$I:$I,Velocity!$A:$A,$A277,Velocity!$B:$B,$C277)/Assumptions!$B$4*Assumptions!$B$6</f>
        <v>4.58333333333333</v>
      </c>
      <c r="BC277" s="7" t="n">
        <f aca="false">SUMIFS(Doors!BO:BO,Doors!$A:$A,$D277,Doors!$B:$B,$B277,Doors!$C:$C,$C277)*SUMIFS(Velocity!$I:$I,Velocity!$A:$A,$A277,Velocity!$B:$B,$C277)/Assumptions!$B$4*Assumptions!$B$6</f>
        <v>4.58333333333333</v>
      </c>
      <c r="BD277" s="7" t="n">
        <f aca="false">SUMIFS(Doors!BP:BP,Doors!$A:$A,$D277,Doors!$B:$B,$B277,Doors!$C:$C,$C277)*SUMIFS(Velocity!$I:$I,Velocity!$A:$A,$A277,Velocity!$B:$B,$C277)/Assumptions!$B$4*Assumptions!$B$6</f>
        <v>4.58333333333333</v>
      </c>
    </row>
    <row r="278" customFormat="false" ht="15" hidden="false" customHeight="false" outlineLevel="0" collapsed="false">
      <c r="A278" s="0" t="s">
        <v>111</v>
      </c>
      <c r="B278" s="0" t="s">
        <v>126</v>
      </c>
      <c r="C278" s="0" t="s">
        <v>117</v>
      </c>
      <c r="D278" s="0" t="s">
        <v>236</v>
      </c>
      <c r="E278" s="7" t="n">
        <f aca="false">SUMIFS(Doors!Q:Q,Doors!$A:$A,$D278,Doors!$B:$B,$B278,Doors!$C:$C,$C278)*SUMIFS(Velocity!$I:$I,Velocity!$A:$A,$A278,Velocity!$B:$B,$C278)/Assumptions!$B$4*Assumptions!$B$6</f>
        <v>0</v>
      </c>
      <c r="F278" s="7" t="n">
        <f aca="false">SUMIFS(Doors!R:R,Doors!$A:$A,$D278,Doors!$B:$B,$B278,Doors!$C:$C,$C278)*SUMIFS(Velocity!$I:$I,Velocity!$A:$A,$A278,Velocity!$B:$B,$C278)/Assumptions!$B$4*Assumptions!$B$6</f>
        <v>0</v>
      </c>
      <c r="G278" s="7" t="n">
        <f aca="false">SUMIFS(Doors!S:S,Doors!$A:$A,$D278,Doors!$B:$B,$B278,Doors!$C:$C,$C278)*SUMIFS(Velocity!$I:$I,Velocity!$A:$A,$A278,Velocity!$B:$B,$C278)/Assumptions!$B$4*Assumptions!$B$6</f>
        <v>0</v>
      </c>
      <c r="H278" s="7" t="n">
        <f aca="false">SUMIFS(Doors!T:T,Doors!$A:$A,$D278,Doors!$B:$B,$B278,Doors!$C:$C,$C278)*SUMIFS(Velocity!$I:$I,Velocity!$A:$A,$A278,Velocity!$B:$B,$C278)/Assumptions!$B$4*Assumptions!$B$6</f>
        <v>0</v>
      </c>
      <c r="I278" s="7" t="n">
        <f aca="false">SUMIFS(Doors!U:U,Doors!$A:$A,$D278,Doors!$B:$B,$B278,Doors!$C:$C,$C278)*SUMIFS(Velocity!$I:$I,Velocity!$A:$A,$A278,Velocity!$B:$B,$C278)/Assumptions!$B$4*Assumptions!$B$6</f>
        <v>0</v>
      </c>
      <c r="J278" s="7" t="n">
        <f aca="false">SUMIFS(Doors!V:V,Doors!$A:$A,$D278,Doors!$B:$B,$B278,Doors!$C:$C,$C278)*SUMIFS(Velocity!$I:$I,Velocity!$A:$A,$A278,Velocity!$B:$B,$C278)/Assumptions!$B$4*Assumptions!$B$6</f>
        <v>0</v>
      </c>
      <c r="K278" s="7" t="n">
        <f aca="false">SUMIFS(Doors!W:W,Doors!$A:$A,$D278,Doors!$B:$B,$B278,Doors!$C:$C,$C278)*SUMIFS(Velocity!$I:$I,Velocity!$A:$A,$A278,Velocity!$B:$B,$C278)/Assumptions!$B$4*Assumptions!$B$6</f>
        <v>0</v>
      </c>
      <c r="L278" s="7" t="n">
        <f aca="false">SUMIFS(Doors!X:X,Doors!$A:$A,$D278,Doors!$B:$B,$B278,Doors!$C:$C,$C278)*SUMIFS(Velocity!$I:$I,Velocity!$A:$A,$A278,Velocity!$B:$B,$C278)/Assumptions!$B$4*Assumptions!$B$6</f>
        <v>0</v>
      </c>
      <c r="M278" s="7" t="n">
        <f aca="false">SUMIFS(Doors!Y:Y,Doors!$A:$A,$D278,Doors!$B:$B,$B278,Doors!$C:$C,$C278)*SUMIFS(Velocity!$I:$I,Velocity!$A:$A,$A278,Velocity!$B:$B,$C278)/Assumptions!$B$4*Assumptions!$B$6</f>
        <v>0</v>
      </c>
      <c r="N278" s="7" t="n">
        <f aca="false">SUMIFS(Doors!Z:Z,Doors!$A:$A,$D278,Doors!$B:$B,$B278,Doors!$C:$C,$C278)*SUMIFS(Velocity!$I:$I,Velocity!$A:$A,$A278,Velocity!$B:$B,$C278)/Assumptions!$B$4*Assumptions!$B$6</f>
        <v>0</v>
      </c>
      <c r="O278" s="7" t="n">
        <f aca="false">SUMIFS(Doors!AA:AA,Doors!$A:$A,$D278,Doors!$B:$B,$B278,Doors!$C:$C,$C278)*SUMIFS(Velocity!$I:$I,Velocity!$A:$A,$A278,Velocity!$B:$B,$C278)/Assumptions!$B$4*Assumptions!$B$6</f>
        <v>0</v>
      </c>
      <c r="P278" s="7" t="n">
        <f aca="false">SUMIFS(Doors!AB:AB,Doors!$A:$A,$D278,Doors!$B:$B,$B278,Doors!$C:$C,$C278)*SUMIFS(Velocity!$I:$I,Velocity!$A:$A,$A278,Velocity!$B:$B,$C278)/Assumptions!$B$4*Assumptions!$B$6</f>
        <v>0</v>
      </c>
      <c r="Q278" s="7" t="n">
        <f aca="false">SUMIFS(Doors!AC:AC,Doors!$A:$A,$D278,Doors!$B:$B,$B278,Doors!$C:$C,$C278)*SUMIFS(Velocity!$I:$I,Velocity!$A:$A,$A278,Velocity!$B:$B,$C278)/Assumptions!$B$4*Assumptions!$B$6</f>
        <v>0</v>
      </c>
      <c r="R278" s="7" t="n">
        <f aca="false">SUMIFS(Doors!AD:AD,Doors!$A:$A,$D278,Doors!$B:$B,$B278,Doors!$C:$C,$C278)*SUMIFS(Velocity!$I:$I,Velocity!$A:$A,$A278,Velocity!$B:$B,$C278)/Assumptions!$B$4*Assumptions!$B$6</f>
        <v>0</v>
      </c>
      <c r="S278" s="7" t="n">
        <f aca="false">SUMIFS(Doors!AE:AE,Doors!$A:$A,$D278,Doors!$B:$B,$B278,Doors!$C:$C,$C278)*SUMIFS(Velocity!$I:$I,Velocity!$A:$A,$A278,Velocity!$B:$B,$C278)/Assumptions!$B$4*Assumptions!$B$6</f>
        <v>0</v>
      </c>
      <c r="T278" s="7" t="n">
        <f aca="false">SUMIFS(Doors!AF:AF,Doors!$A:$A,$D278,Doors!$B:$B,$B278,Doors!$C:$C,$C278)*SUMIFS(Velocity!$I:$I,Velocity!$A:$A,$A278,Velocity!$B:$B,$C278)/Assumptions!$B$4*Assumptions!$B$6</f>
        <v>0</v>
      </c>
      <c r="U278" s="7" t="n">
        <f aca="false">SUMIFS(Doors!AG:AG,Doors!$A:$A,$D278,Doors!$B:$B,$B278,Doors!$C:$C,$C278)*SUMIFS(Velocity!$I:$I,Velocity!$A:$A,$A278,Velocity!$B:$B,$C278)/Assumptions!$B$4*Assumptions!$B$6</f>
        <v>0</v>
      </c>
      <c r="V278" s="7" t="n">
        <f aca="false">SUMIFS(Doors!AH:AH,Doors!$A:$A,$D278,Doors!$B:$B,$B278,Doors!$C:$C,$C278)*SUMIFS(Velocity!$I:$I,Velocity!$A:$A,$A278,Velocity!$B:$B,$C278)/Assumptions!$B$4*Assumptions!$B$6</f>
        <v>0</v>
      </c>
      <c r="W278" s="7" t="n">
        <f aca="false">SUMIFS(Doors!AI:AI,Doors!$A:$A,$D278,Doors!$B:$B,$B278,Doors!$C:$C,$C278)*SUMIFS(Velocity!$I:$I,Velocity!$A:$A,$A278,Velocity!$B:$B,$C278)/Assumptions!$B$4*Assumptions!$B$6</f>
        <v>0</v>
      </c>
      <c r="X278" s="7" t="n">
        <f aca="false">SUMIFS(Doors!AJ:AJ,Doors!$A:$A,$D278,Doors!$B:$B,$B278,Doors!$C:$C,$C278)*SUMIFS(Velocity!$I:$I,Velocity!$A:$A,$A278,Velocity!$B:$B,$C278)/Assumptions!$B$4*Assumptions!$B$6</f>
        <v>0</v>
      </c>
      <c r="Y278" s="7" t="n">
        <f aca="false">SUMIFS(Doors!AK:AK,Doors!$A:$A,$D278,Doors!$B:$B,$B278,Doors!$C:$C,$C278)*SUMIFS(Velocity!$I:$I,Velocity!$A:$A,$A278,Velocity!$B:$B,$C278)/Assumptions!$B$4*Assumptions!$B$6</f>
        <v>0</v>
      </c>
      <c r="Z278" s="7" t="n">
        <f aca="false">SUMIFS(Doors!AL:AL,Doors!$A:$A,$D278,Doors!$B:$B,$B278,Doors!$C:$C,$C278)*SUMIFS(Velocity!$I:$I,Velocity!$A:$A,$A278,Velocity!$B:$B,$C278)/Assumptions!$B$4*Assumptions!$B$6</f>
        <v>0</v>
      </c>
      <c r="AA278" s="7" t="n">
        <f aca="false">SUMIFS(Doors!AM:AM,Doors!$A:$A,$D278,Doors!$B:$B,$B278,Doors!$C:$C,$C278)*SUMIFS(Velocity!$I:$I,Velocity!$A:$A,$A278,Velocity!$B:$B,$C278)/Assumptions!$B$4*Assumptions!$B$6</f>
        <v>0</v>
      </c>
      <c r="AB278" s="7" t="n">
        <f aca="false">SUMIFS(Doors!AN:AN,Doors!$A:$A,$D278,Doors!$B:$B,$B278,Doors!$C:$C,$C278)*SUMIFS(Velocity!$I:$I,Velocity!$A:$A,$A278,Velocity!$B:$B,$C278)/Assumptions!$B$4*Assumptions!$B$6</f>
        <v>0</v>
      </c>
      <c r="AC278" s="7" t="n">
        <f aca="false">SUMIFS(Doors!AO:AO,Doors!$A:$A,$D278,Doors!$B:$B,$B278,Doors!$C:$C,$C278)*SUMIFS(Velocity!$I:$I,Velocity!$A:$A,$A278,Velocity!$B:$B,$C278)/Assumptions!$B$4*Assumptions!$B$6</f>
        <v>0</v>
      </c>
      <c r="AD278" s="7" t="n">
        <f aca="false">SUMIFS(Doors!AP:AP,Doors!$A:$A,$D278,Doors!$B:$B,$B278,Doors!$C:$C,$C278)*SUMIFS(Velocity!$I:$I,Velocity!$A:$A,$A278,Velocity!$B:$B,$C278)/Assumptions!$B$4*Assumptions!$B$6</f>
        <v>0</v>
      </c>
      <c r="AE278" s="7" t="n">
        <f aca="false">SUMIFS(Doors!AQ:AQ,Doors!$A:$A,$D278,Doors!$B:$B,$B278,Doors!$C:$C,$C278)*SUMIFS(Velocity!$I:$I,Velocity!$A:$A,$A278,Velocity!$B:$B,$C278)/Assumptions!$B$4*Assumptions!$B$6</f>
        <v>0</v>
      </c>
      <c r="AF278" s="7" t="n">
        <f aca="false">SUMIFS(Doors!AR:AR,Doors!$A:$A,$D278,Doors!$B:$B,$B278,Doors!$C:$C,$C278)*SUMIFS(Velocity!$I:$I,Velocity!$A:$A,$A278,Velocity!$B:$B,$C278)/Assumptions!$B$4*Assumptions!$B$6</f>
        <v>0</v>
      </c>
      <c r="AG278" s="7" t="n">
        <f aca="false">SUMIFS(Doors!AS:AS,Doors!$A:$A,$D278,Doors!$B:$B,$B278,Doors!$C:$C,$C278)*SUMIFS(Velocity!$I:$I,Velocity!$A:$A,$A278,Velocity!$B:$B,$C278)/Assumptions!$B$4*Assumptions!$B$6</f>
        <v>0</v>
      </c>
      <c r="AH278" s="7" t="n">
        <f aca="false">SUMIFS(Doors!AT:AT,Doors!$A:$A,$D278,Doors!$B:$B,$B278,Doors!$C:$C,$C278)*SUMIFS(Velocity!$I:$I,Velocity!$A:$A,$A278,Velocity!$B:$B,$C278)/Assumptions!$B$4*Assumptions!$B$6</f>
        <v>0</v>
      </c>
      <c r="AI278" s="7" t="n">
        <f aca="false">SUMIFS(Doors!AU:AU,Doors!$A:$A,$D278,Doors!$B:$B,$B278,Doors!$C:$C,$C278)*SUMIFS(Velocity!$I:$I,Velocity!$A:$A,$A278,Velocity!$B:$B,$C278)/Assumptions!$B$4*Assumptions!$B$6</f>
        <v>0</v>
      </c>
      <c r="AJ278" s="7" t="n">
        <f aca="false">SUMIFS(Doors!AV:AV,Doors!$A:$A,$D278,Doors!$B:$B,$B278,Doors!$C:$C,$C278)*SUMIFS(Velocity!$I:$I,Velocity!$A:$A,$A278,Velocity!$B:$B,$C278)/Assumptions!$B$4*Assumptions!$B$6</f>
        <v>0</v>
      </c>
      <c r="AK278" s="7" t="n">
        <f aca="false">SUMIFS(Doors!AW:AW,Doors!$A:$A,$D278,Doors!$B:$B,$B278,Doors!$C:$C,$C278)*SUMIFS(Velocity!$I:$I,Velocity!$A:$A,$A278,Velocity!$B:$B,$C278)/Assumptions!$B$4*Assumptions!$B$6</f>
        <v>0</v>
      </c>
      <c r="AL278" s="7" t="n">
        <f aca="false">SUMIFS(Doors!AX:AX,Doors!$A:$A,$D278,Doors!$B:$B,$B278,Doors!$C:$C,$C278)*SUMIFS(Velocity!$I:$I,Velocity!$A:$A,$A278,Velocity!$B:$B,$C278)/Assumptions!$B$4*Assumptions!$B$6</f>
        <v>0</v>
      </c>
      <c r="AM278" s="7" t="n">
        <f aca="false">SUMIFS(Doors!AY:AY,Doors!$A:$A,$D278,Doors!$B:$B,$B278,Doors!$C:$C,$C278)*SUMIFS(Velocity!$I:$I,Velocity!$A:$A,$A278,Velocity!$B:$B,$C278)/Assumptions!$B$4*Assumptions!$B$6</f>
        <v>0</v>
      </c>
      <c r="AN278" s="7" t="n">
        <f aca="false">SUMIFS(Doors!AZ:AZ,Doors!$A:$A,$D278,Doors!$B:$B,$B278,Doors!$C:$C,$C278)*SUMIFS(Velocity!$I:$I,Velocity!$A:$A,$A278,Velocity!$B:$B,$C278)/Assumptions!$B$4*Assumptions!$B$6</f>
        <v>0</v>
      </c>
      <c r="AO278" s="7" t="n">
        <f aca="false">SUMIFS(Doors!BA:BA,Doors!$A:$A,$D278,Doors!$B:$B,$B278,Doors!$C:$C,$C278)*SUMIFS(Velocity!$I:$I,Velocity!$A:$A,$A278,Velocity!$B:$B,$C278)/Assumptions!$B$4*Assumptions!$B$6</f>
        <v>0</v>
      </c>
      <c r="AP278" s="7" t="n">
        <f aca="false">SUMIFS(Doors!BB:BB,Doors!$A:$A,$D278,Doors!$B:$B,$B278,Doors!$C:$C,$C278)*SUMIFS(Velocity!$I:$I,Velocity!$A:$A,$A278,Velocity!$B:$B,$C278)/Assumptions!$B$4*Assumptions!$B$6</f>
        <v>0</v>
      </c>
      <c r="AQ278" s="7" t="n">
        <f aca="false">SUMIFS(Doors!BC:BC,Doors!$A:$A,$D278,Doors!$B:$B,$B278,Doors!$C:$C,$C278)*SUMIFS(Velocity!$I:$I,Velocity!$A:$A,$A278,Velocity!$B:$B,$C278)/Assumptions!$B$4*Assumptions!$B$6</f>
        <v>0</v>
      </c>
      <c r="AR278" s="7" t="n">
        <f aca="false">SUMIFS(Doors!BD:BD,Doors!$A:$A,$D278,Doors!$B:$B,$B278,Doors!$C:$C,$C278)*SUMIFS(Velocity!$I:$I,Velocity!$A:$A,$A278,Velocity!$B:$B,$C278)/Assumptions!$B$4*Assumptions!$B$6</f>
        <v>0</v>
      </c>
      <c r="AS278" s="7" t="n">
        <f aca="false">SUMIFS(Doors!BE:BE,Doors!$A:$A,$D278,Doors!$B:$B,$B278,Doors!$C:$C,$C278)*SUMIFS(Velocity!$I:$I,Velocity!$A:$A,$A278,Velocity!$B:$B,$C278)/Assumptions!$B$4*Assumptions!$B$6</f>
        <v>0</v>
      </c>
      <c r="AT278" s="7" t="n">
        <f aca="false">SUMIFS(Doors!BF:BF,Doors!$A:$A,$D278,Doors!$B:$B,$B278,Doors!$C:$C,$C278)*SUMIFS(Velocity!$I:$I,Velocity!$A:$A,$A278,Velocity!$B:$B,$C278)/Assumptions!$B$4*Assumptions!$B$6</f>
        <v>0</v>
      </c>
      <c r="AU278" s="7" t="n">
        <f aca="false">SUMIFS(Doors!BG:BG,Doors!$A:$A,$D278,Doors!$B:$B,$B278,Doors!$C:$C,$C278)*SUMIFS(Velocity!$I:$I,Velocity!$A:$A,$A278,Velocity!$B:$B,$C278)/Assumptions!$B$4*Assumptions!$B$6</f>
        <v>0</v>
      </c>
      <c r="AV278" s="7" t="n">
        <f aca="false">SUMIFS(Doors!BH:BH,Doors!$A:$A,$D278,Doors!$B:$B,$B278,Doors!$C:$C,$C278)*SUMIFS(Velocity!$I:$I,Velocity!$A:$A,$A278,Velocity!$B:$B,$C278)/Assumptions!$B$4*Assumptions!$B$6</f>
        <v>0</v>
      </c>
      <c r="AW278" s="7" t="n">
        <f aca="false">SUMIFS(Doors!BI:BI,Doors!$A:$A,$D278,Doors!$B:$B,$B278,Doors!$C:$C,$C278)*SUMIFS(Velocity!$I:$I,Velocity!$A:$A,$A278,Velocity!$B:$B,$C278)/Assumptions!$B$4*Assumptions!$B$6</f>
        <v>0</v>
      </c>
      <c r="AX278" s="7" t="n">
        <f aca="false">SUMIFS(Doors!BJ:BJ,Doors!$A:$A,$D278,Doors!$B:$B,$B278,Doors!$C:$C,$C278)*SUMIFS(Velocity!$I:$I,Velocity!$A:$A,$A278,Velocity!$B:$B,$C278)/Assumptions!$B$4*Assumptions!$B$6</f>
        <v>0</v>
      </c>
      <c r="AY278" s="7" t="n">
        <f aca="false">SUMIFS(Doors!BK:BK,Doors!$A:$A,$D278,Doors!$B:$B,$B278,Doors!$C:$C,$C278)*SUMIFS(Velocity!$I:$I,Velocity!$A:$A,$A278,Velocity!$B:$B,$C278)/Assumptions!$B$4*Assumptions!$B$6</f>
        <v>0</v>
      </c>
      <c r="AZ278" s="7" t="n">
        <f aca="false">SUMIFS(Doors!BL:BL,Doors!$A:$A,$D278,Doors!$B:$B,$B278,Doors!$C:$C,$C278)*SUMIFS(Velocity!$I:$I,Velocity!$A:$A,$A278,Velocity!$B:$B,$C278)/Assumptions!$B$4*Assumptions!$B$6</f>
        <v>0</v>
      </c>
      <c r="BA278" s="7" t="n">
        <f aca="false">SUMIFS(Doors!BM:BM,Doors!$A:$A,$D278,Doors!$B:$B,$B278,Doors!$C:$C,$C278)*SUMIFS(Velocity!$I:$I,Velocity!$A:$A,$A278,Velocity!$B:$B,$C278)/Assumptions!$B$4*Assumptions!$B$6</f>
        <v>0</v>
      </c>
      <c r="BB278" s="7" t="n">
        <f aca="false">SUMIFS(Doors!BN:BN,Doors!$A:$A,$D278,Doors!$B:$B,$B278,Doors!$C:$C,$C278)*SUMIFS(Velocity!$I:$I,Velocity!$A:$A,$A278,Velocity!$B:$B,$C278)/Assumptions!$B$4*Assumptions!$B$6</f>
        <v>0</v>
      </c>
      <c r="BC278" s="7" t="n">
        <f aca="false">SUMIFS(Doors!BO:BO,Doors!$A:$A,$D278,Doors!$B:$B,$B278,Doors!$C:$C,$C278)*SUMIFS(Velocity!$I:$I,Velocity!$A:$A,$A278,Velocity!$B:$B,$C278)/Assumptions!$B$4*Assumptions!$B$6</f>
        <v>0</v>
      </c>
      <c r="BD278" s="7" t="n">
        <f aca="false">SUMIFS(Doors!BP:BP,Doors!$A:$A,$D278,Doors!$B:$B,$B278,Doors!$C:$C,$C278)*SUMIFS(Velocity!$I:$I,Velocity!$A:$A,$A278,Velocity!$B:$B,$C278)/Assumptions!$B$4*Assumptions!$B$6</f>
        <v>0</v>
      </c>
    </row>
    <row r="279" customFormat="false" ht="15" hidden="false" customHeight="false" outlineLevel="0" collapsed="false">
      <c r="A279" s="0" t="s">
        <v>111</v>
      </c>
      <c r="B279" s="0" t="s">
        <v>126</v>
      </c>
      <c r="C279" s="0" t="s">
        <v>118</v>
      </c>
      <c r="D279" s="0" t="s">
        <v>236</v>
      </c>
      <c r="E279" s="7" t="n">
        <f aca="false">SUMIFS(Doors!Q:Q,Doors!$A:$A,$D279,Doors!$B:$B,$B279,Doors!$C:$C,$C279)*SUMIFS(Velocity!$I:$I,Velocity!$A:$A,$A279,Velocity!$B:$B,$C279)/Assumptions!$B$4*Assumptions!$B$6</f>
        <v>0</v>
      </c>
      <c r="F279" s="7" t="n">
        <f aca="false">SUMIFS(Doors!R:R,Doors!$A:$A,$D279,Doors!$B:$B,$B279,Doors!$C:$C,$C279)*SUMIFS(Velocity!$I:$I,Velocity!$A:$A,$A279,Velocity!$B:$B,$C279)/Assumptions!$B$4*Assumptions!$B$6</f>
        <v>0</v>
      </c>
      <c r="G279" s="7" t="n">
        <f aca="false">SUMIFS(Doors!S:S,Doors!$A:$A,$D279,Doors!$B:$B,$B279,Doors!$C:$C,$C279)*SUMIFS(Velocity!$I:$I,Velocity!$A:$A,$A279,Velocity!$B:$B,$C279)/Assumptions!$B$4*Assumptions!$B$6</f>
        <v>0</v>
      </c>
      <c r="H279" s="7" t="n">
        <f aca="false">SUMIFS(Doors!T:T,Doors!$A:$A,$D279,Doors!$B:$B,$B279,Doors!$C:$C,$C279)*SUMIFS(Velocity!$I:$I,Velocity!$A:$A,$A279,Velocity!$B:$B,$C279)/Assumptions!$B$4*Assumptions!$B$6</f>
        <v>0</v>
      </c>
      <c r="I279" s="7" t="n">
        <f aca="false">SUMIFS(Doors!U:U,Doors!$A:$A,$D279,Doors!$B:$B,$B279,Doors!$C:$C,$C279)*SUMIFS(Velocity!$I:$I,Velocity!$A:$A,$A279,Velocity!$B:$B,$C279)/Assumptions!$B$4*Assumptions!$B$6</f>
        <v>0</v>
      </c>
      <c r="J279" s="7" t="n">
        <f aca="false">SUMIFS(Doors!V:V,Doors!$A:$A,$D279,Doors!$B:$B,$B279,Doors!$C:$C,$C279)*SUMIFS(Velocity!$I:$I,Velocity!$A:$A,$A279,Velocity!$B:$B,$C279)/Assumptions!$B$4*Assumptions!$B$6</f>
        <v>0</v>
      </c>
      <c r="K279" s="7" t="n">
        <f aca="false">SUMIFS(Doors!W:W,Doors!$A:$A,$D279,Doors!$B:$B,$B279,Doors!$C:$C,$C279)*SUMIFS(Velocity!$I:$I,Velocity!$A:$A,$A279,Velocity!$B:$B,$C279)/Assumptions!$B$4*Assumptions!$B$6</f>
        <v>0</v>
      </c>
      <c r="L279" s="7" t="n">
        <f aca="false">SUMIFS(Doors!X:X,Doors!$A:$A,$D279,Doors!$B:$B,$B279,Doors!$C:$C,$C279)*SUMIFS(Velocity!$I:$I,Velocity!$A:$A,$A279,Velocity!$B:$B,$C279)/Assumptions!$B$4*Assumptions!$B$6</f>
        <v>0</v>
      </c>
      <c r="M279" s="7" t="n">
        <f aca="false">SUMIFS(Doors!Y:Y,Doors!$A:$A,$D279,Doors!$B:$B,$B279,Doors!$C:$C,$C279)*SUMIFS(Velocity!$I:$I,Velocity!$A:$A,$A279,Velocity!$B:$B,$C279)/Assumptions!$B$4*Assumptions!$B$6</f>
        <v>0</v>
      </c>
      <c r="N279" s="7" t="n">
        <f aca="false">SUMIFS(Doors!Z:Z,Doors!$A:$A,$D279,Doors!$B:$B,$B279,Doors!$C:$C,$C279)*SUMIFS(Velocity!$I:$I,Velocity!$A:$A,$A279,Velocity!$B:$B,$C279)/Assumptions!$B$4*Assumptions!$B$6</f>
        <v>0</v>
      </c>
      <c r="O279" s="7" t="n">
        <f aca="false">SUMIFS(Doors!AA:AA,Doors!$A:$A,$D279,Doors!$B:$B,$B279,Doors!$C:$C,$C279)*SUMIFS(Velocity!$I:$I,Velocity!$A:$A,$A279,Velocity!$B:$B,$C279)/Assumptions!$B$4*Assumptions!$B$6</f>
        <v>0</v>
      </c>
      <c r="P279" s="7" t="n">
        <f aca="false">SUMIFS(Doors!AB:AB,Doors!$A:$A,$D279,Doors!$B:$B,$B279,Doors!$C:$C,$C279)*SUMIFS(Velocity!$I:$I,Velocity!$A:$A,$A279,Velocity!$B:$B,$C279)/Assumptions!$B$4*Assumptions!$B$6</f>
        <v>0</v>
      </c>
      <c r="Q279" s="7" t="n">
        <f aca="false">SUMIFS(Doors!AC:AC,Doors!$A:$A,$D279,Doors!$B:$B,$B279,Doors!$C:$C,$C279)*SUMIFS(Velocity!$I:$I,Velocity!$A:$A,$A279,Velocity!$B:$B,$C279)/Assumptions!$B$4*Assumptions!$B$6</f>
        <v>0</v>
      </c>
      <c r="R279" s="7" t="n">
        <f aca="false">SUMIFS(Doors!AD:AD,Doors!$A:$A,$D279,Doors!$B:$B,$B279,Doors!$C:$C,$C279)*SUMIFS(Velocity!$I:$I,Velocity!$A:$A,$A279,Velocity!$B:$B,$C279)/Assumptions!$B$4*Assumptions!$B$6</f>
        <v>0</v>
      </c>
      <c r="S279" s="7" t="n">
        <f aca="false">SUMIFS(Doors!AE:AE,Doors!$A:$A,$D279,Doors!$B:$B,$B279,Doors!$C:$C,$C279)*SUMIFS(Velocity!$I:$I,Velocity!$A:$A,$A279,Velocity!$B:$B,$C279)/Assumptions!$B$4*Assumptions!$B$6</f>
        <v>0</v>
      </c>
      <c r="T279" s="7" t="n">
        <f aca="false">SUMIFS(Doors!AF:AF,Doors!$A:$A,$D279,Doors!$B:$B,$B279,Doors!$C:$C,$C279)*SUMIFS(Velocity!$I:$I,Velocity!$A:$A,$A279,Velocity!$B:$B,$C279)/Assumptions!$B$4*Assumptions!$B$6</f>
        <v>0</v>
      </c>
      <c r="U279" s="7" t="n">
        <f aca="false">SUMIFS(Doors!AG:AG,Doors!$A:$A,$D279,Doors!$B:$B,$B279,Doors!$C:$C,$C279)*SUMIFS(Velocity!$I:$I,Velocity!$A:$A,$A279,Velocity!$B:$B,$C279)/Assumptions!$B$4*Assumptions!$B$6</f>
        <v>0</v>
      </c>
      <c r="V279" s="7" t="n">
        <f aca="false">SUMIFS(Doors!AH:AH,Doors!$A:$A,$D279,Doors!$B:$B,$B279,Doors!$C:$C,$C279)*SUMIFS(Velocity!$I:$I,Velocity!$A:$A,$A279,Velocity!$B:$B,$C279)/Assumptions!$B$4*Assumptions!$B$6</f>
        <v>0</v>
      </c>
      <c r="W279" s="7" t="n">
        <f aca="false">SUMIFS(Doors!AI:AI,Doors!$A:$A,$D279,Doors!$B:$B,$B279,Doors!$C:$C,$C279)*SUMIFS(Velocity!$I:$I,Velocity!$A:$A,$A279,Velocity!$B:$B,$C279)/Assumptions!$B$4*Assumptions!$B$6</f>
        <v>0</v>
      </c>
      <c r="X279" s="7" t="n">
        <f aca="false">SUMIFS(Doors!AJ:AJ,Doors!$A:$A,$D279,Doors!$B:$B,$B279,Doors!$C:$C,$C279)*SUMIFS(Velocity!$I:$I,Velocity!$A:$A,$A279,Velocity!$B:$B,$C279)/Assumptions!$B$4*Assumptions!$B$6</f>
        <v>0</v>
      </c>
      <c r="Y279" s="7" t="n">
        <f aca="false">SUMIFS(Doors!AK:AK,Doors!$A:$A,$D279,Doors!$B:$B,$B279,Doors!$C:$C,$C279)*SUMIFS(Velocity!$I:$I,Velocity!$A:$A,$A279,Velocity!$B:$B,$C279)/Assumptions!$B$4*Assumptions!$B$6</f>
        <v>0</v>
      </c>
      <c r="Z279" s="7" t="n">
        <f aca="false">SUMIFS(Doors!AL:AL,Doors!$A:$A,$D279,Doors!$B:$B,$B279,Doors!$C:$C,$C279)*SUMIFS(Velocity!$I:$I,Velocity!$A:$A,$A279,Velocity!$B:$B,$C279)/Assumptions!$B$4*Assumptions!$B$6</f>
        <v>0</v>
      </c>
      <c r="AA279" s="7" t="n">
        <f aca="false">SUMIFS(Doors!AM:AM,Doors!$A:$A,$D279,Doors!$B:$B,$B279,Doors!$C:$C,$C279)*SUMIFS(Velocity!$I:$I,Velocity!$A:$A,$A279,Velocity!$B:$B,$C279)/Assumptions!$B$4*Assumptions!$B$6</f>
        <v>0</v>
      </c>
      <c r="AB279" s="7" t="n">
        <f aca="false">SUMIFS(Doors!AN:AN,Doors!$A:$A,$D279,Doors!$B:$B,$B279,Doors!$C:$C,$C279)*SUMIFS(Velocity!$I:$I,Velocity!$A:$A,$A279,Velocity!$B:$B,$C279)/Assumptions!$B$4*Assumptions!$B$6</f>
        <v>0</v>
      </c>
      <c r="AC279" s="7" t="n">
        <f aca="false">SUMIFS(Doors!AO:AO,Doors!$A:$A,$D279,Doors!$B:$B,$B279,Doors!$C:$C,$C279)*SUMIFS(Velocity!$I:$I,Velocity!$A:$A,$A279,Velocity!$B:$B,$C279)/Assumptions!$B$4*Assumptions!$B$6</f>
        <v>0</v>
      </c>
      <c r="AD279" s="7" t="n">
        <f aca="false">SUMIFS(Doors!AP:AP,Doors!$A:$A,$D279,Doors!$B:$B,$B279,Doors!$C:$C,$C279)*SUMIFS(Velocity!$I:$I,Velocity!$A:$A,$A279,Velocity!$B:$B,$C279)/Assumptions!$B$4*Assumptions!$B$6</f>
        <v>0</v>
      </c>
      <c r="AE279" s="7" t="n">
        <f aca="false">SUMIFS(Doors!AQ:AQ,Doors!$A:$A,$D279,Doors!$B:$B,$B279,Doors!$C:$C,$C279)*SUMIFS(Velocity!$I:$I,Velocity!$A:$A,$A279,Velocity!$B:$B,$C279)/Assumptions!$B$4*Assumptions!$B$6</f>
        <v>0</v>
      </c>
      <c r="AF279" s="7" t="n">
        <f aca="false">SUMIFS(Doors!AR:AR,Doors!$A:$A,$D279,Doors!$B:$B,$B279,Doors!$C:$C,$C279)*SUMIFS(Velocity!$I:$I,Velocity!$A:$A,$A279,Velocity!$B:$B,$C279)/Assumptions!$B$4*Assumptions!$B$6</f>
        <v>0</v>
      </c>
      <c r="AG279" s="7" t="n">
        <f aca="false">SUMIFS(Doors!AS:AS,Doors!$A:$A,$D279,Doors!$B:$B,$B279,Doors!$C:$C,$C279)*SUMIFS(Velocity!$I:$I,Velocity!$A:$A,$A279,Velocity!$B:$B,$C279)/Assumptions!$B$4*Assumptions!$B$6</f>
        <v>0</v>
      </c>
      <c r="AH279" s="7" t="n">
        <f aca="false">SUMIFS(Doors!AT:AT,Doors!$A:$A,$D279,Doors!$B:$B,$B279,Doors!$C:$C,$C279)*SUMIFS(Velocity!$I:$I,Velocity!$A:$A,$A279,Velocity!$B:$B,$C279)/Assumptions!$B$4*Assumptions!$B$6</f>
        <v>0</v>
      </c>
      <c r="AI279" s="7" t="n">
        <f aca="false">SUMIFS(Doors!AU:AU,Doors!$A:$A,$D279,Doors!$B:$B,$B279,Doors!$C:$C,$C279)*SUMIFS(Velocity!$I:$I,Velocity!$A:$A,$A279,Velocity!$B:$B,$C279)/Assumptions!$B$4*Assumptions!$B$6</f>
        <v>0</v>
      </c>
      <c r="AJ279" s="7" t="n">
        <f aca="false">SUMIFS(Doors!AV:AV,Doors!$A:$A,$D279,Doors!$B:$B,$B279,Doors!$C:$C,$C279)*SUMIFS(Velocity!$I:$I,Velocity!$A:$A,$A279,Velocity!$B:$B,$C279)/Assumptions!$B$4*Assumptions!$B$6</f>
        <v>0</v>
      </c>
      <c r="AK279" s="7" t="n">
        <f aca="false">SUMIFS(Doors!AW:AW,Doors!$A:$A,$D279,Doors!$B:$B,$B279,Doors!$C:$C,$C279)*SUMIFS(Velocity!$I:$I,Velocity!$A:$A,$A279,Velocity!$B:$B,$C279)/Assumptions!$B$4*Assumptions!$B$6</f>
        <v>0</v>
      </c>
      <c r="AL279" s="7" t="n">
        <f aca="false">SUMIFS(Doors!AX:AX,Doors!$A:$A,$D279,Doors!$B:$B,$B279,Doors!$C:$C,$C279)*SUMIFS(Velocity!$I:$I,Velocity!$A:$A,$A279,Velocity!$B:$B,$C279)/Assumptions!$B$4*Assumptions!$B$6</f>
        <v>0</v>
      </c>
      <c r="AM279" s="7" t="n">
        <f aca="false">SUMIFS(Doors!AY:AY,Doors!$A:$A,$D279,Doors!$B:$B,$B279,Doors!$C:$C,$C279)*SUMIFS(Velocity!$I:$I,Velocity!$A:$A,$A279,Velocity!$B:$B,$C279)/Assumptions!$B$4*Assumptions!$B$6</f>
        <v>0</v>
      </c>
      <c r="AN279" s="7" t="n">
        <f aca="false">SUMIFS(Doors!AZ:AZ,Doors!$A:$A,$D279,Doors!$B:$B,$B279,Doors!$C:$C,$C279)*SUMIFS(Velocity!$I:$I,Velocity!$A:$A,$A279,Velocity!$B:$B,$C279)/Assumptions!$B$4*Assumptions!$B$6</f>
        <v>0</v>
      </c>
      <c r="AO279" s="7" t="n">
        <f aca="false">SUMIFS(Doors!BA:BA,Doors!$A:$A,$D279,Doors!$B:$B,$B279,Doors!$C:$C,$C279)*SUMIFS(Velocity!$I:$I,Velocity!$A:$A,$A279,Velocity!$B:$B,$C279)/Assumptions!$B$4*Assumptions!$B$6</f>
        <v>0</v>
      </c>
      <c r="AP279" s="7" t="n">
        <f aca="false">SUMIFS(Doors!BB:BB,Doors!$A:$A,$D279,Doors!$B:$B,$B279,Doors!$C:$C,$C279)*SUMIFS(Velocity!$I:$I,Velocity!$A:$A,$A279,Velocity!$B:$B,$C279)/Assumptions!$B$4*Assumptions!$B$6</f>
        <v>0</v>
      </c>
      <c r="AQ279" s="7" t="n">
        <f aca="false">SUMIFS(Doors!BC:BC,Doors!$A:$A,$D279,Doors!$B:$B,$B279,Doors!$C:$C,$C279)*SUMIFS(Velocity!$I:$I,Velocity!$A:$A,$A279,Velocity!$B:$B,$C279)/Assumptions!$B$4*Assumptions!$B$6</f>
        <v>0</v>
      </c>
      <c r="AR279" s="7" t="n">
        <f aca="false">SUMIFS(Doors!BD:BD,Doors!$A:$A,$D279,Doors!$B:$B,$B279,Doors!$C:$C,$C279)*SUMIFS(Velocity!$I:$I,Velocity!$A:$A,$A279,Velocity!$B:$B,$C279)/Assumptions!$B$4*Assumptions!$B$6</f>
        <v>0</v>
      </c>
      <c r="AS279" s="7" t="n">
        <f aca="false">SUMIFS(Doors!BE:BE,Doors!$A:$A,$D279,Doors!$B:$B,$B279,Doors!$C:$C,$C279)*SUMIFS(Velocity!$I:$I,Velocity!$A:$A,$A279,Velocity!$B:$B,$C279)/Assumptions!$B$4*Assumptions!$B$6</f>
        <v>0</v>
      </c>
      <c r="AT279" s="7" t="n">
        <f aca="false">SUMIFS(Doors!BF:BF,Doors!$A:$A,$D279,Doors!$B:$B,$B279,Doors!$C:$C,$C279)*SUMIFS(Velocity!$I:$I,Velocity!$A:$A,$A279,Velocity!$B:$B,$C279)/Assumptions!$B$4*Assumptions!$B$6</f>
        <v>0</v>
      </c>
      <c r="AU279" s="7" t="n">
        <f aca="false">SUMIFS(Doors!BG:BG,Doors!$A:$A,$D279,Doors!$B:$B,$B279,Doors!$C:$C,$C279)*SUMIFS(Velocity!$I:$I,Velocity!$A:$A,$A279,Velocity!$B:$B,$C279)/Assumptions!$B$4*Assumptions!$B$6</f>
        <v>0</v>
      </c>
      <c r="AV279" s="7" t="n">
        <f aca="false">SUMIFS(Doors!BH:BH,Doors!$A:$A,$D279,Doors!$B:$B,$B279,Doors!$C:$C,$C279)*SUMIFS(Velocity!$I:$I,Velocity!$A:$A,$A279,Velocity!$B:$B,$C279)/Assumptions!$B$4*Assumptions!$B$6</f>
        <v>0</v>
      </c>
      <c r="AW279" s="7" t="n">
        <f aca="false">SUMIFS(Doors!BI:BI,Doors!$A:$A,$D279,Doors!$B:$B,$B279,Doors!$C:$C,$C279)*SUMIFS(Velocity!$I:$I,Velocity!$A:$A,$A279,Velocity!$B:$B,$C279)/Assumptions!$B$4*Assumptions!$B$6</f>
        <v>0</v>
      </c>
      <c r="AX279" s="7" t="n">
        <f aca="false">SUMIFS(Doors!BJ:BJ,Doors!$A:$A,$D279,Doors!$B:$B,$B279,Doors!$C:$C,$C279)*SUMIFS(Velocity!$I:$I,Velocity!$A:$A,$A279,Velocity!$B:$B,$C279)/Assumptions!$B$4*Assumptions!$B$6</f>
        <v>0</v>
      </c>
      <c r="AY279" s="7" t="n">
        <f aca="false">SUMIFS(Doors!BK:BK,Doors!$A:$A,$D279,Doors!$B:$B,$B279,Doors!$C:$C,$C279)*SUMIFS(Velocity!$I:$I,Velocity!$A:$A,$A279,Velocity!$B:$B,$C279)/Assumptions!$B$4*Assumptions!$B$6</f>
        <v>0</v>
      </c>
      <c r="AZ279" s="7" t="n">
        <f aca="false">SUMIFS(Doors!BL:BL,Doors!$A:$A,$D279,Doors!$B:$B,$B279,Doors!$C:$C,$C279)*SUMIFS(Velocity!$I:$I,Velocity!$A:$A,$A279,Velocity!$B:$B,$C279)/Assumptions!$B$4*Assumptions!$B$6</f>
        <v>0</v>
      </c>
      <c r="BA279" s="7" t="n">
        <f aca="false">SUMIFS(Doors!BM:BM,Doors!$A:$A,$D279,Doors!$B:$B,$B279,Doors!$C:$C,$C279)*SUMIFS(Velocity!$I:$I,Velocity!$A:$A,$A279,Velocity!$B:$B,$C279)/Assumptions!$B$4*Assumptions!$B$6</f>
        <v>0</v>
      </c>
      <c r="BB279" s="7" t="n">
        <f aca="false">SUMIFS(Doors!BN:BN,Doors!$A:$A,$D279,Doors!$B:$B,$B279,Doors!$C:$C,$C279)*SUMIFS(Velocity!$I:$I,Velocity!$A:$A,$A279,Velocity!$B:$B,$C279)/Assumptions!$B$4*Assumptions!$B$6</f>
        <v>0</v>
      </c>
      <c r="BC279" s="7" t="n">
        <f aca="false">SUMIFS(Doors!BO:BO,Doors!$A:$A,$D279,Doors!$B:$B,$B279,Doors!$C:$C,$C279)*SUMIFS(Velocity!$I:$I,Velocity!$A:$A,$A279,Velocity!$B:$B,$C279)/Assumptions!$B$4*Assumptions!$B$6</f>
        <v>0</v>
      </c>
      <c r="BD279" s="7" t="n">
        <f aca="false">SUMIFS(Doors!BP:BP,Doors!$A:$A,$D279,Doors!$B:$B,$B279,Doors!$C:$C,$C279)*SUMIFS(Velocity!$I:$I,Velocity!$A:$A,$A279,Velocity!$B:$B,$C279)/Assumptions!$B$4*Assumptions!$B$6</f>
        <v>0</v>
      </c>
    </row>
    <row r="280" customFormat="false" ht="15" hidden="false" customHeight="false" outlineLevel="0" collapsed="false">
      <c r="A280" s="0" t="s">
        <v>111</v>
      </c>
      <c r="B280" s="0" t="s">
        <v>126</v>
      </c>
      <c r="C280" s="0" t="s">
        <v>119</v>
      </c>
      <c r="D280" s="0" t="s">
        <v>236</v>
      </c>
      <c r="E280" s="7" t="n">
        <f aca="false">SUMIFS(Doors!Q:Q,Doors!$A:$A,$D280,Doors!$B:$B,$B280,Doors!$C:$C,$C280)*SUMIFS(Velocity!$I:$I,Velocity!$A:$A,$A280,Velocity!$B:$B,$C280)/Assumptions!$B$4*Assumptions!$B$6</f>
        <v>0</v>
      </c>
      <c r="F280" s="7" t="n">
        <f aca="false">SUMIFS(Doors!R:R,Doors!$A:$A,$D280,Doors!$B:$B,$B280,Doors!$C:$C,$C280)*SUMIFS(Velocity!$I:$I,Velocity!$A:$A,$A280,Velocity!$B:$B,$C280)/Assumptions!$B$4*Assumptions!$B$6</f>
        <v>0</v>
      </c>
      <c r="G280" s="7" t="n">
        <f aca="false">SUMIFS(Doors!S:S,Doors!$A:$A,$D280,Doors!$B:$B,$B280,Doors!$C:$C,$C280)*SUMIFS(Velocity!$I:$I,Velocity!$A:$A,$A280,Velocity!$B:$B,$C280)/Assumptions!$B$4*Assumptions!$B$6</f>
        <v>0</v>
      </c>
      <c r="H280" s="7" t="n">
        <f aca="false">SUMIFS(Doors!T:T,Doors!$A:$A,$D280,Doors!$B:$B,$B280,Doors!$C:$C,$C280)*SUMIFS(Velocity!$I:$I,Velocity!$A:$A,$A280,Velocity!$B:$B,$C280)/Assumptions!$B$4*Assumptions!$B$6</f>
        <v>0</v>
      </c>
      <c r="I280" s="7" t="n">
        <f aca="false">SUMIFS(Doors!U:U,Doors!$A:$A,$D280,Doors!$B:$B,$B280,Doors!$C:$C,$C280)*SUMIFS(Velocity!$I:$I,Velocity!$A:$A,$A280,Velocity!$B:$B,$C280)/Assumptions!$B$4*Assumptions!$B$6</f>
        <v>0</v>
      </c>
      <c r="J280" s="7" t="n">
        <f aca="false">SUMIFS(Doors!V:V,Doors!$A:$A,$D280,Doors!$B:$B,$B280,Doors!$C:$C,$C280)*SUMIFS(Velocity!$I:$I,Velocity!$A:$A,$A280,Velocity!$B:$B,$C280)/Assumptions!$B$4*Assumptions!$B$6</f>
        <v>0</v>
      </c>
      <c r="K280" s="7" t="n">
        <f aca="false">SUMIFS(Doors!W:W,Doors!$A:$A,$D280,Doors!$B:$B,$B280,Doors!$C:$C,$C280)*SUMIFS(Velocity!$I:$I,Velocity!$A:$A,$A280,Velocity!$B:$B,$C280)/Assumptions!$B$4*Assumptions!$B$6</f>
        <v>0</v>
      </c>
      <c r="L280" s="7" t="n">
        <f aca="false">SUMIFS(Doors!X:X,Doors!$A:$A,$D280,Doors!$B:$B,$B280,Doors!$C:$C,$C280)*SUMIFS(Velocity!$I:$I,Velocity!$A:$A,$A280,Velocity!$B:$B,$C280)/Assumptions!$B$4*Assumptions!$B$6</f>
        <v>0</v>
      </c>
      <c r="M280" s="7" t="n">
        <f aca="false">SUMIFS(Doors!Y:Y,Doors!$A:$A,$D280,Doors!$B:$B,$B280,Doors!$C:$C,$C280)*SUMIFS(Velocity!$I:$I,Velocity!$A:$A,$A280,Velocity!$B:$B,$C280)/Assumptions!$B$4*Assumptions!$B$6</f>
        <v>0</v>
      </c>
      <c r="N280" s="7" t="n">
        <f aca="false">SUMIFS(Doors!Z:Z,Doors!$A:$A,$D280,Doors!$B:$B,$B280,Doors!$C:$C,$C280)*SUMIFS(Velocity!$I:$I,Velocity!$A:$A,$A280,Velocity!$B:$B,$C280)/Assumptions!$B$4*Assumptions!$B$6</f>
        <v>0</v>
      </c>
      <c r="O280" s="7" t="n">
        <f aca="false">SUMIFS(Doors!AA:AA,Doors!$A:$A,$D280,Doors!$B:$B,$B280,Doors!$C:$C,$C280)*SUMIFS(Velocity!$I:$I,Velocity!$A:$A,$A280,Velocity!$B:$B,$C280)/Assumptions!$B$4*Assumptions!$B$6</f>
        <v>0</v>
      </c>
      <c r="P280" s="7" t="n">
        <f aca="false">SUMIFS(Doors!AB:AB,Doors!$A:$A,$D280,Doors!$B:$B,$B280,Doors!$C:$C,$C280)*SUMIFS(Velocity!$I:$I,Velocity!$A:$A,$A280,Velocity!$B:$B,$C280)/Assumptions!$B$4*Assumptions!$B$6</f>
        <v>0</v>
      </c>
      <c r="Q280" s="7" t="n">
        <f aca="false">SUMIFS(Doors!AC:AC,Doors!$A:$A,$D280,Doors!$B:$B,$B280,Doors!$C:$C,$C280)*SUMIFS(Velocity!$I:$I,Velocity!$A:$A,$A280,Velocity!$B:$B,$C280)/Assumptions!$B$4*Assumptions!$B$6</f>
        <v>0</v>
      </c>
      <c r="R280" s="7" t="n">
        <f aca="false">SUMIFS(Doors!AD:AD,Doors!$A:$A,$D280,Doors!$B:$B,$B280,Doors!$C:$C,$C280)*SUMIFS(Velocity!$I:$I,Velocity!$A:$A,$A280,Velocity!$B:$B,$C280)/Assumptions!$B$4*Assumptions!$B$6</f>
        <v>0</v>
      </c>
      <c r="S280" s="7" t="n">
        <f aca="false">SUMIFS(Doors!AE:AE,Doors!$A:$A,$D280,Doors!$B:$B,$B280,Doors!$C:$C,$C280)*SUMIFS(Velocity!$I:$I,Velocity!$A:$A,$A280,Velocity!$B:$B,$C280)/Assumptions!$B$4*Assumptions!$B$6</f>
        <v>0</v>
      </c>
      <c r="T280" s="7" t="n">
        <f aca="false">SUMIFS(Doors!AF:AF,Doors!$A:$A,$D280,Doors!$B:$B,$B280,Doors!$C:$C,$C280)*SUMIFS(Velocity!$I:$I,Velocity!$A:$A,$A280,Velocity!$B:$B,$C280)/Assumptions!$B$4*Assumptions!$B$6</f>
        <v>0</v>
      </c>
      <c r="U280" s="7" t="n">
        <f aca="false">SUMIFS(Doors!AG:AG,Doors!$A:$A,$D280,Doors!$B:$B,$B280,Doors!$C:$C,$C280)*SUMIFS(Velocity!$I:$I,Velocity!$A:$A,$A280,Velocity!$B:$B,$C280)/Assumptions!$B$4*Assumptions!$B$6</f>
        <v>0</v>
      </c>
      <c r="V280" s="7" t="n">
        <f aca="false">SUMIFS(Doors!AH:AH,Doors!$A:$A,$D280,Doors!$B:$B,$B280,Doors!$C:$C,$C280)*SUMIFS(Velocity!$I:$I,Velocity!$A:$A,$A280,Velocity!$B:$B,$C280)/Assumptions!$B$4*Assumptions!$B$6</f>
        <v>0</v>
      </c>
      <c r="W280" s="7" t="n">
        <f aca="false">SUMIFS(Doors!AI:AI,Doors!$A:$A,$D280,Doors!$B:$B,$B280,Doors!$C:$C,$C280)*SUMIFS(Velocity!$I:$I,Velocity!$A:$A,$A280,Velocity!$B:$B,$C280)/Assumptions!$B$4*Assumptions!$B$6</f>
        <v>0.65625</v>
      </c>
      <c r="X280" s="7" t="n">
        <f aca="false">SUMIFS(Doors!AJ:AJ,Doors!$A:$A,$D280,Doors!$B:$B,$B280,Doors!$C:$C,$C280)*SUMIFS(Velocity!$I:$I,Velocity!$A:$A,$A280,Velocity!$B:$B,$C280)/Assumptions!$B$4*Assumptions!$B$6</f>
        <v>0.65625</v>
      </c>
      <c r="Y280" s="7" t="n">
        <f aca="false">SUMIFS(Doors!AK:AK,Doors!$A:$A,$D280,Doors!$B:$B,$B280,Doors!$C:$C,$C280)*SUMIFS(Velocity!$I:$I,Velocity!$A:$A,$A280,Velocity!$B:$B,$C280)/Assumptions!$B$4*Assumptions!$B$6</f>
        <v>0.65625</v>
      </c>
      <c r="Z280" s="7" t="n">
        <f aca="false">SUMIFS(Doors!AL:AL,Doors!$A:$A,$D280,Doors!$B:$B,$B280,Doors!$C:$C,$C280)*SUMIFS(Velocity!$I:$I,Velocity!$A:$A,$A280,Velocity!$B:$B,$C280)/Assumptions!$B$4*Assumptions!$B$6</f>
        <v>0.65625</v>
      </c>
      <c r="AA280" s="7" t="n">
        <f aca="false">SUMIFS(Doors!AM:AM,Doors!$A:$A,$D280,Doors!$B:$B,$B280,Doors!$C:$C,$C280)*SUMIFS(Velocity!$I:$I,Velocity!$A:$A,$A280,Velocity!$B:$B,$C280)/Assumptions!$B$4*Assumptions!$B$6</f>
        <v>1.3125</v>
      </c>
      <c r="AB280" s="7" t="n">
        <f aca="false">SUMIFS(Doors!AN:AN,Doors!$A:$A,$D280,Doors!$B:$B,$B280,Doors!$C:$C,$C280)*SUMIFS(Velocity!$I:$I,Velocity!$A:$A,$A280,Velocity!$B:$B,$C280)/Assumptions!$B$4*Assumptions!$B$6</f>
        <v>1.3125</v>
      </c>
      <c r="AC280" s="7" t="n">
        <f aca="false">SUMIFS(Doors!AO:AO,Doors!$A:$A,$D280,Doors!$B:$B,$B280,Doors!$C:$C,$C280)*SUMIFS(Velocity!$I:$I,Velocity!$A:$A,$A280,Velocity!$B:$B,$C280)/Assumptions!$B$4*Assumptions!$B$6</f>
        <v>1.3125</v>
      </c>
      <c r="AD280" s="7" t="n">
        <f aca="false">SUMIFS(Doors!AP:AP,Doors!$A:$A,$D280,Doors!$B:$B,$B280,Doors!$C:$C,$C280)*SUMIFS(Velocity!$I:$I,Velocity!$A:$A,$A280,Velocity!$B:$B,$C280)/Assumptions!$B$4*Assumptions!$B$6</f>
        <v>1.3125</v>
      </c>
      <c r="AE280" s="7" t="n">
        <f aca="false">SUMIFS(Doors!AQ:AQ,Doors!$A:$A,$D280,Doors!$B:$B,$B280,Doors!$C:$C,$C280)*SUMIFS(Velocity!$I:$I,Velocity!$A:$A,$A280,Velocity!$B:$B,$C280)/Assumptions!$B$4*Assumptions!$B$6</f>
        <v>2.1875</v>
      </c>
      <c r="AF280" s="7" t="n">
        <f aca="false">SUMIFS(Doors!AR:AR,Doors!$A:$A,$D280,Doors!$B:$B,$B280,Doors!$C:$C,$C280)*SUMIFS(Velocity!$I:$I,Velocity!$A:$A,$A280,Velocity!$B:$B,$C280)/Assumptions!$B$4*Assumptions!$B$6</f>
        <v>2.1875</v>
      </c>
      <c r="AG280" s="7" t="n">
        <f aca="false">SUMIFS(Doors!AS:AS,Doors!$A:$A,$D280,Doors!$B:$B,$B280,Doors!$C:$C,$C280)*SUMIFS(Velocity!$I:$I,Velocity!$A:$A,$A280,Velocity!$B:$B,$C280)/Assumptions!$B$4*Assumptions!$B$6</f>
        <v>2.1875</v>
      </c>
      <c r="AH280" s="7" t="n">
        <f aca="false">SUMIFS(Doors!AT:AT,Doors!$A:$A,$D280,Doors!$B:$B,$B280,Doors!$C:$C,$C280)*SUMIFS(Velocity!$I:$I,Velocity!$A:$A,$A280,Velocity!$B:$B,$C280)/Assumptions!$B$4*Assumptions!$B$6</f>
        <v>2.1875</v>
      </c>
      <c r="AI280" s="7" t="n">
        <f aca="false">SUMIFS(Doors!AU:AU,Doors!$A:$A,$D280,Doors!$B:$B,$B280,Doors!$C:$C,$C280)*SUMIFS(Velocity!$I:$I,Velocity!$A:$A,$A280,Velocity!$B:$B,$C280)/Assumptions!$B$4*Assumptions!$B$6</f>
        <v>2.1875</v>
      </c>
      <c r="AJ280" s="7" t="n">
        <f aca="false">SUMIFS(Doors!AV:AV,Doors!$A:$A,$D280,Doors!$B:$B,$B280,Doors!$C:$C,$C280)*SUMIFS(Velocity!$I:$I,Velocity!$A:$A,$A280,Velocity!$B:$B,$C280)/Assumptions!$B$4*Assumptions!$B$6</f>
        <v>3.0625</v>
      </c>
      <c r="AK280" s="7" t="n">
        <f aca="false">SUMIFS(Doors!AW:AW,Doors!$A:$A,$D280,Doors!$B:$B,$B280,Doors!$C:$C,$C280)*SUMIFS(Velocity!$I:$I,Velocity!$A:$A,$A280,Velocity!$B:$B,$C280)/Assumptions!$B$4*Assumptions!$B$6</f>
        <v>3.0625</v>
      </c>
      <c r="AL280" s="7" t="n">
        <f aca="false">SUMIFS(Doors!AX:AX,Doors!$A:$A,$D280,Doors!$B:$B,$B280,Doors!$C:$C,$C280)*SUMIFS(Velocity!$I:$I,Velocity!$A:$A,$A280,Velocity!$B:$B,$C280)/Assumptions!$B$4*Assumptions!$B$6</f>
        <v>3.0625</v>
      </c>
      <c r="AM280" s="7" t="n">
        <f aca="false">SUMIFS(Doors!AY:AY,Doors!$A:$A,$D280,Doors!$B:$B,$B280,Doors!$C:$C,$C280)*SUMIFS(Velocity!$I:$I,Velocity!$A:$A,$A280,Velocity!$B:$B,$C280)/Assumptions!$B$4*Assumptions!$B$6</f>
        <v>3.0625</v>
      </c>
      <c r="AN280" s="7" t="n">
        <f aca="false">SUMIFS(Doors!AZ:AZ,Doors!$A:$A,$D280,Doors!$B:$B,$B280,Doors!$C:$C,$C280)*SUMIFS(Velocity!$I:$I,Velocity!$A:$A,$A280,Velocity!$B:$B,$C280)/Assumptions!$B$4*Assumptions!$B$6</f>
        <v>3.9375</v>
      </c>
      <c r="AO280" s="7" t="n">
        <f aca="false">SUMIFS(Doors!BA:BA,Doors!$A:$A,$D280,Doors!$B:$B,$B280,Doors!$C:$C,$C280)*SUMIFS(Velocity!$I:$I,Velocity!$A:$A,$A280,Velocity!$B:$B,$C280)/Assumptions!$B$4*Assumptions!$B$6</f>
        <v>3.9375</v>
      </c>
      <c r="AP280" s="7" t="n">
        <f aca="false">SUMIFS(Doors!BB:BB,Doors!$A:$A,$D280,Doors!$B:$B,$B280,Doors!$C:$C,$C280)*SUMIFS(Velocity!$I:$I,Velocity!$A:$A,$A280,Velocity!$B:$B,$C280)/Assumptions!$B$4*Assumptions!$B$6</f>
        <v>3.9375</v>
      </c>
      <c r="AQ280" s="7" t="n">
        <f aca="false">SUMIFS(Doors!BC:BC,Doors!$A:$A,$D280,Doors!$B:$B,$B280,Doors!$C:$C,$C280)*SUMIFS(Velocity!$I:$I,Velocity!$A:$A,$A280,Velocity!$B:$B,$C280)/Assumptions!$B$4*Assumptions!$B$6</f>
        <v>3.9375</v>
      </c>
      <c r="AR280" s="7" t="n">
        <f aca="false">SUMIFS(Doors!BD:BD,Doors!$A:$A,$D280,Doors!$B:$B,$B280,Doors!$C:$C,$C280)*SUMIFS(Velocity!$I:$I,Velocity!$A:$A,$A280,Velocity!$B:$B,$C280)/Assumptions!$B$4*Assumptions!$B$6</f>
        <v>4.375</v>
      </c>
      <c r="AS280" s="7" t="n">
        <f aca="false">SUMIFS(Doors!BE:BE,Doors!$A:$A,$D280,Doors!$B:$B,$B280,Doors!$C:$C,$C280)*SUMIFS(Velocity!$I:$I,Velocity!$A:$A,$A280,Velocity!$B:$B,$C280)/Assumptions!$B$4*Assumptions!$B$6</f>
        <v>4.375</v>
      </c>
      <c r="AT280" s="7" t="n">
        <f aca="false">SUMIFS(Doors!BF:BF,Doors!$A:$A,$D280,Doors!$B:$B,$B280,Doors!$C:$C,$C280)*SUMIFS(Velocity!$I:$I,Velocity!$A:$A,$A280,Velocity!$B:$B,$C280)/Assumptions!$B$4*Assumptions!$B$6</f>
        <v>4.375</v>
      </c>
      <c r="AU280" s="7" t="n">
        <f aca="false">SUMIFS(Doors!BG:BG,Doors!$A:$A,$D280,Doors!$B:$B,$B280,Doors!$C:$C,$C280)*SUMIFS(Velocity!$I:$I,Velocity!$A:$A,$A280,Velocity!$B:$B,$C280)/Assumptions!$B$4*Assumptions!$B$6</f>
        <v>4.375</v>
      </c>
      <c r="AV280" s="7" t="n">
        <f aca="false">SUMIFS(Doors!BH:BH,Doors!$A:$A,$D280,Doors!$B:$B,$B280,Doors!$C:$C,$C280)*SUMIFS(Velocity!$I:$I,Velocity!$A:$A,$A280,Velocity!$B:$B,$C280)/Assumptions!$B$4*Assumptions!$B$6</f>
        <v>4.375</v>
      </c>
      <c r="AW280" s="7" t="n">
        <f aca="false">SUMIFS(Doors!BI:BI,Doors!$A:$A,$D280,Doors!$B:$B,$B280,Doors!$C:$C,$C280)*SUMIFS(Velocity!$I:$I,Velocity!$A:$A,$A280,Velocity!$B:$B,$C280)/Assumptions!$B$4*Assumptions!$B$6</f>
        <v>4.8125</v>
      </c>
      <c r="AX280" s="7" t="n">
        <f aca="false">SUMIFS(Doors!BJ:BJ,Doors!$A:$A,$D280,Doors!$B:$B,$B280,Doors!$C:$C,$C280)*SUMIFS(Velocity!$I:$I,Velocity!$A:$A,$A280,Velocity!$B:$B,$C280)/Assumptions!$B$4*Assumptions!$B$6</f>
        <v>4.8125</v>
      </c>
      <c r="AY280" s="7" t="n">
        <f aca="false">SUMIFS(Doors!BK:BK,Doors!$A:$A,$D280,Doors!$B:$B,$B280,Doors!$C:$C,$C280)*SUMIFS(Velocity!$I:$I,Velocity!$A:$A,$A280,Velocity!$B:$B,$C280)/Assumptions!$B$4*Assumptions!$B$6</f>
        <v>4.8125</v>
      </c>
      <c r="AZ280" s="7" t="n">
        <f aca="false">SUMIFS(Doors!BL:BL,Doors!$A:$A,$D280,Doors!$B:$B,$B280,Doors!$C:$C,$C280)*SUMIFS(Velocity!$I:$I,Velocity!$A:$A,$A280,Velocity!$B:$B,$C280)/Assumptions!$B$4*Assumptions!$B$6</f>
        <v>4.8125</v>
      </c>
      <c r="BA280" s="7" t="n">
        <f aca="false">SUMIFS(Doors!BM:BM,Doors!$A:$A,$D280,Doors!$B:$B,$B280,Doors!$C:$C,$C280)*SUMIFS(Velocity!$I:$I,Velocity!$A:$A,$A280,Velocity!$B:$B,$C280)/Assumptions!$B$4*Assumptions!$B$6</f>
        <v>5.25</v>
      </c>
      <c r="BB280" s="7" t="n">
        <f aca="false">SUMIFS(Doors!BN:BN,Doors!$A:$A,$D280,Doors!$B:$B,$B280,Doors!$C:$C,$C280)*SUMIFS(Velocity!$I:$I,Velocity!$A:$A,$A280,Velocity!$B:$B,$C280)/Assumptions!$B$4*Assumptions!$B$6</f>
        <v>5.25</v>
      </c>
      <c r="BC280" s="7" t="n">
        <f aca="false">SUMIFS(Doors!BO:BO,Doors!$A:$A,$D280,Doors!$B:$B,$B280,Doors!$C:$C,$C280)*SUMIFS(Velocity!$I:$I,Velocity!$A:$A,$A280,Velocity!$B:$B,$C280)/Assumptions!$B$4*Assumptions!$B$6</f>
        <v>5.25</v>
      </c>
      <c r="BD280" s="7" t="n">
        <f aca="false">SUMIFS(Doors!BP:BP,Doors!$A:$A,$D280,Doors!$B:$B,$B280,Doors!$C:$C,$C280)*SUMIFS(Velocity!$I:$I,Velocity!$A:$A,$A280,Velocity!$B:$B,$C280)/Assumptions!$B$4*Assumptions!$B$6</f>
        <v>5.25</v>
      </c>
    </row>
    <row r="281" customFormat="false" ht="15" hidden="false" customHeight="false" outlineLevel="0" collapsed="false">
      <c r="A281" s="0" t="s">
        <v>111</v>
      </c>
      <c r="B281" s="0" t="s">
        <v>126</v>
      </c>
      <c r="C281" s="0" t="s">
        <v>120</v>
      </c>
      <c r="D281" s="0" t="s">
        <v>236</v>
      </c>
      <c r="E281" s="7" t="n">
        <f aca="false">SUMIFS(Doors!Q:Q,Doors!$A:$A,$D281,Doors!$B:$B,$B281,Doors!$C:$C,$C281)*SUMIFS(Velocity!$I:$I,Velocity!$A:$A,$A281,Velocity!$B:$B,$C281)/Assumptions!$B$4*Assumptions!$B$6</f>
        <v>0</v>
      </c>
      <c r="F281" s="7" t="n">
        <f aca="false">SUMIFS(Doors!R:R,Doors!$A:$A,$D281,Doors!$B:$B,$B281,Doors!$C:$C,$C281)*SUMIFS(Velocity!$I:$I,Velocity!$A:$A,$A281,Velocity!$B:$B,$C281)/Assumptions!$B$4*Assumptions!$B$6</f>
        <v>0</v>
      </c>
      <c r="G281" s="7" t="n">
        <f aca="false">SUMIFS(Doors!S:S,Doors!$A:$A,$D281,Doors!$B:$B,$B281,Doors!$C:$C,$C281)*SUMIFS(Velocity!$I:$I,Velocity!$A:$A,$A281,Velocity!$B:$B,$C281)/Assumptions!$B$4*Assumptions!$B$6</f>
        <v>0</v>
      </c>
      <c r="H281" s="7" t="n">
        <f aca="false">SUMIFS(Doors!T:T,Doors!$A:$A,$D281,Doors!$B:$B,$B281,Doors!$C:$C,$C281)*SUMIFS(Velocity!$I:$I,Velocity!$A:$A,$A281,Velocity!$B:$B,$C281)/Assumptions!$B$4*Assumptions!$B$6</f>
        <v>0</v>
      </c>
      <c r="I281" s="7" t="n">
        <f aca="false">SUMIFS(Doors!U:U,Doors!$A:$A,$D281,Doors!$B:$B,$B281,Doors!$C:$C,$C281)*SUMIFS(Velocity!$I:$I,Velocity!$A:$A,$A281,Velocity!$B:$B,$C281)/Assumptions!$B$4*Assumptions!$B$6</f>
        <v>0</v>
      </c>
      <c r="J281" s="7" t="n">
        <f aca="false">SUMIFS(Doors!V:V,Doors!$A:$A,$D281,Doors!$B:$B,$B281,Doors!$C:$C,$C281)*SUMIFS(Velocity!$I:$I,Velocity!$A:$A,$A281,Velocity!$B:$B,$C281)/Assumptions!$B$4*Assumptions!$B$6</f>
        <v>0</v>
      </c>
      <c r="K281" s="7" t="n">
        <f aca="false">SUMIFS(Doors!W:W,Doors!$A:$A,$D281,Doors!$B:$B,$B281,Doors!$C:$C,$C281)*SUMIFS(Velocity!$I:$I,Velocity!$A:$A,$A281,Velocity!$B:$B,$C281)/Assumptions!$B$4*Assumptions!$B$6</f>
        <v>0</v>
      </c>
      <c r="L281" s="7" t="n">
        <f aca="false">SUMIFS(Doors!X:X,Doors!$A:$A,$D281,Doors!$B:$B,$B281,Doors!$C:$C,$C281)*SUMIFS(Velocity!$I:$I,Velocity!$A:$A,$A281,Velocity!$B:$B,$C281)/Assumptions!$B$4*Assumptions!$B$6</f>
        <v>0</v>
      </c>
      <c r="M281" s="7" t="n">
        <f aca="false">SUMIFS(Doors!Y:Y,Doors!$A:$A,$D281,Doors!$B:$B,$B281,Doors!$C:$C,$C281)*SUMIFS(Velocity!$I:$I,Velocity!$A:$A,$A281,Velocity!$B:$B,$C281)/Assumptions!$B$4*Assumptions!$B$6</f>
        <v>0</v>
      </c>
      <c r="N281" s="7" t="n">
        <f aca="false">SUMIFS(Doors!Z:Z,Doors!$A:$A,$D281,Doors!$B:$B,$B281,Doors!$C:$C,$C281)*SUMIFS(Velocity!$I:$I,Velocity!$A:$A,$A281,Velocity!$B:$B,$C281)/Assumptions!$B$4*Assumptions!$B$6</f>
        <v>0</v>
      </c>
      <c r="O281" s="7" t="n">
        <f aca="false">SUMIFS(Doors!AA:AA,Doors!$A:$A,$D281,Doors!$B:$B,$B281,Doors!$C:$C,$C281)*SUMIFS(Velocity!$I:$I,Velocity!$A:$A,$A281,Velocity!$B:$B,$C281)/Assumptions!$B$4*Assumptions!$B$6</f>
        <v>0</v>
      </c>
      <c r="P281" s="7" t="n">
        <f aca="false">SUMIFS(Doors!AB:AB,Doors!$A:$A,$D281,Doors!$B:$B,$B281,Doors!$C:$C,$C281)*SUMIFS(Velocity!$I:$I,Velocity!$A:$A,$A281,Velocity!$B:$B,$C281)/Assumptions!$B$4*Assumptions!$B$6</f>
        <v>0</v>
      </c>
      <c r="Q281" s="7" t="n">
        <f aca="false">SUMIFS(Doors!AC:AC,Doors!$A:$A,$D281,Doors!$B:$B,$B281,Doors!$C:$C,$C281)*SUMIFS(Velocity!$I:$I,Velocity!$A:$A,$A281,Velocity!$B:$B,$C281)/Assumptions!$B$4*Assumptions!$B$6</f>
        <v>0</v>
      </c>
      <c r="R281" s="7" t="n">
        <f aca="false">SUMIFS(Doors!AD:AD,Doors!$A:$A,$D281,Doors!$B:$B,$B281,Doors!$C:$C,$C281)*SUMIFS(Velocity!$I:$I,Velocity!$A:$A,$A281,Velocity!$B:$B,$C281)/Assumptions!$B$4*Assumptions!$B$6</f>
        <v>0</v>
      </c>
      <c r="S281" s="7" t="n">
        <f aca="false">SUMIFS(Doors!AE:AE,Doors!$A:$A,$D281,Doors!$B:$B,$B281,Doors!$C:$C,$C281)*SUMIFS(Velocity!$I:$I,Velocity!$A:$A,$A281,Velocity!$B:$B,$C281)/Assumptions!$B$4*Assumptions!$B$6</f>
        <v>0</v>
      </c>
      <c r="T281" s="7" t="n">
        <f aca="false">SUMIFS(Doors!AF:AF,Doors!$A:$A,$D281,Doors!$B:$B,$B281,Doors!$C:$C,$C281)*SUMIFS(Velocity!$I:$I,Velocity!$A:$A,$A281,Velocity!$B:$B,$C281)/Assumptions!$B$4*Assumptions!$B$6</f>
        <v>0</v>
      </c>
      <c r="U281" s="7" t="n">
        <f aca="false">SUMIFS(Doors!AG:AG,Doors!$A:$A,$D281,Doors!$B:$B,$B281,Doors!$C:$C,$C281)*SUMIFS(Velocity!$I:$I,Velocity!$A:$A,$A281,Velocity!$B:$B,$C281)/Assumptions!$B$4*Assumptions!$B$6</f>
        <v>0</v>
      </c>
      <c r="V281" s="7" t="n">
        <f aca="false">SUMIFS(Doors!AH:AH,Doors!$A:$A,$D281,Doors!$B:$B,$B281,Doors!$C:$C,$C281)*SUMIFS(Velocity!$I:$I,Velocity!$A:$A,$A281,Velocity!$B:$B,$C281)/Assumptions!$B$4*Assumptions!$B$6</f>
        <v>0</v>
      </c>
      <c r="W281" s="7" t="n">
        <f aca="false">SUMIFS(Doors!AI:AI,Doors!$A:$A,$D281,Doors!$B:$B,$B281,Doors!$C:$C,$C281)*SUMIFS(Velocity!$I:$I,Velocity!$A:$A,$A281,Velocity!$B:$B,$C281)/Assumptions!$B$4*Assumptions!$B$6</f>
        <v>1.5</v>
      </c>
      <c r="X281" s="7" t="n">
        <f aca="false">SUMIFS(Doors!AJ:AJ,Doors!$A:$A,$D281,Doors!$B:$B,$B281,Doors!$C:$C,$C281)*SUMIFS(Velocity!$I:$I,Velocity!$A:$A,$A281,Velocity!$B:$B,$C281)/Assumptions!$B$4*Assumptions!$B$6</f>
        <v>1.5</v>
      </c>
      <c r="Y281" s="7" t="n">
        <f aca="false">SUMIFS(Doors!AK:AK,Doors!$A:$A,$D281,Doors!$B:$B,$B281,Doors!$C:$C,$C281)*SUMIFS(Velocity!$I:$I,Velocity!$A:$A,$A281,Velocity!$B:$B,$C281)/Assumptions!$B$4*Assumptions!$B$6</f>
        <v>1.5</v>
      </c>
      <c r="Z281" s="7" t="n">
        <f aca="false">SUMIFS(Doors!AL:AL,Doors!$A:$A,$D281,Doors!$B:$B,$B281,Doors!$C:$C,$C281)*SUMIFS(Velocity!$I:$I,Velocity!$A:$A,$A281,Velocity!$B:$B,$C281)/Assumptions!$B$4*Assumptions!$B$6</f>
        <v>1.5</v>
      </c>
      <c r="AA281" s="7" t="n">
        <f aca="false">SUMIFS(Doors!AM:AM,Doors!$A:$A,$D281,Doors!$B:$B,$B281,Doors!$C:$C,$C281)*SUMIFS(Velocity!$I:$I,Velocity!$A:$A,$A281,Velocity!$B:$B,$C281)/Assumptions!$B$4*Assumptions!$B$6</f>
        <v>3</v>
      </c>
      <c r="AB281" s="7" t="n">
        <f aca="false">SUMIFS(Doors!AN:AN,Doors!$A:$A,$D281,Doors!$B:$B,$B281,Doors!$C:$C,$C281)*SUMIFS(Velocity!$I:$I,Velocity!$A:$A,$A281,Velocity!$B:$B,$C281)/Assumptions!$B$4*Assumptions!$B$6</f>
        <v>3</v>
      </c>
      <c r="AC281" s="7" t="n">
        <f aca="false">SUMIFS(Doors!AO:AO,Doors!$A:$A,$D281,Doors!$B:$B,$B281,Doors!$C:$C,$C281)*SUMIFS(Velocity!$I:$I,Velocity!$A:$A,$A281,Velocity!$B:$B,$C281)/Assumptions!$B$4*Assumptions!$B$6</f>
        <v>3</v>
      </c>
      <c r="AD281" s="7" t="n">
        <f aca="false">SUMIFS(Doors!AP:AP,Doors!$A:$A,$D281,Doors!$B:$B,$B281,Doors!$C:$C,$C281)*SUMIFS(Velocity!$I:$I,Velocity!$A:$A,$A281,Velocity!$B:$B,$C281)/Assumptions!$B$4*Assumptions!$B$6</f>
        <v>3</v>
      </c>
      <c r="AE281" s="7" t="n">
        <f aca="false">SUMIFS(Doors!AQ:AQ,Doors!$A:$A,$D281,Doors!$B:$B,$B281,Doors!$C:$C,$C281)*SUMIFS(Velocity!$I:$I,Velocity!$A:$A,$A281,Velocity!$B:$B,$C281)/Assumptions!$B$4*Assumptions!$B$6</f>
        <v>4.5</v>
      </c>
      <c r="AF281" s="7" t="n">
        <f aca="false">SUMIFS(Doors!AR:AR,Doors!$A:$A,$D281,Doors!$B:$B,$B281,Doors!$C:$C,$C281)*SUMIFS(Velocity!$I:$I,Velocity!$A:$A,$A281,Velocity!$B:$B,$C281)/Assumptions!$B$4*Assumptions!$B$6</f>
        <v>4.5</v>
      </c>
      <c r="AG281" s="7" t="n">
        <f aca="false">SUMIFS(Doors!AS:AS,Doors!$A:$A,$D281,Doors!$B:$B,$B281,Doors!$C:$C,$C281)*SUMIFS(Velocity!$I:$I,Velocity!$A:$A,$A281,Velocity!$B:$B,$C281)/Assumptions!$B$4*Assumptions!$B$6</f>
        <v>4.5</v>
      </c>
      <c r="AH281" s="7" t="n">
        <f aca="false">SUMIFS(Doors!AT:AT,Doors!$A:$A,$D281,Doors!$B:$B,$B281,Doors!$C:$C,$C281)*SUMIFS(Velocity!$I:$I,Velocity!$A:$A,$A281,Velocity!$B:$B,$C281)/Assumptions!$B$4*Assumptions!$B$6</f>
        <v>4.5</v>
      </c>
      <c r="AI281" s="7" t="n">
        <f aca="false">SUMIFS(Doors!AU:AU,Doors!$A:$A,$D281,Doors!$B:$B,$B281,Doors!$C:$C,$C281)*SUMIFS(Velocity!$I:$I,Velocity!$A:$A,$A281,Velocity!$B:$B,$C281)/Assumptions!$B$4*Assumptions!$B$6</f>
        <v>4.5</v>
      </c>
      <c r="AJ281" s="7" t="n">
        <f aca="false">SUMIFS(Doors!AV:AV,Doors!$A:$A,$D281,Doors!$B:$B,$B281,Doors!$C:$C,$C281)*SUMIFS(Velocity!$I:$I,Velocity!$A:$A,$A281,Velocity!$B:$B,$C281)/Assumptions!$B$4*Assumptions!$B$6</f>
        <v>6</v>
      </c>
      <c r="AK281" s="7" t="n">
        <f aca="false">SUMIFS(Doors!AW:AW,Doors!$A:$A,$D281,Doors!$B:$B,$B281,Doors!$C:$C,$C281)*SUMIFS(Velocity!$I:$I,Velocity!$A:$A,$A281,Velocity!$B:$B,$C281)/Assumptions!$B$4*Assumptions!$B$6</f>
        <v>6</v>
      </c>
      <c r="AL281" s="7" t="n">
        <f aca="false">SUMIFS(Doors!AX:AX,Doors!$A:$A,$D281,Doors!$B:$B,$B281,Doors!$C:$C,$C281)*SUMIFS(Velocity!$I:$I,Velocity!$A:$A,$A281,Velocity!$B:$B,$C281)/Assumptions!$B$4*Assumptions!$B$6</f>
        <v>6</v>
      </c>
      <c r="AM281" s="7" t="n">
        <f aca="false">SUMIFS(Doors!AY:AY,Doors!$A:$A,$D281,Doors!$B:$B,$B281,Doors!$C:$C,$C281)*SUMIFS(Velocity!$I:$I,Velocity!$A:$A,$A281,Velocity!$B:$B,$C281)/Assumptions!$B$4*Assumptions!$B$6</f>
        <v>6</v>
      </c>
      <c r="AN281" s="7" t="n">
        <f aca="false">SUMIFS(Doors!AZ:AZ,Doors!$A:$A,$D281,Doors!$B:$B,$B281,Doors!$C:$C,$C281)*SUMIFS(Velocity!$I:$I,Velocity!$A:$A,$A281,Velocity!$B:$B,$C281)/Assumptions!$B$4*Assumptions!$B$6</f>
        <v>7.5</v>
      </c>
      <c r="AO281" s="7" t="n">
        <f aca="false">SUMIFS(Doors!BA:BA,Doors!$A:$A,$D281,Doors!$B:$B,$B281,Doors!$C:$C,$C281)*SUMIFS(Velocity!$I:$I,Velocity!$A:$A,$A281,Velocity!$B:$B,$C281)/Assumptions!$B$4*Assumptions!$B$6</f>
        <v>7.5</v>
      </c>
      <c r="AP281" s="7" t="n">
        <f aca="false">SUMIFS(Doors!BB:BB,Doors!$A:$A,$D281,Doors!$B:$B,$B281,Doors!$C:$C,$C281)*SUMIFS(Velocity!$I:$I,Velocity!$A:$A,$A281,Velocity!$B:$B,$C281)/Assumptions!$B$4*Assumptions!$B$6</f>
        <v>7.5</v>
      </c>
      <c r="AQ281" s="7" t="n">
        <f aca="false">SUMIFS(Doors!BC:BC,Doors!$A:$A,$D281,Doors!$B:$B,$B281,Doors!$C:$C,$C281)*SUMIFS(Velocity!$I:$I,Velocity!$A:$A,$A281,Velocity!$B:$B,$C281)/Assumptions!$B$4*Assumptions!$B$6</f>
        <v>7.5</v>
      </c>
      <c r="AR281" s="7" t="n">
        <f aca="false">SUMIFS(Doors!BD:BD,Doors!$A:$A,$D281,Doors!$B:$B,$B281,Doors!$C:$C,$C281)*SUMIFS(Velocity!$I:$I,Velocity!$A:$A,$A281,Velocity!$B:$B,$C281)/Assumptions!$B$4*Assumptions!$B$6</f>
        <v>8.4</v>
      </c>
      <c r="AS281" s="7" t="n">
        <f aca="false">SUMIFS(Doors!BE:BE,Doors!$A:$A,$D281,Doors!$B:$B,$B281,Doors!$C:$C,$C281)*SUMIFS(Velocity!$I:$I,Velocity!$A:$A,$A281,Velocity!$B:$B,$C281)/Assumptions!$B$4*Assumptions!$B$6</f>
        <v>8.4</v>
      </c>
      <c r="AT281" s="7" t="n">
        <f aca="false">SUMIFS(Doors!BF:BF,Doors!$A:$A,$D281,Doors!$B:$B,$B281,Doors!$C:$C,$C281)*SUMIFS(Velocity!$I:$I,Velocity!$A:$A,$A281,Velocity!$B:$B,$C281)/Assumptions!$B$4*Assumptions!$B$6</f>
        <v>8.4</v>
      </c>
      <c r="AU281" s="7" t="n">
        <f aca="false">SUMIFS(Doors!BG:BG,Doors!$A:$A,$D281,Doors!$B:$B,$B281,Doors!$C:$C,$C281)*SUMIFS(Velocity!$I:$I,Velocity!$A:$A,$A281,Velocity!$B:$B,$C281)/Assumptions!$B$4*Assumptions!$B$6</f>
        <v>8.4</v>
      </c>
      <c r="AV281" s="7" t="n">
        <f aca="false">SUMIFS(Doors!BH:BH,Doors!$A:$A,$D281,Doors!$B:$B,$B281,Doors!$C:$C,$C281)*SUMIFS(Velocity!$I:$I,Velocity!$A:$A,$A281,Velocity!$B:$B,$C281)/Assumptions!$B$4*Assumptions!$B$6</f>
        <v>8.4</v>
      </c>
      <c r="AW281" s="7" t="n">
        <f aca="false">SUMIFS(Doors!BI:BI,Doors!$A:$A,$D281,Doors!$B:$B,$B281,Doors!$C:$C,$C281)*SUMIFS(Velocity!$I:$I,Velocity!$A:$A,$A281,Velocity!$B:$B,$C281)/Assumptions!$B$4*Assumptions!$B$6</f>
        <v>9</v>
      </c>
      <c r="AX281" s="7" t="n">
        <f aca="false">SUMIFS(Doors!BJ:BJ,Doors!$A:$A,$D281,Doors!$B:$B,$B281,Doors!$C:$C,$C281)*SUMIFS(Velocity!$I:$I,Velocity!$A:$A,$A281,Velocity!$B:$B,$C281)/Assumptions!$B$4*Assumptions!$B$6</f>
        <v>9</v>
      </c>
      <c r="AY281" s="7" t="n">
        <f aca="false">SUMIFS(Doors!BK:BK,Doors!$A:$A,$D281,Doors!$B:$B,$B281,Doors!$C:$C,$C281)*SUMIFS(Velocity!$I:$I,Velocity!$A:$A,$A281,Velocity!$B:$B,$C281)/Assumptions!$B$4*Assumptions!$B$6</f>
        <v>9</v>
      </c>
      <c r="AZ281" s="7" t="n">
        <f aca="false">SUMIFS(Doors!BL:BL,Doors!$A:$A,$D281,Doors!$B:$B,$B281,Doors!$C:$C,$C281)*SUMIFS(Velocity!$I:$I,Velocity!$A:$A,$A281,Velocity!$B:$B,$C281)/Assumptions!$B$4*Assumptions!$B$6</f>
        <v>9</v>
      </c>
      <c r="BA281" s="7" t="n">
        <f aca="false">SUMIFS(Doors!BM:BM,Doors!$A:$A,$D281,Doors!$B:$B,$B281,Doors!$C:$C,$C281)*SUMIFS(Velocity!$I:$I,Velocity!$A:$A,$A281,Velocity!$B:$B,$C281)/Assumptions!$B$4*Assumptions!$B$6</f>
        <v>9.6</v>
      </c>
      <c r="BB281" s="7" t="n">
        <f aca="false">SUMIFS(Doors!BN:BN,Doors!$A:$A,$D281,Doors!$B:$B,$B281,Doors!$C:$C,$C281)*SUMIFS(Velocity!$I:$I,Velocity!$A:$A,$A281,Velocity!$B:$B,$C281)/Assumptions!$B$4*Assumptions!$B$6</f>
        <v>9.6</v>
      </c>
      <c r="BC281" s="7" t="n">
        <f aca="false">SUMIFS(Doors!BO:BO,Doors!$A:$A,$D281,Doors!$B:$B,$B281,Doors!$C:$C,$C281)*SUMIFS(Velocity!$I:$I,Velocity!$A:$A,$A281,Velocity!$B:$B,$C281)/Assumptions!$B$4*Assumptions!$B$6</f>
        <v>9.6</v>
      </c>
      <c r="BD281" s="7" t="n">
        <f aca="false">SUMIFS(Doors!BP:BP,Doors!$A:$A,$D281,Doors!$B:$B,$B281,Doors!$C:$C,$C281)*SUMIFS(Velocity!$I:$I,Velocity!$A:$A,$A281,Velocity!$B:$B,$C281)/Assumptions!$B$4*Assumptions!$B$6</f>
        <v>9.6</v>
      </c>
    </row>
    <row r="282" customFormat="false" ht="15" hidden="false" customHeight="false" outlineLevel="0" collapsed="false">
      <c r="A282" s="0" t="s">
        <v>111</v>
      </c>
      <c r="B282" s="0" t="s">
        <v>126</v>
      </c>
      <c r="C282" s="0" t="s">
        <v>121</v>
      </c>
      <c r="D282" s="0" t="s">
        <v>236</v>
      </c>
      <c r="E282" s="7" t="n">
        <f aca="false">SUMIFS(Doors!Q:Q,Doors!$A:$A,$D282,Doors!$B:$B,$B282,Doors!$C:$C,$C282)*SUMIFS(Velocity!$I:$I,Velocity!$A:$A,$A282,Velocity!$B:$B,$C282)/Assumptions!$B$4*Assumptions!$B$6</f>
        <v>0</v>
      </c>
      <c r="F282" s="7" t="n">
        <f aca="false">SUMIFS(Doors!R:R,Doors!$A:$A,$D282,Doors!$B:$B,$B282,Doors!$C:$C,$C282)*SUMIFS(Velocity!$I:$I,Velocity!$A:$A,$A282,Velocity!$B:$B,$C282)/Assumptions!$B$4*Assumptions!$B$6</f>
        <v>0</v>
      </c>
      <c r="G282" s="7" t="n">
        <f aca="false">SUMIFS(Doors!S:S,Doors!$A:$A,$D282,Doors!$B:$B,$B282,Doors!$C:$C,$C282)*SUMIFS(Velocity!$I:$I,Velocity!$A:$A,$A282,Velocity!$B:$B,$C282)/Assumptions!$B$4*Assumptions!$B$6</f>
        <v>0</v>
      </c>
      <c r="H282" s="7" t="n">
        <f aca="false">SUMIFS(Doors!T:T,Doors!$A:$A,$D282,Doors!$B:$B,$B282,Doors!$C:$C,$C282)*SUMIFS(Velocity!$I:$I,Velocity!$A:$A,$A282,Velocity!$B:$B,$C282)/Assumptions!$B$4*Assumptions!$B$6</f>
        <v>0</v>
      </c>
      <c r="I282" s="7" t="n">
        <f aca="false">SUMIFS(Doors!U:U,Doors!$A:$A,$D282,Doors!$B:$B,$B282,Doors!$C:$C,$C282)*SUMIFS(Velocity!$I:$I,Velocity!$A:$A,$A282,Velocity!$B:$B,$C282)/Assumptions!$B$4*Assumptions!$B$6</f>
        <v>0</v>
      </c>
      <c r="J282" s="7" t="n">
        <f aca="false">SUMIFS(Doors!V:V,Doors!$A:$A,$D282,Doors!$B:$B,$B282,Doors!$C:$C,$C282)*SUMIFS(Velocity!$I:$I,Velocity!$A:$A,$A282,Velocity!$B:$B,$C282)/Assumptions!$B$4*Assumptions!$B$6</f>
        <v>0</v>
      </c>
      <c r="K282" s="7" t="n">
        <f aca="false">SUMIFS(Doors!W:W,Doors!$A:$A,$D282,Doors!$B:$B,$B282,Doors!$C:$C,$C282)*SUMIFS(Velocity!$I:$I,Velocity!$A:$A,$A282,Velocity!$B:$B,$C282)/Assumptions!$B$4*Assumptions!$B$6</f>
        <v>0</v>
      </c>
      <c r="L282" s="7" t="n">
        <f aca="false">SUMIFS(Doors!X:X,Doors!$A:$A,$D282,Doors!$B:$B,$B282,Doors!$C:$C,$C282)*SUMIFS(Velocity!$I:$I,Velocity!$A:$A,$A282,Velocity!$B:$B,$C282)/Assumptions!$B$4*Assumptions!$B$6</f>
        <v>0</v>
      </c>
      <c r="M282" s="7" t="n">
        <f aca="false">SUMIFS(Doors!Y:Y,Doors!$A:$A,$D282,Doors!$B:$B,$B282,Doors!$C:$C,$C282)*SUMIFS(Velocity!$I:$I,Velocity!$A:$A,$A282,Velocity!$B:$B,$C282)/Assumptions!$B$4*Assumptions!$B$6</f>
        <v>0</v>
      </c>
      <c r="N282" s="7" t="n">
        <f aca="false">SUMIFS(Doors!Z:Z,Doors!$A:$A,$D282,Doors!$B:$B,$B282,Doors!$C:$C,$C282)*SUMIFS(Velocity!$I:$I,Velocity!$A:$A,$A282,Velocity!$B:$B,$C282)/Assumptions!$B$4*Assumptions!$B$6</f>
        <v>0</v>
      </c>
      <c r="O282" s="7" t="n">
        <f aca="false">SUMIFS(Doors!AA:AA,Doors!$A:$A,$D282,Doors!$B:$B,$B282,Doors!$C:$C,$C282)*SUMIFS(Velocity!$I:$I,Velocity!$A:$A,$A282,Velocity!$B:$B,$C282)/Assumptions!$B$4*Assumptions!$B$6</f>
        <v>0</v>
      </c>
      <c r="P282" s="7" t="n">
        <f aca="false">SUMIFS(Doors!AB:AB,Doors!$A:$A,$D282,Doors!$B:$B,$B282,Doors!$C:$C,$C282)*SUMIFS(Velocity!$I:$I,Velocity!$A:$A,$A282,Velocity!$B:$B,$C282)/Assumptions!$B$4*Assumptions!$B$6</f>
        <v>0</v>
      </c>
      <c r="Q282" s="7" t="n">
        <f aca="false">SUMIFS(Doors!AC:AC,Doors!$A:$A,$D282,Doors!$B:$B,$B282,Doors!$C:$C,$C282)*SUMIFS(Velocity!$I:$I,Velocity!$A:$A,$A282,Velocity!$B:$B,$C282)/Assumptions!$B$4*Assumptions!$B$6</f>
        <v>0</v>
      </c>
      <c r="R282" s="7" t="n">
        <f aca="false">SUMIFS(Doors!AD:AD,Doors!$A:$A,$D282,Doors!$B:$B,$B282,Doors!$C:$C,$C282)*SUMIFS(Velocity!$I:$I,Velocity!$A:$A,$A282,Velocity!$B:$B,$C282)/Assumptions!$B$4*Assumptions!$B$6</f>
        <v>0</v>
      </c>
      <c r="S282" s="7" t="n">
        <f aca="false">SUMIFS(Doors!AE:AE,Doors!$A:$A,$D282,Doors!$B:$B,$B282,Doors!$C:$C,$C282)*SUMIFS(Velocity!$I:$I,Velocity!$A:$A,$A282,Velocity!$B:$B,$C282)/Assumptions!$B$4*Assumptions!$B$6</f>
        <v>0</v>
      </c>
      <c r="T282" s="7" t="n">
        <f aca="false">SUMIFS(Doors!AF:AF,Doors!$A:$A,$D282,Doors!$B:$B,$B282,Doors!$C:$C,$C282)*SUMIFS(Velocity!$I:$I,Velocity!$A:$A,$A282,Velocity!$B:$B,$C282)/Assumptions!$B$4*Assumptions!$B$6</f>
        <v>0</v>
      </c>
      <c r="U282" s="7" t="n">
        <f aca="false">SUMIFS(Doors!AG:AG,Doors!$A:$A,$D282,Doors!$B:$B,$B282,Doors!$C:$C,$C282)*SUMIFS(Velocity!$I:$I,Velocity!$A:$A,$A282,Velocity!$B:$B,$C282)/Assumptions!$B$4*Assumptions!$B$6</f>
        <v>0</v>
      </c>
      <c r="V282" s="7" t="n">
        <f aca="false">SUMIFS(Doors!AH:AH,Doors!$A:$A,$D282,Doors!$B:$B,$B282,Doors!$C:$C,$C282)*SUMIFS(Velocity!$I:$I,Velocity!$A:$A,$A282,Velocity!$B:$B,$C282)/Assumptions!$B$4*Assumptions!$B$6</f>
        <v>0</v>
      </c>
      <c r="W282" s="7" t="n">
        <f aca="false">SUMIFS(Doors!AI:AI,Doors!$A:$A,$D282,Doors!$B:$B,$B282,Doors!$C:$C,$C282)*SUMIFS(Velocity!$I:$I,Velocity!$A:$A,$A282,Velocity!$B:$B,$C282)/Assumptions!$B$4*Assumptions!$B$6</f>
        <v>1.075</v>
      </c>
      <c r="X282" s="7" t="n">
        <f aca="false">SUMIFS(Doors!AJ:AJ,Doors!$A:$A,$D282,Doors!$B:$B,$B282,Doors!$C:$C,$C282)*SUMIFS(Velocity!$I:$I,Velocity!$A:$A,$A282,Velocity!$B:$B,$C282)/Assumptions!$B$4*Assumptions!$B$6</f>
        <v>1.075</v>
      </c>
      <c r="Y282" s="7" t="n">
        <f aca="false">SUMIFS(Doors!AK:AK,Doors!$A:$A,$D282,Doors!$B:$B,$B282,Doors!$C:$C,$C282)*SUMIFS(Velocity!$I:$I,Velocity!$A:$A,$A282,Velocity!$B:$B,$C282)/Assumptions!$B$4*Assumptions!$B$6</f>
        <v>1.075</v>
      </c>
      <c r="Z282" s="7" t="n">
        <f aca="false">SUMIFS(Doors!AL:AL,Doors!$A:$A,$D282,Doors!$B:$B,$B282,Doors!$C:$C,$C282)*SUMIFS(Velocity!$I:$I,Velocity!$A:$A,$A282,Velocity!$B:$B,$C282)/Assumptions!$B$4*Assumptions!$B$6</f>
        <v>1.075</v>
      </c>
      <c r="AA282" s="7" t="n">
        <f aca="false">SUMIFS(Doors!AM:AM,Doors!$A:$A,$D282,Doors!$B:$B,$B282,Doors!$C:$C,$C282)*SUMIFS(Velocity!$I:$I,Velocity!$A:$A,$A282,Velocity!$B:$B,$C282)/Assumptions!$B$4*Assumptions!$B$6</f>
        <v>2.15</v>
      </c>
      <c r="AB282" s="7" t="n">
        <f aca="false">SUMIFS(Doors!AN:AN,Doors!$A:$A,$D282,Doors!$B:$B,$B282,Doors!$C:$C,$C282)*SUMIFS(Velocity!$I:$I,Velocity!$A:$A,$A282,Velocity!$B:$B,$C282)/Assumptions!$B$4*Assumptions!$B$6</f>
        <v>2.15</v>
      </c>
      <c r="AC282" s="7" t="n">
        <f aca="false">SUMIFS(Doors!AO:AO,Doors!$A:$A,$D282,Doors!$B:$B,$B282,Doors!$C:$C,$C282)*SUMIFS(Velocity!$I:$I,Velocity!$A:$A,$A282,Velocity!$B:$B,$C282)/Assumptions!$B$4*Assumptions!$B$6</f>
        <v>2.15</v>
      </c>
      <c r="AD282" s="7" t="n">
        <f aca="false">SUMIFS(Doors!AP:AP,Doors!$A:$A,$D282,Doors!$B:$B,$B282,Doors!$C:$C,$C282)*SUMIFS(Velocity!$I:$I,Velocity!$A:$A,$A282,Velocity!$B:$B,$C282)/Assumptions!$B$4*Assumptions!$B$6</f>
        <v>2.15</v>
      </c>
      <c r="AE282" s="7" t="n">
        <f aca="false">SUMIFS(Doors!AQ:AQ,Doors!$A:$A,$D282,Doors!$B:$B,$B282,Doors!$C:$C,$C282)*SUMIFS(Velocity!$I:$I,Velocity!$A:$A,$A282,Velocity!$B:$B,$C282)/Assumptions!$B$4*Assumptions!$B$6</f>
        <v>3.58333333333333</v>
      </c>
      <c r="AF282" s="7" t="n">
        <f aca="false">SUMIFS(Doors!AR:AR,Doors!$A:$A,$D282,Doors!$B:$B,$B282,Doors!$C:$C,$C282)*SUMIFS(Velocity!$I:$I,Velocity!$A:$A,$A282,Velocity!$B:$B,$C282)/Assumptions!$B$4*Assumptions!$B$6</f>
        <v>3.58333333333333</v>
      </c>
      <c r="AG282" s="7" t="n">
        <f aca="false">SUMIFS(Doors!AS:AS,Doors!$A:$A,$D282,Doors!$B:$B,$B282,Doors!$C:$C,$C282)*SUMIFS(Velocity!$I:$I,Velocity!$A:$A,$A282,Velocity!$B:$B,$C282)/Assumptions!$B$4*Assumptions!$B$6</f>
        <v>3.58333333333333</v>
      </c>
      <c r="AH282" s="7" t="n">
        <f aca="false">SUMIFS(Doors!AT:AT,Doors!$A:$A,$D282,Doors!$B:$B,$B282,Doors!$C:$C,$C282)*SUMIFS(Velocity!$I:$I,Velocity!$A:$A,$A282,Velocity!$B:$B,$C282)/Assumptions!$B$4*Assumptions!$B$6</f>
        <v>3.58333333333333</v>
      </c>
      <c r="AI282" s="7" t="n">
        <f aca="false">SUMIFS(Doors!AU:AU,Doors!$A:$A,$D282,Doors!$B:$B,$B282,Doors!$C:$C,$C282)*SUMIFS(Velocity!$I:$I,Velocity!$A:$A,$A282,Velocity!$B:$B,$C282)/Assumptions!$B$4*Assumptions!$B$6</f>
        <v>3.58333333333333</v>
      </c>
      <c r="AJ282" s="7" t="n">
        <f aca="false">SUMIFS(Doors!AV:AV,Doors!$A:$A,$D282,Doors!$B:$B,$B282,Doors!$C:$C,$C282)*SUMIFS(Velocity!$I:$I,Velocity!$A:$A,$A282,Velocity!$B:$B,$C282)/Assumptions!$B$4*Assumptions!$B$6</f>
        <v>4.65833333333333</v>
      </c>
      <c r="AK282" s="7" t="n">
        <f aca="false">SUMIFS(Doors!AW:AW,Doors!$A:$A,$D282,Doors!$B:$B,$B282,Doors!$C:$C,$C282)*SUMIFS(Velocity!$I:$I,Velocity!$A:$A,$A282,Velocity!$B:$B,$C282)/Assumptions!$B$4*Assumptions!$B$6</f>
        <v>4.65833333333333</v>
      </c>
      <c r="AL282" s="7" t="n">
        <f aca="false">SUMIFS(Doors!AX:AX,Doors!$A:$A,$D282,Doors!$B:$B,$B282,Doors!$C:$C,$C282)*SUMIFS(Velocity!$I:$I,Velocity!$A:$A,$A282,Velocity!$B:$B,$C282)/Assumptions!$B$4*Assumptions!$B$6</f>
        <v>4.65833333333333</v>
      </c>
      <c r="AM282" s="7" t="n">
        <f aca="false">SUMIFS(Doors!AY:AY,Doors!$A:$A,$D282,Doors!$B:$B,$B282,Doors!$C:$C,$C282)*SUMIFS(Velocity!$I:$I,Velocity!$A:$A,$A282,Velocity!$B:$B,$C282)/Assumptions!$B$4*Assumptions!$B$6</f>
        <v>4.65833333333333</v>
      </c>
      <c r="AN282" s="7" t="n">
        <f aca="false">SUMIFS(Doors!AZ:AZ,Doors!$A:$A,$D282,Doors!$B:$B,$B282,Doors!$C:$C,$C282)*SUMIFS(Velocity!$I:$I,Velocity!$A:$A,$A282,Velocity!$B:$B,$C282)/Assumptions!$B$4*Assumptions!$B$6</f>
        <v>5.73333333333333</v>
      </c>
      <c r="AO282" s="7" t="n">
        <f aca="false">SUMIFS(Doors!BA:BA,Doors!$A:$A,$D282,Doors!$B:$B,$B282,Doors!$C:$C,$C282)*SUMIFS(Velocity!$I:$I,Velocity!$A:$A,$A282,Velocity!$B:$B,$C282)/Assumptions!$B$4*Assumptions!$B$6</f>
        <v>5.73333333333333</v>
      </c>
      <c r="AP282" s="7" t="n">
        <f aca="false">SUMIFS(Doors!BB:BB,Doors!$A:$A,$D282,Doors!$B:$B,$B282,Doors!$C:$C,$C282)*SUMIFS(Velocity!$I:$I,Velocity!$A:$A,$A282,Velocity!$B:$B,$C282)/Assumptions!$B$4*Assumptions!$B$6</f>
        <v>5.73333333333333</v>
      </c>
      <c r="AQ282" s="7" t="n">
        <f aca="false">SUMIFS(Doors!BC:BC,Doors!$A:$A,$D282,Doors!$B:$B,$B282,Doors!$C:$C,$C282)*SUMIFS(Velocity!$I:$I,Velocity!$A:$A,$A282,Velocity!$B:$B,$C282)/Assumptions!$B$4*Assumptions!$B$6</f>
        <v>5.73333333333333</v>
      </c>
      <c r="AR282" s="7" t="n">
        <f aca="false">SUMIFS(Doors!BD:BD,Doors!$A:$A,$D282,Doors!$B:$B,$B282,Doors!$C:$C,$C282)*SUMIFS(Velocity!$I:$I,Velocity!$A:$A,$A282,Velocity!$B:$B,$C282)/Assumptions!$B$4*Assumptions!$B$6</f>
        <v>6.45</v>
      </c>
      <c r="AS282" s="7" t="n">
        <f aca="false">SUMIFS(Doors!BE:BE,Doors!$A:$A,$D282,Doors!$B:$B,$B282,Doors!$C:$C,$C282)*SUMIFS(Velocity!$I:$I,Velocity!$A:$A,$A282,Velocity!$B:$B,$C282)/Assumptions!$B$4*Assumptions!$B$6</f>
        <v>6.45</v>
      </c>
      <c r="AT282" s="7" t="n">
        <f aca="false">SUMIFS(Doors!BF:BF,Doors!$A:$A,$D282,Doors!$B:$B,$B282,Doors!$C:$C,$C282)*SUMIFS(Velocity!$I:$I,Velocity!$A:$A,$A282,Velocity!$B:$B,$C282)/Assumptions!$B$4*Assumptions!$B$6</f>
        <v>6.45</v>
      </c>
      <c r="AU282" s="7" t="n">
        <f aca="false">SUMIFS(Doors!BG:BG,Doors!$A:$A,$D282,Doors!$B:$B,$B282,Doors!$C:$C,$C282)*SUMIFS(Velocity!$I:$I,Velocity!$A:$A,$A282,Velocity!$B:$B,$C282)/Assumptions!$B$4*Assumptions!$B$6</f>
        <v>6.45</v>
      </c>
      <c r="AV282" s="7" t="n">
        <f aca="false">SUMIFS(Doors!BH:BH,Doors!$A:$A,$D282,Doors!$B:$B,$B282,Doors!$C:$C,$C282)*SUMIFS(Velocity!$I:$I,Velocity!$A:$A,$A282,Velocity!$B:$B,$C282)/Assumptions!$B$4*Assumptions!$B$6</f>
        <v>6.45</v>
      </c>
      <c r="AW282" s="7" t="n">
        <f aca="false">SUMIFS(Doors!BI:BI,Doors!$A:$A,$D282,Doors!$B:$B,$B282,Doors!$C:$C,$C282)*SUMIFS(Velocity!$I:$I,Velocity!$A:$A,$A282,Velocity!$B:$B,$C282)/Assumptions!$B$4*Assumptions!$B$6</f>
        <v>7.16666666666667</v>
      </c>
      <c r="AX282" s="7" t="n">
        <f aca="false">SUMIFS(Doors!BJ:BJ,Doors!$A:$A,$D282,Doors!$B:$B,$B282,Doors!$C:$C,$C282)*SUMIFS(Velocity!$I:$I,Velocity!$A:$A,$A282,Velocity!$B:$B,$C282)/Assumptions!$B$4*Assumptions!$B$6</f>
        <v>7.16666666666667</v>
      </c>
      <c r="AY282" s="7" t="n">
        <f aca="false">SUMIFS(Doors!BK:BK,Doors!$A:$A,$D282,Doors!$B:$B,$B282,Doors!$C:$C,$C282)*SUMIFS(Velocity!$I:$I,Velocity!$A:$A,$A282,Velocity!$B:$B,$C282)/Assumptions!$B$4*Assumptions!$B$6</f>
        <v>7.16666666666667</v>
      </c>
      <c r="AZ282" s="7" t="n">
        <f aca="false">SUMIFS(Doors!BL:BL,Doors!$A:$A,$D282,Doors!$B:$B,$B282,Doors!$C:$C,$C282)*SUMIFS(Velocity!$I:$I,Velocity!$A:$A,$A282,Velocity!$B:$B,$C282)/Assumptions!$B$4*Assumptions!$B$6</f>
        <v>7.16666666666667</v>
      </c>
      <c r="BA282" s="7" t="n">
        <f aca="false">SUMIFS(Doors!BM:BM,Doors!$A:$A,$D282,Doors!$B:$B,$B282,Doors!$C:$C,$C282)*SUMIFS(Velocity!$I:$I,Velocity!$A:$A,$A282,Velocity!$B:$B,$C282)/Assumptions!$B$4*Assumptions!$B$6</f>
        <v>7.88333333333333</v>
      </c>
      <c r="BB282" s="7" t="n">
        <f aca="false">SUMIFS(Doors!BN:BN,Doors!$A:$A,$D282,Doors!$B:$B,$B282,Doors!$C:$C,$C282)*SUMIFS(Velocity!$I:$I,Velocity!$A:$A,$A282,Velocity!$B:$B,$C282)/Assumptions!$B$4*Assumptions!$B$6</f>
        <v>7.88333333333333</v>
      </c>
      <c r="BC282" s="7" t="n">
        <f aca="false">SUMIFS(Doors!BO:BO,Doors!$A:$A,$D282,Doors!$B:$B,$B282,Doors!$C:$C,$C282)*SUMIFS(Velocity!$I:$I,Velocity!$A:$A,$A282,Velocity!$B:$B,$C282)/Assumptions!$B$4*Assumptions!$B$6</f>
        <v>7.88333333333333</v>
      </c>
      <c r="BD282" s="7" t="n">
        <f aca="false">SUMIFS(Doors!BP:BP,Doors!$A:$A,$D282,Doors!$B:$B,$B282,Doors!$C:$C,$C282)*SUMIFS(Velocity!$I:$I,Velocity!$A:$A,$A282,Velocity!$B:$B,$C282)/Assumptions!$B$4*Assumptions!$B$6</f>
        <v>7.88333333333333</v>
      </c>
    </row>
    <row r="283" customFormat="false" ht="15" hidden="false" customHeight="false" outlineLevel="0" collapsed="false">
      <c r="A283" s="0" t="s">
        <v>111</v>
      </c>
      <c r="B283" s="0" t="s">
        <v>126</v>
      </c>
      <c r="C283" s="0" t="s">
        <v>122</v>
      </c>
      <c r="D283" s="0" t="s">
        <v>236</v>
      </c>
      <c r="E283" s="7" t="n">
        <f aca="false">SUMIFS(Doors!Q:Q,Doors!$A:$A,$D283,Doors!$B:$B,$B283,Doors!$C:$C,$C283)*SUMIFS(Velocity!$I:$I,Velocity!$A:$A,$A283,Velocity!$B:$B,$C283)/Assumptions!$B$4*Assumptions!$B$6</f>
        <v>0</v>
      </c>
      <c r="F283" s="7" t="n">
        <f aca="false">SUMIFS(Doors!R:R,Doors!$A:$A,$D283,Doors!$B:$B,$B283,Doors!$C:$C,$C283)*SUMIFS(Velocity!$I:$I,Velocity!$A:$A,$A283,Velocity!$B:$B,$C283)/Assumptions!$B$4*Assumptions!$B$6</f>
        <v>0</v>
      </c>
      <c r="G283" s="7" t="n">
        <f aca="false">SUMIFS(Doors!S:S,Doors!$A:$A,$D283,Doors!$B:$B,$B283,Doors!$C:$C,$C283)*SUMIFS(Velocity!$I:$I,Velocity!$A:$A,$A283,Velocity!$B:$B,$C283)/Assumptions!$B$4*Assumptions!$B$6</f>
        <v>0</v>
      </c>
      <c r="H283" s="7" t="n">
        <f aca="false">SUMIFS(Doors!T:T,Doors!$A:$A,$D283,Doors!$B:$B,$B283,Doors!$C:$C,$C283)*SUMIFS(Velocity!$I:$I,Velocity!$A:$A,$A283,Velocity!$B:$B,$C283)/Assumptions!$B$4*Assumptions!$B$6</f>
        <v>0</v>
      </c>
      <c r="I283" s="7" t="n">
        <f aca="false">SUMIFS(Doors!U:U,Doors!$A:$A,$D283,Doors!$B:$B,$B283,Doors!$C:$C,$C283)*SUMIFS(Velocity!$I:$I,Velocity!$A:$A,$A283,Velocity!$B:$B,$C283)/Assumptions!$B$4*Assumptions!$B$6</f>
        <v>0</v>
      </c>
      <c r="J283" s="7" t="n">
        <f aca="false">SUMIFS(Doors!V:V,Doors!$A:$A,$D283,Doors!$B:$B,$B283,Doors!$C:$C,$C283)*SUMIFS(Velocity!$I:$I,Velocity!$A:$A,$A283,Velocity!$B:$B,$C283)/Assumptions!$B$4*Assumptions!$B$6</f>
        <v>0</v>
      </c>
      <c r="K283" s="7" t="n">
        <f aca="false">SUMIFS(Doors!W:W,Doors!$A:$A,$D283,Doors!$B:$B,$B283,Doors!$C:$C,$C283)*SUMIFS(Velocity!$I:$I,Velocity!$A:$A,$A283,Velocity!$B:$B,$C283)/Assumptions!$B$4*Assumptions!$B$6</f>
        <v>0</v>
      </c>
      <c r="L283" s="7" t="n">
        <f aca="false">SUMIFS(Doors!X:X,Doors!$A:$A,$D283,Doors!$B:$B,$B283,Doors!$C:$C,$C283)*SUMIFS(Velocity!$I:$I,Velocity!$A:$A,$A283,Velocity!$B:$B,$C283)/Assumptions!$B$4*Assumptions!$B$6</f>
        <v>0</v>
      </c>
      <c r="M283" s="7" t="n">
        <f aca="false">SUMIFS(Doors!Y:Y,Doors!$A:$A,$D283,Doors!$B:$B,$B283,Doors!$C:$C,$C283)*SUMIFS(Velocity!$I:$I,Velocity!$A:$A,$A283,Velocity!$B:$B,$C283)/Assumptions!$B$4*Assumptions!$B$6</f>
        <v>0</v>
      </c>
      <c r="N283" s="7" t="n">
        <f aca="false">SUMIFS(Doors!Z:Z,Doors!$A:$A,$D283,Doors!$B:$B,$B283,Doors!$C:$C,$C283)*SUMIFS(Velocity!$I:$I,Velocity!$A:$A,$A283,Velocity!$B:$B,$C283)/Assumptions!$B$4*Assumptions!$B$6</f>
        <v>0</v>
      </c>
      <c r="O283" s="7" t="n">
        <f aca="false">SUMIFS(Doors!AA:AA,Doors!$A:$A,$D283,Doors!$B:$B,$B283,Doors!$C:$C,$C283)*SUMIFS(Velocity!$I:$I,Velocity!$A:$A,$A283,Velocity!$B:$B,$C283)/Assumptions!$B$4*Assumptions!$B$6</f>
        <v>0</v>
      </c>
      <c r="P283" s="7" t="n">
        <f aca="false">SUMIFS(Doors!AB:AB,Doors!$A:$A,$D283,Doors!$B:$B,$B283,Doors!$C:$C,$C283)*SUMIFS(Velocity!$I:$I,Velocity!$A:$A,$A283,Velocity!$B:$B,$C283)/Assumptions!$B$4*Assumptions!$B$6</f>
        <v>0</v>
      </c>
      <c r="Q283" s="7" t="n">
        <f aca="false">SUMIFS(Doors!AC:AC,Doors!$A:$A,$D283,Doors!$B:$B,$B283,Doors!$C:$C,$C283)*SUMIFS(Velocity!$I:$I,Velocity!$A:$A,$A283,Velocity!$B:$B,$C283)/Assumptions!$B$4*Assumptions!$B$6</f>
        <v>0</v>
      </c>
      <c r="R283" s="7" t="n">
        <f aca="false">SUMIFS(Doors!AD:AD,Doors!$A:$A,$D283,Doors!$B:$B,$B283,Doors!$C:$C,$C283)*SUMIFS(Velocity!$I:$I,Velocity!$A:$A,$A283,Velocity!$B:$B,$C283)/Assumptions!$B$4*Assumptions!$B$6</f>
        <v>0</v>
      </c>
      <c r="S283" s="7" t="n">
        <f aca="false">SUMIFS(Doors!AE:AE,Doors!$A:$A,$D283,Doors!$B:$B,$B283,Doors!$C:$C,$C283)*SUMIFS(Velocity!$I:$I,Velocity!$A:$A,$A283,Velocity!$B:$B,$C283)/Assumptions!$B$4*Assumptions!$B$6</f>
        <v>0</v>
      </c>
      <c r="T283" s="7" t="n">
        <f aca="false">SUMIFS(Doors!AF:AF,Doors!$A:$A,$D283,Doors!$B:$B,$B283,Doors!$C:$C,$C283)*SUMIFS(Velocity!$I:$I,Velocity!$A:$A,$A283,Velocity!$B:$B,$C283)/Assumptions!$B$4*Assumptions!$B$6</f>
        <v>0</v>
      </c>
      <c r="U283" s="7" t="n">
        <f aca="false">SUMIFS(Doors!AG:AG,Doors!$A:$A,$D283,Doors!$B:$B,$B283,Doors!$C:$C,$C283)*SUMIFS(Velocity!$I:$I,Velocity!$A:$A,$A283,Velocity!$B:$B,$C283)/Assumptions!$B$4*Assumptions!$B$6</f>
        <v>0</v>
      </c>
      <c r="V283" s="7" t="n">
        <f aca="false">SUMIFS(Doors!AH:AH,Doors!$A:$A,$D283,Doors!$B:$B,$B283,Doors!$C:$C,$C283)*SUMIFS(Velocity!$I:$I,Velocity!$A:$A,$A283,Velocity!$B:$B,$C283)/Assumptions!$B$4*Assumptions!$B$6</f>
        <v>0</v>
      </c>
      <c r="W283" s="7" t="n">
        <f aca="false">SUMIFS(Doors!AI:AI,Doors!$A:$A,$D283,Doors!$B:$B,$B283,Doors!$C:$C,$C283)*SUMIFS(Velocity!$I:$I,Velocity!$A:$A,$A283,Velocity!$B:$B,$C283)/Assumptions!$B$4*Assumptions!$B$6</f>
        <v>0</v>
      </c>
      <c r="X283" s="7" t="n">
        <f aca="false">SUMIFS(Doors!AJ:AJ,Doors!$A:$A,$D283,Doors!$B:$B,$B283,Doors!$C:$C,$C283)*SUMIFS(Velocity!$I:$I,Velocity!$A:$A,$A283,Velocity!$B:$B,$C283)/Assumptions!$B$4*Assumptions!$B$6</f>
        <v>0</v>
      </c>
      <c r="Y283" s="7" t="n">
        <f aca="false">SUMIFS(Doors!AK:AK,Doors!$A:$A,$D283,Doors!$B:$B,$B283,Doors!$C:$C,$C283)*SUMIFS(Velocity!$I:$I,Velocity!$A:$A,$A283,Velocity!$B:$B,$C283)/Assumptions!$B$4*Assumptions!$B$6</f>
        <v>0</v>
      </c>
      <c r="Z283" s="7" t="n">
        <f aca="false">SUMIFS(Doors!AL:AL,Doors!$A:$A,$D283,Doors!$B:$B,$B283,Doors!$C:$C,$C283)*SUMIFS(Velocity!$I:$I,Velocity!$A:$A,$A283,Velocity!$B:$B,$C283)/Assumptions!$B$4*Assumptions!$B$6</f>
        <v>0</v>
      </c>
      <c r="AA283" s="7" t="n">
        <f aca="false">SUMIFS(Doors!AM:AM,Doors!$A:$A,$D283,Doors!$B:$B,$B283,Doors!$C:$C,$C283)*SUMIFS(Velocity!$I:$I,Velocity!$A:$A,$A283,Velocity!$B:$B,$C283)/Assumptions!$B$4*Assumptions!$B$6</f>
        <v>0</v>
      </c>
      <c r="AB283" s="7" t="n">
        <f aca="false">SUMIFS(Doors!AN:AN,Doors!$A:$A,$D283,Doors!$B:$B,$B283,Doors!$C:$C,$C283)*SUMIFS(Velocity!$I:$I,Velocity!$A:$A,$A283,Velocity!$B:$B,$C283)/Assumptions!$B$4*Assumptions!$B$6</f>
        <v>0</v>
      </c>
      <c r="AC283" s="7" t="n">
        <f aca="false">SUMIFS(Doors!AO:AO,Doors!$A:$A,$D283,Doors!$B:$B,$B283,Doors!$C:$C,$C283)*SUMIFS(Velocity!$I:$I,Velocity!$A:$A,$A283,Velocity!$B:$B,$C283)/Assumptions!$B$4*Assumptions!$B$6</f>
        <v>0</v>
      </c>
      <c r="AD283" s="7" t="n">
        <f aca="false">SUMIFS(Doors!AP:AP,Doors!$A:$A,$D283,Doors!$B:$B,$B283,Doors!$C:$C,$C283)*SUMIFS(Velocity!$I:$I,Velocity!$A:$A,$A283,Velocity!$B:$B,$C283)/Assumptions!$B$4*Assumptions!$B$6</f>
        <v>0</v>
      </c>
      <c r="AE283" s="7" t="n">
        <f aca="false">SUMIFS(Doors!AQ:AQ,Doors!$A:$A,$D283,Doors!$B:$B,$B283,Doors!$C:$C,$C283)*SUMIFS(Velocity!$I:$I,Velocity!$A:$A,$A283,Velocity!$B:$B,$C283)/Assumptions!$B$4*Assumptions!$B$6</f>
        <v>0</v>
      </c>
      <c r="AF283" s="7" t="n">
        <f aca="false">SUMIFS(Doors!AR:AR,Doors!$A:$A,$D283,Doors!$B:$B,$B283,Doors!$C:$C,$C283)*SUMIFS(Velocity!$I:$I,Velocity!$A:$A,$A283,Velocity!$B:$B,$C283)/Assumptions!$B$4*Assumptions!$B$6</f>
        <v>0</v>
      </c>
      <c r="AG283" s="7" t="n">
        <f aca="false">SUMIFS(Doors!AS:AS,Doors!$A:$A,$D283,Doors!$B:$B,$B283,Doors!$C:$C,$C283)*SUMIFS(Velocity!$I:$I,Velocity!$A:$A,$A283,Velocity!$B:$B,$C283)/Assumptions!$B$4*Assumptions!$B$6</f>
        <v>0</v>
      </c>
      <c r="AH283" s="7" t="n">
        <f aca="false">SUMIFS(Doors!AT:AT,Doors!$A:$A,$D283,Doors!$B:$B,$B283,Doors!$C:$C,$C283)*SUMIFS(Velocity!$I:$I,Velocity!$A:$A,$A283,Velocity!$B:$B,$C283)/Assumptions!$B$4*Assumptions!$B$6</f>
        <v>0</v>
      </c>
      <c r="AI283" s="7" t="n">
        <f aca="false">SUMIFS(Doors!AU:AU,Doors!$A:$A,$D283,Doors!$B:$B,$B283,Doors!$C:$C,$C283)*SUMIFS(Velocity!$I:$I,Velocity!$A:$A,$A283,Velocity!$B:$B,$C283)/Assumptions!$B$4*Assumptions!$B$6</f>
        <v>0</v>
      </c>
      <c r="AJ283" s="7" t="n">
        <f aca="false">SUMIFS(Doors!AV:AV,Doors!$A:$A,$D283,Doors!$B:$B,$B283,Doors!$C:$C,$C283)*SUMIFS(Velocity!$I:$I,Velocity!$A:$A,$A283,Velocity!$B:$B,$C283)/Assumptions!$B$4*Assumptions!$B$6</f>
        <v>0</v>
      </c>
      <c r="AK283" s="7" t="n">
        <f aca="false">SUMIFS(Doors!AW:AW,Doors!$A:$A,$D283,Doors!$B:$B,$B283,Doors!$C:$C,$C283)*SUMIFS(Velocity!$I:$I,Velocity!$A:$A,$A283,Velocity!$B:$B,$C283)/Assumptions!$B$4*Assumptions!$B$6</f>
        <v>0</v>
      </c>
      <c r="AL283" s="7" t="n">
        <f aca="false">SUMIFS(Doors!AX:AX,Doors!$A:$A,$D283,Doors!$B:$B,$B283,Doors!$C:$C,$C283)*SUMIFS(Velocity!$I:$I,Velocity!$A:$A,$A283,Velocity!$B:$B,$C283)/Assumptions!$B$4*Assumptions!$B$6</f>
        <v>0</v>
      </c>
      <c r="AM283" s="7" t="n">
        <f aca="false">SUMIFS(Doors!AY:AY,Doors!$A:$A,$D283,Doors!$B:$B,$B283,Doors!$C:$C,$C283)*SUMIFS(Velocity!$I:$I,Velocity!$A:$A,$A283,Velocity!$B:$B,$C283)/Assumptions!$B$4*Assumptions!$B$6</f>
        <v>0</v>
      </c>
      <c r="AN283" s="7" t="n">
        <f aca="false">SUMIFS(Doors!AZ:AZ,Doors!$A:$A,$D283,Doors!$B:$B,$B283,Doors!$C:$C,$C283)*SUMIFS(Velocity!$I:$I,Velocity!$A:$A,$A283,Velocity!$B:$B,$C283)/Assumptions!$B$4*Assumptions!$B$6</f>
        <v>0</v>
      </c>
      <c r="AO283" s="7" t="n">
        <f aca="false">SUMIFS(Doors!BA:BA,Doors!$A:$A,$D283,Doors!$B:$B,$B283,Doors!$C:$C,$C283)*SUMIFS(Velocity!$I:$I,Velocity!$A:$A,$A283,Velocity!$B:$B,$C283)/Assumptions!$B$4*Assumptions!$B$6</f>
        <v>0</v>
      </c>
      <c r="AP283" s="7" t="n">
        <f aca="false">SUMIFS(Doors!BB:BB,Doors!$A:$A,$D283,Doors!$B:$B,$B283,Doors!$C:$C,$C283)*SUMIFS(Velocity!$I:$I,Velocity!$A:$A,$A283,Velocity!$B:$B,$C283)/Assumptions!$B$4*Assumptions!$B$6</f>
        <v>0</v>
      </c>
      <c r="AQ283" s="7" t="n">
        <f aca="false">SUMIFS(Doors!BC:BC,Doors!$A:$A,$D283,Doors!$B:$B,$B283,Doors!$C:$C,$C283)*SUMIFS(Velocity!$I:$I,Velocity!$A:$A,$A283,Velocity!$B:$B,$C283)/Assumptions!$B$4*Assumptions!$B$6</f>
        <v>0</v>
      </c>
      <c r="AR283" s="7" t="n">
        <f aca="false">SUMIFS(Doors!BD:BD,Doors!$A:$A,$D283,Doors!$B:$B,$B283,Doors!$C:$C,$C283)*SUMIFS(Velocity!$I:$I,Velocity!$A:$A,$A283,Velocity!$B:$B,$C283)/Assumptions!$B$4*Assumptions!$B$6</f>
        <v>0</v>
      </c>
      <c r="AS283" s="7" t="n">
        <f aca="false">SUMIFS(Doors!BE:BE,Doors!$A:$A,$D283,Doors!$B:$B,$B283,Doors!$C:$C,$C283)*SUMIFS(Velocity!$I:$I,Velocity!$A:$A,$A283,Velocity!$B:$B,$C283)/Assumptions!$B$4*Assumptions!$B$6</f>
        <v>0</v>
      </c>
      <c r="AT283" s="7" t="n">
        <f aca="false">SUMIFS(Doors!BF:BF,Doors!$A:$A,$D283,Doors!$B:$B,$B283,Doors!$C:$C,$C283)*SUMIFS(Velocity!$I:$I,Velocity!$A:$A,$A283,Velocity!$B:$B,$C283)/Assumptions!$B$4*Assumptions!$B$6</f>
        <v>0</v>
      </c>
      <c r="AU283" s="7" t="n">
        <f aca="false">SUMIFS(Doors!BG:BG,Doors!$A:$A,$D283,Doors!$B:$B,$B283,Doors!$C:$C,$C283)*SUMIFS(Velocity!$I:$I,Velocity!$A:$A,$A283,Velocity!$B:$B,$C283)/Assumptions!$B$4*Assumptions!$B$6</f>
        <v>0</v>
      </c>
      <c r="AV283" s="7" t="n">
        <f aca="false">SUMIFS(Doors!BH:BH,Doors!$A:$A,$D283,Doors!$B:$B,$B283,Doors!$C:$C,$C283)*SUMIFS(Velocity!$I:$I,Velocity!$A:$A,$A283,Velocity!$B:$B,$C283)/Assumptions!$B$4*Assumptions!$B$6</f>
        <v>0</v>
      </c>
      <c r="AW283" s="7" t="n">
        <f aca="false">SUMIFS(Doors!BI:BI,Doors!$A:$A,$D283,Doors!$B:$B,$B283,Doors!$C:$C,$C283)*SUMIFS(Velocity!$I:$I,Velocity!$A:$A,$A283,Velocity!$B:$B,$C283)/Assumptions!$B$4*Assumptions!$B$6</f>
        <v>0</v>
      </c>
      <c r="AX283" s="7" t="n">
        <f aca="false">SUMIFS(Doors!BJ:BJ,Doors!$A:$A,$D283,Doors!$B:$B,$B283,Doors!$C:$C,$C283)*SUMIFS(Velocity!$I:$I,Velocity!$A:$A,$A283,Velocity!$B:$B,$C283)/Assumptions!$B$4*Assumptions!$B$6</f>
        <v>0</v>
      </c>
      <c r="AY283" s="7" t="n">
        <f aca="false">SUMIFS(Doors!BK:BK,Doors!$A:$A,$D283,Doors!$B:$B,$B283,Doors!$C:$C,$C283)*SUMIFS(Velocity!$I:$I,Velocity!$A:$A,$A283,Velocity!$B:$B,$C283)/Assumptions!$B$4*Assumptions!$B$6</f>
        <v>0</v>
      </c>
      <c r="AZ283" s="7" t="n">
        <f aca="false">SUMIFS(Doors!BL:BL,Doors!$A:$A,$D283,Doors!$B:$B,$B283,Doors!$C:$C,$C283)*SUMIFS(Velocity!$I:$I,Velocity!$A:$A,$A283,Velocity!$B:$B,$C283)/Assumptions!$B$4*Assumptions!$B$6</f>
        <v>0</v>
      </c>
      <c r="BA283" s="7" t="n">
        <f aca="false">SUMIFS(Doors!BM:BM,Doors!$A:$A,$D283,Doors!$B:$B,$B283,Doors!$C:$C,$C283)*SUMIFS(Velocity!$I:$I,Velocity!$A:$A,$A283,Velocity!$B:$B,$C283)/Assumptions!$B$4*Assumptions!$B$6</f>
        <v>0</v>
      </c>
      <c r="BB283" s="7" t="n">
        <f aca="false">SUMIFS(Doors!BN:BN,Doors!$A:$A,$D283,Doors!$B:$B,$B283,Doors!$C:$C,$C283)*SUMIFS(Velocity!$I:$I,Velocity!$A:$A,$A283,Velocity!$B:$B,$C283)/Assumptions!$B$4*Assumptions!$B$6</f>
        <v>0</v>
      </c>
      <c r="BC283" s="7" t="n">
        <f aca="false">SUMIFS(Doors!BO:BO,Doors!$A:$A,$D283,Doors!$B:$B,$B283,Doors!$C:$C,$C283)*SUMIFS(Velocity!$I:$I,Velocity!$A:$A,$A283,Velocity!$B:$B,$C283)/Assumptions!$B$4*Assumptions!$B$6</f>
        <v>0</v>
      </c>
      <c r="BD283" s="7" t="n">
        <f aca="false">SUMIFS(Doors!BP:BP,Doors!$A:$A,$D283,Doors!$B:$B,$B283,Doors!$C:$C,$C283)*SUMIFS(Velocity!$I:$I,Velocity!$A:$A,$A283,Velocity!$B:$B,$C283)/Assumptions!$B$4*Assumptions!$B$6</f>
        <v>0</v>
      </c>
    </row>
    <row r="284" customFormat="false" ht="15" hidden="false" customHeight="false" outlineLevel="0" collapsed="false">
      <c r="A284" s="0" t="s">
        <v>111</v>
      </c>
      <c r="B284" s="0" t="s">
        <v>126</v>
      </c>
      <c r="C284" s="0" t="s">
        <v>123</v>
      </c>
      <c r="D284" s="0" t="s">
        <v>236</v>
      </c>
      <c r="E284" s="7" t="n">
        <f aca="false">SUMIFS(Doors!Q:Q,Doors!$A:$A,$D284,Doors!$B:$B,$B284,Doors!$C:$C,$C284)*SUMIFS(Velocity!$I:$I,Velocity!$A:$A,$A284,Velocity!$B:$B,$C284)/Assumptions!$B$4*Assumptions!$B$6</f>
        <v>0</v>
      </c>
      <c r="F284" s="7" t="n">
        <f aca="false">SUMIFS(Doors!R:R,Doors!$A:$A,$D284,Doors!$B:$B,$B284,Doors!$C:$C,$C284)*SUMIFS(Velocity!$I:$I,Velocity!$A:$A,$A284,Velocity!$B:$B,$C284)/Assumptions!$B$4*Assumptions!$B$6</f>
        <v>0</v>
      </c>
      <c r="G284" s="7" t="n">
        <f aca="false">SUMIFS(Doors!S:S,Doors!$A:$A,$D284,Doors!$B:$B,$B284,Doors!$C:$C,$C284)*SUMIFS(Velocity!$I:$I,Velocity!$A:$A,$A284,Velocity!$B:$B,$C284)/Assumptions!$B$4*Assumptions!$B$6</f>
        <v>0</v>
      </c>
      <c r="H284" s="7" t="n">
        <f aca="false">SUMIFS(Doors!T:T,Doors!$A:$A,$D284,Doors!$B:$B,$B284,Doors!$C:$C,$C284)*SUMIFS(Velocity!$I:$I,Velocity!$A:$A,$A284,Velocity!$B:$B,$C284)/Assumptions!$B$4*Assumptions!$B$6</f>
        <v>0</v>
      </c>
      <c r="I284" s="7" t="n">
        <f aca="false">SUMIFS(Doors!U:U,Doors!$A:$A,$D284,Doors!$B:$B,$B284,Doors!$C:$C,$C284)*SUMIFS(Velocity!$I:$I,Velocity!$A:$A,$A284,Velocity!$B:$B,$C284)/Assumptions!$B$4*Assumptions!$B$6</f>
        <v>0</v>
      </c>
      <c r="J284" s="7" t="n">
        <f aca="false">SUMIFS(Doors!V:V,Doors!$A:$A,$D284,Doors!$B:$B,$B284,Doors!$C:$C,$C284)*SUMIFS(Velocity!$I:$I,Velocity!$A:$A,$A284,Velocity!$B:$B,$C284)/Assumptions!$B$4*Assumptions!$B$6</f>
        <v>0</v>
      </c>
      <c r="K284" s="7" t="n">
        <f aca="false">SUMIFS(Doors!W:W,Doors!$A:$A,$D284,Doors!$B:$B,$B284,Doors!$C:$C,$C284)*SUMIFS(Velocity!$I:$I,Velocity!$A:$A,$A284,Velocity!$B:$B,$C284)/Assumptions!$B$4*Assumptions!$B$6</f>
        <v>0</v>
      </c>
      <c r="L284" s="7" t="n">
        <f aca="false">SUMIFS(Doors!X:X,Doors!$A:$A,$D284,Doors!$B:$B,$B284,Doors!$C:$C,$C284)*SUMIFS(Velocity!$I:$I,Velocity!$A:$A,$A284,Velocity!$B:$B,$C284)/Assumptions!$B$4*Assumptions!$B$6</f>
        <v>0</v>
      </c>
      <c r="M284" s="7" t="n">
        <f aca="false">SUMIFS(Doors!Y:Y,Doors!$A:$A,$D284,Doors!$B:$B,$B284,Doors!$C:$C,$C284)*SUMIFS(Velocity!$I:$I,Velocity!$A:$A,$A284,Velocity!$B:$B,$C284)/Assumptions!$B$4*Assumptions!$B$6</f>
        <v>0</v>
      </c>
      <c r="N284" s="7" t="n">
        <f aca="false">SUMIFS(Doors!Z:Z,Doors!$A:$A,$D284,Doors!$B:$B,$B284,Doors!$C:$C,$C284)*SUMIFS(Velocity!$I:$I,Velocity!$A:$A,$A284,Velocity!$B:$B,$C284)/Assumptions!$B$4*Assumptions!$B$6</f>
        <v>0</v>
      </c>
      <c r="O284" s="7" t="n">
        <f aca="false">SUMIFS(Doors!AA:AA,Doors!$A:$A,$D284,Doors!$B:$B,$B284,Doors!$C:$C,$C284)*SUMIFS(Velocity!$I:$I,Velocity!$A:$A,$A284,Velocity!$B:$B,$C284)/Assumptions!$B$4*Assumptions!$B$6</f>
        <v>0</v>
      </c>
      <c r="P284" s="7" t="n">
        <f aca="false">SUMIFS(Doors!AB:AB,Doors!$A:$A,$D284,Doors!$B:$B,$B284,Doors!$C:$C,$C284)*SUMIFS(Velocity!$I:$I,Velocity!$A:$A,$A284,Velocity!$B:$B,$C284)/Assumptions!$B$4*Assumptions!$B$6</f>
        <v>0</v>
      </c>
      <c r="Q284" s="7" t="n">
        <f aca="false">SUMIFS(Doors!AC:AC,Doors!$A:$A,$D284,Doors!$B:$B,$B284,Doors!$C:$C,$C284)*SUMIFS(Velocity!$I:$I,Velocity!$A:$A,$A284,Velocity!$B:$B,$C284)/Assumptions!$B$4*Assumptions!$B$6</f>
        <v>0</v>
      </c>
      <c r="R284" s="7" t="n">
        <f aca="false">SUMIFS(Doors!AD:AD,Doors!$A:$A,$D284,Doors!$B:$B,$B284,Doors!$C:$C,$C284)*SUMIFS(Velocity!$I:$I,Velocity!$A:$A,$A284,Velocity!$B:$B,$C284)/Assumptions!$B$4*Assumptions!$B$6</f>
        <v>0</v>
      </c>
      <c r="S284" s="7" t="n">
        <f aca="false">SUMIFS(Doors!AE:AE,Doors!$A:$A,$D284,Doors!$B:$B,$B284,Doors!$C:$C,$C284)*SUMIFS(Velocity!$I:$I,Velocity!$A:$A,$A284,Velocity!$B:$B,$C284)/Assumptions!$B$4*Assumptions!$B$6</f>
        <v>0</v>
      </c>
      <c r="T284" s="7" t="n">
        <f aca="false">SUMIFS(Doors!AF:AF,Doors!$A:$A,$D284,Doors!$B:$B,$B284,Doors!$C:$C,$C284)*SUMIFS(Velocity!$I:$I,Velocity!$A:$A,$A284,Velocity!$B:$B,$C284)/Assumptions!$B$4*Assumptions!$B$6</f>
        <v>0</v>
      </c>
      <c r="U284" s="7" t="n">
        <f aca="false">SUMIFS(Doors!AG:AG,Doors!$A:$A,$D284,Doors!$B:$B,$B284,Doors!$C:$C,$C284)*SUMIFS(Velocity!$I:$I,Velocity!$A:$A,$A284,Velocity!$B:$B,$C284)/Assumptions!$B$4*Assumptions!$B$6</f>
        <v>0</v>
      </c>
      <c r="V284" s="7" t="n">
        <f aca="false">SUMIFS(Doors!AH:AH,Doors!$A:$A,$D284,Doors!$B:$B,$B284,Doors!$C:$C,$C284)*SUMIFS(Velocity!$I:$I,Velocity!$A:$A,$A284,Velocity!$B:$B,$C284)/Assumptions!$B$4*Assumptions!$B$6</f>
        <v>0</v>
      </c>
      <c r="W284" s="7" t="n">
        <f aca="false">SUMIFS(Doors!AI:AI,Doors!$A:$A,$D284,Doors!$B:$B,$B284,Doors!$C:$C,$C284)*SUMIFS(Velocity!$I:$I,Velocity!$A:$A,$A284,Velocity!$B:$B,$C284)/Assumptions!$B$4*Assumptions!$B$6</f>
        <v>0</v>
      </c>
      <c r="X284" s="7" t="n">
        <f aca="false">SUMIFS(Doors!AJ:AJ,Doors!$A:$A,$D284,Doors!$B:$B,$B284,Doors!$C:$C,$C284)*SUMIFS(Velocity!$I:$I,Velocity!$A:$A,$A284,Velocity!$B:$B,$C284)/Assumptions!$B$4*Assumptions!$B$6</f>
        <v>0</v>
      </c>
      <c r="Y284" s="7" t="n">
        <f aca="false">SUMIFS(Doors!AK:AK,Doors!$A:$A,$D284,Doors!$B:$B,$B284,Doors!$C:$C,$C284)*SUMIFS(Velocity!$I:$I,Velocity!$A:$A,$A284,Velocity!$B:$B,$C284)/Assumptions!$B$4*Assumptions!$B$6</f>
        <v>0</v>
      </c>
      <c r="Z284" s="7" t="n">
        <f aca="false">SUMIFS(Doors!AL:AL,Doors!$A:$A,$D284,Doors!$B:$B,$B284,Doors!$C:$C,$C284)*SUMIFS(Velocity!$I:$I,Velocity!$A:$A,$A284,Velocity!$B:$B,$C284)/Assumptions!$B$4*Assumptions!$B$6</f>
        <v>0</v>
      </c>
      <c r="AA284" s="7" t="n">
        <f aca="false">SUMIFS(Doors!AM:AM,Doors!$A:$A,$D284,Doors!$B:$B,$B284,Doors!$C:$C,$C284)*SUMIFS(Velocity!$I:$I,Velocity!$A:$A,$A284,Velocity!$B:$B,$C284)/Assumptions!$B$4*Assumptions!$B$6</f>
        <v>0</v>
      </c>
      <c r="AB284" s="7" t="n">
        <f aca="false">SUMIFS(Doors!AN:AN,Doors!$A:$A,$D284,Doors!$B:$B,$B284,Doors!$C:$C,$C284)*SUMIFS(Velocity!$I:$I,Velocity!$A:$A,$A284,Velocity!$B:$B,$C284)/Assumptions!$B$4*Assumptions!$B$6</f>
        <v>0</v>
      </c>
      <c r="AC284" s="7" t="n">
        <f aca="false">SUMIFS(Doors!AO:AO,Doors!$A:$A,$D284,Doors!$B:$B,$B284,Doors!$C:$C,$C284)*SUMIFS(Velocity!$I:$I,Velocity!$A:$A,$A284,Velocity!$B:$B,$C284)/Assumptions!$B$4*Assumptions!$B$6</f>
        <v>0</v>
      </c>
      <c r="AD284" s="7" t="n">
        <f aca="false">SUMIFS(Doors!AP:AP,Doors!$A:$A,$D284,Doors!$B:$B,$B284,Doors!$C:$C,$C284)*SUMIFS(Velocity!$I:$I,Velocity!$A:$A,$A284,Velocity!$B:$B,$C284)/Assumptions!$B$4*Assumptions!$B$6</f>
        <v>0</v>
      </c>
      <c r="AE284" s="7" t="n">
        <f aca="false">SUMIFS(Doors!AQ:AQ,Doors!$A:$A,$D284,Doors!$B:$B,$B284,Doors!$C:$C,$C284)*SUMIFS(Velocity!$I:$I,Velocity!$A:$A,$A284,Velocity!$B:$B,$C284)/Assumptions!$B$4*Assumptions!$B$6</f>
        <v>0</v>
      </c>
      <c r="AF284" s="7" t="n">
        <f aca="false">SUMIFS(Doors!AR:AR,Doors!$A:$A,$D284,Doors!$B:$B,$B284,Doors!$C:$C,$C284)*SUMIFS(Velocity!$I:$I,Velocity!$A:$A,$A284,Velocity!$B:$B,$C284)/Assumptions!$B$4*Assumptions!$B$6</f>
        <v>0</v>
      </c>
      <c r="AG284" s="7" t="n">
        <f aca="false">SUMIFS(Doors!AS:AS,Doors!$A:$A,$D284,Doors!$B:$B,$B284,Doors!$C:$C,$C284)*SUMIFS(Velocity!$I:$I,Velocity!$A:$A,$A284,Velocity!$B:$B,$C284)/Assumptions!$B$4*Assumptions!$B$6</f>
        <v>0</v>
      </c>
      <c r="AH284" s="7" t="n">
        <f aca="false">SUMIFS(Doors!AT:AT,Doors!$A:$A,$D284,Doors!$B:$B,$B284,Doors!$C:$C,$C284)*SUMIFS(Velocity!$I:$I,Velocity!$A:$A,$A284,Velocity!$B:$B,$C284)/Assumptions!$B$4*Assumptions!$B$6</f>
        <v>0</v>
      </c>
      <c r="AI284" s="7" t="n">
        <f aca="false">SUMIFS(Doors!AU:AU,Doors!$A:$A,$D284,Doors!$B:$B,$B284,Doors!$C:$C,$C284)*SUMIFS(Velocity!$I:$I,Velocity!$A:$A,$A284,Velocity!$B:$B,$C284)/Assumptions!$B$4*Assumptions!$B$6</f>
        <v>0</v>
      </c>
      <c r="AJ284" s="7" t="n">
        <f aca="false">SUMIFS(Doors!AV:AV,Doors!$A:$A,$D284,Doors!$B:$B,$B284,Doors!$C:$C,$C284)*SUMIFS(Velocity!$I:$I,Velocity!$A:$A,$A284,Velocity!$B:$B,$C284)/Assumptions!$B$4*Assumptions!$B$6</f>
        <v>0</v>
      </c>
      <c r="AK284" s="7" t="n">
        <f aca="false">SUMIFS(Doors!AW:AW,Doors!$A:$A,$D284,Doors!$B:$B,$B284,Doors!$C:$C,$C284)*SUMIFS(Velocity!$I:$I,Velocity!$A:$A,$A284,Velocity!$B:$B,$C284)/Assumptions!$B$4*Assumptions!$B$6</f>
        <v>0</v>
      </c>
      <c r="AL284" s="7" t="n">
        <f aca="false">SUMIFS(Doors!AX:AX,Doors!$A:$A,$D284,Doors!$B:$B,$B284,Doors!$C:$C,$C284)*SUMIFS(Velocity!$I:$I,Velocity!$A:$A,$A284,Velocity!$B:$B,$C284)/Assumptions!$B$4*Assumptions!$B$6</f>
        <v>0</v>
      </c>
      <c r="AM284" s="7" t="n">
        <f aca="false">SUMIFS(Doors!AY:AY,Doors!$A:$A,$D284,Doors!$B:$B,$B284,Doors!$C:$C,$C284)*SUMIFS(Velocity!$I:$I,Velocity!$A:$A,$A284,Velocity!$B:$B,$C284)/Assumptions!$B$4*Assumptions!$B$6</f>
        <v>0</v>
      </c>
      <c r="AN284" s="7" t="n">
        <f aca="false">SUMIFS(Doors!AZ:AZ,Doors!$A:$A,$D284,Doors!$B:$B,$B284,Doors!$C:$C,$C284)*SUMIFS(Velocity!$I:$I,Velocity!$A:$A,$A284,Velocity!$B:$B,$C284)/Assumptions!$B$4*Assumptions!$B$6</f>
        <v>0</v>
      </c>
      <c r="AO284" s="7" t="n">
        <f aca="false">SUMIFS(Doors!BA:BA,Doors!$A:$A,$D284,Doors!$B:$B,$B284,Doors!$C:$C,$C284)*SUMIFS(Velocity!$I:$I,Velocity!$A:$A,$A284,Velocity!$B:$B,$C284)/Assumptions!$B$4*Assumptions!$B$6</f>
        <v>0</v>
      </c>
      <c r="AP284" s="7" t="n">
        <f aca="false">SUMIFS(Doors!BB:BB,Doors!$A:$A,$D284,Doors!$B:$B,$B284,Doors!$C:$C,$C284)*SUMIFS(Velocity!$I:$I,Velocity!$A:$A,$A284,Velocity!$B:$B,$C284)/Assumptions!$B$4*Assumptions!$B$6</f>
        <v>0</v>
      </c>
      <c r="AQ284" s="7" t="n">
        <f aca="false">SUMIFS(Doors!BC:BC,Doors!$A:$A,$D284,Doors!$B:$B,$B284,Doors!$C:$C,$C284)*SUMIFS(Velocity!$I:$I,Velocity!$A:$A,$A284,Velocity!$B:$B,$C284)/Assumptions!$B$4*Assumptions!$B$6</f>
        <v>0</v>
      </c>
      <c r="AR284" s="7" t="n">
        <f aca="false">SUMIFS(Doors!BD:BD,Doors!$A:$A,$D284,Doors!$B:$B,$B284,Doors!$C:$C,$C284)*SUMIFS(Velocity!$I:$I,Velocity!$A:$A,$A284,Velocity!$B:$B,$C284)/Assumptions!$B$4*Assumptions!$B$6</f>
        <v>0</v>
      </c>
      <c r="AS284" s="7" t="n">
        <f aca="false">SUMIFS(Doors!BE:BE,Doors!$A:$A,$D284,Doors!$B:$B,$B284,Doors!$C:$C,$C284)*SUMIFS(Velocity!$I:$I,Velocity!$A:$A,$A284,Velocity!$B:$B,$C284)/Assumptions!$B$4*Assumptions!$B$6</f>
        <v>0</v>
      </c>
      <c r="AT284" s="7" t="n">
        <f aca="false">SUMIFS(Doors!BF:BF,Doors!$A:$A,$D284,Doors!$B:$B,$B284,Doors!$C:$C,$C284)*SUMIFS(Velocity!$I:$I,Velocity!$A:$A,$A284,Velocity!$B:$B,$C284)/Assumptions!$B$4*Assumptions!$B$6</f>
        <v>0</v>
      </c>
      <c r="AU284" s="7" t="n">
        <f aca="false">SUMIFS(Doors!BG:BG,Doors!$A:$A,$D284,Doors!$B:$B,$B284,Doors!$C:$C,$C284)*SUMIFS(Velocity!$I:$I,Velocity!$A:$A,$A284,Velocity!$B:$B,$C284)/Assumptions!$B$4*Assumptions!$B$6</f>
        <v>0</v>
      </c>
      <c r="AV284" s="7" t="n">
        <f aca="false">SUMIFS(Doors!BH:BH,Doors!$A:$A,$D284,Doors!$B:$B,$B284,Doors!$C:$C,$C284)*SUMIFS(Velocity!$I:$I,Velocity!$A:$A,$A284,Velocity!$B:$B,$C284)/Assumptions!$B$4*Assumptions!$B$6</f>
        <v>0</v>
      </c>
      <c r="AW284" s="7" t="n">
        <f aca="false">SUMIFS(Doors!BI:BI,Doors!$A:$A,$D284,Doors!$B:$B,$B284,Doors!$C:$C,$C284)*SUMIFS(Velocity!$I:$I,Velocity!$A:$A,$A284,Velocity!$B:$B,$C284)/Assumptions!$B$4*Assumptions!$B$6</f>
        <v>0</v>
      </c>
      <c r="AX284" s="7" t="n">
        <f aca="false">SUMIFS(Doors!BJ:BJ,Doors!$A:$A,$D284,Doors!$B:$B,$B284,Doors!$C:$C,$C284)*SUMIFS(Velocity!$I:$I,Velocity!$A:$A,$A284,Velocity!$B:$B,$C284)/Assumptions!$B$4*Assumptions!$B$6</f>
        <v>0</v>
      </c>
      <c r="AY284" s="7" t="n">
        <f aca="false">SUMIFS(Doors!BK:BK,Doors!$A:$A,$D284,Doors!$B:$B,$B284,Doors!$C:$C,$C284)*SUMIFS(Velocity!$I:$I,Velocity!$A:$A,$A284,Velocity!$B:$B,$C284)/Assumptions!$B$4*Assumptions!$B$6</f>
        <v>0</v>
      </c>
      <c r="AZ284" s="7" t="n">
        <f aca="false">SUMIFS(Doors!BL:BL,Doors!$A:$A,$D284,Doors!$B:$B,$B284,Doors!$C:$C,$C284)*SUMIFS(Velocity!$I:$I,Velocity!$A:$A,$A284,Velocity!$B:$B,$C284)/Assumptions!$B$4*Assumptions!$B$6</f>
        <v>0</v>
      </c>
      <c r="BA284" s="7" t="n">
        <f aca="false">SUMIFS(Doors!BM:BM,Doors!$A:$A,$D284,Doors!$B:$B,$B284,Doors!$C:$C,$C284)*SUMIFS(Velocity!$I:$I,Velocity!$A:$A,$A284,Velocity!$B:$B,$C284)/Assumptions!$B$4*Assumptions!$B$6</f>
        <v>0</v>
      </c>
      <c r="BB284" s="7" t="n">
        <f aca="false">SUMIFS(Doors!BN:BN,Doors!$A:$A,$D284,Doors!$B:$B,$B284,Doors!$C:$C,$C284)*SUMIFS(Velocity!$I:$I,Velocity!$A:$A,$A284,Velocity!$B:$B,$C284)/Assumptions!$B$4*Assumptions!$B$6</f>
        <v>0</v>
      </c>
      <c r="BC284" s="7" t="n">
        <f aca="false">SUMIFS(Doors!BO:BO,Doors!$A:$A,$D284,Doors!$B:$B,$B284,Doors!$C:$C,$C284)*SUMIFS(Velocity!$I:$I,Velocity!$A:$A,$A284,Velocity!$B:$B,$C284)/Assumptions!$B$4*Assumptions!$B$6</f>
        <v>0</v>
      </c>
      <c r="BD284" s="7" t="n">
        <f aca="false">SUMIFS(Doors!BP:BP,Doors!$A:$A,$D284,Doors!$B:$B,$B284,Doors!$C:$C,$C284)*SUMIFS(Velocity!$I:$I,Velocity!$A:$A,$A284,Velocity!$B:$B,$C284)/Assumptions!$B$4*Assumptions!$B$6</f>
        <v>0</v>
      </c>
    </row>
    <row r="285" customFormat="false" ht="15" hidden="false" customHeight="false" outlineLevel="0" collapsed="false">
      <c r="A285" s="0" t="s">
        <v>111</v>
      </c>
      <c r="B285" s="0" t="s">
        <v>127</v>
      </c>
      <c r="C285" s="0" t="s">
        <v>115</v>
      </c>
      <c r="D285" s="0" t="s">
        <v>236</v>
      </c>
      <c r="E285" s="7" t="n">
        <f aca="false">SUMIFS(Doors!Q:Q,Doors!$A:$A,$D285,Doors!$B:$B,$B285,Doors!$C:$C,$C285)*SUMIFS(Velocity!$I:$I,Velocity!$A:$A,$A285,Velocity!$B:$B,$C285)/Assumptions!$B$4*Assumptions!$B$6</f>
        <v>0</v>
      </c>
      <c r="F285" s="7" t="n">
        <f aca="false">SUMIFS(Doors!R:R,Doors!$A:$A,$D285,Doors!$B:$B,$B285,Doors!$C:$C,$C285)*SUMIFS(Velocity!$I:$I,Velocity!$A:$A,$A285,Velocity!$B:$B,$C285)/Assumptions!$B$4*Assumptions!$B$6</f>
        <v>0</v>
      </c>
      <c r="G285" s="7" t="n">
        <f aca="false">SUMIFS(Doors!S:S,Doors!$A:$A,$D285,Doors!$B:$B,$B285,Doors!$C:$C,$C285)*SUMIFS(Velocity!$I:$I,Velocity!$A:$A,$A285,Velocity!$B:$B,$C285)/Assumptions!$B$4*Assumptions!$B$6</f>
        <v>0</v>
      </c>
      <c r="H285" s="7" t="n">
        <f aca="false">SUMIFS(Doors!T:T,Doors!$A:$A,$D285,Doors!$B:$B,$B285,Doors!$C:$C,$C285)*SUMIFS(Velocity!$I:$I,Velocity!$A:$A,$A285,Velocity!$B:$B,$C285)/Assumptions!$B$4*Assumptions!$B$6</f>
        <v>0</v>
      </c>
      <c r="I285" s="7" t="n">
        <f aca="false">SUMIFS(Doors!U:U,Doors!$A:$A,$D285,Doors!$B:$B,$B285,Doors!$C:$C,$C285)*SUMIFS(Velocity!$I:$I,Velocity!$A:$A,$A285,Velocity!$B:$B,$C285)/Assumptions!$B$4*Assumptions!$B$6</f>
        <v>0</v>
      </c>
      <c r="J285" s="7" t="n">
        <f aca="false">SUMIFS(Doors!V:V,Doors!$A:$A,$D285,Doors!$B:$B,$B285,Doors!$C:$C,$C285)*SUMIFS(Velocity!$I:$I,Velocity!$A:$A,$A285,Velocity!$B:$B,$C285)/Assumptions!$B$4*Assumptions!$B$6</f>
        <v>0</v>
      </c>
      <c r="K285" s="7" t="n">
        <f aca="false">SUMIFS(Doors!W:W,Doors!$A:$A,$D285,Doors!$B:$B,$B285,Doors!$C:$C,$C285)*SUMIFS(Velocity!$I:$I,Velocity!$A:$A,$A285,Velocity!$B:$B,$C285)/Assumptions!$B$4*Assumptions!$B$6</f>
        <v>0</v>
      </c>
      <c r="L285" s="7" t="n">
        <f aca="false">SUMIFS(Doors!X:X,Doors!$A:$A,$D285,Doors!$B:$B,$B285,Doors!$C:$C,$C285)*SUMIFS(Velocity!$I:$I,Velocity!$A:$A,$A285,Velocity!$B:$B,$C285)/Assumptions!$B$4*Assumptions!$B$6</f>
        <v>0</v>
      </c>
      <c r="M285" s="7" t="n">
        <f aca="false">SUMIFS(Doors!Y:Y,Doors!$A:$A,$D285,Doors!$B:$B,$B285,Doors!$C:$C,$C285)*SUMIFS(Velocity!$I:$I,Velocity!$A:$A,$A285,Velocity!$B:$B,$C285)/Assumptions!$B$4*Assumptions!$B$6</f>
        <v>0</v>
      </c>
      <c r="N285" s="7" t="n">
        <f aca="false">SUMIFS(Doors!Z:Z,Doors!$A:$A,$D285,Doors!$B:$B,$B285,Doors!$C:$C,$C285)*SUMIFS(Velocity!$I:$I,Velocity!$A:$A,$A285,Velocity!$B:$B,$C285)/Assumptions!$B$4*Assumptions!$B$6</f>
        <v>0</v>
      </c>
      <c r="O285" s="7" t="n">
        <f aca="false">SUMIFS(Doors!AA:AA,Doors!$A:$A,$D285,Doors!$B:$B,$B285,Doors!$C:$C,$C285)*SUMIFS(Velocity!$I:$I,Velocity!$A:$A,$A285,Velocity!$B:$B,$C285)/Assumptions!$B$4*Assumptions!$B$6</f>
        <v>0</v>
      </c>
      <c r="P285" s="7" t="n">
        <f aca="false">SUMIFS(Doors!AB:AB,Doors!$A:$A,$D285,Doors!$B:$B,$B285,Doors!$C:$C,$C285)*SUMIFS(Velocity!$I:$I,Velocity!$A:$A,$A285,Velocity!$B:$B,$C285)/Assumptions!$B$4*Assumptions!$B$6</f>
        <v>0</v>
      </c>
      <c r="Q285" s="7" t="n">
        <f aca="false">SUMIFS(Doors!AC:AC,Doors!$A:$A,$D285,Doors!$B:$B,$B285,Doors!$C:$C,$C285)*SUMIFS(Velocity!$I:$I,Velocity!$A:$A,$A285,Velocity!$B:$B,$C285)/Assumptions!$B$4*Assumptions!$B$6</f>
        <v>0</v>
      </c>
      <c r="R285" s="7" t="n">
        <f aca="false">SUMIFS(Doors!AD:AD,Doors!$A:$A,$D285,Doors!$B:$B,$B285,Doors!$C:$C,$C285)*SUMIFS(Velocity!$I:$I,Velocity!$A:$A,$A285,Velocity!$B:$B,$C285)/Assumptions!$B$4*Assumptions!$B$6</f>
        <v>0</v>
      </c>
      <c r="S285" s="7" t="n">
        <f aca="false">SUMIFS(Doors!AE:AE,Doors!$A:$A,$D285,Doors!$B:$B,$B285,Doors!$C:$C,$C285)*SUMIFS(Velocity!$I:$I,Velocity!$A:$A,$A285,Velocity!$B:$B,$C285)/Assumptions!$B$4*Assumptions!$B$6</f>
        <v>0</v>
      </c>
      <c r="T285" s="7" t="n">
        <f aca="false">SUMIFS(Doors!AF:AF,Doors!$A:$A,$D285,Doors!$B:$B,$B285,Doors!$C:$C,$C285)*SUMIFS(Velocity!$I:$I,Velocity!$A:$A,$A285,Velocity!$B:$B,$C285)/Assumptions!$B$4*Assumptions!$B$6</f>
        <v>0</v>
      </c>
      <c r="U285" s="7" t="n">
        <f aca="false">SUMIFS(Doors!AG:AG,Doors!$A:$A,$D285,Doors!$B:$B,$B285,Doors!$C:$C,$C285)*SUMIFS(Velocity!$I:$I,Velocity!$A:$A,$A285,Velocity!$B:$B,$C285)/Assumptions!$B$4*Assumptions!$B$6</f>
        <v>0</v>
      </c>
      <c r="V285" s="7" t="n">
        <f aca="false">SUMIFS(Doors!AH:AH,Doors!$A:$A,$D285,Doors!$B:$B,$B285,Doors!$C:$C,$C285)*SUMIFS(Velocity!$I:$I,Velocity!$A:$A,$A285,Velocity!$B:$B,$C285)/Assumptions!$B$4*Assumptions!$B$6</f>
        <v>0</v>
      </c>
      <c r="W285" s="7" t="n">
        <f aca="false">SUMIFS(Doors!AI:AI,Doors!$A:$A,$D285,Doors!$B:$B,$B285,Doors!$C:$C,$C285)*SUMIFS(Velocity!$I:$I,Velocity!$A:$A,$A285,Velocity!$B:$B,$C285)/Assumptions!$B$4*Assumptions!$B$6</f>
        <v>0</v>
      </c>
      <c r="X285" s="7" t="n">
        <f aca="false">SUMIFS(Doors!AJ:AJ,Doors!$A:$A,$D285,Doors!$B:$B,$B285,Doors!$C:$C,$C285)*SUMIFS(Velocity!$I:$I,Velocity!$A:$A,$A285,Velocity!$B:$B,$C285)/Assumptions!$B$4*Assumptions!$B$6</f>
        <v>0</v>
      </c>
      <c r="Y285" s="7" t="n">
        <f aca="false">SUMIFS(Doors!AK:AK,Doors!$A:$A,$D285,Doors!$B:$B,$B285,Doors!$C:$C,$C285)*SUMIFS(Velocity!$I:$I,Velocity!$A:$A,$A285,Velocity!$B:$B,$C285)/Assumptions!$B$4*Assumptions!$B$6</f>
        <v>0</v>
      </c>
      <c r="Z285" s="7" t="n">
        <f aca="false">SUMIFS(Doors!AL:AL,Doors!$A:$A,$D285,Doors!$B:$B,$B285,Doors!$C:$C,$C285)*SUMIFS(Velocity!$I:$I,Velocity!$A:$A,$A285,Velocity!$B:$B,$C285)/Assumptions!$B$4*Assumptions!$B$6</f>
        <v>0</v>
      </c>
      <c r="AA285" s="7" t="n">
        <f aca="false">SUMIFS(Doors!AM:AM,Doors!$A:$A,$D285,Doors!$B:$B,$B285,Doors!$C:$C,$C285)*SUMIFS(Velocity!$I:$I,Velocity!$A:$A,$A285,Velocity!$B:$B,$C285)/Assumptions!$B$4*Assumptions!$B$6</f>
        <v>0</v>
      </c>
      <c r="AB285" s="7" t="n">
        <f aca="false">SUMIFS(Doors!AN:AN,Doors!$A:$A,$D285,Doors!$B:$B,$B285,Doors!$C:$C,$C285)*SUMIFS(Velocity!$I:$I,Velocity!$A:$A,$A285,Velocity!$B:$B,$C285)/Assumptions!$B$4*Assumptions!$B$6</f>
        <v>0</v>
      </c>
      <c r="AC285" s="7" t="n">
        <f aca="false">SUMIFS(Doors!AO:AO,Doors!$A:$A,$D285,Doors!$B:$B,$B285,Doors!$C:$C,$C285)*SUMIFS(Velocity!$I:$I,Velocity!$A:$A,$A285,Velocity!$B:$B,$C285)/Assumptions!$B$4*Assumptions!$B$6</f>
        <v>0</v>
      </c>
      <c r="AD285" s="7" t="n">
        <f aca="false">SUMIFS(Doors!AP:AP,Doors!$A:$A,$D285,Doors!$B:$B,$B285,Doors!$C:$C,$C285)*SUMIFS(Velocity!$I:$I,Velocity!$A:$A,$A285,Velocity!$B:$B,$C285)/Assumptions!$B$4*Assumptions!$B$6</f>
        <v>0</v>
      </c>
      <c r="AE285" s="7" t="n">
        <f aca="false">SUMIFS(Doors!AQ:AQ,Doors!$A:$A,$D285,Doors!$B:$B,$B285,Doors!$C:$C,$C285)*SUMIFS(Velocity!$I:$I,Velocity!$A:$A,$A285,Velocity!$B:$B,$C285)/Assumptions!$B$4*Assumptions!$B$6</f>
        <v>0</v>
      </c>
      <c r="AF285" s="7" t="n">
        <f aca="false">SUMIFS(Doors!AR:AR,Doors!$A:$A,$D285,Doors!$B:$B,$B285,Doors!$C:$C,$C285)*SUMIFS(Velocity!$I:$I,Velocity!$A:$A,$A285,Velocity!$B:$B,$C285)/Assumptions!$B$4*Assumptions!$B$6</f>
        <v>0</v>
      </c>
      <c r="AG285" s="7" t="n">
        <f aca="false">SUMIFS(Doors!AS:AS,Doors!$A:$A,$D285,Doors!$B:$B,$B285,Doors!$C:$C,$C285)*SUMIFS(Velocity!$I:$I,Velocity!$A:$A,$A285,Velocity!$B:$B,$C285)/Assumptions!$B$4*Assumptions!$B$6</f>
        <v>0</v>
      </c>
      <c r="AH285" s="7" t="n">
        <f aca="false">SUMIFS(Doors!AT:AT,Doors!$A:$A,$D285,Doors!$B:$B,$B285,Doors!$C:$C,$C285)*SUMIFS(Velocity!$I:$I,Velocity!$A:$A,$A285,Velocity!$B:$B,$C285)/Assumptions!$B$4*Assumptions!$B$6</f>
        <v>0</v>
      </c>
      <c r="AI285" s="7" t="n">
        <f aca="false">SUMIFS(Doors!AU:AU,Doors!$A:$A,$D285,Doors!$B:$B,$B285,Doors!$C:$C,$C285)*SUMIFS(Velocity!$I:$I,Velocity!$A:$A,$A285,Velocity!$B:$B,$C285)/Assumptions!$B$4*Assumptions!$B$6</f>
        <v>0</v>
      </c>
      <c r="AJ285" s="7" t="n">
        <f aca="false">SUMIFS(Doors!AV:AV,Doors!$A:$A,$D285,Doors!$B:$B,$B285,Doors!$C:$C,$C285)*SUMIFS(Velocity!$I:$I,Velocity!$A:$A,$A285,Velocity!$B:$B,$C285)/Assumptions!$B$4*Assumptions!$B$6</f>
        <v>0</v>
      </c>
      <c r="AK285" s="7" t="n">
        <f aca="false">SUMIFS(Doors!AW:AW,Doors!$A:$A,$D285,Doors!$B:$B,$B285,Doors!$C:$C,$C285)*SUMIFS(Velocity!$I:$I,Velocity!$A:$A,$A285,Velocity!$B:$B,$C285)/Assumptions!$B$4*Assumptions!$B$6</f>
        <v>0</v>
      </c>
      <c r="AL285" s="7" t="n">
        <f aca="false">SUMIFS(Doors!AX:AX,Doors!$A:$A,$D285,Doors!$B:$B,$B285,Doors!$C:$C,$C285)*SUMIFS(Velocity!$I:$I,Velocity!$A:$A,$A285,Velocity!$B:$B,$C285)/Assumptions!$B$4*Assumptions!$B$6</f>
        <v>0</v>
      </c>
      <c r="AM285" s="7" t="n">
        <f aca="false">SUMIFS(Doors!AY:AY,Doors!$A:$A,$D285,Doors!$B:$B,$B285,Doors!$C:$C,$C285)*SUMIFS(Velocity!$I:$I,Velocity!$A:$A,$A285,Velocity!$B:$B,$C285)/Assumptions!$B$4*Assumptions!$B$6</f>
        <v>0</v>
      </c>
      <c r="AN285" s="7" t="n">
        <f aca="false">SUMIFS(Doors!AZ:AZ,Doors!$A:$A,$D285,Doors!$B:$B,$B285,Doors!$C:$C,$C285)*SUMIFS(Velocity!$I:$I,Velocity!$A:$A,$A285,Velocity!$B:$B,$C285)/Assumptions!$B$4*Assumptions!$B$6</f>
        <v>0</v>
      </c>
      <c r="AO285" s="7" t="n">
        <f aca="false">SUMIFS(Doors!BA:BA,Doors!$A:$A,$D285,Doors!$B:$B,$B285,Doors!$C:$C,$C285)*SUMIFS(Velocity!$I:$I,Velocity!$A:$A,$A285,Velocity!$B:$B,$C285)/Assumptions!$B$4*Assumptions!$B$6</f>
        <v>0</v>
      </c>
      <c r="AP285" s="7" t="n">
        <f aca="false">SUMIFS(Doors!BB:BB,Doors!$A:$A,$D285,Doors!$B:$B,$B285,Doors!$C:$C,$C285)*SUMIFS(Velocity!$I:$I,Velocity!$A:$A,$A285,Velocity!$B:$B,$C285)/Assumptions!$B$4*Assumptions!$B$6</f>
        <v>0</v>
      </c>
      <c r="AQ285" s="7" t="n">
        <f aca="false">SUMIFS(Doors!BC:BC,Doors!$A:$A,$D285,Doors!$B:$B,$B285,Doors!$C:$C,$C285)*SUMIFS(Velocity!$I:$I,Velocity!$A:$A,$A285,Velocity!$B:$B,$C285)/Assumptions!$B$4*Assumptions!$B$6</f>
        <v>0</v>
      </c>
      <c r="AR285" s="7" t="n">
        <f aca="false">SUMIFS(Doors!BD:BD,Doors!$A:$A,$D285,Doors!$B:$B,$B285,Doors!$C:$C,$C285)*SUMIFS(Velocity!$I:$I,Velocity!$A:$A,$A285,Velocity!$B:$B,$C285)/Assumptions!$B$4*Assumptions!$B$6</f>
        <v>0</v>
      </c>
      <c r="AS285" s="7" t="n">
        <f aca="false">SUMIFS(Doors!BE:BE,Doors!$A:$A,$D285,Doors!$B:$B,$B285,Doors!$C:$C,$C285)*SUMIFS(Velocity!$I:$I,Velocity!$A:$A,$A285,Velocity!$B:$B,$C285)/Assumptions!$B$4*Assumptions!$B$6</f>
        <v>0</v>
      </c>
      <c r="AT285" s="7" t="n">
        <f aca="false">SUMIFS(Doors!BF:BF,Doors!$A:$A,$D285,Doors!$B:$B,$B285,Doors!$C:$C,$C285)*SUMIFS(Velocity!$I:$I,Velocity!$A:$A,$A285,Velocity!$B:$B,$C285)/Assumptions!$B$4*Assumptions!$B$6</f>
        <v>0</v>
      </c>
      <c r="AU285" s="7" t="n">
        <f aca="false">SUMIFS(Doors!BG:BG,Doors!$A:$A,$D285,Doors!$B:$B,$B285,Doors!$C:$C,$C285)*SUMIFS(Velocity!$I:$I,Velocity!$A:$A,$A285,Velocity!$B:$B,$C285)/Assumptions!$B$4*Assumptions!$B$6</f>
        <v>0</v>
      </c>
      <c r="AV285" s="7" t="n">
        <f aca="false">SUMIFS(Doors!BH:BH,Doors!$A:$A,$D285,Doors!$B:$B,$B285,Doors!$C:$C,$C285)*SUMIFS(Velocity!$I:$I,Velocity!$A:$A,$A285,Velocity!$B:$B,$C285)/Assumptions!$B$4*Assumptions!$B$6</f>
        <v>0</v>
      </c>
      <c r="AW285" s="7" t="n">
        <f aca="false">SUMIFS(Doors!BI:BI,Doors!$A:$A,$D285,Doors!$B:$B,$B285,Doors!$C:$C,$C285)*SUMIFS(Velocity!$I:$I,Velocity!$A:$A,$A285,Velocity!$B:$B,$C285)/Assumptions!$B$4*Assumptions!$B$6</f>
        <v>0</v>
      </c>
      <c r="AX285" s="7" t="n">
        <f aca="false">SUMIFS(Doors!BJ:BJ,Doors!$A:$A,$D285,Doors!$B:$B,$B285,Doors!$C:$C,$C285)*SUMIFS(Velocity!$I:$I,Velocity!$A:$A,$A285,Velocity!$B:$B,$C285)/Assumptions!$B$4*Assumptions!$B$6</f>
        <v>0</v>
      </c>
      <c r="AY285" s="7" t="n">
        <f aca="false">SUMIFS(Doors!BK:BK,Doors!$A:$A,$D285,Doors!$B:$B,$B285,Doors!$C:$C,$C285)*SUMIFS(Velocity!$I:$I,Velocity!$A:$A,$A285,Velocity!$B:$B,$C285)/Assumptions!$B$4*Assumptions!$B$6</f>
        <v>0</v>
      </c>
      <c r="AZ285" s="7" t="n">
        <f aca="false">SUMIFS(Doors!BL:BL,Doors!$A:$A,$D285,Doors!$B:$B,$B285,Doors!$C:$C,$C285)*SUMIFS(Velocity!$I:$I,Velocity!$A:$A,$A285,Velocity!$B:$B,$C285)/Assumptions!$B$4*Assumptions!$B$6</f>
        <v>0</v>
      </c>
      <c r="BA285" s="7" t="n">
        <f aca="false">SUMIFS(Doors!BM:BM,Doors!$A:$A,$D285,Doors!$B:$B,$B285,Doors!$C:$C,$C285)*SUMIFS(Velocity!$I:$I,Velocity!$A:$A,$A285,Velocity!$B:$B,$C285)/Assumptions!$B$4*Assumptions!$B$6</f>
        <v>0</v>
      </c>
      <c r="BB285" s="7" t="n">
        <f aca="false">SUMIFS(Doors!BN:BN,Doors!$A:$A,$D285,Doors!$B:$B,$B285,Doors!$C:$C,$C285)*SUMIFS(Velocity!$I:$I,Velocity!$A:$A,$A285,Velocity!$B:$B,$C285)/Assumptions!$B$4*Assumptions!$B$6</f>
        <v>0</v>
      </c>
      <c r="BC285" s="7" t="n">
        <f aca="false">SUMIFS(Doors!BO:BO,Doors!$A:$A,$D285,Doors!$B:$B,$B285,Doors!$C:$C,$C285)*SUMIFS(Velocity!$I:$I,Velocity!$A:$A,$A285,Velocity!$B:$B,$C285)/Assumptions!$B$4*Assumptions!$B$6</f>
        <v>0</v>
      </c>
      <c r="BD285" s="7" t="n">
        <f aca="false">SUMIFS(Doors!BP:BP,Doors!$A:$A,$D285,Doors!$B:$B,$B285,Doors!$C:$C,$C285)*SUMIFS(Velocity!$I:$I,Velocity!$A:$A,$A285,Velocity!$B:$B,$C285)/Assumptions!$B$4*Assumptions!$B$6</f>
        <v>0</v>
      </c>
    </row>
    <row r="286" customFormat="false" ht="15" hidden="false" customHeight="false" outlineLevel="0" collapsed="false">
      <c r="A286" s="0" t="s">
        <v>111</v>
      </c>
      <c r="B286" s="0" t="s">
        <v>127</v>
      </c>
      <c r="C286" s="0" t="s">
        <v>116</v>
      </c>
      <c r="D286" s="0" t="s">
        <v>236</v>
      </c>
      <c r="E286" s="7" t="n">
        <f aca="false">SUMIFS(Doors!Q:Q,Doors!$A:$A,$D286,Doors!$B:$B,$B286,Doors!$C:$C,$C286)*SUMIFS(Velocity!$I:$I,Velocity!$A:$A,$A286,Velocity!$B:$B,$C286)/Assumptions!$B$4*Assumptions!$B$6</f>
        <v>0</v>
      </c>
      <c r="F286" s="7" t="n">
        <f aca="false">SUMIFS(Doors!R:R,Doors!$A:$A,$D286,Doors!$B:$B,$B286,Doors!$C:$C,$C286)*SUMIFS(Velocity!$I:$I,Velocity!$A:$A,$A286,Velocity!$B:$B,$C286)/Assumptions!$B$4*Assumptions!$B$6</f>
        <v>0</v>
      </c>
      <c r="G286" s="7" t="n">
        <f aca="false">SUMIFS(Doors!S:S,Doors!$A:$A,$D286,Doors!$B:$B,$B286,Doors!$C:$C,$C286)*SUMIFS(Velocity!$I:$I,Velocity!$A:$A,$A286,Velocity!$B:$B,$C286)/Assumptions!$B$4*Assumptions!$B$6</f>
        <v>0</v>
      </c>
      <c r="H286" s="7" t="n">
        <f aca="false">SUMIFS(Doors!T:T,Doors!$A:$A,$D286,Doors!$B:$B,$B286,Doors!$C:$C,$C286)*SUMIFS(Velocity!$I:$I,Velocity!$A:$A,$A286,Velocity!$B:$B,$C286)/Assumptions!$B$4*Assumptions!$B$6</f>
        <v>0</v>
      </c>
      <c r="I286" s="7" t="n">
        <f aca="false">SUMIFS(Doors!U:U,Doors!$A:$A,$D286,Doors!$B:$B,$B286,Doors!$C:$C,$C286)*SUMIFS(Velocity!$I:$I,Velocity!$A:$A,$A286,Velocity!$B:$B,$C286)/Assumptions!$B$4*Assumptions!$B$6</f>
        <v>0</v>
      </c>
      <c r="J286" s="7" t="n">
        <f aca="false">SUMIFS(Doors!V:V,Doors!$A:$A,$D286,Doors!$B:$B,$B286,Doors!$C:$C,$C286)*SUMIFS(Velocity!$I:$I,Velocity!$A:$A,$A286,Velocity!$B:$B,$C286)/Assumptions!$B$4*Assumptions!$B$6</f>
        <v>0</v>
      </c>
      <c r="K286" s="7" t="n">
        <f aca="false">SUMIFS(Doors!W:W,Doors!$A:$A,$D286,Doors!$B:$B,$B286,Doors!$C:$C,$C286)*SUMIFS(Velocity!$I:$I,Velocity!$A:$A,$A286,Velocity!$B:$B,$C286)/Assumptions!$B$4*Assumptions!$B$6</f>
        <v>0</v>
      </c>
      <c r="L286" s="7" t="n">
        <f aca="false">SUMIFS(Doors!X:X,Doors!$A:$A,$D286,Doors!$B:$B,$B286,Doors!$C:$C,$C286)*SUMIFS(Velocity!$I:$I,Velocity!$A:$A,$A286,Velocity!$B:$B,$C286)/Assumptions!$B$4*Assumptions!$B$6</f>
        <v>0</v>
      </c>
      <c r="M286" s="7" t="n">
        <f aca="false">SUMIFS(Doors!Y:Y,Doors!$A:$A,$D286,Doors!$B:$B,$B286,Doors!$C:$C,$C286)*SUMIFS(Velocity!$I:$I,Velocity!$A:$A,$A286,Velocity!$B:$B,$C286)/Assumptions!$B$4*Assumptions!$B$6</f>
        <v>0</v>
      </c>
      <c r="N286" s="7" t="n">
        <f aca="false">SUMIFS(Doors!Z:Z,Doors!$A:$A,$D286,Doors!$B:$B,$B286,Doors!$C:$C,$C286)*SUMIFS(Velocity!$I:$I,Velocity!$A:$A,$A286,Velocity!$B:$B,$C286)/Assumptions!$B$4*Assumptions!$B$6</f>
        <v>0</v>
      </c>
      <c r="O286" s="7" t="n">
        <f aca="false">SUMIFS(Doors!AA:AA,Doors!$A:$A,$D286,Doors!$B:$B,$B286,Doors!$C:$C,$C286)*SUMIFS(Velocity!$I:$I,Velocity!$A:$A,$A286,Velocity!$B:$B,$C286)/Assumptions!$B$4*Assumptions!$B$6</f>
        <v>0</v>
      </c>
      <c r="P286" s="7" t="n">
        <f aca="false">SUMIFS(Doors!AB:AB,Doors!$A:$A,$D286,Doors!$B:$B,$B286,Doors!$C:$C,$C286)*SUMIFS(Velocity!$I:$I,Velocity!$A:$A,$A286,Velocity!$B:$B,$C286)/Assumptions!$B$4*Assumptions!$B$6</f>
        <v>0</v>
      </c>
      <c r="Q286" s="7" t="n">
        <f aca="false">SUMIFS(Doors!AC:AC,Doors!$A:$A,$D286,Doors!$B:$B,$B286,Doors!$C:$C,$C286)*SUMIFS(Velocity!$I:$I,Velocity!$A:$A,$A286,Velocity!$B:$B,$C286)/Assumptions!$B$4*Assumptions!$B$6</f>
        <v>0</v>
      </c>
      <c r="R286" s="7" t="n">
        <f aca="false">SUMIFS(Doors!AD:AD,Doors!$A:$A,$D286,Doors!$B:$B,$B286,Doors!$C:$C,$C286)*SUMIFS(Velocity!$I:$I,Velocity!$A:$A,$A286,Velocity!$B:$B,$C286)/Assumptions!$B$4*Assumptions!$B$6</f>
        <v>0</v>
      </c>
      <c r="S286" s="7" t="n">
        <f aca="false">SUMIFS(Doors!AE:AE,Doors!$A:$A,$D286,Doors!$B:$B,$B286,Doors!$C:$C,$C286)*SUMIFS(Velocity!$I:$I,Velocity!$A:$A,$A286,Velocity!$B:$B,$C286)/Assumptions!$B$4*Assumptions!$B$6</f>
        <v>0</v>
      </c>
      <c r="T286" s="7" t="n">
        <f aca="false">SUMIFS(Doors!AF:AF,Doors!$A:$A,$D286,Doors!$B:$B,$B286,Doors!$C:$C,$C286)*SUMIFS(Velocity!$I:$I,Velocity!$A:$A,$A286,Velocity!$B:$B,$C286)/Assumptions!$B$4*Assumptions!$B$6</f>
        <v>0</v>
      </c>
      <c r="U286" s="7" t="n">
        <f aca="false">SUMIFS(Doors!AG:AG,Doors!$A:$A,$D286,Doors!$B:$B,$B286,Doors!$C:$C,$C286)*SUMIFS(Velocity!$I:$I,Velocity!$A:$A,$A286,Velocity!$B:$B,$C286)/Assumptions!$B$4*Assumptions!$B$6</f>
        <v>0</v>
      </c>
      <c r="V286" s="7" t="n">
        <f aca="false">SUMIFS(Doors!AH:AH,Doors!$A:$A,$D286,Doors!$B:$B,$B286,Doors!$C:$C,$C286)*SUMIFS(Velocity!$I:$I,Velocity!$A:$A,$A286,Velocity!$B:$B,$C286)/Assumptions!$B$4*Assumptions!$B$6</f>
        <v>0</v>
      </c>
      <c r="W286" s="7" t="n">
        <f aca="false">SUMIFS(Doors!AI:AI,Doors!$A:$A,$D286,Doors!$B:$B,$B286,Doors!$C:$C,$C286)*SUMIFS(Velocity!$I:$I,Velocity!$A:$A,$A286,Velocity!$B:$B,$C286)/Assumptions!$B$4*Assumptions!$B$6</f>
        <v>0</v>
      </c>
      <c r="X286" s="7" t="n">
        <f aca="false">SUMIFS(Doors!AJ:AJ,Doors!$A:$A,$D286,Doors!$B:$B,$B286,Doors!$C:$C,$C286)*SUMIFS(Velocity!$I:$I,Velocity!$A:$A,$A286,Velocity!$B:$B,$C286)/Assumptions!$B$4*Assumptions!$B$6</f>
        <v>0</v>
      </c>
      <c r="Y286" s="7" t="n">
        <f aca="false">SUMIFS(Doors!AK:AK,Doors!$A:$A,$D286,Doors!$B:$B,$B286,Doors!$C:$C,$C286)*SUMIFS(Velocity!$I:$I,Velocity!$A:$A,$A286,Velocity!$B:$B,$C286)/Assumptions!$B$4*Assumptions!$B$6</f>
        <v>0</v>
      </c>
      <c r="Z286" s="7" t="n">
        <f aca="false">SUMIFS(Doors!AL:AL,Doors!$A:$A,$D286,Doors!$B:$B,$B286,Doors!$C:$C,$C286)*SUMIFS(Velocity!$I:$I,Velocity!$A:$A,$A286,Velocity!$B:$B,$C286)/Assumptions!$B$4*Assumptions!$B$6</f>
        <v>0</v>
      </c>
      <c r="AA286" s="7" t="n">
        <f aca="false">SUMIFS(Doors!AM:AM,Doors!$A:$A,$D286,Doors!$B:$B,$B286,Doors!$C:$C,$C286)*SUMIFS(Velocity!$I:$I,Velocity!$A:$A,$A286,Velocity!$B:$B,$C286)/Assumptions!$B$4*Assumptions!$B$6</f>
        <v>0</v>
      </c>
      <c r="AB286" s="7" t="n">
        <f aca="false">SUMIFS(Doors!AN:AN,Doors!$A:$A,$D286,Doors!$B:$B,$B286,Doors!$C:$C,$C286)*SUMIFS(Velocity!$I:$I,Velocity!$A:$A,$A286,Velocity!$B:$B,$C286)/Assumptions!$B$4*Assumptions!$B$6</f>
        <v>0</v>
      </c>
      <c r="AC286" s="7" t="n">
        <f aca="false">SUMIFS(Doors!AO:AO,Doors!$A:$A,$D286,Doors!$B:$B,$B286,Doors!$C:$C,$C286)*SUMIFS(Velocity!$I:$I,Velocity!$A:$A,$A286,Velocity!$B:$B,$C286)/Assumptions!$B$4*Assumptions!$B$6</f>
        <v>0</v>
      </c>
      <c r="AD286" s="7" t="n">
        <f aca="false">SUMIFS(Doors!AP:AP,Doors!$A:$A,$D286,Doors!$B:$B,$B286,Doors!$C:$C,$C286)*SUMIFS(Velocity!$I:$I,Velocity!$A:$A,$A286,Velocity!$B:$B,$C286)/Assumptions!$B$4*Assumptions!$B$6</f>
        <v>0</v>
      </c>
      <c r="AE286" s="7" t="n">
        <f aca="false">SUMIFS(Doors!AQ:AQ,Doors!$A:$A,$D286,Doors!$B:$B,$B286,Doors!$C:$C,$C286)*SUMIFS(Velocity!$I:$I,Velocity!$A:$A,$A286,Velocity!$B:$B,$C286)/Assumptions!$B$4*Assumptions!$B$6</f>
        <v>0</v>
      </c>
      <c r="AF286" s="7" t="n">
        <f aca="false">SUMIFS(Doors!AR:AR,Doors!$A:$A,$D286,Doors!$B:$B,$B286,Doors!$C:$C,$C286)*SUMIFS(Velocity!$I:$I,Velocity!$A:$A,$A286,Velocity!$B:$B,$C286)/Assumptions!$B$4*Assumptions!$B$6</f>
        <v>0</v>
      </c>
      <c r="AG286" s="7" t="n">
        <f aca="false">SUMIFS(Doors!AS:AS,Doors!$A:$A,$D286,Doors!$B:$B,$B286,Doors!$C:$C,$C286)*SUMIFS(Velocity!$I:$I,Velocity!$A:$A,$A286,Velocity!$B:$B,$C286)/Assumptions!$B$4*Assumptions!$B$6</f>
        <v>0</v>
      </c>
      <c r="AH286" s="7" t="n">
        <f aca="false">SUMIFS(Doors!AT:AT,Doors!$A:$A,$D286,Doors!$B:$B,$B286,Doors!$C:$C,$C286)*SUMIFS(Velocity!$I:$I,Velocity!$A:$A,$A286,Velocity!$B:$B,$C286)/Assumptions!$B$4*Assumptions!$B$6</f>
        <v>0</v>
      </c>
      <c r="AI286" s="7" t="n">
        <f aca="false">SUMIFS(Doors!AU:AU,Doors!$A:$A,$D286,Doors!$B:$B,$B286,Doors!$C:$C,$C286)*SUMIFS(Velocity!$I:$I,Velocity!$A:$A,$A286,Velocity!$B:$B,$C286)/Assumptions!$B$4*Assumptions!$B$6</f>
        <v>0</v>
      </c>
      <c r="AJ286" s="7" t="n">
        <f aca="false">SUMIFS(Doors!AV:AV,Doors!$A:$A,$D286,Doors!$B:$B,$B286,Doors!$C:$C,$C286)*SUMIFS(Velocity!$I:$I,Velocity!$A:$A,$A286,Velocity!$B:$B,$C286)/Assumptions!$B$4*Assumptions!$B$6</f>
        <v>0</v>
      </c>
      <c r="AK286" s="7" t="n">
        <f aca="false">SUMIFS(Doors!AW:AW,Doors!$A:$A,$D286,Doors!$B:$B,$B286,Doors!$C:$C,$C286)*SUMIFS(Velocity!$I:$I,Velocity!$A:$A,$A286,Velocity!$B:$B,$C286)/Assumptions!$B$4*Assumptions!$B$6</f>
        <v>0</v>
      </c>
      <c r="AL286" s="7" t="n">
        <f aca="false">SUMIFS(Doors!AX:AX,Doors!$A:$A,$D286,Doors!$B:$B,$B286,Doors!$C:$C,$C286)*SUMIFS(Velocity!$I:$I,Velocity!$A:$A,$A286,Velocity!$B:$B,$C286)/Assumptions!$B$4*Assumptions!$B$6</f>
        <v>0</v>
      </c>
      <c r="AM286" s="7" t="n">
        <f aca="false">SUMIFS(Doors!AY:AY,Doors!$A:$A,$D286,Doors!$B:$B,$B286,Doors!$C:$C,$C286)*SUMIFS(Velocity!$I:$I,Velocity!$A:$A,$A286,Velocity!$B:$B,$C286)/Assumptions!$B$4*Assumptions!$B$6</f>
        <v>0</v>
      </c>
      <c r="AN286" s="7" t="n">
        <f aca="false">SUMIFS(Doors!AZ:AZ,Doors!$A:$A,$D286,Doors!$B:$B,$B286,Doors!$C:$C,$C286)*SUMIFS(Velocity!$I:$I,Velocity!$A:$A,$A286,Velocity!$B:$B,$C286)/Assumptions!$B$4*Assumptions!$B$6</f>
        <v>0</v>
      </c>
      <c r="AO286" s="7" t="n">
        <f aca="false">SUMIFS(Doors!BA:BA,Doors!$A:$A,$D286,Doors!$B:$B,$B286,Doors!$C:$C,$C286)*SUMIFS(Velocity!$I:$I,Velocity!$A:$A,$A286,Velocity!$B:$B,$C286)/Assumptions!$B$4*Assumptions!$B$6</f>
        <v>0</v>
      </c>
      <c r="AP286" s="7" t="n">
        <f aca="false">SUMIFS(Doors!BB:BB,Doors!$A:$A,$D286,Doors!$B:$B,$B286,Doors!$C:$C,$C286)*SUMIFS(Velocity!$I:$I,Velocity!$A:$A,$A286,Velocity!$B:$B,$C286)/Assumptions!$B$4*Assumptions!$B$6</f>
        <v>0</v>
      </c>
      <c r="AQ286" s="7" t="n">
        <f aca="false">SUMIFS(Doors!BC:BC,Doors!$A:$A,$D286,Doors!$B:$B,$B286,Doors!$C:$C,$C286)*SUMIFS(Velocity!$I:$I,Velocity!$A:$A,$A286,Velocity!$B:$B,$C286)/Assumptions!$B$4*Assumptions!$B$6</f>
        <v>0</v>
      </c>
      <c r="AR286" s="7" t="n">
        <f aca="false">SUMIFS(Doors!BD:BD,Doors!$A:$A,$D286,Doors!$B:$B,$B286,Doors!$C:$C,$C286)*SUMIFS(Velocity!$I:$I,Velocity!$A:$A,$A286,Velocity!$B:$B,$C286)/Assumptions!$B$4*Assumptions!$B$6</f>
        <v>0</v>
      </c>
      <c r="AS286" s="7" t="n">
        <f aca="false">SUMIFS(Doors!BE:BE,Doors!$A:$A,$D286,Doors!$B:$B,$B286,Doors!$C:$C,$C286)*SUMIFS(Velocity!$I:$I,Velocity!$A:$A,$A286,Velocity!$B:$B,$C286)/Assumptions!$B$4*Assumptions!$B$6</f>
        <v>0</v>
      </c>
      <c r="AT286" s="7" t="n">
        <f aca="false">SUMIFS(Doors!BF:BF,Doors!$A:$A,$D286,Doors!$B:$B,$B286,Doors!$C:$C,$C286)*SUMIFS(Velocity!$I:$I,Velocity!$A:$A,$A286,Velocity!$B:$B,$C286)/Assumptions!$B$4*Assumptions!$B$6</f>
        <v>0</v>
      </c>
      <c r="AU286" s="7" t="n">
        <f aca="false">SUMIFS(Doors!BG:BG,Doors!$A:$A,$D286,Doors!$B:$B,$B286,Doors!$C:$C,$C286)*SUMIFS(Velocity!$I:$I,Velocity!$A:$A,$A286,Velocity!$B:$B,$C286)/Assumptions!$B$4*Assumptions!$B$6</f>
        <v>0</v>
      </c>
      <c r="AV286" s="7" t="n">
        <f aca="false">SUMIFS(Doors!BH:BH,Doors!$A:$A,$D286,Doors!$B:$B,$B286,Doors!$C:$C,$C286)*SUMIFS(Velocity!$I:$I,Velocity!$A:$A,$A286,Velocity!$B:$B,$C286)/Assumptions!$B$4*Assumptions!$B$6</f>
        <v>0</v>
      </c>
      <c r="AW286" s="7" t="n">
        <f aca="false">SUMIFS(Doors!BI:BI,Doors!$A:$A,$D286,Doors!$B:$B,$B286,Doors!$C:$C,$C286)*SUMIFS(Velocity!$I:$I,Velocity!$A:$A,$A286,Velocity!$B:$B,$C286)/Assumptions!$B$4*Assumptions!$B$6</f>
        <v>0</v>
      </c>
      <c r="AX286" s="7" t="n">
        <f aca="false">SUMIFS(Doors!BJ:BJ,Doors!$A:$A,$D286,Doors!$B:$B,$B286,Doors!$C:$C,$C286)*SUMIFS(Velocity!$I:$I,Velocity!$A:$A,$A286,Velocity!$B:$B,$C286)/Assumptions!$B$4*Assumptions!$B$6</f>
        <v>0</v>
      </c>
      <c r="AY286" s="7" t="n">
        <f aca="false">SUMIFS(Doors!BK:BK,Doors!$A:$A,$D286,Doors!$B:$B,$B286,Doors!$C:$C,$C286)*SUMIFS(Velocity!$I:$I,Velocity!$A:$A,$A286,Velocity!$B:$B,$C286)/Assumptions!$B$4*Assumptions!$B$6</f>
        <v>0</v>
      </c>
      <c r="AZ286" s="7" t="n">
        <f aca="false">SUMIFS(Doors!BL:BL,Doors!$A:$A,$D286,Doors!$B:$B,$B286,Doors!$C:$C,$C286)*SUMIFS(Velocity!$I:$I,Velocity!$A:$A,$A286,Velocity!$B:$B,$C286)/Assumptions!$B$4*Assumptions!$B$6</f>
        <v>0</v>
      </c>
      <c r="BA286" s="7" t="n">
        <f aca="false">SUMIFS(Doors!BM:BM,Doors!$A:$A,$D286,Doors!$B:$B,$B286,Doors!$C:$C,$C286)*SUMIFS(Velocity!$I:$I,Velocity!$A:$A,$A286,Velocity!$B:$B,$C286)/Assumptions!$B$4*Assumptions!$B$6</f>
        <v>0</v>
      </c>
      <c r="BB286" s="7" t="n">
        <f aca="false">SUMIFS(Doors!BN:BN,Doors!$A:$A,$D286,Doors!$B:$B,$B286,Doors!$C:$C,$C286)*SUMIFS(Velocity!$I:$I,Velocity!$A:$A,$A286,Velocity!$B:$B,$C286)/Assumptions!$B$4*Assumptions!$B$6</f>
        <v>0</v>
      </c>
      <c r="BC286" s="7" t="n">
        <f aca="false">SUMIFS(Doors!BO:BO,Doors!$A:$A,$D286,Doors!$B:$B,$B286,Doors!$C:$C,$C286)*SUMIFS(Velocity!$I:$I,Velocity!$A:$A,$A286,Velocity!$B:$B,$C286)/Assumptions!$B$4*Assumptions!$B$6</f>
        <v>0</v>
      </c>
      <c r="BD286" s="7" t="n">
        <f aca="false">SUMIFS(Doors!BP:BP,Doors!$A:$A,$D286,Doors!$B:$B,$B286,Doors!$C:$C,$C286)*SUMIFS(Velocity!$I:$I,Velocity!$A:$A,$A286,Velocity!$B:$B,$C286)/Assumptions!$B$4*Assumptions!$B$6</f>
        <v>0</v>
      </c>
    </row>
    <row r="287" customFormat="false" ht="15" hidden="false" customHeight="false" outlineLevel="0" collapsed="false">
      <c r="A287" s="0" t="s">
        <v>111</v>
      </c>
      <c r="B287" s="0" t="s">
        <v>127</v>
      </c>
      <c r="C287" s="0" t="s">
        <v>117</v>
      </c>
      <c r="D287" s="0" t="s">
        <v>236</v>
      </c>
      <c r="E287" s="7" t="n">
        <f aca="false">SUMIFS(Doors!Q:Q,Doors!$A:$A,$D287,Doors!$B:$B,$B287,Doors!$C:$C,$C287)*SUMIFS(Velocity!$I:$I,Velocity!$A:$A,$A287,Velocity!$B:$B,$C287)/Assumptions!$B$4*Assumptions!$B$6</f>
        <v>0</v>
      </c>
      <c r="F287" s="7" t="n">
        <f aca="false">SUMIFS(Doors!R:R,Doors!$A:$A,$D287,Doors!$B:$B,$B287,Doors!$C:$C,$C287)*SUMIFS(Velocity!$I:$I,Velocity!$A:$A,$A287,Velocity!$B:$B,$C287)/Assumptions!$B$4*Assumptions!$B$6</f>
        <v>0</v>
      </c>
      <c r="G287" s="7" t="n">
        <f aca="false">SUMIFS(Doors!S:S,Doors!$A:$A,$D287,Doors!$B:$B,$B287,Doors!$C:$C,$C287)*SUMIFS(Velocity!$I:$I,Velocity!$A:$A,$A287,Velocity!$B:$B,$C287)/Assumptions!$B$4*Assumptions!$B$6</f>
        <v>0</v>
      </c>
      <c r="H287" s="7" t="n">
        <f aca="false">SUMIFS(Doors!T:T,Doors!$A:$A,$D287,Doors!$B:$B,$B287,Doors!$C:$C,$C287)*SUMIFS(Velocity!$I:$I,Velocity!$A:$A,$A287,Velocity!$B:$B,$C287)/Assumptions!$B$4*Assumptions!$B$6</f>
        <v>0</v>
      </c>
      <c r="I287" s="7" t="n">
        <f aca="false">SUMIFS(Doors!U:U,Doors!$A:$A,$D287,Doors!$B:$B,$B287,Doors!$C:$C,$C287)*SUMIFS(Velocity!$I:$I,Velocity!$A:$A,$A287,Velocity!$B:$B,$C287)/Assumptions!$B$4*Assumptions!$B$6</f>
        <v>0</v>
      </c>
      <c r="J287" s="7" t="n">
        <f aca="false">SUMIFS(Doors!V:V,Doors!$A:$A,$D287,Doors!$B:$B,$B287,Doors!$C:$C,$C287)*SUMIFS(Velocity!$I:$I,Velocity!$A:$A,$A287,Velocity!$B:$B,$C287)/Assumptions!$B$4*Assumptions!$B$6</f>
        <v>0</v>
      </c>
      <c r="K287" s="7" t="n">
        <f aca="false">SUMIFS(Doors!W:W,Doors!$A:$A,$D287,Doors!$B:$B,$B287,Doors!$C:$C,$C287)*SUMIFS(Velocity!$I:$I,Velocity!$A:$A,$A287,Velocity!$B:$B,$C287)/Assumptions!$B$4*Assumptions!$B$6</f>
        <v>0</v>
      </c>
      <c r="L287" s="7" t="n">
        <f aca="false">SUMIFS(Doors!X:X,Doors!$A:$A,$D287,Doors!$B:$B,$B287,Doors!$C:$C,$C287)*SUMIFS(Velocity!$I:$I,Velocity!$A:$A,$A287,Velocity!$B:$B,$C287)/Assumptions!$B$4*Assumptions!$B$6</f>
        <v>0</v>
      </c>
      <c r="M287" s="7" t="n">
        <f aca="false">SUMIFS(Doors!Y:Y,Doors!$A:$A,$D287,Doors!$B:$B,$B287,Doors!$C:$C,$C287)*SUMIFS(Velocity!$I:$I,Velocity!$A:$A,$A287,Velocity!$B:$B,$C287)/Assumptions!$B$4*Assumptions!$B$6</f>
        <v>0</v>
      </c>
      <c r="N287" s="7" t="n">
        <f aca="false">SUMIFS(Doors!Z:Z,Doors!$A:$A,$D287,Doors!$B:$B,$B287,Doors!$C:$C,$C287)*SUMIFS(Velocity!$I:$I,Velocity!$A:$A,$A287,Velocity!$B:$B,$C287)/Assumptions!$B$4*Assumptions!$B$6</f>
        <v>0</v>
      </c>
      <c r="O287" s="7" t="n">
        <f aca="false">SUMIFS(Doors!AA:AA,Doors!$A:$A,$D287,Doors!$B:$B,$B287,Doors!$C:$C,$C287)*SUMIFS(Velocity!$I:$I,Velocity!$A:$A,$A287,Velocity!$B:$B,$C287)/Assumptions!$B$4*Assumptions!$B$6</f>
        <v>0</v>
      </c>
      <c r="P287" s="7" t="n">
        <f aca="false">SUMIFS(Doors!AB:AB,Doors!$A:$A,$D287,Doors!$B:$B,$B287,Doors!$C:$C,$C287)*SUMIFS(Velocity!$I:$I,Velocity!$A:$A,$A287,Velocity!$B:$B,$C287)/Assumptions!$B$4*Assumptions!$B$6</f>
        <v>0</v>
      </c>
      <c r="Q287" s="7" t="n">
        <f aca="false">SUMIFS(Doors!AC:AC,Doors!$A:$A,$D287,Doors!$B:$B,$B287,Doors!$C:$C,$C287)*SUMIFS(Velocity!$I:$I,Velocity!$A:$A,$A287,Velocity!$B:$B,$C287)/Assumptions!$B$4*Assumptions!$B$6</f>
        <v>0</v>
      </c>
      <c r="R287" s="7" t="n">
        <f aca="false">SUMIFS(Doors!AD:AD,Doors!$A:$A,$D287,Doors!$B:$B,$B287,Doors!$C:$C,$C287)*SUMIFS(Velocity!$I:$I,Velocity!$A:$A,$A287,Velocity!$B:$B,$C287)/Assumptions!$B$4*Assumptions!$B$6</f>
        <v>0</v>
      </c>
      <c r="S287" s="7" t="n">
        <f aca="false">SUMIFS(Doors!AE:AE,Doors!$A:$A,$D287,Doors!$B:$B,$B287,Doors!$C:$C,$C287)*SUMIFS(Velocity!$I:$I,Velocity!$A:$A,$A287,Velocity!$B:$B,$C287)/Assumptions!$B$4*Assumptions!$B$6</f>
        <v>0</v>
      </c>
      <c r="T287" s="7" t="n">
        <f aca="false">SUMIFS(Doors!AF:AF,Doors!$A:$A,$D287,Doors!$B:$B,$B287,Doors!$C:$C,$C287)*SUMIFS(Velocity!$I:$I,Velocity!$A:$A,$A287,Velocity!$B:$B,$C287)/Assumptions!$B$4*Assumptions!$B$6</f>
        <v>0</v>
      </c>
      <c r="U287" s="7" t="n">
        <f aca="false">SUMIFS(Doors!AG:AG,Doors!$A:$A,$D287,Doors!$B:$B,$B287,Doors!$C:$C,$C287)*SUMIFS(Velocity!$I:$I,Velocity!$A:$A,$A287,Velocity!$B:$B,$C287)/Assumptions!$B$4*Assumptions!$B$6</f>
        <v>0</v>
      </c>
      <c r="V287" s="7" t="n">
        <f aca="false">SUMIFS(Doors!AH:AH,Doors!$A:$A,$D287,Doors!$B:$B,$B287,Doors!$C:$C,$C287)*SUMIFS(Velocity!$I:$I,Velocity!$A:$A,$A287,Velocity!$B:$B,$C287)/Assumptions!$B$4*Assumptions!$B$6</f>
        <v>0</v>
      </c>
      <c r="W287" s="7" t="n">
        <f aca="false">SUMIFS(Doors!AI:AI,Doors!$A:$A,$D287,Doors!$B:$B,$B287,Doors!$C:$C,$C287)*SUMIFS(Velocity!$I:$I,Velocity!$A:$A,$A287,Velocity!$B:$B,$C287)/Assumptions!$B$4*Assumptions!$B$6</f>
        <v>0</v>
      </c>
      <c r="X287" s="7" t="n">
        <f aca="false">SUMIFS(Doors!AJ:AJ,Doors!$A:$A,$D287,Doors!$B:$B,$B287,Doors!$C:$C,$C287)*SUMIFS(Velocity!$I:$I,Velocity!$A:$A,$A287,Velocity!$B:$B,$C287)/Assumptions!$B$4*Assumptions!$B$6</f>
        <v>0</v>
      </c>
      <c r="Y287" s="7" t="n">
        <f aca="false">SUMIFS(Doors!AK:AK,Doors!$A:$A,$D287,Doors!$B:$B,$B287,Doors!$C:$C,$C287)*SUMIFS(Velocity!$I:$I,Velocity!$A:$A,$A287,Velocity!$B:$B,$C287)/Assumptions!$B$4*Assumptions!$B$6</f>
        <v>0</v>
      </c>
      <c r="Z287" s="7" t="n">
        <f aca="false">SUMIFS(Doors!AL:AL,Doors!$A:$A,$D287,Doors!$B:$B,$B287,Doors!$C:$C,$C287)*SUMIFS(Velocity!$I:$I,Velocity!$A:$A,$A287,Velocity!$B:$B,$C287)/Assumptions!$B$4*Assumptions!$B$6</f>
        <v>0</v>
      </c>
      <c r="AA287" s="7" t="n">
        <f aca="false">SUMIFS(Doors!AM:AM,Doors!$A:$A,$D287,Doors!$B:$B,$B287,Doors!$C:$C,$C287)*SUMIFS(Velocity!$I:$I,Velocity!$A:$A,$A287,Velocity!$B:$B,$C287)/Assumptions!$B$4*Assumptions!$B$6</f>
        <v>0</v>
      </c>
      <c r="AB287" s="7" t="n">
        <f aca="false">SUMIFS(Doors!AN:AN,Doors!$A:$A,$D287,Doors!$B:$B,$B287,Doors!$C:$C,$C287)*SUMIFS(Velocity!$I:$I,Velocity!$A:$A,$A287,Velocity!$B:$B,$C287)/Assumptions!$B$4*Assumptions!$B$6</f>
        <v>0</v>
      </c>
      <c r="AC287" s="7" t="n">
        <f aca="false">SUMIFS(Doors!AO:AO,Doors!$A:$A,$D287,Doors!$B:$B,$B287,Doors!$C:$C,$C287)*SUMIFS(Velocity!$I:$I,Velocity!$A:$A,$A287,Velocity!$B:$B,$C287)/Assumptions!$B$4*Assumptions!$B$6</f>
        <v>0</v>
      </c>
      <c r="AD287" s="7" t="n">
        <f aca="false">SUMIFS(Doors!AP:AP,Doors!$A:$A,$D287,Doors!$B:$B,$B287,Doors!$C:$C,$C287)*SUMIFS(Velocity!$I:$I,Velocity!$A:$A,$A287,Velocity!$B:$B,$C287)/Assumptions!$B$4*Assumptions!$B$6</f>
        <v>0</v>
      </c>
      <c r="AE287" s="7" t="n">
        <f aca="false">SUMIFS(Doors!AQ:AQ,Doors!$A:$A,$D287,Doors!$B:$B,$B287,Doors!$C:$C,$C287)*SUMIFS(Velocity!$I:$I,Velocity!$A:$A,$A287,Velocity!$B:$B,$C287)/Assumptions!$B$4*Assumptions!$B$6</f>
        <v>0</v>
      </c>
      <c r="AF287" s="7" t="n">
        <f aca="false">SUMIFS(Doors!AR:AR,Doors!$A:$A,$D287,Doors!$B:$B,$B287,Doors!$C:$C,$C287)*SUMIFS(Velocity!$I:$I,Velocity!$A:$A,$A287,Velocity!$B:$B,$C287)/Assumptions!$B$4*Assumptions!$B$6</f>
        <v>0</v>
      </c>
      <c r="AG287" s="7" t="n">
        <f aca="false">SUMIFS(Doors!AS:AS,Doors!$A:$A,$D287,Doors!$B:$B,$B287,Doors!$C:$C,$C287)*SUMIFS(Velocity!$I:$I,Velocity!$A:$A,$A287,Velocity!$B:$B,$C287)/Assumptions!$B$4*Assumptions!$B$6</f>
        <v>0</v>
      </c>
      <c r="AH287" s="7" t="n">
        <f aca="false">SUMIFS(Doors!AT:AT,Doors!$A:$A,$D287,Doors!$B:$B,$B287,Doors!$C:$C,$C287)*SUMIFS(Velocity!$I:$I,Velocity!$A:$A,$A287,Velocity!$B:$B,$C287)/Assumptions!$B$4*Assumptions!$B$6</f>
        <v>0</v>
      </c>
      <c r="AI287" s="7" t="n">
        <f aca="false">SUMIFS(Doors!AU:AU,Doors!$A:$A,$D287,Doors!$B:$B,$B287,Doors!$C:$C,$C287)*SUMIFS(Velocity!$I:$I,Velocity!$A:$A,$A287,Velocity!$B:$B,$C287)/Assumptions!$B$4*Assumptions!$B$6</f>
        <v>0</v>
      </c>
      <c r="AJ287" s="7" t="n">
        <f aca="false">SUMIFS(Doors!AV:AV,Doors!$A:$A,$D287,Doors!$B:$B,$B287,Doors!$C:$C,$C287)*SUMIFS(Velocity!$I:$I,Velocity!$A:$A,$A287,Velocity!$B:$B,$C287)/Assumptions!$B$4*Assumptions!$B$6</f>
        <v>0</v>
      </c>
      <c r="AK287" s="7" t="n">
        <f aca="false">SUMIFS(Doors!AW:AW,Doors!$A:$A,$D287,Doors!$B:$B,$B287,Doors!$C:$C,$C287)*SUMIFS(Velocity!$I:$I,Velocity!$A:$A,$A287,Velocity!$B:$B,$C287)/Assumptions!$B$4*Assumptions!$B$6</f>
        <v>0</v>
      </c>
      <c r="AL287" s="7" t="n">
        <f aca="false">SUMIFS(Doors!AX:AX,Doors!$A:$A,$D287,Doors!$B:$B,$B287,Doors!$C:$C,$C287)*SUMIFS(Velocity!$I:$I,Velocity!$A:$A,$A287,Velocity!$B:$B,$C287)/Assumptions!$B$4*Assumptions!$B$6</f>
        <v>0</v>
      </c>
      <c r="AM287" s="7" t="n">
        <f aca="false">SUMIFS(Doors!AY:AY,Doors!$A:$A,$D287,Doors!$B:$B,$B287,Doors!$C:$C,$C287)*SUMIFS(Velocity!$I:$I,Velocity!$A:$A,$A287,Velocity!$B:$B,$C287)/Assumptions!$B$4*Assumptions!$B$6</f>
        <v>0</v>
      </c>
      <c r="AN287" s="7" t="n">
        <f aca="false">SUMIFS(Doors!AZ:AZ,Doors!$A:$A,$D287,Doors!$B:$B,$B287,Doors!$C:$C,$C287)*SUMIFS(Velocity!$I:$I,Velocity!$A:$A,$A287,Velocity!$B:$B,$C287)/Assumptions!$B$4*Assumptions!$B$6</f>
        <v>0</v>
      </c>
      <c r="AO287" s="7" t="n">
        <f aca="false">SUMIFS(Doors!BA:BA,Doors!$A:$A,$D287,Doors!$B:$B,$B287,Doors!$C:$C,$C287)*SUMIFS(Velocity!$I:$I,Velocity!$A:$A,$A287,Velocity!$B:$B,$C287)/Assumptions!$B$4*Assumptions!$B$6</f>
        <v>0</v>
      </c>
      <c r="AP287" s="7" t="n">
        <f aca="false">SUMIFS(Doors!BB:BB,Doors!$A:$A,$D287,Doors!$B:$B,$B287,Doors!$C:$C,$C287)*SUMIFS(Velocity!$I:$I,Velocity!$A:$A,$A287,Velocity!$B:$B,$C287)/Assumptions!$B$4*Assumptions!$B$6</f>
        <v>0</v>
      </c>
      <c r="AQ287" s="7" t="n">
        <f aca="false">SUMIFS(Doors!BC:BC,Doors!$A:$A,$D287,Doors!$B:$B,$B287,Doors!$C:$C,$C287)*SUMIFS(Velocity!$I:$I,Velocity!$A:$A,$A287,Velocity!$B:$B,$C287)/Assumptions!$B$4*Assumptions!$B$6</f>
        <v>0</v>
      </c>
      <c r="AR287" s="7" t="n">
        <f aca="false">SUMIFS(Doors!BD:BD,Doors!$A:$A,$D287,Doors!$B:$B,$B287,Doors!$C:$C,$C287)*SUMIFS(Velocity!$I:$I,Velocity!$A:$A,$A287,Velocity!$B:$B,$C287)/Assumptions!$B$4*Assumptions!$B$6</f>
        <v>0</v>
      </c>
      <c r="AS287" s="7" t="n">
        <f aca="false">SUMIFS(Doors!BE:BE,Doors!$A:$A,$D287,Doors!$B:$B,$B287,Doors!$C:$C,$C287)*SUMIFS(Velocity!$I:$I,Velocity!$A:$A,$A287,Velocity!$B:$B,$C287)/Assumptions!$B$4*Assumptions!$B$6</f>
        <v>0</v>
      </c>
      <c r="AT287" s="7" t="n">
        <f aca="false">SUMIFS(Doors!BF:BF,Doors!$A:$A,$D287,Doors!$B:$B,$B287,Doors!$C:$C,$C287)*SUMIFS(Velocity!$I:$I,Velocity!$A:$A,$A287,Velocity!$B:$B,$C287)/Assumptions!$B$4*Assumptions!$B$6</f>
        <v>0</v>
      </c>
      <c r="AU287" s="7" t="n">
        <f aca="false">SUMIFS(Doors!BG:BG,Doors!$A:$A,$D287,Doors!$B:$B,$B287,Doors!$C:$C,$C287)*SUMIFS(Velocity!$I:$I,Velocity!$A:$A,$A287,Velocity!$B:$B,$C287)/Assumptions!$B$4*Assumptions!$B$6</f>
        <v>0</v>
      </c>
      <c r="AV287" s="7" t="n">
        <f aca="false">SUMIFS(Doors!BH:BH,Doors!$A:$A,$D287,Doors!$B:$B,$B287,Doors!$C:$C,$C287)*SUMIFS(Velocity!$I:$I,Velocity!$A:$A,$A287,Velocity!$B:$B,$C287)/Assumptions!$B$4*Assumptions!$B$6</f>
        <v>0</v>
      </c>
      <c r="AW287" s="7" t="n">
        <f aca="false">SUMIFS(Doors!BI:BI,Doors!$A:$A,$D287,Doors!$B:$B,$B287,Doors!$C:$C,$C287)*SUMIFS(Velocity!$I:$I,Velocity!$A:$A,$A287,Velocity!$B:$B,$C287)/Assumptions!$B$4*Assumptions!$B$6</f>
        <v>0</v>
      </c>
      <c r="AX287" s="7" t="n">
        <f aca="false">SUMIFS(Doors!BJ:BJ,Doors!$A:$A,$D287,Doors!$B:$B,$B287,Doors!$C:$C,$C287)*SUMIFS(Velocity!$I:$I,Velocity!$A:$A,$A287,Velocity!$B:$B,$C287)/Assumptions!$B$4*Assumptions!$B$6</f>
        <v>0</v>
      </c>
      <c r="AY287" s="7" t="n">
        <f aca="false">SUMIFS(Doors!BK:BK,Doors!$A:$A,$D287,Doors!$B:$B,$B287,Doors!$C:$C,$C287)*SUMIFS(Velocity!$I:$I,Velocity!$A:$A,$A287,Velocity!$B:$B,$C287)/Assumptions!$B$4*Assumptions!$B$6</f>
        <v>0</v>
      </c>
      <c r="AZ287" s="7" t="n">
        <f aca="false">SUMIFS(Doors!BL:BL,Doors!$A:$A,$D287,Doors!$B:$B,$B287,Doors!$C:$C,$C287)*SUMIFS(Velocity!$I:$I,Velocity!$A:$A,$A287,Velocity!$B:$B,$C287)/Assumptions!$B$4*Assumptions!$B$6</f>
        <v>0</v>
      </c>
      <c r="BA287" s="7" t="n">
        <f aca="false">SUMIFS(Doors!BM:BM,Doors!$A:$A,$D287,Doors!$B:$B,$B287,Doors!$C:$C,$C287)*SUMIFS(Velocity!$I:$I,Velocity!$A:$A,$A287,Velocity!$B:$B,$C287)/Assumptions!$B$4*Assumptions!$B$6</f>
        <v>0</v>
      </c>
      <c r="BB287" s="7" t="n">
        <f aca="false">SUMIFS(Doors!BN:BN,Doors!$A:$A,$D287,Doors!$B:$B,$B287,Doors!$C:$C,$C287)*SUMIFS(Velocity!$I:$I,Velocity!$A:$A,$A287,Velocity!$B:$B,$C287)/Assumptions!$B$4*Assumptions!$B$6</f>
        <v>0</v>
      </c>
      <c r="BC287" s="7" t="n">
        <f aca="false">SUMIFS(Doors!BO:BO,Doors!$A:$A,$D287,Doors!$B:$B,$B287,Doors!$C:$C,$C287)*SUMIFS(Velocity!$I:$I,Velocity!$A:$A,$A287,Velocity!$B:$B,$C287)/Assumptions!$B$4*Assumptions!$B$6</f>
        <v>0</v>
      </c>
      <c r="BD287" s="7" t="n">
        <f aca="false">SUMIFS(Doors!BP:BP,Doors!$A:$A,$D287,Doors!$B:$B,$B287,Doors!$C:$C,$C287)*SUMIFS(Velocity!$I:$I,Velocity!$A:$A,$A287,Velocity!$B:$B,$C287)/Assumptions!$B$4*Assumptions!$B$6</f>
        <v>0</v>
      </c>
    </row>
    <row r="288" customFormat="false" ht="15" hidden="false" customHeight="false" outlineLevel="0" collapsed="false">
      <c r="A288" s="0" t="s">
        <v>111</v>
      </c>
      <c r="B288" s="0" t="s">
        <v>127</v>
      </c>
      <c r="C288" s="0" t="s">
        <v>118</v>
      </c>
      <c r="D288" s="0" t="s">
        <v>236</v>
      </c>
      <c r="E288" s="7" t="n">
        <f aca="false">SUMIFS(Doors!Q:Q,Doors!$A:$A,$D288,Doors!$B:$B,$B288,Doors!$C:$C,$C288)*SUMIFS(Velocity!$I:$I,Velocity!$A:$A,$A288,Velocity!$B:$B,$C288)/Assumptions!$B$4*Assumptions!$B$6</f>
        <v>0</v>
      </c>
      <c r="F288" s="7" t="n">
        <f aca="false">SUMIFS(Doors!R:R,Doors!$A:$A,$D288,Doors!$B:$B,$B288,Doors!$C:$C,$C288)*SUMIFS(Velocity!$I:$I,Velocity!$A:$A,$A288,Velocity!$B:$B,$C288)/Assumptions!$B$4*Assumptions!$B$6</f>
        <v>0</v>
      </c>
      <c r="G288" s="7" t="n">
        <f aca="false">SUMIFS(Doors!S:S,Doors!$A:$A,$D288,Doors!$B:$B,$B288,Doors!$C:$C,$C288)*SUMIFS(Velocity!$I:$I,Velocity!$A:$A,$A288,Velocity!$B:$B,$C288)/Assumptions!$B$4*Assumptions!$B$6</f>
        <v>0</v>
      </c>
      <c r="H288" s="7" t="n">
        <f aca="false">SUMIFS(Doors!T:T,Doors!$A:$A,$D288,Doors!$B:$B,$B288,Doors!$C:$C,$C288)*SUMIFS(Velocity!$I:$I,Velocity!$A:$A,$A288,Velocity!$B:$B,$C288)/Assumptions!$B$4*Assumptions!$B$6</f>
        <v>0</v>
      </c>
      <c r="I288" s="7" t="n">
        <f aca="false">SUMIFS(Doors!U:U,Doors!$A:$A,$D288,Doors!$B:$B,$B288,Doors!$C:$C,$C288)*SUMIFS(Velocity!$I:$I,Velocity!$A:$A,$A288,Velocity!$B:$B,$C288)/Assumptions!$B$4*Assumptions!$B$6</f>
        <v>0</v>
      </c>
      <c r="J288" s="7" t="n">
        <f aca="false">SUMIFS(Doors!V:V,Doors!$A:$A,$D288,Doors!$B:$B,$B288,Doors!$C:$C,$C288)*SUMIFS(Velocity!$I:$I,Velocity!$A:$A,$A288,Velocity!$B:$B,$C288)/Assumptions!$B$4*Assumptions!$B$6</f>
        <v>0</v>
      </c>
      <c r="K288" s="7" t="n">
        <f aca="false">SUMIFS(Doors!W:W,Doors!$A:$A,$D288,Doors!$B:$B,$B288,Doors!$C:$C,$C288)*SUMIFS(Velocity!$I:$I,Velocity!$A:$A,$A288,Velocity!$B:$B,$C288)/Assumptions!$B$4*Assumptions!$B$6</f>
        <v>0</v>
      </c>
      <c r="L288" s="7" t="n">
        <f aca="false">SUMIFS(Doors!X:X,Doors!$A:$A,$D288,Doors!$B:$B,$B288,Doors!$C:$C,$C288)*SUMIFS(Velocity!$I:$I,Velocity!$A:$A,$A288,Velocity!$B:$B,$C288)/Assumptions!$B$4*Assumptions!$B$6</f>
        <v>0</v>
      </c>
      <c r="M288" s="7" t="n">
        <f aca="false">SUMIFS(Doors!Y:Y,Doors!$A:$A,$D288,Doors!$B:$B,$B288,Doors!$C:$C,$C288)*SUMIFS(Velocity!$I:$I,Velocity!$A:$A,$A288,Velocity!$B:$B,$C288)/Assumptions!$B$4*Assumptions!$B$6</f>
        <v>0</v>
      </c>
      <c r="N288" s="7" t="n">
        <f aca="false">SUMIFS(Doors!Z:Z,Doors!$A:$A,$D288,Doors!$B:$B,$B288,Doors!$C:$C,$C288)*SUMIFS(Velocity!$I:$I,Velocity!$A:$A,$A288,Velocity!$B:$B,$C288)/Assumptions!$B$4*Assumptions!$B$6</f>
        <v>0</v>
      </c>
      <c r="O288" s="7" t="n">
        <f aca="false">SUMIFS(Doors!AA:AA,Doors!$A:$A,$D288,Doors!$B:$B,$B288,Doors!$C:$C,$C288)*SUMIFS(Velocity!$I:$I,Velocity!$A:$A,$A288,Velocity!$B:$B,$C288)/Assumptions!$B$4*Assumptions!$B$6</f>
        <v>0</v>
      </c>
      <c r="P288" s="7" t="n">
        <f aca="false">SUMIFS(Doors!AB:AB,Doors!$A:$A,$D288,Doors!$B:$B,$B288,Doors!$C:$C,$C288)*SUMIFS(Velocity!$I:$I,Velocity!$A:$A,$A288,Velocity!$B:$B,$C288)/Assumptions!$B$4*Assumptions!$B$6</f>
        <v>0</v>
      </c>
      <c r="Q288" s="7" t="n">
        <f aca="false">SUMIFS(Doors!AC:AC,Doors!$A:$A,$D288,Doors!$B:$B,$B288,Doors!$C:$C,$C288)*SUMIFS(Velocity!$I:$I,Velocity!$A:$A,$A288,Velocity!$B:$B,$C288)/Assumptions!$B$4*Assumptions!$B$6</f>
        <v>0</v>
      </c>
      <c r="R288" s="7" t="n">
        <f aca="false">SUMIFS(Doors!AD:AD,Doors!$A:$A,$D288,Doors!$B:$B,$B288,Doors!$C:$C,$C288)*SUMIFS(Velocity!$I:$I,Velocity!$A:$A,$A288,Velocity!$B:$B,$C288)/Assumptions!$B$4*Assumptions!$B$6</f>
        <v>0</v>
      </c>
      <c r="S288" s="7" t="n">
        <f aca="false">SUMIFS(Doors!AE:AE,Doors!$A:$A,$D288,Doors!$B:$B,$B288,Doors!$C:$C,$C288)*SUMIFS(Velocity!$I:$I,Velocity!$A:$A,$A288,Velocity!$B:$B,$C288)/Assumptions!$B$4*Assumptions!$B$6</f>
        <v>0</v>
      </c>
      <c r="T288" s="7" t="n">
        <f aca="false">SUMIFS(Doors!AF:AF,Doors!$A:$A,$D288,Doors!$B:$B,$B288,Doors!$C:$C,$C288)*SUMIFS(Velocity!$I:$I,Velocity!$A:$A,$A288,Velocity!$B:$B,$C288)/Assumptions!$B$4*Assumptions!$B$6</f>
        <v>0</v>
      </c>
      <c r="U288" s="7" t="n">
        <f aca="false">SUMIFS(Doors!AG:AG,Doors!$A:$A,$D288,Doors!$B:$B,$B288,Doors!$C:$C,$C288)*SUMIFS(Velocity!$I:$I,Velocity!$A:$A,$A288,Velocity!$B:$B,$C288)/Assumptions!$B$4*Assumptions!$B$6</f>
        <v>0</v>
      </c>
      <c r="V288" s="7" t="n">
        <f aca="false">SUMIFS(Doors!AH:AH,Doors!$A:$A,$D288,Doors!$B:$B,$B288,Doors!$C:$C,$C288)*SUMIFS(Velocity!$I:$I,Velocity!$A:$A,$A288,Velocity!$B:$B,$C288)/Assumptions!$B$4*Assumptions!$B$6</f>
        <v>0</v>
      </c>
      <c r="W288" s="7" t="n">
        <f aca="false">SUMIFS(Doors!AI:AI,Doors!$A:$A,$D288,Doors!$B:$B,$B288,Doors!$C:$C,$C288)*SUMIFS(Velocity!$I:$I,Velocity!$A:$A,$A288,Velocity!$B:$B,$C288)/Assumptions!$B$4*Assumptions!$B$6</f>
        <v>0</v>
      </c>
      <c r="X288" s="7" t="n">
        <f aca="false">SUMIFS(Doors!AJ:AJ,Doors!$A:$A,$D288,Doors!$B:$B,$B288,Doors!$C:$C,$C288)*SUMIFS(Velocity!$I:$I,Velocity!$A:$A,$A288,Velocity!$B:$B,$C288)/Assumptions!$B$4*Assumptions!$B$6</f>
        <v>0</v>
      </c>
      <c r="Y288" s="7" t="n">
        <f aca="false">SUMIFS(Doors!AK:AK,Doors!$A:$A,$D288,Doors!$B:$B,$B288,Doors!$C:$C,$C288)*SUMIFS(Velocity!$I:$I,Velocity!$A:$A,$A288,Velocity!$B:$B,$C288)/Assumptions!$B$4*Assumptions!$B$6</f>
        <v>0</v>
      </c>
      <c r="Z288" s="7" t="n">
        <f aca="false">SUMIFS(Doors!AL:AL,Doors!$A:$A,$D288,Doors!$B:$B,$B288,Doors!$C:$C,$C288)*SUMIFS(Velocity!$I:$I,Velocity!$A:$A,$A288,Velocity!$B:$B,$C288)/Assumptions!$B$4*Assumptions!$B$6</f>
        <v>0</v>
      </c>
      <c r="AA288" s="7" t="n">
        <f aca="false">SUMIFS(Doors!AM:AM,Doors!$A:$A,$D288,Doors!$B:$B,$B288,Doors!$C:$C,$C288)*SUMIFS(Velocity!$I:$I,Velocity!$A:$A,$A288,Velocity!$B:$B,$C288)/Assumptions!$B$4*Assumptions!$B$6</f>
        <v>0</v>
      </c>
      <c r="AB288" s="7" t="n">
        <f aca="false">SUMIFS(Doors!AN:AN,Doors!$A:$A,$D288,Doors!$B:$B,$B288,Doors!$C:$C,$C288)*SUMIFS(Velocity!$I:$I,Velocity!$A:$A,$A288,Velocity!$B:$B,$C288)/Assumptions!$B$4*Assumptions!$B$6</f>
        <v>0</v>
      </c>
      <c r="AC288" s="7" t="n">
        <f aca="false">SUMIFS(Doors!AO:AO,Doors!$A:$A,$D288,Doors!$B:$B,$B288,Doors!$C:$C,$C288)*SUMIFS(Velocity!$I:$I,Velocity!$A:$A,$A288,Velocity!$B:$B,$C288)/Assumptions!$B$4*Assumptions!$B$6</f>
        <v>0</v>
      </c>
      <c r="AD288" s="7" t="n">
        <f aca="false">SUMIFS(Doors!AP:AP,Doors!$A:$A,$D288,Doors!$B:$B,$B288,Doors!$C:$C,$C288)*SUMIFS(Velocity!$I:$I,Velocity!$A:$A,$A288,Velocity!$B:$B,$C288)/Assumptions!$B$4*Assumptions!$B$6</f>
        <v>0</v>
      </c>
      <c r="AE288" s="7" t="n">
        <f aca="false">SUMIFS(Doors!AQ:AQ,Doors!$A:$A,$D288,Doors!$B:$B,$B288,Doors!$C:$C,$C288)*SUMIFS(Velocity!$I:$I,Velocity!$A:$A,$A288,Velocity!$B:$B,$C288)/Assumptions!$B$4*Assumptions!$B$6</f>
        <v>0</v>
      </c>
      <c r="AF288" s="7" t="n">
        <f aca="false">SUMIFS(Doors!AR:AR,Doors!$A:$A,$D288,Doors!$B:$B,$B288,Doors!$C:$C,$C288)*SUMIFS(Velocity!$I:$I,Velocity!$A:$A,$A288,Velocity!$B:$B,$C288)/Assumptions!$B$4*Assumptions!$B$6</f>
        <v>0</v>
      </c>
      <c r="AG288" s="7" t="n">
        <f aca="false">SUMIFS(Doors!AS:AS,Doors!$A:$A,$D288,Doors!$B:$B,$B288,Doors!$C:$C,$C288)*SUMIFS(Velocity!$I:$I,Velocity!$A:$A,$A288,Velocity!$B:$B,$C288)/Assumptions!$B$4*Assumptions!$B$6</f>
        <v>0</v>
      </c>
      <c r="AH288" s="7" t="n">
        <f aca="false">SUMIFS(Doors!AT:AT,Doors!$A:$A,$D288,Doors!$B:$B,$B288,Doors!$C:$C,$C288)*SUMIFS(Velocity!$I:$I,Velocity!$A:$A,$A288,Velocity!$B:$B,$C288)/Assumptions!$B$4*Assumptions!$B$6</f>
        <v>0</v>
      </c>
      <c r="AI288" s="7" t="n">
        <f aca="false">SUMIFS(Doors!AU:AU,Doors!$A:$A,$D288,Doors!$B:$B,$B288,Doors!$C:$C,$C288)*SUMIFS(Velocity!$I:$I,Velocity!$A:$A,$A288,Velocity!$B:$B,$C288)/Assumptions!$B$4*Assumptions!$B$6</f>
        <v>0</v>
      </c>
      <c r="AJ288" s="7" t="n">
        <f aca="false">SUMIFS(Doors!AV:AV,Doors!$A:$A,$D288,Doors!$B:$B,$B288,Doors!$C:$C,$C288)*SUMIFS(Velocity!$I:$I,Velocity!$A:$A,$A288,Velocity!$B:$B,$C288)/Assumptions!$B$4*Assumptions!$B$6</f>
        <v>0</v>
      </c>
      <c r="AK288" s="7" t="n">
        <f aca="false">SUMIFS(Doors!AW:AW,Doors!$A:$A,$D288,Doors!$B:$B,$B288,Doors!$C:$C,$C288)*SUMIFS(Velocity!$I:$I,Velocity!$A:$A,$A288,Velocity!$B:$B,$C288)/Assumptions!$B$4*Assumptions!$B$6</f>
        <v>0</v>
      </c>
      <c r="AL288" s="7" t="n">
        <f aca="false">SUMIFS(Doors!AX:AX,Doors!$A:$A,$D288,Doors!$B:$B,$B288,Doors!$C:$C,$C288)*SUMIFS(Velocity!$I:$I,Velocity!$A:$A,$A288,Velocity!$B:$B,$C288)/Assumptions!$B$4*Assumptions!$B$6</f>
        <v>0</v>
      </c>
      <c r="AM288" s="7" t="n">
        <f aca="false">SUMIFS(Doors!AY:AY,Doors!$A:$A,$D288,Doors!$B:$B,$B288,Doors!$C:$C,$C288)*SUMIFS(Velocity!$I:$I,Velocity!$A:$A,$A288,Velocity!$B:$B,$C288)/Assumptions!$B$4*Assumptions!$B$6</f>
        <v>0</v>
      </c>
      <c r="AN288" s="7" t="n">
        <f aca="false">SUMIFS(Doors!AZ:AZ,Doors!$A:$A,$D288,Doors!$B:$B,$B288,Doors!$C:$C,$C288)*SUMIFS(Velocity!$I:$I,Velocity!$A:$A,$A288,Velocity!$B:$B,$C288)/Assumptions!$B$4*Assumptions!$B$6</f>
        <v>0</v>
      </c>
      <c r="AO288" s="7" t="n">
        <f aca="false">SUMIFS(Doors!BA:BA,Doors!$A:$A,$D288,Doors!$B:$B,$B288,Doors!$C:$C,$C288)*SUMIFS(Velocity!$I:$I,Velocity!$A:$A,$A288,Velocity!$B:$B,$C288)/Assumptions!$B$4*Assumptions!$B$6</f>
        <v>0</v>
      </c>
      <c r="AP288" s="7" t="n">
        <f aca="false">SUMIFS(Doors!BB:BB,Doors!$A:$A,$D288,Doors!$B:$B,$B288,Doors!$C:$C,$C288)*SUMIFS(Velocity!$I:$I,Velocity!$A:$A,$A288,Velocity!$B:$B,$C288)/Assumptions!$B$4*Assumptions!$B$6</f>
        <v>0</v>
      </c>
      <c r="AQ288" s="7" t="n">
        <f aca="false">SUMIFS(Doors!BC:BC,Doors!$A:$A,$D288,Doors!$B:$B,$B288,Doors!$C:$C,$C288)*SUMIFS(Velocity!$I:$I,Velocity!$A:$A,$A288,Velocity!$B:$B,$C288)/Assumptions!$B$4*Assumptions!$B$6</f>
        <v>0</v>
      </c>
      <c r="AR288" s="7" t="n">
        <f aca="false">SUMIFS(Doors!BD:BD,Doors!$A:$A,$D288,Doors!$B:$B,$B288,Doors!$C:$C,$C288)*SUMIFS(Velocity!$I:$I,Velocity!$A:$A,$A288,Velocity!$B:$B,$C288)/Assumptions!$B$4*Assumptions!$B$6</f>
        <v>0</v>
      </c>
      <c r="AS288" s="7" t="n">
        <f aca="false">SUMIFS(Doors!BE:BE,Doors!$A:$A,$D288,Doors!$B:$B,$B288,Doors!$C:$C,$C288)*SUMIFS(Velocity!$I:$I,Velocity!$A:$A,$A288,Velocity!$B:$B,$C288)/Assumptions!$B$4*Assumptions!$B$6</f>
        <v>0</v>
      </c>
      <c r="AT288" s="7" t="n">
        <f aca="false">SUMIFS(Doors!BF:BF,Doors!$A:$A,$D288,Doors!$B:$B,$B288,Doors!$C:$C,$C288)*SUMIFS(Velocity!$I:$I,Velocity!$A:$A,$A288,Velocity!$B:$B,$C288)/Assumptions!$B$4*Assumptions!$B$6</f>
        <v>0</v>
      </c>
      <c r="AU288" s="7" t="n">
        <f aca="false">SUMIFS(Doors!BG:BG,Doors!$A:$A,$D288,Doors!$B:$B,$B288,Doors!$C:$C,$C288)*SUMIFS(Velocity!$I:$I,Velocity!$A:$A,$A288,Velocity!$B:$B,$C288)/Assumptions!$B$4*Assumptions!$B$6</f>
        <v>0</v>
      </c>
      <c r="AV288" s="7" t="n">
        <f aca="false">SUMIFS(Doors!BH:BH,Doors!$A:$A,$D288,Doors!$B:$B,$B288,Doors!$C:$C,$C288)*SUMIFS(Velocity!$I:$I,Velocity!$A:$A,$A288,Velocity!$B:$B,$C288)/Assumptions!$B$4*Assumptions!$B$6</f>
        <v>0</v>
      </c>
      <c r="AW288" s="7" t="n">
        <f aca="false">SUMIFS(Doors!BI:BI,Doors!$A:$A,$D288,Doors!$B:$B,$B288,Doors!$C:$C,$C288)*SUMIFS(Velocity!$I:$I,Velocity!$A:$A,$A288,Velocity!$B:$B,$C288)/Assumptions!$B$4*Assumptions!$B$6</f>
        <v>0</v>
      </c>
      <c r="AX288" s="7" t="n">
        <f aca="false">SUMIFS(Doors!BJ:BJ,Doors!$A:$A,$D288,Doors!$B:$B,$B288,Doors!$C:$C,$C288)*SUMIFS(Velocity!$I:$I,Velocity!$A:$A,$A288,Velocity!$B:$B,$C288)/Assumptions!$B$4*Assumptions!$B$6</f>
        <v>0</v>
      </c>
      <c r="AY288" s="7" t="n">
        <f aca="false">SUMIFS(Doors!BK:BK,Doors!$A:$A,$D288,Doors!$B:$B,$B288,Doors!$C:$C,$C288)*SUMIFS(Velocity!$I:$I,Velocity!$A:$A,$A288,Velocity!$B:$B,$C288)/Assumptions!$B$4*Assumptions!$B$6</f>
        <v>0</v>
      </c>
      <c r="AZ288" s="7" t="n">
        <f aca="false">SUMIFS(Doors!BL:BL,Doors!$A:$A,$D288,Doors!$B:$B,$B288,Doors!$C:$C,$C288)*SUMIFS(Velocity!$I:$I,Velocity!$A:$A,$A288,Velocity!$B:$B,$C288)/Assumptions!$B$4*Assumptions!$B$6</f>
        <v>0</v>
      </c>
      <c r="BA288" s="7" t="n">
        <f aca="false">SUMIFS(Doors!BM:BM,Doors!$A:$A,$D288,Doors!$B:$B,$B288,Doors!$C:$C,$C288)*SUMIFS(Velocity!$I:$I,Velocity!$A:$A,$A288,Velocity!$B:$B,$C288)/Assumptions!$B$4*Assumptions!$B$6</f>
        <v>0</v>
      </c>
      <c r="BB288" s="7" t="n">
        <f aca="false">SUMIFS(Doors!BN:BN,Doors!$A:$A,$D288,Doors!$B:$B,$B288,Doors!$C:$C,$C288)*SUMIFS(Velocity!$I:$I,Velocity!$A:$A,$A288,Velocity!$B:$B,$C288)/Assumptions!$B$4*Assumptions!$B$6</f>
        <v>0</v>
      </c>
      <c r="BC288" s="7" t="n">
        <f aca="false">SUMIFS(Doors!BO:BO,Doors!$A:$A,$D288,Doors!$B:$B,$B288,Doors!$C:$C,$C288)*SUMIFS(Velocity!$I:$I,Velocity!$A:$A,$A288,Velocity!$B:$B,$C288)/Assumptions!$B$4*Assumptions!$B$6</f>
        <v>0</v>
      </c>
      <c r="BD288" s="7" t="n">
        <f aca="false">SUMIFS(Doors!BP:BP,Doors!$A:$A,$D288,Doors!$B:$B,$B288,Doors!$C:$C,$C288)*SUMIFS(Velocity!$I:$I,Velocity!$A:$A,$A288,Velocity!$B:$B,$C288)/Assumptions!$B$4*Assumptions!$B$6</f>
        <v>0</v>
      </c>
    </row>
    <row r="289" customFormat="false" ht="15" hidden="false" customHeight="false" outlineLevel="0" collapsed="false">
      <c r="A289" s="0" t="s">
        <v>111</v>
      </c>
      <c r="B289" s="0" t="s">
        <v>127</v>
      </c>
      <c r="C289" s="0" t="s">
        <v>119</v>
      </c>
      <c r="D289" s="0" t="s">
        <v>236</v>
      </c>
      <c r="E289" s="7" t="n">
        <f aca="false">SUMIFS(Doors!Q:Q,Doors!$A:$A,$D289,Doors!$B:$B,$B289,Doors!$C:$C,$C289)*SUMIFS(Velocity!$I:$I,Velocity!$A:$A,$A289,Velocity!$B:$B,$C289)/Assumptions!$B$4*Assumptions!$B$6</f>
        <v>0</v>
      </c>
      <c r="F289" s="7" t="n">
        <f aca="false">SUMIFS(Doors!R:R,Doors!$A:$A,$D289,Doors!$B:$B,$B289,Doors!$C:$C,$C289)*SUMIFS(Velocity!$I:$I,Velocity!$A:$A,$A289,Velocity!$B:$B,$C289)/Assumptions!$B$4*Assumptions!$B$6</f>
        <v>0</v>
      </c>
      <c r="G289" s="7" t="n">
        <f aca="false">SUMIFS(Doors!S:S,Doors!$A:$A,$D289,Doors!$B:$B,$B289,Doors!$C:$C,$C289)*SUMIFS(Velocity!$I:$I,Velocity!$A:$A,$A289,Velocity!$B:$B,$C289)/Assumptions!$B$4*Assumptions!$B$6</f>
        <v>0</v>
      </c>
      <c r="H289" s="7" t="n">
        <f aca="false">SUMIFS(Doors!T:T,Doors!$A:$A,$D289,Doors!$B:$B,$B289,Doors!$C:$C,$C289)*SUMIFS(Velocity!$I:$I,Velocity!$A:$A,$A289,Velocity!$B:$B,$C289)/Assumptions!$B$4*Assumptions!$B$6</f>
        <v>0</v>
      </c>
      <c r="I289" s="7" t="n">
        <f aca="false">SUMIFS(Doors!U:U,Doors!$A:$A,$D289,Doors!$B:$B,$B289,Doors!$C:$C,$C289)*SUMIFS(Velocity!$I:$I,Velocity!$A:$A,$A289,Velocity!$B:$B,$C289)/Assumptions!$B$4*Assumptions!$B$6</f>
        <v>0</v>
      </c>
      <c r="J289" s="7" t="n">
        <f aca="false">SUMIFS(Doors!V:V,Doors!$A:$A,$D289,Doors!$B:$B,$B289,Doors!$C:$C,$C289)*SUMIFS(Velocity!$I:$I,Velocity!$A:$A,$A289,Velocity!$B:$B,$C289)/Assumptions!$B$4*Assumptions!$B$6</f>
        <v>0</v>
      </c>
      <c r="K289" s="7" t="n">
        <f aca="false">SUMIFS(Doors!W:W,Doors!$A:$A,$D289,Doors!$B:$B,$B289,Doors!$C:$C,$C289)*SUMIFS(Velocity!$I:$I,Velocity!$A:$A,$A289,Velocity!$B:$B,$C289)/Assumptions!$B$4*Assumptions!$B$6</f>
        <v>0</v>
      </c>
      <c r="L289" s="7" t="n">
        <f aca="false">SUMIFS(Doors!X:X,Doors!$A:$A,$D289,Doors!$B:$B,$B289,Doors!$C:$C,$C289)*SUMIFS(Velocity!$I:$I,Velocity!$A:$A,$A289,Velocity!$B:$B,$C289)/Assumptions!$B$4*Assumptions!$B$6</f>
        <v>0</v>
      </c>
      <c r="M289" s="7" t="n">
        <f aca="false">SUMIFS(Doors!Y:Y,Doors!$A:$A,$D289,Doors!$B:$B,$B289,Doors!$C:$C,$C289)*SUMIFS(Velocity!$I:$I,Velocity!$A:$A,$A289,Velocity!$B:$B,$C289)/Assumptions!$B$4*Assumptions!$B$6</f>
        <v>0</v>
      </c>
      <c r="N289" s="7" t="n">
        <f aca="false">SUMIFS(Doors!Z:Z,Doors!$A:$A,$D289,Doors!$B:$B,$B289,Doors!$C:$C,$C289)*SUMIFS(Velocity!$I:$I,Velocity!$A:$A,$A289,Velocity!$B:$B,$C289)/Assumptions!$B$4*Assumptions!$B$6</f>
        <v>0</v>
      </c>
      <c r="O289" s="7" t="n">
        <f aca="false">SUMIFS(Doors!AA:AA,Doors!$A:$A,$D289,Doors!$B:$B,$B289,Doors!$C:$C,$C289)*SUMIFS(Velocity!$I:$I,Velocity!$A:$A,$A289,Velocity!$B:$B,$C289)/Assumptions!$B$4*Assumptions!$B$6</f>
        <v>0</v>
      </c>
      <c r="P289" s="7" t="n">
        <f aca="false">SUMIFS(Doors!AB:AB,Doors!$A:$A,$D289,Doors!$B:$B,$B289,Doors!$C:$C,$C289)*SUMIFS(Velocity!$I:$I,Velocity!$A:$A,$A289,Velocity!$B:$B,$C289)/Assumptions!$B$4*Assumptions!$B$6</f>
        <v>0</v>
      </c>
      <c r="Q289" s="7" t="n">
        <f aca="false">SUMIFS(Doors!AC:AC,Doors!$A:$A,$D289,Doors!$B:$B,$B289,Doors!$C:$C,$C289)*SUMIFS(Velocity!$I:$I,Velocity!$A:$A,$A289,Velocity!$B:$B,$C289)/Assumptions!$B$4*Assumptions!$B$6</f>
        <v>0</v>
      </c>
      <c r="R289" s="7" t="n">
        <f aca="false">SUMIFS(Doors!AD:AD,Doors!$A:$A,$D289,Doors!$B:$B,$B289,Doors!$C:$C,$C289)*SUMIFS(Velocity!$I:$I,Velocity!$A:$A,$A289,Velocity!$B:$B,$C289)/Assumptions!$B$4*Assumptions!$B$6</f>
        <v>0</v>
      </c>
      <c r="S289" s="7" t="n">
        <f aca="false">SUMIFS(Doors!AE:AE,Doors!$A:$A,$D289,Doors!$B:$B,$B289,Doors!$C:$C,$C289)*SUMIFS(Velocity!$I:$I,Velocity!$A:$A,$A289,Velocity!$B:$B,$C289)/Assumptions!$B$4*Assumptions!$B$6</f>
        <v>0</v>
      </c>
      <c r="T289" s="7" t="n">
        <f aca="false">SUMIFS(Doors!AF:AF,Doors!$A:$A,$D289,Doors!$B:$B,$B289,Doors!$C:$C,$C289)*SUMIFS(Velocity!$I:$I,Velocity!$A:$A,$A289,Velocity!$B:$B,$C289)/Assumptions!$B$4*Assumptions!$B$6</f>
        <v>0</v>
      </c>
      <c r="U289" s="7" t="n">
        <f aca="false">SUMIFS(Doors!AG:AG,Doors!$A:$A,$D289,Doors!$B:$B,$B289,Doors!$C:$C,$C289)*SUMIFS(Velocity!$I:$I,Velocity!$A:$A,$A289,Velocity!$B:$B,$C289)/Assumptions!$B$4*Assumptions!$B$6</f>
        <v>0</v>
      </c>
      <c r="V289" s="7" t="n">
        <f aca="false">SUMIFS(Doors!AH:AH,Doors!$A:$A,$D289,Doors!$B:$B,$B289,Doors!$C:$C,$C289)*SUMIFS(Velocity!$I:$I,Velocity!$A:$A,$A289,Velocity!$B:$B,$C289)/Assumptions!$B$4*Assumptions!$B$6</f>
        <v>0</v>
      </c>
      <c r="W289" s="7" t="n">
        <f aca="false">SUMIFS(Doors!AI:AI,Doors!$A:$A,$D289,Doors!$B:$B,$B289,Doors!$C:$C,$C289)*SUMIFS(Velocity!$I:$I,Velocity!$A:$A,$A289,Velocity!$B:$B,$C289)/Assumptions!$B$4*Assumptions!$B$6</f>
        <v>0</v>
      </c>
      <c r="X289" s="7" t="n">
        <f aca="false">SUMIFS(Doors!AJ:AJ,Doors!$A:$A,$D289,Doors!$B:$B,$B289,Doors!$C:$C,$C289)*SUMIFS(Velocity!$I:$I,Velocity!$A:$A,$A289,Velocity!$B:$B,$C289)/Assumptions!$B$4*Assumptions!$B$6</f>
        <v>0</v>
      </c>
      <c r="Y289" s="7" t="n">
        <f aca="false">SUMIFS(Doors!AK:AK,Doors!$A:$A,$D289,Doors!$B:$B,$B289,Doors!$C:$C,$C289)*SUMIFS(Velocity!$I:$I,Velocity!$A:$A,$A289,Velocity!$B:$B,$C289)/Assumptions!$B$4*Assumptions!$B$6</f>
        <v>0</v>
      </c>
      <c r="Z289" s="7" t="n">
        <f aca="false">SUMIFS(Doors!AL:AL,Doors!$A:$A,$D289,Doors!$B:$B,$B289,Doors!$C:$C,$C289)*SUMIFS(Velocity!$I:$I,Velocity!$A:$A,$A289,Velocity!$B:$B,$C289)/Assumptions!$B$4*Assumptions!$B$6</f>
        <v>0</v>
      </c>
      <c r="AA289" s="7" t="n">
        <f aca="false">SUMIFS(Doors!AM:AM,Doors!$A:$A,$D289,Doors!$B:$B,$B289,Doors!$C:$C,$C289)*SUMIFS(Velocity!$I:$I,Velocity!$A:$A,$A289,Velocity!$B:$B,$C289)/Assumptions!$B$4*Assumptions!$B$6</f>
        <v>0</v>
      </c>
      <c r="AB289" s="7" t="n">
        <f aca="false">SUMIFS(Doors!AN:AN,Doors!$A:$A,$D289,Doors!$B:$B,$B289,Doors!$C:$C,$C289)*SUMIFS(Velocity!$I:$I,Velocity!$A:$A,$A289,Velocity!$B:$B,$C289)/Assumptions!$B$4*Assumptions!$B$6</f>
        <v>0</v>
      </c>
      <c r="AC289" s="7" t="n">
        <f aca="false">SUMIFS(Doors!AO:AO,Doors!$A:$A,$D289,Doors!$B:$B,$B289,Doors!$C:$C,$C289)*SUMIFS(Velocity!$I:$I,Velocity!$A:$A,$A289,Velocity!$B:$B,$C289)/Assumptions!$B$4*Assumptions!$B$6</f>
        <v>0</v>
      </c>
      <c r="AD289" s="7" t="n">
        <f aca="false">SUMIFS(Doors!AP:AP,Doors!$A:$A,$D289,Doors!$B:$B,$B289,Doors!$C:$C,$C289)*SUMIFS(Velocity!$I:$I,Velocity!$A:$A,$A289,Velocity!$B:$B,$C289)/Assumptions!$B$4*Assumptions!$B$6</f>
        <v>0</v>
      </c>
      <c r="AE289" s="7" t="n">
        <f aca="false">SUMIFS(Doors!AQ:AQ,Doors!$A:$A,$D289,Doors!$B:$B,$B289,Doors!$C:$C,$C289)*SUMIFS(Velocity!$I:$I,Velocity!$A:$A,$A289,Velocity!$B:$B,$C289)/Assumptions!$B$4*Assumptions!$B$6</f>
        <v>0</v>
      </c>
      <c r="AF289" s="7" t="n">
        <f aca="false">SUMIFS(Doors!AR:AR,Doors!$A:$A,$D289,Doors!$B:$B,$B289,Doors!$C:$C,$C289)*SUMIFS(Velocity!$I:$I,Velocity!$A:$A,$A289,Velocity!$B:$B,$C289)/Assumptions!$B$4*Assumptions!$B$6</f>
        <v>0</v>
      </c>
      <c r="AG289" s="7" t="n">
        <f aca="false">SUMIFS(Doors!AS:AS,Doors!$A:$A,$D289,Doors!$B:$B,$B289,Doors!$C:$C,$C289)*SUMIFS(Velocity!$I:$I,Velocity!$A:$A,$A289,Velocity!$B:$B,$C289)/Assumptions!$B$4*Assumptions!$B$6</f>
        <v>0</v>
      </c>
      <c r="AH289" s="7" t="n">
        <f aca="false">SUMIFS(Doors!AT:AT,Doors!$A:$A,$D289,Doors!$B:$B,$B289,Doors!$C:$C,$C289)*SUMIFS(Velocity!$I:$I,Velocity!$A:$A,$A289,Velocity!$B:$B,$C289)/Assumptions!$B$4*Assumptions!$B$6</f>
        <v>0</v>
      </c>
      <c r="AI289" s="7" t="n">
        <f aca="false">SUMIFS(Doors!AU:AU,Doors!$A:$A,$D289,Doors!$B:$B,$B289,Doors!$C:$C,$C289)*SUMIFS(Velocity!$I:$I,Velocity!$A:$A,$A289,Velocity!$B:$B,$C289)/Assumptions!$B$4*Assumptions!$B$6</f>
        <v>0</v>
      </c>
      <c r="AJ289" s="7" t="n">
        <f aca="false">SUMIFS(Doors!AV:AV,Doors!$A:$A,$D289,Doors!$B:$B,$B289,Doors!$C:$C,$C289)*SUMIFS(Velocity!$I:$I,Velocity!$A:$A,$A289,Velocity!$B:$B,$C289)/Assumptions!$B$4*Assumptions!$B$6</f>
        <v>0</v>
      </c>
      <c r="AK289" s="7" t="n">
        <f aca="false">SUMIFS(Doors!AW:AW,Doors!$A:$A,$D289,Doors!$B:$B,$B289,Doors!$C:$C,$C289)*SUMIFS(Velocity!$I:$I,Velocity!$A:$A,$A289,Velocity!$B:$B,$C289)/Assumptions!$B$4*Assumptions!$B$6</f>
        <v>0</v>
      </c>
      <c r="AL289" s="7" t="n">
        <f aca="false">SUMIFS(Doors!AX:AX,Doors!$A:$A,$D289,Doors!$B:$B,$B289,Doors!$C:$C,$C289)*SUMIFS(Velocity!$I:$I,Velocity!$A:$A,$A289,Velocity!$B:$B,$C289)/Assumptions!$B$4*Assumptions!$B$6</f>
        <v>0</v>
      </c>
      <c r="AM289" s="7" t="n">
        <f aca="false">SUMIFS(Doors!AY:AY,Doors!$A:$A,$D289,Doors!$B:$B,$B289,Doors!$C:$C,$C289)*SUMIFS(Velocity!$I:$I,Velocity!$A:$A,$A289,Velocity!$B:$B,$C289)/Assumptions!$B$4*Assumptions!$B$6</f>
        <v>0</v>
      </c>
      <c r="AN289" s="7" t="n">
        <f aca="false">SUMIFS(Doors!AZ:AZ,Doors!$A:$A,$D289,Doors!$B:$B,$B289,Doors!$C:$C,$C289)*SUMIFS(Velocity!$I:$I,Velocity!$A:$A,$A289,Velocity!$B:$B,$C289)/Assumptions!$B$4*Assumptions!$B$6</f>
        <v>0</v>
      </c>
      <c r="AO289" s="7" t="n">
        <f aca="false">SUMIFS(Doors!BA:BA,Doors!$A:$A,$D289,Doors!$B:$B,$B289,Doors!$C:$C,$C289)*SUMIFS(Velocity!$I:$I,Velocity!$A:$A,$A289,Velocity!$B:$B,$C289)/Assumptions!$B$4*Assumptions!$B$6</f>
        <v>0</v>
      </c>
      <c r="AP289" s="7" t="n">
        <f aca="false">SUMIFS(Doors!BB:BB,Doors!$A:$A,$D289,Doors!$B:$B,$B289,Doors!$C:$C,$C289)*SUMIFS(Velocity!$I:$I,Velocity!$A:$A,$A289,Velocity!$B:$B,$C289)/Assumptions!$B$4*Assumptions!$B$6</f>
        <v>0</v>
      </c>
      <c r="AQ289" s="7" t="n">
        <f aca="false">SUMIFS(Doors!BC:BC,Doors!$A:$A,$D289,Doors!$B:$B,$B289,Doors!$C:$C,$C289)*SUMIFS(Velocity!$I:$I,Velocity!$A:$A,$A289,Velocity!$B:$B,$C289)/Assumptions!$B$4*Assumptions!$B$6</f>
        <v>0</v>
      </c>
      <c r="AR289" s="7" t="n">
        <f aca="false">SUMIFS(Doors!BD:BD,Doors!$A:$A,$D289,Doors!$B:$B,$B289,Doors!$C:$C,$C289)*SUMIFS(Velocity!$I:$I,Velocity!$A:$A,$A289,Velocity!$B:$B,$C289)/Assumptions!$B$4*Assumptions!$B$6</f>
        <v>0</v>
      </c>
      <c r="AS289" s="7" t="n">
        <f aca="false">SUMIFS(Doors!BE:BE,Doors!$A:$A,$D289,Doors!$B:$B,$B289,Doors!$C:$C,$C289)*SUMIFS(Velocity!$I:$I,Velocity!$A:$A,$A289,Velocity!$B:$B,$C289)/Assumptions!$B$4*Assumptions!$B$6</f>
        <v>0</v>
      </c>
      <c r="AT289" s="7" t="n">
        <f aca="false">SUMIFS(Doors!BF:BF,Doors!$A:$A,$D289,Doors!$B:$B,$B289,Doors!$C:$C,$C289)*SUMIFS(Velocity!$I:$I,Velocity!$A:$A,$A289,Velocity!$B:$B,$C289)/Assumptions!$B$4*Assumptions!$B$6</f>
        <v>0</v>
      </c>
      <c r="AU289" s="7" t="n">
        <f aca="false">SUMIFS(Doors!BG:BG,Doors!$A:$A,$D289,Doors!$B:$B,$B289,Doors!$C:$C,$C289)*SUMIFS(Velocity!$I:$I,Velocity!$A:$A,$A289,Velocity!$B:$B,$C289)/Assumptions!$B$4*Assumptions!$B$6</f>
        <v>0</v>
      </c>
      <c r="AV289" s="7" t="n">
        <f aca="false">SUMIFS(Doors!BH:BH,Doors!$A:$A,$D289,Doors!$B:$B,$B289,Doors!$C:$C,$C289)*SUMIFS(Velocity!$I:$I,Velocity!$A:$A,$A289,Velocity!$B:$B,$C289)/Assumptions!$B$4*Assumptions!$B$6</f>
        <v>0</v>
      </c>
      <c r="AW289" s="7" t="n">
        <f aca="false">SUMIFS(Doors!BI:BI,Doors!$A:$A,$D289,Doors!$B:$B,$B289,Doors!$C:$C,$C289)*SUMIFS(Velocity!$I:$I,Velocity!$A:$A,$A289,Velocity!$B:$B,$C289)/Assumptions!$B$4*Assumptions!$B$6</f>
        <v>0</v>
      </c>
      <c r="AX289" s="7" t="n">
        <f aca="false">SUMIFS(Doors!BJ:BJ,Doors!$A:$A,$D289,Doors!$B:$B,$B289,Doors!$C:$C,$C289)*SUMIFS(Velocity!$I:$I,Velocity!$A:$A,$A289,Velocity!$B:$B,$C289)/Assumptions!$B$4*Assumptions!$B$6</f>
        <v>0</v>
      </c>
      <c r="AY289" s="7" t="n">
        <f aca="false">SUMIFS(Doors!BK:BK,Doors!$A:$A,$D289,Doors!$B:$B,$B289,Doors!$C:$C,$C289)*SUMIFS(Velocity!$I:$I,Velocity!$A:$A,$A289,Velocity!$B:$B,$C289)/Assumptions!$B$4*Assumptions!$B$6</f>
        <v>0</v>
      </c>
      <c r="AZ289" s="7" t="n">
        <f aca="false">SUMIFS(Doors!BL:BL,Doors!$A:$A,$D289,Doors!$B:$B,$B289,Doors!$C:$C,$C289)*SUMIFS(Velocity!$I:$I,Velocity!$A:$A,$A289,Velocity!$B:$B,$C289)/Assumptions!$B$4*Assumptions!$B$6</f>
        <v>0</v>
      </c>
      <c r="BA289" s="7" t="n">
        <f aca="false">SUMIFS(Doors!BM:BM,Doors!$A:$A,$D289,Doors!$B:$B,$B289,Doors!$C:$C,$C289)*SUMIFS(Velocity!$I:$I,Velocity!$A:$A,$A289,Velocity!$B:$B,$C289)/Assumptions!$B$4*Assumptions!$B$6</f>
        <v>0</v>
      </c>
      <c r="BB289" s="7" t="n">
        <f aca="false">SUMIFS(Doors!BN:BN,Doors!$A:$A,$D289,Doors!$B:$B,$B289,Doors!$C:$C,$C289)*SUMIFS(Velocity!$I:$I,Velocity!$A:$A,$A289,Velocity!$B:$B,$C289)/Assumptions!$B$4*Assumptions!$B$6</f>
        <v>0</v>
      </c>
      <c r="BC289" s="7" t="n">
        <f aca="false">SUMIFS(Doors!BO:BO,Doors!$A:$A,$D289,Doors!$B:$B,$B289,Doors!$C:$C,$C289)*SUMIFS(Velocity!$I:$I,Velocity!$A:$A,$A289,Velocity!$B:$B,$C289)/Assumptions!$B$4*Assumptions!$B$6</f>
        <v>0</v>
      </c>
      <c r="BD289" s="7" t="n">
        <f aca="false">SUMIFS(Doors!BP:BP,Doors!$A:$A,$D289,Doors!$B:$B,$B289,Doors!$C:$C,$C289)*SUMIFS(Velocity!$I:$I,Velocity!$A:$A,$A289,Velocity!$B:$B,$C289)/Assumptions!$B$4*Assumptions!$B$6</f>
        <v>0</v>
      </c>
    </row>
    <row r="290" customFormat="false" ht="15" hidden="false" customHeight="false" outlineLevel="0" collapsed="false">
      <c r="A290" s="0" t="s">
        <v>111</v>
      </c>
      <c r="B290" s="0" t="s">
        <v>127</v>
      </c>
      <c r="C290" s="0" t="s">
        <v>120</v>
      </c>
      <c r="D290" s="0" t="s">
        <v>236</v>
      </c>
      <c r="E290" s="7" t="n">
        <f aca="false">SUMIFS(Doors!Q:Q,Doors!$A:$A,$D290,Doors!$B:$B,$B290,Doors!$C:$C,$C290)*SUMIFS(Velocity!$I:$I,Velocity!$A:$A,$A290,Velocity!$B:$B,$C290)/Assumptions!$B$4*Assumptions!$B$6</f>
        <v>0</v>
      </c>
      <c r="F290" s="7" t="n">
        <f aca="false">SUMIFS(Doors!R:R,Doors!$A:$A,$D290,Doors!$B:$B,$B290,Doors!$C:$C,$C290)*SUMIFS(Velocity!$I:$I,Velocity!$A:$A,$A290,Velocity!$B:$B,$C290)/Assumptions!$B$4*Assumptions!$B$6</f>
        <v>0</v>
      </c>
      <c r="G290" s="7" t="n">
        <f aca="false">SUMIFS(Doors!S:S,Doors!$A:$A,$D290,Doors!$B:$B,$B290,Doors!$C:$C,$C290)*SUMIFS(Velocity!$I:$I,Velocity!$A:$A,$A290,Velocity!$B:$B,$C290)/Assumptions!$B$4*Assumptions!$B$6</f>
        <v>0</v>
      </c>
      <c r="H290" s="7" t="n">
        <f aca="false">SUMIFS(Doors!T:T,Doors!$A:$A,$D290,Doors!$B:$B,$B290,Doors!$C:$C,$C290)*SUMIFS(Velocity!$I:$I,Velocity!$A:$A,$A290,Velocity!$B:$B,$C290)/Assumptions!$B$4*Assumptions!$B$6</f>
        <v>0</v>
      </c>
      <c r="I290" s="7" t="n">
        <f aca="false">SUMIFS(Doors!U:U,Doors!$A:$A,$D290,Doors!$B:$B,$B290,Doors!$C:$C,$C290)*SUMIFS(Velocity!$I:$I,Velocity!$A:$A,$A290,Velocity!$B:$B,$C290)/Assumptions!$B$4*Assumptions!$B$6</f>
        <v>0</v>
      </c>
      <c r="J290" s="7" t="n">
        <f aca="false">SUMIFS(Doors!V:V,Doors!$A:$A,$D290,Doors!$B:$B,$B290,Doors!$C:$C,$C290)*SUMIFS(Velocity!$I:$I,Velocity!$A:$A,$A290,Velocity!$B:$B,$C290)/Assumptions!$B$4*Assumptions!$B$6</f>
        <v>0</v>
      </c>
      <c r="K290" s="7" t="n">
        <f aca="false">SUMIFS(Doors!W:W,Doors!$A:$A,$D290,Doors!$B:$B,$B290,Doors!$C:$C,$C290)*SUMIFS(Velocity!$I:$I,Velocity!$A:$A,$A290,Velocity!$B:$B,$C290)/Assumptions!$B$4*Assumptions!$B$6</f>
        <v>0</v>
      </c>
      <c r="L290" s="7" t="n">
        <f aca="false">SUMIFS(Doors!X:X,Doors!$A:$A,$D290,Doors!$B:$B,$B290,Doors!$C:$C,$C290)*SUMIFS(Velocity!$I:$I,Velocity!$A:$A,$A290,Velocity!$B:$B,$C290)/Assumptions!$B$4*Assumptions!$B$6</f>
        <v>0</v>
      </c>
      <c r="M290" s="7" t="n">
        <f aca="false">SUMIFS(Doors!Y:Y,Doors!$A:$A,$D290,Doors!$B:$B,$B290,Doors!$C:$C,$C290)*SUMIFS(Velocity!$I:$I,Velocity!$A:$A,$A290,Velocity!$B:$B,$C290)/Assumptions!$B$4*Assumptions!$B$6</f>
        <v>0</v>
      </c>
      <c r="N290" s="7" t="n">
        <f aca="false">SUMIFS(Doors!Z:Z,Doors!$A:$A,$D290,Doors!$B:$B,$B290,Doors!$C:$C,$C290)*SUMIFS(Velocity!$I:$I,Velocity!$A:$A,$A290,Velocity!$B:$B,$C290)/Assumptions!$B$4*Assumptions!$B$6</f>
        <v>0</v>
      </c>
      <c r="O290" s="7" t="n">
        <f aca="false">SUMIFS(Doors!AA:AA,Doors!$A:$A,$D290,Doors!$B:$B,$B290,Doors!$C:$C,$C290)*SUMIFS(Velocity!$I:$I,Velocity!$A:$A,$A290,Velocity!$B:$B,$C290)/Assumptions!$B$4*Assumptions!$B$6</f>
        <v>0</v>
      </c>
      <c r="P290" s="7" t="n">
        <f aca="false">SUMIFS(Doors!AB:AB,Doors!$A:$A,$D290,Doors!$B:$B,$B290,Doors!$C:$C,$C290)*SUMIFS(Velocity!$I:$I,Velocity!$A:$A,$A290,Velocity!$B:$B,$C290)/Assumptions!$B$4*Assumptions!$B$6</f>
        <v>0</v>
      </c>
      <c r="Q290" s="7" t="n">
        <f aca="false">SUMIFS(Doors!AC:AC,Doors!$A:$A,$D290,Doors!$B:$B,$B290,Doors!$C:$C,$C290)*SUMIFS(Velocity!$I:$I,Velocity!$A:$A,$A290,Velocity!$B:$B,$C290)/Assumptions!$B$4*Assumptions!$B$6</f>
        <v>0</v>
      </c>
      <c r="R290" s="7" t="n">
        <f aca="false">SUMIFS(Doors!AD:AD,Doors!$A:$A,$D290,Doors!$B:$B,$B290,Doors!$C:$C,$C290)*SUMIFS(Velocity!$I:$I,Velocity!$A:$A,$A290,Velocity!$B:$B,$C290)/Assumptions!$B$4*Assumptions!$B$6</f>
        <v>0</v>
      </c>
      <c r="S290" s="7" t="n">
        <f aca="false">SUMIFS(Doors!AE:AE,Doors!$A:$A,$D290,Doors!$B:$B,$B290,Doors!$C:$C,$C290)*SUMIFS(Velocity!$I:$I,Velocity!$A:$A,$A290,Velocity!$B:$B,$C290)/Assumptions!$B$4*Assumptions!$B$6</f>
        <v>0</v>
      </c>
      <c r="T290" s="7" t="n">
        <f aca="false">SUMIFS(Doors!AF:AF,Doors!$A:$A,$D290,Doors!$B:$B,$B290,Doors!$C:$C,$C290)*SUMIFS(Velocity!$I:$I,Velocity!$A:$A,$A290,Velocity!$B:$B,$C290)/Assumptions!$B$4*Assumptions!$B$6</f>
        <v>0</v>
      </c>
      <c r="U290" s="7" t="n">
        <f aca="false">SUMIFS(Doors!AG:AG,Doors!$A:$A,$D290,Doors!$B:$B,$B290,Doors!$C:$C,$C290)*SUMIFS(Velocity!$I:$I,Velocity!$A:$A,$A290,Velocity!$B:$B,$C290)/Assumptions!$B$4*Assumptions!$B$6</f>
        <v>0</v>
      </c>
      <c r="V290" s="7" t="n">
        <f aca="false">SUMIFS(Doors!AH:AH,Doors!$A:$A,$D290,Doors!$B:$B,$B290,Doors!$C:$C,$C290)*SUMIFS(Velocity!$I:$I,Velocity!$A:$A,$A290,Velocity!$B:$B,$C290)/Assumptions!$B$4*Assumptions!$B$6</f>
        <v>0</v>
      </c>
      <c r="W290" s="7" t="n">
        <f aca="false">SUMIFS(Doors!AI:AI,Doors!$A:$A,$D290,Doors!$B:$B,$B290,Doors!$C:$C,$C290)*SUMIFS(Velocity!$I:$I,Velocity!$A:$A,$A290,Velocity!$B:$B,$C290)/Assumptions!$B$4*Assumptions!$B$6</f>
        <v>0</v>
      </c>
      <c r="X290" s="7" t="n">
        <f aca="false">SUMIFS(Doors!AJ:AJ,Doors!$A:$A,$D290,Doors!$B:$B,$B290,Doors!$C:$C,$C290)*SUMIFS(Velocity!$I:$I,Velocity!$A:$A,$A290,Velocity!$B:$B,$C290)/Assumptions!$B$4*Assumptions!$B$6</f>
        <v>0</v>
      </c>
      <c r="Y290" s="7" t="n">
        <f aca="false">SUMIFS(Doors!AK:AK,Doors!$A:$A,$D290,Doors!$B:$B,$B290,Doors!$C:$C,$C290)*SUMIFS(Velocity!$I:$I,Velocity!$A:$A,$A290,Velocity!$B:$B,$C290)/Assumptions!$B$4*Assumptions!$B$6</f>
        <v>0</v>
      </c>
      <c r="Z290" s="7" t="n">
        <f aca="false">SUMIFS(Doors!AL:AL,Doors!$A:$A,$D290,Doors!$B:$B,$B290,Doors!$C:$C,$C290)*SUMIFS(Velocity!$I:$I,Velocity!$A:$A,$A290,Velocity!$B:$B,$C290)/Assumptions!$B$4*Assumptions!$B$6</f>
        <v>0</v>
      </c>
      <c r="AA290" s="7" t="n">
        <f aca="false">SUMIFS(Doors!AM:AM,Doors!$A:$A,$D290,Doors!$B:$B,$B290,Doors!$C:$C,$C290)*SUMIFS(Velocity!$I:$I,Velocity!$A:$A,$A290,Velocity!$B:$B,$C290)/Assumptions!$B$4*Assumptions!$B$6</f>
        <v>0</v>
      </c>
      <c r="AB290" s="7" t="n">
        <f aca="false">SUMIFS(Doors!AN:AN,Doors!$A:$A,$D290,Doors!$B:$B,$B290,Doors!$C:$C,$C290)*SUMIFS(Velocity!$I:$I,Velocity!$A:$A,$A290,Velocity!$B:$B,$C290)/Assumptions!$B$4*Assumptions!$B$6</f>
        <v>0</v>
      </c>
      <c r="AC290" s="7" t="n">
        <f aca="false">SUMIFS(Doors!AO:AO,Doors!$A:$A,$D290,Doors!$B:$B,$B290,Doors!$C:$C,$C290)*SUMIFS(Velocity!$I:$I,Velocity!$A:$A,$A290,Velocity!$B:$B,$C290)/Assumptions!$B$4*Assumptions!$B$6</f>
        <v>0</v>
      </c>
      <c r="AD290" s="7" t="n">
        <f aca="false">SUMIFS(Doors!AP:AP,Doors!$A:$A,$D290,Doors!$B:$B,$B290,Doors!$C:$C,$C290)*SUMIFS(Velocity!$I:$I,Velocity!$A:$A,$A290,Velocity!$B:$B,$C290)/Assumptions!$B$4*Assumptions!$B$6</f>
        <v>0</v>
      </c>
      <c r="AE290" s="7" t="n">
        <f aca="false">SUMIFS(Doors!AQ:AQ,Doors!$A:$A,$D290,Doors!$B:$B,$B290,Doors!$C:$C,$C290)*SUMIFS(Velocity!$I:$I,Velocity!$A:$A,$A290,Velocity!$B:$B,$C290)/Assumptions!$B$4*Assumptions!$B$6</f>
        <v>0</v>
      </c>
      <c r="AF290" s="7" t="n">
        <f aca="false">SUMIFS(Doors!AR:AR,Doors!$A:$A,$D290,Doors!$B:$B,$B290,Doors!$C:$C,$C290)*SUMIFS(Velocity!$I:$I,Velocity!$A:$A,$A290,Velocity!$B:$B,$C290)/Assumptions!$B$4*Assumptions!$B$6</f>
        <v>0</v>
      </c>
      <c r="AG290" s="7" t="n">
        <f aca="false">SUMIFS(Doors!AS:AS,Doors!$A:$A,$D290,Doors!$B:$B,$B290,Doors!$C:$C,$C290)*SUMIFS(Velocity!$I:$I,Velocity!$A:$A,$A290,Velocity!$B:$B,$C290)/Assumptions!$B$4*Assumptions!$B$6</f>
        <v>0</v>
      </c>
      <c r="AH290" s="7" t="n">
        <f aca="false">SUMIFS(Doors!AT:AT,Doors!$A:$A,$D290,Doors!$B:$B,$B290,Doors!$C:$C,$C290)*SUMIFS(Velocity!$I:$I,Velocity!$A:$A,$A290,Velocity!$B:$B,$C290)/Assumptions!$B$4*Assumptions!$B$6</f>
        <v>0</v>
      </c>
      <c r="AI290" s="7" t="n">
        <f aca="false">SUMIFS(Doors!AU:AU,Doors!$A:$A,$D290,Doors!$B:$B,$B290,Doors!$C:$C,$C290)*SUMIFS(Velocity!$I:$I,Velocity!$A:$A,$A290,Velocity!$B:$B,$C290)/Assumptions!$B$4*Assumptions!$B$6</f>
        <v>0</v>
      </c>
      <c r="AJ290" s="7" t="n">
        <f aca="false">SUMIFS(Doors!AV:AV,Doors!$A:$A,$D290,Doors!$B:$B,$B290,Doors!$C:$C,$C290)*SUMIFS(Velocity!$I:$I,Velocity!$A:$A,$A290,Velocity!$B:$B,$C290)/Assumptions!$B$4*Assumptions!$B$6</f>
        <v>0</v>
      </c>
      <c r="AK290" s="7" t="n">
        <f aca="false">SUMIFS(Doors!AW:AW,Doors!$A:$A,$D290,Doors!$B:$B,$B290,Doors!$C:$C,$C290)*SUMIFS(Velocity!$I:$I,Velocity!$A:$A,$A290,Velocity!$B:$B,$C290)/Assumptions!$B$4*Assumptions!$B$6</f>
        <v>0</v>
      </c>
      <c r="AL290" s="7" t="n">
        <f aca="false">SUMIFS(Doors!AX:AX,Doors!$A:$A,$D290,Doors!$B:$B,$B290,Doors!$C:$C,$C290)*SUMIFS(Velocity!$I:$I,Velocity!$A:$A,$A290,Velocity!$B:$B,$C290)/Assumptions!$B$4*Assumptions!$B$6</f>
        <v>0</v>
      </c>
      <c r="AM290" s="7" t="n">
        <f aca="false">SUMIFS(Doors!AY:AY,Doors!$A:$A,$D290,Doors!$B:$B,$B290,Doors!$C:$C,$C290)*SUMIFS(Velocity!$I:$I,Velocity!$A:$A,$A290,Velocity!$B:$B,$C290)/Assumptions!$B$4*Assumptions!$B$6</f>
        <v>0</v>
      </c>
      <c r="AN290" s="7" t="n">
        <f aca="false">SUMIFS(Doors!AZ:AZ,Doors!$A:$A,$D290,Doors!$B:$B,$B290,Doors!$C:$C,$C290)*SUMIFS(Velocity!$I:$I,Velocity!$A:$A,$A290,Velocity!$B:$B,$C290)/Assumptions!$B$4*Assumptions!$B$6</f>
        <v>0</v>
      </c>
      <c r="AO290" s="7" t="n">
        <f aca="false">SUMIFS(Doors!BA:BA,Doors!$A:$A,$D290,Doors!$B:$B,$B290,Doors!$C:$C,$C290)*SUMIFS(Velocity!$I:$I,Velocity!$A:$A,$A290,Velocity!$B:$B,$C290)/Assumptions!$B$4*Assumptions!$B$6</f>
        <v>0</v>
      </c>
      <c r="AP290" s="7" t="n">
        <f aca="false">SUMIFS(Doors!BB:BB,Doors!$A:$A,$D290,Doors!$B:$B,$B290,Doors!$C:$C,$C290)*SUMIFS(Velocity!$I:$I,Velocity!$A:$A,$A290,Velocity!$B:$B,$C290)/Assumptions!$B$4*Assumptions!$B$6</f>
        <v>0</v>
      </c>
      <c r="AQ290" s="7" t="n">
        <f aca="false">SUMIFS(Doors!BC:BC,Doors!$A:$A,$D290,Doors!$B:$B,$B290,Doors!$C:$C,$C290)*SUMIFS(Velocity!$I:$I,Velocity!$A:$A,$A290,Velocity!$B:$B,$C290)/Assumptions!$B$4*Assumptions!$B$6</f>
        <v>0</v>
      </c>
      <c r="AR290" s="7" t="n">
        <f aca="false">SUMIFS(Doors!BD:BD,Doors!$A:$A,$D290,Doors!$B:$B,$B290,Doors!$C:$C,$C290)*SUMIFS(Velocity!$I:$I,Velocity!$A:$A,$A290,Velocity!$B:$B,$C290)/Assumptions!$B$4*Assumptions!$B$6</f>
        <v>0</v>
      </c>
      <c r="AS290" s="7" t="n">
        <f aca="false">SUMIFS(Doors!BE:BE,Doors!$A:$A,$D290,Doors!$B:$B,$B290,Doors!$C:$C,$C290)*SUMIFS(Velocity!$I:$I,Velocity!$A:$A,$A290,Velocity!$B:$B,$C290)/Assumptions!$B$4*Assumptions!$B$6</f>
        <v>0</v>
      </c>
      <c r="AT290" s="7" t="n">
        <f aca="false">SUMIFS(Doors!BF:BF,Doors!$A:$A,$D290,Doors!$B:$B,$B290,Doors!$C:$C,$C290)*SUMIFS(Velocity!$I:$I,Velocity!$A:$A,$A290,Velocity!$B:$B,$C290)/Assumptions!$B$4*Assumptions!$B$6</f>
        <v>0</v>
      </c>
      <c r="AU290" s="7" t="n">
        <f aca="false">SUMIFS(Doors!BG:BG,Doors!$A:$A,$D290,Doors!$B:$B,$B290,Doors!$C:$C,$C290)*SUMIFS(Velocity!$I:$I,Velocity!$A:$A,$A290,Velocity!$B:$B,$C290)/Assumptions!$B$4*Assumptions!$B$6</f>
        <v>0</v>
      </c>
      <c r="AV290" s="7" t="n">
        <f aca="false">SUMIFS(Doors!BH:BH,Doors!$A:$A,$D290,Doors!$B:$B,$B290,Doors!$C:$C,$C290)*SUMIFS(Velocity!$I:$I,Velocity!$A:$A,$A290,Velocity!$B:$B,$C290)/Assumptions!$B$4*Assumptions!$B$6</f>
        <v>0</v>
      </c>
      <c r="AW290" s="7" t="n">
        <f aca="false">SUMIFS(Doors!BI:BI,Doors!$A:$A,$D290,Doors!$B:$B,$B290,Doors!$C:$C,$C290)*SUMIFS(Velocity!$I:$I,Velocity!$A:$A,$A290,Velocity!$B:$B,$C290)/Assumptions!$B$4*Assumptions!$B$6</f>
        <v>0</v>
      </c>
      <c r="AX290" s="7" t="n">
        <f aca="false">SUMIFS(Doors!BJ:BJ,Doors!$A:$A,$D290,Doors!$B:$B,$B290,Doors!$C:$C,$C290)*SUMIFS(Velocity!$I:$I,Velocity!$A:$A,$A290,Velocity!$B:$B,$C290)/Assumptions!$B$4*Assumptions!$B$6</f>
        <v>0</v>
      </c>
      <c r="AY290" s="7" t="n">
        <f aca="false">SUMIFS(Doors!BK:BK,Doors!$A:$A,$D290,Doors!$B:$B,$B290,Doors!$C:$C,$C290)*SUMIFS(Velocity!$I:$I,Velocity!$A:$A,$A290,Velocity!$B:$B,$C290)/Assumptions!$B$4*Assumptions!$B$6</f>
        <v>0</v>
      </c>
      <c r="AZ290" s="7" t="n">
        <f aca="false">SUMIFS(Doors!BL:BL,Doors!$A:$A,$D290,Doors!$B:$B,$B290,Doors!$C:$C,$C290)*SUMIFS(Velocity!$I:$I,Velocity!$A:$A,$A290,Velocity!$B:$B,$C290)/Assumptions!$B$4*Assumptions!$B$6</f>
        <v>0</v>
      </c>
      <c r="BA290" s="7" t="n">
        <f aca="false">SUMIFS(Doors!BM:BM,Doors!$A:$A,$D290,Doors!$B:$B,$B290,Doors!$C:$C,$C290)*SUMIFS(Velocity!$I:$I,Velocity!$A:$A,$A290,Velocity!$B:$B,$C290)/Assumptions!$B$4*Assumptions!$B$6</f>
        <v>0</v>
      </c>
      <c r="BB290" s="7" t="n">
        <f aca="false">SUMIFS(Doors!BN:BN,Doors!$A:$A,$D290,Doors!$B:$B,$B290,Doors!$C:$C,$C290)*SUMIFS(Velocity!$I:$I,Velocity!$A:$A,$A290,Velocity!$B:$B,$C290)/Assumptions!$B$4*Assumptions!$B$6</f>
        <v>0</v>
      </c>
      <c r="BC290" s="7" t="n">
        <f aca="false">SUMIFS(Doors!BO:BO,Doors!$A:$A,$D290,Doors!$B:$B,$B290,Doors!$C:$C,$C290)*SUMIFS(Velocity!$I:$I,Velocity!$A:$A,$A290,Velocity!$B:$B,$C290)/Assumptions!$B$4*Assumptions!$B$6</f>
        <v>0</v>
      </c>
      <c r="BD290" s="7" t="n">
        <f aca="false">SUMIFS(Doors!BP:BP,Doors!$A:$A,$D290,Doors!$B:$B,$B290,Doors!$C:$C,$C290)*SUMIFS(Velocity!$I:$I,Velocity!$A:$A,$A290,Velocity!$B:$B,$C290)/Assumptions!$B$4*Assumptions!$B$6</f>
        <v>0</v>
      </c>
    </row>
    <row r="291" customFormat="false" ht="15" hidden="false" customHeight="false" outlineLevel="0" collapsed="false">
      <c r="A291" s="0" t="s">
        <v>111</v>
      </c>
      <c r="B291" s="0" t="s">
        <v>127</v>
      </c>
      <c r="C291" s="0" t="s">
        <v>121</v>
      </c>
      <c r="D291" s="0" t="s">
        <v>236</v>
      </c>
      <c r="E291" s="7" t="n">
        <f aca="false">SUMIFS(Doors!Q:Q,Doors!$A:$A,$D291,Doors!$B:$B,$B291,Doors!$C:$C,$C291)*SUMIFS(Velocity!$I:$I,Velocity!$A:$A,$A291,Velocity!$B:$B,$C291)/Assumptions!$B$4*Assumptions!$B$6</f>
        <v>0</v>
      </c>
      <c r="F291" s="7" t="n">
        <f aca="false">SUMIFS(Doors!R:R,Doors!$A:$A,$D291,Doors!$B:$B,$B291,Doors!$C:$C,$C291)*SUMIFS(Velocity!$I:$I,Velocity!$A:$A,$A291,Velocity!$B:$B,$C291)/Assumptions!$B$4*Assumptions!$B$6</f>
        <v>0</v>
      </c>
      <c r="G291" s="7" t="n">
        <f aca="false">SUMIFS(Doors!S:S,Doors!$A:$A,$D291,Doors!$B:$B,$B291,Doors!$C:$C,$C291)*SUMIFS(Velocity!$I:$I,Velocity!$A:$A,$A291,Velocity!$B:$B,$C291)/Assumptions!$B$4*Assumptions!$B$6</f>
        <v>0</v>
      </c>
      <c r="H291" s="7" t="n">
        <f aca="false">SUMIFS(Doors!T:T,Doors!$A:$A,$D291,Doors!$B:$B,$B291,Doors!$C:$C,$C291)*SUMIFS(Velocity!$I:$I,Velocity!$A:$A,$A291,Velocity!$B:$B,$C291)/Assumptions!$B$4*Assumptions!$B$6</f>
        <v>0</v>
      </c>
      <c r="I291" s="7" t="n">
        <f aca="false">SUMIFS(Doors!U:U,Doors!$A:$A,$D291,Doors!$B:$B,$B291,Doors!$C:$C,$C291)*SUMIFS(Velocity!$I:$I,Velocity!$A:$A,$A291,Velocity!$B:$B,$C291)/Assumptions!$B$4*Assumptions!$B$6</f>
        <v>0</v>
      </c>
      <c r="J291" s="7" t="n">
        <f aca="false">SUMIFS(Doors!V:V,Doors!$A:$A,$D291,Doors!$B:$B,$B291,Doors!$C:$C,$C291)*SUMIFS(Velocity!$I:$I,Velocity!$A:$A,$A291,Velocity!$B:$B,$C291)/Assumptions!$B$4*Assumptions!$B$6</f>
        <v>0</v>
      </c>
      <c r="K291" s="7" t="n">
        <f aca="false">SUMIFS(Doors!W:W,Doors!$A:$A,$D291,Doors!$B:$B,$B291,Doors!$C:$C,$C291)*SUMIFS(Velocity!$I:$I,Velocity!$A:$A,$A291,Velocity!$B:$B,$C291)/Assumptions!$B$4*Assumptions!$B$6</f>
        <v>0</v>
      </c>
      <c r="L291" s="7" t="n">
        <f aca="false">SUMIFS(Doors!X:X,Doors!$A:$A,$D291,Doors!$B:$B,$B291,Doors!$C:$C,$C291)*SUMIFS(Velocity!$I:$I,Velocity!$A:$A,$A291,Velocity!$B:$B,$C291)/Assumptions!$B$4*Assumptions!$B$6</f>
        <v>0</v>
      </c>
      <c r="M291" s="7" t="n">
        <f aca="false">SUMIFS(Doors!Y:Y,Doors!$A:$A,$D291,Doors!$B:$B,$B291,Doors!$C:$C,$C291)*SUMIFS(Velocity!$I:$I,Velocity!$A:$A,$A291,Velocity!$B:$B,$C291)/Assumptions!$B$4*Assumptions!$B$6</f>
        <v>0</v>
      </c>
      <c r="N291" s="7" t="n">
        <f aca="false">SUMIFS(Doors!Z:Z,Doors!$A:$A,$D291,Doors!$B:$B,$B291,Doors!$C:$C,$C291)*SUMIFS(Velocity!$I:$I,Velocity!$A:$A,$A291,Velocity!$B:$B,$C291)/Assumptions!$B$4*Assumptions!$B$6</f>
        <v>0</v>
      </c>
      <c r="O291" s="7" t="n">
        <f aca="false">SUMIFS(Doors!AA:AA,Doors!$A:$A,$D291,Doors!$B:$B,$B291,Doors!$C:$C,$C291)*SUMIFS(Velocity!$I:$I,Velocity!$A:$A,$A291,Velocity!$B:$B,$C291)/Assumptions!$B$4*Assumptions!$B$6</f>
        <v>0</v>
      </c>
      <c r="P291" s="7" t="n">
        <f aca="false">SUMIFS(Doors!AB:AB,Doors!$A:$A,$D291,Doors!$B:$B,$B291,Doors!$C:$C,$C291)*SUMIFS(Velocity!$I:$I,Velocity!$A:$A,$A291,Velocity!$B:$B,$C291)/Assumptions!$B$4*Assumptions!$B$6</f>
        <v>0</v>
      </c>
      <c r="Q291" s="7" t="n">
        <f aca="false">SUMIFS(Doors!AC:AC,Doors!$A:$A,$D291,Doors!$B:$B,$B291,Doors!$C:$C,$C291)*SUMIFS(Velocity!$I:$I,Velocity!$A:$A,$A291,Velocity!$B:$B,$C291)/Assumptions!$B$4*Assumptions!$B$6</f>
        <v>0</v>
      </c>
      <c r="R291" s="7" t="n">
        <f aca="false">SUMIFS(Doors!AD:AD,Doors!$A:$A,$D291,Doors!$B:$B,$B291,Doors!$C:$C,$C291)*SUMIFS(Velocity!$I:$I,Velocity!$A:$A,$A291,Velocity!$B:$B,$C291)/Assumptions!$B$4*Assumptions!$B$6</f>
        <v>0</v>
      </c>
      <c r="S291" s="7" t="n">
        <f aca="false">SUMIFS(Doors!AE:AE,Doors!$A:$A,$D291,Doors!$B:$B,$B291,Doors!$C:$C,$C291)*SUMIFS(Velocity!$I:$I,Velocity!$A:$A,$A291,Velocity!$B:$B,$C291)/Assumptions!$B$4*Assumptions!$B$6</f>
        <v>0</v>
      </c>
      <c r="T291" s="7" t="n">
        <f aca="false">SUMIFS(Doors!AF:AF,Doors!$A:$A,$D291,Doors!$B:$B,$B291,Doors!$C:$C,$C291)*SUMIFS(Velocity!$I:$I,Velocity!$A:$A,$A291,Velocity!$B:$B,$C291)/Assumptions!$B$4*Assumptions!$B$6</f>
        <v>0</v>
      </c>
      <c r="U291" s="7" t="n">
        <f aca="false">SUMIFS(Doors!AG:AG,Doors!$A:$A,$D291,Doors!$B:$B,$B291,Doors!$C:$C,$C291)*SUMIFS(Velocity!$I:$I,Velocity!$A:$A,$A291,Velocity!$B:$B,$C291)/Assumptions!$B$4*Assumptions!$B$6</f>
        <v>0</v>
      </c>
      <c r="V291" s="7" t="n">
        <f aca="false">SUMIFS(Doors!AH:AH,Doors!$A:$A,$D291,Doors!$B:$B,$B291,Doors!$C:$C,$C291)*SUMIFS(Velocity!$I:$I,Velocity!$A:$A,$A291,Velocity!$B:$B,$C291)/Assumptions!$B$4*Assumptions!$B$6</f>
        <v>0</v>
      </c>
      <c r="W291" s="7" t="n">
        <f aca="false">SUMIFS(Doors!AI:AI,Doors!$A:$A,$D291,Doors!$B:$B,$B291,Doors!$C:$C,$C291)*SUMIFS(Velocity!$I:$I,Velocity!$A:$A,$A291,Velocity!$B:$B,$C291)/Assumptions!$B$4*Assumptions!$B$6</f>
        <v>0</v>
      </c>
      <c r="X291" s="7" t="n">
        <f aca="false">SUMIFS(Doors!AJ:AJ,Doors!$A:$A,$D291,Doors!$B:$B,$B291,Doors!$C:$C,$C291)*SUMIFS(Velocity!$I:$I,Velocity!$A:$A,$A291,Velocity!$B:$B,$C291)/Assumptions!$B$4*Assumptions!$B$6</f>
        <v>0</v>
      </c>
      <c r="Y291" s="7" t="n">
        <f aca="false">SUMIFS(Doors!AK:AK,Doors!$A:$A,$D291,Doors!$B:$B,$B291,Doors!$C:$C,$C291)*SUMIFS(Velocity!$I:$I,Velocity!$A:$A,$A291,Velocity!$B:$B,$C291)/Assumptions!$B$4*Assumptions!$B$6</f>
        <v>0</v>
      </c>
      <c r="Z291" s="7" t="n">
        <f aca="false">SUMIFS(Doors!AL:AL,Doors!$A:$A,$D291,Doors!$B:$B,$B291,Doors!$C:$C,$C291)*SUMIFS(Velocity!$I:$I,Velocity!$A:$A,$A291,Velocity!$B:$B,$C291)/Assumptions!$B$4*Assumptions!$B$6</f>
        <v>0</v>
      </c>
      <c r="AA291" s="7" t="n">
        <f aca="false">SUMIFS(Doors!AM:AM,Doors!$A:$A,$D291,Doors!$B:$B,$B291,Doors!$C:$C,$C291)*SUMIFS(Velocity!$I:$I,Velocity!$A:$A,$A291,Velocity!$B:$B,$C291)/Assumptions!$B$4*Assumptions!$B$6</f>
        <v>0</v>
      </c>
      <c r="AB291" s="7" t="n">
        <f aca="false">SUMIFS(Doors!AN:AN,Doors!$A:$A,$D291,Doors!$B:$B,$B291,Doors!$C:$C,$C291)*SUMIFS(Velocity!$I:$I,Velocity!$A:$A,$A291,Velocity!$B:$B,$C291)/Assumptions!$B$4*Assumptions!$B$6</f>
        <v>0</v>
      </c>
      <c r="AC291" s="7" t="n">
        <f aca="false">SUMIFS(Doors!AO:AO,Doors!$A:$A,$D291,Doors!$B:$B,$B291,Doors!$C:$C,$C291)*SUMIFS(Velocity!$I:$I,Velocity!$A:$A,$A291,Velocity!$B:$B,$C291)/Assumptions!$B$4*Assumptions!$B$6</f>
        <v>0</v>
      </c>
      <c r="AD291" s="7" t="n">
        <f aca="false">SUMIFS(Doors!AP:AP,Doors!$A:$A,$D291,Doors!$B:$B,$B291,Doors!$C:$C,$C291)*SUMIFS(Velocity!$I:$I,Velocity!$A:$A,$A291,Velocity!$B:$B,$C291)/Assumptions!$B$4*Assumptions!$B$6</f>
        <v>0</v>
      </c>
      <c r="AE291" s="7" t="n">
        <f aca="false">SUMIFS(Doors!AQ:AQ,Doors!$A:$A,$D291,Doors!$B:$B,$B291,Doors!$C:$C,$C291)*SUMIFS(Velocity!$I:$I,Velocity!$A:$A,$A291,Velocity!$B:$B,$C291)/Assumptions!$B$4*Assumptions!$B$6</f>
        <v>0</v>
      </c>
      <c r="AF291" s="7" t="n">
        <f aca="false">SUMIFS(Doors!AR:AR,Doors!$A:$A,$D291,Doors!$B:$B,$B291,Doors!$C:$C,$C291)*SUMIFS(Velocity!$I:$I,Velocity!$A:$A,$A291,Velocity!$B:$B,$C291)/Assumptions!$B$4*Assumptions!$B$6</f>
        <v>0</v>
      </c>
      <c r="AG291" s="7" t="n">
        <f aca="false">SUMIFS(Doors!AS:AS,Doors!$A:$A,$D291,Doors!$B:$B,$B291,Doors!$C:$C,$C291)*SUMIFS(Velocity!$I:$I,Velocity!$A:$A,$A291,Velocity!$B:$B,$C291)/Assumptions!$B$4*Assumptions!$B$6</f>
        <v>0</v>
      </c>
      <c r="AH291" s="7" t="n">
        <f aca="false">SUMIFS(Doors!AT:AT,Doors!$A:$A,$D291,Doors!$B:$B,$B291,Doors!$C:$C,$C291)*SUMIFS(Velocity!$I:$I,Velocity!$A:$A,$A291,Velocity!$B:$B,$C291)/Assumptions!$B$4*Assumptions!$B$6</f>
        <v>0</v>
      </c>
      <c r="AI291" s="7" t="n">
        <f aca="false">SUMIFS(Doors!AU:AU,Doors!$A:$A,$D291,Doors!$B:$B,$B291,Doors!$C:$C,$C291)*SUMIFS(Velocity!$I:$I,Velocity!$A:$A,$A291,Velocity!$B:$B,$C291)/Assumptions!$B$4*Assumptions!$B$6</f>
        <v>0</v>
      </c>
      <c r="AJ291" s="7" t="n">
        <f aca="false">SUMIFS(Doors!AV:AV,Doors!$A:$A,$D291,Doors!$B:$B,$B291,Doors!$C:$C,$C291)*SUMIFS(Velocity!$I:$I,Velocity!$A:$A,$A291,Velocity!$B:$B,$C291)/Assumptions!$B$4*Assumptions!$B$6</f>
        <v>0</v>
      </c>
      <c r="AK291" s="7" t="n">
        <f aca="false">SUMIFS(Doors!AW:AW,Doors!$A:$A,$D291,Doors!$B:$B,$B291,Doors!$C:$C,$C291)*SUMIFS(Velocity!$I:$I,Velocity!$A:$A,$A291,Velocity!$B:$B,$C291)/Assumptions!$B$4*Assumptions!$B$6</f>
        <v>0</v>
      </c>
      <c r="AL291" s="7" t="n">
        <f aca="false">SUMIFS(Doors!AX:AX,Doors!$A:$A,$D291,Doors!$B:$B,$B291,Doors!$C:$C,$C291)*SUMIFS(Velocity!$I:$I,Velocity!$A:$A,$A291,Velocity!$B:$B,$C291)/Assumptions!$B$4*Assumptions!$B$6</f>
        <v>0</v>
      </c>
      <c r="AM291" s="7" t="n">
        <f aca="false">SUMIFS(Doors!AY:AY,Doors!$A:$A,$D291,Doors!$B:$B,$B291,Doors!$C:$C,$C291)*SUMIFS(Velocity!$I:$I,Velocity!$A:$A,$A291,Velocity!$B:$B,$C291)/Assumptions!$B$4*Assumptions!$B$6</f>
        <v>0</v>
      </c>
      <c r="AN291" s="7" t="n">
        <f aca="false">SUMIFS(Doors!AZ:AZ,Doors!$A:$A,$D291,Doors!$B:$B,$B291,Doors!$C:$C,$C291)*SUMIFS(Velocity!$I:$I,Velocity!$A:$A,$A291,Velocity!$B:$B,$C291)/Assumptions!$B$4*Assumptions!$B$6</f>
        <v>0</v>
      </c>
      <c r="AO291" s="7" t="n">
        <f aca="false">SUMIFS(Doors!BA:BA,Doors!$A:$A,$D291,Doors!$B:$B,$B291,Doors!$C:$C,$C291)*SUMIFS(Velocity!$I:$I,Velocity!$A:$A,$A291,Velocity!$B:$B,$C291)/Assumptions!$B$4*Assumptions!$B$6</f>
        <v>0</v>
      </c>
      <c r="AP291" s="7" t="n">
        <f aca="false">SUMIFS(Doors!BB:BB,Doors!$A:$A,$D291,Doors!$B:$B,$B291,Doors!$C:$C,$C291)*SUMIFS(Velocity!$I:$I,Velocity!$A:$A,$A291,Velocity!$B:$B,$C291)/Assumptions!$B$4*Assumptions!$B$6</f>
        <v>0</v>
      </c>
      <c r="AQ291" s="7" t="n">
        <f aca="false">SUMIFS(Doors!BC:BC,Doors!$A:$A,$D291,Doors!$B:$B,$B291,Doors!$C:$C,$C291)*SUMIFS(Velocity!$I:$I,Velocity!$A:$A,$A291,Velocity!$B:$B,$C291)/Assumptions!$B$4*Assumptions!$B$6</f>
        <v>0</v>
      </c>
      <c r="AR291" s="7" t="n">
        <f aca="false">SUMIFS(Doors!BD:BD,Doors!$A:$A,$D291,Doors!$B:$B,$B291,Doors!$C:$C,$C291)*SUMIFS(Velocity!$I:$I,Velocity!$A:$A,$A291,Velocity!$B:$B,$C291)/Assumptions!$B$4*Assumptions!$B$6</f>
        <v>0</v>
      </c>
      <c r="AS291" s="7" t="n">
        <f aca="false">SUMIFS(Doors!BE:BE,Doors!$A:$A,$D291,Doors!$B:$B,$B291,Doors!$C:$C,$C291)*SUMIFS(Velocity!$I:$I,Velocity!$A:$A,$A291,Velocity!$B:$B,$C291)/Assumptions!$B$4*Assumptions!$B$6</f>
        <v>0</v>
      </c>
      <c r="AT291" s="7" t="n">
        <f aca="false">SUMIFS(Doors!BF:BF,Doors!$A:$A,$D291,Doors!$B:$B,$B291,Doors!$C:$C,$C291)*SUMIFS(Velocity!$I:$I,Velocity!$A:$A,$A291,Velocity!$B:$B,$C291)/Assumptions!$B$4*Assumptions!$B$6</f>
        <v>0</v>
      </c>
      <c r="AU291" s="7" t="n">
        <f aca="false">SUMIFS(Doors!BG:BG,Doors!$A:$A,$D291,Doors!$B:$B,$B291,Doors!$C:$C,$C291)*SUMIFS(Velocity!$I:$I,Velocity!$A:$A,$A291,Velocity!$B:$B,$C291)/Assumptions!$B$4*Assumptions!$B$6</f>
        <v>0</v>
      </c>
      <c r="AV291" s="7" t="n">
        <f aca="false">SUMIFS(Doors!BH:BH,Doors!$A:$A,$D291,Doors!$B:$B,$B291,Doors!$C:$C,$C291)*SUMIFS(Velocity!$I:$I,Velocity!$A:$A,$A291,Velocity!$B:$B,$C291)/Assumptions!$B$4*Assumptions!$B$6</f>
        <v>0</v>
      </c>
      <c r="AW291" s="7" t="n">
        <f aca="false">SUMIFS(Doors!BI:BI,Doors!$A:$A,$D291,Doors!$B:$B,$B291,Doors!$C:$C,$C291)*SUMIFS(Velocity!$I:$I,Velocity!$A:$A,$A291,Velocity!$B:$B,$C291)/Assumptions!$B$4*Assumptions!$B$6</f>
        <v>0</v>
      </c>
      <c r="AX291" s="7" t="n">
        <f aca="false">SUMIFS(Doors!BJ:BJ,Doors!$A:$A,$D291,Doors!$B:$B,$B291,Doors!$C:$C,$C291)*SUMIFS(Velocity!$I:$I,Velocity!$A:$A,$A291,Velocity!$B:$B,$C291)/Assumptions!$B$4*Assumptions!$B$6</f>
        <v>0</v>
      </c>
      <c r="AY291" s="7" t="n">
        <f aca="false">SUMIFS(Doors!BK:BK,Doors!$A:$A,$D291,Doors!$B:$B,$B291,Doors!$C:$C,$C291)*SUMIFS(Velocity!$I:$I,Velocity!$A:$A,$A291,Velocity!$B:$B,$C291)/Assumptions!$B$4*Assumptions!$B$6</f>
        <v>0</v>
      </c>
      <c r="AZ291" s="7" t="n">
        <f aca="false">SUMIFS(Doors!BL:BL,Doors!$A:$A,$D291,Doors!$B:$B,$B291,Doors!$C:$C,$C291)*SUMIFS(Velocity!$I:$I,Velocity!$A:$A,$A291,Velocity!$B:$B,$C291)/Assumptions!$B$4*Assumptions!$B$6</f>
        <v>0</v>
      </c>
      <c r="BA291" s="7" t="n">
        <f aca="false">SUMIFS(Doors!BM:BM,Doors!$A:$A,$D291,Doors!$B:$B,$B291,Doors!$C:$C,$C291)*SUMIFS(Velocity!$I:$I,Velocity!$A:$A,$A291,Velocity!$B:$B,$C291)/Assumptions!$B$4*Assumptions!$B$6</f>
        <v>0</v>
      </c>
      <c r="BB291" s="7" t="n">
        <f aca="false">SUMIFS(Doors!BN:BN,Doors!$A:$A,$D291,Doors!$B:$B,$B291,Doors!$C:$C,$C291)*SUMIFS(Velocity!$I:$I,Velocity!$A:$A,$A291,Velocity!$B:$B,$C291)/Assumptions!$B$4*Assumptions!$B$6</f>
        <v>0</v>
      </c>
      <c r="BC291" s="7" t="n">
        <f aca="false">SUMIFS(Doors!BO:BO,Doors!$A:$A,$D291,Doors!$B:$B,$B291,Doors!$C:$C,$C291)*SUMIFS(Velocity!$I:$I,Velocity!$A:$A,$A291,Velocity!$B:$B,$C291)/Assumptions!$B$4*Assumptions!$B$6</f>
        <v>0</v>
      </c>
      <c r="BD291" s="7" t="n">
        <f aca="false">SUMIFS(Doors!BP:BP,Doors!$A:$A,$D291,Doors!$B:$B,$B291,Doors!$C:$C,$C291)*SUMIFS(Velocity!$I:$I,Velocity!$A:$A,$A291,Velocity!$B:$B,$C291)/Assumptions!$B$4*Assumptions!$B$6</f>
        <v>0</v>
      </c>
    </row>
    <row r="292" customFormat="false" ht="15" hidden="false" customHeight="false" outlineLevel="0" collapsed="false">
      <c r="A292" s="0" t="s">
        <v>111</v>
      </c>
      <c r="B292" s="0" t="s">
        <v>127</v>
      </c>
      <c r="C292" s="0" t="s">
        <v>122</v>
      </c>
      <c r="D292" s="0" t="s">
        <v>236</v>
      </c>
      <c r="E292" s="7" t="n">
        <f aca="false">SUMIFS(Doors!Q:Q,Doors!$A:$A,$D292,Doors!$B:$B,$B292,Doors!$C:$C,$C292)*SUMIFS(Velocity!$I:$I,Velocity!$A:$A,$A292,Velocity!$B:$B,$C292)/Assumptions!$B$4*Assumptions!$B$6</f>
        <v>0</v>
      </c>
      <c r="F292" s="7" t="n">
        <f aca="false">SUMIFS(Doors!R:R,Doors!$A:$A,$D292,Doors!$B:$B,$B292,Doors!$C:$C,$C292)*SUMIFS(Velocity!$I:$I,Velocity!$A:$A,$A292,Velocity!$B:$B,$C292)/Assumptions!$B$4*Assumptions!$B$6</f>
        <v>0</v>
      </c>
      <c r="G292" s="7" t="n">
        <f aca="false">SUMIFS(Doors!S:S,Doors!$A:$A,$D292,Doors!$B:$B,$B292,Doors!$C:$C,$C292)*SUMIFS(Velocity!$I:$I,Velocity!$A:$A,$A292,Velocity!$B:$B,$C292)/Assumptions!$B$4*Assumptions!$B$6</f>
        <v>0</v>
      </c>
      <c r="H292" s="7" t="n">
        <f aca="false">SUMIFS(Doors!T:T,Doors!$A:$A,$D292,Doors!$B:$B,$B292,Doors!$C:$C,$C292)*SUMIFS(Velocity!$I:$I,Velocity!$A:$A,$A292,Velocity!$B:$B,$C292)/Assumptions!$B$4*Assumptions!$B$6</f>
        <v>0</v>
      </c>
      <c r="I292" s="7" t="n">
        <f aca="false">SUMIFS(Doors!U:U,Doors!$A:$A,$D292,Doors!$B:$B,$B292,Doors!$C:$C,$C292)*SUMIFS(Velocity!$I:$I,Velocity!$A:$A,$A292,Velocity!$B:$B,$C292)/Assumptions!$B$4*Assumptions!$B$6</f>
        <v>0</v>
      </c>
      <c r="J292" s="7" t="n">
        <f aca="false">SUMIFS(Doors!V:V,Doors!$A:$A,$D292,Doors!$B:$B,$B292,Doors!$C:$C,$C292)*SUMIFS(Velocity!$I:$I,Velocity!$A:$A,$A292,Velocity!$B:$B,$C292)/Assumptions!$B$4*Assumptions!$B$6</f>
        <v>0</v>
      </c>
      <c r="K292" s="7" t="n">
        <f aca="false">SUMIFS(Doors!W:W,Doors!$A:$A,$D292,Doors!$B:$B,$B292,Doors!$C:$C,$C292)*SUMIFS(Velocity!$I:$I,Velocity!$A:$A,$A292,Velocity!$B:$B,$C292)/Assumptions!$B$4*Assumptions!$B$6</f>
        <v>0</v>
      </c>
      <c r="L292" s="7" t="n">
        <f aca="false">SUMIFS(Doors!X:X,Doors!$A:$A,$D292,Doors!$B:$B,$B292,Doors!$C:$C,$C292)*SUMIFS(Velocity!$I:$I,Velocity!$A:$A,$A292,Velocity!$B:$B,$C292)/Assumptions!$B$4*Assumptions!$B$6</f>
        <v>0</v>
      </c>
      <c r="M292" s="7" t="n">
        <f aca="false">SUMIFS(Doors!Y:Y,Doors!$A:$A,$D292,Doors!$B:$B,$B292,Doors!$C:$C,$C292)*SUMIFS(Velocity!$I:$I,Velocity!$A:$A,$A292,Velocity!$B:$B,$C292)/Assumptions!$B$4*Assumptions!$B$6</f>
        <v>0</v>
      </c>
      <c r="N292" s="7" t="n">
        <f aca="false">SUMIFS(Doors!Z:Z,Doors!$A:$A,$D292,Doors!$B:$B,$B292,Doors!$C:$C,$C292)*SUMIFS(Velocity!$I:$I,Velocity!$A:$A,$A292,Velocity!$B:$B,$C292)/Assumptions!$B$4*Assumptions!$B$6</f>
        <v>0</v>
      </c>
      <c r="O292" s="7" t="n">
        <f aca="false">SUMIFS(Doors!AA:AA,Doors!$A:$A,$D292,Doors!$B:$B,$B292,Doors!$C:$C,$C292)*SUMIFS(Velocity!$I:$I,Velocity!$A:$A,$A292,Velocity!$B:$B,$C292)/Assumptions!$B$4*Assumptions!$B$6</f>
        <v>0</v>
      </c>
      <c r="P292" s="7" t="n">
        <f aca="false">SUMIFS(Doors!AB:AB,Doors!$A:$A,$D292,Doors!$B:$B,$B292,Doors!$C:$C,$C292)*SUMIFS(Velocity!$I:$I,Velocity!$A:$A,$A292,Velocity!$B:$B,$C292)/Assumptions!$B$4*Assumptions!$B$6</f>
        <v>0</v>
      </c>
      <c r="Q292" s="7" t="n">
        <f aca="false">SUMIFS(Doors!AC:AC,Doors!$A:$A,$D292,Doors!$B:$B,$B292,Doors!$C:$C,$C292)*SUMIFS(Velocity!$I:$I,Velocity!$A:$A,$A292,Velocity!$B:$B,$C292)/Assumptions!$B$4*Assumptions!$B$6</f>
        <v>0</v>
      </c>
      <c r="R292" s="7" t="n">
        <f aca="false">SUMIFS(Doors!AD:AD,Doors!$A:$A,$D292,Doors!$B:$B,$B292,Doors!$C:$C,$C292)*SUMIFS(Velocity!$I:$I,Velocity!$A:$A,$A292,Velocity!$B:$B,$C292)/Assumptions!$B$4*Assumptions!$B$6</f>
        <v>0</v>
      </c>
      <c r="S292" s="7" t="n">
        <f aca="false">SUMIFS(Doors!AE:AE,Doors!$A:$A,$D292,Doors!$B:$B,$B292,Doors!$C:$C,$C292)*SUMIFS(Velocity!$I:$I,Velocity!$A:$A,$A292,Velocity!$B:$B,$C292)/Assumptions!$B$4*Assumptions!$B$6</f>
        <v>0</v>
      </c>
      <c r="T292" s="7" t="n">
        <f aca="false">SUMIFS(Doors!AF:AF,Doors!$A:$A,$D292,Doors!$B:$B,$B292,Doors!$C:$C,$C292)*SUMIFS(Velocity!$I:$I,Velocity!$A:$A,$A292,Velocity!$B:$B,$C292)/Assumptions!$B$4*Assumptions!$B$6</f>
        <v>0</v>
      </c>
      <c r="U292" s="7" t="n">
        <f aca="false">SUMIFS(Doors!AG:AG,Doors!$A:$A,$D292,Doors!$B:$B,$B292,Doors!$C:$C,$C292)*SUMIFS(Velocity!$I:$I,Velocity!$A:$A,$A292,Velocity!$B:$B,$C292)/Assumptions!$B$4*Assumptions!$B$6</f>
        <v>0</v>
      </c>
      <c r="V292" s="7" t="n">
        <f aca="false">SUMIFS(Doors!AH:AH,Doors!$A:$A,$D292,Doors!$B:$B,$B292,Doors!$C:$C,$C292)*SUMIFS(Velocity!$I:$I,Velocity!$A:$A,$A292,Velocity!$B:$B,$C292)/Assumptions!$B$4*Assumptions!$B$6</f>
        <v>0</v>
      </c>
      <c r="W292" s="7" t="n">
        <f aca="false">SUMIFS(Doors!AI:AI,Doors!$A:$A,$D292,Doors!$B:$B,$B292,Doors!$C:$C,$C292)*SUMIFS(Velocity!$I:$I,Velocity!$A:$A,$A292,Velocity!$B:$B,$C292)/Assumptions!$B$4*Assumptions!$B$6</f>
        <v>0</v>
      </c>
      <c r="X292" s="7" t="n">
        <f aca="false">SUMIFS(Doors!AJ:AJ,Doors!$A:$A,$D292,Doors!$B:$B,$B292,Doors!$C:$C,$C292)*SUMIFS(Velocity!$I:$I,Velocity!$A:$A,$A292,Velocity!$B:$B,$C292)/Assumptions!$B$4*Assumptions!$B$6</f>
        <v>0</v>
      </c>
      <c r="Y292" s="7" t="n">
        <f aca="false">SUMIFS(Doors!AK:AK,Doors!$A:$A,$D292,Doors!$B:$B,$B292,Doors!$C:$C,$C292)*SUMIFS(Velocity!$I:$I,Velocity!$A:$A,$A292,Velocity!$B:$B,$C292)/Assumptions!$B$4*Assumptions!$B$6</f>
        <v>0</v>
      </c>
      <c r="Z292" s="7" t="n">
        <f aca="false">SUMIFS(Doors!AL:AL,Doors!$A:$A,$D292,Doors!$B:$B,$B292,Doors!$C:$C,$C292)*SUMIFS(Velocity!$I:$I,Velocity!$A:$A,$A292,Velocity!$B:$B,$C292)/Assumptions!$B$4*Assumptions!$B$6</f>
        <v>0</v>
      </c>
      <c r="AA292" s="7" t="n">
        <f aca="false">SUMIFS(Doors!AM:AM,Doors!$A:$A,$D292,Doors!$B:$B,$B292,Doors!$C:$C,$C292)*SUMIFS(Velocity!$I:$I,Velocity!$A:$A,$A292,Velocity!$B:$B,$C292)/Assumptions!$B$4*Assumptions!$B$6</f>
        <v>0</v>
      </c>
      <c r="AB292" s="7" t="n">
        <f aca="false">SUMIFS(Doors!AN:AN,Doors!$A:$A,$D292,Doors!$B:$B,$B292,Doors!$C:$C,$C292)*SUMIFS(Velocity!$I:$I,Velocity!$A:$A,$A292,Velocity!$B:$B,$C292)/Assumptions!$B$4*Assumptions!$B$6</f>
        <v>0</v>
      </c>
      <c r="AC292" s="7" t="n">
        <f aca="false">SUMIFS(Doors!AO:AO,Doors!$A:$A,$D292,Doors!$B:$B,$B292,Doors!$C:$C,$C292)*SUMIFS(Velocity!$I:$I,Velocity!$A:$A,$A292,Velocity!$B:$B,$C292)/Assumptions!$B$4*Assumptions!$B$6</f>
        <v>0</v>
      </c>
      <c r="AD292" s="7" t="n">
        <f aca="false">SUMIFS(Doors!AP:AP,Doors!$A:$A,$D292,Doors!$B:$B,$B292,Doors!$C:$C,$C292)*SUMIFS(Velocity!$I:$I,Velocity!$A:$A,$A292,Velocity!$B:$B,$C292)/Assumptions!$B$4*Assumptions!$B$6</f>
        <v>0</v>
      </c>
      <c r="AE292" s="7" t="n">
        <f aca="false">SUMIFS(Doors!AQ:AQ,Doors!$A:$A,$D292,Doors!$B:$B,$B292,Doors!$C:$C,$C292)*SUMIFS(Velocity!$I:$I,Velocity!$A:$A,$A292,Velocity!$B:$B,$C292)/Assumptions!$B$4*Assumptions!$B$6</f>
        <v>0</v>
      </c>
      <c r="AF292" s="7" t="n">
        <f aca="false">SUMIFS(Doors!AR:AR,Doors!$A:$A,$D292,Doors!$B:$B,$B292,Doors!$C:$C,$C292)*SUMIFS(Velocity!$I:$I,Velocity!$A:$A,$A292,Velocity!$B:$B,$C292)/Assumptions!$B$4*Assumptions!$B$6</f>
        <v>0</v>
      </c>
      <c r="AG292" s="7" t="n">
        <f aca="false">SUMIFS(Doors!AS:AS,Doors!$A:$A,$D292,Doors!$B:$B,$B292,Doors!$C:$C,$C292)*SUMIFS(Velocity!$I:$I,Velocity!$A:$A,$A292,Velocity!$B:$B,$C292)/Assumptions!$B$4*Assumptions!$B$6</f>
        <v>0</v>
      </c>
      <c r="AH292" s="7" t="n">
        <f aca="false">SUMIFS(Doors!AT:AT,Doors!$A:$A,$D292,Doors!$B:$B,$B292,Doors!$C:$C,$C292)*SUMIFS(Velocity!$I:$I,Velocity!$A:$A,$A292,Velocity!$B:$B,$C292)/Assumptions!$B$4*Assumptions!$B$6</f>
        <v>0</v>
      </c>
      <c r="AI292" s="7" t="n">
        <f aca="false">SUMIFS(Doors!AU:AU,Doors!$A:$A,$D292,Doors!$B:$B,$B292,Doors!$C:$C,$C292)*SUMIFS(Velocity!$I:$I,Velocity!$A:$A,$A292,Velocity!$B:$B,$C292)/Assumptions!$B$4*Assumptions!$B$6</f>
        <v>0</v>
      </c>
      <c r="AJ292" s="7" t="n">
        <f aca="false">SUMIFS(Doors!AV:AV,Doors!$A:$A,$D292,Doors!$B:$B,$B292,Doors!$C:$C,$C292)*SUMIFS(Velocity!$I:$I,Velocity!$A:$A,$A292,Velocity!$B:$B,$C292)/Assumptions!$B$4*Assumptions!$B$6</f>
        <v>0</v>
      </c>
      <c r="AK292" s="7" t="n">
        <f aca="false">SUMIFS(Doors!AW:AW,Doors!$A:$A,$D292,Doors!$B:$B,$B292,Doors!$C:$C,$C292)*SUMIFS(Velocity!$I:$I,Velocity!$A:$A,$A292,Velocity!$B:$B,$C292)/Assumptions!$B$4*Assumptions!$B$6</f>
        <v>0</v>
      </c>
      <c r="AL292" s="7" t="n">
        <f aca="false">SUMIFS(Doors!AX:AX,Doors!$A:$A,$D292,Doors!$B:$B,$B292,Doors!$C:$C,$C292)*SUMIFS(Velocity!$I:$I,Velocity!$A:$A,$A292,Velocity!$B:$B,$C292)/Assumptions!$B$4*Assumptions!$B$6</f>
        <v>0</v>
      </c>
      <c r="AM292" s="7" t="n">
        <f aca="false">SUMIFS(Doors!AY:AY,Doors!$A:$A,$D292,Doors!$B:$B,$B292,Doors!$C:$C,$C292)*SUMIFS(Velocity!$I:$I,Velocity!$A:$A,$A292,Velocity!$B:$B,$C292)/Assumptions!$B$4*Assumptions!$B$6</f>
        <v>0</v>
      </c>
      <c r="AN292" s="7" t="n">
        <f aca="false">SUMIFS(Doors!AZ:AZ,Doors!$A:$A,$D292,Doors!$B:$B,$B292,Doors!$C:$C,$C292)*SUMIFS(Velocity!$I:$I,Velocity!$A:$A,$A292,Velocity!$B:$B,$C292)/Assumptions!$B$4*Assumptions!$B$6</f>
        <v>0</v>
      </c>
      <c r="AO292" s="7" t="n">
        <f aca="false">SUMIFS(Doors!BA:BA,Doors!$A:$A,$D292,Doors!$B:$B,$B292,Doors!$C:$C,$C292)*SUMIFS(Velocity!$I:$I,Velocity!$A:$A,$A292,Velocity!$B:$B,$C292)/Assumptions!$B$4*Assumptions!$B$6</f>
        <v>0</v>
      </c>
      <c r="AP292" s="7" t="n">
        <f aca="false">SUMIFS(Doors!BB:BB,Doors!$A:$A,$D292,Doors!$B:$B,$B292,Doors!$C:$C,$C292)*SUMIFS(Velocity!$I:$I,Velocity!$A:$A,$A292,Velocity!$B:$B,$C292)/Assumptions!$B$4*Assumptions!$B$6</f>
        <v>0</v>
      </c>
      <c r="AQ292" s="7" t="n">
        <f aca="false">SUMIFS(Doors!BC:BC,Doors!$A:$A,$D292,Doors!$B:$B,$B292,Doors!$C:$C,$C292)*SUMIFS(Velocity!$I:$I,Velocity!$A:$A,$A292,Velocity!$B:$B,$C292)/Assumptions!$B$4*Assumptions!$B$6</f>
        <v>0</v>
      </c>
      <c r="AR292" s="7" t="n">
        <f aca="false">SUMIFS(Doors!BD:BD,Doors!$A:$A,$D292,Doors!$B:$B,$B292,Doors!$C:$C,$C292)*SUMIFS(Velocity!$I:$I,Velocity!$A:$A,$A292,Velocity!$B:$B,$C292)/Assumptions!$B$4*Assumptions!$B$6</f>
        <v>0</v>
      </c>
      <c r="AS292" s="7" t="n">
        <f aca="false">SUMIFS(Doors!BE:BE,Doors!$A:$A,$D292,Doors!$B:$B,$B292,Doors!$C:$C,$C292)*SUMIFS(Velocity!$I:$I,Velocity!$A:$A,$A292,Velocity!$B:$B,$C292)/Assumptions!$B$4*Assumptions!$B$6</f>
        <v>0</v>
      </c>
      <c r="AT292" s="7" t="n">
        <f aca="false">SUMIFS(Doors!BF:BF,Doors!$A:$A,$D292,Doors!$B:$B,$B292,Doors!$C:$C,$C292)*SUMIFS(Velocity!$I:$I,Velocity!$A:$A,$A292,Velocity!$B:$B,$C292)/Assumptions!$B$4*Assumptions!$B$6</f>
        <v>0</v>
      </c>
      <c r="AU292" s="7" t="n">
        <f aca="false">SUMIFS(Doors!BG:BG,Doors!$A:$A,$D292,Doors!$B:$B,$B292,Doors!$C:$C,$C292)*SUMIFS(Velocity!$I:$I,Velocity!$A:$A,$A292,Velocity!$B:$B,$C292)/Assumptions!$B$4*Assumptions!$B$6</f>
        <v>0</v>
      </c>
      <c r="AV292" s="7" t="n">
        <f aca="false">SUMIFS(Doors!BH:BH,Doors!$A:$A,$D292,Doors!$B:$B,$B292,Doors!$C:$C,$C292)*SUMIFS(Velocity!$I:$I,Velocity!$A:$A,$A292,Velocity!$B:$B,$C292)/Assumptions!$B$4*Assumptions!$B$6</f>
        <v>0</v>
      </c>
      <c r="AW292" s="7" t="n">
        <f aca="false">SUMIFS(Doors!BI:BI,Doors!$A:$A,$D292,Doors!$B:$B,$B292,Doors!$C:$C,$C292)*SUMIFS(Velocity!$I:$I,Velocity!$A:$A,$A292,Velocity!$B:$B,$C292)/Assumptions!$B$4*Assumptions!$B$6</f>
        <v>0</v>
      </c>
      <c r="AX292" s="7" t="n">
        <f aca="false">SUMIFS(Doors!BJ:BJ,Doors!$A:$A,$D292,Doors!$B:$B,$B292,Doors!$C:$C,$C292)*SUMIFS(Velocity!$I:$I,Velocity!$A:$A,$A292,Velocity!$B:$B,$C292)/Assumptions!$B$4*Assumptions!$B$6</f>
        <v>0</v>
      </c>
      <c r="AY292" s="7" t="n">
        <f aca="false">SUMIFS(Doors!BK:BK,Doors!$A:$A,$D292,Doors!$B:$B,$B292,Doors!$C:$C,$C292)*SUMIFS(Velocity!$I:$I,Velocity!$A:$A,$A292,Velocity!$B:$B,$C292)/Assumptions!$B$4*Assumptions!$B$6</f>
        <v>0</v>
      </c>
      <c r="AZ292" s="7" t="n">
        <f aca="false">SUMIFS(Doors!BL:BL,Doors!$A:$A,$D292,Doors!$B:$B,$B292,Doors!$C:$C,$C292)*SUMIFS(Velocity!$I:$I,Velocity!$A:$A,$A292,Velocity!$B:$B,$C292)/Assumptions!$B$4*Assumptions!$B$6</f>
        <v>0</v>
      </c>
      <c r="BA292" s="7" t="n">
        <f aca="false">SUMIFS(Doors!BM:BM,Doors!$A:$A,$D292,Doors!$B:$B,$B292,Doors!$C:$C,$C292)*SUMIFS(Velocity!$I:$I,Velocity!$A:$A,$A292,Velocity!$B:$B,$C292)/Assumptions!$B$4*Assumptions!$B$6</f>
        <v>0</v>
      </c>
      <c r="BB292" s="7" t="n">
        <f aca="false">SUMIFS(Doors!BN:BN,Doors!$A:$A,$D292,Doors!$B:$B,$B292,Doors!$C:$C,$C292)*SUMIFS(Velocity!$I:$I,Velocity!$A:$A,$A292,Velocity!$B:$B,$C292)/Assumptions!$B$4*Assumptions!$B$6</f>
        <v>0</v>
      </c>
      <c r="BC292" s="7" t="n">
        <f aca="false">SUMIFS(Doors!BO:BO,Doors!$A:$A,$D292,Doors!$B:$B,$B292,Doors!$C:$C,$C292)*SUMIFS(Velocity!$I:$I,Velocity!$A:$A,$A292,Velocity!$B:$B,$C292)/Assumptions!$B$4*Assumptions!$B$6</f>
        <v>0</v>
      </c>
      <c r="BD292" s="7" t="n">
        <f aca="false">SUMIFS(Doors!BP:BP,Doors!$A:$A,$D292,Doors!$B:$B,$B292,Doors!$C:$C,$C292)*SUMIFS(Velocity!$I:$I,Velocity!$A:$A,$A292,Velocity!$B:$B,$C292)/Assumptions!$B$4*Assumptions!$B$6</f>
        <v>0</v>
      </c>
    </row>
    <row r="293" customFormat="false" ht="15" hidden="false" customHeight="false" outlineLevel="0" collapsed="false">
      <c r="A293" s="0" t="s">
        <v>111</v>
      </c>
      <c r="B293" s="0" t="s">
        <v>127</v>
      </c>
      <c r="C293" s="0" t="s">
        <v>123</v>
      </c>
      <c r="D293" s="0" t="s">
        <v>236</v>
      </c>
      <c r="E293" s="7" t="n">
        <f aca="false">SUMIFS(Doors!Q:Q,Doors!$A:$A,$D293,Doors!$B:$B,$B293,Doors!$C:$C,$C293)*SUMIFS(Velocity!$I:$I,Velocity!$A:$A,$A293,Velocity!$B:$B,$C293)/Assumptions!$B$4*Assumptions!$B$6</f>
        <v>0</v>
      </c>
      <c r="F293" s="7" t="n">
        <f aca="false">SUMIFS(Doors!R:R,Doors!$A:$A,$D293,Doors!$B:$B,$B293,Doors!$C:$C,$C293)*SUMIFS(Velocity!$I:$I,Velocity!$A:$A,$A293,Velocity!$B:$B,$C293)/Assumptions!$B$4*Assumptions!$B$6</f>
        <v>0</v>
      </c>
      <c r="G293" s="7" t="n">
        <f aca="false">SUMIFS(Doors!S:S,Doors!$A:$A,$D293,Doors!$B:$B,$B293,Doors!$C:$C,$C293)*SUMIFS(Velocity!$I:$I,Velocity!$A:$A,$A293,Velocity!$B:$B,$C293)/Assumptions!$B$4*Assumptions!$B$6</f>
        <v>0</v>
      </c>
      <c r="H293" s="7" t="n">
        <f aca="false">SUMIFS(Doors!T:T,Doors!$A:$A,$D293,Doors!$B:$B,$B293,Doors!$C:$C,$C293)*SUMIFS(Velocity!$I:$I,Velocity!$A:$A,$A293,Velocity!$B:$B,$C293)/Assumptions!$B$4*Assumptions!$B$6</f>
        <v>0</v>
      </c>
      <c r="I293" s="7" t="n">
        <f aca="false">SUMIFS(Doors!U:U,Doors!$A:$A,$D293,Doors!$B:$B,$B293,Doors!$C:$C,$C293)*SUMIFS(Velocity!$I:$I,Velocity!$A:$A,$A293,Velocity!$B:$B,$C293)/Assumptions!$B$4*Assumptions!$B$6</f>
        <v>0</v>
      </c>
      <c r="J293" s="7" t="n">
        <f aca="false">SUMIFS(Doors!V:V,Doors!$A:$A,$D293,Doors!$B:$B,$B293,Doors!$C:$C,$C293)*SUMIFS(Velocity!$I:$I,Velocity!$A:$A,$A293,Velocity!$B:$B,$C293)/Assumptions!$B$4*Assumptions!$B$6</f>
        <v>0</v>
      </c>
      <c r="K293" s="7" t="n">
        <f aca="false">SUMIFS(Doors!W:W,Doors!$A:$A,$D293,Doors!$B:$B,$B293,Doors!$C:$C,$C293)*SUMIFS(Velocity!$I:$I,Velocity!$A:$A,$A293,Velocity!$B:$B,$C293)/Assumptions!$B$4*Assumptions!$B$6</f>
        <v>0</v>
      </c>
      <c r="L293" s="7" t="n">
        <f aca="false">SUMIFS(Doors!X:X,Doors!$A:$A,$D293,Doors!$B:$B,$B293,Doors!$C:$C,$C293)*SUMIFS(Velocity!$I:$I,Velocity!$A:$A,$A293,Velocity!$B:$B,$C293)/Assumptions!$B$4*Assumptions!$B$6</f>
        <v>0</v>
      </c>
      <c r="M293" s="7" t="n">
        <f aca="false">SUMIFS(Doors!Y:Y,Doors!$A:$A,$D293,Doors!$B:$B,$B293,Doors!$C:$C,$C293)*SUMIFS(Velocity!$I:$I,Velocity!$A:$A,$A293,Velocity!$B:$B,$C293)/Assumptions!$B$4*Assumptions!$B$6</f>
        <v>0</v>
      </c>
      <c r="N293" s="7" t="n">
        <f aca="false">SUMIFS(Doors!Z:Z,Doors!$A:$A,$D293,Doors!$B:$B,$B293,Doors!$C:$C,$C293)*SUMIFS(Velocity!$I:$I,Velocity!$A:$A,$A293,Velocity!$B:$B,$C293)/Assumptions!$B$4*Assumptions!$B$6</f>
        <v>0</v>
      </c>
      <c r="O293" s="7" t="n">
        <f aca="false">SUMIFS(Doors!AA:AA,Doors!$A:$A,$D293,Doors!$B:$B,$B293,Doors!$C:$C,$C293)*SUMIFS(Velocity!$I:$I,Velocity!$A:$A,$A293,Velocity!$B:$B,$C293)/Assumptions!$B$4*Assumptions!$B$6</f>
        <v>0</v>
      </c>
      <c r="P293" s="7" t="n">
        <f aca="false">SUMIFS(Doors!AB:AB,Doors!$A:$A,$D293,Doors!$B:$B,$B293,Doors!$C:$C,$C293)*SUMIFS(Velocity!$I:$I,Velocity!$A:$A,$A293,Velocity!$B:$B,$C293)/Assumptions!$B$4*Assumptions!$B$6</f>
        <v>0</v>
      </c>
      <c r="Q293" s="7" t="n">
        <f aca="false">SUMIFS(Doors!AC:AC,Doors!$A:$A,$D293,Doors!$B:$B,$B293,Doors!$C:$C,$C293)*SUMIFS(Velocity!$I:$I,Velocity!$A:$A,$A293,Velocity!$B:$B,$C293)/Assumptions!$B$4*Assumptions!$B$6</f>
        <v>0</v>
      </c>
      <c r="R293" s="7" t="n">
        <f aca="false">SUMIFS(Doors!AD:AD,Doors!$A:$A,$D293,Doors!$B:$B,$B293,Doors!$C:$C,$C293)*SUMIFS(Velocity!$I:$I,Velocity!$A:$A,$A293,Velocity!$B:$B,$C293)/Assumptions!$B$4*Assumptions!$B$6</f>
        <v>0</v>
      </c>
      <c r="S293" s="7" t="n">
        <f aca="false">SUMIFS(Doors!AE:AE,Doors!$A:$A,$D293,Doors!$B:$B,$B293,Doors!$C:$C,$C293)*SUMIFS(Velocity!$I:$I,Velocity!$A:$A,$A293,Velocity!$B:$B,$C293)/Assumptions!$B$4*Assumptions!$B$6</f>
        <v>0</v>
      </c>
      <c r="T293" s="7" t="n">
        <f aca="false">SUMIFS(Doors!AF:AF,Doors!$A:$A,$D293,Doors!$B:$B,$B293,Doors!$C:$C,$C293)*SUMIFS(Velocity!$I:$I,Velocity!$A:$A,$A293,Velocity!$B:$B,$C293)/Assumptions!$B$4*Assumptions!$B$6</f>
        <v>0</v>
      </c>
      <c r="U293" s="7" t="n">
        <f aca="false">SUMIFS(Doors!AG:AG,Doors!$A:$A,$D293,Doors!$B:$B,$B293,Doors!$C:$C,$C293)*SUMIFS(Velocity!$I:$I,Velocity!$A:$A,$A293,Velocity!$B:$B,$C293)/Assumptions!$B$4*Assumptions!$B$6</f>
        <v>0</v>
      </c>
      <c r="V293" s="7" t="n">
        <f aca="false">SUMIFS(Doors!AH:AH,Doors!$A:$A,$D293,Doors!$B:$B,$B293,Doors!$C:$C,$C293)*SUMIFS(Velocity!$I:$I,Velocity!$A:$A,$A293,Velocity!$B:$B,$C293)/Assumptions!$B$4*Assumptions!$B$6</f>
        <v>0</v>
      </c>
      <c r="W293" s="7" t="n">
        <f aca="false">SUMIFS(Doors!AI:AI,Doors!$A:$A,$D293,Doors!$B:$B,$B293,Doors!$C:$C,$C293)*SUMIFS(Velocity!$I:$I,Velocity!$A:$A,$A293,Velocity!$B:$B,$C293)/Assumptions!$B$4*Assumptions!$B$6</f>
        <v>0</v>
      </c>
      <c r="X293" s="7" t="n">
        <f aca="false">SUMIFS(Doors!AJ:AJ,Doors!$A:$A,$D293,Doors!$B:$B,$B293,Doors!$C:$C,$C293)*SUMIFS(Velocity!$I:$I,Velocity!$A:$A,$A293,Velocity!$B:$B,$C293)/Assumptions!$B$4*Assumptions!$B$6</f>
        <v>0</v>
      </c>
      <c r="Y293" s="7" t="n">
        <f aca="false">SUMIFS(Doors!AK:AK,Doors!$A:$A,$D293,Doors!$B:$B,$B293,Doors!$C:$C,$C293)*SUMIFS(Velocity!$I:$I,Velocity!$A:$A,$A293,Velocity!$B:$B,$C293)/Assumptions!$B$4*Assumptions!$B$6</f>
        <v>0</v>
      </c>
      <c r="Z293" s="7" t="n">
        <f aca="false">SUMIFS(Doors!AL:AL,Doors!$A:$A,$D293,Doors!$B:$B,$B293,Doors!$C:$C,$C293)*SUMIFS(Velocity!$I:$I,Velocity!$A:$A,$A293,Velocity!$B:$B,$C293)/Assumptions!$B$4*Assumptions!$B$6</f>
        <v>0</v>
      </c>
      <c r="AA293" s="7" t="n">
        <f aca="false">SUMIFS(Doors!AM:AM,Doors!$A:$A,$D293,Doors!$B:$B,$B293,Doors!$C:$C,$C293)*SUMIFS(Velocity!$I:$I,Velocity!$A:$A,$A293,Velocity!$B:$B,$C293)/Assumptions!$B$4*Assumptions!$B$6</f>
        <v>0</v>
      </c>
      <c r="AB293" s="7" t="n">
        <f aca="false">SUMIFS(Doors!AN:AN,Doors!$A:$A,$D293,Doors!$B:$B,$B293,Doors!$C:$C,$C293)*SUMIFS(Velocity!$I:$I,Velocity!$A:$A,$A293,Velocity!$B:$B,$C293)/Assumptions!$B$4*Assumptions!$B$6</f>
        <v>0</v>
      </c>
      <c r="AC293" s="7" t="n">
        <f aca="false">SUMIFS(Doors!AO:AO,Doors!$A:$A,$D293,Doors!$B:$B,$B293,Doors!$C:$C,$C293)*SUMIFS(Velocity!$I:$I,Velocity!$A:$A,$A293,Velocity!$B:$B,$C293)/Assumptions!$B$4*Assumptions!$B$6</f>
        <v>0</v>
      </c>
      <c r="AD293" s="7" t="n">
        <f aca="false">SUMIFS(Doors!AP:AP,Doors!$A:$A,$D293,Doors!$B:$B,$B293,Doors!$C:$C,$C293)*SUMIFS(Velocity!$I:$I,Velocity!$A:$A,$A293,Velocity!$B:$B,$C293)/Assumptions!$B$4*Assumptions!$B$6</f>
        <v>0</v>
      </c>
      <c r="AE293" s="7" t="n">
        <f aca="false">SUMIFS(Doors!AQ:AQ,Doors!$A:$A,$D293,Doors!$B:$B,$B293,Doors!$C:$C,$C293)*SUMIFS(Velocity!$I:$I,Velocity!$A:$A,$A293,Velocity!$B:$B,$C293)/Assumptions!$B$4*Assumptions!$B$6</f>
        <v>0</v>
      </c>
      <c r="AF293" s="7" t="n">
        <f aca="false">SUMIFS(Doors!AR:AR,Doors!$A:$A,$D293,Doors!$B:$B,$B293,Doors!$C:$C,$C293)*SUMIFS(Velocity!$I:$I,Velocity!$A:$A,$A293,Velocity!$B:$B,$C293)/Assumptions!$B$4*Assumptions!$B$6</f>
        <v>0</v>
      </c>
      <c r="AG293" s="7" t="n">
        <f aca="false">SUMIFS(Doors!AS:AS,Doors!$A:$A,$D293,Doors!$B:$B,$B293,Doors!$C:$C,$C293)*SUMIFS(Velocity!$I:$I,Velocity!$A:$A,$A293,Velocity!$B:$B,$C293)/Assumptions!$B$4*Assumptions!$B$6</f>
        <v>0</v>
      </c>
      <c r="AH293" s="7" t="n">
        <f aca="false">SUMIFS(Doors!AT:AT,Doors!$A:$A,$D293,Doors!$B:$B,$B293,Doors!$C:$C,$C293)*SUMIFS(Velocity!$I:$I,Velocity!$A:$A,$A293,Velocity!$B:$B,$C293)/Assumptions!$B$4*Assumptions!$B$6</f>
        <v>0</v>
      </c>
      <c r="AI293" s="7" t="n">
        <f aca="false">SUMIFS(Doors!AU:AU,Doors!$A:$A,$D293,Doors!$B:$B,$B293,Doors!$C:$C,$C293)*SUMIFS(Velocity!$I:$I,Velocity!$A:$A,$A293,Velocity!$B:$B,$C293)/Assumptions!$B$4*Assumptions!$B$6</f>
        <v>0</v>
      </c>
      <c r="AJ293" s="7" t="n">
        <f aca="false">SUMIFS(Doors!AV:AV,Doors!$A:$A,$D293,Doors!$B:$B,$B293,Doors!$C:$C,$C293)*SUMIFS(Velocity!$I:$I,Velocity!$A:$A,$A293,Velocity!$B:$B,$C293)/Assumptions!$B$4*Assumptions!$B$6</f>
        <v>0</v>
      </c>
      <c r="AK293" s="7" t="n">
        <f aca="false">SUMIFS(Doors!AW:AW,Doors!$A:$A,$D293,Doors!$B:$B,$B293,Doors!$C:$C,$C293)*SUMIFS(Velocity!$I:$I,Velocity!$A:$A,$A293,Velocity!$B:$B,$C293)/Assumptions!$B$4*Assumptions!$B$6</f>
        <v>0</v>
      </c>
      <c r="AL293" s="7" t="n">
        <f aca="false">SUMIFS(Doors!AX:AX,Doors!$A:$A,$D293,Doors!$B:$B,$B293,Doors!$C:$C,$C293)*SUMIFS(Velocity!$I:$I,Velocity!$A:$A,$A293,Velocity!$B:$B,$C293)/Assumptions!$B$4*Assumptions!$B$6</f>
        <v>0</v>
      </c>
      <c r="AM293" s="7" t="n">
        <f aca="false">SUMIFS(Doors!AY:AY,Doors!$A:$A,$D293,Doors!$B:$B,$B293,Doors!$C:$C,$C293)*SUMIFS(Velocity!$I:$I,Velocity!$A:$A,$A293,Velocity!$B:$B,$C293)/Assumptions!$B$4*Assumptions!$B$6</f>
        <v>0</v>
      </c>
      <c r="AN293" s="7" t="n">
        <f aca="false">SUMIFS(Doors!AZ:AZ,Doors!$A:$A,$D293,Doors!$B:$B,$B293,Doors!$C:$C,$C293)*SUMIFS(Velocity!$I:$I,Velocity!$A:$A,$A293,Velocity!$B:$B,$C293)/Assumptions!$B$4*Assumptions!$B$6</f>
        <v>0</v>
      </c>
      <c r="AO293" s="7" t="n">
        <f aca="false">SUMIFS(Doors!BA:BA,Doors!$A:$A,$D293,Doors!$B:$B,$B293,Doors!$C:$C,$C293)*SUMIFS(Velocity!$I:$I,Velocity!$A:$A,$A293,Velocity!$B:$B,$C293)/Assumptions!$B$4*Assumptions!$B$6</f>
        <v>0</v>
      </c>
      <c r="AP293" s="7" t="n">
        <f aca="false">SUMIFS(Doors!BB:BB,Doors!$A:$A,$D293,Doors!$B:$B,$B293,Doors!$C:$C,$C293)*SUMIFS(Velocity!$I:$I,Velocity!$A:$A,$A293,Velocity!$B:$B,$C293)/Assumptions!$B$4*Assumptions!$B$6</f>
        <v>0</v>
      </c>
      <c r="AQ293" s="7" t="n">
        <f aca="false">SUMIFS(Doors!BC:BC,Doors!$A:$A,$D293,Doors!$B:$B,$B293,Doors!$C:$C,$C293)*SUMIFS(Velocity!$I:$I,Velocity!$A:$A,$A293,Velocity!$B:$B,$C293)/Assumptions!$B$4*Assumptions!$B$6</f>
        <v>0</v>
      </c>
      <c r="AR293" s="7" t="n">
        <f aca="false">SUMIFS(Doors!BD:BD,Doors!$A:$A,$D293,Doors!$B:$B,$B293,Doors!$C:$C,$C293)*SUMIFS(Velocity!$I:$I,Velocity!$A:$A,$A293,Velocity!$B:$B,$C293)/Assumptions!$B$4*Assumptions!$B$6</f>
        <v>0</v>
      </c>
      <c r="AS293" s="7" t="n">
        <f aca="false">SUMIFS(Doors!BE:BE,Doors!$A:$A,$D293,Doors!$B:$B,$B293,Doors!$C:$C,$C293)*SUMIFS(Velocity!$I:$I,Velocity!$A:$A,$A293,Velocity!$B:$B,$C293)/Assumptions!$B$4*Assumptions!$B$6</f>
        <v>0</v>
      </c>
      <c r="AT293" s="7" t="n">
        <f aca="false">SUMIFS(Doors!BF:BF,Doors!$A:$A,$D293,Doors!$B:$B,$B293,Doors!$C:$C,$C293)*SUMIFS(Velocity!$I:$I,Velocity!$A:$A,$A293,Velocity!$B:$B,$C293)/Assumptions!$B$4*Assumptions!$B$6</f>
        <v>0</v>
      </c>
      <c r="AU293" s="7" t="n">
        <f aca="false">SUMIFS(Doors!BG:BG,Doors!$A:$A,$D293,Doors!$B:$B,$B293,Doors!$C:$C,$C293)*SUMIFS(Velocity!$I:$I,Velocity!$A:$A,$A293,Velocity!$B:$B,$C293)/Assumptions!$B$4*Assumptions!$B$6</f>
        <v>0</v>
      </c>
      <c r="AV293" s="7" t="n">
        <f aca="false">SUMIFS(Doors!BH:BH,Doors!$A:$A,$D293,Doors!$B:$B,$B293,Doors!$C:$C,$C293)*SUMIFS(Velocity!$I:$I,Velocity!$A:$A,$A293,Velocity!$B:$B,$C293)/Assumptions!$B$4*Assumptions!$B$6</f>
        <v>0</v>
      </c>
      <c r="AW293" s="7" t="n">
        <f aca="false">SUMIFS(Doors!BI:BI,Doors!$A:$A,$D293,Doors!$B:$B,$B293,Doors!$C:$C,$C293)*SUMIFS(Velocity!$I:$I,Velocity!$A:$A,$A293,Velocity!$B:$B,$C293)/Assumptions!$B$4*Assumptions!$B$6</f>
        <v>0</v>
      </c>
      <c r="AX293" s="7" t="n">
        <f aca="false">SUMIFS(Doors!BJ:BJ,Doors!$A:$A,$D293,Doors!$B:$B,$B293,Doors!$C:$C,$C293)*SUMIFS(Velocity!$I:$I,Velocity!$A:$A,$A293,Velocity!$B:$B,$C293)/Assumptions!$B$4*Assumptions!$B$6</f>
        <v>0</v>
      </c>
      <c r="AY293" s="7" t="n">
        <f aca="false">SUMIFS(Doors!BK:BK,Doors!$A:$A,$D293,Doors!$B:$B,$B293,Doors!$C:$C,$C293)*SUMIFS(Velocity!$I:$I,Velocity!$A:$A,$A293,Velocity!$B:$B,$C293)/Assumptions!$B$4*Assumptions!$B$6</f>
        <v>0</v>
      </c>
      <c r="AZ293" s="7" t="n">
        <f aca="false">SUMIFS(Doors!BL:BL,Doors!$A:$A,$D293,Doors!$B:$B,$B293,Doors!$C:$C,$C293)*SUMIFS(Velocity!$I:$I,Velocity!$A:$A,$A293,Velocity!$B:$B,$C293)/Assumptions!$B$4*Assumptions!$B$6</f>
        <v>0</v>
      </c>
      <c r="BA293" s="7" t="n">
        <f aca="false">SUMIFS(Doors!BM:BM,Doors!$A:$A,$D293,Doors!$B:$B,$B293,Doors!$C:$C,$C293)*SUMIFS(Velocity!$I:$I,Velocity!$A:$A,$A293,Velocity!$B:$B,$C293)/Assumptions!$B$4*Assumptions!$B$6</f>
        <v>0</v>
      </c>
      <c r="BB293" s="7" t="n">
        <f aca="false">SUMIFS(Doors!BN:BN,Doors!$A:$A,$D293,Doors!$B:$B,$B293,Doors!$C:$C,$C293)*SUMIFS(Velocity!$I:$I,Velocity!$A:$A,$A293,Velocity!$B:$B,$C293)/Assumptions!$B$4*Assumptions!$B$6</f>
        <v>0</v>
      </c>
      <c r="BC293" s="7" t="n">
        <f aca="false">SUMIFS(Doors!BO:BO,Doors!$A:$A,$D293,Doors!$B:$B,$B293,Doors!$C:$C,$C293)*SUMIFS(Velocity!$I:$I,Velocity!$A:$A,$A293,Velocity!$B:$B,$C293)/Assumptions!$B$4*Assumptions!$B$6</f>
        <v>0</v>
      </c>
      <c r="BD293" s="7" t="n">
        <f aca="false">SUMIFS(Doors!BP:BP,Doors!$A:$A,$D293,Doors!$B:$B,$B293,Doors!$C:$C,$C293)*SUMIFS(Velocity!$I:$I,Velocity!$A:$A,$A293,Velocity!$B:$B,$C293)/Assumptions!$B$4*Assumptions!$B$6</f>
        <v>0</v>
      </c>
    </row>
    <row r="294" customFormat="false" ht="15" hidden="false" customHeight="false" outlineLevel="0" collapsed="false">
      <c r="A294" s="0" t="s">
        <v>111</v>
      </c>
      <c r="B294" s="0" t="s">
        <v>128</v>
      </c>
      <c r="C294" s="0" t="s">
        <v>115</v>
      </c>
      <c r="D294" s="0" t="s">
        <v>236</v>
      </c>
      <c r="E294" s="7" t="n">
        <f aca="false">SUMIFS(Doors!Q:Q,Doors!$A:$A,$D294,Doors!$B:$B,$B294,Doors!$C:$C,$C294)*SUMIFS(Velocity!$I:$I,Velocity!$A:$A,$A294,Velocity!$B:$B,$C294)/Assumptions!$B$4*Assumptions!$B$6</f>
        <v>0</v>
      </c>
      <c r="F294" s="7" t="n">
        <f aca="false">SUMIFS(Doors!R:R,Doors!$A:$A,$D294,Doors!$B:$B,$B294,Doors!$C:$C,$C294)*SUMIFS(Velocity!$I:$I,Velocity!$A:$A,$A294,Velocity!$B:$B,$C294)/Assumptions!$B$4*Assumptions!$B$6</f>
        <v>0</v>
      </c>
      <c r="G294" s="7" t="n">
        <f aca="false">SUMIFS(Doors!S:S,Doors!$A:$A,$D294,Doors!$B:$B,$B294,Doors!$C:$C,$C294)*SUMIFS(Velocity!$I:$I,Velocity!$A:$A,$A294,Velocity!$B:$B,$C294)/Assumptions!$B$4*Assumptions!$B$6</f>
        <v>0</v>
      </c>
      <c r="H294" s="7" t="n">
        <f aca="false">SUMIFS(Doors!T:T,Doors!$A:$A,$D294,Doors!$B:$B,$B294,Doors!$C:$C,$C294)*SUMIFS(Velocity!$I:$I,Velocity!$A:$A,$A294,Velocity!$B:$B,$C294)/Assumptions!$B$4*Assumptions!$B$6</f>
        <v>0</v>
      </c>
      <c r="I294" s="7" t="n">
        <f aca="false">SUMIFS(Doors!U:U,Doors!$A:$A,$D294,Doors!$B:$B,$B294,Doors!$C:$C,$C294)*SUMIFS(Velocity!$I:$I,Velocity!$A:$A,$A294,Velocity!$B:$B,$C294)/Assumptions!$B$4*Assumptions!$B$6</f>
        <v>0</v>
      </c>
      <c r="J294" s="7" t="n">
        <f aca="false">SUMIFS(Doors!V:V,Doors!$A:$A,$D294,Doors!$B:$B,$B294,Doors!$C:$C,$C294)*SUMIFS(Velocity!$I:$I,Velocity!$A:$A,$A294,Velocity!$B:$B,$C294)/Assumptions!$B$4*Assumptions!$B$6</f>
        <v>0</v>
      </c>
      <c r="K294" s="7" t="n">
        <f aca="false">SUMIFS(Doors!W:W,Doors!$A:$A,$D294,Doors!$B:$B,$B294,Doors!$C:$C,$C294)*SUMIFS(Velocity!$I:$I,Velocity!$A:$A,$A294,Velocity!$B:$B,$C294)/Assumptions!$B$4*Assumptions!$B$6</f>
        <v>0</v>
      </c>
      <c r="L294" s="7" t="n">
        <f aca="false">SUMIFS(Doors!X:X,Doors!$A:$A,$D294,Doors!$B:$B,$B294,Doors!$C:$C,$C294)*SUMIFS(Velocity!$I:$I,Velocity!$A:$A,$A294,Velocity!$B:$B,$C294)/Assumptions!$B$4*Assumptions!$B$6</f>
        <v>0</v>
      </c>
      <c r="M294" s="7" t="n">
        <f aca="false">SUMIFS(Doors!Y:Y,Doors!$A:$A,$D294,Doors!$B:$B,$B294,Doors!$C:$C,$C294)*SUMIFS(Velocity!$I:$I,Velocity!$A:$A,$A294,Velocity!$B:$B,$C294)/Assumptions!$B$4*Assumptions!$B$6</f>
        <v>0</v>
      </c>
      <c r="N294" s="7" t="n">
        <f aca="false">SUMIFS(Doors!Z:Z,Doors!$A:$A,$D294,Doors!$B:$B,$B294,Doors!$C:$C,$C294)*SUMIFS(Velocity!$I:$I,Velocity!$A:$A,$A294,Velocity!$B:$B,$C294)/Assumptions!$B$4*Assumptions!$B$6</f>
        <v>0</v>
      </c>
      <c r="O294" s="7" t="n">
        <f aca="false">SUMIFS(Doors!AA:AA,Doors!$A:$A,$D294,Doors!$B:$B,$B294,Doors!$C:$C,$C294)*SUMIFS(Velocity!$I:$I,Velocity!$A:$A,$A294,Velocity!$B:$B,$C294)/Assumptions!$B$4*Assumptions!$B$6</f>
        <v>0</v>
      </c>
      <c r="P294" s="7" t="n">
        <f aca="false">SUMIFS(Doors!AB:AB,Doors!$A:$A,$D294,Doors!$B:$B,$B294,Doors!$C:$C,$C294)*SUMIFS(Velocity!$I:$I,Velocity!$A:$A,$A294,Velocity!$B:$B,$C294)/Assumptions!$B$4*Assumptions!$B$6</f>
        <v>0</v>
      </c>
      <c r="Q294" s="7" t="n">
        <f aca="false">SUMIFS(Doors!AC:AC,Doors!$A:$A,$D294,Doors!$B:$B,$B294,Doors!$C:$C,$C294)*SUMIFS(Velocity!$I:$I,Velocity!$A:$A,$A294,Velocity!$B:$B,$C294)/Assumptions!$B$4*Assumptions!$B$6</f>
        <v>0</v>
      </c>
      <c r="R294" s="7" t="n">
        <f aca="false">SUMIFS(Doors!AD:AD,Doors!$A:$A,$D294,Doors!$B:$B,$B294,Doors!$C:$C,$C294)*SUMIFS(Velocity!$I:$I,Velocity!$A:$A,$A294,Velocity!$B:$B,$C294)/Assumptions!$B$4*Assumptions!$B$6</f>
        <v>0</v>
      </c>
      <c r="S294" s="7" t="n">
        <f aca="false">SUMIFS(Doors!AE:AE,Doors!$A:$A,$D294,Doors!$B:$B,$B294,Doors!$C:$C,$C294)*SUMIFS(Velocity!$I:$I,Velocity!$A:$A,$A294,Velocity!$B:$B,$C294)/Assumptions!$B$4*Assumptions!$B$6</f>
        <v>0</v>
      </c>
      <c r="T294" s="7" t="n">
        <f aca="false">SUMIFS(Doors!AF:AF,Doors!$A:$A,$D294,Doors!$B:$B,$B294,Doors!$C:$C,$C294)*SUMIFS(Velocity!$I:$I,Velocity!$A:$A,$A294,Velocity!$B:$B,$C294)/Assumptions!$B$4*Assumptions!$B$6</f>
        <v>0</v>
      </c>
      <c r="U294" s="7" t="n">
        <f aca="false">SUMIFS(Doors!AG:AG,Doors!$A:$A,$D294,Doors!$B:$B,$B294,Doors!$C:$C,$C294)*SUMIFS(Velocity!$I:$I,Velocity!$A:$A,$A294,Velocity!$B:$B,$C294)/Assumptions!$B$4*Assumptions!$B$6</f>
        <v>0</v>
      </c>
      <c r="V294" s="7" t="n">
        <f aca="false">SUMIFS(Doors!AH:AH,Doors!$A:$A,$D294,Doors!$B:$B,$B294,Doors!$C:$C,$C294)*SUMIFS(Velocity!$I:$I,Velocity!$A:$A,$A294,Velocity!$B:$B,$C294)/Assumptions!$B$4*Assumptions!$B$6</f>
        <v>0</v>
      </c>
      <c r="W294" s="7" t="n">
        <f aca="false">SUMIFS(Doors!AI:AI,Doors!$A:$A,$D294,Doors!$B:$B,$B294,Doors!$C:$C,$C294)*SUMIFS(Velocity!$I:$I,Velocity!$A:$A,$A294,Velocity!$B:$B,$C294)/Assumptions!$B$4*Assumptions!$B$6</f>
        <v>0</v>
      </c>
      <c r="X294" s="7" t="n">
        <f aca="false">SUMIFS(Doors!AJ:AJ,Doors!$A:$A,$D294,Doors!$B:$B,$B294,Doors!$C:$C,$C294)*SUMIFS(Velocity!$I:$I,Velocity!$A:$A,$A294,Velocity!$B:$B,$C294)/Assumptions!$B$4*Assumptions!$B$6</f>
        <v>0</v>
      </c>
      <c r="Y294" s="7" t="n">
        <f aca="false">SUMIFS(Doors!AK:AK,Doors!$A:$A,$D294,Doors!$B:$B,$B294,Doors!$C:$C,$C294)*SUMIFS(Velocity!$I:$I,Velocity!$A:$A,$A294,Velocity!$B:$B,$C294)/Assumptions!$B$4*Assumptions!$B$6</f>
        <v>0</v>
      </c>
      <c r="Z294" s="7" t="n">
        <f aca="false">SUMIFS(Doors!AL:AL,Doors!$A:$A,$D294,Doors!$B:$B,$B294,Doors!$C:$C,$C294)*SUMIFS(Velocity!$I:$I,Velocity!$A:$A,$A294,Velocity!$B:$B,$C294)/Assumptions!$B$4*Assumptions!$B$6</f>
        <v>0</v>
      </c>
      <c r="AA294" s="7" t="n">
        <f aca="false">SUMIFS(Doors!AM:AM,Doors!$A:$A,$D294,Doors!$B:$B,$B294,Doors!$C:$C,$C294)*SUMIFS(Velocity!$I:$I,Velocity!$A:$A,$A294,Velocity!$B:$B,$C294)/Assumptions!$B$4*Assumptions!$B$6</f>
        <v>0</v>
      </c>
      <c r="AB294" s="7" t="n">
        <f aca="false">SUMIFS(Doors!AN:AN,Doors!$A:$A,$D294,Doors!$B:$B,$B294,Doors!$C:$C,$C294)*SUMIFS(Velocity!$I:$I,Velocity!$A:$A,$A294,Velocity!$B:$B,$C294)/Assumptions!$B$4*Assumptions!$B$6</f>
        <v>0</v>
      </c>
      <c r="AC294" s="7" t="n">
        <f aca="false">SUMIFS(Doors!AO:AO,Doors!$A:$A,$D294,Doors!$B:$B,$B294,Doors!$C:$C,$C294)*SUMIFS(Velocity!$I:$I,Velocity!$A:$A,$A294,Velocity!$B:$B,$C294)/Assumptions!$B$4*Assumptions!$B$6</f>
        <v>0</v>
      </c>
      <c r="AD294" s="7" t="n">
        <f aca="false">SUMIFS(Doors!AP:AP,Doors!$A:$A,$D294,Doors!$B:$B,$B294,Doors!$C:$C,$C294)*SUMIFS(Velocity!$I:$I,Velocity!$A:$A,$A294,Velocity!$B:$B,$C294)/Assumptions!$B$4*Assumptions!$B$6</f>
        <v>0</v>
      </c>
      <c r="AE294" s="7" t="n">
        <f aca="false">SUMIFS(Doors!AQ:AQ,Doors!$A:$A,$D294,Doors!$B:$B,$B294,Doors!$C:$C,$C294)*SUMIFS(Velocity!$I:$I,Velocity!$A:$A,$A294,Velocity!$B:$B,$C294)/Assumptions!$B$4*Assumptions!$B$6</f>
        <v>0</v>
      </c>
      <c r="AF294" s="7" t="n">
        <f aca="false">SUMIFS(Doors!AR:AR,Doors!$A:$A,$D294,Doors!$B:$B,$B294,Doors!$C:$C,$C294)*SUMIFS(Velocity!$I:$I,Velocity!$A:$A,$A294,Velocity!$B:$B,$C294)/Assumptions!$B$4*Assumptions!$B$6</f>
        <v>0</v>
      </c>
      <c r="AG294" s="7" t="n">
        <f aca="false">SUMIFS(Doors!AS:AS,Doors!$A:$A,$D294,Doors!$B:$B,$B294,Doors!$C:$C,$C294)*SUMIFS(Velocity!$I:$I,Velocity!$A:$A,$A294,Velocity!$B:$B,$C294)/Assumptions!$B$4*Assumptions!$B$6</f>
        <v>0</v>
      </c>
      <c r="AH294" s="7" t="n">
        <f aca="false">SUMIFS(Doors!AT:AT,Doors!$A:$A,$D294,Doors!$B:$B,$B294,Doors!$C:$C,$C294)*SUMIFS(Velocity!$I:$I,Velocity!$A:$A,$A294,Velocity!$B:$B,$C294)/Assumptions!$B$4*Assumptions!$B$6</f>
        <v>0</v>
      </c>
      <c r="AI294" s="7" t="n">
        <f aca="false">SUMIFS(Doors!AU:AU,Doors!$A:$A,$D294,Doors!$B:$B,$B294,Doors!$C:$C,$C294)*SUMIFS(Velocity!$I:$I,Velocity!$A:$A,$A294,Velocity!$B:$B,$C294)/Assumptions!$B$4*Assumptions!$B$6</f>
        <v>0</v>
      </c>
      <c r="AJ294" s="7" t="n">
        <f aca="false">SUMIFS(Doors!AV:AV,Doors!$A:$A,$D294,Doors!$B:$B,$B294,Doors!$C:$C,$C294)*SUMIFS(Velocity!$I:$I,Velocity!$A:$A,$A294,Velocity!$B:$B,$C294)/Assumptions!$B$4*Assumptions!$B$6</f>
        <v>0</v>
      </c>
      <c r="AK294" s="7" t="n">
        <f aca="false">SUMIFS(Doors!AW:AW,Doors!$A:$A,$D294,Doors!$B:$B,$B294,Doors!$C:$C,$C294)*SUMIFS(Velocity!$I:$I,Velocity!$A:$A,$A294,Velocity!$B:$B,$C294)/Assumptions!$B$4*Assumptions!$B$6</f>
        <v>0</v>
      </c>
      <c r="AL294" s="7" t="n">
        <f aca="false">SUMIFS(Doors!AX:AX,Doors!$A:$A,$D294,Doors!$B:$B,$B294,Doors!$C:$C,$C294)*SUMIFS(Velocity!$I:$I,Velocity!$A:$A,$A294,Velocity!$B:$B,$C294)/Assumptions!$B$4*Assumptions!$B$6</f>
        <v>0</v>
      </c>
      <c r="AM294" s="7" t="n">
        <f aca="false">SUMIFS(Doors!AY:AY,Doors!$A:$A,$D294,Doors!$B:$B,$B294,Doors!$C:$C,$C294)*SUMIFS(Velocity!$I:$I,Velocity!$A:$A,$A294,Velocity!$B:$B,$C294)/Assumptions!$B$4*Assumptions!$B$6</f>
        <v>0</v>
      </c>
      <c r="AN294" s="7" t="n">
        <f aca="false">SUMIFS(Doors!AZ:AZ,Doors!$A:$A,$D294,Doors!$B:$B,$B294,Doors!$C:$C,$C294)*SUMIFS(Velocity!$I:$I,Velocity!$A:$A,$A294,Velocity!$B:$B,$C294)/Assumptions!$B$4*Assumptions!$B$6</f>
        <v>0</v>
      </c>
      <c r="AO294" s="7" t="n">
        <f aca="false">SUMIFS(Doors!BA:BA,Doors!$A:$A,$D294,Doors!$B:$B,$B294,Doors!$C:$C,$C294)*SUMIFS(Velocity!$I:$I,Velocity!$A:$A,$A294,Velocity!$B:$B,$C294)/Assumptions!$B$4*Assumptions!$B$6</f>
        <v>0</v>
      </c>
      <c r="AP294" s="7" t="n">
        <f aca="false">SUMIFS(Doors!BB:BB,Doors!$A:$A,$D294,Doors!$B:$B,$B294,Doors!$C:$C,$C294)*SUMIFS(Velocity!$I:$I,Velocity!$A:$A,$A294,Velocity!$B:$B,$C294)/Assumptions!$B$4*Assumptions!$B$6</f>
        <v>0</v>
      </c>
      <c r="AQ294" s="7" t="n">
        <f aca="false">SUMIFS(Doors!BC:BC,Doors!$A:$A,$D294,Doors!$B:$B,$B294,Doors!$C:$C,$C294)*SUMIFS(Velocity!$I:$I,Velocity!$A:$A,$A294,Velocity!$B:$B,$C294)/Assumptions!$B$4*Assumptions!$B$6</f>
        <v>0</v>
      </c>
      <c r="AR294" s="7" t="n">
        <f aca="false">SUMIFS(Doors!BD:BD,Doors!$A:$A,$D294,Doors!$B:$B,$B294,Doors!$C:$C,$C294)*SUMIFS(Velocity!$I:$I,Velocity!$A:$A,$A294,Velocity!$B:$B,$C294)/Assumptions!$B$4*Assumptions!$B$6</f>
        <v>0</v>
      </c>
      <c r="AS294" s="7" t="n">
        <f aca="false">SUMIFS(Doors!BE:BE,Doors!$A:$A,$D294,Doors!$B:$B,$B294,Doors!$C:$C,$C294)*SUMIFS(Velocity!$I:$I,Velocity!$A:$A,$A294,Velocity!$B:$B,$C294)/Assumptions!$B$4*Assumptions!$B$6</f>
        <v>0</v>
      </c>
      <c r="AT294" s="7" t="n">
        <f aca="false">SUMIFS(Doors!BF:BF,Doors!$A:$A,$D294,Doors!$B:$B,$B294,Doors!$C:$C,$C294)*SUMIFS(Velocity!$I:$I,Velocity!$A:$A,$A294,Velocity!$B:$B,$C294)/Assumptions!$B$4*Assumptions!$B$6</f>
        <v>0</v>
      </c>
      <c r="AU294" s="7" t="n">
        <f aca="false">SUMIFS(Doors!BG:BG,Doors!$A:$A,$D294,Doors!$B:$B,$B294,Doors!$C:$C,$C294)*SUMIFS(Velocity!$I:$I,Velocity!$A:$A,$A294,Velocity!$B:$B,$C294)/Assumptions!$B$4*Assumptions!$B$6</f>
        <v>0</v>
      </c>
      <c r="AV294" s="7" t="n">
        <f aca="false">SUMIFS(Doors!BH:BH,Doors!$A:$A,$D294,Doors!$B:$B,$B294,Doors!$C:$C,$C294)*SUMIFS(Velocity!$I:$I,Velocity!$A:$A,$A294,Velocity!$B:$B,$C294)/Assumptions!$B$4*Assumptions!$B$6</f>
        <v>0</v>
      </c>
      <c r="AW294" s="7" t="n">
        <f aca="false">SUMIFS(Doors!BI:BI,Doors!$A:$A,$D294,Doors!$B:$B,$B294,Doors!$C:$C,$C294)*SUMIFS(Velocity!$I:$I,Velocity!$A:$A,$A294,Velocity!$B:$B,$C294)/Assumptions!$B$4*Assumptions!$B$6</f>
        <v>0</v>
      </c>
      <c r="AX294" s="7" t="n">
        <f aca="false">SUMIFS(Doors!BJ:BJ,Doors!$A:$A,$D294,Doors!$B:$B,$B294,Doors!$C:$C,$C294)*SUMIFS(Velocity!$I:$I,Velocity!$A:$A,$A294,Velocity!$B:$B,$C294)/Assumptions!$B$4*Assumptions!$B$6</f>
        <v>0</v>
      </c>
      <c r="AY294" s="7" t="n">
        <f aca="false">SUMIFS(Doors!BK:BK,Doors!$A:$A,$D294,Doors!$B:$B,$B294,Doors!$C:$C,$C294)*SUMIFS(Velocity!$I:$I,Velocity!$A:$A,$A294,Velocity!$B:$B,$C294)/Assumptions!$B$4*Assumptions!$B$6</f>
        <v>0</v>
      </c>
      <c r="AZ294" s="7" t="n">
        <f aca="false">SUMIFS(Doors!BL:BL,Doors!$A:$A,$D294,Doors!$B:$B,$B294,Doors!$C:$C,$C294)*SUMIFS(Velocity!$I:$I,Velocity!$A:$A,$A294,Velocity!$B:$B,$C294)/Assumptions!$B$4*Assumptions!$B$6</f>
        <v>0</v>
      </c>
      <c r="BA294" s="7" t="n">
        <f aca="false">SUMIFS(Doors!BM:BM,Doors!$A:$A,$D294,Doors!$B:$B,$B294,Doors!$C:$C,$C294)*SUMIFS(Velocity!$I:$I,Velocity!$A:$A,$A294,Velocity!$B:$B,$C294)/Assumptions!$B$4*Assumptions!$B$6</f>
        <v>0</v>
      </c>
      <c r="BB294" s="7" t="n">
        <f aca="false">SUMIFS(Doors!BN:BN,Doors!$A:$A,$D294,Doors!$B:$B,$B294,Doors!$C:$C,$C294)*SUMIFS(Velocity!$I:$I,Velocity!$A:$A,$A294,Velocity!$B:$B,$C294)/Assumptions!$B$4*Assumptions!$B$6</f>
        <v>0</v>
      </c>
      <c r="BC294" s="7" t="n">
        <f aca="false">SUMIFS(Doors!BO:BO,Doors!$A:$A,$D294,Doors!$B:$B,$B294,Doors!$C:$C,$C294)*SUMIFS(Velocity!$I:$I,Velocity!$A:$A,$A294,Velocity!$B:$B,$C294)/Assumptions!$B$4*Assumptions!$B$6</f>
        <v>0</v>
      </c>
      <c r="BD294" s="7" t="n">
        <f aca="false">SUMIFS(Doors!BP:BP,Doors!$A:$A,$D294,Doors!$B:$B,$B294,Doors!$C:$C,$C294)*SUMIFS(Velocity!$I:$I,Velocity!$A:$A,$A294,Velocity!$B:$B,$C294)/Assumptions!$B$4*Assumptions!$B$6</f>
        <v>0</v>
      </c>
    </row>
    <row r="295" customFormat="false" ht="15" hidden="false" customHeight="false" outlineLevel="0" collapsed="false">
      <c r="A295" s="0" t="s">
        <v>111</v>
      </c>
      <c r="B295" s="0" t="s">
        <v>128</v>
      </c>
      <c r="C295" s="0" t="s">
        <v>116</v>
      </c>
      <c r="D295" s="0" t="s">
        <v>236</v>
      </c>
      <c r="E295" s="7" t="n">
        <f aca="false">SUMIFS(Doors!Q:Q,Doors!$A:$A,$D295,Doors!$B:$B,$B295,Doors!$C:$C,$C295)*SUMIFS(Velocity!$I:$I,Velocity!$A:$A,$A295,Velocity!$B:$B,$C295)/Assumptions!$B$4*Assumptions!$B$6</f>
        <v>0</v>
      </c>
      <c r="F295" s="7" t="n">
        <f aca="false">SUMIFS(Doors!R:R,Doors!$A:$A,$D295,Doors!$B:$B,$B295,Doors!$C:$C,$C295)*SUMIFS(Velocity!$I:$I,Velocity!$A:$A,$A295,Velocity!$B:$B,$C295)/Assumptions!$B$4*Assumptions!$B$6</f>
        <v>0</v>
      </c>
      <c r="G295" s="7" t="n">
        <f aca="false">SUMIFS(Doors!S:S,Doors!$A:$A,$D295,Doors!$B:$B,$B295,Doors!$C:$C,$C295)*SUMIFS(Velocity!$I:$I,Velocity!$A:$A,$A295,Velocity!$B:$B,$C295)/Assumptions!$B$4*Assumptions!$B$6</f>
        <v>0</v>
      </c>
      <c r="H295" s="7" t="n">
        <f aca="false">SUMIFS(Doors!T:T,Doors!$A:$A,$D295,Doors!$B:$B,$B295,Doors!$C:$C,$C295)*SUMIFS(Velocity!$I:$I,Velocity!$A:$A,$A295,Velocity!$B:$B,$C295)/Assumptions!$B$4*Assumptions!$B$6</f>
        <v>0</v>
      </c>
      <c r="I295" s="7" t="n">
        <f aca="false">SUMIFS(Doors!U:U,Doors!$A:$A,$D295,Doors!$B:$B,$B295,Doors!$C:$C,$C295)*SUMIFS(Velocity!$I:$I,Velocity!$A:$A,$A295,Velocity!$B:$B,$C295)/Assumptions!$B$4*Assumptions!$B$6</f>
        <v>0</v>
      </c>
      <c r="J295" s="7" t="n">
        <f aca="false">SUMIFS(Doors!V:V,Doors!$A:$A,$D295,Doors!$B:$B,$B295,Doors!$C:$C,$C295)*SUMIFS(Velocity!$I:$I,Velocity!$A:$A,$A295,Velocity!$B:$B,$C295)/Assumptions!$B$4*Assumptions!$B$6</f>
        <v>0</v>
      </c>
      <c r="K295" s="7" t="n">
        <f aca="false">SUMIFS(Doors!W:W,Doors!$A:$A,$D295,Doors!$B:$B,$B295,Doors!$C:$C,$C295)*SUMIFS(Velocity!$I:$I,Velocity!$A:$A,$A295,Velocity!$B:$B,$C295)/Assumptions!$B$4*Assumptions!$B$6</f>
        <v>0</v>
      </c>
      <c r="L295" s="7" t="n">
        <f aca="false">SUMIFS(Doors!X:X,Doors!$A:$A,$D295,Doors!$B:$B,$B295,Doors!$C:$C,$C295)*SUMIFS(Velocity!$I:$I,Velocity!$A:$A,$A295,Velocity!$B:$B,$C295)/Assumptions!$B$4*Assumptions!$B$6</f>
        <v>0</v>
      </c>
      <c r="M295" s="7" t="n">
        <f aca="false">SUMIFS(Doors!Y:Y,Doors!$A:$A,$D295,Doors!$B:$B,$B295,Doors!$C:$C,$C295)*SUMIFS(Velocity!$I:$I,Velocity!$A:$A,$A295,Velocity!$B:$B,$C295)/Assumptions!$B$4*Assumptions!$B$6</f>
        <v>0</v>
      </c>
      <c r="N295" s="7" t="n">
        <f aca="false">SUMIFS(Doors!Z:Z,Doors!$A:$A,$D295,Doors!$B:$B,$B295,Doors!$C:$C,$C295)*SUMIFS(Velocity!$I:$I,Velocity!$A:$A,$A295,Velocity!$B:$B,$C295)/Assumptions!$B$4*Assumptions!$B$6</f>
        <v>0</v>
      </c>
      <c r="O295" s="7" t="n">
        <f aca="false">SUMIFS(Doors!AA:AA,Doors!$A:$A,$D295,Doors!$B:$B,$B295,Doors!$C:$C,$C295)*SUMIFS(Velocity!$I:$I,Velocity!$A:$A,$A295,Velocity!$B:$B,$C295)/Assumptions!$B$4*Assumptions!$B$6</f>
        <v>0</v>
      </c>
      <c r="P295" s="7" t="n">
        <f aca="false">SUMIFS(Doors!AB:AB,Doors!$A:$A,$D295,Doors!$B:$B,$B295,Doors!$C:$C,$C295)*SUMIFS(Velocity!$I:$I,Velocity!$A:$A,$A295,Velocity!$B:$B,$C295)/Assumptions!$B$4*Assumptions!$B$6</f>
        <v>0</v>
      </c>
      <c r="Q295" s="7" t="n">
        <f aca="false">SUMIFS(Doors!AC:AC,Doors!$A:$A,$D295,Doors!$B:$B,$B295,Doors!$C:$C,$C295)*SUMIFS(Velocity!$I:$I,Velocity!$A:$A,$A295,Velocity!$B:$B,$C295)/Assumptions!$B$4*Assumptions!$B$6</f>
        <v>0</v>
      </c>
      <c r="R295" s="7" t="n">
        <f aca="false">SUMIFS(Doors!AD:AD,Doors!$A:$A,$D295,Doors!$B:$B,$B295,Doors!$C:$C,$C295)*SUMIFS(Velocity!$I:$I,Velocity!$A:$A,$A295,Velocity!$B:$B,$C295)/Assumptions!$B$4*Assumptions!$B$6</f>
        <v>0</v>
      </c>
      <c r="S295" s="7" t="n">
        <f aca="false">SUMIFS(Doors!AE:AE,Doors!$A:$A,$D295,Doors!$B:$B,$B295,Doors!$C:$C,$C295)*SUMIFS(Velocity!$I:$I,Velocity!$A:$A,$A295,Velocity!$B:$B,$C295)/Assumptions!$B$4*Assumptions!$B$6</f>
        <v>0</v>
      </c>
      <c r="T295" s="7" t="n">
        <f aca="false">SUMIFS(Doors!AF:AF,Doors!$A:$A,$D295,Doors!$B:$B,$B295,Doors!$C:$C,$C295)*SUMIFS(Velocity!$I:$I,Velocity!$A:$A,$A295,Velocity!$B:$B,$C295)/Assumptions!$B$4*Assumptions!$B$6</f>
        <v>0</v>
      </c>
      <c r="U295" s="7" t="n">
        <f aca="false">SUMIFS(Doors!AG:AG,Doors!$A:$A,$D295,Doors!$B:$B,$B295,Doors!$C:$C,$C295)*SUMIFS(Velocity!$I:$I,Velocity!$A:$A,$A295,Velocity!$B:$B,$C295)/Assumptions!$B$4*Assumptions!$B$6</f>
        <v>0</v>
      </c>
      <c r="V295" s="7" t="n">
        <f aca="false">SUMIFS(Doors!AH:AH,Doors!$A:$A,$D295,Doors!$B:$B,$B295,Doors!$C:$C,$C295)*SUMIFS(Velocity!$I:$I,Velocity!$A:$A,$A295,Velocity!$B:$B,$C295)/Assumptions!$B$4*Assumptions!$B$6</f>
        <v>0</v>
      </c>
      <c r="W295" s="7" t="n">
        <f aca="false">SUMIFS(Doors!AI:AI,Doors!$A:$A,$D295,Doors!$B:$B,$B295,Doors!$C:$C,$C295)*SUMIFS(Velocity!$I:$I,Velocity!$A:$A,$A295,Velocity!$B:$B,$C295)/Assumptions!$B$4*Assumptions!$B$6</f>
        <v>0</v>
      </c>
      <c r="X295" s="7" t="n">
        <f aca="false">SUMIFS(Doors!AJ:AJ,Doors!$A:$A,$D295,Doors!$B:$B,$B295,Doors!$C:$C,$C295)*SUMIFS(Velocity!$I:$I,Velocity!$A:$A,$A295,Velocity!$B:$B,$C295)/Assumptions!$B$4*Assumptions!$B$6</f>
        <v>0</v>
      </c>
      <c r="Y295" s="7" t="n">
        <f aca="false">SUMIFS(Doors!AK:AK,Doors!$A:$A,$D295,Doors!$B:$B,$B295,Doors!$C:$C,$C295)*SUMIFS(Velocity!$I:$I,Velocity!$A:$A,$A295,Velocity!$B:$B,$C295)/Assumptions!$B$4*Assumptions!$B$6</f>
        <v>0</v>
      </c>
      <c r="Z295" s="7" t="n">
        <f aca="false">SUMIFS(Doors!AL:AL,Doors!$A:$A,$D295,Doors!$B:$B,$B295,Doors!$C:$C,$C295)*SUMIFS(Velocity!$I:$I,Velocity!$A:$A,$A295,Velocity!$B:$B,$C295)/Assumptions!$B$4*Assumptions!$B$6</f>
        <v>0</v>
      </c>
      <c r="AA295" s="7" t="n">
        <f aca="false">SUMIFS(Doors!AM:AM,Doors!$A:$A,$D295,Doors!$B:$B,$B295,Doors!$C:$C,$C295)*SUMIFS(Velocity!$I:$I,Velocity!$A:$A,$A295,Velocity!$B:$B,$C295)/Assumptions!$B$4*Assumptions!$B$6</f>
        <v>0</v>
      </c>
      <c r="AB295" s="7" t="n">
        <f aca="false">SUMIFS(Doors!AN:AN,Doors!$A:$A,$D295,Doors!$B:$B,$B295,Doors!$C:$C,$C295)*SUMIFS(Velocity!$I:$I,Velocity!$A:$A,$A295,Velocity!$B:$B,$C295)/Assumptions!$B$4*Assumptions!$B$6</f>
        <v>0</v>
      </c>
      <c r="AC295" s="7" t="n">
        <f aca="false">SUMIFS(Doors!AO:AO,Doors!$A:$A,$D295,Doors!$B:$B,$B295,Doors!$C:$C,$C295)*SUMIFS(Velocity!$I:$I,Velocity!$A:$A,$A295,Velocity!$B:$B,$C295)/Assumptions!$B$4*Assumptions!$B$6</f>
        <v>0</v>
      </c>
      <c r="AD295" s="7" t="n">
        <f aca="false">SUMIFS(Doors!AP:AP,Doors!$A:$A,$D295,Doors!$B:$B,$B295,Doors!$C:$C,$C295)*SUMIFS(Velocity!$I:$I,Velocity!$A:$A,$A295,Velocity!$B:$B,$C295)/Assumptions!$B$4*Assumptions!$B$6</f>
        <v>0</v>
      </c>
      <c r="AE295" s="7" t="n">
        <f aca="false">SUMIFS(Doors!AQ:AQ,Doors!$A:$A,$D295,Doors!$B:$B,$B295,Doors!$C:$C,$C295)*SUMIFS(Velocity!$I:$I,Velocity!$A:$A,$A295,Velocity!$B:$B,$C295)/Assumptions!$B$4*Assumptions!$B$6</f>
        <v>0</v>
      </c>
      <c r="AF295" s="7" t="n">
        <f aca="false">SUMIFS(Doors!AR:AR,Doors!$A:$A,$D295,Doors!$B:$B,$B295,Doors!$C:$C,$C295)*SUMIFS(Velocity!$I:$I,Velocity!$A:$A,$A295,Velocity!$B:$B,$C295)/Assumptions!$B$4*Assumptions!$B$6</f>
        <v>0</v>
      </c>
      <c r="AG295" s="7" t="n">
        <f aca="false">SUMIFS(Doors!AS:AS,Doors!$A:$A,$D295,Doors!$B:$B,$B295,Doors!$C:$C,$C295)*SUMIFS(Velocity!$I:$I,Velocity!$A:$A,$A295,Velocity!$B:$B,$C295)/Assumptions!$B$4*Assumptions!$B$6</f>
        <v>0</v>
      </c>
      <c r="AH295" s="7" t="n">
        <f aca="false">SUMIFS(Doors!AT:AT,Doors!$A:$A,$D295,Doors!$B:$B,$B295,Doors!$C:$C,$C295)*SUMIFS(Velocity!$I:$I,Velocity!$A:$A,$A295,Velocity!$B:$B,$C295)/Assumptions!$B$4*Assumptions!$B$6</f>
        <v>0</v>
      </c>
      <c r="AI295" s="7" t="n">
        <f aca="false">SUMIFS(Doors!AU:AU,Doors!$A:$A,$D295,Doors!$B:$B,$B295,Doors!$C:$C,$C295)*SUMIFS(Velocity!$I:$I,Velocity!$A:$A,$A295,Velocity!$B:$B,$C295)/Assumptions!$B$4*Assumptions!$B$6</f>
        <v>0</v>
      </c>
      <c r="AJ295" s="7" t="n">
        <f aca="false">SUMIFS(Doors!AV:AV,Doors!$A:$A,$D295,Doors!$B:$B,$B295,Doors!$C:$C,$C295)*SUMIFS(Velocity!$I:$I,Velocity!$A:$A,$A295,Velocity!$B:$B,$C295)/Assumptions!$B$4*Assumptions!$B$6</f>
        <v>0</v>
      </c>
      <c r="AK295" s="7" t="n">
        <f aca="false">SUMIFS(Doors!AW:AW,Doors!$A:$A,$D295,Doors!$B:$B,$B295,Doors!$C:$C,$C295)*SUMIFS(Velocity!$I:$I,Velocity!$A:$A,$A295,Velocity!$B:$B,$C295)/Assumptions!$B$4*Assumptions!$B$6</f>
        <v>0</v>
      </c>
      <c r="AL295" s="7" t="n">
        <f aca="false">SUMIFS(Doors!AX:AX,Doors!$A:$A,$D295,Doors!$B:$B,$B295,Doors!$C:$C,$C295)*SUMIFS(Velocity!$I:$I,Velocity!$A:$A,$A295,Velocity!$B:$B,$C295)/Assumptions!$B$4*Assumptions!$B$6</f>
        <v>0</v>
      </c>
      <c r="AM295" s="7" t="n">
        <f aca="false">SUMIFS(Doors!AY:AY,Doors!$A:$A,$D295,Doors!$B:$B,$B295,Doors!$C:$C,$C295)*SUMIFS(Velocity!$I:$I,Velocity!$A:$A,$A295,Velocity!$B:$B,$C295)/Assumptions!$B$4*Assumptions!$B$6</f>
        <v>0</v>
      </c>
      <c r="AN295" s="7" t="n">
        <f aca="false">SUMIFS(Doors!AZ:AZ,Doors!$A:$A,$D295,Doors!$B:$B,$B295,Doors!$C:$C,$C295)*SUMIFS(Velocity!$I:$I,Velocity!$A:$A,$A295,Velocity!$B:$B,$C295)/Assumptions!$B$4*Assumptions!$B$6</f>
        <v>0</v>
      </c>
      <c r="AO295" s="7" t="n">
        <f aca="false">SUMIFS(Doors!BA:BA,Doors!$A:$A,$D295,Doors!$B:$B,$B295,Doors!$C:$C,$C295)*SUMIFS(Velocity!$I:$I,Velocity!$A:$A,$A295,Velocity!$B:$B,$C295)/Assumptions!$B$4*Assumptions!$B$6</f>
        <v>0</v>
      </c>
      <c r="AP295" s="7" t="n">
        <f aca="false">SUMIFS(Doors!BB:BB,Doors!$A:$A,$D295,Doors!$B:$B,$B295,Doors!$C:$C,$C295)*SUMIFS(Velocity!$I:$I,Velocity!$A:$A,$A295,Velocity!$B:$B,$C295)/Assumptions!$B$4*Assumptions!$B$6</f>
        <v>0</v>
      </c>
      <c r="AQ295" s="7" t="n">
        <f aca="false">SUMIFS(Doors!BC:BC,Doors!$A:$A,$D295,Doors!$B:$B,$B295,Doors!$C:$C,$C295)*SUMIFS(Velocity!$I:$I,Velocity!$A:$A,$A295,Velocity!$B:$B,$C295)/Assumptions!$B$4*Assumptions!$B$6</f>
        <v>0</v>
      </c>
      <c r="AR295" s="7" t="n">
        <f aca="false">SUMIFS(Doors!BD:BD,Doors!$A:$A,$D295,Doors!$B:$B,$B295,Doors!$C:$C,$C295)*SUMIFS(Velocity!$I:$I,Velocity!$A:$A,$A295,Velocity!$B:$B,$C295)/Assumptions!$B$4*Assumptions!$B$6</f>
        <v>0</v>
      </c>
      <c r="AS295" s="7" t="n">
        <f aca="false">SUMIFS(Doors!BE:BE,Doors!$A:$A,$D295,Doors!$B:$B,$B295,Doors!$C:$C,$C295)*SUMIFS(Velocity!$I:$I,Velocity!$A:$A,$A295,Velocity!$B:$B,$C295)/Assumptions!$B$4*Assumptions!$B$6</f>
        <v>0</v>
      </c>
      <c r="AT295" s="7" t="n">
        <f aca="false">SUMIFS(Doors!BF:BF,Doors!$A:$A,$D295,Doors!$B:$B,$B295,Doors!$C:$C,$C295)*SUMIFS(Velocity!$I:$I,Velocity!$A:$A,$A295,Velocity!$B:$B,$C295)/Assumptions!$B$4*Assumptions!$B$6</f>
        <v>0</v>
      </c>
      <c r="AU295" s="7" t="n">
        <f aca="false">SUMIFS(Doors!BG:BG,Doors!$A:$A,$D295,Doors!$B:$B,$B295,Doors!$C:$C,$C295)*SUMIFS(Velocity!$I:$I,Velocity!$A:$A,$A295,Velocity!$B:$B,$C295)/Assumptions!$B$4*Assumptions!$B$6</f>
        <v>0</v>
      </c>
      <c r="AV295" s="7" t="n">
        <f aca="false">SUMIFS(Doors!BH:BH,Doors!$A:$A,$D295,Doors!$B:$B,$B295,Doors!$C:$C,$C295)*SUMIFS(Velocity!$I:$I,Velocity!$A:$A,$A295,Velocity!$B:$B,$C295)/Assumptions!$B$4*Assumptions!$B$6</f>
        <v>0</v>
      </c>
      <c r="AW295" s="7" t="n">
        <f aca="false">SUMIFS(Doors!BI:BI,Doors!$A:$A,$D295,Doors!$B:$B,$B295,Doors!$C:$C,$C295)*SUMIFS(Velocity!$I:$I,Velocity!$A:$A,$A295,Velocity!$B:$B,$C295)/Assumptions!$B$4*Assumptions!$B$6</f>
        <v>0</v>
      </c>
      <c r="AX295" s="7" t="n">
        <f aca="false">SUMIFS(Doors!BJ:BJ,Doors!$A:$A,$D295,Doors!$B:$B,$B295,Doors!$C:$C,$C295)*SUMIFS(Velocity!$I:$I,Velocity!$A:$A,$A295,Velocity!$B:$B,$C295)/Assumptions!$B$4*Assumptions!$B$6</f>
        <v>0</v>
      </c>
      <c r="AY295" s="7" t="n">
        <f aca="false">SUMIFS(Doors!BK:BK,Doors!$A:$A,$D295,Doors!$B:$B,$B295,Doors!$C:$C,$C295)*SUMIFS(Velocity!$I:$I,Velocity!$A:$A,$A295,Velocity!$B:$B,$C295)/Assumptions!$B$4*Assumptions!$B$6</f>
        <v>0</v>
      </c>
      <c r="AZ295" s="7" t="n">
        <f aca="false">SUMIFS(Doors!BL:BL,Doors!$A:$A,$D295,Doors!$B:$B,$B295,Doors!$C:$C,$C295)*SUMIFS(Velocity!$I:$I,Velocity!$A:$A,$A295,Velocity!$B:$B,$C295)/Assumptions!$B$4*Assumptions!$B$6</f>
        <v>0</v>
      </c>
      <c r="BA295" s="7" t="n">
        <f aca="false">SUMIFS(Doors!BM:BM,Doors!$A:$A,$D295,Doors!$B:$B,$B295,Doors!$C:$C,$C295)*SUMIFS(Velocity!$I:$I,Velocity!$A:$A,$A295,Velocity!$B:$B,$C295)/Assumptions!$B$4*Assumptions!$B$6</f>
        <v>0</v>
      </c>
      <c r="BB295" s="7" t="n">
        <f aca="false">SUMIFS(Doors!BN:BN,Doors!$A:$A,$D295,Doors!$B:$B,$B295,Doors!$C:$C,$C295)*SUMIFS(Velocity!$I:$I,Velocity!$A:$A,$A295,Velocity!$B:$B,$C295)/Assumptions!$B$4*Assumptions!$B$6</f>
        <v>0</v>
      </c>
      <c r="BC295" s="7" t="n">
        <f aca="false">SUMIFS(Doors!BO:BO,Doors!$A:$A,$D295,Doors!$B:$B,$B295,Doors!$C:$C,$C295)*SUMIFS(Velocity!$I:$I,Velocity!$A:$A,$A295,Velocity!$B:$B,$C295)/Assumptions!$B$4*Assumptions!$B$6</f>
        <v>0</v>
      </c>
      <c r="BD295" s="7" t="n">
        <f aca="false">SUMIFS(Doors!BP:BP,Doors!$A:$A,$D295,Doors!$B:$B,$B295,Doors!$C:$C,$C295)*SUMIFS(Velocity!$I:$I,Velocity!$A:$A,$A295,Velocity!$B:$B,$C295)/Assumptions!$B$4*Assumptions!$B$6</f>
        <v>0</v>
      </c>
    </row>
    <row r="296" customFormat="false" ht="15" hidden="false" customHeight="false" outlineLevel="0" collapsed="false">
      <c r="A296" s="0" t="s">
        <v>111</v>
      </c>
      <c r="B296" s="0" t="s">
        <v>128</v>
      </c>
      <c r="C296" s="0" t="s">
        <v>117</v>
      </c>
      <c r="D296" s="0" t="s">
        <v>236</v>
      </c>
      <c r="E296" s="7" t="n">
        <f aca="false">SUMIFS(Doors!Q:Q,Doors!$A:$A,$D296,Doors!$B:$B,$B296,Doors!$C:$C,$C296)*SUMIFS(Velocity!$I:$I,Velocity!$A:$A,$A296,Velocity!$B:$B,$C296)/Assumptions!$B$4*Assumptions!$B$6</f>
        <v>0</v>
      </c>
      <c r="F296" s="7" t="n">
        <f aca="false">SUMIFS(Doors!R:R,Doors!$A:$A,$D296,Doors!$B:$B,$B296,Doors!$C:$C,$C296)*SUMIFS(Velocity!$I:$I,Velocity!$A:$A,$A296,Velocity!$B:$B,$C296)/Assumptions!$B$4*Assumptions!$B$6</f>
        <v>0</v>
      </c>
      <c r="G296" s="7" t="n">
        <f aca="false">SUMIFS(Doors!S:S,Doors!$A:$A,$D296,Doors!$B:$B,$B296,Doors!$C:$C,$C296)*SUMIFS(Velocity!$I:$I,Velocity!$A:$A,$A296,Velocity!$B:$B,$C296)/Assumptions!$B$4*Assumptions!$B$6</f>
        <v>0</v>
      </c>
      <c r="H296" s="7" t="n">
        <f aca="false">SUMIFS(Doors!T:T,Doors!$A:$A,$D296,Doors!$B:$B,$B296,Doors!$C:$C,$C296)*SUMIFS(Velocity!$I:$I,Velocity!$A:$A,$A296,Velocity!$B:$B,$C296)/Assumptions!$B$4*Assumptions!$B$6</f>
        <v>0</v>
      </c>
      <c r="I296" s="7" t="n">
        <f aca="false">SUMIFS(Doors!U:U,Doors!$A:$A,$D296,Doors!$B:$B,$B296,Doors!$C:$C,$C296)*SUMIFS(Velocity!$I:$I,Velocity!$A:$A,$A296,Velocity!$B:$B,$C296)/Assumptions!$B$4*Assumptions!$B$6</f>
        <v>0</v>
      </c>
      <c r="J296" s="7" t="n">
        <f aca="false">SUMIFS(Doors!V:V,Doors!$A:$A,$D296,Doors!$B:$B,$B296,Doors!$C:$C,$C296)*SUMIFS(Velocity!$I:$I,Velocity!$A:$A,$A296,Velocity!$B:$B,$C296)/Assumptions!$B$4*Assumptions!$B$6</f>
        <v>0</v>
      </c>
      <c r="K296" s="7" t="n">
        <f aca="false">SUMIFS(Doors!W:W,Doors!$A:$A,$D296,Doors!$B:$B,$B296,Doors!$C:$C,$C296)*SUMIFS(Velocity!$I:$I,Velocity!$A:$A,$A296,Velocity!$B:$B,$C296)/Assumptions!$B$4*Assumptions!$B$6</f>
        <v>0</v>
      </c>
      <c r="L296" s="7" t="n">
        <f aca="false">SUMIFS(Doors!X:X,Doors!$A:$A,$D296,Doors!$B:$B,$B296,Doors!$C:$C,$C296)*SUMIFS(Velocity!$I:$I,Velocity!$A:$A,$A296,Velocity!$B:$B,$C296)/Assumptions!$B$4*Assumptions!$B$6</f>
        <v>0</v>
      </c>
      <c r="M296" s="7" t="n">
        <f aca="false">SUMIFS(Doors!Y:Y,Doors!$A:$A,$D296,Doors!$B:$B,$B296,Doors!$C:$C,$C296)*SUMIFS(Velocity!$I:$I,Velocity!$A:$A,$A296,Velocity!$B:$B,$C296)/Assumptions!$B$4*Assumptions!$B$6</f>
        <v>0</v>
      </c>
      <c r="N296" s="7" t="n">
        <f aca="false">SUMIFS(Doors!Z:Z,Doors!$A:$A,$D296,Doors!$B:$B,$B296,Doors!$C:$C,$C296)*SUMIFS(Velocity!$I:$I,Velocity!$A:$A,$A296,Velocity!$B:$B,$C296)/Assumptions!$B$4*Assumptions!$B$6</f>
        <v>0</v>
      </c>
      <c r="O296" s="7" t="n">
        <f aca="false">SUMIFS(Doors!AA:AA,Doors!$A:$A,$D296,Doors!$B:$B,$B296,Doors!$C:$C,$C296)*SUMIFS(Velocity!$I:$I,Velocity!$A:$A,$A296,Velocity!$B:$B,$C296)/Assumptions!$B$4*Assumptions!$B$6</f>
        <v>0</v>
      </c>
      <c r="P296" s="7" t="n">
        <f aca="false">SUMIFS(Doors!AB:AB,Doors!$A:$A,$D296,Doors!$B:$B,$B296,Doors!$C:$C,$C296)*SUMIFS(Velocity!$I:$I,Velocity!$A:$A,$A296,Velocity!$B:$B,$C296)/Assumptions!$B$4*Assumptions!$B$6</f>
        <v>0</v>
      </c>
      <c r="Q296" s="7" t="n">
        <f aca="false">SUMIFS(Doors!AC:AC,Doors!$A:$A,$D296,Doors!$B:$B,$B296,Doors!$C:$C,$C296)*SUMIFS(Velocity!$I:$I,Velocity!$A:$A,$A296,Velocity!$B:$B,$C296)/Assumptions!$B$4*Assumptions!$B$6</f>
        <v>0</v>
      </c>
      <c r="R296" s="7" t="n">
        <f aca="false">SUMIFS(Doors!AD:AD,Doors!$A:$A,$D296,Doors!$B:$B,$B296,Doors!$C:$C,$C296)*SUMIFS(Velocity!$I:$I,Velocity!$A:$A,$A296,Velocity!$B:$B,$C296)/Assumptions!$B$4*Assumptions!$B$6</f>
        <v>0</v>
      </c>
      <c r="S296" s="7" t="n">
        <f aca="false">SUMIFS(Doors!AE:AE,Doors!$A:$A,$D296,Doors!$B:$B,$B296,Doors!$C:$C,$C296)*SUMIFS(Velocity!$I:$I,Velocity!$A:$A,$A296,Velocity!$B:$B,$C296)/Assumptions!$B$4*Assumptions!$B$6</f>
        <v>0</v>
      </c>
      <c r="T296" s="7" t="n">
        <f aca="false">SUMIFS(Doors!AF:AF,Doors!$A:$A,$D296,Doors!$B:$B,$B296,Doors!$C:$C,$C296)*SUMIFS(Velocity!$I:$I,Velocity!$A:$A,$A296,Velocity!$B:$B,$C296)/Assumptions!$B$4*Assumptions!$B$6</f>
        <v>0</v>
      </c>
      <c r="U296" s="7" t="n">
        <f aca="false">SUMIFS(Doors!AG:AG,Doors!$A:$A,$D296,Doors!$B:$B,$B296,Doors!$C:$C,$C296)*SUMIFS(Velocity!$I:$I,Velocity!$A:$A,$A296,Velocity!$B:$B,$C296)/Assumptions!$B$4*Assumptions!$B$6</f>
        <v>0</v>
      </c>
      <c r="V296" s="7" t="n">
        <f aca="false">SUMIFS(Doors!AH:AH,Doors!$A:$A,$D296,Doors!$B:$B,$B296,Doors!$C:$C,$C296)*SUMIFS(Velocity!$I:$I,Velocity!$A:$A,$A296,Velocity!$B:$B,$C296)/Assumptions!$B$4*Assumptions!$B$6</f>
        <v>0</v>
      </c>
      <c r="W296" s="7" t="n">
        <f aca="false">SUMIFS(Doors!AI:AI,Doors!$A:$A,$D296,Doors!$B:$B,$B296,Doors!$C:$C,$C296)*SUMIFS(Velocity!$I:$I,Velocity!$A:$A,$A296,Velocity!$B:$B,$C296)/Assumptions!$B$4*Assumptions!$B$6</f>
        <v>0</v>
      </c>
      <c r="X296" s="7" t="n">
        <f aca="false">SUMIFS(Doors!AJ:AJ,Doors!$A:$A,$D296,Doors!$B:$B,$B296,Doors!$C:$C,$C296)*SUMIFS(Velocity!$I:$I,Velocity!$A:$A,$A296,Velocity!$B:$B,$C296)/Assumptions!$B$4*Assumptions!$B$6</f>
        <v>0</v>
      </c>
      <c r="Y296" s="7" t="n">
        <f aca="false">SUMIFS(Doors!AK:AK,Doors!$A:$A,$D296,Doors!$B:$B,$B296,Doors!$C:$C,$C296)*SUMIFS(Velocity!$I:$I,Velocity!$A:$A,$A296,Velocity!$B:$B,$C296)/Assumptions!$B$4*Assumptions!$B$6</f>
        <v>0</v>
      </c>
      <c r="Z296" s="7" t="n">
        <f aca="false">SUMIFS(Doors!AL:AL,Doors!$A:$A,$D296,Doors!$B:$B,$B296,Doors!$C:$C,$C296)*SUMIFS(Velocity!$I:$I,Velocity!$A:$A,$A296,Velocity!$B:$B,$C296)/Assumptions!$B$4*Assumptions!$B$6</f>
        <v>0</v>
      </c>
      <c r="AA296" s="7" t="n">
        <f aca="false">SUMIFS(Doors!AM:AM,Doors!$A:$A,$D296,Doors!$B:$B,$B296,Doors!$C:$C,$C296)*SUMIFS(Velocity!$I:$I,Velocity!$A:$A,$A296,Velocity!$B:$B,$C296)/Assumptions!$B$4*Assumptions!$B$6</f>
        <v>0</v>
      </c>
      <c r="AB296" s="7" t="n">
        <f aca="false">SUMIFS(Doors!AN:AN,Doors!$A:$A,$D296,Doors!$B:$B,$B296,Doors!$C:$C,$C296)*SUMIFS(Velocity!$I:$I,Velocity!$A:$A,$A296,Velocity!$B:$B,$C296)/Assumptions!$B$4*Assumptions!$B$6</f>
        <v>0</v>
      </c>
      <c r="AC296" s="7" t="n">
        <f aca="false">SUMIFS(Doors!AO:AO,Doors!$A:$A,$D296,Doors!$B:$B,$B296,Doors!$C:$C,$C296)*SUMIFS(Velocity!$I:$I,Velocity!$A:$A,$A296,Velocity!$B:$B,$C296)/Assumptions!$B$4*Assumptions!$B$6</f>
        <v>0</v>
      </c>
      <c r="AD296" s="7" t="n">
        <f aca="false">SUMIFS(Doors!AP:AP,Doors!$A:$A,$D296,Doors!$B:$B,$B296,Doors!$C:$C,$C296)*SUMIFS(Velocity!$I:$I,Velocity!$A:$A,$A296,Velocity!$B:$B,$C296)/Assumptions!$B$4*Assumptions!$B$6</f>
        <v>0</v>
      </c>
      <c r="AE296" s="7" t="n">
        <f aca="false">SUMIFS(Doors!AQ:AQ,Doors!$A:$A,$D296,Doors!$B:$B,$B296,Doors!$C:$C,$C296)*SUMIFS(Velocity!$I:$I,Velocity!$A:$A,$A296,Velocity!$B:$B,$C296)/Assumptions!$B$4*Assumptions!$B$6</f>
        <v>0</v>
      </c>
      <c r="AF296" s="7" t="n">
        <f aca="false">SUMIFS(Doors!AR:AR,Doors!$A:$A,$D296,Doors!$B:$B,$B296,Doors!$C:$C,$C296)*SUMIFS(Velocity!$I:$I,Velocity!$A:$A,$A296,Velocity!$B:$B,$C296)/Assumptions!$B$4*Assumptions!$B$6</f>
        <v>0</v>
      </c>
      <c r="AG296" s="7" t="n">
        <f aca="false">SUMIFS(Doors!AS:AS,Doors!$A:$A,$D296,Doors!$B:$B,$B296,Doors!$C:$C,$C296)*SUMIFS(Velocity!$I:$I,Velocity!$A:$A,$A296,Velocity!$B:$B,$C296)/Assumptions!$B$4*Assumptions!$B$6</f>
        <v>0</v>
      </c>
      <c r="AH296" s="7" t="n">
        <f aca="false">SUMIFS(Doors!AT:AT,Doors!$A:$A,$D296,Doors!$B:$B,$B296,Doors!$C:$C,$C296)*SUMIFS(Velocity!$I:$I,Velocity!$A:$A,$A296,Velocity!$B:$B,$C296)/Assumptions!$B$4*Assumptions!$B$6</f>
        <v>0</v>
      </c>
      <c r="AI296" s="7" t="n">
        <f aca="false">SUMIFS(Doors!AU:AU,Doors!$A:$A,$D296,Doors!$B:$B,$B296,Doors!$C:$C,$C296)*SUMIFS(Velocity!$I:$I,Velocity!$A:$A,$A296,Velocity!$B:$B,$C296)/Assumptions!$B$4*Assumptions!$B$6</f>
        <v>0</v>
      </c>
      <c r="AJ296" s="7" t="n">
        <f aca="false">SUMIFS(Doors!AV:AV,Doors!$A:$A,$D296,Doors!$B:$B,$B296,Doors!$C:$C,$C296)*SUMIFS(Velocity!$I:$I,Velocity!$A:$A,$A296,Velocity!$B:$B,$C296)/Assumptions!$B$4*Assumptions!$B$6</f>
        <v>0</v>
      </c>
      <c r="AK296" s="7" t="n">
        <f aca="false">SUMIFS(Doors!AW:AW,Doors!$A:$A,$D296,Doors!$B:$B,$B296,Doors!$C:$C,$C296)*SUMIFS(Velocity!$I:$I,Velocity!$A:$A,$A296,Velocity!$B:$B,$C296)/Assumptions!$B$4*Assumptions!$B$6</f>
        <v>0</v>
      </c>
      <c r="AL296" s="7" t="n">
        <f aca="false">SUMIFS(Doors!AX:AX,Doors!$A:$A,$D296,Doors!$B:$B,$B296,Doors!$C:$C,$C296)*SUMIFS(Velocity!$I:$I,Velocity!$A:$A,$A296,Velocity!$B:$B,$C296)/Assumptions!$B$4*Assumptions!$B$6</f>
        <v>0</v>
      </c>
      <c r="AM296" s="7" t="n">
        <f aca="false">SUMIFS(Doors!AY:AY,Doors!$A:$A,$D296,Doors!$B:$B,$B296,Doors!$C:$C,$C296)*SUMIFS(Velocity!$I:$I,Velocity!$A:$A,$A296,Velocity!$B:$B,$C296)/Assumptions!$B$4*Assumptions!$B$6</f>
        <v>0</v>
      </c>
      <c r="AN296" s="7" t="n">
        <f aca="false">SUMIFS(Doors!AZ:AZ,Doors!$A:$A,$D296,Doors!$B:$B,$B296,Doors!$C:$C,$C296)*SUMIFS(Velocity!$I:$I,Velocity!$A:$A,$A296,Velocity!$B:$B,$C296)/Assumptions!$B$4*Assumptions!$B$6</f>
        <v>0</v>
      </c>
      <c r="AO296" s="7" t="n">
        <f aca="false">SUMIFS(Doors!BA:BA,Doors!$A:$A,$D296,Doors!$B:$B,$B296,Doors!$C:$C,$C296)*SUMIFS(Velocity!$I:$I,Velocity!$A:$A,$A296,Velocity!$B:$B,$C296)/Assumptions!$B$4*Assumptions!$B$6</f>
        <v>0</v>
      </c>
      <c r="AP296" s="7" t="n">
        <f aca="false">SUMIFS(Doors!BB:BB,Doors!$A:$A,$D296,Doors!$B:$B,$B296,Doors!$C:$C,$C296)*SUMIFS(Velocity!$I:$I,Velocity!$A:$A,$A296,Velocity!$B:$B,$C296)/Assumptions!$B$4*Assumptions!$B$6</f>
        <v>0</v>
      </c>
      <c r="AQ296" s="7" t="n">
        <f aca="false">SUMIFS(Doors!BC:BC,Doors!$A:$A,$D296,Doors!$B:$B,$B296,Doors!$C:$C,$C296)*SUMIFS(Velocity!$I:$I,Velocity!$A:$A,$A296,Velocity!$B:$B,$C296)/Assumptions!$B$4*Assumptions!$B$6</f>
        <v>0</v>
      </c>
      <c r="AR296" s="7" t="n">
        <f aca="false">SUMIFS(Doors!BD:BD,Doors!$A:$A,$D296,Doors!$B:$B,$B296,Doors!$C:$C,$C296)*SUMIFS(Velocity!$I:$I,Velocity!$A:$A,$A296,Velocity!$B:$B,$C296)/Assumptions!$B$4*Assumptions!$B$6</f>
        <v>0</v>
      </c>
      <c r="AS296" s="7" t="n">
        <f aca="false">SUMIFS(Doors!BE:BE,Doors!$A:$A,$D296,Doors!$B:$B,$B296,Doors!$C:$C,$C296)*SUMIFS(Velocity!$I:$I,Velocity!$A:$A,$A296,Velocity!$B:$B,$C296)/Assumptions!$B$4*Assumptions!$B$6</f>
        <v>0</v>
      </c>
      <c r="AT296" s="7" t="n">
        <f aca="false">SUMIFS(Doors!BF:BF,Doors!$A:$A,$D296,Doors!$B:$B,$B296,Doors!$C:$C,$C296)*SUMIFS(Velocity!$I:$I,Velocity!$A:$A,$A296,Velocity!$B:$B,$C296)/Assumptions!$B$4*Assumptions!$B$6</f>
        <v>0</v>
      </c>
      <c r="AU296" s="7" t="n">
        <f aca="false">SUMIFS(Doors!BG:BG,Doors!$A:$A,$D296,Doors!$B:$B,$B296,Doors!$C:$C,$C296)*SUMIFS(Velocity!$I:$I,Velocity!$A:$A,$A296,Velocity!$B:$B,$C296)/Assumptions!$B$4*Assumptions!$B$6</f>
        <v>0</v>
      </c>
      <c r="AV296" s="7" t="n">
        <f aca="false">SUMIFS(Doors!BH:BH,Doors!$A:$A,$D296,Doors!$B:$B,$B296,Doors!$C:$C,$C296)*SUMIFS(Velocity!$I:$I,Velocity!$A:$A,$A296,Velocity!$B:$B,$C296)/Assumptions!$B$4*Assumptions!$B$6</f>
        <v>0</v>
      </c>
      <c r="AW296" s="7" t="n">
        <f aca="false">SUMIFS(Doors!BI:BI,Doors!$A:$A,$D296,Doors!$B:$B,$B296,Doors!$C:$C,$C296)*SUMIFS(Velocity!$I:$I,Velocity!$A:$A,$A296,Velocity!$B:$B,$C296)/Assumptions!$B$4*Assumptions!$B$6</f>
        <v>0</v>
      </c>
      <c r="AX296" s="7" t="n">
        <f aca="false">SUMIFS(Doors!BJ:BJ,Doors!$A:$A,$D296,Doors!$B:$B,$B296,Doors!$C:$C,$C296)*SUMIFS(Velocity!$I:$I,Velocity!$A:$A,$A296,Velocity!$B:$B,$C296)/Assumptions!$B$4*Assumptions!$B$6</f>
        <v>0</v>
      </c>
      <c r="AY296" s="7" t="n">
        <f aca="false">SUMIFS(Doors!BK:BK,Doors!$A:$A,$D296,Doors!$B:$B,$B296,Doors!$C:$C,$C296)*SUMIFS(Velocity!$I:$I,Velocity!$A:$A,$A296,Velocity!$B:$B,$C296)/Assumptions!$B$4*Assumptions!$B$6</f>
        <v>0</v>
      </c>
      <c r="AZ296" s="7" t="n">
        <f aca="false">SUMIFS(Doors!BL:BL,Doors!$A:$A,$D296,Doors!$B:$B,$B296,Doors!$C:$C,$C296)*SUMIFS(Velocity!$I:$I,Velocity!$A:$A,$A296,Velocity!$B:$B,$C296)/Assumptions!$B$4*Assumptions!$B$6</f>
        <v>0</v>
      </c>
      <c r="BA296" s="7" t="n">
        <f aca="false">SUMIFS(Doors!BM:BM,Doors!$A:$A,$D296,Doors!$B:$B,$B296,Doors!$C:$C,$C296)*SUMIFS(Velocity!$I:$I,Velocity!$A:$A,$A296,Velocity!$B:$B,$C296)/Assumptions!$B$4*Assumptions!$B$6</f>
        <v>0</v>
      </c>
      <c r="BB296" s="7" t="n">
        <f aca="false">SUMIFS(Doors!BN:BN,Doors!$A:$A,$D296,Doors!$B:$B,$B296,Doors!$C:$C,$C296)*SUMIFS(Velocity!$I:$I,Velocity!$A:$A,$A296,Velocity!$B:$B,$C296)/Assumptions!$B$4*Assumptions!$B$6</f>
        <v>0</v>
      </c>
      <c r="BC296" s="7" t="n">
        <f aca="false">SUMIFS(Doors!BO:BO,Doors!$A:$A,$D296,Doors!$B:$B,$B296,Doors!$C:$C,$C296)*SUMIFS(Velocity!$I:$I,Velocity!$A:$A,$A296,Velocity!$B:$B,$C296)/Assumptions!$B$4*Assumptions!$B$6</f>
        <v>0</v>
      </c>
      <c r="BD296" s="7" t="n">
        <f aca="false">SUMIFS(Doors!BP:BP,Doors!$A:$A,$D296,Doors!$B:$B,$B296,Doors!$C:$C,$C296)*SUMIFS(Velocity!$I:$I,Velocity!$A:$A,$A296,Velocity!$B:$B,$C296)/Assumptions!$B$4*Assumptions!$B$6</f>
        <v>0</v>
      </c>
    </row>
    <row r="297" customFormat="false" ht="15" hidden="false" customHeight="false" outlineLevel="0" collapsed="false">
      <c r="A297" s="0" t="s">
        <v>111</v>
      </c>
      <c r="B297" s="0" t="s">
        <v>128</v>
      </c>
      <c r="C297" s="0" t="s">
        <v>118</v>
      </c>
      <c r="D297" s="0" t="s">
        <v>236</v>
      </c>
      <c r="E297" s="7" t="n">
        <f aca="false">SUMIFS(Doors!Q:Q,Doors!$A:$A,$D297,Doors!$B:$B,$B297,Doors!$C:$C,$C297)*SUMIFS(Velocity!$I:$I,Velocity!$A:$A,$A297,Velocity!$B:$B,$C297)/Assumptions!$B$4*Assumptions!$B$6</f>
        <v>0</v>
      </c>
      <c r="F297" s="7" t="n">
        <f aca="false">SUMIFS(Doors!R:R,Doors!$A:$A,$D297,Doors!$B:$B,$B297,Doors!$C:$C,$C297)*SUMIFS(Velocity!$I:$I,Velocity!$A:$A,$A297,Velocity!$B:$B,$C297)/Assumptions!$B$4*Assumptions!$B$6</f>
        <v>0</v>
      </c>
      <c r="G297" s="7" t="n">
        <f aca="false">SUMIFS(Doors!S:S,Doors!$A:$A,$D297,Doors!$B:$B,$B297,Doors!$C:$C,$C297)*SUMIFS(Velocity!$I:$I,Velocity!$A:$A,$A297,Velocity!$B:$B,$C297)/Assumptions!$B$4*Assumptions!$B$6</f>
        <v>0</v>
      </c>
      <c r="H297" s="7" t="n">
        <f aca="false">SUMIFS(Doors!T:T,Doors!$A:$A,$D297,Doors!$B:$B,$B297,Doors!$C:$C,$C297)*SUMIFS(Velocity!$I:$I,Velocity!$A:$A,$A297,Velocity!$B:$B,$C297)/Assumptions!$B$4*Assumptions!$B$6</f>
        <v>0</v>
      </c>
      <c r="I297" s="7" t="n">
        <f aca="false">SUMIFS(Doors!U:U,Doors!$A:$A,$D297,Doors!$B:$B,$B297,Doors!$C:$C,$C297)*SUMIFS(Velocity!$I:$I,Velocity!$A:$A,$A297,Velocity!$B:$B,$C297)/Assumptions!$B$4*Assumptions!$B$6</f>
        <v>0</v>
      </c>
      <c r="J297" s="7" t="n">
        <f aca="false">SUMIFS(Doors!V:V,Doors!$A:$A,$D297,Doors!$B:$B,$B297,Doors!$C:$C,$C297)*SUMIFS(Velocity!$I:$I,Velocity!$A:$A,$A297,Velocity!$B:$B,$C297)/Assumptions!$B$4*Assumptions!$B$6</f>
        <v>0</v>
      </c>
      <c r="K297" s="7" t="n">
        <f aca="false">SUMIFS(Doors!W:W,Doors!$A:$A,$D297,Doors!$B:$B,$B297,Doors!$C:$C,$C297)*SUMIFS(Velocity!$I:$I,Velocity!$A:$A,$A297,Velocity!$B:$B,$C297)/Assumptions!$B$4*Assumptions!$B$6</f>
        <v>0</v>
      </c>
      <c r="L297" s="7" t="n">
        <f aca="false">SUMIFS(Doors!X:X,Doors!$A:$A,$D297,Doors!$B:$B,$B297,Doors!$C:$C,$C297)*SUMIFS(Velocity!$I:$I,Velocity!$A:$A,$A297,Velocity!$B:$B,$C297)/Assumptions!$B$4*Assumptions!$B$6</f>
        <v>0</v>
      </c>
      <c r="M297" s="7" t="n">
        <f aca="false">SUMIFS(Doors!Y:Y,Doors!$A:$A,$D297,Doors!$B:$B,$B297,Doors!$C:$C,$C297)*SUMIFS(Velocity!$I:$I,Velocity!$A:$A,$A297,Velocity!$B:$B,$C297)/Assumptions!$B$4*Assumptions!$B$6</f>
        <v>0</v>
      </c>
      <c r="N297" s="7" t="n">
        <f aca="false">SUMIFS(Doors!Z:Z,Doors!$A:$A,$D297,Doors!$B:$B,$B297,Doors!$C:$C,$C297)*SUMIFS(Velocity!$I:$I,Velocity!$A:$A,$A297,Velocity!$B:$B,$C297)/Assumptions!$B$4*Assumptions!$B$6</f>
        <v>0</v>
      </c>
      <c r="O297" s="7" t="n">
        <f aca="false">SUMIFS(Doors!AA:AA,Doors!$A:$A,$D297,Doors!$B:$B,$B297,Doors!$C:$C,$C297)*SUMIFS(Velocity!$I:$I,Velocity!$A:$A,$A297,Velocity!$B:$B,$C297)/Assumptions!$B$4*Assumptions!$B$6</f>
        <v>0</v>
      </c>
      <c r="P297" s="7" t="n">
        <f aca="false">SUMIFS(Doors!AB:AB,Doors!$A:$A,$D297,Doors!$B:$B,$B297,Doors!$C:$C,$C297)*SUMIFS(Velocity!$I:$I,Velocity!$A:$A,$A297,Velocity!$B:$B,$C297)/Assumptions!$B$4*Assumptions!$B$6</f>
        <v>0</v>
      </c>
      <c r="Q297" s="7" t="n">
        <f aca="false">SUMIFS(Doors!AC:AC,Doors!$A:$A,$D297,Doors!$B:$B,$B297,Doors!$C:$C,$C297)*SUMIFS(Velocity!$I:$I,Velocity!$A:$A,$A297,Velocity!$B:$B,$C297)/Assumptions!$B$4*Assumptions!$B$6</f>
        <v>0</v>
      </c>
      <c r="R297" s="7" t="n">
        <f aca="false">SUMIFS(Doors!AD:AD,Doors!$A:$A,$D297,Doors!$B:$B,$B297,Doors!$C:$C,$C297)*SUMIFS(Velocity!$I:$I,Velocity!$A:$A,$A297,Velocity!$B:$B,$C297)/Assumptions!$B$4*Assumptions!$B$6</f>
        <v>0</v>
      </c>
      <c r="S297" s="7" t="n">
        <f aca="false">SUMIFS(Doors!AE:AE,Doors!$A:$A,$D297,Doors!$B:$B,$B297,Doors!$C:$C,$C297)*SUMIFS(Velocity!$I:$I,Velocity!$A:$A,$A297,Velocity!$B:$B,$C297)/Assumptions!$B$4*Assumptions!$B$6</f>
        <v>0</v>
      </c>
      <c r="T297" s="7" t="n">
        <f aca="false">SUMIFS(Doors!AF:AF,Doors!$A:$A,$D297,Doors!$B:$B,$B297,Doors!$C:$C,$C297)*SUMIFS(Velocity!$I:$I,Velocity!$A:$A,$A297,Velocity!$B:$B,$C297)/Assumptions!$B$4*Assumptions!$B$6</f>
        <v>0</v>
      </c>
      <c r="U297" s="7" t="n">
        <f aca="false">SUMIFS(Doors!AG:AG,Doors!$A:$A,$D297,Doors!$B:$B,$B297,Doors!$C:$C,$C297)*SUMIFS(Velocity!$I:$I,Velocity!$A:$A,$A297,Velocity!$B:$B,$C297)/Assumptions!$B$4*Assumptions!$B$6</f>
        <v>0</v>
      </c>
      <c r="V297" s="7" t="n">
        <f aca="false">SUMIFS(Doors!AH:AH,Doors!$A:$A,$D297,Doors!$B:$B,$B297,Doors!$C:$C,$C297)*SUMIFS(Velocity!$I:$I,Velocity!$A:$A,$A297,Velocity!$B:$B,$C297)/Assumptions!$B$4*Assumptions!$B$6</f>
        <v>0</v>
      </c>
      <c r="W297" s="7" t="n">
        <f aca="false">SUMIFS(Doors!AI:AI,Doors!$A:$A,$D297,Doors!$B:$B,$B297,Doors!$C:$C,$C297)*SUMIFS(Velocity!$I:$I,Velocity!$A:$A,$A297,Velocity!$B:$B,$C297)/Assumptions!$B$4*Assumptions!$B$6</f>
        <v>0</v>
      </c>
      <c r="X297" s="7" t="n">
        <f aca="false">SUMIFS(Doors!AJ:AJ,Doors!$A:$A,$D297,Doors!$B:$B,$B297,Doors!$C:$C,$C297)*SUMIFS(Velocity!$I:$I,Velocity!$A:$A,$A297,Velocity!$B:$B,$C297)/Assumptions!$B$4*Assumptions!$B$6</f>
        <v>0</v>
      </c>
      <c r="Y297" s="7" t="n">
        <f aca="false">SUMIFS(Doors!AK:AK,Doors!$A:$A,$D297,Doors!$B:$B,$B297,Doors!$C:$C,$C297)*SUMIFS(Velocity!$I:$I,Velocity!$A:$A,$A297,Velocity!$B:$B,$C297)/Assumptions!$B$4*Assumptions!$B$6</f>
        <v>0</v>
      </c>
      <c r="Z297" s="7" t="n">
        <f aca="false">SUMIFS(Doors!AL:AL,Doors!$A:$A,$D297,Doors!$B:$B,$B297,Doors!$C:$C,$C297)*SUMIFS(Velocity!$I:$I,Velocity!$A:$A,$A297,Velocity!$B:$B,$C297)/Assumptions!$B$4*Assumptions!$B$6</f>
        <v>0</v>
      </c>
      <c r="AA297" s="7" t="n">
        <f aca="false">SUMIFS(Doors!AM:AM,Doors!$A:$A,$D297,Doors!$B:$B,$B297,Doors!$C:$C,$C297)*SUMIFS(Velocity!$I:$I,Velocity!$A:$A,$A297,Velocity!$B:$B,$C297)/Assumptions!$B$4*Assumptions!$B$6</f>
        <v>0</v>
      </c>
      <c r="AB297" s="7" t="n">
        <f aca="false">SUMIFS(Doors!AN:AN,Doors!$A:$A,$D297,Doors!$B:$B,$B297,Doors!$C:$C,$C297)*SUMIFS(Velocity!$I:$I,Velocity!$A:$A,$A297,Velocity!$B:$B,$C297)/Assumptions!$B$4*Assumptions!$B$6</f>
        <v>0</v>
      </c>
      <c r="AC297" s="7" t="n">
        <f aca="false">SUMIFS(Doors!AO:AO,Doors!$A:$A,$D297,Doors!$B:$B,$B297,Doors!$C:$C,$C297)*SUMIFS(Velocity!$I:$I,Velocity!$A:$A,$A297,Velocity!$B:$B,$C297)/Assumptions!$B$4*Assumptions!$B$6</f>
        <v>0</v>
      </c>
      <c r="AD297" s="7" t="n">
        <f aca="false">SUMIFS(Doors!AP:AP,Doors!$A:$A,$D297,Doors!$B:$B,$B297,Doors!$C:$C,$C297)*SUMIFS(Velocity!$I:$I,Velocity!$A:$A,$A297,Velocity!$B:$B,$C297)/Assumptions!$B$4*Assumptions!$B$6</f>
        <v>0</v>
      </c>
      <c r="AE297" s="7" t="n">
        <f aca="false">SUMIFS(Doors!AQ:AQ,Doors!$A:$A,$D297,Doors!$B:$B,$B297,Doors!$C:$C,$C297)*SUMIFS(Velocity!$I:$I,Velocity!$A:$A,$A297,Velocity!$B:$B,$C297)/Assumptions!$B$4*Assumptions!$B$6</f>
        <v>0</v>
      </c>
      <c r="AF297" s="7" t="n">
        <f aca="false">SUMIFS(Doors!AR:AR,Doors!$A:$A,$D297,Doors!$B:$B,$B297,Doors!$C:$C,$C297)*SUMIFS(Velocity!$I:$I,Velocity!$A:$A,$A297,Velocity!$B:$B,$C297)/Assumptions!$B$4*Assumptions!$B$6</f>
        <v>0</v>
      </c>
      <c r="AG297" s="7" t="n">
        <f aca="false">SUMIFS(Doors!AS:AS,Doors!$A:$A,$D297,Doors!$B:$B,$B297,Doors!$C:$C,$C297)*SUMIFS(Velocity!$I:$I,Velocity!$A:$A,$A297,Velocity!$B:$B,$C297)/Assumptions!$B$4*Assumptions!$B$6</f>
        <v>0</v>
      </c>
      <c r="AH297" s="7" t="n">
        <f aca="false">SUMIFS(Doors!AT:AT,Doors!$A:$A,$D297,Doors!$B:$B,$B297,Doors!$C:$C,$C297)*SUMIFS(Velocity!$I:$I,Velocity!$A:$A,$A297,Velocity!$B:$B,$C297)/Assumptions!$B$4*Assumptions!$B$6</f>
        <v>0</v>
      </c>
      <c r="AI297" s="7" t="n">
        <f aca="false">SUMIFS(Doors!AU:AU,Doors!$A:$A,$D297,Doors!$B:$B,$B297,Doors!$C:$C,$C297)*SUMIFS(Velocity!$I:$I,Velocity!$A:$A,$A297,Velocity!$B:$B,$C297)/Assumptions!$B$4*Assumptions!$B$6</f>
        <v>0</v>
      </c>
      <c r="AJ297" s="7" t="n">
        <f aca="false">SUMIFS(Doors!AV:AV,Doors!$A:$A,$D297,Doors!$B:$B,$B297,Doors!$C:$C,$C297)*SUMIFS(Velocity!$I:$I,Velocity!$A:$A,$A297,Velocity!$B:$B,$C297)/Assumptions!$B$4*Assumptions!$B$6</f>
        <v>0</v>
      </c>
      <c r="AK297" s="7" t="n">
        <f aca="false">SUMIFS(Doors!AW:AW,Doors!$A:$A,$D297,Doors!$B:$B,$B297,Doors!$C:$C,$C297)*SUMIFS(Velocity!$I:$I,Velocity!$A:$A,$A297,Velocity!$B:$B,$C297)/Assumptions!$B$4*Assumptions!$B$6</f>
        <v>0</v>
      </c>
      <c r="AL297" s="7" t="n">
        <f aca="false">SUMIFS(Doors!AX:AX,Doors!$A:$A,$D297,Doors!$B:$B,$B297,Doors!$C:$C,$C297)*SUMIFS(Velocity!$I:$I,Velocity!$A:$A,$A297,Velocity!$B:$B,$C297)/Assumptions!$B$4*Assumptions!$B$6</f>
        <v>0</v>
      </c>
      <c r="AM297" s="7" t="n">
        <f aca="false">SUMIFS(Doors!AY:AY,Doors!$A:$A,$D297,Doors!$B:$B,$B297,Doors!$C:$C,$C297)*SUMIFS(Velocity!$I:$I,Velocity!$A:$A,$A297,Velocity!$B:$B,$C297)/Assumptions!$B$4*Assumptions!$B$6</f>
        <v>0</v>
      </c>
      <c r="AN297" s="7" t="n">
        <f aca="false">SUMIFS(Doors!AZ:AZ,Doors!$A:$A,$D297,Doors!$B:$B,$B297,Doors!$C:$C,$C297)*SUMIFS(Velocity!$I:$I,Velocity!$A:$A,$A297,Velocity!$B:$B,$C297)/Assumptions!$B$4*Assumptions!$B$6</f>
        <v>0</v>
      </c>
      <c r="AO297" s="7" t="n">
        <f aca="false">SUMIFS(Doors!BA:BA,Doors!$A:$A,$D297,Doors!$B:$B,$B297,Doors!$C:$C,$C297)*SUMIFS(Velocity!$I:$I,Velocity!$A:$A,$A297,Velocity!$B:$B,$C297)/Assumptions!$B$4*Assumptions!$B$6</f>
        <v>0</v>
      </c>
      <c r="AP297" s="7" t="n">
        <f aca="false">SUMIFS(Doors!BB:BB,Doors!$A:$A,$D297,Doors!$B:$B,$B297,Doors!$C:$C,$C297)*SUMIFS(Velocity!$I:$I,Velocity!$A:$A,$A297,Velocity!$B:$B,$C297)/Assumptions!$B$4*Assumptions!$B$6</f>
        <v>0</v>
      </c>
      <c r="AQ297" s="7" t="n">
        <f aca="false">SUMIFS(Doors!BC:BC,Doors!$A:$A,$D297,Doors!$B:$B,$B297,Doors!$C:$C,$C297)*SUMIFS(Velocity!$I:$I,Velocity!$A:$A,$A297,Velocity!$B:$B,$C297)/Assumptions!$B$4*Assumptions!$B$6</f>
        <v>0</v>
      </c>
      <c r="AR297" s="7" t="n">
        <f aca="false">SUMIFS(Doors!BD:BD,Doors!$A:$A,$D297,Doors!$B:$B,$B297,Doors!$C:$C,$C297)*SUMIFS(Velocity!$I:$I,Velocity!$A:$A,$A297,Velocity!$B:$B,$C297)/Assumptions!$B$4*Assumptions!$B$6</f>
        <v>0</v>
      </c>
      <c r="AS297" s="7" t="n">
        <f aca="false">SUMIFS(Doors!BE:BE,Doors!$A:$A,$D297,Doors!$B:$B,$B297,Doors!$C:$C,$C297)*SUMIFS(Velocity!$I:$I,Velocity!$A:$A,$A297,Velocity!$B:$B,$C297)/Assumptions!$B$4*Assumptions!$B$6</f>
        <v>0</v>
      </c>
      <c r="AT297" s="7" t="n">
        <f aca="false">SUMIFS(Doors!BF:BF,Doors!$A:$A,$D297,Doors!$B:$B,$B297,Doors!$C:$C,$C297)*SUMIFS(Velocity!$I:$I,Velocity!$A:$A,$A297,Velocity!$B:$B,$C297)/Assumptions!$B$4*Assumptions!$B$6</f>
        <v>0</v>
      </c>
      <c r="AU297" s="7" t="n">
        <f aca="false">SUMIFS(Doors!BG:BG,Doors!$A:$A,$D297,Doors!$B:$B,$B297,Doors!$C:$C,$C297)*SUMIFS(Velocity!$I:$I,Velocity!$A:$A,$A297,Velocity!$B:$B,$C297)/Assumptions!$B$4*Assumptions!$B$6</f>
        <v>0</v>
      </c>
      <c r="AV297" s="7" t="n">
        <f aca="false">SUMIFS(Doors!BH:BH,Doors!$A:$A,$D297,Doors!$B:$B,$B297,Doors!$C:$C,$C297)*SUMIFS(Velocity!$I:$I,Velocity!$A:$A,$A297,Velocity!$B:$B,$C297)/Assumptions!$B$4*Assumptions!$B$6</f>
        <v>0</v>
      </c>
      <c r="AW297" s="7" t="n">
        <f aca="false">SUMIFS(Doors!BI:BI,Doors!$A:$A,$D297,Doors!$B:$B,$B297,Doors!$C:$C,$C297)*SUMIFS(Velocity!$I:$I,Velocity!$A:$A,$A297,Velocity!$B:$B,$C297)/Assumptions!$B$4*Assumptions!$B$6</f>
        <v>0</v>
      </c>
      <c r="AX297" s="7" t="n">
        <f aca="false">SUMIFS(Doors!BJ:BJ,Doors!$A:$A,$D297,Doors!$B:$B,$B297,Doors!$C:$C,$C297)*SUMIFS(Velocity!$I:$I,Velocity!$A:$A,$A297,Velocity!$B:$B,$C297)/Assumptions!$B$4*Assumptions!$B$6</f>
        <v>0</v>
      </c>
      <c r="AY297" s="7" t="n">
        <f aca="false">SUMIFS(Doors!BK:BK,Doors!$A:$A,$D297,Doors!$B:$B,$B297,Doors!$C:$C,$C297)*SUMIFS(Velocity!$I:$I,Velocity!$A:$A,$A297,Velocity!$B:$B,$C297)/Assumptions!$B$4*Assumptions!$B$6</f>
        <v>0</v>
      </c>
      <c r="AZ297" s="7" t="n">
        <f aca="false">SUMIFS(Doors!BL:BL,Doors!$A:$A,$D297,Doors!$B:$B,$B297,Doors!$C:$C,$C297)*SUMIFS(Velocity!$I:$I,Velocity!$A:$A,$A297,Velocity!$B:$B,$C297)/Assumptions!$B$4*Assumptions!$B$6</f>
        <v>0</v>
      </c>
      <c r="BA297" s="7" t="n">
        <f aca="false">SUMIFS(Doors!BM:BM,Doors!$A:$A,$D297,Doors!$B:$B,$B297,Doors!$C:$C,$C297)*SUMIFS(Velocity!$I:$I,Velocity!$A:$A,$A297,Velocity!$B:$B,$C297)/Assumptions!$B$4*Assumptions!$B$6</f>
        <v>0</v>
      </c>
      <c r="BB297" s="7" t="n">
        <f aca="false">SUMIFS(Doors!BN:BN,Doors!$A:$A,$D297,Doors!$B:$B,$B297,Doors!$C:$C,$C297)*SUMIFS(Velocity!$I:$I,Velocity!$A:$A,$A297,Velocity!$B:$B,$C297)/Assumptions!$B$4*Assumptions!$B$6</f>
        <v>0</v>
      </c>
      <c r="BC297" s="7" t="n">
        <f aca="false">SUMIFS(Doors!BO:BO,Doors!$A:$A,$D297,Doors!$B:$B,$B297,Doors!$C:$C,$C297)*SUMIFS(Velocity!$I:$I,Velocity!$A:$A,$A297,Velocity!$B:$B,$C297)/Assumptions!$B$4*Assumptions!$B$6</f>
        <v>0</v>
      </c>
      <c r="BD297" s="7" t="n">
        <f aca="false">SUMIFS(Doors!BP:BP,Doors!$A:$A,$D297,Doors!$B:$B,$B297,Doors!$C:$C,$C297)*SUMIFS(Velocity!$I:$I,Velocity!$A:$A,$A297,Velocity!$B:$B,$C297)/Assumptions!$B$4*Assumptions!$B$6</f>
        <v>0</v>
      </c>
    </row>
    <row r="298" customFormat="false" ht="15" hidden="false" customHeight="false" outlineLevel="0" collapsed="false">
      <c r="A298" s="0" t="s">
        <v>111</v>
      </c>
      <c r="B298" s="0" t="s">
        <v>128</v>
      </c>
      <c r="C298" s="0" t="s">
        <v>119</v>
      </c>
      <c r="D298" s="0" t="s">
        <v>236</v>
      </c>
      <c r="E298" s="7" t="n">
        <f aca="false">SUMIFS(Doors!Q:Q,Doors!$A:$A,$D298,Doors!$B:$B,$B298,Doors!$C:$C,$C298)*SUMIFS(Velocity!$I:$I,Velocity!$A:$A,$A298,Velocity!$B:$B,$C298)/Assumptions!$B$4*Assumptions!$B$6</f>
        <v>0</v>
      </c>
      <c r="F298" s="7" t="n">
        <f aca="false">SUMIFS(Doors!R:R,Doors!$A:$A,$D298,Doors!$B:$B,$B298,Doors!$C:$C,$C298)*SUMIFS(Velocity!$I:$I,Velocity!$A:$A,$A298,Velocity!$B:$B,$C298)/Assumptions!$B$4*Assumptions!$B$6</f>
        <v>0</v>
      </c>
      <c r="G298" s="7" t="n">
        <f aca="false">SUMIFS(Doors!S:S,Doors!$A:$A,$D298,Doors!$B:$B,$B298,Doors!$C:$C,$C298)*SUMIFS(Velocity!$I:$I,Velocity!$A:$A,$A298,Velocity!$B:$B,$C298)/Assumptions!$B$4*Assumptions!$B$6</f>
        <v>0</v>
      </c>
      <c r="H298" s="7" t="n">
        <f aca="false">SUMIFS(Doors!T:T,Doors!$A:$A,$D298,Doors!$B:$B,$B298,Doors!$C:$C,$C298)*SUMIFS(Velocity!$I:$I,Velocity!$A:$A,$A298,Velocity!$B:$B,$C298)/Assumptions!$B$4*Assumptions!$B$6</f>
        <v>0</v>
      </c>
      <c r="I298" s="7" t="n">
        <f aca="false">SUMIFS(Doors!U:U,Doors!$A:$A,$D298,Doors!$B:$B,$B298,Doors!$C:$C,$C298)*SUMIFS(Velocity!$I:$I,Velocity!$A:$A,$A298,Velocity!$B:$B,$C298)/Assumptions!$B$4*Assumptions!$B$6</f>
        <v>0</v>
      </c>
      <c r="J298" s="7" t="n">
        <f aca="false">SUMIFS(Doors!V:V,Doors!$A:$A,$D298,Doors!$B:$B,$B298,Doors!$C:$C,$C298)*SUMIFS(Velocity!$I:$I,Velocity!$A:$A,$A298,Velocity!$B:$B,$C298)/Assumptions!$B$4*Assumptions!$B$6</f>
        <v>0</v>
      </c>
      <c r="K298" s="7" t="n">
        <f aca="false">SUMIFS(Doors!W:W,Doors!$A:$A,$D298,Doors!$B:$B,$B298,Doors!$C:$C,$C298)*SUMIFS(Velocity!$I:$I,Velocity!$A:$A,$A298,Velocity!$B:$B,$C298)/Assumptions!$B$4*Assumptions!$B$6</f>
        <v>0</v>
      </c>
      <c r="L298" s="7" t="n">
        <f aca="false">SUMIFS(Doors!X:X,Doors!$A:$A,$D298,Doors!$B:$B,$B298,Doors!$C:$C,$C298)*SUMIFS(Velocity!$I:$I,Velocity!$A:$A,$A298,Velocity!$B:$B,$C298)/Assumptions!$B$4*Assumptions!$B$6</f>
        <v>0</v>
      </c>
      <c r="M298" s="7" t="n">
        <f aca="false">SUMIFS(Doors!Y:Y,Doors!$A:$A,$D298,Doors!$B:$B,$B298,Doors!$C:$C,$C298)*SUMIFS(Velocity!$I:$I,Velocity!$A:$A,$A298,Velocity!$B:$B,$C298)/Assumptions!$B$4*Assumptions!$B$6</f>
        <v>0</v>
      </c>
      <c r="N298" s="7" t="n">
        <f aca="false">SUMIFS(Doors!Z:Z,Doors!$A:$A,$D298,Doors!$B:$B,$B298,Doors!$C:$C,$C298)*SUMIFS(Velocity!$I:$I,Velocity!$A:$A,$A298,Velocity!$B:$B,$C298)/Assumptions!$B$4*Assumptions!$B$6</f>
        <v>0</v>
      </c>
      <c r="O298" s="7" t="n">
        <f aca="false">SUMIFS(Doors!AA:AA,Doors!$A:$A,$D298,Doors!$B:$B,$B298,Doors!$C:$C,$C298)*SUMIFS(Velocity!$I:$I,Velocity!$A:$A,$A298,Velocity!$B:$B,$C298)/Assumptions!$B$4*Assumptions!$B$6</f>
        <v>0</v>
      </c>
      <c r="P298" s="7" t="n">
        <f aca="false">SUMIFS(Doors!AB:AB,Doors!$A:$A,$D298,Doors!$B:$B,$B298,Doors!$C:$C,$C298)*SUMIFS(Velocity!$I:$I,Velocity!$A:$A,$A298,Velocity!$B:$B,$C298)/Assumptions!$B$4*Assumptions!$B$6</f>
        <v>0</v>
      </c>
      <c r="Q298" s="7" t="n">
        <f aca="false">SUMIFS(Doors!AC:AC,Doors!$A:$A,$D298,Doors!$B:$B,$B298,Doors!$C:$C,$C298)*SUMIFS(Velocity!$I:$I,Velocity!$A:$A,$A298,Velocity!$B:$B,$C298)/Assumptions!$B$4*Assumptions!$B$6</f>
        <v>0</v>
      </c>
      <c r="R298" s="7" t="n">
        <f aca="false">SUMIFS(Doors!AD:AD,Doors!$A:$A,$D298,Doors!$B:$B,$B298,Doors!$C:$C,$C298)*SUMIFS(Velocity!$I:$I,Velocity!$A:$A,$A298,Velocity!$B:$B,$C298)/Assumptions!$B$4*Assumptions!$B$6</f>
        <v>0</v>
      </c>
      <c r="S298" s="7" t="n">
        <f aca="false">SUMIFS(Doors!AE:AE,Doors!$A:$A,$D298,Doors!$B:$B,$B298,Doors!$C:$C,$C298)*SUMIFS(Velocity!$I:$I,Velocity!$A:$A,$A298,Velocity!$B:$B,$C298)/Assumptions!$B$4*Assumptions!$B$6</f>
        <v>0</v>
      </c>
      <c r="T298" s="7" t="n">
        <f aca="false">SUMIFS(Doors!AF:AF,Doors!$A:$A,$D298,Doors!$B:$B,$B298,Doors!$C:$C,$C298)*SUMIFS(Velocity!$I:$I,Velocity!$A:$A,$A298,Velocity!$B:$B,$C298)/Assumptions!$B$4*Assumptions!$B$6</f>
        <v>0</v>
      </c>
      <c r="U298" s="7" t="n">
        <f aca="false">SUMIFS(Doors!AG:AG,Doors!$A:$A,$D298,Doors!$B:$B,$B298,Doors!$C:$C,$C298)*SUMIFS(Velocity!$I:$I,Velocity!$A:$A,$A298,Velocity!$B:$B,$C298)/Assumptions!$B$4*Assumptions!$B$6</f>
        <v>0</v>
      </c>
      <c r="V298" s="7" t="n">
        <f aca="false">SUMIFS(Doors!AH:AH,Doors!$A:$A,$D298,Doors!$B:$B,$B298,Doors!$C:$C,$C298)*SUMIFS(Velocity!$I:$I,Velocity!$A:$A,$A298,Velocity!$B:$B,$C298)/Assumptions!$B$4*Assumptions!$B$6</f>
        <v>0</v>
      </c>
      <c r="W298" s="7" t="n">
        <f aca="false">SUMIFS(Doors!AI:AI,Doors!$A:$A,$D298,Doors!$B:$B,$B298,Doors!$C:$C,$C298)*SUMIFS(Velocity!$I:$I,Velocity!$A:$A,$A298,Velocity!$B:$B,$C298)/Assumptions!$B$4*Assumptions!$B$6</f>
        <v>0</v>
      </c>
      <c r="X298" s="7" t="n">
        <f aca="false">SUMIFS(Doors!AJ:AJ,Doors!$A:$A,$D298,Doors!$B:$B,$B298,Doors!$C:$C,$C298)*SUMIFS(Velocity!$I:$I,Velocity!$A:$A,$A298,Velocity!$B:$B,$C298)/Assumptions!$B$4*Assumptions!$B$6</f>
        <v>0</v>
      </c>
      <c r="Y298" s="7" t="n">
        <f aca="false">SUMIFS(Doors!AK:AK,Doors!$A:$A,$D298,Doors!$B:$B,$B298,Doors!$C:$C,$C298)*SUMIFS(Velocity!$I:$I,Velocity!$A:$A,$A298,Velocity!$B:$B,$C298)/Assumptions!$B$4*Assumptions!$B$6</f>
        <v>0</v>
      </c>
      <c r="Z298" s="7" t="n">
        <f aca="false">SUMIFS(Doors!AL:AL,Doors!$A:$A,$D298,Doors!$B:$B,$B298,Doors!$C:$C,$C298)*SUMIFS(Velocity!$I:$I,Velocity!$A:$A,$A298,Velocity!$B:$B,$C298)/Assumptions!$B$4*Assumptions!$B$6</f>
        <v>0</v>
      </c>
      <c r="AA298" s="7" t="n">
        <f aca="false">SUMIFS(Doors!AM:AM,Doors!$A:$A,$D298,Doors!$B:$B,$B298,Doors!$C:$C,$C298)*SUMIFS(Velocity!$I:$I,Velocity!$A:$A,$A298,Velocity!$B:$B,$C298)/Assumptions!$B$4*Assumptions!$B$6</f>
        <v>0</v>
      </c>
      <c r="AB298" s="7" t="n">
        <f aca="false">SUMIFS(Doors!AN:AN,Doors!$A:$A,$D298,Doors!$B:$B,$B298,Doors!$C:$C,$C298)*SUMIFS(Velocity!$I:$I,Velocity!$A:$A,$A298,Velocity!$B:$B,$C298)/Assumptions!$B$4*Assumptions!$B$6</f>
        <v>0</v>
      </c>
      <c r="AC298" s="7" t="n">
        <f aca="false">SUMIFS(Doors!AO:AO,Doors!$A:$A,$D298,Doors!$B:$B,$B298,Doors!$C:$C,$C298)*SUMIFS(Velocity!$I:$I,Velocity!$A:$A,$A298,Velocity!$B:$B,$C298)/Assumptions!$B$4*Assumptions!$B$6</f>
        <v>0</v>
      </c>
      <c r="AD298" s="7" t="n">
        <f aca="false">SUMIFS(Doors!AP:AP,Doors!$A:$A,$D298,Doors!$B:$B,$B298,Doors!$C:$C,$C298)*SUMIFS(Velocity!$I:$I,Velocity!$A:$A,$A298,Velocity!$B:$B,$C298)/Assumptions!$B$4*Assumptions!$B$6</f>
        <v>0</v>
      </c>
      <c r="AE298" s="7" t="n">
        <f aca="false">SUMIFS(Doors!AQ:AQ,Doors!$A:$A,$D298,Doors!$B:$B,$B298,Doors!$C:$C,$C298)*SUMIFS(Velocity!$I:$I,Velocity!$A:$A,$A298,Velocity!$B:$B,$C298)/Assumptions!$B$4*Assumptions!$B$6</f>
        <v>0</v>
      </c>
      <c r="AF298" s="7" t="n">
        <f aca="false">SUMIFS(Doors!AR:AR,Doors!$A:$A,$D298,Doors!$B:$B,$B298,Doors!$C:$C,$C298)*SUMIFS(Velocity!$I:$I,Velocity!$A:$A,$A298,Velocity!$B:$B,$C298)/Assumptions!$B$4*Assumptions!$B$6</f>
        <v>0</v>
      </c>
      <c r="AG298" s="7" t="n">
        <f aca="false">SUMIFS(Doors!AS:AS,Doors!$A:$A,$D298,Doors!$B:$B,$B298,Doors!$C:$C,$C298)*SUMIFS(Velocity!$I:$I,Velocity!$A:$A,$A298,Velocity!$B:$B,$C298)/Assumptions!$B$4*Assumptions!$B$6</f>
        <v>0</v>
      </c>
      <c r="AH298" s="7" t="n">
        <f aca="false">SUMIFS(Doors!AT:AT,Doors!$A:$A,$D298,Doors!$B:$B,$B298,Doors!$C:$C,$C298)*SUMIFS(Velocity!$I:$I,Velocity!$A:$A,$A298,Velocity!$B:$B,$C298)/Assumptions!$B$4*Assumptions!$B$6</f>
        <v>0</v>
      </c>
      <c r="AI298" s="7" t="n">
        <f aca="false">SUMIFS(Doors!AU:AU,Doors!$A:$A,$D298,Doors!$B:$B,$B298,Doors!$C:$C,$C298)*SUMIFS(Velocity!$I:$I,Velocity!$A:$A,$A298,Velocity!$B:$B,$C298)/Assumptions!$B$4*Assumptions!$B$6</f>
        <v>0</v>
      </c>
      <c r="AJ298" s="7" t="n">
        <f aca="false">SUMIFS(Doors!AV:AV,Doors!$A:$A,$D298,Doors!$B:$B,$B298,Doors!$C:$C,$C298)*SUMIFS(Velocity!$I:$I,Velocity!$A:$A,$A298,Velocity!$B:$B,$C298)/Assumptions!$B$4*Assumptions!$B$6</f>
        <v>0</v>
      </c>
      <c r="AK298" s="7" t="n">
        <f aca="false">SUMIFS(Doors!AW:AW,Doors!$A:$A,$D298,Doors!$B:$B,$B298,Doors!$C:$C,$C298)*SUMIFS(Velocity!$I:$I,Velocity!$A:$A,$A298,Velocity!$B:$B,$C298)/Assumptions!$B$4*Assumptions!$B$6</f>
        <v>0</v>
      </c>
      <c r="AL298" s="7" t="n">
        <f aca="false">SUMIFS(Doors!AX:AX,Doors!$A:$A,$D298,Doors!$B:$B,$B298,Doors!$C:$C,$C298)*SUMIFS(Velocity!$I:$I,Velocity!$A:$A,$A298,Velocity!$B:$B,$C298)/Assumptions!$B$4*Assumptions!$B$6</f>
        <v>0</v>
      </c>
      <c r="AM298" s="7" t="n">
        <f aca="false">SUMIFS(Doors!AY:AY,Doors!$A:$A,$D298,Doors!$B:$B,$B298,Doors!$C:$C,$C298)*SUMIFS(Velocity!$I:$I,Velocity!$A:$A,$A298,Velocity!$B:$B,$C298)/Assumptions!$B$4*Assumptions!$B$6</f>
        <v>0</v>
      </c>
      <c r="AN298" s="7" t="n">
        <f aca="false">SUMIFS(Doors!AZ:AZ,Doors!$A:$A,$D298,Doors!$B:$B,$B298,Doors!$C:$C,$C298)*SUMIFS(Velocity!$I:$I,Velocity!$A:$A,$A298,Velocity!$B:$B,$C298)/Assumptions!$B$4*Assumptions!$B$6</f>
        <v>0</v>
      </c>
      <c r="AO298" s="7" t="n">
        <f aca="false">SUMIFS(Doors!BA:BA,Doors!$A:$A,$D298,Doors!$B:$B,$B298,Doors!$C:$C,$C298)*SUMIFS(Velocity!$I:$I,Velocity!$A:$A,$A298,Velocity!$B:$B,$C298)/Assumptions!$B$4*Assumptions!$B$6</f>
        <v>0</v>
      </c>
      <c r="AP298" s="7" t="n">
        <f aca="false">SUMIFS(Doors!BB:BB,Doors!$A:$A,$D298,Doors!$B:$B,$B298,Doors!$C:$C,$C298)*SUMIFS(Velocity!$I:$I,Velocity!$A:$A,$A298,Velocity!$B:$B,$C298)/Assumptions!$B$4*Assumptions!$B$6</f>
        <v>0</v>
      </c>
      <c r="AQ298" s="7" t="n">
        <f aca="false">SUMIFS(Doors!BC:BC,Doors!$A:$A,$D298,Doors!$B:$B,$B298,Doors!$C:$C,$C298)*SUMIFS(Velocity!$I:$I,Velocity!$A:$A,$A298,Velocity!$B:$B,$C298)/Assumptions!$B$4*Assumptions!$B$6</f>
        <v>0</v>
      </c>
      <c r="AR298" s="7" t="n">
        <f aca="false">SUMIFS(Doors!BD:BD,Doors!$A:$A,$D298,Doors!$B:$B,$B298,Doors!$C:$C,$C298)*SUMIFS(Velocity!$I:$I,Velocity!$A:$A,$A298,Velocity!$B:$B,$C298)/Assumptions!$B$4*Assumptions!$B$6</f>
        <v>0</v>
      </c>
      <c r="AS298" s="7" t="n">
        <f aca="false">SUMIFS(Doors!BE:BE,Doors!$A:$A,$D298,Doors!$B:$B,$B298,Doors!$C:$C,$C298)*SUMIFS(Velocity!$I:$I,Velocity!$A:$A,$A298,Velocity!$B:$B,$C298)/Assumptions!$B$4*Assumptions!$B$6</f>
        <v>0</v>
      </c>
      <c r="AT298" s="7" t="n">
        <f aca="false">SUMIFS(Doors!BF:BF,Doors!$A:$A,$D298,Doors!$B:$B,$B298,Doors!$C:$C,$C298)*SUMIFS(Velocity!$I:$I,Velocity!$A:$A,$A298,Velocity!$B:$B,$C298)/Assumptions!$B$4*Assumptions!$B$6</f>
        <v>0</v>
      </c>
      <c r="AU298" s="7" t="n">
        <f aca="false">SUMIFS(Doors!BG:BG,Doors!$A:$A,$D298,Doors!$B:$B,$B298,Doors!$C:$C,$C298)*SUMIFS(Velocity!$I:$I,Velocity!$A:$A,$A298,Velocity!$B:$B,$C298)/Assumptions!$B$4*Assumptions!$B$6</f>
        <v>0</v>
      </c>
      <c r="AV298" s="7" t="n">
        <f aca="false">SUMIFS(Doors!BH:BH,Doors!$A:$A,$D298,Doors!$B:$B,$B298,Doors!$C:$C,$C298)*SUMIFS(Velocity!$I:$I,Velocity!$A:$A,$A298,Velocity!$B:$B,$C298)/Assumptions!$B$4*Assumptions!$B$6</f>
        <v>0</v>
      </c>
      <c r="AW298" s="7" t="n">
        <f aca="false">SUMIFS(Doors!BI:BI,Doors!$A:$A,$D298,Doors!$B:$B,$B298,Doors!$C:$C,$C298)*SUMIFS(Velocity!$I:$I,Velocity!$A:$A,$A298,Velocity!$B:$B,$C298)/Assumptions!$B$4*Assumptions!$B$6</f>
        <v>0</v>
      </c>
      <c r="AX298" s="7" t="n">
        <f aca="false">SUMIFS(Doors!BJ:BJ,Doors!$A:$A,$D298,Doors!$B:$B,$B298,Doors!$C:$C,$C298)*SUMIFS(Velocity!$I:$I,Velocity!$A:$A,$A298,Velocity!$B:$B,$C298)/Assumptions!$B$4*Assumptions!$B$6</f>
        <v>0</v>
      </c>
      <c r="AY298" s="7" t="n">
        <f aca="false">SUMIFS(Doors!BK:BK,Doors!$A:$A,$D298,Doors!$B:$B,$B298,Doors!$C:$C,$C298)*SUMIFS(Velocity!$I:$I,Velocity!$A:$A,$A298,Velocity!$B:$B,$C298)/Assumptions!$B$4*Assumptions!$B$6</f>
        <v>0</v>
      </c>
      <c r="AZ298" s="7" t="n">
        <f aca="false">SUMIFS(Doors!BL:BL,Doors!$A:$A,$D298,Doors!$B:$B,$B298,Doors!$C:$C,$C298)*SUMIFS(Velocity!$I:$I,Velocity!$A:$A,$A298,Velocity!$B:$B,$C298)/Assumptions!$B$4*Assumptions!$B$6</f>
        <v>0</v>
      </c>
      <c r="BA298" s="7" t="n">
        <f aca="false">SUMIFS(Doors!BM:BM,Doors!$A:$A,$D298,Doors!$B:$B,$B298,Doors!$C:$C,$C298)*SUMIFS(Velocity!$I:$I,Velocity!$A:$A,$A298,Velocity!$B:$B,$C298)/Assumptions!$B$4*Assumptions!$B$6</f>
        <v>0</v>
      </c>
      <c r="BB298" s="7" t="n">
        <f aca="false">SUMIFS(Doors!BN:BN,Doors!$A:$A,$D298,Doors!$B:$B,$B298,Doors!$C:$C,$C298)*SUMIFS(Velocity!$I:$I,Velocity!$A:$A,$A298,Velocity!$B:$B,$C298)/Assumptions!$B$4*Assumptions!$B$6</f>
        <v>0</v>
      </c>
      <c r="BC298" s="7" t="n">
        <f aca="false">SUMIFS(Doors!BO:BO,Doors!$A:$A,$D298,Doors!$B:$B,$B298,Doors!$C:$C,$C298)*SUMIFS(Velocity!$I:$I,Velocity!$A:$A,$A298,Velocity!$B:$B,$C298)/Assumptions!$B$4*Assumptions!$B$6</f>
        <v>0</v>
      </c>
      <c r="BD298" s="7" t="n">
        <f aca="false">SUMIFS(Doors!BP:BP,Doors!$A:$A,$D298,Doors!$B:$B,$B298,Doors!$C:$C,$C298)*SUMIFS(Velocity!$I:$I,Velocity!$A:$A,$A298,Velocity!$B:$B,$C298)/Assumptions!$B$4*Assumptions!$B$6</f>
        <v>0</v>
      </c>
    </row>
    <row r="299" customFormat="false" ht="15" hidden="false" customHeight="false" outlineLevel="0" collapsed="false">
      <c r="A299" s="0" t="s">
        <v>111</v>
      </c>
      <c r="B299" s="0" t="s">
        <v>128</v>
      </c>
      <c r="C299" s="0" t="s">
        <v>120</v>
      </c>
      <c r="D299" s="0" t="s">
        <v>236</v>
      </c>
      <c r="E299" s="7" t="n">
        <f aca="false">SUMIFS(Doors!Q:Q,Doors!$A:$A,$D299,Doors!$B:$B,$B299,Doors!$C:$C,$C299)*SUMIFS(Velocity!$I:$I,Velocity!$A:$A,$A299,Velocity!$B:$B,$C299)/Assumptions!$B$4*Assumptions!$B$6</f>
        <v>0</v>
      </c>
      <c r="F299" s="7" t="n">
        <f aca="false">SUMIFS(Doors!R:R,Doors!$A:$A,$D299,Doors!$B:$B,$B299,Doors!$C:$C,$C299)*SUMIFS(Velocity!$I:$I,Velocity!$A:$A,$A299,Velocity!$B:$B,$C299)/Assumptions!$B$4*Assumptions!$B$6</f>
        <v>0</v>
      </c>
      <c r="G299" s="7" t="n">
        <f aca="false">SUMIFS(Doors!S:S,Doors!$A:$A,$D299,Doors!$B:$B,$B299,Doors!$C:$C,$C299)*SUMIFS(Velocity!$I:$I,Velocity!$A:$A,$A299,Velocity!$B:$B,$C299)/Assumptions!$B$4*Assumptions!$B$6</f>
        <v>0</v>
      </c>
      <c r="H299" s="7" t="n">
        <f aca="false">SUMIFS(Doors!T:T,Doors!$A:$A,$D299,Doors!$B:$B,$B299,Doors!$C:$C,$C299)*SUMIFS(Velocity!$I:$I,Velocity!$A:$A,$A299,Velocity!$B:$B,$C299)/Assumptions!$B$4*Assumptions!$B$6</f>
        <v>0</v>
      </c>
      <c r="I299" s="7" t="n">
        <f aca="false">SUMIFS(Doors!U:U,Doors!$A:$A,$D299,Doors!$B:$B,$B299,Doors!$C:$C,$C299)*SUMIFS(Velocity!$I:$I,Velocity!$A:$A,$A299,Velocity!$B:$B,$C299)/Assumptions!$B$4*Assumptions!$B$6</f>
        <v>0</v>
      </c>
      <c r="J299" s="7" t="n">
        <f aca="false">SUMIFS(Doors!V:V,Doors!$A:$A,$D299,Doors!$B:$B,$B299,Doors!$C:$C,$C299)*SUMIFS(Velocity!$I:$I,Velocity!$A:$A,$A299,Velocity!$B:$B,$C299)/Assumptions!$B$4*Assumptions!$B$6</f>
        <v>0</v>
      </c>
      <c r="K299" s="7" t="n">
        <f aca="false">SUMIFS(Doors!W:W,Doors!$A:$A,$D299,Doors!$B:$B,$B299,Doors!$C:$C,$C299)*SUMIFS(Velocity!$I:$I,Velocity!$A:$A,$A299,Velocity!$B:$B,$C299)/Assumptions!$B$4*Assumptions!$B$6</f>
        <v>0</v>
      </c>
      <c r="L299" s="7" t="n">
        <f aca="false">SUMIFS(Doors!X:X,Doors!$A:$A,$D299,Doors!$B:$B,$B299,Doors!$C:$C,$C299)*SUMIFS(Velocity!$I:$I,Velocity!$A:$A,$A299,Velocity!$B:$B,$C299)/Assumptions!$B$4*Assumptions!$B$6</f>
        <v>0</v>
      </c>
      <c r="M299" s="7" t="n">
        <f aca="false">SUMIFS(Doors!Y:Y,Doors!$A:$A,$D299,Doors!$B:$B,$B299,Doors!$C:$C,$C299)*SUMIFS(Velocity!$I:$I,Velocity!$A:$A,$A299,Velocity!$B:$B,$C299)/Assumptions!$B$4*Assumptions!$B$6</f>
        <v>0</v>
      </c>
      <c r="N299" s="7" t="n">
        <f aca="false">SUMIFS(Doors!Z:Z,Doors!$A:$A,$D299,Doors!$B:$B,$B299,Doors!$C:$C,$C299)*SUMIFS(Velocity!$I:$I,Velocity!$A:$A,$A299,Velocity!$B:$B,$C299)/Assumptions!$B$4*Assumptions!$B$6</f>
        <v>0</v>
      </c>
      <c r="O299" s="7" t="n">
        <f aca="false">SUMIFS(Doors!AA:AA,Doors!$A:$A,$D299,Doors!$B:$B,$B299,Doors!$C:$C,$C299)*SUMIFS(Velocity!$I:$I,Velocity!$A:$A,$A299,Velocity!$B:$B,$C299)/Assumptions!$B$4*Assumptions!$B$6</f>
        <v>0</v>
      </c>
      <c r="P299" s="7" t="n">
        <f aca="false">SUMIFS(Doors!AB:AB,Doors!$A:$A,$D299,Doors!$B:$B,$B299,Doors!$C:$C,$C299)*SUMIFS(Velocity!$I:$I,Velocity!$A:$A,$A299,Velocity!$B:$B,$C299)/Assumptions!$B$4*Assumptions!$B$6</f>
        <v>0</v>
      </c>
      <c r="Q299" s="7" t="n">
        <f aca="false">SUMIFS(Doors!AC:AC,Doors!$A:$A,$D299,Doors!$B:$B,$B299,Doors!$C:$C,$C299)*SUMIFS(Velocity!$I:$I,Velocity!$A:$A,$A299,Velocity!$B:$B,$C299)/Assumptions!$B$4*Assumptions!$B$6</f>
        <v>0</v>
      </c>
      <c r="R299" s="7" t="n">
        <f aca="false">SUMIFS(Doors!AD:AD,Doors!$A:$A,$D299,Doors!$B:$B,$B299,Doors!$C:$C,$C299)*SUMIFS(Velocity!$I:$I,Velocity!$A:$A,$A299,Velocity!$B:$B,$C299)/Assumptions!$B$4*Assumptions!$B$6</f>
        <v>0</v>
      </c>
      <c r="S299" s="7" t="n">
        <f aca="false">SUMIFS(Doors!AE:AE,Doors!$A:$A,$D299,Doors!$B:$B,$B299,Doors!$C:$C,$C299)*SUMIFS(Velocity!$I:$I,Velocity!$A:$A,$A299,Velocity!$B:$B,$C299)/Assumptions!$B$4*Assumptions!$B$6</f>
        <v>0</v>
      </c>
      <c r="T299" s="7" t="n">
        <f aca="false">SUMIFS(Doors!AF:AF,Doors!$A:$A,$D299,Doors!$B:$B,$B299,Doors!$C:$C,$C299)*SUMIFS(Velocity!$I:$I,Velocity!$A:$A,$A299,Velocity!$B:$B,$C299)/Assumptions!$B$4*Assumptions!$B$6</f>
        <v>0</v>
      </c>
      <c r="U299" s="7" t="n">
        <f aca="false">SUMIFS(Doors!AG:AG,Doors!$A:$A,$D299,Doors!$B:$B,$B299,Doors!$C:$C,$C299)*SUMIFS(Velocity!$I:$I,Velocity!$A:$A,$A299,Velocity!$B:$B,$C299)/Assumptions!$B$4*Assumptions!$B$6</f>
        <v>0</v>
      </c>
      <c r="V299" s="7" t="n">
        <f aca="false">SUMIFS(Doors!AH:AH,Doors!$A:$A,$D299,Doors!$B:$B,$B299,Doors!$C:$C,$C299)*SUMIFS(Velocity!$I:$I,Velocity!$A:$A,$A299,Velocity!$B:$B,$C299)/Assumptions!$B$4*Assumptions!$B$6</f>
        <v>0</v>
      </c>
      <c r="W299" s="7" t="n">
        <f aca="false">SUMIFS(Doors!AI:AI,Doors!$A:$A,$D299,Doors!$B:$B,$B299,Doors!$C:$C,$C299)*SUMIFS(Velocity!$I:$I,Velocity!$A:$A,$A299,Velocity!$B:$B,$C299)/Assumptions!$B$4*Assumptions!$B$6</f>
        <v>0</v>
      </c>
      <c r="X299" s="7" t="n">
        <f aca="false">SUMIFS(Doors!AJ:AJ,Doors!$A:$A,$D299,Doors!$B:$B,$B299,Doors!$C:$C,$C299)*SUMIFS(Velocity!$I:$I,Velocity!$A:$A,$A299,Velocity!$B:$B,$C299)/Assumptions!$B$4*Assumptions!$B$6</f>
        <v>0</v>
      </c>
      <c r="Y299" s="7" t="n">
        <f aca="false">SUMIFS(Doors!AK:AK,Doors!$A:$A,$D299,Doors!$B:$B,$B299,Doors!$C:$C,$C299)*SUMIFS(Velocity!$I:$I,Velocity!$A:$A,$A299,Velocity!$B:$B,$C299)/Assumptions!$B$4*Assumptions!$B$6</f>
        <v>0</v>
      </c>
      <c r="Z299" s="7" t="n">
        <f aca="false">SUMIFS(Doors!AL:AL,Doors!$A:$A,$D299,Doors!$B:$B,$B299,Doors!$C:$C,$C299)*SUMIFS(Velocity!$I:$I,Velocity!$A:$A,$A299,Velocity!$B:$B,$C299)/Assumptions!$B$4*Assumptions!$B$6</f>
        <v>0</v>
      </c>
      <c r="AA299" s="7" t="n">
        <f aca="false">SUMIFS(Doors!AM:AM,Doors!$A:$A,$D299,Doors!$B:$B,$B299,Doors!$C:$C,$C299)*SUMIFS(Velocity!$I:$I,Velocity!$A:$A,$A299,Velocity!$B:$B,$C299)/Assumptions!$B$4*Assumptions!$B$6</f>
        <v>0</v>
      </c>
      <c r="AB299" s="7" t="n">
        <f aca="false">SUMIFS(Doors!AN:AN,Doors!$A:$A,$D299,Doors!$B:$B,$B299,Doors!$C:$C,$C299)*SUMIFS(Velocity!$I:$I,Velocity!$A:$A,$A299,Velocity!$B:$B,$C299)/Assumptions!$B$4*Assumptions!$B$6</f>
        <v>0</v>
      </c>
      <c r="AC299" s="7" t="n">
        <f aca="false">SUMIFS(Doors!AO:AO,Doors!$A:$A,$D299,Doors!$B:$B,$B299,Doors!$C:$C,$C299)*SUMIFS(Velocity!$I:$I,Velocity!$A:$A,$A299,Velocity!$B:$B,$C299)/Assumptions!$B$4*Assumptions!$B$6</f>
        <v>0</v>
      </c>
      <c r="AD299" s="7" t="n">
        <f aca="false">SUMIFS(Doors!AP:AP,Doors!$A:$A,$D299,Doors!$B:$B,$B299,Doors!$C:$C,$C299)*SUMIFS(Velocity!$I:$I,Velocity!$A:$A,$A299,Velocity!$B:$B,$C299)/Assumptions!$B$4*Assumptions!$B$6</f>
        <v>0</v>
      </c>
      <c r="AE299" s="7" t="n">
        <f aca="false">SUMIFS(Doors!AQ:AQ,Doors!$A:$A,$D299,Doors!$B:$B,$B299,Doors!$C:$C,$C299)*SUMIFS(Velocity!$I:$I,Velocity!$A:$A,$A299,Velocity!$B:$B,$C299)/Assumptions!$B$4*Assumptions!$B$6</f>
        <v>0</v>
      </c>
      <c r="AF299" s="7" t="n">
        <f aca="false">SUMIFS(Doors!AR:AR,Doors!$A:$A,$D299,Doors!$B:$B,$B299,Doors!$C:$C,$C299)*SUMIFS(Velocity!$I:$I,Velocity!$A:$A,$A299,Velocity!$B:$B,$C299)/Assumptions!$B$4*Assumptions!$B$6</f>
        <v>0</v>
      </c>
      <c r="AG299" s="7" t="n">
        <f aca="false">SUMIFS(Doors!AS:AS,Doors!$A:$A,$D299,Doors!$B:$B,$B299,Doors!$C:$C,$C299)*SUMIFS(Velocity!$I:$I,Velocity!$A:$A,$A299,Velocity!$B:$B,$C299)/Assumptions!$B$4*Assumptions!$B$6</f>
        <v>0</v>
      </c>
      <c r="AH299" s="7" t="n">
        <f aca="false">SUMIFS(Doors!AT:AT,Doors!$A:$A,$D299,Doors!$B:$B,$B299,Doors!$C:$C,$C299)*SUMIFS(Velocity!$I:$I,Velocity!$A:$A,$A299,Velocity!$B:$B,$C299)/Assumptions!$B$4*Assumptions!$B$6</f>
        <v>0</v>
      </c>
      <c r="AI299" s="7" t="n">
        <f aca="false">SUMIFS(Doors!AU:AU,Doors!$A:$A,$D299,Doors!$B:$B,$B299,Doors!$C:$C,$C299)*SUMIFS(Velocity!$I:$I,Velocity!$A:$A,$A299,Velocity!$B:$B,$C299)/Assumptions!$B$4*Assumptions!$B$6</f>
        <v>0</v>
      </c>
      <c r="AJ299" s="7" t="n">
        <f aca="false">SUMIFS(Doors!AV:AV,Doors!$A:$A,$D299,Doors!$B:$B,$B299,Doors!$C:$C,$C299)*SUMIFS(Velocity!$I:$I,Velocity!$A:$A,$A299,Velocity!$B:$B,$C299)/Assumptions!$B$4*Assumptions!$B$6</f>
        <v>0</v>
      </c>
      <c r="AK299" s="7" t="n">
        <f aca="false">SUMIFS(Doors!AW:AW,Doors!$A:$A,$D299,Doors!$B:$B,$B299,Doors!$C:$C,$C299)*SUMIFS(Velocity!$I:$I,Velocity!$A:$A,$A299,Velocity!$B:$B,$C299)/Assumptions!$B$4*Assumptions!$B$6</f>
        <v>0</v>
      </c>
      <c r="AL299" s="7" t="n">
        <f aca="false">SUMIFS(Doors!AX:AX,Doors!$A:$A,$D299,Doors!$B:$B,$B299,Doors!$C:$C,$C299)*SUMIFS(Velocity!$I:$I,Velocity!$A:$A,$A299,Velocity!$B:$B,$C299)/Assumptions!$B$4*Assumptions!$B$6</f>
        <v>0</v>
      </c>
      <c r="AM299" s="7" t="n">
        <f aca="false">SUMIFS(Doors!AY:AY,Doors!$A:$A,$D299,Doors!$B:$B,$B299,Doors!$C:$C,$C299)*SUMIFS(Velocity!$I:$I,Velocity!$A:$A,$A299,Velocity!$B:$B,$C299)/Assumptions!$B$4*Assumptions!$B$6</f>
        <v>0</v>
      </c>
      <c r="AN299" s="7" t="n">
        <f aca="false">SUMIFS(Doors!AZ:AZ,Doors!$A:$A,$D299,Doors!$B:$B,$B299,Doors!$C:$C,$C299)*SUMIFS(Velocity!$I:$I,Velocity!$A:$A,$A299,Velocity!$B:$B,$C299)/Assumptions!$B$4*Assumptions!$B$6</f>
        <v>0</v>
      </c>
      <c r="AO299" s="7" t="n">
        <f aca="false">SUMIFS(Doors!BA:BA,Doors!$A:$A,$D299,Doors!$B:$B,$B299,Doors!$C:$C,$C299)*SUMIFS(Velocity!$I:$I,Velocity!$A:$A,$A299,Velocity!$B:$B,$C299)/Assumptions!$B$4*Assumptions!$B$6</f>
        <v>0</v>
      </c>
      <c r="AP299" s="7" t="n">
        <f aca="false">SUMIFS(Doors!BB:BB,Doors!$A:$A,$D299,Doors!$B:$B,$B299,Doors!$C:$C,$C299)*SUMIFS(Velocity!$I:$I,Velocity!$A:$A,$A299,Velocity!$B:$B,$C299)/Assumptions!$B$4*Assumptions!$B$6</f>
        <v>0</v>
      </c>
      <c r="AQ299" s="7" t="n">
        <f aca="false">SUMIFS(Doors!BC:BC,Doors!$A:$A,$D299,Doors!$B:$B,$B299,Doors!$C:$C,$C299)*SUMIFS(Velocity!$I:$I,Velocity!$A:$A,$A299,Velocity!$B:$B,$C299)/Assumptions!$B$4*Assumptions!$B$6</f>
        <v>0</v>
      </c>
      <c r="AR299" s="7" t="n">
        <f aca="false">SUMIFS(Doors!BD:BD,Doors!$A:$A,$D299,Doors!$B:$B,$B299,Doors!$C:$C,$C299)*SUMIFS(Velocity!$I:$I,Velocity!$A:$A,$A299,Velocity!$B:$B,$C299)/Assumptions!$B$4*Assumptions!$B$6</f>
        <v>0</v>
      </c>
      <c r="AS299" s="7" t="n">
        <f aca="false">SUMIFS(Doors!BE:BE,Doors!$A:$A,$D299,Doors!$B:$B,$B299,Doors!$C:$C,$C299)*SUMIFS(Velocity!$I:$I,Velocity!$A:$A,$A299,Velocity!$B:$B,$C299)/Assumptions!$B$4*Assumptions!$B$6</f>
        <v>0</v>
      </c>
      <c r="AT299" s="7" t="n">
        <f aca="false">SUMIFS(Doors!BF:BF,Doors!$A:$A,$D299,Doors!$B:$B,$B299,Doors!$C:$C,$C299)*SUMIFS(Velocity!$I:$I,Velocity!$A:$A,$A299,Velocity!$B:$B,$C299)/Assumptions!$B$4*Assumptions!$B$6</f>
        <v>0</v>
      </c>
      <c r="AU299" s="7" t="n">
        <f aca="false">SUMIFS(Doors!BG:BG,Doors!$A:$A,$D299,Doors!$B:$B,$B299,Doors!$C:$C,$C299)*SUMIFS(Velocity!$I:$I,Velocity!$A:$A,$A299,Velocity!$B:$B,$C299)/Assumptions!$B$4*Assumptions!$B$6</f>
        <v>0</v>
      </c>
      <c r="AV299" s="7" t="n">
        <f aca="false">SUMIFS(Doors!BH:BH,Doors!$A:$A,$D299,Doors!$B:$B,$B299,Doors!$C:$C,$C299)*SUMIFS(Velocity!$I:$I,Velocity!$A:$A,$A299,Velocity!$B:$B,$C299)/Assumptions!$B$4*Assumptions!$B$6</f>
        <v>0</v>
      </c>
      <c r="AW299" s="7" t="n">
        <f aca="false">SUMIFS(Doors!BI:BI,Doors!$A:$A,$D299,Doors!$B:$B,$B299,Doors!$C:$C,$C299)*SUMIFS(Velocity!$I:$I,Velocity!$A:$A,$A299,Velocity!$B:$B,$C299)/Assumptions!$B$4*Assumptions!$B$6</f>
        <v>0</v>
      </c>
      <c r="AX299" s="7" t="n">
        <f aca="false">SUMIFS(Doors!BJ:BJ,Doors!$A:$A,$D299,Doors!$B:$B,$B299,Doors!$C:$C,$C299)*SUMIFS(Velocity!$I:$I,Velocity!$A:$A,$A299,Velocity!$B:$B,$C299)/Assumptions!$B$4*Assumptions!$B$6</f>
        <v>0</v>
      </c>
      <c r="AY299" s="7" t="n">
        <f aca="false">SUMIFS(Doors!BK:BK,Doors!$A:$A,$D299,Doors!$B:$B,$B299,Doors!$C:$C,$C299)*SUMIFS(Velocity!$I:$I,Velocity!$A:$A,$A299,Velocity!$B:$B,$C299)/Assumptions!$B$4*Assumptions!$B$6</f>
        <v>0</v>
      </c>
      <c r="AZ299" s="7" t="n">
        <f aca="false">SUMIFS(Doors!BL:BL,Doors!$A:$A,$D299,Doors!$B:$B,$B299,Doors!$C:$C,$C299)*SUMIFS(Velocity!$I:$I,Velocity!$A:$A,$A299,Velocity!$B:$B,$C299)/Assumptions!$B$4*Assumptions!$B$6</f>
        <v>0</v>
      </c>
      <c r="BA299" s="7" t="n">
        <f aca="false">SUMIFS(Doors!BM:BM,Doors!$A:$A,$D299,Doors!$B:$B,$B299,Doors!$C:$C,$C299)*SUMIFS(Velocity!$I:$I,Velocity!$A:$A,$A299,Velocity!$B:$B,$C299)/Assumptions!$B$4*Assumptions!$B$6</f>
        <v>0</v>
      </c>
      <c r="BB299" s="7" t="n">
        <f aca="false">SUMIFS(Doors!BN:BN,Doors!$A:$A,$D299,Doors!$B:$B,$B299,Doors!$C:$C,$C299)*SUMIFS(Velocity!$I:$I,Velocity!$A:$A,$A299,Velocity!$B:$B,$C299)/Assumptions!$B$4*Assumptions!$B$6</f>
        <v>0</v>
      </c>
      <c r="BC299" s="7" t="n">
        <f aca="false">SUMIFS(Doors!BO:BO,Doors!$A:$A,$D299,Doors!$B:$B,$B299,Doors!$C:$C,$C299)*SUMIFS(Velocity!$I:$I,Velocity!$A:$A,$A299,Velocity!$B:$B,$C299)/Assumptions!$B$4*Assumptions!$B$6</f>
        <v>0</v>
      </c>
      <c r="BD299" s="7" t="n">
        <f aca="false">SUMIFS(Doors!BP:BP,Doors!$A:$A,$D299,Doors!$B:$B,$B299,Doors!$C:$C,$C299)*SUMIFS(Velocity!$I:$I,Velocity!$A:$A,$A299,Velocity!$B:$B,$C299)/Assumptions!$B$4*Assumptions!$B$6</f>
        <v>0</v>
      </c>
    </row>
    <row r="300" customFormat="false" ht="15" hidden="false" customHeight="false" outlineLevel="0" collapsed="false">
      <c r="A300" s="0" t="s">
        <v>111</v>
      </c>
      <c r="B300" s="0" t="s">
        <v>128</v>
      </c>
      <c r="C300" s="0" t="s">
        <v>121</v>
      </c>
      <c r="D300" s="0" t="s">
        <v>236</v>
      </c>
      <c r="E300" s="7" t="n">
        <f aca="false">SUMIFS(Doors!Q:Q,Doors!$A:$A,$D300,Doors!$B:$B,$B300,Doors!$C:$C,$C300)*SUMIFS(Velocity!$I:$I,Velocity!$A:$A,$A300,Velocity!$B:$B,$C300)/Assumptions!$B$4*Assumptions!$B$6</f>
        <v>0</v>
      </c>
      <c r="F300" s="7" t="n">
        <f aca="false">SUMIFS(Doors!R:R,Doors!$A:$A,$D300,Doors!$B:$B,$B300,Doors!$C:$C,$C300)*SUMIFS(Velocity!$I:$I,Velocity!$A:$A,$A300,Velocity!$B:$B,$C300)/Assumptions!$B$4*Assumptions!$B$6</f>
        <v>0</v>
      </c>
      <c r="G300" s="7" t="n">
        <f aca="false">SUMIFS(Doors!S:S,Doors!$A:$A,$D300,Doors!$B:$B,$B300,Doors!$C:$C,$C300)*SUMIFS(Velocity!$I:$I,Velocity!$A:$A,$A300,Velocity!$B:$B,$C300)/Assumptions!$B$4*Assumptions!$B$6</f>
        <v>0</v>
      </c>
      <c r="H300" s="7" t="n">
        <f aca="false">SUMIFS(Doors!T:T,Doors!$A:$A,$D300,Doors!$B:$B,$B300,Doors!$C:$C,$C300)*SUMIFS(Velocity!$I:$I,Velocity!$A:$A,$A300,Velocity!$B:$B,$C300)/Assumptions!$B$4*Assumptions!$B$6</f>
        <v>0</v>
      </c>
      <c r="I300" s="7" t="n">
        <f aca="false">SUMIFS(Doors!U:U,Doors!$A:$A,$D300,Doors!$B:$B,$B300,Doors!$C:$C,$C300)*SUMIFS(Velocity!$I:$I,Velocity!$A:$A,$A300,Velocity!$B:$B,$C300)/Assumptions!$B$4*Assumptions!$B$6</f>
        <v>0</v>
      </c>
      <c r="J300" s="7" t="n">
        <f aca="false">SUMIFS(Doors!V:V,Doors!$A:$A,$D300,Doors!$B:$B,$B300,Doors!$C:$C,$C300)*SUMIFS(Velocity!$I:$I,Velocity!$A:$A,$A300,Velocity!$B:$B,$C300)/Assumptions!$B$4*Assumptions!$B$6</f>
        <v>0</v>
      </c>
      <c r="K300" s="7" t="n">
        <f aca="false">SUMIFS(Doors!W:W,Doors!$A:$A,$D300,Doors!$B:$B,$B300,Doors!$C:$C,$C300)*SUMIFS(Velocity!$I:$I,Velocity!$A:$A,$A300,Velocity!$B:$B,$C300)/Assumptions!$B$4*Assumptions!$B$6</f>
        <v>0</v>
      </c>
      <c r="L300" s="7" t="n">
        <f aca="false">SUMIFS(Doors!X:X,Doors!$A:$A,$D300,Doors!$B:$B,$B300,Doors!$C:$C,$C300)*SUMIFS(Velocity!$I:$I,Velocity!$A:$A,$A300,Velocity!$B:$B,$C300)/Assumptions!$B$4*Assumptions!$B$6</f>
        <v>0</v>
      </c>
      <c r="M300" s="7" t="n">
        <f aca="false">SUMIFS(Doors!Y:Y,Doors!$A:$A,$D300,Doors!$B:$B,$B300,Doors!$C:$C,$C300)*SUMIFS(Velocity!$I:$I,Velocity!$A:$A,$A300,Velocity!$B:$B,$C300)/Assumptions!$B$4*Assumptions!$B$6</f>
        <v>0</v>
      </c>
      <c r="N300" s="7" t="n">
        <f aca="false">SUMIFS(Doors!Z:Z,Doors!$A:$A,$D300,Doors!$B:$B,$B300,Doors!$C:$C,$C300)*SUMIFS(Velocity!$I:$I,Velocity!$A:$A,$A300,Velocity!$B:$B,$C300)/Assumptions!$B$4*Assumptions!$B$6</f>
        <v>0</v>
      </c>
      <c r="O300" s="7" t="n">
        <f aca="false">SUMIFS(Doors!AA:AA,Doors!$A:$A,$D300,Doors!$B:$B,$B300,Doors!$C:$C,$C300)*SUMIFS(Velocity!$I:$I,Velocity!$A:$A,$A300,Velocity!$B:$B,$C300)/Assumptions!$B$4*Assumptions!$B$6</f>
        <v>0</v>
      </c>
      <c r="P300" s="7" t="n">
        <f aca="false">SUMIFS(Doors!AB:AB,Doors!$A:$A,$D300,Doors!$B:$B,$B300,Doors!$C:$C,$C300)*SUMIFS(Velocity!$I:$I,Velocity!$A:$A,$A300,Velocity!$B:$B,$C300)/Assumptions!$B$4*Assumptions!$B$6</f>
        <v>0</v>
      </c>
      <c r="Q300" s="7" t="n">
        <f aca="false">SUMIFS(Doors!AC:AC,Doors!$A:$A,$D300,Doors!$B:$B,$B300,Doors!$C:$C,$C300)*SUMIFS(Velocity!$I:$I,Velocity!$A:$A,$A300,Velocity!$B:$B,$C300)/Assumptions!$B$4*Assumptions!$B$6</f>
        <v>0</v>
      </c>
      <c r="R300" s="7" t="n">
        <f aca="false">SUMIFS(Doors!AD:AD,Doors!$A:$A,$D300,Doors!$B:$B,$B300,Doors!$C:$C,$C300)*SUMIFS(Velocity!$I:$I,Velocity!$A:$A,$A300,Velocity!$B:$B,$C300)/Assumptions!$B$4*Assumptions!$B$6</f>
        <v>0</v>
      </c>
      <c r="S300" s="7" t="n">
        <f aca="false">SUMIFS(Doors!AE:AE,Doors!$A:$A,$D300,Doors!$B:$B,$B300,Doors!$C:$C,$C300)*SUMIFS(Velocity!$I:$I,Velocity!$A:$A,$A300,Velocity!$B:$B,$C300)/Assumptions!$B$4*Assumptions!$B$6</f>
        <v>0</v>
      </c>
      <c r="T300" s="7" t="n">
        <f aca="false">SUMIFS(Doors!AF:AF,Doors!$A:$A,$D300,Doors!$B:$B,$B300,Doors!$C:$C,$C300)*SUMIFS(Velocity!$I:$I,Velocity!$A:$A,$A300,Velocity!$B:$B,$C300)/Assumptions!$B$4*Assumptions!$B$6</f>
        <v>0</v>
      </c>
      <c r="U300" s="7" t="n">
        <f aca="false">SUMIFS(Doors!AG:AG,Doors!$A:$A,$D300,Doors!$B:$B,$B300,Doors!$C:$C,$C300)*SUMIFS(Velocity!$I:$I,Velocity!$A:$A,$A300,Velocity!$B:$B,$C300)/Assumptions!$B$4*Assumptions!$B$6</f>
        <v>0</v>
      </c>
      <c r="V300" s="7" t="n">
        <f aca="false">SUMIFS(Doors!AH:AH,Doors!$A:$A,$D300,Doors!$B:$B,$B300,Doors!$C:$C,$C300)*SUMIFS(Velocity!$I:$I,Velocity!$A:$A,$A300,Velocity!$B:$B,$C300)/Assumptions!$B$4*Assumptions!$B$6</f>
        <v>0</v>
      </c>
      <c r="W300" s="7" t="n">
        <f aca="false">SUMIFS(Doors!AI:AI,Doors!$A:$A,$D300,Doors!$B:$B,$B300,Doors!$C:$C,$C300)*SUMIFS(Velocity!$I:$I,Velocity!$A:$A,$A300,Velocity!$B:$B,$C300)/Assumptions!$B$4*Assumptions!$B$6</f>
        <v>0</v>
      </c>
      <c r="X300" s="7" t="n">
        <f aca="false">SUMIFS(Doors!AJ:AJ,Doors!$A:$A,$D300,Doors!$B:$B,$B300,Doors!$C:$C,$C300)*SUMIFS(Velocity!$I:$I,Velocity!$A:$A,$A300,Velocity!$B:$B,$C300)/Assumptions!$B$4*Assumptions!$B$6</f>
        <v>0</v>
      </c>
      <c r="Y300" s="7" t="n">
        <f aca="false">SUMIFS(Doors!AK:AK,Doors!$A:$A,$D300,Doors!$B:$B,$B300,Doors!$C:$C,$C300)*SUMIFS(Velocity!$I:$I,Velocity!$A:$A,$A300,Velocity!$B:$B,$C300)/Assumptions!$B$4*Assumptions!$B$6</f>
        <v>0</v>
      </c>
      <c r="Z300" s="7" t="n">
        <f aca="false">SUMIFS(Doors!AL:AL,Doors!$A:$A,$D300,Doors!$B:$B,$B300,Doors!$C:$C,$C300)*SUMIFS(Velocity!$I:$I,Velocity!$A:$A,$A300,Velocity!$B:$B,$C300)/Assumptions!$B$4*Assumptions!$B$6</f>
        <v>0</v>
      </c>
      <c r="AA300" s="7" t="n">
        <f aca="false">SUMIFS(Doors!AM:AM,Doors!$A:$A,$D300,Doors!$B:$B,$B300,Doors!$C:$C,$C300)*SUMIFS(Velocity!$I:$I,Velocity!$A:$A,$A300,Velocity!$B:$B,$C300)/Assumptions!$B$4*Assumptions!$B$6</f>
        <v>0</v>
      </c>
      <c r="AB300" s="7" t="n">
        <f aca="false">SUMIFS(Doors!AN:AN,Doors!$A:$A,$D300,Doors!$B:$B,$B300,Doors!$C:$C,$C300)*SUMIFS(Velocity!$I:$I,Velocity!$A:$A,$A300,Velocity!$B:$B,$C300)/Assumptions!$B$4*Assumptions!$B$6</f>
        <v>0</v>
      </c>
      <c r="AC300" s="7" t="n">
        <f aca="false">SUMIFS(Doors!AO:AO,Doors!$A:$A,$D300,Doors!$B:$B,$B300,Doors!$C:$C,$C300)*SUMIFS(Velocity!$I:$I,Velocity!$A:$A,$A300,Velocity!$B:$B,$C300)/Assumptions!$B$4*Assumptions!$B$6</f>
        <v>0</v>
      </c>
      <c r="AD300" s="7" t="n">
        <f aca="false">SUMIFS(Doors!AP:AP,Doors!$A:$A,$D300,Doors!$B:$B,$B300,Doors!$C:$C,$C300)*SUMIFS(Velocity!$I:$I,Velocity!$A:$A,$A300,Velocity!$B:$B,$C300)/Assumptions!$B$4*Assumptions!$B$6</f>
        <v>0</v>
      </c>
      <c r="AE300" s="7" t="n">
        <f aca="false">SUMIFS(Doors!AQ:AQ,Doors!$A:$A,$D300,Doors!$B:$B,$B300,Doors!$C:$C,$C300)*SUMIFS(Velocity!$I:$I,Velocity!$A:$A,$A300,Velocity!$B:$B,$C300)/Assumptions!$B$4*Assumptions!$B$6</f>
        <v>0</v>
      </c>
      <c r="AF300" s="7" t="n">
        <f aca="false">SUMIFS(Doors!AR:AR,Doors!$A:$A,$D300,Doors!$B:$B,$B300,Doors!$C:$C,$C300)*SUMIFS(Velocity!$I:$I,Velocity!$A:$A,$A300,Velocity!$B:$B,$C300)/Assumptions!$B$4*Assumptions!$B$6</f>
        <v>0</v>
      </c>
      <c r="AG300" s="7" t="n">
        <f aca="false">SUMIFS(Doors!AS:AS,Doors!$A:$A,$D300,Doors!$B:$B,$B300,Doors!$C:$C,$C300)*SUMIFS(Velocity!$I:$I,Velocity!$A:$A,$A300,Velocity!$B:$B,$C300)/Assumptions!$B$4*Assumptions!$B$6</f>
        <v>0</v>
      </c>
      <c r="AH300" s="7" t="n">
        <f aca="false">SUMIFS(Doors!AT:AT,Doors!$A:$A,$D300,Doors!$B:$B,$B300,Doors!$C:$C,$C300)*SUMIFS(Velocity!$I:$I,Velocity!$A:$A,$A300,Velocity!$B:$B,$C300)/Assumptions!$B$4*Assumptions!$B$6</f>
        <v>0</v>
      </c>
      <c r="AI300" s="7" t="n">
        <f aca="false">SUMIFS(Doors!AU:AU,Doors!$A:$A,$D300,Doors!$B:$B,$B300,Doors!$C:$C,$C300)*SUMIFS(Velocity!$I:$I,Velocity!$A:$A,$A300,Velocity!$B:$B,$C300)/Assumptions!$B$4*Assumptions!$B$6</f>
        <v>0</v>
      </c>
      <c r="AJ300" s="7" t="n">
        <f aca="false">SUMIFS(Doors!AV:AV,Doors!$A:$A,$D300,Doors!$B:$B,$B300,Doors!$C:$C,$C300)*SUMIFS(Velocity!$I:$I,Velocity!$A:$A,$A300,Velocity!$B:$B,$C300)/Assumptions!$B$4*Assumptions!$B$6</f>
        <v>0</v>
      </c>
      <c r="AK300" s="7" t="n">
        <f aca="false">SUMIFS(Doors!AW:AW,Doors!$A:$A,$D300,Doors!$B:$B,$B300,Doors!$C:$C,$C300)*SUMIFS(Velocity!$I:$I,Velocity!$A:$A,$A300,Velocity!$B:$B,$C300)/Assumptions!$B$4*Assumptions!$B$6</f>
        <v>0</v>
      </c>
      <c r="AL300" s="7" t="n">
        <f aca="false">SUMIFS(Doors!AX:AX,Doors!$A:$A,$D300,Doors!$B:$B,$B300,Doors!$C:$C,$C300)*SUMIFS(Velocity!$I:$I,Velocity!$A:$A,$A300,Velocity!$B:$B,$C300)/Assumptions!$B$4*Assumptions!$B$6</f>
        <v>0</v>
      </c>
      <c r="AM300" s="7" t="n">
        <f aca="false">SUMIFS(Doors!AY:AY,Doors!$A:$A,$D300,Doors!$B:$B,$B300,Doors!$C:$C,$C300)*SUMIFS(Velocity!$I:$I,Velocity!$A:$A,$A300,Velocity!$B:$B,$C300)/Assumptions!$B$4*Assumptions!$B$6</f>
        <v>0</v>
      </c>
      <c r="AN300" s="7" t="n">
        <f aca="false">SUMIFS(Doors!AZ:AZ,Doors!$A:$A,$D300,Doors!$B:$B,$B300,Doors!$C:$C,$C300)*SUMIFS(Velocity!$I:$I,Velocity!$A:$A,$A300,Velocity!$B:$B,$C300)/Assumptions!$B$4*Assumptions!$B$6</f>
        <v>0</v>
      </c>
      <c r="AO300" s="7" t="n">
        <f aca="false">SUMIFS(Doors!BA:BA,Doors!$A:$A,$D300,Doors!$B:$B,$B300,Doors!$C:$C,$C300)*SUMIFS(Velocity!$I:$I,Velocity!$A:$A,$A300,Velocity!$B:$B,$C300)/Assumptions!$B$4*Assumptions!$B$6</f>
        <v>0</v>
      </c>
      <c r="AP300" s="7" t="n">
        <f aca="false">SUMIFS(Doors!BB:BB,Doors!$A:$A,$D300,Doors!$B:$B,$B300,Doors!$C:$C,$C300)*SUMIFS(Velocity!$I:$I,Velocity!$A:$A,$A300,Velocity!$B:$B,$C300)/Assumptions!$B$4*Assumptions!$B$6</f>
        <v>0</v>
      </c>
      <c r="AQ300" s="7" t="n">
        <f aca="false">SUMIFS(Doors!BC:BC,Doors!$A:$A,$D300,Doors!$B:$B,$B300,Doors!$C:$C,$C300)*SUMIFS(Velocity!$I:$I,Velocity!$A:$A,$A300,Velocity!$B:$B,$C300)/Assumptions!$B$4*Assumptions!$B$6</f>
        <v>0</v>
      </c>
      <c r="AR300" s="7" t="n">
        <f aca="false">SUMIFS(Doors!BD:BD,Doors!$A:$A,$D300,Doors!$B:$B,$B300,Doors!$C:$C,$C300)*SUMIFS(Velocity!$I:$I,Velocity!$A:$A,$A300,Velocity!$B:$B,$C300)/Assumptions!$B$4*Assumptions!$B$6</f>
        <v>0</v>
      </c>
      <c r="AS300" s="7" t="n">
        <f aca="false">SUMIFS(Doors!BE:BE,Doors!$A:$A,$D300,Doors!$B:$B,$B300,Doors!$C:$C,$C300)*SUMIFS(Velocity!$I:$I,Velocity!$A:$A,$A300,Velocity!$B:$B,$C300)/Assumptions!$B$4*Assumptions!$B$6</f>
        <v>0</v>
      </c>
      <c r="AT300" s="7" t="n">
        <f aca="false">SUMIFS(Doors!BF:BF,Doors!$A:$A,$D300,Doors!$B:$B,$B300,Doors!$C:$C,$C300)*SUMIFS(Velocity!$I:$I,Velocity!$A:$A,$A300,Velocity!$B:$B,$C300)/Assumptions!$B$4*Assumptions!$B$6</f>
        <v>0</v>
      </c>
      <c r="AU300" s="7" t="n">
        <f aca="false">SUMIFS(Doors!BG:BG,Doors!$A:$A,$D300,Doors!$B:$B,$B300,Doors!$C:$C,$C300)*SUMIFS(Velocity!$I:$I,Velocity!$A:$A,$A300,Velocity!$B:$B,$C300)/Assumptions!$B$4*Assumptions!$B$6</f>
        <v>0</v>
      </c>
      <c r="AV300" s="7" t="n">
        <f aca="false">SUMIFS(Doors!BH:BH,Doors!$A:$A,$D300,Doors!$B:$B,$B300,Doors!$C:$C,$C300)*SUMIFS(Velocity!$I:$I,Velocity!$A:$A,$A300,Velocity!$B:$B,$C300)/Assumptions!$B$4*Assumptions!$B$6</f>
        <v>0</v>
      </c>
      <c r="AW300" s="7" t="n">
        <f aca="false">SUMIFS(Doors!BI:BI,Doors!$A:$A,$D300,Doors!$B:$B,$B300,Doors!$C:$C,$C300)*SUMIFS(Velocity!$I:$I,Velocity!$A:$A,$A300,Velocity!$B:$B,$C300)/Assumptions!$B$4*Assumptions!$B$6</f>
        <v>0</v>
      </c>
      <c r="AX300" s="7" t="n">
        <f aca="false">SUMIFS(Doors!BJ:BJ,Doors!$A:$A,$D300,Doors!$B:$B,$B300,Doors!$C:$C,$C300)*SUMIFS(Velocity!$I:$I,Velocity!$A:$A,$A300,Velocity!$B:$B,$C300)/Assumptions!$B$4*Assumptions!$B$6</f>
        <v>0</v>
      </c>
      <c r="AY300" s="7" t="n">
        <f aca="false">SUMIFS(Doors!BK:BK,Doors!$A:$A,$D300,Doors!$B:$B,$B300,Doors!$C:$C,$C300)*SUMIFS(Velocity!$I:$I,Velocity!$A:$A,$A300,Velocity!$B:$B,$C300)/Assumptions!$B$4*Assumptions!$B$6</f>
        <v>0</v>
      </c>
      <c r="AZ300" s="7" t="n">
        <f aca="false">SUMIFS(Doors!BL:BL,Doors!$A:$A,$D300,Doors!$B:$B,$B300,Doors!$C:$C,$C300)*SUMIFS(Velocity!$I:$I,Velocity!$A:$A,$A300,Velocity!$B:$B,$C300)/Assumptions!$B$4*Assumptions!$B$6</f>
        <v>0</v>
      </c>
      <c r="BA300" s="7" t="n">
        <f aca="false">SUMIFS(Doors!BM:BM,Doors!$A:$A,$D300,Doors!$B:$B,$B300,Doors!$C:$C,$C300)*SUMIFS(Velocity!$I:$I,Velocity!$A:$A,$A300,Velocity!$B:$B,$C300)/Assumptions!$B$4*Assumptions!$B$6</f>
        <v>0</v>
      </c>
      <c r="BB300" s="7" t="n">
        <f aca="false">SUMIFS(Doors!BN:BN,Doors!$A:$A,$D300,Doors!$B:$B,$B300,Doors!$C:$C,$C300)*SUMIFS(Velocity!$I:$I,Velocity!$A:$A,$A300,Velocity!$B:$B,$C300)/Assumptions!$B$4*Assumptions!$B$6</f>
        <v>0</v>
      </c>
      <c r="BC300" s="7" t="n">
        <f aca="false">SUMIFS(Doors!BO:BO,Doors!$A:$A,$D300,Doors!$B:$B,$B300,Doors!$C:$C,$C300)*SUMIFS(Velocity!$I:$I,Velocity!$A:$A,$A300,Velocity!$B:$B,$C300)/Assumptions!$B$4*Assumptions!$B$6</f>
        <v>0</v>
      </c>
      <c r="BD300" s="7" t="n">
        <f aca="false">SUMIFS(Doors!BP:BP,Doors!$A:$A,$D300,Doors!$B:$B,$B300,Doors!$C:$C,$C300)*SUMIFS(Velocity!$I:$I,Velocity!$A:$A,$A300,Velocity!$B:$B,$C300)/Assumptions!$B$4*Assumptions!$B$6</f>
        <v>0</v>
      </c>
    </row>
    <row r="301" customFormat="false" ht="15" hidden="false" customHeight="false" outlineLevel="0" collapsed="false">
      <c r="A301" s="0" t="s">
        <v>111</v>
      </c>
      <c r="B301" s="0" t="s">
        <v>128</v>
      </c>
      <c r="C301" s="0" t="s">
        <v>122</v>
      </c>
      <c r="D301" s="0" t="s">
        <v>236</v>
      </c>
      <c r="E301" s="7" t="n">
        <f aca="false">SUMIFS(Doors!Q:Q,Doors!$A:$A,$D301,Doors!$B:$B,$B301,Doors!$C:$C,$C301)*SUMIFS(Velocity!$I:$I,Velocity!$A:$A,$A301,Velocity!$B:$B,$C301)/Assumptions!$B$4*Assumptions!$B$6</f>
        <v>0</v>
      </c>
      <c r="F301" s="7" t="n">
        <f aca="false">SUMIFS(Doors!R:R,Doors!$A:$A,$D301,Doors!$B:$B,$B301,Doors!$C:$C,$C301)*SUMIFS(Velocity!$I:$I,Velocity!$A:$A,$A301,Velocity!$B:$B,$C301)/Assumptions!$B$4*Assumptions!$B$6</f>
        <v>0</v>
      </c>
      <c r="G301" s="7" t="n">
        <f aca="false">SUMIFS(Doors!S:S,Doors!$A:$A,$D301,Doors!$B:$B,$B301,Doors!$C:$C,$C301)*SUMIFS(Velocity!$I:$I,Velocity!$A:$A,$A301,Velocity!$B:$B,$C301)/Assumptions!$B$4*Assumptions!$B$6</f>
        <v>0</v>
      </c>
      <c r="H301" s="7" t="n">
        <f aca="false">SUMIFS(Doors!T:T,Doors!$A:$A,$D301,Doors!$B:$B,$B301,Doors!$C:$C,$C301)*SUMIFS(Velocity!$I:$I,Velocity!$A:$A,$A301,Velocity!$B:$B,$C301)/Assumptions!$B$4*Assumptions!$B$6</f>
        <v>0</v>
      </c>
      <c r="I301" s="7" t="n">
        <f aca="false">SUMIFS(Doors!U:U,Doors!$A:$A,$D301,Doors!$B:$B,$B301,Doors!$C:$C,$C301)*SUMIFS(Velocity!$I:$I,Velocity!$A:$A,$A301,Velocity!$B:$B,$C301)/Assumptions!$B$4*Assumptions!$B$6</f>
        <v>0</v>
      </c>
      <c r="J301" s="7" t="n">
        <f aca="false">SUMIFS(Doors!V:V,Doors!$A:$A,$D301,Doors!$B:$B,$B301,Doors!$C:$C,$C301)*SUMIFS(Velocity!$I:$I,Velocity!$A:$A,$A301,Velocity!$B:$B,$C301)/Assumptions!$B$4*Assumptions!$B$6</f>
        <v>0</v>
      </c>
      <c r="K301" s="7" t="n">
        <f aca="false">SUMIFS(Doors!W:W,Doors!$A:$A,$D301,Doors!$B:$B,$B301,Doors!$C:$C,$C301)*SUMIFS(Velocity!$I:$I,Velocity!$A:$A,$A301,Velocity!$B:$B,$C301)/Assumptions!$B$4*Assumptions!$B$6</f>
        <v>0</v>
      </c>
      <c r="L301" s="7" t="n">
        <f aca="false">SUMIFS(Doors!X:X,Doors!$A:$A,$D301,Doors!$B:$B,$B301,Doors!$C:$C,$C301)*SUMIFS(Velocity!$I:$I,Velocity!$A:$A,$A301,Velocity!$B:$B,$C301)/Assumptions!$B$4*Assumptions!$B$6</f>
        <v>0</v>
      </c>
      <c r="M301" s="7" t="n">
        <f aca="false">SUMIFS(Doors!Y:Y,Doors!$A:$A,$D301,Doors!$B:$B,$B301,Doors!$C:$C,$C301)*SUMIFS(Velocity!$I:$I,Velocity!$A:$A,$A301,Velocity!$B:$B,$C301)/Assumptions!$B$4*Assumptions!$B$6</f>
        <v>0</v>
      </c>
      <c r="N301" s="7" t="n">
        <f aca="false">SUMIFS(Doors!Z:Z,Doors!$A:$A,$D301,Doors!$B:$B,$B301,Doors!$C:$C,$C301)*SUMIFS(Velocity!$I:$I,Velocity!$A:$A,$A301,Velocity!$B:$B,$C301)/Assumptions!$B$4*Assumptions!$B$6</f>
        <v>0</v>
      </c>
      <c r="O301" s="7" t="n">
        <f aca="false">SUMIFS(Doors!AA:AA,Doors!$A:$A,$D301,Doors!$B:$B,$B301,Doors!$C:$C,$C301)*SUMIFS(Velocity!$I:$I,Velocity!$A:$A,$A301,Velocity!$B:$B,$C301)/Assumptions!$B$4*Assumptions!$B$6</f>
        <v>0</v>
      </c>
      <c r="P301" s="7" t="n">
        <f aca="false">SUMIFS(Doors!AB:AB,Doors!$A:$A,$D301,Doors!$B:$B,$B301,Doors!$C:$C,$C301)*SUMIFS(Velocity!$I:$I,Velocity!$A:$A,$A301,Velocity!$B:$B,$C301)/Assumptions!$B$4*Assumptions!$B$6</f>
        <v>0</v>
      </c>
      <c r="Q301" s="7" t="n">
        <f aca="false">SUMIFS(Doors!AC:AC,Doors!$A:$A,$D301,Doors!$B:$B,$B301,Doors!$C:$C,$C301)*SUMIFS(Velocity!$I:$I,Velocity!$A:$A,$A301,Velocity!$B:$B,$C301)/Assumptions!$B$4*Assumptions!$B$6</f>
        <v>0</v>
      </c>
      <c r="R301" s="7" t="n">
        <f aca="false">SUMIFS(Doors!AD:AD,Doors!$A:$A,$D301,Doors!$B:$B,$B301,Doors!$C:$C,$C301)*SUMIFS(Velocity!$I:$I,Velocity!$A:$A,$A301,Velocity!$B:$B,$C301)/Assumptions!$B$4*Assumptions!$B$6</f>
        <v>0</v>
      </c>
      <c r="S301" s="7" t="n">
        <f aca="false">SUMIFS(Doors!AE:AE,Doors!$A:$A,$D301,Doors!$B:$B,$B301,Doors!$C:$C,$C301)*SUMIFS(Velocity!$I:$I,Velocity!$A:$A,$A301,Velocity!$B:$B,$C301)/Assumptions!$B$4*Assumptions!$B$6</f>
        <v>0</v>
      </c>
      <c r="T301" s="7" t="n">
        <f aca="false">SUMIFS(Doors!AF:AF,Doors!$A:$A,$D301,Doors!$B:$B,$B301,Doors!$C:$C,$C301)*SUMIFS(Velocity!$I:$I,Velocity!$A:$A,$A301,Velocity!$B:$B,$C301)/Assumptions!$B$4*Assumptions!$B$6</f>
        <v>0</v>
      </c>
      <c r="U301" s="7" t="n">
        <f aca="false">SUMIFS(Doors!AG:AG,Doors!$A:$A,$D301,Doors!$B:$B,$B301,Doors!$C:$C,$C301)*SUMIFS(Velocity!$I:$I,Velocity!$A:$A,$A301,Velocity!$B:$B,$C301)/Assumptions!$B$4*Assumptions!$B$6</f>
        <v>0</v>
      </c>
      <c r="V301" s="7" t="n">
        <f aca="false">SUMIFS(Doors!AH:AH,Doors!$A:$A,$D301,Doors!$B:$B,$B301,Doors!$C:$C,$C301)*SUMIFS(Velocity!$I:$I,Velocity!$A:$A,$A301,Velocity!$B:$B,$C301)/Assumptions!$B$4*Assumptions!$B$6</f>
        <v>0</v>
      </c>
      <c r="W301" s="7" t="n">
        <f aca="false">SUMIFS(Doors!AI:AI,Doors!$A:$A,$D301,Doors!$B:$B,$B301,Doors!$C:$C,$C301)*SUMIFS(Velocity!$I:$I,Velocity!$A:$A,$A301,Velocity!$B:$B,$C301)/Assumptions!$B$4*Assumptions!$B$6</f>
        <v>0</v>
      </c>
      <c r="X301" s="7" t="n">
        <f aca="false">SUMIFS(Doors!AJ:AJ,Doors!$A:$A,$D301,Doors!$B:$B,$B301,Doors!$C:$C,$C301)*SUMIFS(Velocity!$I:$I,Velocity!$A:$A,$A301,Velocity!$B:$B,$C301)/Assumptions!$B$4*Assumptions!$B$6</f>
        <v>0</v>
      </c>
      <c r="Y301" s="7" t="n">
        <f aca="false">SUMIFS(Doors!AK:AK,Doors!$A:$A,$D301,Doors!$B:$B,$B301,Doors!$C:$C,$C301)*SUMIFS(Velocity!$I:$I,Velocity!$A:$A,$A301,Velocity!$B:$B,$C301)/Assumptions!$B$4*Assumptions!$B$6</f>
        <v>0</v>
      </c>
      <c r="Z301" s="7" t="n">
        <f aca="false">SUMIFS(Doors!AL:AL,Doors!$A:$A,$D301,Doors!$B:$B,$B301,Doors!$C:$C,$C301)*SUMIFS(Velocity!$I:$I,Velocity!$A:$A,$A301,Velocity!$B:$B,$C301)/Assumptions!$B$4*Assumptions!$B$6</f>
        <v>0</v>
      </c>
      <c r="AA301" s="7" t="n">
        <f aca="false">SUMIFS(Doors!AM:AM,Doors!$A:$A,$D301,Doors!$B:$B,$B301,Doors!$C:$C,$C301)*SUMIFS(Velocity!$I:$I,Velocity!$A:$A,$A301,Velocity!$B:$B,$C301)/Assumptions!$B$4*Assumptions!$B$6</f>
        <v>0</v>
      </c>
      <c r="AB301" s="7" t="n">
        <f aca="false">SUMIFS(Doors!AN:AN,Doors!$A:$A,$D301,Doors!$B:$B,$B301,Doors!$C:$C,$C301)*SUMIFS(Velocity!$I:$I,Velocity!$A:$A,$A301,Velocity!$B:$B,$C301)/Assumptions!$B$4*Assumptions!$B$6</f>
        <v>0</v>
      </c>
      <c r="AC301" s="7" t="n">
        <f aca="false">SUMIFS(Doors!AO:AO,Doors!$A:$A,$D301,Doors!$B:$B,$B301,Doors!$C:$C,$C301)*SUMIFS(Velocity!$I:$I,Velocity!$A:$A,$A301,Velocity!$B:$B,$C301)/Assumptions!$B$4*Assumptions!$B$6</f>
        <v>0</v>
      </c>
      <c r="AD301" s="7" t="n">
        <f aca="false">SUMIFS(Doors!AP:AP,Doors!$A:$A,$D301,Doors!$B:$B,$B301,Doors!$C:$C,$C301)*SUMIFS(Velocity!$I:$I,Velocity!$A:$A,$A301,Velocity!$B:$B,$C301)/Assumptions!$B$4*Assumptions!$B$6</f>
        <v>0</v>
      </c>
      <c r="AE301" s="7" t="n">
        <f aca="false">SUMIFS(Doors!AQ:AQ,Doors!$A:$A,$D301,Doors!$B:$B,$B301,Doors!$C:$C,$C301)*SUMIFS(Velocity!$I:$I,Velocity!$A:$A,$A301,Velocity!$B:$B,$C301)/Assumptions!$B$4*Assumptions!$B$6</f>
        <v>0</v>
      </c>
      <c r="AF301" s="7" t="n">
        <f aca="false">SUMIFS(Doors!AR:AR,Doors!$A:$A,$D301,Doors!$B:$B,$B301,Doors!$C:$C,$C301)*SUMIFS(Velocity!$I:$I,Velocity!$A:$A,$A301,Velocity!$B:$B,$C301)/Assumptions!$B$4*Assumptions!$B$6</f>
        <v>0</v>
      </c>
      <c r="AG301" s="7" t="n">
        <f aca="false">SUMIFS(Doors!AS:AS,Doors!$A:$A,$D301,Doors!$B:$B,$B301,Doors!$C:$C,$C301)*SUMIFS(Velocity!$I:$I,Velocity!$A:$A,$A301,Velocity!$B:$B,$C301)/Assumptions!$B$4*Assumptions!$B$6</f>
        <v>0</v>
      </c>
      <c r="AH301" s="7" t="n">
        <f aca="false">SUMIFS(Doors!AT:AT,Doors!$A:$A,$D301,Doors!$B:$B,$B301,Doors!$C:$C,$C301)*SUMIFS(Velocity!$I:$I,Velocity!$A:$A,$A301,Velocity!$B:$B,$C301)/Assumptions!$B$4*Assumptions!$B$6</f>
        <v>0</v>
      </c>
      <c r="AI301" s="7" t="n">
        <f aca="false">SUMIFS(Doors!AU:AU,Doors!$A:$A,$D301,Doors!$B:$B,$B301,Doors!$C:$C,$C301)*SUMIFS(Velocity!$I:$I,Velocity!$A:$A,$A301,Velocity!$B:$B,$C301)/Assumptions!$B$4*Assumptions!$B$6</f>
        <v>0</v>
      </c>
      <c r="AJ301" s="7" t="n">
        <f aca="false">SUMIFS(Doors!AV:AV,Doors!$A:$A,$D301,Doors!$B:$B,$B301,Doors!$C:$C,$C301)*SUMIFS(Velocity!$I:$I,Velocity!$A:$A,$A301,Velocity!$B:$B,$C301)/Assumptions!$B$4*Assumptions!$B$6</f>
        <v>0</v>
      </c>
      <c r="AK301" s="7" t="n">
        <f aca="false">SUMIFS(Doors!AW:AW,Doors!$A:$A,$D301,Doors!$B:$B,$B301,Doors!$C:$C,$C301)*SUMIFS(Velocity!$I:$I,Velocity!$A:$A,$A301,Velocity!$B:$B,$C301)/Assumptions!$B$4*Assumptions!$B$6</f>
        <v>0</v>
      </c>
      <c r="AL301" s="7" t="n">
        <f aca="false">SUMIFS(Doors!AX:AX,Doors!$A:$A,$D301,Doors!$B:$B,$B301,Doors!$C:$C,$C301)*SUMIFS(Velocity!$I:$I,Velocity!$A:$A,$A301,Velocity!$B:$B,$C301)/Assumptions!$B$4*Assumptions!$B$6</f>
        <v>0</v>
      </c>
      <c r="AM301" s="7" t="n">
        <f aca="false">SUMIFS(Doors!AY:AY,Doors!$A:$A,$D301,Doors!$B:$B,$B301,Doors!$C:$C,$C301)*SUMIFS(Velocity!$I:$I,Velocity!$A:$A,$A301,Velocity!$B:$B,$C301)/Assumptions!$B$4*Assumptions!$B$6</f>
        <v>0</v>
      </c>
      <c r="AN301" s="7" t="n">
        <f aca="false">SUMIFS(Doors!AZ:AZ,Doors!$A:$A,$D301,Doors!$B:$B,$B301,Doors!$C:$C,$C301)*SUMIFS(Velocity!$I:$I,Velocity!$A:$A,$A301,Velocity!$B:$B,$C301)/Assumptions!$B$4*Assumptions!$B$6</f>
        <v>0</v>
      </c>
      <c r="AO301" s="7" t="n">
        <f aca="false">SUMIFS(Doors!BA:BA,Doors!$A:$A,$D301,Doors!$B:$B,$B301,Doors!$C:$C,$C301)*SUMIFS(Velocity!$I:$I,Velocity!$A:$A,$A301,Velocity!$B:$B,$C301)/Assumptions!$B$4*Assumptions!$B$6</f>
        <v>0</v>
      </c>
      <c r="AP301" s="7" t="n">
        <f aca="false">SUMIFS(Doors!BB:BB,Doors!$A:$A,$D301,Doors!$B:$B,$B301,Doors!$C:$C,$C301)*SUMIFS(Velocity!$I:$I,Velocity!$A:$A,$A301,Velocity!$B:$B,$C301)/Assumptions!$B$4*Assumptions!$B$6</f>
        <v>0</v>
      </c>
      <c r="AQ301" s="7" t="n">
        <f aca="false">SUMIFS(Doors!BC:BC,Doors!$A:$A,$D301,Doors!$B:$B,$B301,Doors!$C:$C,$C301)*SUMIFS(Velocity!$I:$I,Velocity!$A:$A,$A301,Velocity!$B:$B,$C301)/Assumptions!$B$4*Assumptions!$B$6</f>
        <v>0</v>
      </c>
      <c r="AR301" s="7" t="n">
        <f aca="false">SUMIFS(Doors!BD:BD,Doors!$A:$A,$D301,Doors!$B:$B,$B301,Doors!$C:$C,$C301)*SUMIFS(Velocity!$I:$I,Velocity!$A:$A,$A301,Velocity!$B:$B,$C301)/Assumptions!$B$4*Assumptions!$B$6</f>
        <v>0</v>
      </c>
      <c r="AS301" s="7" t="n">
        <f aca="false">SUMIFS(Doors!BE:BE,Doors!$A:$A,$D301,Doors!$B:$B,$B301,Doors!$C:$C,$C301)*SUMIFS(Velocity!$I:$I,Velocity!$A:$A,$A301,Velocity!$B:$B,$C301)/Assumptions!$B$4*Assumptions!$B$6</f>
        <v>0</v>
      </c>
      <c r="AT301" s="7" t="n">
        <f aca="false">SUMIFS(Doors!BF:BF,Doors!$A:$A,$D301,Doors!$B:$B,$B301,Doors!$C:$C,$C301)*SUMIFS(Velocity!$I:$I,Velocity!$A:$A,$A301,Velocity!$B:$B,$C301)/Assumptions!$B$4*Assumptions!$B$6</f>
        <v>0</v>
      </c>
      <c r="AU301" s="7" t="n">
        <f aca="false">SUMIFS(Doors!BG:BG,Doors!$A:$A,$D301,Doors!$B:$B,$B301,Doors!$C:$C,$C301)*SUMIFS(Velocity!$I:$I,Velocity!$A:$A,$A301,Velocity!$B:$B,$C301)/Assumptions!$B$4*Assumptions!$B$6</f>
        <v>0</v>
      </c>
      <c r="AV301" s="7" t="n">
        <f aca="false">SUMIFS(Doors!BH:BH,Doors!$A:$A,$D301,Doors!$B:$B,$B301,Doors!$C:$C,$C301)*SUMIFS(Velocity!$I:$I,Velocity!$A:$A,$A301,Velocity!$B:$B,$C301)/Assumptions!$B$4*Assumptions!$B$6</f>
        <v>0</v>
      </c>
      <c r="AW301" s="7" t="n">
        <f aca="false">SUMIFS(Doors!BI:BI,Doors!$A:$A,$D301,Doors!$B:$B,$B301,Doors!$C:$C,$C301)*SUMIFS(Velocity!$I:$I,Velocity!$A:$A,$A301,Velocity!$B:$B,$C301)/Assumptions!$B$4*Assumptions!$B$6</f>
        <v>0</v>
      </c>
      <c r="AX301" s="7" t="n">
        <f aca="false">SUMIFS(Doors!BJ:BJ,Doors!$A:$A,$D301,Doors!$B:$B,$B301,Doors!$C:$C,$C301)*SUMIFS(Velocity!$I:$I,Velocity!$A:$A,$A301,Velocity!$B:$B,$C301)/Assumptions!$B$4*Assumptions!$B$6</f>
        <v>0</v>
      </c>
      <c r="AY301" s="7" t="n">
        <f aca="false">SUMIFS(Doors!BK:BK,Doors!$A:$A,$D301,Doors!$B:$B,$B301,Doors!$C:$C,$C301)*SUMIFS(Velocity!$I:$I,Velocity!$A:$A,$A301,Velocity!$B:$B,$C301)/Assumptions!$B$4*Assumptions!$B$6</f>
        <v>0</v>
      </c>
      <c r="AZ301" s="7" t="n">
        <f aca="false">SUMIFS(Doors!BL:BL,Doors!$A:$A,$D301,Doors!$B:$B,$B301,Doors!$C:$C,$C301)*SUMIFS(Velocity!$I:$I,Velocity!$A:$A,$A301,Velocity!$B:$B,$C301)/Assumptions!$B$4*Assumptions!$B$6</f>
        <v>0</v>
      </c>
      <c r="BA301" s="7" t="n">
        <f aca="false">SUMIFS(Doors!BM:BM,Doors!$A:$A,$D301,Doors!$B:$B,$B301,Doors!$C:$C,$C301)*SUMIFS(Velocity!$I:$I,Velocity!$A:$A,$A301,Velocity!$B:$B,$C301)/Assumptions!$B$4*Assumptions!$B$6</f>
        <v>0</v>
      </c>
      <c r="BB301" s="7" t="n">
        <f aca="false">SUMIFS(Doors!BN:BN,Doors!$A:$A,$D301,Doors!$B:$B,$B301,Doors!$C:$C,$C301)*SUMIFS(Velocity!$I:$I,Velocity!$A:$A,$A301,Velocity!$B:$B,$C301)/Assumptions!$B$4*Assumptions!$B$6</f>
        <v>0</v>
      </c>
      <c r="BC301" s="7" t="n">
        <f aca="false">SUMIFS(Doors!BO:BO,Doors!$A:$A,$D301,Doors!$B:$B,$B301,Doors!$C:$C,$C301)*SUMIFS(Velocity!$I:$I,Velocity!$A:$A,$A301,Velocity!$B:$B,$C301)/Assumptions!$B$4*Assumptions!$B$6</f>
        <v>0</v>
      </c>
      <c r="BD301" s="7" t="n">
        <f aca="false">SUMIFS(Doors!BP:BP,Doors!$A:$A,$D301,Doors!$B:$B,$B301,Doors!$C:$C,$C301)*SUMIFS(Velocity!$I:$I,Velocity!$A:$A,$A301,Velocity!$B:$B,$C301)/Assumptions!$B$4*Assumptions!$B$6</f>
        <v>0</v>
      </c>
    </row>
    <row r="302" customFormat="false" ht="15" hidden="false" customHeight="false" outlineLevel="0" collapsed="false">
      <c r="A302" s="0" t="s">
        <v>111</v>
      </c>
      <c r="B302" s="0" t="s">
        <v>128</v>
      </c>
      <c r="C302" s="0" t="s">
        <v>123</v>
      </c>
      <c r="D302" s="0" t="s">
        <v>236</v>
      </c>
      <c r="E302" s="7" t="n">
        <f aca="false">SUMIFS(Doors!Q:Q,Doors!$A:$A,$D302,Doors!$B:$B,$B302,Doors!$C:$C,$C302)*SUMIFS(Velocity!$I:$I,Velocity!$A:$A,$A302,Velocity!$B:$B,$C302)/Assumptions!$B$4*Assumptions!$B$6</f>
        <v>0</v>
      </c>
      <c r="F302" s="7" t="n">
        <f aca="false">SUMIFS(Doors!R:R,Doors!$A:$A,$D302,Doors!$B:$B,$B302,Doors!$C:$C,$C302)*SUMIFS(Velocity!$I:$I,Velocity!$A:$A,$A302,Velocity!$B:$B,$C302)/Assumptions!$B$4*Assumptions!$B$6</f>
        <v>0</v>
      </c>
      <c r="G302" s="7" t="n">
        <f aca="false">SUMIFS(Doors!S:S,Doors!$A:$A,$D302,Doors!$B:$B,$B302,Doors!$C:$C,$C302)*SUMIFS(Velocity!$I:$I,Velocity!$A:$A,$A302,Velocity!$B:$B,$C302)/Assumptions!$B$4*Assumptions!$B$6</f>
        <v>0</v>
      </c>
      <c r="H302" s="7" t="n">
        <f aca="false">SUMIFS(Doors!T:T,Doors!$A:$A,$D302,Doors!$B:$B,$B302,Doors!$C:$C,$C302)*SUMIFS(Velocity!$I:$I,Velocity!$A:$A,$A302,Velocity!$B:$B,$C302)/Assumptions!$B$4*Assumptions!$B$6</f>
        <v>0</v>
      </c>
      <c r="I302" s="7" t="n">
        <f aca="false">SUMIFS(Doors!U:U,Doors!$A:$A,$D302,Doors!$B:$B,$B302,Doors!$C:$C,$C302)*SUMIFS(Velocity!$I:$I,Velocity!$A:$A,$A302,Velocity!$B:$B,$C302)/Assumptions!$B$4*Assumptions!$B$6</f>
        <v>0</v>
      </c>
      <c r="J302" s="7" t="n">
        <f aca="false">SUMIFS(Doors!V:V,Doors!$A:$A,$D302,Doors!$B:$B,$B302,Doors!$C:$C,$C302)*SUMIFS(Velocity!$I:$I,Velocity!$A:$A,$A302,Velocity!$B:$B,$C302)/Assumptions!$B$4*Assumptions!$B$6</f>
        <v>0</v>
      </c>
      <c r="K302" s="7" t="n">
        <f aca="false">SUMIFS(Doors!W:W,Doors!$A:$A,$D302,Doors!$B:$B,$B302,Doors!$C:$C,$C302)*SUMIFS(Velocity!$I:$I,Velocity!$A:$A,$A302,Velocity!$B:$B,$C302)/Assumptions!$B$4*Assumptions!$B$6</f>
        <v>0</v>
      </c>
      <c r="L302" s="7" t="n">
        <f aca="false">SUMIFS(Doors!X:X,Doors!$A:$A,$D302,Doors!$B:$B,$B302,Doors!$C:$C,$C302)*SUMIFS(Velocity!$I:$I,Velocity!$A:$A,$A302,Velocity!$B:$B,$C302)/Assumptions!$B$4*Assumptions!$B$6</f>
        <v>0</v>
      </c>
      <c r="M302" s="7" t="n">
        <f aca="false">SUMIFS(Doors!Y:Y,Doors!$A:$A,$D302,Doors!$B:$B,$B302,Doors!$C:$C,$C302)*SUMIFS(Velocity!$I:$I,Velocity!$A:$A,$A302,Velocity!$B:$B,$C302)/Assumptions!$B$4*Assumptions!$B$6</f>
        <v>0</v>
      </c>
      <c r="N302" s="7" t="n">
        <f aca="false">SUMIFS(Doors!Z:Z,Doors!$A:$A,$D302,Doors!$B:$B,$B302,Doors!$C:$C,$C302)*SUMIFS(Velocity!$I:$I,Velocity!$A:$A,$A302,Velocity!$B:$B,$C302)/Assumptions!$B$4*Assumptions!$B$6</f>
        <v>0</v>
      </c>
      <c r="O302" s="7" t="n">
        <f aca="false">SUMIFS(Doors!AA:AA,Doors!$A:$A,$D302,Doors!$B:$B,$B302,Doors!$C:$C,$C302)*SUMIFS(Velocity!$I:$I,Velocity!$A:$A,$A302,Velocity!$B:$B,$C302)/Assumptions!$B$4*Assumptions!$B$6</f>
        <v>0</v>
      </c>
      <c r="P302" s="7" t="n">
        <f aca="false">SUMIFS(Doors!AB:AB,Doors!$A:$A,$D302,Doors!$B:$B,$B302,Doors!$C:$C,$C302)*SUMIFS(Velocity!$I:$I,Velocity!$A:$A,$A302,Velocity!$B:$B,$C302)/Assumptions!$B$4*Assumptions!$B$6</f>
        <v>0</v>
      </c>
      <c r="Q302" s="7" t="n">
        <f aca="false">SUMIFS(Doors!AC:AC,Doors!$A:$A,$D302,Doors!$B:$B,$B302,Doors!$C:$C,$C302)*SUMIFS(Velocity!$I:$I,Velocity!$A:$A,$A302,Velocity!$B:$B,$C302)/Assumptions!$B$4*Assumptions!$B$6</f>
        <v>0</v>
      </c>
      <c r="R302" s="7" t="n">
        <f aca="false">SUMIFS(Doors!AD:AD,Doors!$A:$A,$D302,Doors!$B:$B,$B302,Doors!$C:$C,$C302)*SUMIFS(Velocity!$I:$I,Velocity!$A:$A,$A302,Velocity!$B:$B,$C302)/Assumptions!$B$4*Assumptions!$B$6</f>
        <v>0</v>
      </c>
      <c r="S302" s="7" t="n">
        <f aca="false">SUMIFS(Doors!AE:AE,Doors!$A:$A,$D302,Doors!$B:$B,$B302,Doors!$C:$C,$C302)*SUMIFS(Velocity!$I:$I,Velocity!$A:$A,$A302,Velocity!$B:$B,$C302)/Assumptions!$B$4*Assumptions!$B$6</f>
        <v>0</v>
      </c>
      <c r="T302" s="7" t="n">
        <f aca="false">SUMIFS(Doors!AF:AF,Doors!$A:$A,$D302,Doors!$B:$B,$B302,Doors!$C:$C,$C302)*SUMIFS(Velocity!$I:$I,Velocity!$A:$A,$A302,Velocity!$B:$B,$C302)/Assumptions!$B$4*Assumptions!$B$6</f>
        <v>0</v>
      </c>
      <c r="U302" s="7" t="n">
        <f aca="false">SUMIFS(Doors!AG:AG,Doors!$A:$A,$D302,Doors!$B:$B,$B302,Doors!$C:$C,$C302)*SUMIFS(Velocity!$I:$I,Velocity!$A:$A,$A302,Velocity!$B:$B,$C302)/Assumptions!$B$4*Assumptions!$B$6</f>
        <v>0</v>
      </c>
      <c r="V302" s="7" t="n">
        <f aca="false">SUMIFS(Doors!AH:AH,Doors!$A:$A,$D302,Doors!$B:$B,$B302,Doors!$C:$C,$C302)*SUMIFS(Velocity!$I:$I,Velocity!$A:$A,$A302,Velocity!$B:$B,$C302)/Assumptions!$B$4*Assumptions!$B$6</f>
        <v>0</v>
      </c>
      <c r="W302" s="7" t="n">
        <f aca="false">SUMIFS(Doors!AI:AI,Doors!$A:$A,$D302,Doors!$B:$B,$B302,Doors!$C:$C,$C302)*SUMIFS(Velocity!$I:$I,Velocity!$A:$A,$A302,Velocity!$B:$B,$C302)/Assumptions!$B$4*Assumptions!$B$6</f>
        <v>0</v>
      </c>
      <c r="X302" s="7" t="n">
        <f aca="false">SUMIFS(Doors!AJ:AJ,Doors!$A:$A,$D302,Doors!$B:$B,$B302,Doors!$C:$C,$C302)*SUMIFS(Velocity!$I:$I,Velocity!$A:$A,$A302,Velocity!$B:$B,$C302)/Assumptions!$B$4*Assumptions!$B$6</f>
        <v>0</v>
      </c>
      <c r="Y302" s="7" t="n">
        <f aca="false">SUMIFS(Doors!AK:AK,Doors!$A:$A,$D302,Doors!$B:$B,$B302,Doors!$C:$C,$C302)*SUMIFS(Velocity!$I:$I,Velocity!$A:$A,$A302,Velocity!$B:$B,$C302)/Assumptions!$B$4*Assumptions!$B$6</f>
        <v>0</v>
      </c>
      <c r="Z302" s="7" t="n">
        <f aca="false">SUMIFS(Doors!AL:AL,Doors!$A:$A,$D302,Doors!$B:$B,$B302,Doors!$C:$C,$C302)*SUMIFS(Velocity!$I:$I,Velocity!$A:$A,$A302,Velocity!$B:$B,$C302)/Assumptions!$B$4*Assumptions!$B$6</f>
        <v>0</v>
      </c>
      <c r="AA302" s="7" t="n">
        <f aca="false">SUMIFS(Doors!AM:AM,Doors!$A:$A,$D302,Doors!$B:$B,$B302,Doors!$C:$C,$C302)*SUMIFS(Velocity!$I:$I,Velocity!$A:$A,$A302,Velocity!$B:$B,$C302)/Assumptions!$B$4*Assumptions!$B$6</f>
        <v>0</v>
      </c>
      <c r="AB302" s="7" t="n">
        <f aca="false">SUMIFS(Doors!AN:AN,Doors!$A:$A,$D302,Doors!$B:$B,$B302,Doors!$C:$C,$C302)*SUMIFS(Velocity!$I:$I,Velocity!$A:$A,$A302,Velocity!$B:$B,$C302)/Assumptions!$B$4*Assumptions!$B$6</f>
        <v>0</v>
      </c>
      <c r="AC302" s="7" t="n">
        <f aca="false">SUMIFS(Doors!AO:AO,Doors!$A:$A,$D302,Doors!$B:$B,$B302,Doors!$C:$C,$C302)*SUMIFS(Velocity!$I:$I,Velocity!$A:$A,$A302,Velocity!$B:$B,$C302)/Assumptions!$B$4*Assumptions!$B$6</f>
        <v>0</v>
      </c>
      <c r="AD302" s="7" t="n">
        <f aca="false">SUMIFS(Doors!AP:AP,Doors!$A:$A,$D302,Doors!$B:$B,$B302,Doors!$C:$C,$C302)*SUMIFS(Velocity!$I:$I,Velocity!$A:$A,$A302,Velocity!$B:$B,$C302)/Assumptions!$B$4*Assumptions!$B$6</f>
        <v>0</v>
      </c>
      <c r="AE302" s="7" t="n">
        <f aca="false">SUMIFS(Doors!AQ:AQ,Doors!$A:$A,$D302,Doors!$B:$B,$B302,Doors!$C:$C,$C302)*SUMIFS(Velocity!$I:$I,Velocity!$A:$A,$A302,Velocity!$B:$B,$C302)/Assumptions!$B$4*Assumptions!$B$6</f>
        <v>0</v>
      </c>
      <c r="AF302" s="7" t="n">
        <f aca="false">SUMIFS(Doors!AR:AR,Doors!$A:$A,$D302,Doors!$B:$B,$B302,Doors!$C:$C,$C302)*SUMIFS(Velocity!$I:$I,Velocity!$A:$A,$A302,Velocity!$B:$B,$C302)/Assumptions!$B$4*Assumptions!$B$6</f>
        <v>0</v>
      </c>
      <c r="AG302" s="7" t="n">
        <f aca="false">SUMIFS(Doors!AS:AS,Doors!$A:$A,$D302,Doors!$B:$B,$B302,Doors!$C:$C,$C302)*SUMIFS(Velocity!$I:$I,Velocity!$A:$A,$A302,Velocity!$B:$B,$C302)/Assumptions!$B$4*Assumptions!$B$6</f>
        <v>0</v>
      </c>
      <c r="AH302" s="7" t="n">
        <f aca="false">SUMIFS(Doors!AT:AT,Doors!$A:$A,$D302,Doors!$B:$B,$B302,Doors!$C:$C,$C302)*SUMIFS(Velocity!$I:$I,Velocity!$A:$A,$A302,Velocity!$B:$B,$C302)/Assumptions!$B$4*Assumptions!$B$6</f>
        <v>0</v>
      </c>
      <c r="AI302" s="7" t="n">
        <f aca="false">SUMIFS(Doors!AU:AU,Doors!$A:$A,$D302,Doors!$B:$B,$B302,Doors!$C:$C,$C302)*SUMIFS(Velocity!$I:$I,Velocity!$A:$A,$A302,Velocity!$B:$B,$C302)/Assumptions!$B$4*Assumptions!$B$6</f>
        <v>0</v>
      </c>
      <c r="AJ302" s="7" t="n">
        <f aca="false">SUMIFS(Doors!AV:AV,Doors!$A:$A,$D302,Doors!$B:$B,$B302,Doors!$C:$C,$C302)*SUMIFS(Velocity!$I:$I,Velocity!$A:$A,$A302,Velocity!$B:$B,$C302)/Assumptions!$B$4*Assumptions!$B$6</f>
        <v>0</v>
      </c>
      <c r="AK302" s="7" t="n">
        <f aca="false">SUMIFS(Doors!AW:AW,Doors!$A:$A,$D302,Doors!$B:$B,$B302,Doors!$C:$C,$C302)*SUMIFS(Velocity!$I:$I,Velocity!$A:$A,$A302,Velocity!$B:$B,$C302)/Assumptions!$B$4*Assumptions!$B$6</f>
        <v>0</v>
      </c>
      <c r="AL302" s="7" t="n">
        <f aca="false">SUMIFS(Doors!AX:AX,Doors!$A:$A,$D302,Doors!$B:$B,$B302,Doors!$C:$C,$C302)*SUMIFS(Velocity!$I:$I,Velocity!$A:$A,$A302,Velocity!$B:$B,$C302)/Assumptions!$B$4*Assumptions!$B$6</f>
        <v>0</v>
      </c>
      <c r="AM302" s="7" t="n">
        <f aca="false">SUMIFS(Doors!AY:AY,Doors!$A:$A,$D302,Doors!$B:$B,$B302,Doors!$C:$C,$C302)*SUMIFS(Velocity!$I:$I,Velocity!$A:$A,$A302,Velocity!$B:$B,$C302)/Assumptions!$B$4*Assumptions!$B$6</f>
        <v>0</v>
      </c>
      <c r="AN302" s="7" t="n">
        <f aca="false">SUMIFS(Doors!AZ:AZ,Doors!$A:$A,$D302,Doors!$B:$B,$B302,Doors!$C:$C,$C302)*SUMIFS(Velocity!$I:$I,Velocity!$A:$A,$A302,Velocity!$B:$B,$C302)/Assumptions!$B$4*Assumptions!$B$6</f>
        <v>0</v>
      </c>
      <c r="AO302" s="7" t="n">
        <f aca="false">SUMIFS(Doors!BA:BA,Doors!$A:$A,$D302,Doors!$B:$B,$B302,Doors!$C:$C,$C302)*SUMIFS(Velocity!$I:$I,Velocity!$A:$A,$A302,Velocity!$B:$B,$C302)/Assumptions!$B$4*Assumptions!$B$6</f>
        <v>0</v>
      </c>
      <c r="AP302" s="7" t="n">
        <f aca="false">SUMIFS(Doors!BB:BB,Doors!$A:$A,$D302,Doors!$B:$B,$B302,Doors!$C:$C,$C302)*SUMIFS(Velocity!$I:$I,Velocity!$A:$A,$A302,Velocity!$B:$B,$C302)/Assumptions!$B$4*Assumptions!$B$6</f>
        <v>0</v>
      </c>
      <c r="AQ302" s="7" t="n">
        <f aca="false">SUMIFS(Doors!BC:BC,Doors!$A:$A,$D302,Doors!$B:$B,$B302,Doors!$C:$C,$C302)*SUMIFS(Velocity!$I:$I,Velocity!$A:$A,$A302,Velocity!$B:$B,$C302)/Assumptions!$B$4*Assumptions!$B$6</f>
        <v>0</v>
      </c>
      <c r="AR302" s="7" t="n">
        <f aca="false">SUMIFS(Doors!BD:BD,Doors!$A:$A,$D302,Doors!$B:$B,$B302,Doors!$C:$C,$C302)*SUMIFS(Velocity!$I:$I,Velocity!$A:$A,$A302,Velocity!$B:$B,$C302)/Assumptions!$B$4*Assumptions!$B$6</f>
        <v>0</v>
      </c>
      <c r="AS302" s="7" t="n">
        <f aca="false">SUMIFS(Doors!BE:BE,Doors!$A:$A,$D302,Doors!$B:$B,$B302,Doors!$C:$C,$C302)*SUMIFS(Velocity!$I:$I,Velocity!$A:$A,$A302,Velocity!$B:$B,$C302)/Assumptions!$B$4*Assumptions!$B$6</f>
        <v>0</v>
      </c>
      <c r="AT302" s="7" t="n">
        <f aca="false">SUMIFS(Doors!BF:BF,Doors!$A:$A,$D302,Doors!$B:$B,$B302,Doors!$C:$C,$C302)*SUMIFS(Velocity!$I:$I,Velocity!$A:$A,$A302,Velocity!$B:$B,$C302)/Assumptions!$B$4*Assumptions!$B$6</f>
        <v>0</v>
      </c>
      <c r="AU302" s="7" t="n">
        <f aca="false">SUMIFS(Doors!BG:BG,Doors!$A:$A,$D302,Doors!$B:$B,$B302,Doors!$C:$C,$C302)*SUMIFS(Velocity!$I:$I,Velocity!$A:$A,$A302,Velocity!$B:$B,$C302)/Assumptions!$B$4*Assumptions!$B$6</f>
        <v>0</v>
      </c>
      <c r="AV302" s="7" t="n">
        <f aca="false">SUMIFS(Doors!BH:BH,Doors!$A:$A,$D302,Doors!$B:$B,$B302,Doors!$C:$C,$C302)*SUMIFS(Velocity!$I:$I,Velocity!$A:$A,$A302,Velocity!$B:$B,$C302)/Assumptions!$B$4*Assumptions!$B$6</f>
        <v>0</v>
      </c>
      <c r="AW302" s="7" t="n">
        <f aca="false">SUMIFS(Doors!BI:BI,Doors!$A:$A,$D302,Doors!$B:$B,$B302,Doors!$C:$C,$C302)*SUMIFS(Velocity!$I:$I,Velocity!$A:$A,$A302,Velocity!$B:$B,$C302)/Assumptions!$B$4*Assumptions!$B$6</f>
        <v>0</v>
      </c>
      <c r="AX302" s="7" t="n">
        <f aca="false">SUMIFS(Doors!BJ:BJ,Doors!$A:$A,$D302,Doors!$B:$B,$B302,Doors!$C:$C,$C302)*SUMIFS(Velocity!$I:$I,Velocity!$A:$A,$A302,Velocity!$B:$B,$C302)/Assumptions!$B$4*Assumptions!$B$6</f>
        <v>0</v>
      </c>
      <c r="AY302" s="7" t="n">
        <f aca="false">SUMIFS(Doors!BK:BK,Doors!$A:$A,$D302,Doors!$B:$B,$B302,Doors!$C:$C,$C302)*SUMIFS(Velocity!$I:$I,Velocity!$A:$A,$A302,Velocity!$B:$B,$C302)/Assumptions!$B$4*Assumptions!$B$6</f>
        <v>0</v>
      </c>
      <c r="AZ302" s="7" t="n">
        <f aca="false">SUMIFS(Doors!BL:BL,Doors!$A:$A,$D302,Doors!$B:$B,$B302,Doors!$C:$C,$C302)*SUMIFS(Velocity!$I:$I,Velocity!$A:$A,$A302,Velocity!$B:$B,$C302)/Assumptions!$B$4*Assumptions!$B$6</f>
        <v>0</v>
      </c>
      <c r="BA302" s="7" t="n">
        <f aca="false">SUMIFS(Doors!BM:BM,Doors!$A:$A,$D302,Doors!$B:$B,$B302,Doors!$C:$C,$C302)*SUMIFS(Velocity!$I:$I,Velocity!$A:$A,$A302,Velocity!$B:$B,$C302)/Assumptions!$B$4*Assumptions!$B$6</f>
        <v>0</v>
      </c>
      <c r="BB302" s="7" t="n">
        <f aca="false">SUMIFS(Doors!BN:BN,Doors!$A:$A,$D302,Doors!$B:$B,$B302,Doors!$C:$C,$C302)*SUMIFS(Velocity!$I:$I,Velocity!$A:$A,$A302,Velocity!$B:$B,$C302)/Assumptions!$B$4*Assumptions!$B$6</f>
        <v>0</v>
      </c>
      <c r="BC302" s="7" t="n">
        <f aca="false">SUMIFS(Doors!BO:BO,Doors!$A:$A,$D302,Doors!$B:$B,$B302,Doors!$C:$C,$C302)*SUMIFS(Velocity!$I:$I,Velocity!$A:$A,$A302,Velocity!$B:$B,$C302)/Assumptions!$B$4*Assumptions!$B$6</f>
        <v>0</v>
      </c>
      <c r="BD302" s="7" t="n">
        <f aca="false">SUMIFS(Doors!BP:BP,Doors!$A:$A,$D302,Doors!$B:$B,$B302,Doors!$C:$C,$C302)*SUMIFS(Velocity!$I:$I,Velocity!$A:$A,$A302,Velocity!$B:$B,$C302)/Assumptions!$B$4*Assumptions!$B$6</f>
        <v>0</v>
      </c>
    </row>
    <row r="303" customFormat="false" ht="15" hidden="false" customHeight="false" outlineLevel="0" collapsed="false">
      <c r="A303" s="0" t="s">
        <v>111</v>
      </c>
      <c r="B303" s="0" t="s">
        <v>129</v>
      </c>
      <c r="C303" s="0" t="s">
        <v>115</v>
      </c>
      <c r="D303" s="0" t="s">
        <v>236</v>
      </c>
      <c r="E303" s="7" t="n">
        <f aca="false">SUMIFS(Doors!Q:Q,Doors!$A:$A,$D303,Doors!$B:$B,$B303,Doors!$C:$C,$C303)*SUMIFS(Velocity!$I:$I,Velocity!$A:$A,$A303,Velocity!$B:$B,$C303)/Assumptions!$B$4*Assumptions!$B$6</f>
        <v>0</v>
      </c>
      <c r="F303" s="7" t="n">
        <f aca="false">SUMIFS(Doors!R:R,Doors!$A:$A,$D303,Doors!$B:$B,$B303,Doors!$C:$C,$C303)*SUMIFS(Velocity!$I:$I,Velocity!$A:$A,$A303,Velocity!$B:$B,$C303)/Assumptions!$B$4*Assumptions!$B$6</f>
        <v>0</v>
      </c>
      <c r="G303" s="7" t="n">
        <f aca="false">SUMIFS(Doors!S:S,Doors!$A:$A,$D303,Doors!$B:$B,$B303,Doors!$C:$C,$C303)*SUMIFS(Velocity!$I:$I,Velocity!$A:$A,$A303,Velocity!$B:$B,$C303)/Assumptions!$B$4*Assumptions!$B$6</f>
        <v>0</v>
      </c>
      <c r="H303" s="7" t="n">
        <f aca="false">SUMIFS(Doors!T:T,Doors!$A:$A,$D303,Doors!$B:$B,$B303,Doors!$C:$C,$C303)*SUMIFS(Velocity!$I:$I,Velocity!$A:$A,$A303,Velocity!$B:$B,$C303)/Assumptions!$B$4*Assumptions!$B$6</f>
        <v>0</v>
      </c>
      <c r="I303" s="7" t="n">
        <f aca="false">SUMIFS(Doors!U:U,Doors!$A:$A,$D303,Doors!$B:$B,$B303,Doors!$C:$C,$C303)*SUMIFS(Velocity!$I:$I,Velocity!$A:$A,$A303,Velocity!$B:$B,$C303)/Assumptions!$B$4*Assumptions!$B$6</f>
        <v>0</v>
      </c>
      <c r="J303" s="7" t="n">
        <f aca="false">SUMIFS(Doors!V:V,Doors!$A:$A,$D303,Doors!$B:$B,$B303,Doors!$C:$C,$C303)*SUMIFS(Velocity!$I:$I,Velocity!$A:$A,$A303,Velocity!$B:$B,$C303)/Assumptions!$B$4*Assumptions!$B$6</f>
        <v>0</v>
      </c>
      <c r="K303" s="7" t="n">
        <f aca="false">SUMIFS(Doors!W:W,Doors!$A:$A,$D303,Doors!$B:$B,$B303,Doors!$C:$C,$C303)*SUMIFS(Velocity!$I:$I,Velocity!$A:$A,$A303,Velocity!$B:$B,$C303)/Assumptions!$B$4*Assumptions!$B$6</f>
        <v>0</v>
      </c>
      <c r="L303" s="7" t="n">
        <f aca="false">SUMIFS(Doors!X:X,Doors!$A:$A,$D303,Doors!$B:$B,$B303,Doors!$C:$C,$C303)*SUMIFS(Velocity!$I:$I,Velocity!$A:$A,$A303,Velocity!$B:$B,$C303)/Assumptions!$B$4*Assumptions!$B$6</f>
        <v>0</v>
      </c>
      <c r="M303" s="7" t="n">
        <f aca="false">SUMIFS(Doors!Y:Y,Doors!$A:$A,$D303,Doors!$B:$B,$B303,Doors!$C:$C,$C303)*SUMIFS(Velocity!$I:$I,Velocity!$A:$A,$A303,Velocity!$B:$B,$C303)/Assumptions!$B$4*Assumptions!$B$6</f>
        <v>0</v>
      </c>
      <c r="N303" s="7" t="n">
        <f aca="false">SUMIFS(Doors!Z:Z,Doors!$A:$A,$D303,Doors!$B:$B,$B303,Doors!$C:$C,$C303)*SUMIFS(Velocity!$I:$I,Velocity!$A:$A,$A303,Velocity!$B:$B,$C303)/Assumptions!$B$4*Assumptions!$B$6</f>
        <v>0</v>
      </c>
      <c r="O303" s="7" t="n">
        <f aca="false">SUMIFS(Doors!AA:AA,Doors!$A:$A,$D303,Doors!$B:$B,$B303,Doors!$C:$C,$C303)*SUMIFS(Velocity!$I:$I,Velocity!$A:$A,$A303,Velocity!$B:$B,$C303)/Assumptions!$B$4*Assumptions!$B$6</f>
        <v>0</v>
      </c>
      <c r="P303" s="7" t="n">
        <f aca="false">SUMIFS(Doors!AB:AB,Doors!$A:$A,$D303,Doors!$B:$B,$B303,Doors!$C:$C,$C303)*SUMIFS(Velocity!$I:$I,Velocity!$A:$A,$A303,Velocity!$B:$B,$C303)/Assumptions!$B$4*Assumptions!$B$6</f>
        <v>0</v>
      </c>
      <c r="Q303" s="7" t="n">
        <f aca="false">SUMIFS(Doors!AC:AC,Doors!$A:$A,$D303,Doors!$B:$B,$B303,Doors!$C:$C,$C303)*SUMIFS(Velocity!$I:$I,Velocity!$A:$A,$A303,Velocity!$B:$B,$C303)/Assumptions!$B$4*Assumptions!$B$6</f>
        <v>0</v>
      </c>
      <c r="R303" s="7" t="n">
        <f aca="false">SUMIFS(Doors!AD:AD,Doors!$A:$A,$D303,Doors!$B:$B,$B303,Doors!$C:$C,$C303)*SUMIFS(Velocity!$I:$I,Velocity!$A:$A,$A303,Velocity!$B:$B,$C303)/Assumptions!$B$4*Assumptions!$B$6</f>
        <v>0</v>
      </c>
      <c r="S303" s="7" t="n">
        <f aca="false">SUMIFS(Doors!AE:AE,Doors!$A:$A,$D303,Doors!$B:$B,$B303,Doors!$C:$C,$C303)*SUMIFS(Velocity!$I:$I,Velocity!$A:$A,$A303,Velocity!$B:$B,$C303)/Assumptions!$B$4*Assumptions!$B$6</f>
        <v>0</v>
      </c>
      <c r="T303" s="7" t="n">
        <f aca="false">SUMIFS(Doors!AF:AF,Doors!$A:$A,$D303,Doors!$B:$B,$B303,Doors!$C:$C,$C303)*SUMIFS(Velocity!$I:$I,Velocity!$A:$A,$A303,Velocity!$B:$B,$C303)/Assumptions!$B$4*Assumptions!$B$6</f>
        <v>0</v>
      </c>
      <c r="U303" s="7" t="n">
        <f aca="false">SUMIFS(Doors!AG:AG,Doors!$A:$A,$D303,Doors!$B:$B,$B303,Doors!$C:$C,$C303)*SUMIFS(Velocity!$I:$I,Velocity!$A:$A,$A303,Velocity!$B:$B,$C303)/Assumptions!$B$4*Assumptions!$B$6</f>
        <v>0</v>
      </c>
      <c r="V303" s="7" t="n">
        <f aca="false">SUMIFS(Doors!AH:AH,Doors!$A:$A,$D303,Doors!$B:$B,$B303,Doors!$C:$C,$C303)*SUMIFS(Velocity!$I:$I,Velocity!$A:$A,$A303,Velocity!$B:$B,$C303)/Assumptions!$B$4*Assumptions!$B$6</f>
        <v>0</v>
      </c>
      <c r="W303" s="7" t="n">
        <f aca="false">SUMIFS(Doors!AI:AI,Doors!$A:$A,$D303,Doors!$B:$B,$B303,Doors!$C:$C,$C303)*SUMIFS(Velocity!$I:$I,Velocity!$A:$A,$A303,Velocity!$B:$B,$C303)/Assumptions!$B$4*Assumptions!$B$6</f>
        <v>0</v>
      </c>
      <c r="X303" s="7" t="n">
        <f aca="false">SUMIFS(Doors!AJ:AJ,Doors!$A:$A,$D303,Doors!$B:$B,$B303,Doors!$C:$C,$C303)*SUMIFS(Velocity!$I:$I,Velocity!$A:$A,$A303,Velocity!$B:$B,$C303)/Assumptions!$B$4*Assumptions!$B$6</f>
        <v>0</v>
      </c>
      <c r="Y303" s="7" t="n">
        <f aca="false">SUMIFS(Doors!AK:AK,Doors!$A:$A,$D303,Doors!$B:$B,$B303,Doors!$C:$C,$C303)*SUMIFS(Velocity!$I:$I,Velocity!$A:$A,$A303,Velocity!$B:$B,$C303)/Assumptions!$B$4*Assumptions!$B$6</f>
        <v>0</v>
      </c>
      <c r="Z303" s="7" t="n">
        <f aca="false">SUMIFS(Doors!AL:AL,Doors!$A:$A,$D303,Doors!$B:$B,$B303,Doors!$C:$C,$C303)*SUMIFS(Velocity!$I:$I,Velocity!$A:$A,$A303,Velocity!$B:$B,$C303)/Assumptions!$B$4*Assumptions!$B$6</f>
        <v>0</v>
      </c>
      <c r="AA303" s="7" t="n">
        <f aca="false">SUMIFS(Doors!AM:AM,Doors!$A:$A,$D303,Doors!$B:$B,$B303,Doors!$C:$C,$C303)*SUMIFS(Velocity!$I:$I,Velocity!$A:$A,$A303,Velocity!$B:$B,$C303)/Assumptions!$B$4*Assumptions!$B$6</f>
        <v>0</v>
      </c>
      <c r="AB303" s="7" t="n">
        <f aca="false">SUMIFS(Doors!AN:AN,Doors!$A:$A,$D303,Doors!$B:$B,$B303,Doors!$C:$C,$C303)*SUMIFS(Velocity!$I:$I,Velocity!$A:$A,$A303,Velocity!$B:$B,$C303)/Assumptions!$B$4*Assumptions!$B$6</f>
        <v>0</v>
      </c>
      <c r="AC303" s="7" t="n">
        <f aca="false">SUMIFS(Doors!AO:AO,Doors!$A:$A,$D303,Doors!$B:$B,$B303,Doors!$C:$C,$C303)*SUMIFS(Velocity!$I:$I,Velocity!$A:$A,$A303,Velocity!$B:$B,$C303)/Assumptions!$B$4*Assumptions!$B$6</f>
        <v>0</v>
      </c>
      <c r="AD303" s="7" t="n">
        <f aca="false">SUMIFS(Doors!AP:AP,Doors!$A:$A,$D303,Doors!$B:$B,$B303,Doors!$C:$C,$C303)*SUMIFS(Velocity!$I:$I,Velocity!$A:$A,$A303,Velocity!$B:$B,$C303)/Assumptions!$B$4*Assumptions!$B$6</f>
        <v>0</v>
      </c>
      <c r="AE303" s="7" t="n">
        <f aca="false">SUMIFS(Doors!AQ:AQ,Doors!$A:$A,$D303,Doors!$B:$B,$B303,Doors!$C:$C,$C303)*SUMIFS(Velocity!$I:$I,Velocity!$A:$A,$A303,Velocity!$B:$B,$C303)/Assumptions!$B$4*Assumptions!$B$6</f>
        <v>0</v>
      </c>
      <c r="AF303" s="7" t="n">
        <f aca="false">SUMIFS(Doors!AR:AR,Doors!$A:$A,$D303,Doors!$B:$B,$B303,Doors!$C:$C,$C303)*SUMIFS(Velocity!$I:$I,Velocity!$A:$A,$A303,Velocity!$B:$B,$C303)/Assumptions!$B$4*Assumptions!$B$6</f>
        <v>0</v>
      </c>
      <c r="AG303" s="7" t="n">
        <f aca="false">SUMIFS(Doors!AS:AS,Doors!$A:$A,$D303,Doors!$B:$B,$B303,Doors!$C:$C,$C303)*SUMIFS(Velocity!$I:$I,Velocity!$A:$A,$A303,Velocity!$B:$B,$C303)/Assumptions!$B$4*Assumptions!$B$6</f>
        <v>0</v>
      </c>
      <c r="AH303" s="7" t="n">
        <f aca="false">SUMIFS(Doors!AT:AT,Doors!$A:$A,$D303,Doors!$B:$B,$B303,Doors!$C:$C,$C303)*SUMIFS(Velocity!$I:$I,Velocity!$A:$A,$A303,Velocity!$B:$B,$C303)/Assumptions!$B$4*Assumptions!$B$6</f>
        <v>0</v>
      </c>
      <c r="AI303" s="7" t="n">
        <f aca="false">SUMIFS(Doors!AU:AU,Doors!$A:$A,$D303,Doors!$B:$B,$B303,Doors!$C:$C,$C303)*SUMIFS(Velocity!$I:$I,Velocity!$A:$A,$A303,Velocity!$B:$B,$C303)/Assumptions!$B$4*Assumptions!$B$6</f>
        <v>0</v>
      </c>
      <c r="AJ303" s="7" t="n">
        <f aca="false">SUMIFS(Doors!AV:AV,Doors!$A:$A,$D303,Doors!$B:$B,$B303,Doors!$C:$C,$C303)*SUMIFS(Velocity!$I:$I,Velocity!$A:$A,$A303,Velocity!$B:$B,$C303)/Assumptions!$B$4*Assumptions!$B$6</f>
        <v>0</v>
      </c>
      <c r="AK303" s="7" t="n">
        <f aca="false">SUMIFS(Doors!AW:AW,Doors!$A:$A,$D303,Doors!$B:$B,$B303,Doors!$C:$C,$C303)*SUMIFS(Velocity!$I:$I,Velocity!$A:$A,$A303,Velocity!$B:$B,$C303)/Assumptions!$B$4*Assumptions!$B$6</f>
        <v>0</v>
      </c>
      <c r="AL303" s="7" t="n">
        <f aca="false">SUMIFS(Doors!AX:AX,Doors!$A:$A,$D303,Doors!$B:$B,$B303,Doors!$C:$C,$C303)*SUMIFS(Velocity!$I:$I,Velocity!$A:$A,$A303,Velocity!$B:$B,$C303)/Assumptions!$B$4*Assumptions!$B$6</f>
        <v>0</v>
      </c>
      <c r="AM303" s="7" t="n">
        <f aca="false">SUMIFS(Doors!AY:AY,Doors!$A:$A,$D303,Doors!$B:$B,$B303,Doors!$C:$C,$C303)*SUMIFS(Velocity!$I:$I,Velocity!$A:$A,$A303,Velocity!$B:$B,$C303)/Assumptions!$B$4*Assumptions!$B$6</f>
        <v>0</v>
      </c>
      <c r="AN303" s="7" t="n">
        <f aca="false">SUMIFS(Doors!AZ:AZ,Doors!$A:$A,$D303,Doors!$B:$B,$B303,Doors!$C:$C,$C303)*SUMIFS(Velocity!$I:$I,Velocity!$A:$A,$A303,Velocity!$B:$B,$C303)/Assumptions!$B$4*Assumptions!$B$6</f>
        <v>0</v>
      </c>
      <c r="AO303" s="7" t="n">
        <f aca="false">SUMIFS(Doors!BA:BA,Doors!$A:$A,$D303,Doors!$B:$B,$B303,Doors!$C:$C,$C303)*SUMIFS(Velocity!$I:$I,Velocity!$A:$A,$A303,Velocity!$B:$B,$C303)/Assumptions!$B$4*Assumptions!$B$6</f>
        <v>0</v>
      </c>
      <c r="AP303" s="7" t="n">
        <f aca="false">SUMIFS(Doors!BB:BB,Doors!$A:$A,$D303,Doors!$B:$B,$B303,Doors!$C:$C,$C303)*SUMIFS(Velocity!$I:$I,Velocity!$A:$A,$A303,Velocity!$B:$B,$C303)/Assumptions!$B$4*Assumptions!$B$6</f>
        <v>0</v>
      </c>
      <c r="AQ303" s="7" t="n">
        <f aca="false">SUMIFS(Doors!BC:BC,Doors!$A:$A,$D303,Doors!$B:$B,$B303,Doors!$C:$C,$C303)*SUMIFS(Velocity!$I:$I,Velocity!$A:$A,$A303,Velocity!$B:$B,$C303)/Assumptions!$B$4*Assumptions!$B$6</f>
        <v>0</v>
      </c>
      <c r="AR303" s="7" t="n">
        <f aca="false">SUMIFS(Doors!BD:BD,Doors!$A:$A,$D303,Doors!$B:$B,$B303,Doors!$C:$C,$C303)*SUMIFS(Velocity!$I:$I,Velocity!$A:$A,$A303,Velocity!$B:$B,$C303)/Assumptions!$B$4*Assumptions!$B$6</f>
        <v>0</v>
      </c>
      <c r="AS303" s="7" t="n">
        <f aca="false">SUMIFS(Doors!BE:BE,Doors!$A:$A,$D303,Doors!$B:$B,$B303,Doors!$C:$C,$C303)*SUMIFS(Velocity!$I:$I,Velocity!$A:$A,$A303,Velocity!$B:$B,$C303)/Assumptions!$B$4*Assumptions!$B$6</f>
        <v>0</v>
      </c>
      <c r="AT303" s="7" t="n">
        <f aca="false">SUMIFS(Doors!BF:BF,Doors!$A:$A,$D303,Doors!$B:$B,$B303,Doors!$C:$C,$C303)*SUMIFS(Velocity!$I:$I,Velocity!$A:$A,$A303,Velocity!$B:$B,$C303)/Assumptions!$B$4*Assumptions!$B$6</f>
        <v>0</v>
      </c>
      <c r="AU303" s="7" t="n">
        <f aca="false">SUMIFS(Doors!BG:BG,Doors!$A:$A,$D303,Doors!$B:$B,$B303,Doors!$C:$C,$C303)*SUMIFS(Velocity!$I:$I,Velocity!$A:$A,$A303,Velocity!$B:$B,$C303)/Assumptions!$B$4*Assumptions!$B$6</f>
        <v>0</v>
      </c>
      <c r="AV303" s="7" t="n">
        <f aca="false">SUMIFS(Doors!BH:BH,Doors!$A:$A,$D303,Doors!$B:$B,$B303,Doors!$C:$C,$C303)*SUMIFS(Velocity!$I:$I,Velocity!$A:$A,$A303,Velocity!$B:$B,$C303)/Assumptions!$B$4*Assumptions!$B$6</f>
        <v>0</v>
      </c>
      <c r="AW303" s="7" t="n">
        <f aca="false">SUMIFS(Doors!BI:BI,Doors!$A:$A,$D303,Doors!$B:$B,$B303,Doors!$C:$C,$C303)*SUMIFS(Velocity!$I:$I,Velocity!$A:$A,$A303,Velocity!$B:$B,$C303)/Assumptions!$B$4*Assumptions!$B$6</f>
        <v>0</v>
      </c>
      <c r="AX303" s="7" t="n">
        <f aca="false">SUMIFS(Doors!BJ:BJ,Doors!$A:$A,$D303,Doors!$B:$B,$B303,Doors!$C:$C,$C303)*SUMIFS(Velocity!$I:$I,Velocity!$A:$A,$A303,Velocity!$B:$B,$C303)/Assumptions!$B$4*Assumptions!$B$6</f>
        <v>0</v>
      </c>
      <c r="AY303" s="7" t="n">
        <f aca="false">SUMIFS(Doors!BK:BK,Doors!$A:$A,$D303,Doors!$B:$B,$B303,Doors!$C:$C,$C303)*SUMIFS(Velocity!$I:$I,Velocity!$A:$A,$A303,Velocity!$B:$B,$C303)/Assumptions!$B$4*Assumptions!$B$6</f>
        <v>0</v>
      </c>
      <c r="AZ303" s="7" t="n">
        <f aca="false">SUMIFS(Doors!BL:BL,Doors!$A:$A,$D303,Doors!$B:$B,$B303,Doors!$C:$C,$C303)*SUMIFS(Velocity!$I:$I,Velocity!$A:$A,$A303,Velocity!$B:$B,$C303)/Assumptions!$B$4*Assumptions!$B$6</f>
        <v>0</v>
      </c>
      <c r="BA303" s="7" t="n">
        <f aca="false">SUMIFS(Doors!BM:BM,Doors!$A:$A,$D303,Doors!$B:$B,$B303,Doors!$C:$C,$C303)*SUMIFS(Velocity!$I:$I,Velocity!$A:$A,$A303,Velocity!$B:$B,$C303)/Assumptions!$B$4*Assumptions!$B$6</f>
        <v>0</v>
      </c>
      <c r="BB303" s="7" t="n">
        <f aca="false">SUMIFS(Doors!BN:BN,Doors!$A:$A,$D303,Doors!$B:$B,$B303,Doors!$C:$C,$C303)*SUMIFS(Velocity!$I:$I,Velocity!$A:$A,$A303,Velocity!$B:$B,$C303)/Assumptions!$B$4*Assumptions!$B$6</f>
        <v>0</v>
      </c>
      <c r="BC303" s="7" t="n">
        <f aca="false">SUMIFS(Doors!BO:BO,Doors!$A:$A,$D303,Doors!$B:$B,$B303,Doors!$C:$C,$C303)*SUMIFS(Velocity!$I:$I,Velocity!$A:$A,$A303,Velocity!$B:$B,$C303)/Assumptions!$B$4*Assumptions!$B$6</f>
        <v>0</v>
      </c>
      <c r="BD303" s="7" t="n">
        <f aca="false">SUMIFS(Doors!BP:BP,Doors!$A:$A,$D303,Doors!$B:$B,$B303,Doors!$C:$C,$C303)*SUMIFS(Velocity!$I:$I,Velocity!$A:$A,$A303,Velocity!$B:$B,$C303)/Assumptions!$B$4*Assumptions!$B$6</f>
        <v>0</v>
      </c>
    </row>
    <row r="304" customFormat="false" ht="15" hidden="false" customHeight="false" outlineLevel="0" collapsed="false">
      <c r="A304" s="0" t="s">
        <v>111</v>
      </c>
      <c r="B304" s="0" t="s">
        <v>129</v>
      </c>
      <c r="C304" s="0" t="s">
        <v>116</v>
      </c>
      <c r="D304" s="0" t="s">
        <v>236</v>
      </c>
      <c r="E304" s="7" t="n">
        <f aca="false">SUMIFS(Doors!Q:Q,Doors!$A:$A,$D304,Doors!$B:$B,$B304,Doors!$C:$C,$C304)*SUMIFS(Velocity!$I:$I,Velocity!$A:$A,$A304,Velocity!$B:$B,$C304)/Assumptions!$B$4*Assumptions!$B$6</f>
        <v>0</v>
      </c>
      <c r="F304" s="7" t="n">
        <f aca="false">SUMIFS(Doors!R:R,Doors!$A:$A,$D304,Doors!$B:$B,$B304,Doors!$C:$C,$C304)*SUMIFS(Velocity!$I:$I,Velocity!$A:$A,$A304,Velocity!$B:$B,$C304)/Assumptions!$B$4*Assumptions!$B$6</f>
        <v>0</v>
      </c>
      <c r="G304" s="7" t="n">
        <f aca="false">SUMIFS(Doors!S:S,Doors!$A:$A,$D304,Doors!$B:$B,$B304,Doors!$C:$C,$C304)*SUMIFS(Velocity!$I:$I,Velocity!$A:$A,$A304,Velocity!$B:$B,$C304)/Assumptions!$B$4*Assumptions!$B$6</f>
        <v>0</v>
      </c>
      <c r="H304" s="7" t="n">
        <f aca="false">SUMIFS(Doors!T:T,Doors!$A:$A,$D304,Doors!$B:$B,$B304,Doors!$C:$C,$C304)*SUMIFS(Velocity!$I:$I,Velocity!$A:$A,$A304,Velocity!$B:$B,$C304)/Assumptions!$B$4*Assumptions!$B$6</f>
        <v>0</v>
      </c>
      <c r="I304" s="7" t="n">
        <f aca="false">SUMIFS(Doors!U:U,Doors!$A:$A,$D304,Doors!$B:$B,$B304,Doors!$C:$C,$C304)*SUMIFS(Velocity!$I:$I,Velocity!$A:$A,$A304,Velocity!$B:$B,$C304)/Assumptions!$B$4*Assumptions!$B$6</f>
        <v>0</v>
      </c>
      <c r="J304" s="7" t="n">
        <f aca="false">SUMIFS(Doors!V:V,Doors!$A:$A,$D304,Doors!$B:$B,$B304,Doors!$C:$C,$C304)*SUMIFS(Velocity!$I:$I,Velocity!$A:$A,$A304,Velocity!$B:$B,$C304)/Assumptions!$B$4*Assumptions!$B$6</f>
        <v>0</v>
      </c>
      <c r="K304" s="7" t="n">
        <f aca="false">SUMIFS(Doors!W:W,Doors!$A:$A,$D304,Doors!$B:$B,$B304,Doors!$C:$C,$C304)*SUMIFS(Velocity!$I:$I,Velocity!$A:$A,$A304,Velocity!$B:$B,$C304)/Assumptions!$B$4*Assumptions!$B$6</f>
        <v>0</v>
      </c>
      <c r="L304" s="7" t="n">
        <f aca="false">SUMIFS(Doors!X:X,Doors!$A:$A,$D304,Doors!$B:$B,$B304,Doors!$C:$C,$C304)*SUMIFS(Velocity!$I:$I,Velocity!$A:$A,$A304,Velocity!$B:$B,$C304)/Assumptions!$B$4*Assumptions!$B$6</f>
        <v>0</v>
      </c>
      <c r="M304" s="7" t="n">
        <f aca="false">SUMIFS(Doors!Y:Y,Doors!$A:$A,$D304,Doors!$B:$B,$B304,Doors!$C:$C,$C304)*SUMIFS(Velocity!$I:$I,Velocity!$A:$A,$A304,Velocity!$B:$B,$C304)/Assumptions!$B$4*Assumptions!$B$6</f>
        <v>0</v>
      </c>
      <c r="N304" s="7" t="n">
        <f aca="false">SUMIFS(Doors!Z:Z,Doors!$A:$A,$D304,Doors!$B:$B,$B304,Doors!$C:$C,$C304)*SUMIFS(Velocity!$I:$I,Velocity!$A:$A,$A304,Velocity!$B:$B,$C304)/Assumptions!$B$4*Assumptions!$B$6</f>
        <v>0</v>
      </c>
      <c r="O304" s="7" t="n">
        <f aca="false">SUMIFS(Doors!AA:AA,Doors!$A:$A,$D304,Doors!$B:$B,$B304,Doors!$C:$C,$C304)*SUMIFS(Velocity!$I:$I,Velocity!$A:$A,$A304,Velocity!$B:$B,$C304)/Assumptions!$B$4*Assumptions!$B$6</f>
        <v>0</v>
      </c>
      <c r="P304" s="7" t="n">
        <f aca="false">SUMIFS(Doors!AB:AB,Doors!$A:$A,$D304,Doors!$B:$B,$B304,Doors!$C:$C,$C304)*SUMIFS(Velocity!$I:$I,Velocity!$A:$A,$A304,Velocity!$B:$B,$C304)/Assumptions!$B$4*Assumptions!$B$6</f>
        <v>0</v>
      </c>
      <c r="Q304" s="7" t="n">
        <f aca="false">SUMIFS(Doors!AC:AC,Doors!$A:$A,$D304,Doors!$B:$B,$B304,Doors!$C:$C,$C304)*SUMIFS(Velocity!$I:$I,Velocity!$A:$A,$A304,Velocity!$B:$B,$C304)/Assumptions!$B$4*Assumptions!$B$6</f>
        <v>0</v>
      </c>
      <c r="R304" s="7" t="n">
        <f aca="false">SUMIFS(Doors!AD:AD,Doors!$A:$A,$D304,Doors!$B:$B,$B304,Doors!$C:$C,$C304)*SUMIFS(Velocity!$I:$I,Velocity!$A:$A,$A304,Velocity!$B:$B,$C304)/Assumptions!$B$4*Assumptions!$B$6</f>
        <v>0</v>
      </c>
      <c r="S304" s="7" t="n">
        <f aca="false">SUMIFS(Doors!AE:AE,Doors!$A:$A,$D304,Doors!$B:$B,$B304,Doors!$C:$C,$C304)*SUMIFS(Velocity!$I:$I,Velocity!$A:$A,$A304,Velocity!$B:$B,$C304)/Assumptions!$B$4*Assumptions!$B$6</f>
        <v>0</v>
      </c>
      <c r="T304" s="7" t="n">
        <f aca="false">SUMIFS(Doors!AF:AF,Doors!$A:$A,$D304,Doors!$B:$B,$B304,Doors!$C:$C,$C304)*SUMIFS(Velocity!$I:$I,Velocity!$A:$A,$A304,Velocity!$B:$B,$C304)/Assumptions!$B$4*Assumptions!$B$6</f>
        <v>0</v>
      </c>
      <c r="U304" s="7" t="n">
        <f aca="false">SUMIFS(Doors!AG:AG,Doors!$A:$A,$D304,Doors!$B:$B,$B304,Doors!$C:$C,$C304)*SUMIFS(Velocity!$I:$I,Velocity!$A:$A,$A304,Velocity!$B:$B,$C304)/Assumptions!$B$4*Assumptions!$B$6</f>
        <v>0</v>
      </c>
      <c r="V304" s="7" t="n">
        <f aca="false">SUMIFS(Doors!AH:AH,Doors!$A:$A,$D304,Doors!$B:$B,$B304,Doors!$C:$C,$C304)*SUMIFS(Velocity!$I:$I,Velocity!$A:$A,$A304,Velocity!$B:$B,$C304)/Assumptions!$B$4*Assumptions!$B$6</f>
        <v>0</v>
      </c>
      <c r="W304" s="7" t="n">
        <f aca="false">SUMIFS(Doors!AI:AI,Doors!$A:$A,$D304,Doors!$B:$B,$B304,Doors!$C:$C,$C304)*SUMIFS(Velocity!$I:$I,Velocity!$A:$A,$A304,Velocity!$B:$B,$C304)/Assumptions!$B$4*Assumptions!$B$6</f>
        <v>0</v>
      </c>
      <c r="X304" s="7" t="n">
        <f aca="false">SUMIFS(Doors!AJ:AJ,Doors!$A:$A,$D304,Doors!$B:$B,$B304,Doors!$C:$C,$C304)*SUMIFS(Velocity!$I:$I,Velocity!$A:$A,$A304,Velocity!$B:$B,$C304)/Assumptions!$B$4*Assumptions!$B$6</f>
        <v>0</v>
      </c>
      <c r="Y304" s="7" t="n">
        <f aca="false">SUMIFS(Doors!AK:AK,Doors!$A:$A,$D304,Doors!$B:$B,$B304,Doors!$C:$C,$C304)*SUMIFS(Velocity!$I:$I,Velocity!$A:$A,$A304,Velocity!$B:$B,$C304)/Assumptions!$B$4*Assumptions!$B$6</f>
        <v>0</v>
      </c>
      <c r="Z304" s="7" t="n">
        <f aca="false">SUMIFS(Doors!AL:AL,Doors!$A:$A,$D304,Doors!$B:$B,$B304,Doors!$C:$C,$C304)*SUMIFS(Velocity!$I:$I,Velocity!$A:$A,$A304,Velocity!$B:$B,$C304)/Assumptions!$B$4*Assumptions!$B$6</f>
        <v>0</v>
      </c>
      <c r="AA304" s="7" t="n">
        <f aca="false">SUMIFS(Doors!AM:AM,Doors!$A:$A,$D304,Doors!$B:$B,$B304,Doors!$C:$C,$C304)*SUMIFS(Velocity!$I:$I,Velocity!$A:$A,$A304,Velocity!$B:$B,$C304)/Assumptions!$B$4*Assumptions!$B$6</f>
        <v>0</v>
      </c>
      <c r="AB304" s="7" t="n">
        <f aca="false">SUMIFS(Doors!AN:AN,Doors!$A:$A,$D304,Doors!$B:$B,$B304,Doors!$C:$C,$C304)*SUMIFS(Velocity!$I:$I,Velocity!$A:$A,$A304,Velocity!$B:$B,$C304)/Assumptions!$B$4*Assumptions!$B$6</f>
        <v>0</v>
      </c>
      <c r="AC304" s="7" t="n">
        <f aca="false">SUMIFS(Doors!AO:AO,Doors!$A:$A,$D304,Doors!$B:$B,$B304,Doors!$C:$C,$C304)*SUMIFS(Velocity!$I:$I,Velocity!$A:$A,$A304,Velocity!$B:$B,$C304)/Assumptions!$B$4*Assumptions!$B$6</f>
        <v>0</v>
      </c>
      <c r="AD304" s="7" t="n">
        <f aca="false">SUMIFS(Doors!AP:AP,Doors!$A:$A,$D304,Doors!$B:$B,$B304,Doors!$C:$C,$C304)*SUMIFS(Velocity!$I:$I,Velocity!$A:$A,$A304,Velocity!$B:$B,$C304)/Assumptions!$B$4*Assumptions!$B$6</f>
        <v>0</v>
      </c>
      <c r="AE304" s="7" t="n">
        <f aca="false">SUMIFS(Doors!AQ:AQ,Doors!$A:$A,$D304,Doors!$B:$B,$B304,Doors!$C:$C,$C304)*SUMIFS(Velocity!$I:$I,Velocity!$A:$A,$A304,Velocity!$B:$B,$C304)/Assumptions!$B$4*Assumptions!$B$6</f>
        <v>0</v>
      </c>
      <c r="AF304" s="7" t="n">
        <f aca="false">SUMIFS(Doors!AR:AR,Doors!$A:$A,$D304,Doors!$B:$B,$B304,Doors!$C:$C,$C304)*SUMIFS(Velocity!$I:$I,Velocity!$A:$A,$A304,Velocity!$B:$B,$C304)/Assumptions!$B$4*Assumptions!$B$6</f>
        <v>0</v>
      </c>
      <c r="AG304" s="7" t="n">
        <f aca="false">SUMIFS(Doors!AS:AS,Doors!$A:$A,$D304,Doors!$B:$B,$B304,Doors!$C:$C,$C304)*SUMIFS(Velocity!$I:$I,Velocity!$A:$A,$A304,Velocity!$B:$B,$C304)/Assumptions!$B$4*Assumptions!$B$6</f>
        <v>0</v>
      </c>
      <c r="AH304" s="7" t="n">
        <f aca="false">SUMIFS(Doors!AT:AT,Doors!$A:$A,$D304,Doors!$B:$B,$B304,Doors!$C:$C,$C304)*SUMIFS(Velocity!$I:$I,Velocity!$A:$A,$A304,Velocity!$B:$B,$C304)/Assumptions!$B$4*Assumptions!$B$6</f>
        <v>0</v>
      </c>
      <c r="AI304" s="7" t="n">
        <f aca="false">SUMIFS(Doors!AU:AU,Doors!$A:$A,$D304,Doors!$B:$B,$B304,Doors!$C:$C,$C304)*SUMIFS(Velocity!$I:$I,Velocity!$A:$A,$A304,Velocity!$B:$B,$C304)/Assumptions!$B$4*Assumptions!$B$6</f>
        <v>0</v>
      </c>
      <c r="AJ304" s="7" t="n">
        <f aca="false">SUMIFS(Doors!AV:AV,Doors!$A:$A,$D304,Doors!$B:$B,$B304,Doors!$C:$C,$C304)*SUMIFS(Velocity!$I:$I,Velocity!$A:$A,$A304,Velocity!$B:$B,$C304)/Assumptions!$B$4*Assumptions!$B$6</f>
        <v>0</v>
      </c>
      <c r="AK304" s="7" t="n">
        <f aca="false">SUMIFS(Doors!AW:AW,Doors!$A:$A,$D304,Doors!$B:$B,$B304,Doors!$C:$C,$C304)*SUMIFS(Velocity!$I:$I,Velocity!$A:$A,$A304,Velocity!$B:$B,$C304)/Assumptions!$B$4*Assumptions!$B$6</f>
        <v>0</v>
      </c>
      <c r="AL304" s="7" t="n">
        <f aca="false">SUMIFS(Doors!AX:AX,Doors!$A:$A,$D304,Doors!$B:$B,$B304,Doors!$C:$C,$C304)*SUMIFS(Velocity!$I:$I,Velocity!$A:$A,$A304,Velocity!$B:$B,$C304)/Assumptions!$B$4*Assumptions!$B$6</f>
        <v>0</v>
      </c>
      <c r="AM304" s="7" t="n">
        <f aca="false">SUMIFS(Doors!AY:AY,Doors!$A:$A,$D304,Doors!$B:$B,$B304,Doors!$C:$C,$C304)*SUMIFS(Velocity!$I:$I,Velocity!$A:$A,$A304,Velocity!$B:$B,$C304)/Assumptions!$B$4*Assumptions!$B$6</f>
        <v>0</v>
      </c>
      <c r="AN304" s="7" t="n">
        <f aca="false">SUMIFS(Doors!AZ:AZ,Doors!$A:$A,$D304,Doors!$B:$B,$B304,Doors!$C:$C,$C304)*SUMIFS(Velocity!$I:$I,Velocity!$A:$A,$A304,Velocity!$B:$B,$C304)/Assumptions!$B$4*Assumptions!$B$6</f>
        <v>0</v>
      </c>
      <c r="AO304" s="7" t="n">
        <f aca="false">SUMIFS(Doors!BA:BA,Doors!$A:$A,$D304,Doors!$B:$B,$B304,Doors!$C:$C,$C304)*SUMIFS(Velocity!$I:$I,Velocity!$A:$A,$A304,Velocity!$B:$B,$C304)/Assumptions!$B$4*Assumptions!$B$6</f>
        <v>0</v>
      </c>
      <c r="AP304" s="7" t="n">
        <f aca="false">SUMIFS(Doors!BB:BB,Doors!$A:$A,$D304,Doors!$B:$B,$B304,Doors!$C:$C,$C304)*SUMIFS(Velocity!$I:$I,Velocity!$A:$A,$A304,Velocity!$B:$B,$C304)/Assumptions!$B$4*Assumptions!$B$6</f>
        <v>0</v>
      </c>
      <c r="AQ304" s="7" t="n">
        <f aca="false">SUMIFS(Doors!BC:BC,Doors!$A:$A,$D304,Doors!$B:$B,$B304,Doors!$C:$C,$C304)*SUMIFS(Velocity!$I:$I,Velocity!$A:$A,$A304,Velocity!$B:$B,$C304)/Assumptions!$B$4*Assumptions!$B$6</f>
        <v>0</v>
      </c>
      <c r="AR304" s="7" t="n">
        <f aca="false">SUMIFS(Doors!BD:BD,Doors!$A:$A,$D304,Doors!$B:$B,$B304,Doors!$C:$C,$C304)*SUMIFS(Velocity!$I:$I,Velocity!$A:$A,$A304,Velocity!$B:$B,$C304)/Assumptions!$B$4*Assumptions!$B$6</f>
        <v>0</v>
      </c>
      <c r="AS304" s="7" t="n">
        <f aca="false">SUMIFS(Doors!BE:BE,Doors!$A:$A,$D304,Doors!$B:$B,$B304,Doors!$C:$C,$C304)*SUMIFS(Velocity!$I:$I,Velocity!$A:$A,$A304,Velocity!$B:$B,$C304)/Assumptions!$B$4*Assumptions!$B$6</f>
        <v>0</v>
      </c>
      <c r="AT304" s="7" t="n">
        <f aca="false">SUMIFS(Doors!BF:BF,Doors!$A:$A,$D304,Doors!$B:$B,$B304,Doors!$C:$C,$C304)*SUMIFS(Velocity!$I:$I,Velocity!$A:$A,$A304,Velocity!$B:$B,$C304)/Assumptions!$B$4*Assumptions!$B$6</f>
        <v>0</v>
      </c>
      <c r="AU304" s="7" t="n">
        <f aca="false">SUMIFS(Doors!BG:BG,Doors!$A:$A,$D304,Doors!$B:$B,$B304,Doors!$C:$C,$C304)*SUMIFS(Velocity!$I:$I,Velocity!$A:$A,$A304,Velocity!$B:$B,$C304)/Assumptions!$B$4*Assumptions!$B$6</f>
        <v>0</v>
      </c>
      <c r="AV304" s="7" t="n">
        <f aca="false">SUMIFS(Doors!BH:BH,Doors!$A:$A,$D304,Doors!$B:$B,$B304,Doors!$C:$C,$C304)*SUMIFS(Velocity!$I:$I,Velocity!$A:$A,$A304,Velocity!$B:$B,$C304)/Assumptions!$B$4*Assumptions!$B$6</f>
        <v>0</v>
      </c>
      <c r="AW304" s="7" t="n">
        <f aca="false">SUMIFS(Doors!BI:BI,Doors!$A:$A,$D304,Doors!$B:$B,$B304,Doors!$C:$C,$C304)*SUMIFS(Velocity!$I:$I,Velocity!$A:$A,$A304,Velocity!$B:$B,$C304)/Assumptions!$B$4*Assumptions!$B$6</f>
        <v>0</v>
      </c>
      <c r="AX304" s="7" t="n">
        <f aca="false">SUMIFS(Doors!BJ:BJ,Doors!$A:$A,$D304,Doors!$B:$B,$B304,Doors!$C:$C,$C304)*SUMIFS(Velocity!$I:$I,Velocity!$A:$A,$A304,Velocity!$B:$B,$C304)/Assumptions!$B$4*Assumptions!$B$6</f>
        <v>0</v>
      </c>
      <c r="AY304" s="7" t="n">
        <f aca="false">SUMIFS(Doors!BK:BK,Doors!$A:$A,$D304,Doors!$B:$B,$B304,Doors!$C:$C,$C304)*SUMIFS(Velocity!$I:$I,Velocity!$A:$A,$A304,Velocity!$B:$B,$C304)/Assumptions!$B$4*Assumptions!$B$6</f>
        <v>0</v>
      </c>
      <c r="AZ304" s="7" t="n">
        <f aca="false">SUMIFS(Doors!BL:BL,Doors!$A:$A,$D304,Doors!$B:$B,$B304,Doors!$C:$C,$C304)*SUMIFS(Velocity!$I:$I,Velocity!$A:$A,$A304,Velocity!$B:$B,$C304)/Assumptions!$B$4*Assumptions!$B$6</f>
        <v>0</v>
      </c>
      <c r="BA304" s="7" t="n">
        <f aca="false">SUMIFS(Doors!BM:BM,Doors!$A:$A,$D304,Doors!$B:$B,$B304,Doors!$C:$C,$C304)*SUMIFS(Velocity!$I:$I,Velocity!$A:$A,$A304,Velocity!$B:$B,$C304)/Assumptions!$B$4*Assumptions!$B$6</f>
        <v>0</v>
      </c>
      <c r="BB304" s="7" t="n">
        <f aca="false">SUMIFS(Doors!BN:BN,Doors!$A:$A,$D304,Doors!$B:$B,$B304,Doors!$C:$C,$C304)*SUMIFS(Velocity!$I:$I,Velocity!$A:$A,$A304,Velocity!$B:$B,$C304)/Assumptions!$B$4*Assumptions!$B$6</f>
        <v>0</v>
      </c>
      <c r="BC304" s="7" t="n">
        <f aca="false">SUMIFS(Doors!BO:BO,Doors!$A:$A,$D304,Doors!$B:$B,$B304,Doors!$C:$C,$C304)*SUMIFS(Velocity!$I:$I,Velocity!$A:$A,$A304,Velocity!$B:$B,$C304)/Assumptions!$B$4*Assumptions!$B$6</f>
        <v>0</v>
      </c>
      <c r="BD304" s="7" t="n">
        <f aca="false">SUMIFS(Doors!BP:BP,Doors!$A:$A,$D304,Doors!$B:$B,$B304,Doors!$C:$C,$C304)*SUMIFS(Velocity!$I:$I,Velocity!$A:$A,$A304,Velocity!$B:$B,$C304)/Assumptions!$B$4*Assumptions!$B$6</f>
        <v>0</v>
      </c>
    </row>
    <row r="305" customFormat="false" ht="15" hidden="false" customHeight="false" outlineLevel="0" collapsed="false">
      <c r="A305" s="0" t="s">
        <v>111</v>
      </c>
      <c r="B305" s="0" t="s">
        <v>129</v>
      </c>
      <c r="C305" s="0" t="s">
        <v>117</v>
      </c>
      <c r="D305" s="0" t="s">
        <v>236</v>
      </c>
      <c r="E305" s="7" t="n">
        <f aca="false">SUMIFS(Doors!Q:Q,Doors!$A:$A,$D305,Doors!$B:$B,$B305,Doors!$C:$C,$C305)*SUMIFS(Velocity!$I:$I,Velocity!$A:$A,$A305,Velocity!$B:$B,$C305)/Assumptions!$B$4*Assumptions!$B$6</f>
        <v>0</v>
      </c>
      <c r="F305" s="7" t="n">
        <f aca="false">SUMIFS(Doors!R:R,Doors!$A:$A,$D305,Doors!$B:$B,$B305,Doors!$C:$C,$C305)*SUMIFS(Velocity!$I:$I,Velocity!$A:$A,$A305,Velocity!$B:$B,$C305)/Assumptions!$B$4*Assumptions!$B$6</f>
        <v>0</v>
      </c>
      <c r="G305" s="7" t="n">
        <f aca="false">SUMIFS(Doors!S:S,Doors!$A:$A,$D305,Doors!$B:$B,$B305,Doors!$C:$C,$C305)*SUMIFS(Velocity!$I:$I,Velocity!$A:$A,$A305,Velocity!$B:$B,$C305)/Assumptions!$B$4*Assumptions!$B$6</f>
        <v>0</v>
      </c>
      <c r="H305" s="7" t="n">
        <f aca="false">SUMIFS(Doors!T:T,Doors!$A:$A,$D305,Doors!$B:$B,$B305,Doors!$C:$C,$C305)*SUMIFS(Velocity!$I:$I,Velocity!$A:$A,$A305,Velocity!$B:$B,$C305)/Assumptions!$B$4*Assumptions!$B$6</f>
        <v>0</v>
      </c>
      <c r="I305" s="7" t="n">
        <f aca="false">SUMIFS(Doors!U:U,Doors!$A:$A,$D305,Doors!$B:$B,$B305,Doors!$C:$C,$C305)*SUMIFS(Velocity!$I:$I,Velocity!$A:$A,$A305,Velocity!$B:$B,$C305)/Assumptions!$B$4*Assumptions!$B$6</f>
        <v>0</v>
      </c>
      <c r="J305" s="7" t="n">
        <f aca="false">SUMIFS(Doors!V:V,Doors!$A:$A,$D305,Doors!$B:$B,$B305,Doors!$C:$C,$C305)*SUMIFS(Velocity!$I:$I,Velocity!$A:$A,$A305,Velocity!$B:$B,$C305)/Assumptions!$B$4*Assumptions!$B$6</f>
        <v>0</v>
      </c>
      <c r="K305" s="7" t="n">
        <f aca="false">SUMIFS(Doors!W:W,Doors!$A:$A,$D305,Doors!$B:$B,$B305,Doors!$C:$C,$C305)*SUMIFS(Velocity!$I:$I,Velocity!$A:$A,$A305,Velocity!$B:$B,$C305)/Assumptions!$B$4*Assumptions!$B$6</f>
        <v>0</v>
      </c>
      <c r="L305" s="7" t="n">
        <f aca="false">SUMIFS(Doors!X:X,Doors!$A:$A,$D305,Doors!$B:$B,$B305,Doors!$C:$C,$C305)*SUMIFS(Velocity!$I:$I,Velocity!$A:$A,$A305,Velocity!$B:$B,$C305)/Assumptions!$B$4*Assumptions!$B$6</f>
        <v>0</v>
      </c>
      <c r="M305" s="7" t="n">
        <f aca="false">SUMIFS(Doors!Y:Y,Doors!$A:$A,$D305,Doors!$B:$B,$B305,Doors!$C:$C,$C305)*SUMIFS(Velocity!$I:$I,Velocity!$A:$A,$A305,Velocity!$B:$B,$C305)/Assumptions!$B$4*Assumptions!$B$6</f>
        <v>0</v>
      </c>
      <c r="N305" s="7" t="n">
        <f aca="false">SUMIFS(Doors!Z:Z,Doors!$A:$A,$D305,Doors!$B:$B,$B305,Doors!$C:$C,$C305)*SUMIFS(Velocity!$I:$I,Velocity!$A:$A,$A305,Velocity!$B:$B,$C305)/Assumptions!$B$4*Assumptions!$B$6</f>
        <v>0</v>
      </c>
      <c r="O305" s="7" t="n">
        <f aca="false">SUMIFS(Doors!AA:AA,Doors!$A:$A,$D305,Doors!$B:$B,$B305,Doors!$C:$C,$C305)*SUMIFS(Velocity!$I:$I,Velocity!$A:$A,$A305,Velocity!$B:$B,$C305)/Assumptions!$B$4*Assumptions!$B$6</f>
        <v>0</v>
      </c>
      <c r="P305" s="7" t="n">
        <f aca="false">SUMIFS(Doors!AB:AB,Doors!$A:$A,$D305,Doors!$B:$B,$B305,Doors!$C:$C,$C305)*SUMIFS(Velocity!$I:$I,Velocity!$A:$A,$A305,Velocity!$B:$B,$C305)/Assumptions!$B$4*Assumptions!$B$6</f>
        <v>0</v>
      </c>
      <c r="Q305" s="7" t="n">
        <f aca="false">SUMIFS(Doors!AC:AC,Doors!$A:$A,$D305,Doors!$B:$B,$B305,Doors!$C:$C,$C305)*SUMIFS(Velocity!$I:$I,Velocity!$A:$A,$A305,Velocity!$B:$B,$C305)/Assumptions!$B$4*Assumptions!$B$6</f>
        <v>0</v>
      </c>
      <c r="R305" s="7" t="n">
        <f aca="false">SUMIFS(Doors!AD:AD,Doors!$A:$A,$D305,Doors!$B:$B,$B305,Doors!$C:$C,$C305)*SUMIFS(Velocity!$I:$I,Velocity!$A:$A,$A305,Velocity!$B:$B,$C305)/Assumptions!$B$4*Assumptions!$B$6</f>
        <v>0</v>
      </c>
      <c r="S305" s="7" t="n">
        <f aca="false">SUMIFS(Doors!AE:AE,Doors!$A:$A,$D305,Doors!$B:$B,$B305,Doors!$C:$C,$C305)*SUMIFS(Velocity!$I:$I,Velocity!$A:$A,$A305,Velocity!$B:$B,$C305)/Assumptions!$B$4*Assumptions!$B$6</f>
        <v>0</v>
      </c>
      <c r="T305" s="7" t="n">
        <f aca="false">SUMIFS(Doors!AF:AF,Doors!$A:$A,$D305,Doors!$B:$B,$B305,Doors!$C:$C,$C305)*SUMIFS(Velocity!$I:$I,Velocity!$A:$A,$A305,Velocity!$B:$B,$C305)/Assumptions!$B$4*Assumptions!$B$6</f>
        <v>0</v>
      </c>
      <c r="U305" s="7" t="n">
        <f aca="false">SUMIFS(Doors!AG:AG,Doors!$A:$A,$D305,Doors!$B:$B,$B305,Doors!$C:$C,$C305)*SUMIFS(Velocity!$I:$I,Velocity!$A:$A,$A305,Velocity!$B:$B,$C305)/Assumptions!$B$4*Assumptions!$B$6</f>
        <v>0</v>
      </c>
      <c r="V305" s="7" t="n">
        <f aca="false">SUMIFS(Doors!AH:AH,Doors!$A:$A,$D305,Doors!$B:$B,$B305,Doors!$C:$C,$C305)*SUMIFS(Velocity!$I:$I,Velocity!$A:$A,$A305,Velocity!$B:$B,$C305)/Assumptions!$B$4*Assumptions!$B$6</f>
        <v>0</v>
      </c>
      <c r="W305" s="7" t="n">
        <f aca="false">SUMIFS(Doors!AI:AI,Doors!$A:$A,$D305,Doors!$B:$B,$B305,Doors!$C:$C,$C305)*SUMIFS(Velocity!$I:$I,Velocity!$A:$A,$A305,Velocity!$B:$B,$C305)/Assumptions!$B$4*Assumptions!$B$6</f>
        <v>0</v>
      </c>
      <c r="X305" s="7" t="n">
        <f aca="false">SUMIFS(Doors!AJ:AJ,Doors!$A:$A,$D305,Doors!$B:$B,$B305,Doors!$C:$C,$C305)*SUMIFS(Velocity!$I:$I,Velocity!$A:$A,$A305,Velocity!$B:$B,$C305)/Assumptions!$B$4*Assumptions!$B$6</f>
        <v>0</v>
      </c>
      <c r="Y305" s="7" t="n">
        <f aca="false">SUMIFS(Doors!AK:AK,Doors!$A:$A,$D305,Doors!$B:$B,$B305,Doors!$C:$C,$C305)*SUMIFS(Velocity!$I:$I,Velocity!$A:$A,$A305,Velocity!$B:$B,$C305)/Assumptions!$B$4*Assumptions!$B$6</f>
        <v>0</v>
      </c>
      <c r="Z305" s="7" t="n">
        <f aca="false">SUMIFS(Doors!AL:AL,Doors!$A:$A,$D305,Doors!$B:$B,$B305,Doors!$C:$C,$C305)*SUMIFS(Velocity!$I:$I,Velocity!$A:$A,$A305,Velocity!$B:$B,$C305)/Assumptions!$B$4*Assumptions!$B$6</f>
        <v>0</v>
      </c>
      <c r="AA305" s="7" t="n">
        <f aca="false">SUMIFS(Doors!AM:AM,Doors!$A:$A,$D305,Doors!$B:$B,$B305,Doors!$C:$C,$C305)*SUMIFS(Velocity!$I:$I,Velocity!$A:$A,$A305,Velocity!$B:$B,$C305)/Assumptions!$B$4*Assumptions!$B$6</f>
        <v>0</v>
      </c>
      <c r="AB305" s="7" t="n">
        <f aca="false">SUMIFS(Doors!AN:AN,Doors!$A:$A,$D305,Doors!$B:$B,$B305,Doors!$C:$C,$C305)*SUMIFS(Velocity!$I:$I,Velocity!$A:$A,$A305,Velocity!$B:$B,$C305)/Assumptions!$B$4*Assumptions!$B$6</f>
        <v>0</v>
      </c>
      <c r="AC305" s="7" t="n">
        <f aca="false">SUMIFS(Doors!AO:AO,Doors!$A:$A,$D305,Doors!$B:$B,$B305,Doors!$C:$C,$C305)*SUMIFS(Velocity!$I:$I,Velocity!$A:$A,$A305,Velocity!$B:$B,$C305)/Assumptions!$B$4*Assumptions!$B$6</f>
        <v>0</v>
      </c>
      <c r="AD305" s="7" t="n">
        <f aca="false">SUMIFS(Doors!AP:AP,Doors!$A:$A,$D305,Doors!$B:$B,$B305,Doors!$C:$C,$C305)*SUMIFS(Velocity!$I:$I,Velocity!$A:$A,$A305,Velocity!$B:$B,$C305)/Assumptions!$B$4*Assumptions!$B$6</f>
        <v>0</v>
      </c>
      <c r="AE305" s="7" t="n">
        <f aca="false">SUMIFS(Doors!AQ:AQ,Doors!$A:$A,$D305,Doors!$B:$B,$B305,Doors!$C:$C,$C305)*SUMIFS(Velocity!$I:$I,Velocity!$A:$A,$A305,Velocity!$B:$B,$C305)/Assumptions!$B$4*Assumptions!$B$6</f>
        <v>0</v>
      </c>
      <c r="AF305" s="7" t="n">
        <f aca="false">SUMIFS(Doors!AR:AR,Doors!$A:$A,$D305,Doors!$B:$B,$B305,Doors!$C:$C,$C305)*SUMIFS(Velocity!$I:$I,Velocity!$A:$A,$A305,Velocity!$B:$B,$C305)/Assumptions!$B$4*Assumptions!$B$6</f>
        <v>0</v>
      </c>
      <c r="AG305" s="7" t="n">
        <f aca="false">SUMIFS(Doors!AS:AS,Doors!$A:$A,$D305,Doors!$B:$B,$B305,Doors!$C:$C,$C305)*SUMIFS(Velocity!$I:$I,Velocity!$A:$A,$A305,Velocity!$B:$B,$C305)/Assumptions!$B$4*Assumptions!$B$6</f>
        <v>0</v>
      </c>
      <c r="AH305" s="7" t="n">
        <f aca="false">SUMIFS(Doors!AT:AT,Doors!$A:$A,$D305,Doors!$B:$B,$B305,Doors!$C:$C,$C305)*SUMIFS(Velocity!$I:$I,Velocity!$A:$A,$A305,Velocity!$B:$B,$C305)/Assumptions!$B$4*Assumptions!$B$6</f>
        <v>0</v>
      </c>
      <c r="AI305" s="7" t="n">
        <f aca="false">SUMIFS(Doors!AU:AU,Doors!$A:$A,$D305,Doors!$B:$B,$B305,Doors!$C:$C,$C305)*SUMIFS(Velocity!$I:$I,Velocity!$A:$A,$A305,Velocity!$B:$B,$C305)/Assumptions!$B$4*Assumptions!$B$6</f>
        <v>0</v>
      </c>
      <c r="AJ305" s="7" t="n">
        <f aca="false">SUMIFS(Doors!AV:AV,Doors!$A:$A,$D305,Doors!$B:$B,$B305,Doors!$C:$C,$C305)*SUMIFS(Velocity!$I:$I,Velocity!$A:$A,$A305,Velocity!$B:$B,$C305)/Assumptions!$B$4*Assumptions!$B$6</f>
        <v>0</v>
      </c>
      <c r="AK305" s="7" t="n">
        <f aca="false">SUMIFS(Doors!AW:AW,Doors!$A:$A,$D305,Doors!$B:$B,$B305,Doors!$C:$C,$C305)*SUMIFS(Velocity!$I:$I,Velocity!$A:$A,$A305,Velocity!$B:$B,$C305)/Assumptions!$B$4*Assumptions!$B$6</f>
        <v>0</v>
      </c>
      <c r="AL305" s="7" t="n">
        <f aca="false">SUMIFS(Doors!AX:AX,Doors!$A:$A,$D305,Doors!$B:$B,$B305,Doors!$C:$C,$C305)*SUMIFS(Velocity!$I:$I,Velocity!$A:$A,$A305,Velocity!$B:$B,$C305)/Assumptions!$B$4*Assumptions!$B$6</f>
        <v>0</v>
      </c>
      <c r="AM305" s="7" t="n">
        <f aca="false">SUMIFS(Doors!AY:AY,Doors!$A:$A,$D305,Doors!$B:$B,$B305,Doors!$C:$C,$C305)*SUMIFS(Velocity!$I:$I,Velocity!$A:$A,$A305,Velocity!$B:$B,$C305)/Assumptions!$B$4*Assumptions!$B$6</f>
        <v>0</v>
      </c>
      <c r="AN305" s="7" t="n">
        <f aca="false">SUMIFS(Doors!AZ:AZ,Doors!$A:$A,$D305,Doors!$B:$B,$B305,Doors!$C:$C,$C305)*SUMIFS(Velocity!$I:$I,Velocity!$A:$A,$A305,Velocity!$B:$B,$C305)/Assumptions!$B$4*Assumptions!$B$6</f>
        <v>0</v>
      </c>
      <c r="AO305" s="7" t="n">
        <f aca="false">SUMIFS(Doors!BA:BA,Doors!$A:$A,$D305,Doors!$B:$B,$B305,Doors!$C:$C,$C305)*SUMIFS(Velocity!$I:$I,Velocity!$A:$A,$A305,Velocity!$B:$B,$C305)/Assumptions!$B$4*Assumptions!$B$6</f>
        <v>0</v>
      </c>
      <c r="AP305" s="7" t="n">
        <f aca="false">SUMIFS(Doors!BB:BB,Doors!$A:$A,$D305,Doors!$B:$B,$B305,Doors!$C:$C,$C305)*SUMIFS(Velocity!$I:$I,Velocity!$A:$A,$A305,Velocity!$B:$B,$C305)/Assumptions!$B$4*Assumptions!$B$6</f>
        <v>0</v>
      </c>
      <c r="AQ305" s="7" t="n">
        <f aca="false">SUMIFS(Doors!BC:BC,Doors!$A:$A,$D305,Doors!$B:$B,$B305,Doors!$C:$C,$C305)*SUMIFS(Velocity!$I:$I,Velocity!$A:$A,$A305,Velocity!$B:$B,$C305)/Assumptions!$B$4*Assumptions!$B$6</f>
        <v>0</v>
      </c>
      <c r="AR305" s="7" t="n">
        <f aca="false">SUMIFS(Doors!BD:BD,Doors!$A:$A,$D305,Doors!$B:$B,$B305,Doors!$C:$C,$C305)*SUMIFS(Velocity!$I:$I,Velocity!$A:$A,$A305,Velocity!$B:$B,$C305)/Assumptions!$B$4*Assumptions!$B$6</f>
        <v>0</v>
      </c>
      <c r="AS305" s="7" t="n">
        <f aca="false">SUMIFS(Doors!BE:BE,Doors!$A:$A,$D305,Doors!$B:$B,$B305,Doors!$C:$C,$C305)*SUMIFS(Velocity!$I:$I,Velocity!$A:$A,$A305,Velocity!$B:$B,$C305)/Assumptions!$B$4*Assumptions!$B$6</f>
        <v>0</v>
      </c>
      <c r="AT305" s="7" t="n">
        <f aca="false">SUMIFS(Doors!BF:BF,Doors!$A:$A,$D305,Doors!$B:$B,$B305,Doors!$C:$C,$C305)*SUMIFS(Velocity!$I:$I,Velocity!$A:$A,$A305,Velocity!$B:$B,$C305)/Assumptions!$B$4*Assumptions!$B$6</f>
        <v>0</v>
      </c>
      <c r="AU305" s="7" t="n">
        <f aca="false">SUMIFS(Doors!BG:BG,Doors!$A:$A,$D305,Doors!$B:$B,$B305,Doors!$C:$C,$C305)*SUMIFS(Velocity!$I:$I,Velocity!$A:$A,$A305,Velocity!$B:$B,$C305)/Assumptions!$B$4*Assumptions!$B$6</f>
        <v>0</v>
      </c>
      <c r="AV305" s="7" t="n">
        <f aca="false">SUMIFS(Doors!BH:BH,Doors!$A:$A,$D305,Doors!$B:$B,$B305,Doors!$C:$C,$C305)*SUMIFS(Velocity!$I:$I,Velocity!$A:$A,$A305,Velocity!$B:$B,$C305)/Assumptions!$B$4*Assumptions!$B$6</f>
        <v>0</v>
      </c>
      <c r="AW305" s="7" t="n">
        <f aca="false">SUMIFS(Doors!BI:BI,Doors!$A:$A,$D305,Doors!$B:$B,$B305,Doors!$C:$C,$C305)*SUMIFS(Velocity!$I:$I,Velocity!$A:$A,$A305,Velocity!$B:$B,$C305)/Assumptions!$B$4*Assumptions!$B$6</f>
        <v>0</v>
      </c>
      <c r="AX305" s="7" t="n">
        <f aca="false">SUMIFS(Doors!BJ:BJ,Doors!$A:$A,$D305,Doors!$B:$B,$B305,Doors!$C:$C,$C305)*SUMIFS(Velocity!$I:$I,Velocity!$A:$A,$A305,Velocity!$B:$B,$C305)/Assumptions!$B$4*Assumptions!$B$6</f>
        <v>0</v>
      </c>
      <c r="AY305" s="7" t="n">
        <f aca="false">SUMIFS(Doors!BK:BK,Doors!$A:$A,$D305,Doors!$B:$B,$B305,Doors!$C:$C,$C305)*SUMIFS(Velocity!$I:$I,Velocity!$A:$A,$A305,Velocity!$B:$B,$C305)/Assumptions!$B$4*Assumptions!$B$6</f>
        <v>0</v>
      </c>
      <c r="AZ305" s="7" t="n">
        <f aca="false">SUMIFS(Doors!BL:BL,Doors!$A:$A,$D305,Doors!$B:$B,$B305,Doors!$C:$C,$C305)*SUMIFS(Velocity!$I:$I,Velocity!$A:$A,$A305,Velocity!$B:$B,$C305)/Assumptions!$B$4*Assumptions!$B$6</f>
        <v>0</v>
      </c>
      <c r="BA305" s="7" t="n">
        <f aca="false">SUMIFS(Doors!BM:BM,Doors!$A:$A,$D305,Doors!$B:$B,$B305,Doors!$C:$C,$C305)*SUMIFS(Velocity!$I:$I,Velocity!$A:$A,$A305,Velocity!$B:$B,$C305)/Assumptions!$B$4*Assumptions!$B$6</f>
        <v>0</v>
      </c>
      <c r="BB305" s="7" t="n">
        <f aca="false">SUMIFS(Doors!BN:BN,Doors!$A:$A,$D305,Doors!$B:$B,$B305,Doors!$C:$C,$C305)*SUMIFS(Velocity!$I:$I,Velocity!$A:$A,$A305,Velocity!$B:$B,$C305)/Assumptions!$B$4*Assumptions!$B$6</f>
        <v>0</v>
      </c>
      <c r="BC305" s="7" t="n">
        <f aca="false">SUMIFS(Doors!BO:BO,Doors!$A:$A,$D305,Doors!$B:$B,$B305,Doors!$C:$C,$C305)*SUMIFS(Velocity!$I:$I,Velocity!$A:$A,$A305,Velocity!$B:$B,$C305)/Assumptions!$B$4*Assumptions!$B$6</f>
        <v>0</v>
      </c>
      <c r="BD305" s="7" t="n">
        <f aca="false">SUMIFS(Doors!BP:BP,Doors!$A:$A,$D305,Doors!$B:$B,$B305,Doors!$C:$C,$C305)*SUMIFS(Velocity!$I:$I,Velocity!$A:$A,$A305,Velocity!$B:$B,$C305)/Assumptions!$B$4*Assumptions!$B$6</f>
        <v>0</v>
      </c>
    </row>
    <row r="306" customFormat="false" ht="15" hidden="false" customHeight="false" outlineLevel="0" collapsed="false">
      <c r="A306" s="0" t="s">
        <v>111</v>
      </c>
      <c r="B306" s="0" t="s">
        <v>129</v>
      </c>
      <c r="C306" s="0" t="s">
        <v>118</v>
      </c>
      <c r="D306" s="0" t="s">
        <v>236</v>
      </c>
      <c r="E306" s="7" t="n">
        <f aca="false">SUMIFS(Doors!Q:Q,Doors!$A:$A,$D306,Doors!$B:$B,$B306,Doors!$C:$C,$C306)*SUMIFS(Velocity!$I:$I,Velocity!$A:$A,$A306,Velocity!$B:$B,$C306)/Assumptions!$B$4*Assumptions!$B$6</f>
        <v>0</v>
      </c>
      <c r="F306" s="7" t="n">
        <f aca="false">SUMIFS(Doors!R:R,Doors!$A:$A,$D306,Doors!$B:$B,$B306,Doors!$C:$C,$C306)*SUMIFS(Velocity!$I:$I,Velocity!$A:$A,$A306,Velocity!$B:$B,$C306)/Assumptions!$B$4*Assumptions!$B$6</f>
        <v>0</v>
      </c>
      <c r="G306" s="7" t="n">
        <f aca="false">SUMIFS(Doors!S:S,Doors!$A:$A,$D306,Doors!$B:$B,$B306,Doors!$C:$C,$C306)*SUMIFS(Velocity!$I:$I,Velocity!$A:$A,$A306,Velocity!$B:$B,$C306)/Assumptions!$B$4*Assumptions!$B$6</f>
        <v>0</v>
      </c>
      <c r="H306" s="7" t="n">
        <f aca="false">SUMIFS(Doors!T:T,Doors!$A:$A,$D306,Doors!$B:$B,$B306,Doors!$C:$C,$C306)*SUMIFS(Velocity!$I:$I,Velocity!$A:$A,$A306,Velocity!$B:$B,$C306)/Assumptions!$B$4*Assumptions!$B$6</f>
        <v>0</v>
      </c>
      <c r="I306" s="7" t="n">
        <f aca="false">SUMIFS(Doors!U:U,Doors!$A:$A,$D306,Doors!$B:$B,$B306,Doors!$C:$C,$C306)*SUMIFS(Velocity!$I:$I,Velocity!$A:$A,$A306,Velocity!$B:$B,$C306)/Assumptions!$B$4*Assumptions!$B$6</f>
        <v>0</v>
      </c>
      <c r="J306" s="7" t="n">
        <f aca="false">SUMIFS(Doors!V:V,Doors!$A:$A,$D306,Doors!$B:$B,$B306,Doors!$C:$C,$C306)*SUMIFS(Velocity!$I:$I,Velocity!$A:$A,$A306,Velocity!$B:$B,$C306)/Assumptions!$B$4*Assumptions!$B$6</f>
        <v>0</v>
      </c>
      <c r="K306" s="7" t="n">
        <f aca="false">SUMIFS(Doors!W:W,Doors!$A:$A,$D306,Doors!$B:$B,$B306,Doors!$C:$C,$C306)*SUMIFS(Velocity!$I:$I,Velocity!$A:$A,$A306,Velocity!$B:$B,$C306)/Assumptions!$B$4*Assumptions!$B$6</f>
        <v>0</v>
      </c>
      <c r="L306" s="7" t="n">
        <f aca="false">SUMIFS(Doors!X:X,Doors!$A:$A,$D306,Doors!$B:$B,$B306,Doors!$C:$C,$C306)*SUMIFS(Velocity!$I:$I,Velocity!$A:$A,$A306,Velocity!$B:$B,$C306)/Assumptions!$B$4*Assumptions!$B$6</f>
        <v>0</v>
      </c>
      <c r="M306" s="7" t="n">
        <f aca="false">SUMIFS(Doors!Y:Y,Doors!$A:$A,$D306,Doors!$B:$B,$B306,Doors!$C:$C,$C306)*SUMIFS(Velocity!$I:$I,Velocity!$A:$A,$A306,Velocity!$B:$B,$C306)/Assumptions!$B$4*Assumptions!$B$6</f>
        <v>0</v>
      </c>
      <c r="N306" s="7" t="n">
        <f aca="false">SUMIFS(Doors!Z:Z,Doors!$A:$A,$D306,Doors!$B:$B,$B306,Doors!$C:$C,$C306)*SUMIFS(Velocity!$I:$I,Velocity!$A:$A,$A306,Velocity!$B:$B,$C306)/Assumptions!$B$4*Assumptions!$B$6</f>
        <v>0</v>
      </c>
      <c r="O306" s="7" t="n">
        <f aca="false">SUMIFS(Doors!AA:AA,Doors!$A:$A,$D306,Doors!$B:$B,$B306,Doors!$C:$C,$C306)*SUMIFS(Velocity!$I:$I,Velocity!$A:$A,$A306,Velocity!$B:$B,$C306)/Assumptions!$B$4*Assumptions!$B$6</f>
        <v>0</v>
      </c>
      <c r="P306" s="7" t="n">
        <f aca="false">SUMIFS(Doors!AB:AB,Doors!$A:$A,$D306,Doors!$B:$B,$B306,Doors!$C:$C,$C306)*SUMIFS(Velocity!$I:$I,Velocity!$A:$A,$A306,Velocity!$B:$B,$C306)/Assumptions!$B$4*Assumptions!$B$6</f>
        <v>0</v>
      </c>
      <c r="Q306" s="7" t="n">
        <f aca="false">SUMIFS(Doors!AC:AC,Doors!$A:$A,$D306,Doors!$B:$B,$B306,Doors!$C:$C,$C306)*SUMIFS(Velocity!$I:$I,Velocity!$A:$A,$A306,Velocity!$B:$B,$C306)/Assumptions!$B$4*Assumptions!$B$6</f>
        <v>0</v>
      </c>
      <c r="R306" s="7" t="n">
        <f aca="false">SUMIFS(Doors!AD:AD,Doors!$A:$A,$D306,Doors!$B:$B,$B306,Doors!$C:$C,$C306)*SUMIFS(Velocity!$I:$I,Velocity!$A:$A,$A306,Velocity!$B:$B,$C306)/Assumptions!$B$4*Assumptions!$B$6</f>
        <v>0</v>
      </c>
      <c r="S306" s="7" t="n">
        <f aca="false">SUMIFS(Doors!AE:AE,Doors!$A:$A,$D306,Doors!$B:$B,$B306,Doors!$C:$C,$C306)*SUMIFS(Velocity!$I:$I,Velocity!$A:$A,$A306,Velocity!$B:$B,$C306)/Assumptions!$B$4*Assumptions!$B$6</f>
        <v>0</v>
      </c>
      <c r="T306" s="7" t="n">
        <f aca="false">SUMIFS(Doors!AF:AF,Doors!$A:$A,$D306,Doors!$B:$B,$B306,Doors!$C:$C,$C306)*SUMIFS(Velocity!$I:$I,Velocity!$A:$A,$A306,Velocity!$B:$B,$C306)/Assumptions!$B$4*Assumptions!$B$6</f>
        <v>0</v>
      </c>
      <c r="U306" s="7" t="n">
        <f aca="false">SUMIFS(Doors!AG:AG,Doors!$A:$A,$D306,Doors!$B:$B,$B306,Doors!$C:$C,$C306)*SUMIFS(Velocity!$I:$I,Velocity!$A:$A,$A306,Velocity!$B:$B,$C306)/Assumptions!$B$4*Assumptions!$B$6</f>
        <v>0</v>
      </c>
      <c r="V306" s="7" t="n">
        <f aca="false">SUMIFS(Doors!AH:AH,Doors!$A:$A,$D306,Doors!$B:$B,$B306,Doors!$C:$C,$C306)*SUMIFS(Velocity!$I:$I,Velocity!$A:$A,$A306,Velocity!$B:$B,$C306)/Assumptions!$B$4*Assumptions!$B$6</f>
        <v>0</v>
      </c>
      <c r="W306" s="7" t="n">
        <f aca="false">SUMIFS(Doors!AI:AI,Doors!$A:$A,$D306,Doors!$B:$B,$B306,Doors!$C:$C,$C306)*SUMIFS(Velocity!$I:$I,Velocity!$A:$A,$A306,Velocity!$B:$B,$C306)/Assumptions!$B$4*Assumptions!$B$6</f>
        <v>0</v>
      </c>
      <c r="X306" s="7" t="n">
        <f aca="false">SUMIFS(Doors!AJ:AJ,Doors!$A:$A,$D306,Doors!$B:$B,$B306,Doors!$C:$C,$C306)*SUMIFS(Velocity!$I:$I,Velocity!$A:$A,$A306,Velocity!$B:$B,$C306)/Assumptions!$B$4*Assumptions!$B$6</f>
        <v>0</v>
      </c>
      <c r="Y306" s="7" t="n">
        <f aca="false">SUMIFS(Doors!AK:AK,Doors!$A:$A,$D306,Doors!$B:$B,$B306,Doors!$C:$C,$C306)*SUMIFS(Velocity!$I:$I,Velocity!$A:$A,$A306,Velocity!$B:$B,$C306)/Assumptions!$B$4*Assumptions!$B$6</f>
        <v>0</v>
      </c>
      <c r="Z306" s="7" t="n">
        <f aca="false">SUMIFS(Doors!AL:AL,Doors!$A:$A,$D306,Doors!$B:$B,$B306,Doors!$C:$C,$C306)*SUMIFS(Velocity!$I:$I,Velocity!$A:$A,$A306,Velocity!$B:$B,$C306)/Assumptions!$B$4*Assumptions!$B$6</f>
        <v>0</v>
      </c>
      <c r="AA306" s="7" t="n">
        <f aca="false">SUMIFS(Doors!AM:AM,Doors!$A:$A,$D306,Doors!$B:$B,$B306,Doors!$C:$C,$C306)*SUMIFS(Velocity!$I:$I,Velocity!$A:$A,$A306,Velocity!$B:$B,$C306)/Assumptions!$B$4*Assumptions!$B$6</f>
        <v>0</v>
      </c>
      <c r="AB306" s="7" t="n">
        <f aca="false">SUMIFS(Doors!AN:AN,Doors!$A:$A,$D306,Doors!$B:$B,$B306,Doors!$C:$C,$C306)*SUMIFS(Velocity!$I:$I,Velocity!$A:$A,$A306,Velocity!$B:$B,$C306)/Assumptions!$B$4*Assumptions!$B$6</f>
        <v>0</v>
      </c>
      <c r="AC306" s="7" t="n">
        <f aca="false">SUMIFS(Doors!AO:AO,Doors!$A:$A,$D306,Doors!$B:$B,$B306,Doors!$C:$C,$C306)*SUMIFS(Velocity!$I:$I,Velocity!$A:$A,$A306,Velocity!$B:$B,$C306)/Assumptions!$B$4*Assumptions!$B$6</f>
        <v>0</v>
      </c>
      <c r="AD306" s="7" t="n">
        <f aca="false">SUMIFS(Doors!AP:AP,Doors!$A:$A,$D306,Doors!$B:$B,$B306,Doors!$C:$C,$C306)*SUMIFS(Velocity!$I:$I,Velocity!$A:$A,$A306,Velocity!$B:$B,$C306)/Assumptions!$B$4*Assumptions!$B$6</f>
        <v>0</v>
      </c>
      <c r="AE306" s="7" t="n">
        <f aca="false">SUMIFS(Doors!AQ:AQ,Doors!$A:$A,$D306,Doors!$B:$B,$B306,Doors!$C:$C,$C306)*SUMIFS(Velocity!$I:$I,Velocity!$A:$A,$A306,Velocity!$B:$B,$C306)/Assumptions!$B$4*Assumptions!$B$6</f>
        <v>0</v>
      </c>
      <c r="AF306" s="7" t="n">
        <f aca="false">SUMIFS(Doors!AR:AR,Doors!$A:$A,$D306,Doors!$B:$B,$B306,Doors!$C:$C,$C306)*SUMIFS(Velocity!$I:$I,Velocity!$A:$A,$A306,Velocity!$B:$B,$C306)/Assumptions!$B$4*Assumptions!$B$6</f>
        <v>0</v>
      </c>
      <c r="AG306" s="7" t="n">
        <f aca="false">SUMIFS(Doors!AS:AS,Doors!$A:$A,$D306,Doors!$B:$B,$B306,Doors!$C:$C,$C306)*SUMIFS(Velocity!$I:$I,Velocity!$A:$A,$A306,Velocity!$B:$B,$C306)/Assumptions!$B$4*Assumptions!$B$6</f>
        <v>0</v>
      </c>
      <c r="AH306" s="7" t="n">
        <f aca="false">SUMIFS(Doors!AT:AT,Doors!$A:$A,$D306,Doors!$B:$B,$B306,Doors!$C:$C,$C306)*SUMIFS(Velocity!$I:$I,Velocity!$A:$A,$A306,Velocity!$B:$B,$C306)/Assumptions!$B$4*Assumptions!$B$6</f>
        <v>0</v>
      </c>
      <c r="AI306" s="7" t="n">
        <f aca="false">SUMIFS(Doors!AU:AU,Doors!$A:$A,$D306,Doors!$B:$B,$B306,Doors!$C:$C,$C306)*SUMIFS(Velocity!$I:$I,Velocity!$A:$A,$A306,Velocity!$B:$B,$C306)/Assumptions!$B$4*Assumptions!$B$6</f>
        <v>0</v>
      </c>
      <c r="AJ306" s="7" t="n">
        <f aca="false">SUMIFS(Doors!AV:AV,Doors!$A:$A,$D306,Doors!$B:$B,$B306,Doors!$C:$C,$C306)*SUMIFS(Velocity!$I:$I,Velocity!$A:$A,$A306,Velocity!$B:$B,$C306)/Assumptions!$B$4*Assumptions!$B$6</f>
        <v>0</v>
      </c>
      <c r="AK306" s="7" t="n">
        <f aca="false">SUMIFS(Doors!AW:AW,Doors!$A:$A,$D306,Doors!$B:$B,$B306,Doors!$C:$C,$C306)*SUMIFS(Velocity!$I:$I,Velocity!$A:$A,$A306,Velocity!$B:$B,$C306)/Assumptions!$B$4*Assumptions!$B$6</f>
        <v>0</v>
      </c>
      <c r="AL306" s="7" t="n">
        <f aca="false">SUMIFS(Doors!AX:AX,Doors!$A:$A,$D306,Doors!$B:$B,$B306,Doors!$C:$C,$C306)*SUMIFS(Velocity!$I:$I,Velocity!$A:$A,$A306,Velocity!$B:$B,$C306)/Assumptions!$B$4*Assumptions!$B$6</f>
        <v>0</v>
      </c>
      <c r="AM306" s="7" t="n">
        <f aca="false">SUMIFS(Doors!AY:AY,Doors!$A:$A,$D306,Doors!$B:$B,$B306,Doors!$C:$C,$C306)*SUMIFS(Velocity!$I:$I,Velocity!$A:$A,$A306,Velocity!$B:$B,$C306)/Assumptions!$B$4*Assumptions!$B$6</f>
        <v>0</v>
      </c>
      <c r="AN306" s="7" t="n">
        <f aca="false">SUMIFS(Doors!AZ:AZ,Doors!$A:$A,$D306,Doors!$B:$B,$B306,Doors!$C:$C,$C306)*SUMIFS(Velocity!$I:$I,Velocity!$A:$A,$A306,Velocity!$B:$B,$C306)/Assumptions!$B$4*Assumptions!$B$6</f>
        <v>0</v>
      </c>
      <c r="AO306" s="7" t="n">
        <f aca="false">SUMIFS(Doors!BA:BA,Doors!$A:$A,$D306,Doors!$B:$B,$B306,Doors!$C:$C,$C306)*SUMIFS(Velocity!$I:$I,Velocity!$A:$A,$A306,Velocity!$B:$B,$C306)/Assumptions!$B$4*Assumptions!$B$6</f>
        <v>0</v>
      </c>
      <c r="AP306" s="7" t="n">
        <f aca="false">SUMIFS(Doors!BB:BB,Doors!$A:$A,$D306,Doors!$B:$B,$B306,Doors!$C:$C,$C306)*SUMIFS(Velocity!$I:$I,Velocity!$A:$A,$A306,Velocity!$B:$B,$C306)/Assumptions!$B$4*Assumptions!$B$6</f>
        <v>0</v>
      </c>
      <c r="AQ306" s="7" t="n">
        <f aca="false">SUMIFS(Doors!BC:BC,Doors!$A:$A,$D306,Doors!$B:$B,$B306,Doors!$C:$C,$C306)*SUMIFS(Velocity!$I:$I,Velocity!$A:$A,$A306,Velocity!$B:$B,$C306)/Assumptions!$B$4*Assumptions!$B$6</f>
        <v>0</v>
      </c>
      <c r="AR306" s="7" t="n">
        <f aca="false">SUMIFS(Doors!BD:BD,Doors!$A:$A,$D306,Doors!$B:$B,$B306,Doors!$C:$C,$C306)*SUMIFS(Velocity!$I:$I,Velocity!$A:$A,$A306,Velocity!$B:$B,$C306)/Assumptions!$B$4*Assumptions!$B$6</f>
        <v>0</v>
      </c>
      <c r="AS306" s="7" t="n">
        <f aca="false">SUMIFS(Doors!BE:BE,Doors!$A:$A,$D306,Doors!$B:$B,$B306,Doors!$C:$C,$C306)*SUMIFS(Velocity!$I:$I,Velocity!$A:$A,$A306,Velocity!$B:$B,$C306)/Assumptions!$B$4*Assumptions!$B$6</f>
        <v>0</v>
      </c>
      <c r="AT306" s="7" t="n">
        <f aca="false">SUMIFS(Doors!BF:BF,Doors!$A:$A,$D306,Doors!$B:$B,$B306,Doors!$C:$C,$C306)*SUMIFS(Velocity!$I:$I,Velocity!$A:$A,$A306,Velocity!$B:$B,$C306)/Assumptions!$B$4*Assumptions!$B$6</f>
        <v>0</v>
      </c>
      <c r="AU306" s="7" t="n">
        <f aca="false">SUMIFS(Doors!BG:BG,Doors!$A:$A,$D306,Doors!$B:$B,$B306,Doors!$C:$C,$C306)*SUMIFS(Velocity!$I:$I,Velocity!$A:$A,$A306,Velocity!$B:$B,$C306)/Assumptions!$B$4*Assumptions!$B$6</f>
        <v>0</v>
      </c>
      <c r="AV306" s="7" t="n">
        <f aca="false">SUMIFS(Doors!BH:BH,Doors!$A:$A,$D306,Doors!$B:$B,$B306,Doors!$C:$C,$C306)*SUMIFS(Velocity!$I:$I,Velocity!$A:$A,$A306,Velocity!$B:$B,$C306)/Assumptions!$B$4*Assumptions!$B$6</f>
        <v>0</v>
      </c>
      <c r="AW306" s="7" t="n">
        <f aca="false">SUMIFS(Doors!BI:BI,Doors!$A:$A,$D306,Doors!$B:$B,$B306,Doors!$C:$C,$C306)*SUMIFS(Velocity!$I:$I,Velocity!$A:$A,$A306,Velocity!$B:$B,$C306)/Assumptions!$B$4*Assumptions!$B$6</f>
        <v>0</v>
      </c>
      <c r="AX306" s="7" t="n">
        <f aca="false">SUMIFS(Doors!BJ:BJ,Doors!$A:$A,$D306,Doors!$B:$B,$B306,Doors!$C:$C,$C306)*SUMIFS(Velocity!$I:$I,Velocity!$A:$A,$A306,Velocity!$B:$B,$C306)/Assumptions!$B$4*Assumptions!$B$6</f>
        <v>0</v>
      </c>
      <c r="AY306" s="7" t="n">
        <f aca="false">SUMIFS(Doors!BK:BK,Doors!$A:$A,$D306,Doors!$B:$B,$B306,Doors!$C:$C,$C306)*SUMIFS(Velocity!$I:$I,Velocity!$A:$A,$A306,Velocity!$B:$B,$C306)/Assumptions!$B$4*Assumptions!$B$6</f>
        <v>0</v>
      </c>
      <c r="AZ306" s="7" t="n">
        <f aca="false">SUMIFS(Doors!BL:BL,Doors!$A:$A,$D306,Doors!$B:$B,$B306,Doors!$C:$C,$C306)*SUMIFS(Velocity!$I:$I,Velocity!$A:$A,$A306,Velocity!$B:$B,$C306)/Assumptions!$B$4*Assumptions!$B$6</f>
        <v>0</v>
      </c>
      <c r="BA306" s="7" t="n">
        <f aca="false">SUMIFS(Doors!BM:BM,Doors!$A:$A,$D306,Doors!$B:$B,$B306,Doors!$C:$C,$C306)*SUMIFS(Velocity!$I:$I,Velocity!$A:$A,$A306,Velocity!$B:$B,$C306)/Assumptions!$B$4*Assumptions!$B$6</f>
        <v>0</v>
      </c>
      <c r="BB306" s="7" t="n">
        <f aca="false">SUMIFS(Doors!BN:BN,Doors!$A:$A,$D306,Doors!$B:$B,$B306,Doors!$C:$C,$C306)*SUMIFS(Velocity!$I:$I,Velocity!$A:$A,$A306,Velocity!$B:$B,$C306)/Assumptions!$B$4*Assumptions!$B$6</f>
        <v>0</v>
      </c>
      <c r="BC306" s="7" t="n">
        <f aca="false">SUMIFS(Doors!BO:BO,Doors!$A:$A,$D306,Doors!$B:$B,$B306,Doors!$C:$C,$C306)*SUMIFS(Velocity!$I:$I,Velocity!$A:$A,$A306,Velocity!$B:$B,$C306)/Assumptions!$B$4*Assumptions!$B$6</f>
        <v>0</v>
      </c>
      <c r="BD306" s="7" t="n">
        <f aca="false">SUMIFS(Doors!BP:BP,Doors!$A:$A,$D306,Doors!$B:$B,$B306,Doors!$C:$C,$C306)*SUMIFS(Velocity!$I:$I,Velocity!$A:$A,$A306,Velocity!$B:$B,$C306)/Assumptions!$B$4*Assumptions!$B$6</f>
        <v>0</v>
      </c>
    </row>
    <row r="307" customFormat="false" ht="15" hidden="false" customHeight="false" outlineLevel="0" collapsed="false">
      <c r="A307" s="0" t="s">
        <v>111</v>
      </c>
      <c r="B307" s="0" t="s">
        <v>129</v>
      </c>
      <c r="C307" s="0" t="s">
        <v>119</v>
      </c>
      <c r="D307" s="0" t="s">
        <v>236</v>
      </c>
      <c r="E307" s="7" t="n">
        <f aca="false">SUMIFS(Doors!Q:Q,Doors!$A:$A,$D307,Doors!$B:$B,$B307,Doors!$C:$C,$C307)*SUMIFS(Velocity!$I:$I,Velocity!$A:$A,$A307,Velocity!$B:$B,$C307)/Assumptions!$B$4*Assumptions!$B$6</f>
        <v>0</v>
      </c>
      <c r="F307" s="7" t="n">
        <f aca="false">SUMIFS(Doors!R:R,Doors!$A:$A,$D307,Doors!$B:$B,$B307,Doors!$C:$C,$C307)*SUMIFS(Velocity!$I:$I,Velocity!$A:$A,$A307,Velocity!$B:$B,$C307)/Assumptions!$B$4*Assumptions!$B$6</f>
        <v>0</v>
      </c>
      <c r="G307" s="7" t="n">
        <f aca="false">SUMIFS(Doors!S:S,Doors!$A:$A,$D307,Doors!$B:$B,$B307,Doors!$C:$C,$C307)*SUMIFS(Velocity!$I:$I,Velocity!$A:$A,$A307,Velocity!$B:$B,$C307)/Assumptions!$B$4*Assumptions!$B$6</f>
        <v>0</v>
      </c>
      <c r="H307" s="7" t="n">
        <f aca="false">SUMIFS(Doors!T:T,Doors!$A:$A,$D307,Doors!$B:$B,$B307,Doors!$C:$C,$C307)*SUMIFS(Velocity!$I:$I,Velocity!$A:$A,$A307,Velocity!$B:$B,$C307)/Assumptions!$B$4*Assumptions!$B$6</f>
        <v>0</v>
      </c>
      <c r="I307" s="7" t="n">
        <f aca="false">SUMIFS(Doors!U:U,Doors!$A:$A,$D307,Doors!$B:$B,$B307,Doors!$C:$C,$C307)*SUMIFS(Velocity!$I:$I,Velocity!$A:$A,$A307,Velocity!$B:$B,$C307)/Assumptions!$B$4*Assumptions!$B$6</f>
        <v>0</v>
      </c>
      <c r="J307" s="7" t="n">
        <f aca="false">SUMIFS(Doors!V:V,Doors!$A:$A,$D307,Doors!$B:$B,$B307,Doors!$C:$C,$C307)*SUMIFS(Velocity!$I:$I,Velocity!$A:$A,$A307,Velocity!$B:$B,$C307)/Assumptions!$B$4*Assumptions!$B$6</f>
        <v>0</v>
      </c>
      <c r="K307" s="7" t="n">
        <f aca="false">SUMIFS(Doors!W:W,Doors!$A:$A,$D307,Doors!$B:$B,$B307,Doors!$C:$C,$C307)*SUMIFS(Velocity!$I:$I,Velocity!$A:$A,$A307,Velocity!$B:$B,$C307)/Assumptions!$B$4*Assumptions!$B$6</f>
        <v>0</v>
      </c>
      <c r="L307" s="7" t="n">
        <f aca="false">SUMIFS(Doors!X:X,Doors!$A:$A,$D307,Doors!$B:$B,$B307,Doors!$C:$C,$C307)*SUMIFS(Velocity!$I:$I,Velocity!$A:$A,$A307,Velocity!$B:$B,$C307)/Assumptions!$B$4*Assumptions!$B$6</f>
        <v>0</v>
      </c>
      <c r="M307" s="7" t="n">
        <f aca="false">SUMIFS(Doors!Y:Y,Doors!$A:$A,$D307,Doors!$B:$B,$B307,Doors!$C:$C,$C307)*SUMIFS(Velocity!$I:$I,Velocity!$A:$A,$A307,Velocity!$B:$B,$C307)/Assumptions!$B$4*Assumptions!$B$6</f>
        <v>0</v>
      </c>
      <c r="N307" s="7" t="n">
        <f aca="false">SUMIFS(Doors!Z:Z,Doors!$A:$A,$D307,Doors!$B:$B,$B307,Doors!$C:$C,$C307)*SUMIFS(Velocity!$I:$I,Velocity!$A:$A,$A307,Velocity!$B:$B,$C307)/Assumptions!$B$4*Assumptions!$B$6</f>
        <v>0</v>
      </c>
      <c r="O307" s="7" t="n">
        <f aca="false">SUMIFS(Doors!AA:AA,Doors!$A:$A,$D307,Doors!$B:$B,$B307,Doors!$C:$C,$C307)*SUMIFS(Velocity!$I:$I,Velocity!$A:$A,$A307,Velocity!$B:$B,$C307)/Assumptions!$B$4*Assumptions!$B$6</f>
        <v>0</v>
      </c>
      <c r="P307" s="7" t="n">
        <f aca="false">SUMIFS(Doors!AB:AB,Doors!$A:$A,$D307,Doors!$B:$B,$B307,Doors!$C:$C,$C307)*SUMIFS(Velocity!$I:$I,Velocity!$A:$A,$A307,Velocity!$B:$B,$C307)/Assumptions!$B$4*Assumptions!$B$6</f>
        <v>0</v>
      </c>
      <c r="Q307" s="7" t="n">
        <f aca="false">SUMIFS(Doors!AC:AC,Doors!$A:$A,$D307,Doors!$B:$B,$B307,Doors!$C:$C,$C307)*SUMIFS(Velocity!$I:$I,Velocity!$A:$A,$A307,Velocity!$B:$B,$C307)/Assumptions!$B$4*Assumptions!$B$6</f>
        <v>0</v>
      </c>
      <c r="R307" s="7" t="n">
        <f aca="false">SUMIFS(Doors!AD:AD,Doors!$A:$A,$D307,Doors!$B:$B,$B307,Doors!$C:$C,$C307)*SUMIFS(Velocity!$I:$I,Velocity!$A:$A,$A307,Velocity!$B:$B,$C307)/Assumptions!$B$4*Assumptions!$B$6</f>
        <v>0</v>
      </c>
      <c r="S307" s="7" t="n">
        <f aca="false">SUMIFS(Doors!AE:AE,Doors!$A:$A,$D307,Doors!$B:$B,$B307,Doors!$C:$C,$C307)*SUMIFS(Velocity!$I:$I,Velocity!$A:$A,$A307,Velocity!$B:$B,$C307)/Assumptions!$B$4*Assumptions!$B$6</f>
        <v>0</v>
      </c>
      <c r="T307" s="7" t="n">
        <f aca="false">SUMIFS(Doors!AF:AF,Doors!$A:$A,$D307,Doors!$B:$B,$B307,Doors!$C:$C,$C307)*SUMIFS(Velocity!$I:$I,Velocity!$A:$A,$A307,Velocity!$B:$B,$C307)/Assumptions!$B$4*Assumptions!$B$6</f>
        <v>0</v>
      </c>
      <c r="U307" s="7" t="n">
        <f aca="false">SUMIFS(Doors!AG:AG,Doors!$A:$A,$D307,Doors!$B:$B,$B307,Doors!$C:$C,$C307)*SUMIFS(Velocity!$I:$I,Velocity!$A:$A,$A307,Velocity!$B:$B,$C307)/Assumptions!$B$4*Assumptions!$B$6</f>
        <v>0</v>
      </c>
      <c r="V307" s="7" t="n">
        <f aca="false">SUMIFS(Doors!AH:AH,Doors!$A:$A,$D307,Doors!$B:$B,$B307,Doors!$C:$C,$C307)*SUMIFS(Velocity!$I:$I,Velocity!$A:$A,$A307,Velocity!$B:$B,$C307)/Assumptions!$B$4*Assumptions!$B$6</f>
        <v>0</v>
      </c>
      <c r="W307" s="7" t="n">
        <f aca="false">SUMIFS(Doors!AI:AI,Doors!$A:$A,$D307,Doors!$B:$B,$B307,Doors!$C:$C,$C307)*SUMIFS(Velocity!$I:$I,Velocity!$A:$A,$A307,Velocity!$B:$B,$C307)/Assumptions!$B$4*Assumptions!$B$6</f>
        <v>0</v>
      </c>
      <c r="X307" s="7" t="n">
        <f aca="false">SUMIFS(Doors!AJ:AJ,Doors!$A:$A,$D307,Doors!$B:$B,$B307,Doors!$C:$C,$C307)*SUMIFS(Velocity!$I:$I,Velocity!$A:$A,$A307,Velocity!$B:$B,$C307)/Assumptions!$B$4*Assumptions!$B$6</f>
        <v>0</v>
      </c>
      <c r="Y307" s="7" t="n">
        <f aca="false">SUMIFS(Doors!AK:AK,Doors!$A:$A,$D307,Doors!$B:$B,$B307,Doors!$C:$C,$C307)*SUMIFS(Velocity!$I:$I,Velocity!$A:$A,$A307,Velocity!$B:$B,$C307)/Assumptions!$B$4*Assumptions!$B$6</f>
        <v>0</v>
      </c>
      <c r="Z307" s="7" t="n">
        <f aca="false">SUMIFS(Doors!AL:AL,Doors!$A:$A,$D307,Doors!$B:$B,$B307,Doors!$C:$C,$C307)*SUMIFS(Velocity!$I:$I,Velocity!$A:$A,$A307,Velocity!$B:$B,$C307)/Assumptions!$B$4*Assumptions!$B$6</f>
        <v>0</v>
      </c>
      <c r="AA307" s="7" t="n">
        <f aca="false">SUMIFS(Doors!AM:AM,Doors!$A:$A,$D307,Doors!$B:$B,$B307,Doors!$C:$C,$C307)*SUMIFS(Velocity!$I:$I,Velocity!$A:$A,$A307,Velocity!$B:$B,$C307)/Assumptions!$B$4*Assumptions!$B$6</f>
        <v>0</v>
      </c>
      <c r="AB307" s="7" t="n">
        <f aca="false">SUMIFS(Doors!AN:AN,Doors!$A:$A,$D307,Doors!$B:$B,$B307,Doors!$C:$C,$C307)*SUMIFS(Velocity!$I:$I,Velocity!$A:$A,$A307,Velocity!$B:$B,$C307)/Assumptions!$B$4*Assumptions!$B$6</f>
        <v>0</v>
      </c>
      <c r="AC307" s="7" t="n">
        <f aca="false">SUMIFS(Doors!AO:AO,Doors!$A:$A,$D307,Doors!$B:$B,$B307,Doors!$C:$C,$C307)*SUMIFS(Velocity!$I:$I,Velocity!$A:$A,$A307,Velocity!$B:$B,$C307)/Assumptions!$B$4*Assumptions!$B$6</f>
        <v>0</v>
      </c>
      <c r="AD307" s="7" t="n">
        <f aca="false">SUMIFS(Doors!AP:AP,Doors!$A:$A,$D307,Doors!$B:$B,$B307,Doors!$C:$C,$C307)*SUMIFS(Velocity!$I:$I,Velocity!$A:$A,$A307,Velocity!$B:$B,$C307)/Assumptions!$B$4*Assumptions!$B$6</f>
        <v>0</v>
      </c>
      <c r="AE307" s="7" t="n">
        <f aca="false">SUMIFS(Doors!AQ:AQ,Doors!$A:$A,$D307,Doors!$B:$B,$B307,Doors!$C:$C,$C307)*SUMIFS(Velocity!$I:$I,Velocity!$A:$A,$A307,Velocity!$B:$B,$C307)/Assumptions!$B$4*Assumptions!$B$6</f>
        <v>0</v>
      </c>
      <c r="AF307" s="7" t="n">
        <f aca="false">SUMIFS(Doors!AR:AR,Doors!$A:$A,$D307,Doors!$B:$B,$B307,Doors!$C:$C,$C307)*SUMIFS(Velocity!$I:$I,Velocity!$A:$A,$A307,Velocity!$B:$B,$C307)/Assumptions!$B$4*Assumptions!$B$6</f>
        <v>0</v>
      </c>
      <c r="AG307" s="7" t="n">
        <f aca="false">SUMIFS(Doors!AS:AS,Doors!$A:$A,$D307,Doors!$B:$B,$B307,Doors!$C:$C,$C307)*SUMIFS(Velocity!$I:$I,Velocity!$A:$A,$A307,Velocity!$B:$B,$C307)/Assumptions!$B$4*Assumptions!$B$6</f>
        <v>0</v>
      </c>
      <c r="AH307" s="7" t="n">
        <f aca="false">SUMIFS(Doors!AT:AT,Doors!$A:$A,$D307,Doors!$B:$B,$B307,Doors!$C:$C,$C307)*SUMIFS(Velocity!$I:$I,Velocity!$A:$A,$A307,Velocity!$B:$B,$C307)/Assumptions!$B$4*Assumptions!$B$6</f>
        <v>0</v>
      </c>
      <c r="AI307" s="7" t="n">
        <f aca="false">SUMIFS(Doors!AU:AU,Doors!$A:$A,$D307,Doors!$B:$B,$B307,Doors!$C:$C,$C307)*SUMIFS(Velocity!$I:$I,Velocity!$A:$A,$A307,Velocity!$B:$B,$C307)/Assumptions!$B$4*Assumptions!$B$6</f>
        <v>0</v>
      </c>
      <c r="AJ307" s="7" t="n">
        <f aca="false">SUMIFS(Doors!AV:AV,Doors!$A:$A,$D307,Doors!$B:$B,$B307,Doors!$C:$C,$C307)*SUMIFS(Velocity!$I:$I,Velocity!$A:$A,$A307,Velocity!$B:$B,$C307)/Assumptions!$B$4*Assumptions!$B$6</f>
        <v>0</v>
      </c>
      <c r="AK307" s="7" t="n">
        <f aca="false">SUMIFS(Doors!AW:AW,Doors!$A:$A,$D307,Doors!$B:$B,$B307,Doors!$C:$C,$C307)*SUMIFS(Velocity!$I:$I,Velocity!$A:$A,$A307,Velocity!$B:$B,$C307)/Assumptions!$B$4*Assumptions!$B$6</f>
        <v>0</v>
      </c>
      <c r="AL307" s="7" t="n">
        <f aca="false">SUMIFS(Doors!AX:AX,Doors!$A:$A,$D307,Doors!$B:$B,$B307,Doors!$C:$C,$C307)*SUMIFS(Velocity!$I:$I,Velocity!$A:$A,$A307,Velocity!$B:$B,$C307)/Assumptions!$B$4*Assumptions!$B$6</f>
        <v>0</v>
      </c>
      <c r="AM307" s="7" t="n">
        <f aca="false">SUMIFS(Doors!AY:AY,Doors!$A:$A,$D307,Doors!$B:$B,$B307,Doors!$C:$C,$C307)*SUMIFS(Velocity!$I:$I,Velocity!$A:$A,$A307,Velocity!$B:$B,$C307)/Assumptions!$B$4*Assumptions!$B$6</f>
        <v>0</v>
      </c>
      <c r="AN307" s="7" t="n">
        <f aca="false">SUMIFS(Doors!AZ:AZ,Doors!$A:$A,$D307,Doors!$B:$B,$B307,Doors!$C:$C,$C307)*SUMIFS(Velocity!$I:$I,Velocity!$A:$A,$A307,Velocity!$B:$B,$C307)/Assumptions!$B$4*Assumptions!$B$6</f>
        <v>0</v>
      </c>
      <c r="AO307" s="7" t="n">
        <f aca="false">SUMIFS(Doors!BA:BA,Doors!$A:$A,$D307,Doors!$B:$B,$B307,Doors!$C:$C,$C307)*SUMIFS(Velocity!$I:$I,Velocity!$A:$A,$A307,Velocity!$B:$B,$C307)/Assumptions!$B$4*Assumptions!$B$6</f>
        <v>0</v>
      </c>
      <c r="AP307" s="7" t="n">
        <f aca="false">SUMIFS(Doors!BB:BB,Doors!$A:$A,$D307,Doors!$B:$B,$B307,Doors!$C:$C,$C307)*SUMIFS(Velocity!$I:$I,Velocity!$A:$A,$A307,Velocity!$B:$B,$C307)/Assumptions!$B$4*Assumptions!$B$6</f>
        <v>0</v>
      </c>
      <c r="AQ307" s="7" t="n">
        <f aca="false">SUMIFS(Doors!BC:BC,Doors!$A:$A,$D307,Doors!$B:$B,$B307,Doors!$C:$C,$C307)*SUMIFS(Velocity!$I:$I,Velocity!$A:$A,$A307,Velocity!$B:$B,$C307)/Assumptions!$B$4*Assumptions!$B$6</f>
        <v>0</v>
      </c>
      <c r="AR307" s="7" t="n">
        <f aca="false">SUMIFS(Doors!BD:BD,Doors!$A:$A,$D307,Doors!$B:$B,$B307,Doors!$C:$C,$C307)*SUMIFS(Velocity!$I:$I,Velocity!$A:$A,$A307,Velocity!$B:$B,$C307)/Assumptions!$B$4*Assumptions!$B$6</f>
        <v>0</v>
      </c>
      <c r="AS307" s="7" t="n">
        <f aca="false">SUMIFS(Doors!BE:BE,Doors!$A:$A,$D307,Doors!$B:$B,$B307,Doors!$C:$C,$C307)*SUMIFS(Velocity!$I:$I,Velocity!$A:$A,$A307,Velocity!$B:$B,$C307)/Assumptions!$B$4*Assumptions!$B$6</f>
        <v>0</v>
      </c>
      <c r="AT307" s="7" t="n">
        <f aca="false">SUMIFS(Doors!BF:BF,Doors!$A:$A,$D307,Doors!$B:$B,$B307,Doors!$C:$C,$C307)*SUMIFS(Velocity!$I:$I,Velocity!$A:$A,$A307,Velocity!$B:$B,$C307)/Assumptions!$B$4*Assumptions!$B$6</f>
        <v>0</v>
      </c>
      <c r="AU307" s="7" t="n">
        <f aca="false">SUMIFS(Doors!BG:BG,Doors!$A:$A,$D307,Doors!$B:$B,$B307,Doors!$C:$C,$C307)*SUMIFS(Velocity!$I:$I,Velocity!$A:$A,$A307,Velocity!$B:$B,$C307)/Assumptions!$B$4*Assumptions!$B$6</f>
        <v>0</v>
      </c>
      <c r="AV307" s="7" t="n">
        <f aca="false">SUMIFS(Doors!BH:BH,Doors!$A:$A,$D307,Doors!$B:$B,$B307,Doors!$C:$C,$C307)*SUMIFS(Velocity!$I:$I,Velocity!$A:$A,$A307,Velocity!$B:$B,$C307)/Assumptions!$B$4*Assumptions!$B$6</f>
        <v>0</v>
      </c>
      <c r="AW307" s="7" t="n">
        <f aca="false">SUMIFS(Doors!BI:BI,Doors!$A:$A,$D307,Doors!$B:$B,$B307,Doors!$C:$C,$C307)*SUMIFS(Velocity!$I:$I,Velocity!$A:$A,$A307,Velocity!$B:$B,$C307)/Assumptions!$B$4*Assumptions!$B$6</f>
        <v>0</v>
      </c>
      <c r="AX307" s="7" t="n">
        <f aca="false">SUMIFS(Doors!BJ:BJ,Doors!$A:$A,$D307,Doors!$B:$B,$B307,Doors!$C:$C,$C307)*SUMIFS(Velocity!$I:$I,Velocity!$A:$A,$A307,Velocity!$B:$B,$C307)/Assumptions!$B$4*Assumptions!$B$6</f>
        <v>0</v>
      </c>
      <c r="AY307" s="7" t="n">
        <f aca="false">SUMIFS(Doors!BK:BK,Doors!$A:$A,$D307,Doors!$B:$B,$B307,Doors!$C:$C,$C307)*SUMIFS(Velocity!$I:$I,Velocity!$A:$A,$A307,Velocity!$B:$B,$C307)/Assumptions!$B$4*Assumptions!$B$6</f>
        <v>0</v>
      </c>
      <c r="AZ307" s="7" t="n">
        <f aca="false">SUMIFS(Doors!BL:BL,Doors!$A:$A,$D307,Doors!$B:$B,$B307,Doors!$C:$C,$C307)*SUMIFS(Velocity!$I:$I,Velocity!$A:$A,$A307,Velocity!$B:$B,$C307)/Assumptions!$B$4*Assumptions!$B$6</f>
        <v>0</v>
      </c>
      <c r="BA307" s="7" t="n">
        <f aca="false">SUMIFS(Doors!BM:BM,Doors!$A:$A,$D307,Doors!$B:$B,$B307,Doors!$C:$C,$C307)*SUMIFS(Velocity!$I:$I,Velocity!$A:$A,$A307,Velocity!$B:$B,$C307)/Assumptions!$B$4*Assumptions!$B$6</f>
        <v>0</v>
      </c>
      <c r="BB307" s="7" t="n">
        <f aca="false">SUMIFS(Doors!BN:BN,Doors!$A:$A,$D307,Doors!$B:$B,$B307,Doors!$C:$C,$C307)*SUMIFS(Velocity!$I:$I,Velocity!$A:$A,$A307,Velocity!$B:$B,$C307)/Assumptions!$B$4*Assumptions!$B$6</f>
        <v>0</v>
      </c>
      <c r="BC307" s="7" t="n">
        <f aca="false">SUMIFS(Doors!BO:BO,Doors!$A:$A,$D307,Doors!$B:$B,$B307,Doors!$C:$C,$C307)*SUMIFS(Velocity!$I:$I,Velocity!$A:$A,$A307,Velocity!$B:$B,$C307)/Assumptions!$B$4*Assumptions!$B$6</f>
        <v>0</v>
      </c>
      <c r="BD307" s="7" t="n">
        <f aca="false">SUMIFS(Doors!BP:BP,Doors!$A:$A,$D307,Doors!$B:$B,$B307,Doors!$C:$C,$C307)*SUMIFS(Velocity!$I:$I,Velocity!$A:$A,$A307,Velocity!$B:$B,$C307)/Assumptions!$B$4*Assumptions!$B$6</f>
        <v>0</v>
      </c>
    </row>
    <row r="308" customFormat="false" ht="15" hidden="false" customHeight="false" outlineLevel="0" collapsed="false">
      <c r="A308" s="0" t="s">
        <v>111</v>
      </c>
      <c r="B308" s="0" t="s">
        <v>129</v>
      </c>
      <c r="C308" s="0" t="s">
        <v>120</v>
      </c>
      <c r="D308" s="0" t="s">
        <v>236</v>
      </c>
      <c r="E308" s="7" t="n">
        <f aca="false">SUMIFS(Doors!Q:Q,Doors!$A:$A,$D308,Doors!$B:$B,$B308,Doors!$C:$C,$C308)*SUMIFS(Velocity!$I:$I,Velocity!$A:$A,$A308,Velocity!$B:$B,$C308)/Assumptions!$B$4*Assumptions!$B$6</f>
        <v>0</v>
      </c>
      <c r="F308" s="7" t="n">
        <f aca="false">SUMIFS(Doors!R:R,Doors!$A:$A,$D308,Doors!$B:$B,$B308,Doors!$C:$C,$C308)*SUMIFS(Velocity!$I:$I,Velocity!$A:$A,$A308,Velocity!$B:$B,$C308)/Assumptions!$B$4*Assumptions!$B$6</f>
        <v>0</v>
      </c>
      <c r="G308" s="7" t="n">
        <f aca="false">SUMIFS(Doors!S:S,Doors!$A:$A,$D308,Doors!$B:$B,$B308,Doors!$C:$C,$C308)*SUMIFS(Velocity!$I:$I,Velocity!$A:$A,$A308,Velocity!$B:$B,$C308)/Assumptions!$B$4*Assumptions!$B$6</f>
        <v>0</v>
      </c>
      <c r="H308" s="7" t="n">
        <f aca="false">SUMIFS(Doors!T:T,Doors!$A:$A,$D308,Doors!$B:$B,$B308,Doors!$C:$C,$C308)*SUMIFS(Velocity!$I:$I,Velocity!$A:$A,$A308,Velocity!$B:$B,$C308)/Assumptions!$B$4*Assumptions!$B$6</f>
        <v>0</v>
      </c>
      <c r="I308" s="7" t="n">
        <f aca="false">SUMIFS(Doors!U:U,Doors!$A:$A,$D308,Doors!$B:$B,$B308,Doors!$C:$C,$C308)*SUMIFS(Velocity!$I:$I,Velocity!$A:$A,$A308,Velocity!$B:$B,$C308)/Assumptions!$B$4*Assumptions!$B$6</f>
        <v>0</v>
      </c>
      <c r="J308" s="7" t="n">
        <f aca="false">SUMIFS(Doors!V:V,Doors!$A:$A,$D308,Doors!$B:$B,$B308,Doors!$C:$C,$C308)*SUMIFS(Velocity!$I:$I,Velocity!$A:$A,$A308,Velocity!$B:$B,$C308)/Assumptions!$B$4*Assumptions!$B$6</f>
        <v>0</v>
      </c>
      <c r="K308" s="7" t="n">
        <f aca="false">SUMIFS(Doors!W:W,Doors!$A:$A,$D308,Doors!$B:$B,$B308,Doors!$C:$C,$C308)*SUMIFS(Velocity!$I:$I,Velocity!$A:$A,$A308,Velocity!$B:$B,$C308)/Assumptions!$B$4*Assumptions!$B$6</f>
        <v>0</v>
      </c>
      <c r="L308" s="7" t="n">
        <f aca="false">SUMIFS(Doors!X:X,Doors!$A:$A,$D308,Doors!$B:$B,$B308,Doors!$C:$C,$C308)*SUMIFS(Velocity!$I:$I,Velocity!$A:$A,$A308,Velocity!$B:$B,$C308)/Assumptions!$B$4*Assumptions!$B$6</f>
        <v>0</v>
      </c>
      <c r="M308" s="7" t="n">
        <f aca="false">SUMIFS(Doors!Y:Y,Doors!$A:$A,$D308,Doors!$B:$B,$B308,Doors!$C:$C,$C308)*SUMIFS(Velocity!$I:$I,Velocity!$A:$A,$A308,Velocity!$B:$B,$C308)/Assumptions!$B$4*Assumptions!$B$6</f>
        <v>0</v>
      </c>
      <c r="N308" s="7" t="n">
        <f aca="false">SUMIFS(Doors!Z:Z,Doors!$A:$A,$D308,Doors!$B:$B,$B308,Doors!$C:$C,$C308)*SUMIFS(Velocity!$I:$I,Velocity!$A:$A,$A308,Velocity!$B:$B,$C308)/Assumptions!$B$4*Assumptions!$B$6</f>
        <v>0</v>
      </c>
      <c r="O308" s="7" t="n">
        <f aca="false">SUMIFS(Doors!AA:AA,Doors!$A:$A,$D308,Doors!$B:$B,$B308,Doors!$C:$C,$C308)*SUMIFS(Velocity!$I:$I,Velocity!$A:$A,$A308,Velocity!$B:$B,$C308)/Assumptions!$B$4*Assumptions!$B$6</f>
        <v>0</v>
      </c>
      <c r="P308" s="7" t="n">
        <f aca="false">SUMIFS(Doors!AB:AB,Doors!$A:$A,$D308,Doors!$B:$B,$B308,Doors!$C:$C,$C308)*SUMIFS(Velocity!$I:$I,Velocity!$A:$A,$A308,Velocity!$B:$B,$C308)/Assumptions!$B$4*Assumptions!$B$6</f>
        <v>0</v>
      </c>
      <c r="Q308" s="7" t="n">
        <f aca="false">SUMIFS(Doors!AC:AC,Doors!$A:$A,$D308,Doors!$B:$B,$B308,Doors!$C:$C,$C308)*SUMIFS(Velocity!$I:$I,Velocity!$A:$A,$A308,Velocity!$B:$B,$C308)/Assumptions!$B$4*Assumptions!$B$6</f>
        <v>0</v>
      </c>
      <c r="R308" s="7" t="n">
        <f aca="false">SUMIFS(Doors!AD:AD,Doors!$A:$A,$D308,Doors!$B:$B,$B308,Doors!$C:$C,$C308)*SUMIFS(Velocity!$I:$I,Velocity!$A:$A,$A308,Velocity!$B:$B,$C308)/Assumptions!$B$4*Assumptions!$B$6</f>
        <v>0</v>
      </c>
      <c r="S308" s="7" t="n">
        <f aca="false">SUMIFS(Doors!AE:AE,Doors!$A:$A,$D308,Doors!$B:$B,$B308,Doors!$C:$C,$C308)*SUMIFS(Velocity!$I:$I,Velocity!$A:$A,$A308,Velocity!$B:$B,$C308)/Assumptions!$B$4*Assumptions!$B$6</f>
        <v>0</v>
      </c>
      <c r="T308" s="7" t="n">
        <f aca="false">SUMIFS(Doors!AF:AF,Doors!$A:$A,$D308,Doors!$B:$B,$B308,Doors!$C:$C,$C308)*SUMIFS(Velocity!$I:$I,Velocity!$A:$A,$A308,Velocity!$B:$B,$C308)/Assumptions!$B$4*Assumptions!$B$6</f>
        <v>0</v>
      </c>
      <c r="U308" s="7" t="n">
        <f aca="false">SUMIFS(Doors!AG:AG,Doors!$A:$A,$D308,Doors!$B:$B,$B308,Doors!$C:$C,$C308)*SUMIFS(Velocity!$I:$I,Velocity!$A:$A,$A308,Velocity!$B:$B,$C308)/Assumptions!$B$4*Assumptions!$B$6</f>
        <v>0</v>
      </c>
      <c r="V308" s="7" t="n">
        <f aca="false">SUMIFS(Doors!AH:AH,Doors!$A:$A,$D308,Doors!$B:$B,$B308,Doors!$C:$C,$C308)*SUMIFS(Velocity!$I:$I,Velocity!$A:$A,$A308,Velocity!$B:$B,$C308)/Assumptions!$B$4*Assumptions!$B$6</f>
        <v>0</v>
      </c>
      <c r="W308" s="7" t="n">
        <f aca="false">SUMIFS(Doors!AI:AI,Doors!$A:$A,$D308,Doors!$B:$B,$B308,Doors!$C:$C,$C308)*SUMIFS(Velocity!$I:$I,Velocity!$A:$A,$A308,Velocity!$B:$B,$C308)/Assumptions!$B$4*Assumptions!$B$6</f>
        <v>0</v>
      </c>
      <c r="X308" s="7" t="n">
        <f aca="false">SUMIFS(Doors!AJ:AJ,Doors!$A:$A,$D308,Doors!$B:$B,$B308,Doors!$C:$C,$C308)*SUMIFS(Velocity!$I:$I,Velocity!$A:$A,$A308,Velocity!$B:$B,$C308)/Assumptions!$B$4*Assumptions!$B$6</f>
        <v>0</v>
      </c>
      <c r="Y308" s="7" t="n">
        <f aca="false">SUMIFS(Doors!AK:AK,Doors!$A:$A,$D308,Doors!$B:$B,$B308,Doors!$C:$C,$C308)*SUMIFS(Velocity!$I:$I,Velocity!$A:$A,$A308,Velocity!$B:$B,$C308)/Assumptions!$B$4*Assumptions!$B$6</f>
        <v>0</v>
      </c>
      <c r="Z308" s="7" t="n">
        <f aca="false">SUMIFS(Doors!AL:AL,Doors!$A:$A,$D308,Doors!$B:$B,$B308,Doors!$C:$C,$C308)*SUMIFS(Velocity!$I:$I,Velocity!$A:$A,$A308,Velocity!$B:$B,$C308)/Assumptions!$B$4*Assumptions!$B$6</f>
        <v>0</v>
      </c>
      <c r="AA308" s="7" t="n">
        <f aca="false">SUMIFS(Doors!AM:AM,Doors!$A:$A,$D308,Doors!$B:$B,$B308,Doors!$C:$C,$C308)*SUMIFS(Velocity!$I:$I,Velocity!$A:$A,$A308,Velocity!$B:$B,$C308)/Assumptions!$B$4*Assumptions!$B$6</f>
        <v>0</v>
      </c>
      <c r="AB308" s="7" t="n">
        <f aca="false">SUMIFS(Doors!AN:AN,Doors!$A:$A,$D308,Doors!$B:$B,$B308,Doors!$C:$C,$C308)*SUMIFS(Velocity!$I:$I,Velocity!$A:$A,$A308,Velocity!$B:$B,$C308)/Assumptions!$B$4*Assumptions!$B$6</f>
        <v>0</v>
      </c>
      <c r="AC308" s="7" t="n">
        <f aca="false">SUMIFS(Doors!AO:AO,Doors!$A:$A,$D308,Doors!$B:$B,$B308,Doors!$C:$C,$C308)*SUMIFS(Velocity!$I:$I,Velocity!$A:$A,$A308,Velocity!$B:$B,$C308)/Assumptions!$B$4*Assumptions!$B$6</f>
        <v>0</v>
      </c>
      <c r="AD308" s="7" t="n">
        <f aca="false">SUMIFS(Doors!AP:AP,Doors!$A:$A,$D308,Doors!$B:$B,$B308,Doors!$C:$C,$C308)*SUMIFS(Velocity!$I:$I,Velocity!$A:$A,$A308,Velocity!$B:$B,$C308)/Assumptions!$B$4*Assumptions!$B$6</f>
        <v>0</v>
      </c>
      <c r="AE308" s="7" t="n">
        <f aca="false">SUMIFS(Doors!AQ:AQ,Doors!$A:$A,$D308,Doors!$B:$B,$B308,Doors!$C:$C,$C308)*SUMIFS(Velocity!$I:$I,Velocity!$A:$A,$A308,Velocity!$B:$B,$C308)/Assumptions!$B$4*Assumptions!$B$6</f>
        <v>0</v>
      </c>
      <c r="AF308" s="7" t="n">
        <f aca="false">SUMIFS(Doors!AR:AR,Doors!$A:$A,$D308,Doors!$B:$B,$B308,Doors!$C:$C,$C308)*SUMIFS(Velocity!$I:$I,Velocity!$A:$A,$A308,Velocity!$B:$B,$C308)/Assumptions!$B$4*Assumptions!$B$6</f>
        <v>0</v>
      </c>
      <c r="AG308" s="7" t="n">
        <f aca="false">SUMIFS(Doors!AS:AS,Doors!$A:$A,$D308,Doors!$B:$B,$B308,Doors!$C:$C,$C308)*SUMIFS(Velocity!$I:$I,Velocity!$A:$A,$A308,Velocity!$B:$B,$C308)/Assumptions!$B$4*Assumptions!$B$6</f>
        <v>0</v>
      </c>
      <c r="AH308" s="7" t="n">
        <f aca="false">SUMIFS(Doors!AT:AT,Doors!$A:$A,$D308,Doors!$B:$B,$B308,Doors!$C:$C,$C308)*SUMIFS(Velocity!$I:$I,Velocity!$A:$A,$A308,Velocity!$B:$B,$C308)/Assumptions!$B$4*Assumptions!$B$6</f>
        <v>0</v>
      </c>
      <c r="AI308" s="7" t="n">
        <f aca="false">SUMIFS(Doors!AU:AU,Doors!$A:$A,$D308,Doors!$B:$B,$B308,Doors!$C:$C,$C308)*SUMIFS(Velocity!$I:$I,Velocity!$A:$A,$A308,Velocity!$B:$B,$C308)/Assumptions!$B$4*Assumptions!$B$6</f>
        <v>0</v>
      </c>
      <c r="AJ308" s="7" t="n">
        <f aca="false">SUMIFS(Doors!AV:AV,Doors!$A:$A,$D308,Doors!$B:$B,$B308,Doors!$C:$C,$C308)*SUMIFS(Velocity!$I:$I,Velocity!$A:$A,$A308,Velocity!$B:$B,$C308)/Assumptions!$B$4*Assumptions!$B$6</f>
        <v>0</v>
      </c>
      <c r="AK308" s="7" t="n">
        <f aca="false">SUMIFS(Doors!AW:AW,Doors!$A:$A,$D308,Doors!$B:$B,$B308,Doors!$C:$C,$C308)*SUMIFS(Velocity!$I:$I,Velocity!$A:$A,$A308,Velocity!$B:$B,$C308)/Assumptions!$B$4*Assumptions!$B$6</f>
        <v>0</v>
      </c>
      <c r="AL308" s="7" t="n">
        <f aca="false">SUMIFS(Doors!AX:AX,Doors!$A:$A,$D308,Doors!$B:$B,$B308,Doors!$C:$C,$C308)*SUMIFS(Velocity!$I:$I,Velocity!$A:$A,$A308,Velocity!$B:$B,$C308)/Assumptions!$B$4*Assumptions!$B$6</f>
        <v>0</v>
      </c>
      <c r="AM308" s="7" t="n">
        <f aca="false">SUMIFS(Doors!AY:AY,Doors!$A:$A,$D308,Doors!$B:$B,$B308,Doors!$C:$C,$C308)*SUMIFS(Velocity!$I:$I,Velocity!$A:$A,$A308,Velocity!$B:$B,$C308)/Assumptions!$B$4*Assumptions!$B$6</f>
        <v>0</v>
      </c>
      <c r="AN308" s="7" t="n">
        <f aca="false">SUMIFS(Doors!AZ:AZ,Doors!$A:$A,$D308,Doors!$B:$B,$B308,Doors!$C:$C,$C308)*SUMIFS(Velocity!$I:$I,Velocity!$A:$A,$A308,Velocity!$B:$B,$C308)/Assumptions!$B$4*Assumptions!$B$6</f>
        <v>0</v>
      </c>
      <c r="AO308" s="7" t="n">
        <f aca="false">SUMIFS(Doors!BA:BA,Doors!$A:$A,$D308,Doors!$B:$B,$B308,Doors!$C:$C,$C308)*SUMIFS(Velocity!$I:$I,Velocity!$A:$A,$A308,Velocity!$B:$B,$C308)/Assumptions!$B$4*Assumptions!$B$6</f>
        <v>0</v>
      </c>
      <c r="AP308" s="7" t="n">
        <f aca="false">SUMIFS(Doors!BB:BB,Doors!$A:$A,$D308,Doors!$B:$B,$B308,Doors!$C:$C,$C308)*SUMIFS(Velocity!$I:$I,Velocity!$A:$A,$A308,Velocity!$B:$B,$C308)/Assumptions!$B$4*Assumptions!$B$6</f>
        <v>0</v>
      </c>
      <c r="AQ308" s="7" t="n">
        <f aca="false">SUMIFS(Doors!BC:BC,Doors!$A:$A,$D308,Doors!$B:$B,$B308,Doors!$C:$C,$C308)*SUMIFS(Velocity!$I:$I,Velocity!$A:$A,$A308,Velocity!$B:$B,$C308)/Assumptions!$B$4*Assumptions!$B$6</f>
        <v>0</v>
      </c>
      <c r="AR308" s="7" t="n">
        <f aca="false">SUMIFS(Doors!BD:BD,Doors!$A:$A,$D308,Doors!$B:$B,$B308,Doors!$C:$C,$C308)*SUMIFS(Velocity!$I:$I,Velocity!$A:$A,$A308,Velocity!$B:$B,$C308)/Assumptions!$B$4*Assumptions!$B$6</f>
        <v>0</v>
      </c>
      <c r="AS308" s="7" t="n">
        <f aca="false">SUMIFS(Doors!BE:BE,Doors!$A:$A,$D308,Doors!$B:$B,$B308,Doors!$C:$C,$C308)*SUMIFS(Velocity!$I:$I,Velocity!$A:$A,$A308,Velocity!$B:$B,$C308)/Assumptions!$B$4*Assumptions!$B$6</f>
        <v>0</v>
      </c>
      <c r="AT308" s="7" t="n">
        <f aca="false">SUMIFS(Doors!BF:BF,Doors!$A:$A,$D308,Doors!$B:$B,$B308,Doors!$C:$C,$C308)*SUMIFS(Velocity!$I:$I,Velocity!$A:$A,$A308,Velocity!$B:$B,$C308)/Assumptions!$B$4*Assumptions!$B$6</f>
        <v>0</v>
      </c>
      <c r="AU308" s="7" t="n">
        <f aca="false">SUMIFS(Doors!BG:BG,Doors!$A:$A,$D308,Doors!$B:$B,$B308,Doors!$C:$C,$C308)*SUMIFS(Velocity!$I:$I,Velocity!$A:$A,$A308,Velocity!$B:$B,$C308)/Assumptions!$B$4*Assumptions!$B$6</f>
        <v>0</v>
      </c>
      <c r="AV308" s="7" t="n">
        <f aca="false">SUMIFS(Doors!BH:BH,Doors!$A:$A,$D308,Doors!$B:$B,$B308,Doors!$C:$C,$C308)*SUMIFS(Velocity!$I:$I,Velocity!$A:$A,$A308,Velocity!$B:$B,$C308)/Assumptions!$B$4*Assumptions!$B$6</f>
        <v>0</v>
      </c>
      <c r="AW308" s="7" t="n">
        <f aca="false">SUMIFS(Doors!BI:BI,Doors!$A:$A,$D308,Doors!$B:$B,$B308,Doors!$C:$C,$C308)*SUMIFS(Velocity!$I:$I,Velocity!$A:$A,$A308,Velocity!$B:$B,$C308)/Assumptions!$B$4*Assumptions!$B$6</f>
        <v>0</v>
      </c>
      <c r="AX308" s="7" t="n">
        <f aca="false">SUMIFS(Doors!BJ:BJ,Doors!$A:$A,$D308,Doors!$B:$B,$B308,Doors!$C:$C,$C308)*SUMIFS(Velocity!$I:$I,Velocity!$A:$A,$A308,Velocity!$B:$B,$C308)/Assumptions!$B$4*Assumptions!$B$6</f>
        <v>0</v>
      </c>
      <c r="AY308" s="7" t="n">
        <f aca="false">SUMIFS(Doors!BK:BK,Doors!$A:$A,$D308,Doors!$B:$B,$B308,Doors!$C:$C,$C308)*SUMIFS(Velocity!$I:$I,Velocity!$A:$A,$A308,Velocity!$B:$B,$C308)/Assumptions!$B$4*Assumptions!$B$6</f>
        <v>0</v>
      </c>
      <c r="AZ308" s="7" t="n">
        <f aca="false">SUMIFS(Doors!BL:BL,Doors!$A:$A,$D308,Doors!$B:$B,$B308,Doors!$C:$C,$C308)*SUMIFS(Velocity!$I:$I,Velocity!$A:$A,$A308,Velocity!$B:$B,$C308)/Assumptions!$B$4*Assumptions!$B$6</f>
        <v>0</v>
      </c>
      <c r="BA308" s="7" t="n">
        <f aca="false">SUMIFS(Doors!BM:BM,Doors!$A:$A,$D308,Doors!$B:$B,$B308,Doors!$C:$C,$C308)*SUMIFS(Velocity!$I:$I,Velocity!$A:$A,$A308,Velocity!$B:$B,$C308)/Assumptions!$B$4*Assumptions!$B$6</f>
        <v>0</v>
      </c>
      <c r="BB308" s="7" t="n">
        <f aca="false">SUMIFS(Doors!BN:BN,Doors!$A:$A,$D308,Doors!$B:$B,$B308,Doors!$C:$C,$C308)*SUMIFS(Velocity!$I:$I,Velocity!$A:$A,$A308,Velocity!$B:$B,$C308)/Assumptions!$B$4*Assumptions!$B$6</f>
        <v>0</v>
      </c>
      <c r="BC308" s="7" t="n">
        <f aca="false">SUMIFS(Doors!BO:BO,Doors!$A:$A,$D308,Doors!$B:$B,$B308,Doors!$C:$C,$C308)*SUMIFS(Velocity!$I:$I,Velocity!$A:$A,$A308,Velocity!$B:$B,$C308)/Assumptions!$B$4*Assumptions!$B$6</f>
        <v>0</v>
      </c>
      <c r="BD308" s="7" t="n">
        <f aca="false">SUMIFS(Doors!BP:BP,Doors!$A:$A,$D308,Doors!$B:$B,$B308,Doors!$C:$C,$C308)*SUMIFS(Velocity!$I:$I,Velocity!$A:$A,$A308,Velocity!$B:$B,$C308)/Assumptions!$B$4*Assumptions!$B$6</f>
        <v>0</v>
      </c>
    </row>
    <row r="309" customFormat="false" ht="15" hidden="false" customHeight="false" outlineLevel="0" collapsed="false">
      <c r="A309" s="0" t="s">
        <v>111</v>
      </c>
      <c r="B309" s="0" t="s">
        <v>129</v>
      </c>
      <c r="C309" s="0" t="s">
        <v>121</v>
      </c>
      <c r="D309" s="0" t="s">
        <v>236</v>
      </c>
      <c r="E309" s="7" t="n">
        <f aca="false">SUMIFS(Doors!Q:Q,Doors!$A:$A,$D309,Doors!$B:$B,$B309,Doors!$C:$C,$C309)*SUMIFS(Velocity!$I:$I,Velocity!$A:$A,$A309,Velocity!$B:$B,$C309)/Assumptions!$B$4*Assumptions!$B$6</f>
        <v>0</v>
      </c>
      <c r="F309" s="7" t="n">
        <f aca="false">SUMIFS(Doors!R:R,Doors!$A:$A,$D309,Doors!$B:$B,$B309,Doors!$C:$C,$C309)*SUMIFS(Velocity!$I:$I,Velocity!$A:$A,$A309,Velocity!$B:$B,$C309)/Assumptions!$B$4*Assumptions!$B$6</f>
        <v>0</v>
      </c>
      <c r="G309" s="7" t="n">
        <f aca="false">SUMIFS(Doors!S:S,Doors!$A:$A,$D309,Doors!$B:$B,$B309,Doors!$C:$C,$C309)*SUMIFS(Velocity!$I:$I,Velocity!$A:$A,$A309,Velocity!$B:$B,$C309)/Assumptions!$B$4*Assumptions!$B$6</f>
        <v>0</v>
      </c>
      <c r="H309" s="7" t="n">
        <f aca="false">SUMIFS(Doors!T:T,Doors!$A:$A,$D309,Doors!$B:$B,$B309,Doors!$C:$C,$C309)*SUMIFS(Velocity!$I:$I,Velocity!$A:$A,$A309,Velocity!$B:$B,$C309)/Assumptions!$B$4*Assumptions!$B$6</f>
        <v>0</v>
      </c>
      <c r="I309" s="7" t="n">
        <f aca="false">SUMIFS(Doors!U:U,Doors!$A:$A,$D309,Doors!$B:$B,$B309,Doors!$C:$C,$C309)*SUMIFS(Velocity!$I:$I,Velocity!$A:$A,$A309,Velocity!$B:$B,$C309)/Assumptions!$B$4*Assumptions!$B$6</f>
        <v>0</v>
      </c>
      <c r="J309" s="7" t="n">
        <f aca="false">SUMIFS(Doors!V:V,Doors!$A:$A,$D309,Doors!$B:$B,$B309,Doors!$C:$C,$C309)*SUMIFS(Velocity!$I:$I,Velocity!$A:$A,$A309,Velocity!$B:$B,$C309)/Assumptions!$B$4*Assumptions!$B$6</f>
        <v>0</v>
      </c>
      <c r="K309" s="7" t="n">
        <f aca="false">SUMIFS(Doors!W:W,Doors!$A:$A,$D309,Doors!$B:$B,$B309,Doors!$C:$C,$C309)*SUMIFS(Velocity!$I:$I,Velocity!$A:$A,$A309,Velocity!$B:$B,$C309)/Assumptions!$B$4*Assumptions!$B$6</f>
        <v>0</v>
      </c>
      <c r="L309" s="7" t="n">
        <f aca="false">SUMIFS(Doors!X:X,Doors!$A:$A,$D309,Doors!$B:$B,$B309,Doors!$C:$C,$C309)*SUMIFS(Velocity!$I:$I,Velocity!$A:$A,$A309,Velocity!$B:$B,$C309)/Assumptions!$B$4*Assumptions!$B$6</f>
        <v>0</v>
      </c>
      <c r="M309" s="7" t="n">
        <f aca="false">SUMIFS(Doors!Y:Y,Doors!$A:$A,$D309,Doors!$B:$B,$B309,Doors!$C:$C,$C309)*SUMIFS(Velocity!$I:$I,Velocity!$A:$A,$A309,Velocity!$B:$B,$C309)/Assumptions!$B$4*Assumptions!$B$6</f>
        <v>0</v>
      </c>
      <c r="N309" s="7" t="n">
        <f aca="false">SUMIFS(Doors!Z:Z,Doors!$A:$A,$D309,Doors!$B:$B,$B309,Doors!$C:$C,$C309)*SUMIFS(Velocity!$I:$I,Velocity!$A:$A,$A309,Velocity!$B:$B,$C309)/Assumptions!$B$4*Assumptions!$B$6</f>
        <v>0</v>
      </c>
      <c r="O309" s="7" t="n">
        <f aca="false">SUMIFS(Doors!AA:AA,Doors!$A:$A,$D309,Doors!$B:$B,$B309,Doors!$C:$C,$C309)*SUMIFS(Velocity!$I:$I,Velocity!$A:$A,$A309,Velocity!$B:$B,$C309)/Assumptions!$B$4*Assumptions!$B$6</f>
        <v>0</v>
      </c>
      <c r="P309" s="7" t="n">
        <f aca="false">SUMIFS(Doors!AB:AB,Doors!$A:$A,$D309,Doors!$B:$B,$B309,Doors!$C:$C,$C309)*SUMIFS(Velocity!$I:$I,Velocity!$A:$A,$A309,Velocity!$B:$B,$C309)/Assumptions!$B$4*Assumptions!$B$6</f>
        <v>0</v>
      </c>
      <c r="Q309" s="7" t="n">
        <f aca="false">SUMIFS(Doors!AC:AC,Doors!$A:$A,$D309,Doors!$B:$B,$B309,Doors!$C:$C,$C309)*SUMIFS(Velocity!$I:$I,Velocity!$A:$A,$A309,Velocity!$B:$B,$C309)/Assumptions!$B$4*Assumptions!$B$6</f>
        <v>0</v>
      </c>
      <c r="R309" s="7" t="n">
        <f aca="false">SUMIFS(Doors!AD:AD,Doors!$A:$A,$D309,Doors!$B:$B,$B309,Doors!$C:$C,$C309)*SUMIFS(Velocity!$I:$I,Velocity!$A:$A,$A309,Velocity!$B:$B,$C309)/Assumptions!$B$4*Assumptions!$B$6</f>
        <v>0</v>
      </c>
      <c r="S309" s="7" t="n">
        <f aca="false">SUMIFS(Doors!AE:AE,Doors!$A:$A,$D309,Doors!$B:$B,$B309,Doors!$C:$C,$C309)*SUMIFS(Velocity!$I:$I,Velocity!$A:$A,$A309,Velocity!$B:$B,$C309)/Assumptions!$B$4*Assumptions!$B$6</f>
        <v>0</v>
      </c>
      <c r="T309" s="7" t="n">
        <f aca="false">SUMIFS(Doors!AF:AF,Doors!$A:$A,$D309,Doors!$B:$B,$B309,Doors!$C:$C,$C309)*SUMIFS(Velocity!$I:$I,Velocity!$A:$A,$A309,Velocity!$B:$B,$C309)/Assumptions!$B$4*Assumptions!$B$6</f>
        <v>0</v>
      </c>
      <c r="U309" s="7" t="n">
        <f aca="false">SUMIFS(Doors!AG:AG,Doors!$A:$A,$D309,Doors!$B:$B,$B309,Doors!$C:$C,$C309)*SUMIFS(Velocity!$I:$I,Velocity!$A:$A,$A309,Velocity!$B:$B,$C309)/Assumptions!$B$4*Assumptions!$B$6</f>
        <v>0</v>
      </c>
      <c r="V309" s="7" t="n">
        <f aca="false">SUMIFS(Doors!AH:AH,Doors!$A:$A,$D309,Doors!$B:$B,$B309,Doors!$C:$C,$C309)*SUMIFS(Velocity!$I:$I,Velocity!$A:$A,$A309,Velocity!$B:$B,$C309)/Assumptions!$B$4*Assumptions!$B$6</f>
        <v>0</v>
      </c>
      <c r="W309" s="7" t="n">
        <f aca="false">SUMIFS(Doors!AI:AI,Doors!$A:$A,$D309,Doors!$B:$B,$B309,Doors!$C:$C,$C309)*SUMIFS(Velocity!$I:$I,Velocity!$A:$A,$A309,Velocity!$B:$B,$C309)/Assumptions!$B$4*Assumptions!$B$6</f>
        <v>0</v>
      </c>
      <c r="X309" s="7" t="n">
        <f aca="false">SUMIFS(Doors!AJ:AJ,Doors!$A:$A,$D309,Doors!$B:$B,$B309,Doors!$C:$C,$C309)*SUMIFS(Velocity!$I:$I,Velocity!$A:$A,$A309,Velocity!$B:$B,$C309)/Assumptions!$B$4*Assumptions!$B$6</f>
        <v>0</v>
      </c>
      <c r="Y309" s="7" t="n">
        <f aca="false">SUMIFS(Doors!AK:AK,Doors!$A:$A,$D309,Doors!$B:$B,$B309,Doors!$C:$C,$C309)*SUMIFS(Velocity!$I:$I,Velocity!$A:$A,$A309,Velocity!$B:$B,$C309)/Assumptions!$B$4*Assumptions!$B$6</f>
        <v>0</v>
      </c>
      <c r="Z309" s="7" t="n">
        <f aca="false">SUMIFS(Doors!AL:AL,Doors!$A:$A,$D309,Doors!$B:$B,$B309,Doors!$C:$C,$C309)*SUMIFS(Velocity!$I:$I,Velocity!$A:$A,$A309,Velocity!$B:$B,$C309)/Assumptions!$B$4*Assumptions!$B$6</f>
        <v>0</v>
      </c>
      <c r="AA309" s="7" t="n">
        <f aca="false">SUMIFS(Doors!AM:AM,Doors!$A:$A,$D309,Doors!$B:$B,$B309,Doors!$C:$C,$C309)*SUMIFS(Velocity!$I:$I,Velocity!$A:$A,$A309,Velocity!$B:$B,$C309)/Assumptions!$B$4*Assumptions!$B$6</f>
        <v>0</v>
      </c>
      <c r="AB309" s="7" t="n">
        <f aca="false">SUMIFS(Doors!AN:AN,Doors!$A:$A,$D309,Doors!$B:$B,$B309,Doors!$C:$C,$C309)*SUMIFS(Velocity!$I:$I,Velocity!$A:$A,$A309,Velocity!$B:$B,$C309)/Assumptions!$B$4*Assumptions!$B$6</f>
        <v>0</v>
      </c>
      <c r="AC309" s="7" t="n">
        <f aca="false">SUMIFS(Doors!AO:AO,Doors!$A:$A,$D309,Doors!$B:$B,$B309,Doors!$C:$C,$C309)*SUMIFS(Velocity!$I:$I,Velocity!$A:$A,$A309,Velocity!$B:$B,$C309)/Assumptions!$B$4*Assumptions!$B$6</f>
        <v>0</v>
      </c>
      <c r="AD309" s="7" t="n">
        <f aca="false">SUMIFS(Doors!AP:AP,Doors!$A:$A,$D309,Doors!$B:$B,$B309,Doors!$C:$C,$C309)*SUMIFS(Velocity!$I:$I,Velocity!$A:$A,$A309,Velocity!$B:$B,$C309)/Assumptions!$B$4*Assumptions!$B$6</f>
        <v>0</v>
      </c>
      <c r="AE309" s="7" t="n">
        <f aca="false">SUMIFS(Doors!AQ:AQ,Doors!$A:$A,$D309,Doors!$B:$B,$B309,Doors!$C:$C,$C309)*SUMIFS(Velocity!$I:$I,Velocity!$A:$A,$A309,Velocity!$B:$B,$C309)/Assumptions!$B$4*Assumptions!$B$6</f>
        <v>0</v>
      </c>
      <c r="AF309" s="7" t="n">
        <f aca="false">SUMIFS(Doors!AR:AR,Doors!$A:$A,$D309,Doors!$B:$B,$B309,Doors!$C:$C,$C309)*SUMIFS(Velocity!$I:$I,Velocity!$A:$A,$A309,Velocity!$B:$B,$C309)/Assumptions!$B$4*Assumptions!$B$6</f>
        <v>0</v>
      </c>
      <c r="AG309" s="7" t="n">
        <f aca="false">SUMIFS(Doors!AS:AS,Doors!$A:$A,$D309,Doors!$B:$B,$B309,Doors!$C:$C,$C309)*SUMIFS(Velocity!$I:$I,Velocity!$A:$A,$A309,Velocity!$B:$B,$C309)/Assumptions!$B$4*Assumptions!$B$6</f>
        <v>0</v>
      </c>
      <c r="AH309" s="7" t="n">
        <f aca="false">SUMIFS(Doors!AT:AT,Doors!$A:$A,$D309,Doors!$B:$B,$B309,Doors!$C:$C,$C309)*SUMIFS(Velocity!$I:$I,Velocity!$A:$A,$A309,Velocity!$B:$B,$C309)/Assumptions!$B$4*Assumptions!$B$6</f>
        <v>0</v>
      </c>
      <c r="AI309" s="7" t="n">
        <f aca="false">SUMIFS(Doors!AU:AU,Doors!$A:$A,$D309,Doors!$B:$B,$B309,Doors!$C:$C,$C309)*SUMIFS(Velocity!$I:$I,Velocity!$A:$A,$A309,Velocity!$B:$B,$C309)/Assumptions!$B$4*Assumptions!$B$6</f>
        <v>0</v>
      </c>
      <c r="AJ309" s="7" t="n">
        <f aca="false">SUMIFS(Doors!AV:AV,Doors!$A:$A,$D309,Doors!$B:$B,$B309,Doors!$C:$C,$C309)*SUMIFS(Velocity!$I:$I,Velocity!$A:$A,$A309,Velocity!$B:$B,$C309)/Assumptions!$B$4*Assumptions!$B$6</f>
        <v>0</v>
      </c>
      <c r="AK309" s="7" t="n">
        <f aca="false">SUMIFS(Doors!AW:AW,Doors!$A:$A,$D309,Doors!$B:$B,$B309,Doors!$C:$C,$C309)*SUMIFS(Velocity!$I:$I,Velocity!$A:$A,$A309,Velocity!$B:$B,$C309)/Assumptions!$B$4*Assumptions!$B$6</f>
        <v>0</v>
      </c>
      <c r="AL309" s="7" t="n">
        <f aca="false">SUMIFS(Doors!AX:AX,Doors!$A:$A,$D309,Doors!$B:$B,$B309,Doors!$C:$C,$C309)*SUMIFS(Velocity!$I:$I,Velocity!$A:$A,$A309,Velocity!$B:$B,$C309)/Assumptions!$B$4*Assumptions!$B$6</f>
        <v>0</v>
      </c>
      <c r="AM309" s="7" t="n">
        <f aca="false">SUMIFS(Doors!AY:AY,Doors!$A:$A,$D309,Doors!$B:$B,$B309,Doors!$C:$C,$C309)*SUMIFS(Velocity!$I:$I,Velocity!$A:$A,$A309,Velocity!$B:$B,$C309)/Assumptions!$B$4*Assumptions!$B$6</f>
        <v>0</v>
      </c>
      <c r="AN309" s="7" t="n">
        <f aca="false">SUMIFS(Doors!AZ:AZ,Doors!$A:$A,$D309,Doors!$B:$B,$B309,Doors!$C:$C,$C309)*SUMIFS(Velocity!$I:$I,Velocity!$A:$A,$A309,Velocity!$B:$B,$C309)/Assumptions!$B$4*Assumptions!$B$6</f>
        <v>0</v>
      </c>
      <c r="AO309" s="7" t="n">
        <f aca="false">SUMIFS(Doors!BA:BA,Doors!$A:$A,$D309,Doors!$B:$B,$B309,Doors!$C:$C,$C309)*SUMIFS(Velocity!$I:$I,Velocity!$A:$A,$A309,Velocity!$B:$B,$C309)/Assumptions!$B$4*Assumptions!$B$6</f>
        <v>0</v>
      </c>
      <c r="AP309" s="7" t="n">
        <f aca="false">SUMIFS(Doors!BB:BB,Doors!$A:$A,$D309,Doors!$B:$B,$B309,Doors!$C:$C,$C309)*SUMIFS(Velocity!$I:$I,Velocity!$A:$A,$A309,Velocity!$B:$B,$C309)/Assumptions!$B$4*Assumptions!$B$6</f>
        <v>0</v>
      </c>
      <c r="AQ309" s="7" t="n">
        <f aca="false">SUMIFS(Doors!BC:BC,Doors!$A:$A,$D309,Doors!$B:$B,$B309,Doors!$C:$C,$C309)*SUMIFS(Velocity!$I:$I,Velocity!$A:$A,$A309,Velocity!$B:$B,$C309)/Assumptions!$B$4*Assumptions!$B$6</f>
        <v>0</v>
      </c>
      <c r="AR309" s="7" t="n">
        <f aca="false">SUMIFS(Doors!BD:BD,Doors!$A:$A,$D309,Doors!$B:$B,$B309,Doors!$C:$C,$C309)*SUMIFS(Velocity!$I:$I,Velocity!$A:$A,$A309,Velocity!$B:$B,$C309)/Assumptions!$B$4*Assumptions!$B$6</f>
        <v>0</v>
      </c>
      <c r="AS309" s="7" t="n">
        <f aca="false">SUMIFS(Doors!BE:BE,Doors!$A:$A,$D309,Doors!$B:$B,$B309,Doors!$C:$C,$C309)*SUMIFS(Velocity!$I:$I,Velocity!$A:$A,$A309,Velocity!$B:$B,$C309)/Assumptions!$B$4*Assumptions!$B$6</f>
        <v>0</v>
      </c>
      <c r="AT309" s="7" t="n">
        <f aca="false">SUMIFS(Doors!BF:BF,Doors!$A:$A,$D309,Doors!$B:$B,$B309,Doors!$C:$C,$C309)*SUMIFS(Velocity!$I:$I,Velocity!$A:$A,$A309,Velocity!$B:$B,$C309)/Assumptions!$B$4*Assumptions!$B$6</f>
        <v>0</v>
      </c>
      <c r="AU309" s="7" t="n">
        <f aca="false">SUMIFS(Doors!BG:BG,Doors!$A:$A,$D309,Doors!$B:$B,$B309,Doors!$C:$C,$C309)*SUMIFS(Velocity!$I:$I,Velocity!$A:$A,$A309,Velocity!$B:$B,$C309)/Assumptions!$B$4*Assumptions!$B$6</f>
        <v>0</v>
      </c>
      <c r="AV309" s="7" t="n">
        <f aca="false">SUMIFS(Doors!BH:BH,Doors!$A:$A,$D309,Doors!$B:$B,$B309,Doors!$C:$C,$C309)*SUMIFS(Velocity!$I:$I,Velocity!$A:$A,$A309,Velocity!$B:$B,$C309)/Assumptions!$B$4*Assumptions!$B$6</f>
        <v>0</v>
      </c>
      <c r="AW309" s="7" t="n">
        <f aca="false">SUMIFS(Doors!BI:BI,Doors!$A:$A,$D309,Doors!$B:$B,$B309,Doors!$C:$C,$C309)*SUMIFS(Velocity!$I:$I,Velocity!$A:$A,$A309,Velocity!$B:$B,$C309)/Assumptions!$B$4*Assumptions!$B$6</f>
        <v>0</v>
      </c>
      <c r="AX309" s="7" t="n">
        <f aca="false">SUMIFS(Doors!BJ:BJ,Doors!$A:$A,$D309,Doors!$B:$B,$B309,Doors!$C:$C,$C309)*SUMIFS(Velocity!$I:$I,Velocity!$A:$A,$A309,Velocity!$B:$B,$C309)/Assumptions!$B$4*Assumptions!$B$6</f>
        <v>0</v>
      </c>
      <c r="AY309" s="7" t="n">
        <f aca="false">SUMIFS(Doors!BK:BK,Doors!$A:$A,$D309,Doors!$B:$B,$B309,Doors!$C:$C,$C309)*SUMIFS(Velocity!$I:$I,Velocity!$A:$A,$A309,Velocity!$B:$B,$C309)/Assumptions!$B$4*Assumptions!$B$6</f>
        <v>0</v>
      </c>
      <c r="AZ309" s="7" t="n">
        <f aca="false">SUMIFS(Doors!BL:BL,Doors!$A:$A,$D309,Doors!$B:$B,$B309,Doors!$C:$C,$C309)*SUMIFS(Velocity!$I:$I,Velocity!$A:$A,$A309,Velocity!$B:$B,$C309)/Assumptions!$B$4*Assumptions!$B$6</f>
        <v>0</v>
      </c>
      <c r="BA309" s="7" t="n">
        <f aca="false">SUMIFS(Doors!BM:BM,Doors!$A:$A,$D309,Doors!$B:$B,$B309,Doors!$C:$C,$C309)*SUMIFS(Velocity!$I:$I,Velocity!$A:$A,$A309,Velocity!$B:$B,$C309)/Assumptions!$B$4*Assumptions!$B$6</f>
        <v>0</v>
      </c>
      <c r="BB309" s="7" t="n">
        <f aca="false">SUMIFS(Doors!BN:BN,Doors!$A:$A,$D309,Doors!$B:$B,$B309,Doors!$C:$C,$C309)*SUMIFS(Velocity!$I:$I,Velocity!$A:$A,$A309,Velocity!$B:$B,$C309)/Assumptions!$B$4*Assumptions!$B$6</f>
        <v>0</v>
      </c>
      <c r="BC309" s="7" t="n">
        <f aca="false">SUMIFS(Doors!BO:BO,Doors!$A:$A,$D309,Doors!$B:$B,$B309,Doors!$C:$C,$C309)*SUMIFS(Velocity!$I:$I,Velocity!$A:$A,$A309,Velocity!$B:$B,$C309)/Assumptions!$B$4*Assumptions!$B$6</f>
        <v>0</v>
      </c>
      <c r="BD309" s="7" t="n">
        <f aca="false">SUMIFS(Doors!BP:BP,Doors!$A:$A,$D309,Doors!$B:$B,$B309,Doors!$C:$C,$C309)*SUMIFS(Velocity!$I:$I,Velocity!$A:$A,$A309,Velocity!$B:$B,$C309)/Assumptions!$B$4*Assumptions!$B$6</f>
        <v>0</v>
      </c>
    </row>
    <row r="310" customFormat="false" ht="15" hidden="false" customHeight="false" outlineLevel="0" collapsed="false">
      <c r="A310" s="0" t="s">
        <v>111</v>
      </c>
      <c r="B310" s="0" t="s">
        <v>129</v>
      </c>
      <c r="C310" s="0" t="s">
        <v>122</v>
      </c>
      <c r="D310" s="0" t="s">
        <v>236</v>
      </c>
      <c r="E310" s="7" t="n">
        <f aca="false">SUMIFS(Doors!Q:Q,Doors!$A:$A,$D310,Doors!$B:$B,$B310,Doors!$C:$C,$C310)*SUMIFS(Velocity!$I:$I,Velocity!$A:$A,$A310,Velocity!$B:$B,$C310)/Assumptions!$B$4*Assumptions!$B$6</f>
        <v>0</v>
      </c>
      <c r="F310" s="7" t="n">
        <f aca="false">SUMIFS(Doors!R:R,Doors!$A:$A,$D310,Doors!$B:$B,$B310,Doors!$C:$C,$C310)*SUMIFS(Velocity!$I:$I,Velocity!$A:$A,$A310,Velocity!$B:$B,$C310)/Assumptions!$B$4*Assumptions!$B$6</f>
        <v>0</v>
      </c>
      <c r="G310" s="7" t="n">
        <f aca="false">SUMIFS(Doors!S:S,Doors!$A:$A,$D310,Doors!$B:$B,$B310,Doors!$C:$C,$C310)*SUMIFS(Velocity!$I:$I,Velocity!$A:$A,$A310,Velocity!$B:$B,$C310)/Assumptions!$B$4*Assumptions!$B$6</f>
        <v>0</v>
      </c>
      <c r="H310" s="7" t="n">
        <f aca="false">SUMIFS(Doors!T:T,Doors!$A:$A,$D310,Doors!$B:$B,$B310,Doors!$C:$C,$C310)*SUMIFS(Velocity!$I:$I,Velocity!$A:$A,$A310,Velocity!$B:$B,$C310)/Assumptions!$B$4*Assumptions!$B$6</f>
        <v>0</v>
      </c>
      <c r="I310" s="7" t="n">
        <f aca="false">SUMIFS(Doors!U:U,Doors!$A:$A,$D310,Doors!$B:$B,$B310,Doors!$C:$C,$C310)*SUMIFS(Velocity!$I:$I,Velocity!$A:$A,$A310,Velocity!$B:$B,$C310)/Assumptions!$B$4*Assumptions!$B$6</f>
        <v>0</v>
      </c>
      <c r="J310" s="7" t="n">
        <f aca="false">SUMIFS(Doors!V:V,Doors!$A:$A,$D310,Doors!$B:$B,$B310,Doors!$C:$C,$C310)*SUMIFS(Velocity!$I:$I,Velocity!$A:$A,$A310,Velocity!$B:$B,$C310)/Assumptions!$B$4*Assumptions!$B$6</f>
        <v>0</v>
      </c>
      <c r="K310" s="7" t="n">
        <f aca="false">SUMIFS(Doors!W:W,Doors!$A:$A,$D310,Doors!$B:$B,$B310,Doors!$C:$C,$C310)*SUMIFS(Velocity!$I:$I,Velocity!$A:$A,$A310,Velocity!$B:$B,$C310)/Assumptions!$B$4*Assumptions!$B$6</f>
        <v>0</v>
      </c>
      <c r="L310" s="7" t="n">
        <f aca="false">SUMIFS(Doors!X:X,Doors!$A:$A,$D310,Doors!$B:$B,$B310,Doors!$C:$C,$C310)*SUMIFS(Velocity!$I:$I,Velocity!$A:$A,$A310,Velocity!$B:$B,$C310)/Assumptions!$B$4*Assumptions!$B$6</f>
        <v>0</v>
      </c>
      <c r="M310" s="7" t="n">
        <f aca="false">SUMIFS(Doors!Y:Y,Doors!$A:$A,$D310,Doors!$B:$B,$B310,Doors!$C:$C,$C310)*SUMIFS(Velocity!$I:$I,Velocity!$A:$A,$A310,Velocity!$B:$B,$C310)/Assumptions!$B$4*Assumptions!$B$6</f>
        <v>0</v>
      </c>
      <c r="N310" s="7" t="n">
        <f aca="false">SUMIFS(Doors!Z:Z,Doors!$A:$A,$D310,Doors!$B:$B,$B310,Doors!$C:$C,$C310)*SUMIFS(Velocity!$I:$I,Velocity!$A:$A,$A310,Velocity!$B:$B,$C310)/Assumptions!$B$4*Assumptions!$B$6</f>
        <v>0</v>
      </c>
      <c r="O310" s="7" t="n">
        <f aca="false">SUMIFS(Doors!AA:AA,Doors!$A:$A,$D310,Doors!$B:$B,$B310,Doors!$C:$C,$C310)*SUMIFS(Velocity!$I:$I,Velocity!$A:$A,$A310,Velocity!$B:$B,$C310)/Assumptions!$B$4*Assumptions!$B$6</f>
        <v>0</v>
      </c>
      <c r="P310" s="7" t="n">
        <f aca="false">SUMIFS(Doors!AB:AB,Doors!$A:$A,$D310,Doors!$B:$B,$B310,Doors!$C:$C,$C310)*SUMIFS(Velocity!$I:$I,Velocity!$A:$A,$A310,Velocity!$B:$B,$C310)/Assumptions!$B$4*Assumptions!$B$6</f>
        <v>0</v>
      </c>
      <c r="Q310" s="7" t="n">
        <f aca="false">SUMIFS(Doors!AC:AC,Doors!$A:$A,$D310,Doors!$B:$B,$B310,Doors!$C:$C,$C310)*SUMIFS(Velocity!$I:$I,Velocity!$A:$A,$A310,Velocity!$B:$B,$C310)/Assumptions!$B$4*Assumptions!$B$6</f>
        <v>0</v>
      </c>
      <c r="R310" s="7" t="n">
        <f aca="false">SUMIFS(Doors!AD:AD,Doors!$A:$A,$D310,Doors!$B:$B,$B310,Doors!$C:$C,$C310)*SUMIFS(Velocity!$I:$I,Velocity!$A:$A,$A310,Velocity!$B:$B,$C310)/Assumptions!$B$4*Assumptions!$B$6</f>
        <v>0</v>
      </c>
      <c r="S310" s="7" t="n">
        <f aca="false">SUMIFS(Doors!AE:AE,Doors!$A:$A,$D310,Doors!$B:$B,$B310,Doors!$C:$C,$C310)*SUMIFS(Velocity!$I:$I,Velocity!$A:$A,$A310,Velocity!$B:$B,$C310)/Assumptions!$B$4*Assumptions!$B$6</f>
        <v>0</v>
      </c>
      <c r="T310" s="7" t="n">
        <f aca="false">SUMIFS(Doors!AF:AF,Doors!$A:$A,$D310,Doors!$B:$B,$B310,Doors!$C:$C,$C310)*SUMIFS(Velocity!$I:$I,Velocity!$A:$A,$A310,Velocity!$B:$B,$C310)/Assumptions!$B$4*Assumptions!$B$6</f>
        <v>0</v>
      </c>
      <c r="U310" s="7" t="n">
        <f aca="false">SUMIFS(Doors!AG:AG,Doors!$A:$A,$D310,Doors!$B:$B,$B310,Doors!$C:$C,$C310)*SUMIFS(Velocity!$I:$I,Velocity!$A:$A,$A310,Velocity!$B:$B,$C310)/Assumptions!$B$4*Assumptions!$B$6</f>
        <v>0</v>
      </c>
      <c r="V310" s="7" t="n">
        <f aca="false">SUMIFS(Doors!AH:AH,Doors!$A:$A,$D310,Doors!$B:$B,$B310,Doors!$C:$C,$C310)*SUMIFS(Velocity!$I:$I,Velocity!$A:$A,$A310,Velocity!$B:$B,$C310)/Assumptions!$B$4*Assumptions!$B$6</f>
        <v>0</v>
      </c>
      <c r="W310" s="7" t="n">
        <f aca="false">SUMIFS(Doors!AI:AI,Doors!$A:$A,$D310,Doors!$B:$B,$B310,Doors!$C:$C,$C310)*SUMIFS(Velocity!$I:$I,Velocity!$A:$A,$A310,Velocity!$B:$B,$C310)/Assumptions!$B$4*Assumptions!$B$6</f>
        <v>0</v>
      </c>
      <c r="X310" s="7" t="n">
        <f aca="false">SUMIFS(Doors!AJ:AJ,Doors!$A:$A,$D310,Doors!$B:$B,$B310,Doors!$C:$C,$C310)*SUMIFS(Velocity!$I:$I,Velocity!$A:$A,$A310,Velocity!$B:$B,$C310)/Assumptions!$B$4*Assumptions!$B$6</f>
        <v>0</v>
      </c>
      <c r="Y310" s="7" t="n">
        <f aca="false">SUMIFS(Doors!AK:AK,Doors!$A:$A,$D310,Doors!$B:$B,$B310,Doors!$C:$C,$C310)*SUMIFS(Velocity!$I:$I,Velocity!$A:$A,$A310,Velocity!$B:$B,$C310)/Assumptions!$B$4*Assumptions!$B$6</f>
        <v>0</v>
      </c>
      <c r="Z310" s="7" t="n">
        <f aca="false">SUMIFS(Doors!AL:AL,Doors!$A:$A,$D310,Doors!$B:$B,$B310,Doors!$C:$C,$C310)*SUMIFS(Velocity!$I:$I,Velocity!$A:$A,$A310,Velocity!$B:$B,$C310)/Assumptions!$B$4*Assumptions!$B$6</f>
        <v>0</v>
      </c>
      <c r="AA310" s="7" t="n">
        <f aca="false">SUMIFS(Doors!AM:AM,Doors!$A:$A,$D310,Doors!$B:$B,$B310,Doors!$C:$C,$C310)*SUMIFS(Velocity!$I:$I,Velocity!$A:$A,$A310,Velocity!$B:$B,$C310)/Assumptions!$B$4*Assumptions!$B$6</f>
        <v>0</v>
      </c>
      <c r="AB310" s="7" t="n">
        <f aca="false">SUMIFS(Doors!AN:AN,Doors!$A:$A,$D310,Doors!$B:$B,$B310,Doors!$C:$C,$C310)*SUMIFS(Velocity!$I:$I,Velocity!$A:$A,$A310,Velocity!$B:$B,$C310)/Assumptions!$B$4*Assumptions!$B$6</f>
        <v>0</v>
      </c>
      <c r="AC310" s="7" t="n">
        <f aca="false">SUMIFS(Doors!AO:AO,Doors!$A:$A,$D310,Doors!$B:$B,$B310,Doors!$C:$C,$C310)*SUMIFS(Velocity!$I:$I,Velocity!$A:$A,$A310,Velocity!$B:$B,$C310)/Assumptions!$B$4*Assumptions!$B$6</f>
        <v>0</v>
      </c>
      <c r="AD310" s="7" t="n">
        <f aca="false">SUMIFS(Doors!AP:AP,Doors!$A:$A,$D310,Doors!$B:$B,$B310,Doors!$C:$C,$C310)*SUMIFS(Velocity!$I:$I,Velocity!$A:$A,$A310,Velocity!$B:$B,$C310)/Assumptions!$B$4*Assumptions!$B$6</f>
        <v>0</v>
      </c>
      <c r="AE310" s="7" t="n">
        <f aca="false">SUMIFS(Doors!AQ:AQ,Doors!$A:$A,$D310,Doors!$B:$B,$B310,Doors!$C:$C,$C310)*SUMIFS(Velocity!$I:$I,Velocity!$A:$A,$A310,Velocity!$B:$B,$C310)/Assumptions!$B$4*Assumptions!$B$6</f>
        <v>0</v>
      </c>
      <c r="AF310" s="7" t="n">
        <f aca="false">SUMIFS(Doors!AR:AR,Doors!$A:$A,$D310,Doors!$B:$B,$B310,Doors!$C:$C,$C310)*SUMIFS(Velocity!$I:$I,Velocity!$A:$A,$A310,Velocity!$B:$B,$C310)/Assumptions!$B$4*Assumptions!$B$6</f>
        <v>0</v>
      </c>
      <c r="AG310" s="7" t="n">
        <f aca="false">SUMIFS(Doors!AS:AS,Doors!$A:$A,$D310,Doors!$B:$B,$B310,Doors!$C:$C,$C310)*SUMIFS(Velocity!$I:$I,Velocity!$A:$A,$A310,Velocity!$B:$B,$C310)/Assumptions!$B$4*Assumptions!$B$6</f>
        <v>0</v>
      </c>
      <c r="AH310" s="7" t="n">
        <f aca="false">SUMIFS(Doors!AT:AT,Doors!$A:$A,$D310,Doors!$B:$B,$B310,Doors!$C:$C,$C310)*SUMIFS(Velocity!$I:$I,Velocity!$A:$A,$A310,Velocity!$B:$B,$C310)/Assumptions!$B$4*Assumptions!$B$6</f>
        <v>0</v>
      </c>
      <c r="AI310" s="7" t="n">
        <f aca="false">SUMIFS(Doors!AU:AU,Doors!$A:$A,$D310,Doors!$B:$B,$B310,Doors!$C:$C,$C310)*SUMIFS(Velocity!$I:$I,Velocity!$A:$A,$A310,Velocity!$B:$B,$C310)/Assumptions!$B$4*Assumptions!$B$6</f>
        <v>0</v>
      </c>
      <c r="AJ310" s="7" t="n">
        <f aca="false">SUMIFS(Doors!AV:AV,Doors!$A:$A,$D310,Doors!$B:$B,$B310,Doors!$C:$C,$C310)*SUMIFS(Velocity!$I:$I,Velocity!$A:$A,$A310,Velocity!$B:$B,$C310)/Assumptions!$B$4*Assumptions!$B$6</f>
        <v>0</v>
      </c>
      <c r="AK310" s="7" t="n">
        <f aca="false">SUMIFS(Doors!AW:AW,Doors!$A:$A,$D310,Doors!$B:$B,$B310,Doors!$C:$C,$C310)*SUMIFS(Velocity!$I:$I,Velocity!$A:$A,$A310,Velocity!$B:$B,$C310)/Assumptions!$B$4*Assumptions!$B$6</f>
        <v>0</v>
      </c>
      <c r="AL310" s="7" t="n">
        <f aca="false">SUMIFS(Doors!AX:AX,Doors!$A:$A,$D310,Doors!$B:$B,$B310,Doors!$C:$C,$C310)*SUMIFS(Velocity!$I:$I,Velocity!$A:$A,$A310,Velocity!$B:$B,$C310)/Assumptions!$B$4*Assumptions!$B$6</f>
        <v>0</v>
      </c>
      <c r="AM310" s="7" t="n">
        <f aca="false">SUMIFS(Doors!AY:AY,Doors!$A:$A,$D310,Doors!$B:$B,$B310,Doors!$C:$C,$C310)*SUMIFS(Velocity!$I:$I,Velocity!$A:$A,$A310,Velocity!$B:$B,$C310)/Assumptions!$B$4*Assumptions!$B$6</f>
        <v>0</v>
      </c>
      <c r="AN310" s="7" t="n">
        <f aca="false">SUMIFS(Doors!AZ:AZ,Doors!$A:$A,$D310,Doors!$B:$B,$B310,Doors!$C:$C,$C310)*SUMIFS(Velocity!$I:$I,Velocity!$A:$A,$A310,Velocity!$B:$B,$C310)/Assumptions!$B$4*Assumptions!$B$6</f>
        <v>0</v>
      </c>
      <c r="AO310" s="7" t="n">
        <f aca="false">SUMIFS(Doors!BA:BA,Doors!$A:$A,$D310,Doors!$B:$B,$B310,Doors!$C:$C,$C310)*SUMIFS(Velocity!$I:$I,Velocity!$A:$A,$A310,Velocity!$B:$B,$C310)/Assumptions!$B$4*Assumptions!$B$6</f>
        <v>0</v>
      </c>
      <c r="AP310" s="7" t="n">
        <f aca="false">SUMIFS(Doors!BB:BB,Doors!$A:$A,$D310,Doors!$B:$B,$B310,Doors!$C:$C,$C310)*SUMIFS(Velocity!$I:$I,Velocity!$A:$A,$A310,Velocity!$B:$B,$C310)/Assumptions!$B$4*Assumptions!$B$6</f>
        <v>0</v>
      </c>
      <c r="AQ310" s="7" t="n">
        <f aca="false">SUMIFS(Doors!BC:BC,Doors!$A:$A,$D310,Doors!$B:$B,$B310,Doors!$C:$C,$C310)*SUMIFS(Velocity!$I:$I,Velocity!$A:$A,$A310,Velocity!$B:$B,$C310)/Assumptions!$B$4*Assumptions!$B$6</f>
        <v>0</v>
      </c>
      <c r="AR310" s="7" t="n">
        <f aca="false">SUMIFS(Doors!BD:BD,Doors!$A:$A,$D310,Doors!$B:$B,$B310,Doors!$C:$C,$C310)*SUMIFS(Velocity!$I:$I,Velocity!$A:$A,$A310,Velocity!$B:$B,$C310)/Assumptions!$B$4*Assumptions!$B$6</f>
        <v>0</v>
      </c>
      <c r="AS310" s="7" t="n">
        <f aca="false">SUMIFS(Doors!BE:BE,Doors!$A:$A,$D310,Doors!$B:$B,$B310,Doors!$C:$C,$C310)*SUMIFS(Velocity!$I:$I,Velocity!$A:$A,$A310,Velocity!$B:$B,$C310)/Assumptions!$B$4*Assumptions!$B$6</f>
        <v>0</v>
      </c>
      <c r="AT310" s="7" t="n">
        <f aca="false">SUMIFS(Doors!BF:BF,Doors!$A:$A,$D310,Doors!$B:$B,$B310,Doors!$C:$C,$C310)*SUMIFS(Velocity!$I:$I,Velocity!$A:$A,$A310,Velocity!$B:$B,$C310)/Assumptions!$B$4*Assumptions!$B$6</f>
        <v>0</v>
      </c>
      <c r="AU310" s="7" t="n">
        <f aca="false">SUMIFS(Doors!BG:BG,Doors!$A:$A,$D310,Doors!$B:$B,$B310,Doors!$C:$C,$C310)*SUMIFS(Velocity!$I:$I,Velocity!$A:$A,$A310,Velocity!$B:$B,$C310)/Assumptions!$B$4*Assumptions!$B$6</f>
        <v>0</v>
      </c>
      <c r="AV310" s="7" t="n">
        <f aca="false">SUMIFS(Doors!BH:BH,Doors!$A:$A,$D310,Doors!$B:$B,$B310,Doors!$C:$C,$C310)*SUMIFS(Velocity!$I:$I,Velocity!$A:$A,$A310,Velocity!$B:$B,$C310)/Assumptions!$B$4*Assumptions!$B$6</f>
        <v>0</v>
      </c>
      <c r="AW310" s="7" t="n">
        <f aca="false">SUMIFS(Doors!BI:BI,Doors!$A:$A,$D310,Doors!$B:$B,$B310,Doors!$C:$C,$C310)*SUMIFS(Velocity!$I:$I,Velocity!$A:$A,$A310,Velocity!$B:$B,$C310)/Assumptions!$B$4*Assumptions!$B$6</f>
        <v>0</v>
      </c>
      <c r="AX310" s="7" t="n">
        <f aca="false">SUMIFS(Doors!BJ:BJ,Doors!$A:$A,$D310,Doors!$B:$B,$B310,Doors!$C:$C,$C310)*SUMIFS(Velocity!$I:$I,Velocity!$A:$A,$A310,Velocity!$B:$B,$C310)/Assumptions!$B$4*Assumptions!$B$6</f>
        <v>0</v>
      </c>
      <c r="AY310" s="7" t="n">
        <f aca="false">SUMIFS(Doors!BK:BK,Doors!$A:$A,$D310,Doors!$B:$B,$B310,Doors!$C:$C,$C310)*SUMIFS(Velocity!$I:$I,Velocity!$A:$A,$A310,Velocity!$B:$B,$C310)/Assumptions!$B$4*Assumptions!$B$6</f>
        <v>0</v>
      </c>
      <c r="AZ310" s="7" t="n">
        <f aca="false">SUMIFS(Doors!BL:BL,Doors!$A:$A,$D310,Doors!$B:$B,$B310,Doors!$C:$C,$C310)*SUMIFS(Velocity!$I:$I,Velocity!$A:$A,$A310,Velocity!$B:$B,$C310)/Assumptions!$B$4*Assumptions!$B$6</f>
        <v>0</v>
      </c>
      <c r="BA310" s="7" t="n">
        <f aca="false">SUMIFS(Doors!BM:BM,Doors!$A:$A,$D310,Doors!$B:$B,$B310,Doors!$C:$C,$C310)*SUMIFS(Velocity!$I:$I,Velocity!$A:$A,$A310,Velocity!$B:$B,$C310)/Assumptions!$B$4*Assumptions!$B$6</f>
        <v>0</v>
      </c>
      <c r="BB310" s="7" t="n">
        <f aca="false">SUMIFS(Doors!BN:BN,Doors!$A:$A,$D310,Doors!$B:$B,$B310,Doors!$C:$C,$C310)*SUMIFS(Velocity!$I:$I,Velocity!$A:$A,$A310,Velocity!$B:$B,$C310)/Assumptions!$B$4*Assumptions!$B$6</f>
        <v>0</v>
      </c>
      <c r="BC310" s="7" t="n">
        <f aca="false">SUMIFS(Doors!BO:BO,Doors!$A:$A,$D310,Doors!$B:$B,$B310,Doors!$C:$C,$C310)*SUMIFS(Velocity!$I:$I,Velocity!$A:$A,$A310,Velocity!$B:$B,$C310)/Assumptions!$B$4*Assumptions!$B$6</f>
        <v>0</v>
      </c>
      <c r="BD310" s="7" t="n">
        <f aca="false">SUMIFS(Doors!BP:BP,Doors!$A:$A,$D310,Doors!$B:$B,$B310,Doors!$C:$C,$C310)*SUMIFS(Velocity!$I:$I,Velocity!$A:$A,$A310,Velocity!$B:$B,$C310)/Assumptions!$B$4*Assumptions!$B$6</f>
        <v>0</v>
      </c>
    </row>
    <row r="311" customFormat="false" ht="15" hidden="false" customHeight="false" outlineLevel="0" collapsed="false">
      <c r="A311" s="0" t="s">
        <v>111</v>
      </c>
      <c r="B311" s="0" t="s">
        <v>129</v>
      </c>
      <c r="C311" s="0" t="s">
        <v>123</v>
      </c>
      <c r="D311" s="0" t="s">
        <v>236</v>
      </c>
      <c r="E311" s="7" t="n">
        <f aca="false">SUMIFS(Doors!Q:Q,Doors!$A:$A,$D311,Doors!$B:$B,$B311,Doors!$C:$C,$C311)*SUMIFS(Velocity!$I:$I,Velocity!$A:$A,$A311,Velocity!$B:$B,$C311)/Assumptions!$B$4*Assumptions!$B$6</f>
        <v>0</v>
      </c>
      <c r="F311" s="7" t="n">
        <f aca="false">SUMIFS(Doors!R:R,Doors!$A:$A,$D311,Doors!$B:$B,$B311,Doors!$C:$C,$C311)*SUMIFS(Velocity!$I:$I,Velocity!$A:$A,$A311,Velocity!$B:$B,$C311)/Assumptions!$B$4*Assumptions!$B$6</f>
        <v>0</v>
      </c>
      <c r="G311" s="7" t="n">
        <f aca="false">SUMIFS(Doors!S:S,Doors!$A:$A,$D311,Doors!$B:$B,$B311,Doors!$C:$C,$C311)*SUMIFS(Velocity!$I:$I,Velocity!$A:$A,$A311,Velocity!$B:$B,$C311)/Assumptions!$B$4*Assumptions!$B$6</f>
        <v>0</v>
      </c>
      <c r="H311" s="7" t="n">
        <f aca="false">SUMIFS(Doors!T:T,Doors!$A:$A,$D311,Doors!$B:$B,$B311,Doors!$C:$C,$C311)*SUMIFS(Velocity!$I:$I,Velocity!$A:$A,$A311,Velocity!$B:$B,$C311)/Assumptions!$B$4*Assumptions!$B$6</f>
        <v>0</v>
      </c>
      <c r="I311" s="7" t="n">
        <f aca="false">SUMIFS(Doors!U:U,Doors!$A:$A,$D311,Doors!$B:$B,$B311,Doors!$C:$C,$C311)*SUMIFS(Velocity!$I:$I,Velocity!$A:$A,$A311,Velocity!$B:$B,$C311)/Assumptions!$B$4*Assumptions!$B$6</f>
        <v>0</v>
      </c>
      <c r="J311" s="7" t="n">
        <f aca="false">SUMIFS(Doors!V:V,Doors!$A:$A,$D311,Doors!$B:$B,$B311,Doors!$C:$C,$C311)*SUMIFS(Velocity!$I:$I,Velocity!$A:$A,$A311,Velocity!$B:$B,$C311)/Assumptions!$B$4*Assumptions!$B$6</f>
        <v>0</v>
      </c>
      <c r="K311" s="7" t="n">
        <f aca="false">SUMIFS(Doors!W:W,Doors!$A:$A,$D311,Doors!$B:$B,$B311,Doors!$C:$C,$C311)*SUMIFS(Velocity!$I:$I,Velocity!$A:$A,$A311,Velocity!$B:$B,$C311)/Assumptions!$B$4*Assumptions!$B$6</f>
        <v>0</v>
      </c>
      <c r="L311" s="7" t="n">
        <f aca="false">SUMIFS(Doors!X:X,Doors!$A:$A,$D311,Doors!$B:$B,$B311,Doors!$C:$C,$C311)*SUMIFS(Velocity!$I:$I,Velocity!$A:$A,$A311,Velocity!$B:$B,$C311)/Assumptions!$B$4*Assumptions!$B$6</f>
        <v>0</v>
      </c>
      <c r="M311" s="7" t="n">
        <f aca="false">SUMIFS(Doors!Y:Y,Doors!$A:$A,$D311,Doors!$B:$B,$B311,Doors!$C:$C,$C311)*SUMIFS(Velocity!$I:$I,Velocity!$A:$A,$A311,Velocity!$B:$B,$C311)/Assumptions!$B$4*Assumptions!$B$6</f>
        <v>0</v>
      </c>
      <c r="N311" s="7" t="n">
        <f aca="false">SUMIFS(Doors!Z:Z,Doors!$A:$A,$D311,Doors!$B:$B,$B311,Doors!$C:$C,$C311)*SUMIFS(Velocity!$I:$I,Velocity!$A:$A,$A311,Velocity!$B:$B,$C311)/Assumptions!$B$4*Assumptions!$B$6</f>
        <v>0</v>
      </c>
      <c r="O311" s="7" t="n">
        <f aca="false">SUMIFS(Doors!AA:AA,Doors!$A:$A,$D311,Doors!$B:$B,$B311,Doors!$C:$C,$C311)*SUMIFS(Velocity!$I:$I,Velocity!$A:$A,$A311,Velocity!$B:$B,$C311)/Assumptions!$B$4*Assumptions!$B$6</f>
        <v>0</v>
      </c>
      <c r="P311" s="7" t="n">
        <f aca="false">SUMIFS(Doors!AB:AB,Doors!$A:$A,$D311,Doors!$B:$B,$B311,Doors!$C:$C,$C311)*SUMIFS(Velocity!$I:$I,Velocity!$A:$A,$A311,Velocity!$B:$B,$C311)/Assumptions!$B$4*Assumptions!$B$6</f>
        <v>0</v>
      </c>
      <c r="Q311" s="7" t="n">
        <f aca="false">SUMIFS(Doors!AC:AC,Doors!$A:$A,$D311,Doors!$B:$B,$B311,Doors!$C:$C,$C311)*SUMIFS(Velocity!$I:$I,Velocity!$A:$A,$A311,Velocity!$B:$B,$C311)/Assumptions!$B$4*Assumptions!$B$6</f>
        <v>0</v>
      </c>
      <c r="R311" s="7" t="n">
        <f aca="false">SUMIFS(Doors!AD:AD,Doors!$A:$A,$D311,Doors!$B:$B,$B311,Doors!$C:$C,$C311)*SUMIFS(Velocity!$I:$I,Velocity!$A:$A,$A311,Velocity!$B:$B,$C311)/Assumptions!$B$4*Assumptions!$B$6</f>
        <v>0</v>
      </c>
      <c r="S311" s="7" t="n">
        <f aca="false">SUMIFS(Doors!AE:AE,Doors!$A:$A,$D311,Doors!$B:$B,$B311,Doors!$C:$C,$C311)*SUMIFS(Velocity!$I:$I,Velocity!$A:$A,$A311,Velocity!$B:$B,$C311)/Assumptions!$B$4*Assumptions!$B$6</f>
        <v>0</v>
      </c>
      <c r="T311" s="7" t="n">
        <f aca="false">SUMIFS(Doors!AF:AF,Doors!$A:$A,$D311,Doors!$B:$B,$B311,Doors!$C:$C,$C311)*SUMIFS(Velocity!$I:$I,Velocity!$A:$A,$A311,Velocity!$B:$B,$C311)/Assumptions!$B$4*Assumptions!$B$6</f>
        <v>0</v>
      </c>
      <c r="U311" s="7" t="n">
        <f aca="false">SUMIFS(Doors!AG:AG,Doors!$A:$A,$D311,Doors!$B:$B,$B311,Doors!$C:$C,$C311)*SUMIFS(Velocity!$I:$I,Velocity!$A:$A,$A311,Velocity!$B:$B,$C311)/Assumptions!$B$4*Assumptions!$B$6</f>
        <v>0</v>
      </c>
      <c r="V311" s="7" t="n">
        <f aca="false">SUMIFS(Doors!AH:AH,Doors!$A:$A,$D311,Doors!$B:$B,$B311,Doors!$C:$C,$C311)*SUMIFS(Velocity!$I:$I,Velocity!$A:$A,$A311,Velocity!$B:$B,$C311)/Assumptions!$B$4*Assumptions!$B$6</f>
        <v>0</v>
      </c>
      <c r="W311" s="7" t="n">
        <f aca="false">SUMIFS(Doors!AI:AI,Doors!$A:$A,$D311,Doors!$B:$B,$B311,Doors!$C:$C,$C311)*SUMIFS(Velocity!$I:$I,Velocity!$A:$A,$A311,Velocity!$B:$B,$C311)/Assumptions!$B$4*Assumptions!$B$6</f>
        <v>0</v>
      </c>
      <c r="X311" s="7" t="n">
        <f aca="false">SUMIFS(Doors!AJ:AJ,Doors!$A:$A,$D311,Doors!$B:$B,$B311,Doors!$C:$C,$C311)*SUMIFS(Velocity!$I:$I,Velocity!$A:$A,$A311,Velocity!$B:$B,$C311)/Assumptions!$B$4*Assumptions!$B$6</f>
        <v>0</v>
      </c>
      <c r="Y311" s="7" t="n">
        <f aca="false">SUMIFS(Doors!AK:AK,Doors!$A:$A,$D311,Doors!$B:$B,$B311,Doors!$C:$C,$C311)*SUMIFS(Velocity!$I:$I,Velocity!$A:$A,$A311,Velocity!$B:$B,$C311)/Assumptions!$B$4*Assumptions!$B$6</f>
        <v>0</v>
      </c>
      <c r="Z311" s="7" t="n">
        <f aca="false">SUMIFS(Doors!AL:AL,Doors!$A:$A,$D311,Doors!$B:$B,$B311,Doors!$C:$C,$C311)*SUMIFS(Velocity!$I:$I,Velocity!$A:$A,$A311,Velocity!$B:$B,$C311)/Assumptions!$B$4*Assumptions!$B$6</f>
        <v>0</v>
      </c>
      <c r="AA311" s="7" t="n">
        <f aca="false">SUMIFS(Doors!AM:AM,Doors!$A:$A,$D311,Doors!$B:$B,$B311,Doors!$C:$C,$C311)*SUMIFS(Velocity!$I:$I,Velocity!$A:$A,$A311,Velocity!$B:$B,$C311)/Assumptions!$B$4*Assumptions!$B$6</f>
        <v>0</v>
      </c>
      <c r="AB311" s="7" t="n">
        <f aca="false">SUMIFS(Doors!AN:AN,Doors!$A:$A,$D311,Doors!$B:$B,$B311,Doors!$C:$C,$C311)*SUMIFS(Velocity!$I:$I,Velocity!$A:$A,$A311,Velocity!$B:$B,$C311)/Assumptions!$B$4*Assumptions!$B$6</f>
        <v>0</v>
      </c>
      <c r="AC311" s="7" t="n">
        <f aca="false">SUMIFS(Doors!AO:AO,Doors!$A:$A,$D311,Doors!$B:$B,$B311,Doors!$C:$C,$C311)*SUMIFS(Velocity!$I:$I,Velocity!$A:$A,$A311,Velocity!$B:$B,$C311)/Assumptions!$B$4*Assumptions!$B$6</f>
        <v>0</v>
      </c>
      <c r="AD311" s="7" t="n">
        <f aca="false">SUMIFS(Doors!AP:AP,Doors!$A:$A,$D311,Doors!$B:$B,$B311,Doors!$C:$C,$C311)*SUMIFS(Velocity!$I:$I,Velocity!$A:$A,$A311,Velocity!$B:$B,$C311)/Assumptions!$B$4*Assumptions!$B$6</f>
        <v>0</v>
      </c>
      <c r="AE311" s="7" t="n">
        <f aca="false">SUMIFS(Doors!AQ:AQ,Doors!$A:$A,$D311,Doors!$B:$B,$B311,Doors!$C:$C,$C311)*SUMIFS(Velocity!$I:$I,Velocity!$A:$A,$A311,Velocity!$B:$B,$C311)/Assumptions!$B$4*Assumptions!$B$6</f>
        <v>0</v>
      </c>
      <c r="AF311" s="7" t="n">
        <f aca="false">SUMIFS(Doors!AR:AR,Doors!$A:$A,$D311,Doors!$B:$B,$B311,Doors!$C:$C,$C311)*SUMIFS(Velocity!$I:$I,Velocity!$A:$A,$A311,Velocity!$B:$B,$C311)/Assumptions!$B$4*Assumptions!$B$6</f>
        <v>0</v>
      </c>
      <c r="AG311" s="7" t="n">
        <f aca="false">SUMIFS(Doors!AS:AS,Doors!$A:$A,$D311,Doors!$B:$B,$B311,Doors!$C:$C,$C311)*SUMIFS(Velocity!$I:$I,Velocity!$A:$A,$A311,Velocity!$B:$B,$C311)/Assumptions!$B$4*Assumptions!$B$6</f>
        <v>0</v>
      </c>
      <c r="AH311" s="7" t="n">
        <f aca="false">SUMIFS(Doors!AT:AT,Doors!$A:$A,$D311,Doors!$B:$B,$B311,Doors!$C:$C,$C311)*SUMIFS(Velocity!$I:$I,Velocity!$A:$A,$A311,Velocity!$B:$B,$C311)/Assumptions!$B$4*Assumptions!$B$6</f>
        <v>0</v>
      </c>
      <c r="AI311" s="7" t="n">
        <f aca="false">SUMIFS(Doors!AU:AU,Doors!$A:$A,$D311,Doors!$B:$B,$B311,Doors!$C:$C,$C311)*SUMIFS(Velocity!$I:$I,Velocity!$A:$A,$A311,Velocity!$B:$B,$C311)/Assumptions!$B$4*Assumptions!$B$6</f>
        <v>0</v>
      </c>
      <c r="AJ311" s="7" t="n">
        <f aca="false">SUMIFS(Doors!AV:AV,Doors!$A:$A,$D311,Doors!$B:$B,$B311,Doors!$C:$C,$C311)*SUMIFS(Velocity!$I:$I,Velocity!$A:$A,$A311,Velocity!$B:$B,$C311)/Assumptions!$B$4*Assumptions!$B$6</f>
        <v>0</v>
      </c>
      <c r="AK311" s="7" t="n">
        <f aca="false">SUMIFS(Doors!AW:AW,Doors!$A:$A,$D311,Doors!$B:$B,$B311,Doors!$C:$C,$C311)*SUMIFS(Velocity!$I:$I,Velocity!$A:$A,$A311,Velocity!$B:$B,$C311)/Assumptions!$B$4*Assumptions!$B$6</f>
        <v>0</v>
      </c>
      <c r="AL311" s="7" t="n">
        <f aca="false">SUMIFS(Doors!AX:AX,Doors!$A:$A,$D311,Doors!$B:$B,$B311,Doors!$C:$C,$C311)*SUMIFS(Velocity!$I:$I,Velocity!$A:$A,$A311,Velocity!$B:$B,$C311)/Assumptions!$B$4*Assumptions!$B$6</f>
        <v>0</v>
      </c>
      <c r="AM311" s="7" t="n">
        <f aca="false">SUMIFS(Doors!AY:AY,Doors!$A:$A,$D311,Doors!$B:$B,$B311,Doors!$C:$C,$C311)*SUMIFS(Velocity!$I:$I,Velocity!$A:$A,$A311,Velocity!$B:$B,$C311)/Assumptions!$B$4*Assumptions!$B$6</f>
        <v>0</v>
      </c>
      <c r="AN311" s="7" t="n">
        <f aca="false">SUMIFS(Doors!AZ:AZ,Doors!$A:$A,$D311,Doors!$B:$B,$B311,Doors!$C:$C,$C311)*SUMIFS(Velocity!$I:$I,Velocity!$A:$A,$A311,Velocity!$B:$B,$C311)/Assumptions!$B$4*Assumptions!$B$6</f>
        <v>0</v>
      </c>
      <c r="AO311" s="7" t="n">
        <f aca="false">SUMIFS(Doors!BA:BA,Doors!$A:$A,$D311,Doors!$B:$B,$B311,Doors!$C:$C,$C311)*SUMIFS(Velocity!$I:$I,Velocity!$A:$A,$A311,Velocity!$B:$B,$C311)/Assumptions!$B$4*Assumptions!$B$6</f>
        <v>0</v>
      </c>
      <c r="AP311" s="7" t="n">
        <f aca="false">SUMIFS(Doors!BB:BB,Doors!$A:$A,$D311,Doors!$B:$B,$B311,Doors!$C:$C,$C311)*SUMIFS(Velocity!$I:$I,Velocity!$A:$A,$A311,Velocity!$B:$B,$C311)/Assumptions!$B$4*Assumptions!$B$6</f>
        <v>0</v>
      </c>
      <c r="AQ311" s="7" t="n">
        <f aca="false">SUMIFS(Doors!BC:BC,Doors!$A:$A,$D311,Doors!$B:$B,$B311,Doors!$C:$C,$C311)*SUMIFS(Velocity!$I:$I,Velocity!$A:$A,$A311,Velocity!$B:$B,$C311)/Assumptions!$B$4*Assumptions!$B$6</f>
        <v>0</v>
      </c>
      <c r="AR311" s="7" t="n">
        <f aca="false">SUMIFS(Doors!BD:BD,Doors!$A:$A,$D311,Doors!$B:$B,$B311,Doors!$C:$C,$C311)*SUMIFS(Velocity!$I:$I,Velocity!$A:$A,$A311,Velocity!$B:$B,$C311)/Assumptions!$B$4*Assumptions!$B$6</f>
        <v>0</v>
      </c>
      <c r="AS311" s="7" t="n">
        <f aca="false">SUMIFS(Doors!BE:BE,Doors!$A:$A,$D311,Doors!$B:$B,$B311,Doors!$C:$C,$C311)*SUMIFS(Velocity!$I:$I,Velocity!$A:$A,$A311,Velocity!$B:$B,$C311)/Assumptions!$B$4*Assumptions!$B$6</f>
        <v>0</v>
      </c>
      <c r="AT311" s="7" t="n">
        <f aca="false">SUMIFS(Doors!BF:BF,Doors!$A:$A,$D311,Doors!$B:$B,$B311,Doors!$C:$C,$C311)*SUMIFS(Velocity!$I:$I,Velocity!$A:$A,$A311,Velocity!$B:$B,$C311)/Assumptions!$B$4*Assumptions!$B$6</f>
        <v>0</v>
      </c>
      <c r="AU311" s="7" t="n">
        <f aca="false">SUMIFS(Doors!BG:BG,Doors!$A:$A,$D311,Doors!$B:$B,$B311,Doors!$C:$C,$C311)*SUMIFS(Velocity!$I:$I,Velocity!$A:$A,$A311,Velocity!$B:$B,$C311)/Assumptions!$B$4*Assumptions!$B$6</f>
        <v>0</v>
      </c>
      <c r="AV311" s="7" t="n">
        <f aca="false">SUMIFS(Doors!BH:BH,Doors!$A:$A,$D311,Doors!$B:$B,$B311,Doors!$C:$C,$C311)*SUMIFS(Velocity!$I:$I,Velocity!$A:$A,$A311,Velocity!$B:$B,$C311)/Assumptions!$B$4*Assumptions!$B$6</f>
        <v>0</v>
      </c>
      <c r="AW311" s="7" t="n">
        <f aca="false">SUMIFS(Doors!BI:BI,Doors!$A:$A,$D311,Doors!$B:$B,$B311,Doors!$C:$C,$C311)*SUMIFS(Velocity!$I:$I,Velocity!$A:$A,$A311,Velocity!$B:$B,$C311)/Assumptions!$B$4*Assumptions!$B$6</f>
        <v>0</v>
      </c>
      <c r="AX311" s="7" t="n">
        <f aca="false">SUMIFS(Doors!BJ:BJ,Doors!$A:$A,$D311,Doors!$B:$B,$B311,Doors!$C:$C,$C311)*SUMIFS(Velocity!$I:$I,Velocity!$A:$A,$A311,Velocity!$B:$B,$C311)/Assumptions!$B$4*Assumptions!$B$6</f>
        <v>0</v>
      </c>
      <c r="AY311" s="7" t="n">
        <f aca="false">SUMIFS(Doors!BK:BK,Doors!$A:$A,$D311,Doors!$B:$B,$B311,Doors!$C:$C,$C311)*SUMIFS(Velocity!$I:$I,Velocity!$A:$A,$A311,Velocity!$B:$B,$C311)/Assumptions!$B$4*Assumptions!$B$6</f>
        <v>0</v>
      </c>
      <c r="AZ311" s="7" t="n">
        <f aca="false">SUMIFS(Doors!BL:BL,Doors!$A:$A,$D311,Doors!$B:$B,$B311,Doors!$C:$C,$C311)*SUMIFS(Velocity!$I:$I,Velocity!$A:$A,$A311,Velocity!$B:$B,$C311)/Assumptions!$B$4*Assumptions!$B$6</f>
        <v>0</v>
      </c>
      <c r="BA311" s="7" t="n">
        <f aca="false">SUMIFS(Doors!BM:BM,Doors!$A:$A,$D311,Doors!$B:$B,$B311,Doors!$C:$C,$C311)*SUMIFS(Velocity!$I:$I,Velocity!$A:$A,$A311,Velocity!$B:$B,$C311)/Assumptions!$B$4*Assumptions!$B$6</f>
        <v>0</v>
      </c>
      <c r="BB311" s="7" t="n">
        <f aca="false">SUMIFS(Doors!BN:BN,Doors!$A:$A,$D311,Doors!$B:$B,$B311,Doors!$C:$C,$C311)*SUMIFS(Velocity!$I:$I,Velocity!$A:$A,$A311,Velocity!$B:$B,$C311)/Assumptions!$B$4*Assumptions!$B$6</f>
        <v>0</v>
      </c>
      <c r="BC311" s="7" t="n">
        <f aca="false">SUMIFS(Doors!BO:BO,Doors!$A:$A,$D311,Doors!$B:$B,$B311,Doors!$C:$C,$C311)*SUMIFS(Velocity!$I:$I,Velocity!$A:$A,$A311,Velocity!$B:$B,$C311)/Assumptions!$B$4*Assumptions!$B$6</f>
        <v>0</v>
      </c>
      <c r="BD311" s="7" t="n">
        <f aca="false">SUMIFS(Doors!BP:BP,Doors!$A:$A,$D311,Doors!$B:$B,$B311,Doors!$C:$C,$C311)*SUMIFS(Velocity!$I:$I,Velocity!$A:$A,$A311,Velocity!$B:$B,$C311)/Assumptions!$B$4*Assumptions!$B$6</f>
        <v>0</v>
      </c>
    </row>
    <row r="312" customFormat="false" ht="15" hidden="false" customHeight="false" outlineLevel="0" collapsed="false">
      <c r="A312" s="0" t="s">
        <v>111</v>
      </c>
      <c r="B312" s="0" t="s">
        <v>130</v>
      </c>
      <c r="C312" s="0" t="s">
        <v>115</v>
      </c>
      <c r="D312" s="0" t="s">
        <v>236</v>
      </c>
      <c r="E312" s="7" t="n">
        <f aca="false">SUMIFS(Doors!Q:Q,Doors!$A:$A,$D312,Doors!$B:$B,$B312,Doors!$C:$C,$C312)*SUMIFS(Velocity!$I:$I,Velocity!$A:$A,$A312,Velocity!$B:$B,$C312)/Assumptions!$B$4*Assumptions!$B$6</f>
        <v>0</v>
      </c>
      <c r="F312" s="7" t="n">
        <f aca="false">SUMIFS(Doors!R:R,Doors!$A:$A,$D312,Doors!$B:$B,$B312,Doors!$C:$C,$C312)*SUMIFS(Velocity!$I:$I,Velocity!$A:$A,$A312,Velocity!$B:$B,$C312)/Assumptions!$B$4*Assumptions!$B$6</f>
        <v>0</v>
      </c>
      <c r="G312" s="7" t="n">
        <f aca="false">SUMIFS(Doors!S:S,Doors!$A:$A,$D312,Doors!$B:$B,$B312,Doors!$C:$C,$C312)*SUMIFS(Velocity!$I:$I,Velocity!$A:$A,$A312,Velocity!$B:$B,$C312)/Assumptions!$B$4*Assumptions!$B$6</f>
        <v>0</v>
      </c>
      <c r="H312" s="7" t="n">
        <f aca="false">SUMIFS(Doors!T:T,Doors!$A:$A,$D312,Doors!$B:$B,$B312,Doors!$C:$C,$C312)*SUMIFS(Velocity!$I:$I,Velocity!$A:$A,$A312,Velocity!$B:$B,$C312)/Assumptions!$B$4*Assumptions!$B$6</f>
        <v>0</v>
      </c>
      <c r="I312" s="7" t="n">
        <f aca="false">SUMIFS(Doors!U:U,Doors!$A:$A,$D312,Doors!$B:$B,$B312,Doors!$C:$C,$C312)*SUMIFS(Velocity!$I:$I,Velocity!$A:$A,$A312,Velocity!$B:$B,$C312)/Assumptions!$B$4*Assumptions!$B$6</f>
        <v>0</v>
      </c>
      <c r="J312" s="7" t="n">
        <f aca="false">SUMIFS(Doors!V:V,Doors!$A:$A,$D312,Doors!$B:$B,$B312,Doors!$C:$C,$C312)*SUMIFS(Velocity!$I:$I,Velocity!$A:$A,$A312,Velocity!$B:$B,$C312)/Assumptions!$B$4*Assumptions!$B$6</f>
        <v>0</v>
      </c>
      <c r="K312" s="7" t="n">
        <f aca="false">SUMIFS(Doors!W:W,Doors!$A:$A,$D312,Doors!$B:$B,$B312,Doors!$C:$C,$C312)*SUMIFS(Velocity!$I:$I,Velocity!$A:$A,$A312,Velocity!$B:$B,$C312)/Assumptions!$B$4*Assumptions!$B$6</f>
        <v>0</v>
      </c>
      <c r="L312" s="7" t="n">
        <f aca="false">SUMIFS(Doors!X:X,Doors!$A:$A,$D312,Doors!$B:$B,$B312,Doors!$C:$C,$C312)*SUMIFS(Velocity!$I:$I,Velocity!$A:$A,$A312,Velocity!$B:$B,$C312)/Assumptions!$B$4*Assumptions!$B$6</f>
        <v>0</v>
      </c>
      <c r="M312" s="7" t="n">
        <f aca="false">SUMIFS(Doors!Y:Y,Doors!$A:$A,$D312,Doors!$B:$B,$B312,Doors!$C:$C,$C312)*SUMIFS(Velocity!$I:$I,Velocity!$A:$A,$A312,Velocity!$B:$B,$C312)/Assumptions!$B$4*Assumptions!$B$6</f>
        <v>0</v>
      </c>
      <c r="N312" s="7" t="n">
        <f aca="false">SUMIFS(Doors!Z:Z,Doors!$A:$A,$D312,Doors!$B:$B,$B312,Doors!$C:$C,$C312)*SUMIFS(Velocity!$I:$I,Velocity!$A:$A,$A312,Velocity!$B:$B,$C312)/Assumptions!$B$4*Assumptions!$B$6</f>
        <v>0</v>
      </c>
      <c r="O312" s="7" t="n">
        <f aca="false">SUMIFS(Doors!AA:AA,Doors!$A:$A,$D312,Doors!$B:$B,$B312,Doors!$C:$C,$C312)*SUMIFS(Velocity!$I:$I,Velocity!$A:$A,$A312,Velocity!$B:$B,$C312)/Assumptions!$B$4*Assumptions!$B$6</f>
        <v>0</v>
      </c>
      <c r="P312" s="7" t="n">
        <f aca="false">SUMIFS(Doors!AB:AB,Doors!$A:$A,$D312,Doors!$B:$B,$B312,Doors!$C:$C,$C312)*SUMIFS(Velocity!$I:$I,Velocity!$A:$A,$A312,Velocity!$B:$B,$C312)/Assumptions!$B$4*Assumptions!$B$6</f>
        <v>0</v>
      </c>
      <c r="Q312" s="7" t="n">
        <f aca="false">SUMIFS(Doors!AC:AC,Doors!$A:$A,$D312,Doors!$B:$B,$B312,Doors!$C:$C,$C312)*SUMIFS(Velocity!$I:$I,Velocity!$A:$A,$A312,Velocity!$B:$B,$C312)/Assumptions!$B$4*Assumptions!$B$6</f>
        <v>0</v>
      </c>
      <c r="R312" s="7" t="n">
        <f aca="false">SUMIFS(Doors!AD:AD,Doors!$A:$A,$D312,Doors!$B:$B,$B312,Doors!$C:$C,$C312)*SUMIFS(Velocity!$I:$I,Velocity!$A:$A,$A312,Velocity!$B:$B,$C312)/Assumptions!$B$4*Assumptions!$B$6</f>
        <v>0</v>
      </c>
      <c r="S312" s="7" t="n">
        <f aca="false">SUMIFS(Doors!AE:AE,Doors!$A:$A,$D312,Doors!$B:$B,$B312,Doors!$C:$C,$C312)*SUMIFS(Velocity!$I:$I,Velocity!$A:$A,$A312,Velocity!$B:$B,$C312)/Assumptions!$B$4*Assumptions!$B$6</f>
        <v>0</v>
      </c>
      <c r="T312" s="7" t="n">
        <f aca="false">SUMIFS(Doors!AF:AF,Doors!$A:$A,$D312,Doors!$B:$B,$B312,Doors!$C:$C,$C312)*SUMIFS(Velocity!$I:$I,Velocity!$A:$A,$A312,Velocity!$B:$B,$C312)/Assumptions!$B$4*Assumptions!$B$6</f>
        <v>0</v>
      </c>
      <c r="U312" s="7" t="n">
        <f aca="false">SUMIFS(Doors!AG:AG,Doors!$A:$A,$D312,Doors!$B:$B,$B312,Doors!$C:$C,$C312)*SUMIFS(Velocity!$I:$I,Velocity!$A:$A,$A312,Velocity!$B:$B,$C312)/Assumptions!$B$4*Assumptions!$B$6</f>
        <v>0</v>
      </c>
      <c r="V312" s="7" t="n">
        <f aca="false">SUMIFS(Doors!AH:AH,Doors!$A:$A,$D312,Doors!$B:$B,$B312,Doors!$C:$C,$C312)*SUMIFS(Velocity!$I:$I,Velocity!$A:$A,$A312,Velocity!$B:$B,$C312)/Assumptions!$B$4*Assumptions!$B$6</f>
        <v>0</v>
      </c>
      <c r="W312" s="7" t="n">
        <f aca="false">SUMIFS(Doors!AI:AI,Doors!$A:$A,$D312,Doors!$B:$B,$B312,Doors!$C:$C,$C312)*SUMIFS(Velocity!$I:$I,Velocity!$A:$A,$A312,Velocity!$B:$B,$C312)/Assumptions!$B$4*Assumptions!$B$6</f>
        <v>0</v>
      </c>
      <c r="X312" s="7" t="n">
        <f aca="false">SUMIFS(Doors!AJ:AJ,Doors!$A:$A,$D312,Doors!$B:$B,$B312,Doors!$C:$C,$C312)*SUMIFS(Velocity!$I:$I,Velocity!$A:$A,$A312,Velocity!$B:$B,$C312)/Assumptions!$B$4*Assumptions!$B$6</f>
        <v>0</v>
      </c>
      <c r="Y312" s="7" t="n">
        <f aca="false">SUMIFS(Doors!AK:AK,Doors!$A:$A,$D312,Doors!$B:$B,$B312,Doors!$C:$C,$C312)*SUMIFS(Velocity!$I:$I,Velocity!$A:$A,$A312,Velocity!$B:$B,$C312)/Assumptions!$B$4*Assumptions!$B$6</f>
        <v>0</v>
      </c>
      <c r="Z312" s="7" t="n">
        <f aca="false">SUMIFS(Doors!AL:AL,Doors!$A:$A,$D312,Doors!$B:$B,$B312,Doors!$C:$C,$C312)*SUMIFS(Velocity!$I:$I,Velocity!$A:$A,$A312,Velocity!$B:$B,$C312)/Assumptions!$B$4*Assumptions!$B$6</f>
        <v>0</v>
      </c>
      <c r="AA312" s="7" t="n">
        <f aca="false">SUMIFS(Doors!AM:AM,Doors!$A:$A,$D312,Doors!$B:$B,$B312,Doors!$C:$C,$C312)*SUMIFS(Velocity!$I:$I,Velocity!$A:$A,$A312,Velocity!$B:$B,$C312)/Assumptions!$B$4*Assumptions!$B$6</f>
        <v>0</v>
      </c>
      <c r="AB312" s="7" t="n">
        <f aca="false">SUMIFS(Doors!AN:AN,Doors!$A:$A,$D312,Doors!$B:$B,$B312,Doors!$C:$C,$C312)*SUMIFS(Velocity!$I:$I,Velocity!$A:$A,$A312,Velocity!$B:$B,$C312)/Assumptions!$B$4*Assumptions!$B$6</f>
        <v>0</v>
      </c>
      <c r="AC312" s="7" t="n">
        <f aca="false">SUMIFS(Doors!AO:AO,Doors!$A:$A,$D312,Doors!$B:$B,$B312,Doors!$C:$C,$C312)*SUMIFS(Velocity!$I:$I,Velocity!$A:$A,$A312,Velocity!$B:$B,$C312)/Assumptions!$B$4*Assumptions!$B$6</f>
        <v>0</v>
      </c>
      <c r="AD312" s="7" t="n">
        <f aca="false">SUMIFS(Doors!AP:AP,Doors!$A:$A,$D312,Doors!$B:$B,$B312,Doors!$C:$C,$C312)*SUMIFS(Velocity!$I:$I,Velocity!$A:$A,$A312,Velocity!$B:$B,$C312)/Assumptions!$B$4*Assumptions!$B$6</f>
        <v>0</v>
      </c>
      <c r="AE312" s="7" t="n">
        <f aca="false">SUMIFS(Doors!AQ:AQ,Doors!$A:$A,$D312,Doors!$B:$B,$B312,Doors!$C:$C,$C312)*SUMIFS(Velocity!$I:$I,Velocity!$A:$A,$A312,Velocity!$B:$B,$C312)/Assumptions!$B$4*Assumptions!$B$6</f>
        <v>0</v>
      </c>
      <c r="AF312" s="7" t="n">
        <f aca="false">SUMIFS(Doors!AR:AR,Doors!$A:$A,$D312,Doors!$B:$B,$B312,Doors!$C:$C,$C312)*SUMIFS(Velocity!$I:$I,Velocity!$A:$A,$A312,Velocity!$B:$B,$C312)/Assumptions!$B$4*Assumptions!$B$6</f>
        <v>0</v>
      </c>
      <c r="AG312" s="7" t="n">
        <f aca="false">SUMIFS(Doors!AS:AS,Doors!$A:$A,$D312,Doors!$B:$B,$B312,Doors!$C:$C,$C312)*SUMIFS(Velocity!$I:$I,Velocity!$A:$A,$A312,Velocity!$B:$B,$C312)/Assumptions!$B$4*Assumptions!$B$6</f>
        <v>0</v>
      </c>
      <c r="AH312" s="7" t="n">
        <f aca="false">SUMIFS(Doors!AT:AT,Doors!$A:$A,$D312,Doors!$B:$B,$B312,Doors!$C:$C,$C312)*SUMIFS(Velocity!$I:$I,Velocity!$A:$A,$A312,Velocity!$B:$B,$C312)/Assumptions!$B$4*Assumptions!$B$6</f>
        <v>0</v>
      </c>
      <c r="AI312" s="7" t="n">
        <f aca="false">SUMIFS(Doors!AU:AU,Doors!$A:$A,$D312,Doors!$B:$B,$B312,Doors!$C:$C,$C312)*SUMIFS(Velocity!$I:$I,Velocity!$A:$A,$A312,Velocity!$B:$B,$C312)/Assumptions!$B$4*Assumptions!$B$6</f>
        <v>0</v>
      </c>
      <c r="AJ312" s="7" t="n">
        <f aca="false">SUMIFS(Doors!AV:AV,Doors!$A:$A,$D312,Doors!$B:$B,$B312,Doors!$C:$C,$C312)*SUMIFS(Velocity!$I:$I,Velocity!$A:$A,$A312,Velocity!$B:$B,$C312)/Assumptions!$B$4*Assumptions!$B$6</f>
        <v>0</v>
      </c>
      <c r="AK312" s="7" t="n">
        <f aca="false">SUMIFS(Doors!AW:AW,Doors!$A:$A,$D312,Doors!$B:$B,$B312,Doors!$C:$C,$C312)*SUMIFS(Velocity!$I:$I,Velocity!$A:$A,$A312,Velocity!$B:$B,$C312)/Assumptions!$B$4*Assumptions!$B$6</f>
        <v>0</v>
      </c>
      <c r="AL312" s="7" t="n">
        <f aca="false">SUMIFS(Doors!AX:AX,Doors!$A:$A,$D312,Doors!$B:$B,$B312,Doors!$C:$C,$C312)*SUMIFS(Velocity!$I:$I,Velocity!$A:$A,$A312,Velocity!$B:$B,$C312)/Assumptions!$B$4*Assumptions!$B$6</f>
        <v>0</v>
      </c>
      <c r="AM312" s="7" t="n">
        <f aca="false">SUMIFS(Doors!AY:AY,Doors!$A:$A,$D312,Doors!$B:$B,$B312,Doors!$C:$C,$C312)*SUMIFS(Velocity!$I:$I,Velocity!$A:$A,$A312,Velocity!$B:$B,$C312)/Assumptions!$B$4*Assumptions!$B$6</f>
        <v>0</v>
      </c>
      <c r="AN312" s="7" t="n">
        <f aca="false">SUMIFS(Doors!AZ:AZ,Doors!$A:$A,$D312,Doors!$B:$B,$B312,Doors!$C:$C,$C312)*SUMIFS(Velocity!$I:$I,Velocity!$A:$A,$A312,Velocity!$B:$B,$C312)/Assumptions!$B$4*Assumptions!$B$6</f>
        <v>0</v>
      </c>
      <c r="AO312" s="7" t="n">
        <f aca="false">SUMIFS(Doors!BA:BA,Doors!$A:$A,$D312,Doors!$B:$B,$B312,Doors!$C:$C,$C312)*SUMIFS(Velocity!$I:$I,Velocity!$A:$A,$A312,Velocity!$B:$B,$C312)/Assumptions!$B$4*Assumptions!$B$6</f>
        <v>0</v>
      </c>
      <c r="AP312" s="7" t="n">
        <f aca="false">SUMIFS(Doors!BB:BB,Doors!$A:$A,$D312,Doors!$B:$B,$B312,Doors!$C:$C,$C312)*SUMIFS(Velocity!$I:$I,Velocity!$A:$A,$A312,Velocity!$B:$B,$C312)/Assumptions!$B$4*Assumptions!$B$6</f>
        <v>0</v>
      </c>
      <c r="AQ312" s="7" t="n">
        <f aca="false">SUMIFS(Doors!BC:BC,Doors!$A:$A,$D312,Doors!$B:$B,$B312,Doors!$C:$C,$C312)*SUMIFS(Velocity!$I:$I,Velocity!$A:$A,$A312,Velocity!$B:$B,$C312)/Assumptions!$B$4*Assumptions!$B$6</f>
        <v>0</v>
      </c>
      <c r="AR312" s="7" t="n">
        <f aca="false">SUMIFS(Doors!BD:BD,Doors!$A:$A,$D312,Doors!$B:$B,$B312,Doors!$C:$C,$C312)*SUMIFS(Velocity!$I:$I,Velocity!$A:$A,$A312,Velocity!$B:$B,$C312)/Assumptions!$B$4*Assumptions!$B$6</f>
        <v>0</v>
      </c>
      <c r="AS312" s="7" t="n">
        <f aca="false">SUMIFS(Doors!BE:BE,Doors!$A:$A,$D312,Doors!$B:$B,$B312,Doors!$C:$C,$C312)*SUMIFS(Velocity!$I:$I,Velocity!$A:$A,$A312,Velocity!$B:$B,$C312)/Assumptions!$B$4*Assumptions!$B$6</f>
        <v>0</v>
      </c>
      <c r="AT312" s="7" t="n">
        <f aca="false">SUMIFS(Doors!BF:BF,Doors!$A:$A,$D312,Doors!$B:$B,$B312,Doors!$C:$C,$C312)*SUMIFS(Velocity!$I:$I,Velocity!$A:$A,$A312,Velocity!$B:$B,$C312)/Assumptions!$B$4*Assumptions!$B$6</f>
        <v>0</v>
      </c>
      <c r="AU312" s="7" t="n">
        <f aca="false">SUMIFS(Doors!BG:BG,Doors!$A:$A,$D312,Doors!$B:$B,$B312,Doors!$C:$C,$C312)*SUMIFS(Velocity!$I:$I,Velocity!$A:$A,$A312,Velocity!$B:$B,$C312)/Assumptions!$B$4*Assumptions!$B$6</f>
        <v>0</v>
      </c>
      <c r="AV312" s="7" t="n">
        <f aca="false">SUMIFS(Doors!BH:BH,Doors!$A:$A,$D312,Doors!$B:$B,$B312,Doors!$C:$C,$C312)*SUMIFS(Velocity!$I:$I,Velocity!$A:$A,$A312,Velocity!$B:$B,$C312)/Assumptions!$B$4*Assumptions!$B$6</f>
        <v>0</v>
      </c>
      <c r="AW312" s="7" t="n">
        <f aca="false">SUMIFS(Doors!BI:BI,Doors!$A:$A,$D312,Doors!$B:$B,$B312,Doors!$C:$C,$C312)*SUMIFS(Velocity!$I:$I,Velocity!$A:$A,$A312,Velocity!$B:$B,$C312)/Assumptions!$B$4*Assumptions!$B$6</f>
        <v>0</v>
      </c>
      <c r="AX312" s="7" t="n">
        <f aca="false">SUMIFS(Doors!BJ:BJ,Doors!$A:$A,$D312,Doors!$B:$B,$B312,Doors!$C:$C,$C312)*SUMIFS(Velocity!$I:$I,Velocity!$A:$A,$A312,Velocity!$B:$B,$C312)/Assumptions!$B$4*Assumptions!$B$6</f>
        <v>0</v>
      </c>
      <c r="AY312" s="7" t="n">
        <f aca="false">SUMIFS(Doors!BK:BK,Doors!$A:$A,$D312,Doors!$B:$B,$B312,Doors!$C:$C,$C312)*SUMIFS(Velocity!$I:$I,Velocity!$A:$A,$A312,Velocity!$B:$B,$C312)/Assumptions!$B$4*Assumptions!$B$6</f>
        <v>0</v>
      </c>
      <c r="AZ312" s="7" t="n">
        <f aca="false">SUMIFS(Doors!BL:BL,Doors!$A:$A,$D312,Doors!$B:$B,$B312,Doors!$C:$C,$C312)*SUMIFS(Velocity!$I:$I,Velocity!$A:$A,$A312,Velocity!$B:$B,$C312)/Assumptions!$B$4*Assumptions!$B$6</f>
        <v>0</v>
      </c>
      <c r="BA312" s="7" t="n">
        <f aca="false">SUMIFS(Doors!BM:BM,Doors!$A:$A,$D312,Doors!$B:$B,$B312,Doors!$C:$C,$C312)*SUMIFS(Velocity!$I:$I,Velocity!$A:$A,$A312,Velocity!$B:$B,$C312)/Assumptions!$B$4*Assumptions!$B$6</f>
        <v>0</v>
      </c>
      <c r="BB312" s="7" t="n">
        <f aca="false">SUMIFS(Doors!BN:BN,Doors!$A:$A,$D312,Doors!$B:$B,$B312,Doors!$C:$C,$C312)*SUMIFS(Velocity!$I:$I,Velocity!$A:$A,$A312,Velocity!$B:$B,$C312)/Assumptions!$B$4*Assumptions!$B$6</f>
        <v>0</v>
      </c>
      <c r="BC312" s="7" t="n">
        <f aca="false">SUMIFS(Doors!BO:BO,Doors!$A:$A,$D312,Doors!$B:$B,$B312,Doors!$C:$C,$C312)*SUMIFS(Velocity!$I:$I,Velocity!$A:$A,$A312,Velocity!$B:$B,$C312)/Assumptions!$B$4*Assumptions!$B$6</f>
        <v>0</v>
      </c>
      <c r="BD312" s="7" t="n">
        <f aca="false">SUMIFS(Doors!BP:BP,Doors!$A:$A,$D312,Doors!$B:$B,$B312,Doors!$C:$C,$C312)*SUMIFS(Velocity!$I:$I,Velocity!$A:$A,$A312,Velocity!$B:$B,$C312)/Assumptions!$B$4*Assumptions!$B$6</f>
        <v>0</v>
      </c>
    </row>
    <row r="313" customFormat="false" ht="15" hidden="false" customHeight="false" outlineLevel="0" collapsed="false">
      <c r="A313" s="0" t="s">
        <v>111</v>
      </c>
      <c r="B313" s="0" t="s">
        <v>130</v>
      </c>
      <c r="C313" s="0" t="s">
        <v>116</v>
      </c>
      <c r="D313" s="0" t="s">
        <v>236</v>
      </c>
      <c r="E313" s="7" t="n">
        <f aca="false">SUMIFS(Doors!Q:Q,Doors!$A:$A,$D313,Doors!$B:$B,$B313,Doors!$C:$C,$C313)*SUMIFS(Velocity!$I:$I,Velocity!$A:$A,$A313,Velocity!$B:$B,$C313)/Assumptions!$B$4*Assumptions!$B$6</f>
        <v>0</v>
      </c>
      <c r="F313" s="7" t="n">
        <f aca="false">SUMIFS(Doors!R:R,Doors!$A:$A,$D313,Doors!$B:$B,$B313,Doors!$C:$C,$C313)*SUMIFS(Velocity!$I:$I,Velocity!$A:$A,$A313,Velocity!$B:$B,$C313)/Assumptions!$B$4*Assumptions!$B$6</f>
        <v>0</v>
      </c>
      <c r="G313" s="7" t="n">
        <f aca="false">SUMIFS(Doors!S:S,Doors!$A:$A,$D313,Doors!$B:$B,$B313,Doors!$C:$C,$C313)*SUMIFS(Velocity!$I:$I,Velocity!$A:$A,$A313,Velocity!$B:$B,$C313)/Assumptions!$B$4*Assumptions!$B$6</f>
        <v>0</v>
      </c>
      <c r="H313" s="7" t="n">
        <f aca="false">SUMIFS(Doors!T:T,Doors!$A:$A,$D313,Doors!$B:$B,$B313,Doors!$C:$C,$C313)*SUMIFS(Velocity!$I:$I,Velocity!$A:$A,$A313,Velocity!$B:$B,$C313)/Assumptions!$B$4*Assumptions!$B$6</f>
        <v>0</v>
      </c>
      <c r="I313" s="7" t="n">
        <f aca="false">SUMIFS(Doors!U:U,Doors!$A:$A,$D313,Doors!$B:$B,$B313,Doors!$C:$C,$C313)*SUMIFS(Velocity!$I:$I,Velocity!$A:$A,$A313,Velocity!$B:$B,$C313)/Assumptions!$B$4*Assumptions!$B$6</f>
        <v>0</v>
      </c>
      <c r="J313" s="7" t="n">
        <f aca="false">SUMIFS(Doors!V:V,Doors!$A:$A,$D313,Doors!$B:$B,$B313,Doors!$C:$C,$C313)*SUMIFS(Velocity!$I:$I,Velocity!$A:$A,$A313,Velocity!$B:$B,$C313)/Assumptions!$B$4*Assumptions!$B$6</f>
        <v>0</v>
      </c>
      <c r="K313" s="7" t="n">
        <f aca="false">SUMIFS(Doors!W:W,Doors!$A:$A,$D313,Doors!$B:$B,$B313,Doors!$C:$C,$C313)*SUMIFS(Velocity!$I:$I,Velocity!$A:$A,$A313,Velocity!$B:$B,$C313)/Assumptions!$B$4*Assumptions!$B$6</f>
        <v>0</v>
      </c>
      <c r="L313" s="7" t="n">
        <f aca="false">SUMIFS(Doors!X:X,Doors!$A:$A,$D313,Doors!$B:$B,$B313,Doors!$C:$C,$C313)*SUMIFS(Velocity!$I:$I,Velocity!$A:$A,$A313,Velocity!$B:$B,$C313)/Assumptions!$B$4*Assumptions!$B$6</f>
        <v>0</v>
      </c>
      <c r="M313" s="7" t="n">
        <f aca="false">SUMIFS(Doors!Y:Y,Doors!$A:$A,$D313,Doors!$B:$B,$B313,Doors!$C:$C,$C313)*SUMIFS(Velocity!$I:$I,Velocity!$A:$A,$A313,Velocity!$B:$B,$C313)/Assumptions!$B$4*Assumptions!$B$6</f>
        <v>0</v>
      </c>
      <c r="N313" s="7" t="n">
        <f aca="false">SUMIFS(Doors!Z:Z,Doors!$A:$A,$D313,Doors!$B:$B,$B313,Doors!$C:$C,$C313)*SUMIFS(Velocity!$I:$I,Velocity!$A:$A,$A313,Velocity!$B:$B,$C313)/Assumptions!$B$4*Assumptions!$B$6</f>
        <v>0</v>
      </c>
      <c r="O313" s="7" t="n">
        <f aca="false">SUMIFS(Doors!AA:AA,Doors!$A:$A,$D313,Doors!$B:$B,$B313,Doors!$C:$C,$C313)*SUMIFS(Velocity!$I:$I,Velocity!$A:$A,$A313,Velocity!$B:$B,$C313)/Assumptions!$B$4*Assumptions!$B$6</f>
        <v>0</v>
      </c>
      <c r="P313" s="7" t="n">
        <f aca="false">SUMIFS(Doors!AB:AB,Doors!$A:$A,$D313,Doors!$B:$B,$B313,Doors!$C:$C,$C313)*SUMIFS(Velocity!$I:$I,Velocity!$A:$A,$A313,Velocity!$B:$B,$C313)/Assumptions!$B$4*Assumptions!$B$6</f>
        <v>0</v>
      </c>
      <c r="Q313" s="7" t="n">
        <f aca="false">SUMIFS(Doors!AC:AC,Doors!$A:$A,$D313,Doors!$B:$B,$B313,Doors!$C:$C,$C313)*SUMIFS(Velocity!$I:$I,Velocity!$A:$A,$A313,Velocity!$B:$B,$C313)/Assumptions!$B$4*Assumptions!$B$6</f>
        <v>0</v>
      </c>
      <c r="R313" s="7" t="n">
        <f aca="false">SUMIFS(Doors!AD:AD,Doors!$A:$A,$D313,Doors!$B:$B,$B313,Doors!$C:$C,$C313)*SUMIFS(Velocity!$I:$I,Velocity!$A:$A,$A313,Velocity!$B:$B,$C313)/Assumptions!$B$4*Assumptions!$B$6</f>
        <v>0</v>
      </c>
      <c r="S313" s="7" t="n">
        <f aca="false">SUMIFS(Doors!AE:AE,Doors!$A:$A,$D313,Doors!$B:$B,$B313,Doors!$C:$C,$C313)*SUMIFS(Velocity!$I:$I,Velocity!$A:$A,$A313,Velocity!$B:$B,$C313)/Assumptions!$B$4*Assumptions!$B$6</f>
        <v>0</v>
      </c>
      <c r="T313" s="7" t="n">
        <f aca="false">SUMIFS(Doors!AF:AF,Doors!$A:$A,$D313,Doors!$B:$B,$B313,Doors!$C:$C,$C313)*SUMIFS(Velocity!$I:$I,Velocity!$A:$A,$A313,Velocity!$B:$B,$C313)/Assumptions!$B$4*Assumptions!$B$6</f>
        <v>0</v>
      </c>
      <c r="U313" s="7" t="n">
        <f aca="false">SUMIFS(Doors!AG:AG,Doors!$A:$A,$D313,Doors!$B:$B,$B313,Doors!$C:$C,$C313)*SUMIFS(Velocity!$I:$I,Velocity!$A:$A,$A313,Velocity!$B:$B,$C313)/Assumptions!$B$4*Assumptions!$B$6</f>
        <v>0</v>
      </c>
      <c r="V313" s="7" t="n">
        <f aca="false">SUMIFS(Doors!AH:AH,Doors!$A:$A,$D313,Doors!$B:$B,$B313,Doors!$C:$C,$C313)*SUMIFS(Velocity!$I:$I,Velocity!$A:$A,$A313,Velocity!$B:$B,$C313)/Assumptions!$B$4*Assumptions!$B$6</f>
        <v>0</v>
      </c>
      <c r="W313" s="7" t="n">
        <f aca="false">SUMIFS(Doors!AI:AI,Doors!$A:$A,$D313,Doors!$B:$B,$B313,Doors!$C:$C,$C313)*SUMIFS(Velocity!$I:$I,Velocity!$A:$A,$A313,Velocity!$B:$B,$C313)/Assumptions!$B$4*Assumptions!$B$6</f>
        <v>0</v>
      </c>
      <c r="X313" s="7" t="n">
        <f aca="false">SUMIFS(Doors!AJ:AJ,Doors!$A:$A,$D313,Doors!$B:$B,$B313,Doors!$C:$C,$C313)*SUMIFS(Velocity!$I:$I,Velocity!$A:$A,$A313,Velocity!$B:$B,$C313)/Assumptions!$B$4*Assumptions!$B$6</f>
        <v>0</v>
      </c>
      <c r="Y313" s="7" t="n">
        <f aca="false">SUMIFS(Doors!AK:AK,Doors!$A:$A,$D313,Doors!$B:$B,$B313,Doors!$C:$C,$C313)*SUMIFS(Velocity!$I:$I,Velocity!$A:$A,$A313,Velocity!$B:$B,$C313)/Assumptions!$B$4*Assumptions!$B$6</f>
        <v>0</v>
      </c>
      <c r="Z313" s="7" t="n">
        <f aca="false">SUMIFS(Doors!AL:AL,Doors!$A:$A,$D313,Doors!$B:$B,$B313,Doors!$C:$C,$C313)*SUMIFS(Velocity!$I:$I,Velocity!$A:$A,$A313,Velocity!$B:$B,$C313)/Assumptions!$B$4*Assumptions!$B$6</f>
        <v>0</v>
      </c>
      <c r="AA313" s="7" t="n">
        <f aca="false">SUMIFS(Doors!AM:AM,Doors!$A:$A,$D313,Doors!$B:$B,$B313,Doors!$C:$C,$C313)*SUMIFS(Velocity!$I:$I,Velocity!$A:$A,$A313,Velocity!$B:$B,$C313)/Assumptions!$B$4*Assumptions!$B$6</f>
        <v>0</v>
      </c>
      <c r="AB313" s="7" t="n">
        <f aca="false">SUMIFS(Doors!AN:AN,Doors!$A:$A,$D313,Doors!$B:$B,$B313,Doors!$C:$C,$C313)*SUMIFS(Velocity!$I:$I,Velocity!$A:$A,$A313,Velocity!$B:$B,$C313)/Assumptions!$B$4*Assumptions!$B$6</f>
        <v>0</v>
      </c>
      <c r="AC313" s="7" t="n">
        <f aca="false">SUMIFS(Doors!AO:AO,Doors!$A:$A,$D313,Doors!$B:$B,$B313,Doors!$C:$C,$C313)*SUMIFS(Velocity!$I:$I,Velocity!$A:$A,$A313,Velocity!$B:$B,$C313)/Assumptions!$B$4*Assumptions!$B$6</f>
        <v>0</v>
      </c>
      <c r="AD313" s="7" t="n">
        <f aca="false">SUMIFS(Doors!AP:AP,Doors!$A:$A,$D313,Doors!$B:$B,$B313,Doors!$C:$C,$C313)*SUMIFS(Velocity!$I:$I,Velocity!$A:$A,$A313,Velocity!$B:$B,$C313)/Assumptions!$B$4*Assumptions!$B$6</f>
        <v>0</v>
      </c>
      <c r="AE313" s="7" t="n">
        <f aca="false">SUMIFS(Doors!AQ:AQ,Doors!$A:$A,$D313,Doors!$B:$B,$B313,Doors!$C:$C,$C313)*SUMIFS(Velocity!$I:$I,Velocity!$A:$A,$A313,Velocity!$B:$B,$C313)/Assumptions!$B$4*Assumptions!$B$6</f>
        <v>0</v>
      </c>
      <c r="AF313" s="7" t="n">
        <f aca="false">SUMIFS(Doors!AR:AR,Doors!$A:$A,$D313,Doors!$B:$B,$B313,Doors!$C:$C,$C313)*SUMIFS(Velocity!$I:$I,Velocity!$A:$A,$A313,Velocity!$B:$B,$C313)/Assumptions!$B$4*Assumptions!$B$6</f>
        <v>0</v>
      </c>
      <c r="AG313" s="7" t="n">
        <f aca="false">SUMIFS(Doors!AS:AS,Doors!$A:$A,$D313,Doors!$B:$B,$B313,Doors!$C:$C,$C313)*SUMIFS(Velocity!$I:$I,Velocity!$A:$A,$A313,Velocity!$B:$B,$C313)/Assumptions!$B$4*Assumptions!$B$6</f>
        <v>0</v>
      </c>
      <c r="AH313" s="7" t="n">
        <f aca="false">SUMIFS(Doors!AT:AT,Doors!$A:$A,$D313,Doors!$B:$B,$B313,Doors!$C:$C,$C313)*SUMIFS(Velocity!$I:$I,Velocity!$A:$A,$A313,Velocity!$B:$B,$C313)/Assumptions!$B$4*Assumptions!$B$6</f>
        <v>0</v>
      </c>
      <c r="AI313" s="7" t="n">
        <f aca="false">SUMIFS(Doors!AU:AU,Doors!$A:$A,$D313,Doors!$B:$B,$B313,Doors!$C:$C,$C313)*SUMIFS(Velocity!$I:$I,Velocity!$A:$A,$A313,Velocity!$B:$B,$C313)/Assumptions!$B$4*Assumptions!$B$6</f>
        <v>0</v>
      </c>
      <c r="AJ313" s="7" t="n">
        <f aca="false">SUMIFS(Doors!AV:AV,Doors!$A:$A,$D313,Doors!$B:$B,$B313,Doors!$C:$C,$C313)*SUMIFS(Velocity!$I:$I,Velocity!$A:$A,$A313,Velocity!$B:$B,$C313)/Assumptions!$B$4*Assumptions!$B$6</f>
        <v>0</v>
      </c>
      <c r="AK313" s="7" t="n">
        <f aca="false">SUMIFS(Doors!AW:AW,Doors!$A:$A,$D313,Doors!$B:$B,$B313,Doors!$C:$C,$C313)*SUMIFS(Velocity!$I:$I,Velocity!$A:$A,$A313,Velocity!$B:$B,$C313)/Assumptions!$B$4*Assumptions!$B$6</f>
        <v>0</v>
      </c>
      <c r="AL313" s="7" t="n">
        <f aca="false">SUMIFS(Doors!AX:AX,Doors!$A:$A,$D313,Doors!$B:$B,$B313,Doors!$C:$C,$C313)*SUMIFS(Velocity!$I:$I,Velocity!$A:$A,$A313,Velocity!$B:$B,$C313)/Assumptions!$B$4*Assumptions!$B$6</f>
        <v>0</v>
      </c>
      <c r="AM313" s="7" t="n">
        <f aca="false">SUMIFS(Doors!AY:AY,Doors!$A:$A,$D313,Doors!$B:$B,$B313,Doors!$C:$C,$C313)*SUMIFS(Velocity!$I:$I,Velocity!$A:$A,$A313,Velocity!$B:$B,$C313)/Assumptions!$B$4*Assumptions!$B$6</f>
        <v>0</v>
      </c>
      <c r="AN313" s="7" t="n">
        <f aca="false">SUMIFS(Doors!AZ:AZ,Doors!$A:$A,$D313,Doors!$B:$B,$B313,Doors!$C:$C,$C313)*SUMIFS(Velocity!$I:$I,Velocity!$A:$A,$A313,Velocity!$B:$B,$C313)/Assumptions!$B$4*Assumptions!$B$6</f>
        <v>0</v>
      </c>
      <c r="AO313" s="7" t="n">
        <f aca="false">SUMIFS(Doors!BA:BA,Doors!$A:$A,$D313,Doors!$B:$B,$B313,Doors!$C:$C,$C313)*SUMIFS(Velocity!$I:$I,Velocity!$A:$A,$A313,Velocity!$B:$B,$C313)/Assumptions!$B$4*Assumptions!$B$6</f>
        <v>0</v>
      </c>
      <c r="AP313" s="7" t="n">
        <f aca="false">SUMIFS(Doors!BB:BB,Doors!$A:$A,$D313,Doors!$B:$B,$B313,Doors!$C:$C,$C313)*SUMIFS(Velocity!$I:$I,Velocity!$A:$A,$A313,Velocity!$B:$B,$C313)/Assumptions!$B$4*Assumptions!$B$6</f>
        <v>0</v>
      </c>
      <c r="AQ313" s="7" t="n">
        <f aca="false">SUMIFS(Doors!BC:BC,Doors!$A:$A,$D313,Doors!$B:$B,$B313,Doors!$C:$C,$C313)*SUMIFS(Velocity!$I:$I,Velocity!$A:$A,$A313,Velocity!$B:$B,$C313)/Assumptions!$B$4*Assumptions!$B$6</f>
        <v>0</v>
      </c>
      <c r="AR313" s="7" t="n">
        <f aca="false">SUMIFS(Doors!BD:BD,Doors!$A:$A,$D313,Doors!$B:$B,$B313,Doors!$C:$C,$C313)*SUMIFS(Velocity!$I:$I,Velocity!$A:$A,$A313,Velocity!$B:$B,$C313)/Assumptions!$B$4*Assumptions!$B$6</f>
        <v>0</v>
      </c>
      <c r="AS313" s="7" t="n">
        <f aca="false">SUMIFS(Doors!BE:BE,Doors!$A:$A,$D313,Doors!$B:$B,$B313,Doors!$C:$C,$C313)*SUMIFS(Velocity!$I:$I,Velocity!$A:$A,$A313,Velocity!$B:$B,$C313)/Assumptions!$B$4*Assumptions!$B$6</f>
        <v>0</v>
      </c>
      <c r="AT313" s="7" t="n">
        <f aca="false">SUMIFS(Doors!BF:BF,Doors!$A:$A,$D313,Doors!$B:$B,$B313,Doors!$C:$C,$C313)*SUMIFS(Velocity!$I:$I,Velocity!$A:$A,$A313,Velocity!$B:$B,$C313)/Assumptions!$B$4*Assumptions!$B$6</f>
        <v>0</v>
      </c>
      <c r="AU313" s="7" t="n">
        <f aca="false">SUMIFS(Doors!BG:BG,Doors!$A:$A,$D313,Doors!$B:$B,$B313,Doors!$C:$C,$C313)*SUMIFS(Velocity!$I:$I,Velocity!$A:$A,$A313,Velocity!$B:$B,$C313)/Assumptions!$B$4*Assumptions!$B$6</f>
        <v>0</v>
      </c>
      <c r="AV313" s="7" t="n">
        <f aca="false">SUMIFS(Doors!BH:BH,Doors!$A:$A,$D313,Doors!$B:$B,$B313,Doors!$C:$C,$C313)*SUMIFS(Velocity!$I:$I,Velocity!$A:$A,$A313,Velocity!$B:$B,$C313)/Assumptions!$B$4*Assumptions!$B$6</f>
        <v>0</v>
      </c>
      <c r="AW313" s="7" t="n">
        <f aca="false">SUMIFS(Doors!BI:BI,Doors!$A:$A,$D313,Doors!$B:$B,$B313,Doors!$C:$C,$C313)*SUMIFS(Velocity!$I:$I,Velocity!$A:$A,$A313,Velocity!$B:$B,$C313)/Assumptions!$B$4*Assumptions!$B$6</f>
        <v>0</v>
      </c>
      <c r="AX313" s="7" t="n">
        <f aca="false">SUMIFS(Doors!BJ:BJ,Doors!$A:$A,$D313,Doors!$B:$B,$B313,Doors!$C:$C,$C313)*SUMIFS(Velocity!$I:$I,Velocity!$A:$A,$A313,Velocity!$B:$B,$C313)/Assumptions!$B$4*Assumptions!$B$6</f>
        <v>0</v>
      </c>
      <c r="AY313" s="7" t="n">
        <f aca="false">SUMIFS(Doors!BK:BK,Doors!$A:$A,$D313,Doors!$B:$B,$B313,Doors!$C:$C,$C313)*SUMIFS(Velocity!$I:$I,Velocity!$A:$A,$A313,Velocity!$B:$B,$C313)/Assumptions!$B$4*Assumptions!$B$6</f>
        <v>0</v>
      </c>
      <c r="AZ313" s="7" t="n">
        <f aca="false">SUMIFS(Doors!BL:BL,Doors!$A:$A,$D313,Doors!$B:$B,$B313,Doors!$C:$C,$C313)*SUMIFS(Velocity!$I:$I,Velocity!$A:$A,$A313,Velocity!$B:$B,$C313)/Assumptions!$B$4*Assumptions!$B$6</f>
        <v>0</v>
      </c>
      <c r="BA313" s="7" t="n">
        <f aca="false">SUMIFS(Doors!BM:BM,Doors!$A:$A,$D313,Doors!$B:$B,$B313,Doors!$C:$C,$C313)*SUMIFS(Velocity!$I:$I,Velocity!$A:$A,$A313,Velocity!$B:$B,$C313)/Assumptions!$B$4*Assumptions!$B$6</f>
        <v>0</v>
      </c>
      <c r="BB313" s="7" t="n">
        <f aca="false">SUMIFS(Doors!BN:BN,Doors!$A:$A,$D313,Doors!$B:$B,$B313,Doors!$C:$C,$C313)*SUMIFS(Velocity!$I:$I,Velocity!$A:$A,$A313,Velocity!$B:$B,$C313)/Assumptions!$B$4*Assumptions!$B$6</f>
        <v>0</v>
      </c>
      <c r="BC313" s="7" t="n">
        <f aca="false">SUMIFS(Doors!BO:BO,Doors!$A:$A,$D313,Doors!$B:$B,$B313,Doors!$C:$C,$C313)*SUMIFS(Velocity!$I:$I,Velocity!$A:$A,$A313,Velocity!$B:$B,$C313)/Assumptions!$B$4*Assumptions!$B$6</f>
        <v>0</v>
      </c>
      <c r="BD313" s="7" t="n">
        <f aca="false">SUMIFS(Doors!BP:BP,Doors!$A:$A,$D313,Doors!$B:$B,$B313,Doors!$C:$C,$C313)*SUMIFS(Velocity!$I:$I,Velocity!$A:$A,$A313,Velocity!$B:$B,$C313)/Assumptions!$B$4*Assumptions!$B$6</f>
        <v>0</v>
      </c>
    </row>
    <row r="314" customFormat="false" ht="15" hidden="false" customHeight="false" outlineLevel="0" collapsed="false">
      <c r="A314" s="0" t="s">
        <v>111</v>
      </c>
      <c r="B314" s="0" t="s">
        <v>130</v>
      </c>
      <c r="C314" s="0" t="s">
        <v>117</v>
      </c>
      <c r="D314" s="0" t="s">
        <v>236</v>
      </c>
      <c r="E314" s="7" t="n">
        <f aca="false">SUMIFS(Doors!Q:Q,Doors!$A:$A,$D314,Doors!$B:$B,$B314,Doors!$C:$C,$C314)*SUMIFS(Velocity!$I:$I,Velocity!$A:$A,$A314,Velocity!$B:$B,$C314)/Assumptions!$B$4*Assumptions!$B$6</f>
        <v>0</v>
      </c>
      <c r="F314" s="7" t="n">
        <f aca="false">SUMIFS(Doors!R:R,Doors!$A:$A,$D314,Doors!$B:$B,$B314,Doors!$C:$C,$C314)*SUMIFS(Velocity!$I:$I,Velocity!$A:$A,$A314,Velocity!$B:$B,$C314)/Assumptions!$B$4*Assumptions!$B$6</f>
        <v>0</v>
      </c>
      <c r="G314" s="7" t="n">
        <f aca="false">SUMIFS(Doors!S:S,Doors!$A:$A,$D314,Doors!$B:$B,$B314,Doors!$C:$C,$C314)*SUMIFS(Velocity!$I:$I,Velocity!$A:$A,$A314,Velocity!$B:$B,$C314)/Assumptions!$B$4*Assumptions!$B$6</f>
        <v>0</v>
      </c>
      <c r="H314" s="7" t="n">
        <f aca="false">SUMIFS(Doors!T:T,Doors!$A:$A,$D314,Doors!$B:$B,$B314,Doors!$C:$C,$C314)*SUMIFS(Velocity!$I:$I,Velocity!$A:$A,$A314,Velocity!$B:$B,$C314)/Assumptions!$B$4*Assumptions!$B$6</f>
        <v>0</v>
      </c>
      <c r="I314" s="7" t="n">
        <f aca="false">SUMIFS(Doors!U:U,Doors!$A:$A,$D314,Doors!$B:$B,$B314,Doors!$C:$C,$C314)*SUMIFS(Velocity!$I:$I,Velocity!$A:$A,$A314,Velocity!$B:$B,$C314)/Assumptions!$B$4*Assumptions!$B$6</f>
        <v>0</v>
      </c>
      <c r="J314" s="7" t="n">
        <f aca="false">SUMIFS(Doors!V:V,Doors!$A:$A,$D314,Doors!$B:$B,$B314,Doors!$C:$C,$C314)*SUMIFS(Velocity!$I:$I,Velocity!$A:$A,$A314,Velocity!$B:$B,$C314)/Assumptions!$B$4*Assumptions!$B$6</f>
        <v>0</v>
      </c>
      <c r="K314" s="7" t="n">
        <f aca="false">SUMIFS(Doors!W:W,Doors!$A:$A,$D314,Doors!$B:$B,$B314,Doors!$C:$C,$C314)*SUMIFS(Velocity!$I:$I,Velocity!$A:$A,$A314,Velocity!$B:$B,$C314)/Assumptions!$B$4*Assumptions!$B$6</f>
        <v>0</v>
      </c>
      <c r="L314" s="7" t="n">
        <f aca="false">SUMIFS(Doors!X:X,Doors!$A:$A,$D314,Doors!$B:$B,$B314,Doors!$C:$C,$C314)*SUMIFS(Velocity!$I:$I,Velocity!$A:$A,$A314,Velocity!$B:$B,$C314)/Assumptions!$B$4*Assumptions!$B$6</f>
        <v>0</v>
      </c>
      <c r="M314" s="7" t="n">
        <f aca="false">SUMIFS(Doors!Y:Y,Doors!$A:$A,$D314,Doors!$B:$B,$B314,Doors!$C:$C,$C314)*SUMIFS(Velocity!$I:$I,Velocity!$A:$A,$A314,Velocity!$B:$B,$C314)/Assumptions!$B$4*Assumptions!$B$6</f>
        <v>0</v>
      </c>
      <c r="N314" s="7" t="n">
        <f aca="false">SUMIFS(Doors!Z:Z,Doors!$A:$A,$D314,Doors!$B:$B,$B314,Doors!$C:$C,$C314)*SUMIFS(Velocity!$I:$I,Velocity!$A:$A,$A314,Velocity!$B:$B,$C314)/Assumptions!$B$4*Assumptions!$B$6</f>
        <v>0</v>
      </c>
      <c r="O314" s="7" t="n">
        <f aca="false">SUMIFS(Doors!AA:AA,Doors!$A:$A,$D314,Doors!$B:$B,$B314,Doors!$C:$C,$C314)*SUMIFS(Velocity!$I:$I,Velocity!$A:$A,$A314,Velocity!$B:$B,$C314)/Assumptions!$B$4*Assumptions!$B$6</f>
        <v>0</v>
      </c>
      <c r="P314" s="7" t="n">
        <f aca="false">SUMIFS(Doors!AB:AB,Doors!$A:$A,$D314,Doors!$B:$B,$B314,Doors!$C:$C,$C314)*SUMIFS(Velocity!$I:$I,Velocity!$A:$A,$A314,Velocity!$B:$B,$C314)/Assumptions!$B$4*Assumptions!$B$6</f>
        <v>0</v>
      </c>
      <c r="Q314" s="7" t="n">
        <f aca="false">SUMIFS(Doors!AC:AC,Doors!$A:$A,$D314,Doors!$B:$B,$B314,Doors!$C:$C,$C314)*SUMIFS(Velocity!$I:$I,Velocity!$A:$A,$A314,Velocity!$B:$B,$C314)/Assumptions!$B$4*Assumptions!$B$6</f>
        <v>0</v>
      </c>
      <c r="R314" s="7" t="n">
        <f aca="false">SUMIFS(Doors!AD:AD,Doors!$A:$A,$D314,Doors!$B:$B,$B314,Doors!$C:$C,$C314)*SUMIFS(Velocity!$I:$I,Velocity!$A:$A,$A314,Velocity!$B:$B,$C314)/Assumptions!$B$4*Assumptions!$B$6</f>
        <v>0</v>
      </c>
      <c r="S314" s="7" t="n">
        <f aca="false">SUMIFS(Doors!AE:AE,Doors!$A:$A,$D314,Doors!$B:$B,$B314,Doors!$C:$C,$C314)*SUMIFS(Velocity!$I:$I,Velocity!$A:$A,$A314,Velocity!$B:$B,$C314)/Assumptions!$B$4*Assumptions!$B$6</f>
        <v>0</v>
      </c>
      <c r="T314" s="7" t="n">
        <f aca="false">SUMIFS(Doors!AF:AF,Doors!$A:$A,$D314,Doors!$B:$B,$B314,Doors!$C:$C,$C314)*SUMIFS(Velocity!$I:$I,Velocity!$A:$A,$A314,Velocity!$B:$B,$C314)/Assumptions!$B$4*Assumptions!$B$6</f>
        <v>0</v>
      </c>
      <c r="U314" s="7" t="n">
        <f aca="false">SUMIFS(Doors!AG:AG,Doors!$A:$A,$D314,Doors!$B:$B,$B314,Doors!$C:$C,$C314)*SUMIFS(Velocity!$I:$I,Velocity!$A:$A,$A314,Velocity!$B:$B,$C314)/Assumptions!$B$4*Assumptions!$B$6</f>
        <v>0</v>
      </c>
      <c r="V314" s="7" t="n">
        <f aca="false">SUMIFS(Doors!AH:AH,Doors!$A:$A,$D314,Doors!$B:$B,$B314,Doors!$C:$C,$C314)*SUMIFS(Velocity!$I:$I,Velocity!$A:$A,$A314,Velocity!$B:$B,$C314)/Assumptions!$B$4*Assumptions!$B$6</f>
        <v>0</v>
      </c>
      <c r="W314" s="7" t="n">
        <f aca="false">SUMIFS(Doors!AI:AI,Doors!$A:$A,$D314,Doors!$B:$B,$B314,Doors!$C:$C,$C314)*SUMIFS(Velocity!$I:$I,Velocity!$A:$A,$A314,Velocity!$B:$B,$C314)/Assumptions!$B$4*Assumptions!$B$6</f>
        <v>0</v>
      </c>
      <c r="X314" s="7" t="n">
        <f aca="false">SUMIFS(Doors!AJ:AJ,Doors!$A:$A,$D314,Doors!$B:$B,$B314,Doors!$C:$C,$C314)*SUMIFS(Velocity!$I:$I,Velocity!$A:$A,$A314,Velocity!$B:$B,$C314)/Assumptions!$B$4*Assumptions!$B$6</f>
        <v>0</v>
      </c>
      <c r="Y314" s="7" t="n">
        <f aca="false">SUMIFS(Doors!AK:AK,Doors!$A:$A,$D314,Doors!$B:$B,$B314,Doors!$C:$C,$C314)*SUMIFS(Velocity!$I:$I,Velocity!$A:$A,$A314,Velocity!$B:$B,$C314)/Assumptions!$B$4*Assumptions!$B$6</f>
        <v>0</v>
      </c>
      <c r="Z314" s="7" t="n">
        <f aca="false">SUMIFS(Doors!AL:AL,Doors!$A:$A,$D314,Doors!$B:$B,$B314,Doors!$C:$C,$C314)*SUMIFS(Velocity!$I:$I,Velocity!$A:$A,$A314,Velocity!$B:$B,$C314)/Assumptions!$B$4*Assumptions!$B$6</f>
        <v>0</v>
      </c>
      <c r="AA314" s="7" t="n">
        <f aca="false">SUMIFS(Doors!AM:AM,Doors!$A:$A,$D314,Doors!$B:$B,$B314,Doors!$C:$C,$C314)*SUMIFS(Velocity!$I:$I,Velocity!$A:$A,$A314,Velocity!$B:$B,$C314)/Assumptions!$B$4*Assumptions!$B$6</f>
        <v>0</v>
      </c>
      <c r="AB314" s="7" t="n">
        <f aca="false">SUMIFS(Doors!AN:AN,Doors!$A:$A,$D314,Doors!$B:$B,$B314,Doors!$C:$C,$C314)*SUMIFS(Velocity!$I:$I,Velocity!$A:$A,$A314,Velocity!$B:$B,$C314)/Assumptions!$B$4*Assumptions!$B$6</f>
        <v>0</v>
      </c>
      <c r="AC314" s="7" t="n">
        <f aca="false">SUMIFS(Doors!AO:AO,Doors!$A:$A,$D314,Doors!$B:$B,$B314,Doors!$C:$C,$C314)*SUMIFS(Velocity!$I:$I,Velocity!$A:$A,$A314,Velocity!$B:$B,$C314)/Assumptions!$B$4*Assumptions!$B$6</f>
        <v>0</v>
      </c>
      <c r="AD314" s="7" t="n">
        <f aca="false">SUMIFS(Doors!AP:AP,Doors!$A:$A,$D314,Doors!$B:$B,$B314,Doors!$C:$C,$C314)*SUMIFS(Velocity!$I:$I,Velocity!$A:$A,$A314,Velocity!$B:$B,$C314)/Assumptions!$B$4*Assumptions!$B$6</f>
        <v>0</v>
      </c>
      <c r="AE314" s="7" t="n">
        <f aca="false">SUMIFS(Doors!AQ:AQ,Doors!$A:$A,$D314,Doors!$B:$B,$B314,Doors!$C:$C,$C314)*SUMIFS(Velocity!$I:$I,Velocity!$A:$A,$A314,Velocity!$B:$B,$C314)/Assumptions!$B$4*Assumptions!$B$6</f>
        <v>0</v>
      </c>
      <c r="AF314" s="7" t="n">
        <f aca="false">SUMIFS(Doors!AR:AR,Doors!$A:$A,$D314,Doors!$B:$B,$B314,Doors!$C:$C,$C314)*SUMIFS(Velocity!$I:$I,Velocity!$A:$A,$A314,Velocity!$B:$B,$C314)/Assumptions!$B$4*Assumptions!$B$6</f>
        <v>0</v>
      </c>
      <c r="AG314" s="7" t="n">
        <f aca="false">SUMIFS(Doors!AS:AS,Doors!$A:$A,$D314,Doors!$B:$B,$B314,Doors!$C:$C,$C314)*SUMIFS(Velocity!$I:$I,Velocity!$A:$A,$A314,Velocity!$B:$B,$C314)/Assumptions!$B$4*Assumptions!$B$6</f>
        <v>0</v>
      </c>
      <c r="AH314" s="7" t="n">
        <f aca="false">SUMIFS(Doors!AT:AT,Doors!$A:$A,$D314,Doors!$B:$B,$B314,Doors!$C:$C,$C314)*SUMIFS(Velocity!$I:$I,Velocity!$A:$A,$A314,Velocity!$B:$B,$C314)/Assumptions!$B$4*Assumptions!$B$6</f>
        <v>0</v>
      </c>
      <c r="AI314" s="7" t="n">
        <f aca="false">SUMIFS(Doors!AU:AU,Doors!$A:$A,$D314,Doors!$B:$B,$B314,Doors!$C:$C,$C314)*SUMIFS(Velocity!$I:$I,Velocity!$A:$A,$A314,Velocity!$B:$B,$C314)/Assumptions!$B$4*Assumptions!$B$6</f>
        <v>0</v>
      </c>
      <c r="AJ314" s="7" t="n">
        <f aca="false">SUMIFS(Doors!AV:AV,Doors!$A:$A,$D314,Doors!$B:$B,$B314,Doors!$C:$C,$C314)*SUMIFS(Velocity!$I:$I,Velocity!$A:$A,$A314,Velocity!$B:$B,$C314)/Assumptions!$B$4*Assumptions!$B$6</f>
        <v>0</v>
      </c>
      <c r="AK314" s="7" t="n">
        <f aca="false">SUMIFS(Doors!AW:AW,Doors!$A:$A,$D314,Doors!$B:$B,$B314,Doors!$C:$C,$C314)*SUMIFS(Velocity!$I:$I,Velocity!$A:$A,$A314,Velocity!$B:$B,$C314)/Assumptions!$B$4*Assumptions!$B$6</f>
        <v>0</v>
      </c>
      <c r="AL314" s="7" t="n">
        <f aca="false">SUMIFS(Doors!AX:AX,Doors!$A:$A,$D314,Doors!$B:$B,$B314,Doors!$C:$C,$C314)*SUMIFS(Velocity!$I:$I,Velocity!$A:$A,$A314,Velocity!$B:$B,$C314)/Assumptions!$B$4*Assumptions!$B$6</f>
        <v>0</v>
      </c>
      <c r="AM314" s="7" t="n">
        <f aca="false">SUMIFS(Doors!AY:AY,Doors!$A:$A,$D314,Doors!$B:$B,$B314,Doors!$C:$C,$C314)*SUMIFS(Velocity!$I:$I,Velocity!$A:$A,$A314,Velocity!$B:$B,$C314)/Assumptions!$B$4*Assumptions!$B$6</f>
        <v>0</v>
      </c>
      <c r="AN314" s="7" t="n">
        <f aca="false">SUMIFS(Doors!AZ:AZ,Doors!$A:$A,$D314,Doors!$B:$B,$B314,Doors!$C:$C,$C314)*SUMIFS(Velocity!$I:$I,Velocity!$A:$A,$A314,Velocity!$B:$B,$C314)/Assumptions!$B$4*Assumptions!$B$6</f>
        <v>0</v>
      </c>
      <c r="AO314" s="7" t="n">
        <f aca="false">SUMIFS(Doors!BA:BA,Doors!$A:$A,$D314,Doors!$B:$B,$B314,Doors!$C:$C,$C314)*SUMIFS(Velocity!$I:$I,Velocity!$A:$A,$A314,Velocity!$B:$B,$C314)/Assumptions!$B$4*Assumptions!$B$6</f>
        <v>0</v>
      </c>
      <c r="AP314" s="7" t="n">
        <f aca="false">SUMIFS(Doors!BB:BB,Doors!$A:$A,$D314,Doors!$B:$B,$B314,Doors!$C:$C,$C314)*SUMIFS(Velocity!$I:$I,Velocity!$A:$A,$A314,Velocity!$B:$B,$C314)/Assumptions!$B$4*Assumptions!$B$6</f>
        <v>0</v>
      </c>
      <c r="AQ314" s="7" t="n">
        <f aca="false">SUMIFS(Doors!BC:BC,Doors!$A:$A,$D314,Doors!$B:$B,$B314,Doors!$C:$C,$C314)*SUMIFS(Velocity!$I:$I,Velocity!$A:$A,$A314,Velocity!$B:$B,$C314)/Assumptions!$B$4*Assumptions!$B$6</f>
        <v>0</v>
      </c>
      <c r="AR314" s="7" t="n">
        <f aca="false">SUMIFS(Doors!BD:BD,Doors!$A:$A,$D314,Doors!$B:$B,$B314,Doors!$C:$C,$C314)*SUMIFS(Velocity!$I:$I,Velocity!$A:$A,$A314,Velocity!$B:$B,$C314)/Assumptions!$B$4*Assumptions!$B$6</f>
        <v>0</v>
      </c>
      <c r="AS314" s="7" t="n">
        <f aca="false">SUMIFS(Doors!BE:BE,Doors!$A:$A,$D314,Doors!$B:$B,$B314,Doors!$C:$C,$C314)*SUMIFS(Velocity!$I:$I,Velocity!$A:$A,$A314,Velocity!$B:$B,$C314)/Assumptions!$B$4*Assumptions!$B$6</f>
        <v>0</v>
      </c>
      <c r="AT314" s="7" t="n">
        <f aca="false">SUMIFS(Doors!BF:BF,Doors!$A:$A,$D314,Doors!$B:$B,$B314,Doors!$C:$C,$C314)*SUMIFS(Velocity!$I:$I,Velocity!$A:$A,$A314,Velocity!$B:$B,$C314)/Assumptions!$B$4*Assumptions!$B$6</f>
        <v>0</v>
      </c>
      <c r="AU314" s="7" t="n">
        <f aca="false">SUMIFS(Doors!BG:BG,Doors!$A:$A,$D314,Doors!$B:$B,$B314,Doors!$C:$C,$C314)*SUMIFS(Velocity!$I:$I,Velocity!$A:$A,$A314,Velocity!$B:$B,$C314)/Assumptions!$B$4*Assumptions!$B$6</f>
        <v>0</v>
      </c>
      <c r="AV314" s="7" t="n">
        <f aca="false">SUMIFS(Doors!BH:BH,Doors!$A:$A,$D314,Doors!$B:$B,$B314,Doors!$C:$C,$C314)*SUMIFS(Velocity!$I:$I,Velocity!$A:$A,$A314,Velocity!$B:$B,$C314)/Assumptions!$B$4*Assumptions!$B$6</f>
        <v>0</v>
      </c>
      <c r="AW314" s="7" t="n">
        <f aca="false">SUMIFS(Doors!BI:BI,Doors!$A:$A,$D314,Doors!$B:$B,$B314,Doors!$C:$C,$C314)*SUMIFS(Velocity!$I:$I,Velocity!$A:$A,$A314,Velocity!$B:$B,$C314)/Assumptions!$B$4*Assumptions!$B$6</f>
        <v>0</v>
      </c>
      <c r="AX314" s="7" t="n">
        <f aca="false">SUMIFS(Doors!BJ:BJ,Doors!$A:$A,$D314,Doors!$B:$B,$B314,Doors!$C:$C,$C314)*SUMIFS(Velocity!$I:$I,Velocity!$A:$A,$A314,Velocity!$B:$B,$C314)/Assumptions!$B$4*Assumptions!$B$6</f>
        <v>0</v>
      </c>
      <c r="AY314" s="7" t="n">
        <f aca="false">SUMIFS(Doors!BK:BK,Doors!$A:$A,$D314,Doors!$B:$B,$B314,Doors!$C:$C,$C314)*SUMIFS(Velocity!$I:$I,Velocity!$A:$A,$A314,Velocity!$B:$B,$C314)/Assumptions!$B$4*Assumptions!$B$6</f>
        <v>0</v>
      </c>
      <c r="AZ314" s="7" t="n">
        <f aca="false">SUMIFS(Doors!BL:BL,Doors!$A:$A,$D314,Doors!$B:$B,$B314,Doors!$C:$C,$C314)*SUMIFS(Velocity!$I:$I,Velocity!$A:$A,$A314,Velocity!$B:$B,$C314)/Assumptions!$B$4*Assumptions!$B$6</f>
        <v>0</v>
      </c>
      <c r="BA314" s="7" t="n">
        <f aca="false">SUMIFS(Doors!BM:BM,Doors!$A:$A,$D314,Doors!$B:$B,$B314,Doors!$C:$C,$C314)*SUMIFS(Velocity!$I:$I,Velocity!$A:$A,$A314,Velocity!$B:$B,$C314)/Assumptions!$B$4*Assumptions!$B$6</f>
        <v>0</v>
      </c>
      <c r="BB314" s="7" t="n">
        <f aca="false">SUMIFS(Doors!BN:BN,Doors!$A:$A,$D314,Doors!$B:$B,$B314,Doors!$C:$C,$C314)*SUMIFS(Velocity!$I:$I,Velocity!$A:$A,$A314,Velocity!$B:$B,$C314)/Assumptions!$B$4*Assumptions!$B$6</f>
        <v>0</v>
      </c>
      <c r="BC314" s="7" t="n">
        <f aca="false">SUMIFS(Doors!BO:BO,Doors!$A:$A,$D314,Doors!$B:$B,$B314,Doors!$C:$C,$C314)*SUMIFS(Velocity!$I:$I,Velocity!$A:$A,$A314,Velocity!$B:$B,$C314)/Assumptions!$B$4*Assumptions!$B$6</f>
        <v>0</v>
      </c>
      <c r="BD314" s="7" t="n">
        <f aca="false">SUMIFS(Doors!BP:BP,Doors!$A:$A,$D314,Doors!$B:$B,$B314,Doors!$C:$C,$C314)*SUMIFS(Velocity!$I:$I,Velocity!$A:$A,$A314,Velocity!$B:$B,$C314)/Assumptions!$B$4*Assumptions!$B$6</f>
        <v>0</v>
      </c>
    </row>
    <row r="315" customFormat="false" ht="15" hidden="false" customHeight="false" outlineLevel="0" collapsed="false">
      <c r="A315" s="0" t="s">
        <v>111</v>
      </c>
      <c r="B315" s="0" t="s">
        <v>130</v>
      </c>
      <c r="C315" s="0" t="s">
        <v>118</v>
      </c>
      <c r="D315" s="0" t="s">
        <v>236</v>
      </c>
      <c r="E315" s="7" t="n">
        <f aca="false">SUMIFS(Doors!Q:Q,Doors!$A:$A,$D315,Doors!$B:$B,$B315,Doors!$C:$C,$C315)*SUMIFS(Velocity!$I:$I,Velocity!$A:$A,$A315,Velocity!$B:$B,$C315)/Assumptions!$B$4*Assumptions!$B$6</f>
        <v>0</v>
      </c>
      <c r="F315" s="7" t="n">
        <f aca="false">SUMIFS(Doors!R:R,Doors!$A:$A,$D315,Doors!$B:$B,$B315,Doors!$C:$C,$C315)*SUMIFS(Velocity!$I:$I,Velocity!$A:$A,$A315,Velocity!$B:$B,$C315)/Assumptions!$B$4*Assumptions!$B$6</f>
        <v>0</v>
      </c>
      <c r="G315" s="7" t="n">
        <f aca="false">SUMIFS(Doors!S:S,Doors!$A:$A,$D315,Doors!$B:$B,$B315,Doors!$C:$C,$C315)*SUMIFS(Velocity!$I:$I,Velocity!$A:$A,$A315,Velocity!$B:$B,$C315)/Assumptions!$B$4*Assumptions!$B$6</f>
        <v>0</v>
      </c>
      <c r="H315" s="7" t="n">
        <f aca="false">SUMIFS(Doors!T:T,Doors!$A:$A,$D315,Doors!$B:$B,$B315,Doors!$C:$C,$C315)*SUMIFS(Velocity!$I:$I,Velocity!$A:$A,$A315,Velocity!$B:$B,$C315)/Assumptions!$B$4*Assumptions!$B$6</f>
        <v>0</v>
      </c>
      <c r="I315" s="7" t="n">
        <f aca="false">SUMIFS(Doors!U:U,Doors!$A:$A,$D315,Doors!$B:$B,$B315,Doors!$C:$C,$C315)*SUMIFS(Velocity!$I:$I,Velocity!$A:$A,$A315,Velocity!$B:$B,$C315)/Assumptions!$B$4*Assumptions!$B$6</f>
        <v>0</v>
      </c>
      <c r="J315" s="7" t="n">
        <f aca="false">SUMIFS(Doors!V:V,Doors!$A:$A,$D315,Doors!$B:$B,$B315,Doors!$C:$C,$C315)*SUMIFS(Velocity!$I:$I,Velocity!$A:$A,$A315,Velocity!$B:$B,$C315)/Assumptions!$B$4*Assumptions!$B$6</f>
        <v>0</v>
      </c>
      <c r="K315" s="7" t="n">
        <f aca="false">SUMIFS(Doors!W:W,Doors!$A:$A,$D315,Doors!$B:$B,$B315,Doors!$C:$C,$C315)*SUMIFS(Velocity!$I:$I,Velocity!$A:$A,$A315,Velocity!$B:$B,$C315)/Assumptions!$B$4*Assumptions!$B$6</f>
        <v>0</v>
      </c>
      <c r="L315" s="7" t="n">
        <f aca="false">SUMIFS(Doors!X:X,Doors!$A:$A,$D315,Doors!$B:$B,$B315,Doors!$C:$C,$C315)*SUMIFS(Velocity!$I:$I,Velocity!$A:$A,$A315,Velocity!$B:$B,$C315)/Assumptions!$B$4*Assumptions!$B$6</f>
        <v>0</v>
      </c>
      <c r="M315" s="7" t="n">
        <f aca="false">SUMIFS(Doors!Y:Y,Doors!$A:$A,$D315,Doors!$B:$B,$B315,Doors!$C:$C,$C315)*SUMIFS(Velocity!$I:$I,Velocity!$A:$A,$A315,Velocity!$B:$B,$C315)/Assumptions!$B$4*Assumptions!$B$6</f>
        <v>0</v>
      </c>
      <c r="N315" s="7" t="n">
        <f aca="false">SUMIFS(Doors!Z:Z,Doors!$A:$A,$D315,Doors!$B:$B,$B315,Doors!$C:$C,$C315)*SUMIFS(Velocity!$I:$I,Velocity!$A:$A,$A315,Velocity!$B:$B,$C315)/Assumptions!$B$4*Assumptions!$B$6</f>
        <v>0</v>
      </c>
      <c r="O315" s="7" t="n">
        <f aca="false">SUMIFS(Doors!AA:AA,Doors!$A:$A,$D315,Doors!$B:$B,$B315,Doors!$C:$C,$C315)*SUMIFS(Velocity!$I:$I,Velocity!$A:$A,$A315,Velocity!$B:$B,$C315)/Assumptions!$B$4*Assumptions!$B$6</f>
        <v>0</v>
      </c>
      <c r="P315" s="7" t="n">
        <f aca="false">SUMIFS(Doors!AB:AB,Doors!$A:$A,$D315,Doors!$B:$B,$B315,Doors!$C:$C,$C315)*SUMIFS(Velocity!$I:$I,Velocity!$A:$A,$A315,Velocity!$B:$B,$C315)/Assumptions!$B$4*Assumptions!$B$6</f>
        <v>0</v>
      </c>
      <c r="Q315" s="7" t="n">
        <f aca="false">SUMIFS(Doors!AC:AC,Doors!$A:$A,$D315,Doors!$B:$B,$B315,Doors!$C:$C,$C315)*SUMIFS(Velocity!$I:$I,Velocity!$A:$A,$A315,Velocity!$B:$B,$C315)/Assumptions!$B$4*Assumptions!$B$6</f>
        <v>0</v>
      </c>
      <c r="R315" s="7" t="n">
        <f aca="false">SUMIFS(Doors!AD:AD,Doors!$A:$A,$D315,Doors!$B:$B,$B315,Doors!$C:$C,$C315)*SUMIFS(Velocity!$I:$I,Velocity!$A:$A,$A315,Velocity!$B:$B,$C315)/Assumptions!$B$4*Assumptions!$B$6</f>
        <v>0</v>
      </c>
      <c r="S315" s="7" t="n">
        <f aca="false">SUMIFS(Doors!AE:AE,Doors!$A:$A,$D315,Doors!$B:$B,$B315,Doors!$C:$C,$C315)*SUMIFS(Velocity!$I:$I,Velocity!$A:$A,$A315,Velocity!$B:$B,$C315)/Assumptions!$B$4*Assumptions!$B$6</f>
        <v>0</v>
      </c>
      <c r="T315" s="7" t="n">
        <f aca="false">SUMIFS(Doors!AF:AF,Doors!$A:$A,$D315,Doors!$B:$B,$B315,Doors!$C:$C,$C315)*SUMIFS(Velocity!$I:$I,Velocity!$A:$A,$A315,Velocity!$B:$B,$C315)/Assumptions!$B$4*Assumptions!$B$6</f>
        <v>0</v>
      </c>
      <c r="U315" s="7" t="n">
        <f aca="false">SUMIFS(Doors!AG:AG,Doors!$A:$A,$D315,Doors!$B:$B,$B315,Doors!$C:$C,$C315)*SUMIFS(Velocity!$I:$I,Velocity!$A:$A,$A315,Velocity!$B:$B,$C315)/Assumptions!$B$4*Assumptions!$B$6</f>
        <v>0</v>
      </c>
      <c r="V315" s="7" t="n">
        <f aca="false">SUMIFS(Doors!AH:AH,Doors!$A:$A,$D315,Doors!$B:$B,$B315,Doors!$C:$C,$C315)*SUMIFS(Velocity!$I:$I,Velocity!$A:$A,$A315,Velocity!$B:$B,$C315)/Assumptions!$B$4*Assumptions!$B$6</f>
        <v>0</v>
      </c>
      <c r="W315" s="7" t="n">
        <f aca="false">SUMIFS(Doors!AI:AI,Doors!$A:$A,$D315,Doors!$B:$B,$B315,Doors!$C:$C,$C315)*SUMIFS(Velocity!$I:$I,Velocity!$A:$A,$A315,Velocity!$B:$B,$C315)/Assumptions!$B$4*Assumptions!$B$6</f>
        <v>0</v>
      </c>
      <c r="X315" s="7" t="n">
        <f aca="false">SUMIFS(Doors!AJ:AJ,Doors!$A:$A,$D315,Doors!$B:$B,$B315,Doors!$C:$C,$C315)*SUMIFS(Velocity!$I:$I,Velocity!$A:$A,$A315,Velocity!$B:$B,$C315)/Assumptions!$B$4*Assumptions!$B$6</f>
        <v>0</v>
      </c>
      <c r="Y315" s="7" t="n">
        <f aca="false">SUMIFS(Doors!AK:AK,Doors!$A:$A,$D315,Doors!$B:$B,$B315,Doors!$C:$C,$C315)*SUMIFS(Velocity!$I:$I,Velocity!$A:$A,$A315,Velocity!$B:$B,$C315)/Assumptions!$B$4*Assumptions!$B$6</f>
        <v>0</v>
      </c>
      <c r="Z315" s="7" t="n">
        <f aca="false">SUMIFS(Doors!AL:AL,Doors!$A:$A,$D315,Doors!$B:$B,$B315,Doors!$C:$C,$C315)*SUMIFS(Velocity!$I:$I,Velocity!$A:$A,$A315,Velocity!$B:$B,$C315)/Assumptions!$B$4*Assumptions!$B$6</f>
        <v>0</v>
      </c>
      <c r="AA315" s="7" t="n">
        <f aca="false">SUMIFS(Doors!AM:AM,Doors!$A:$A,$D315,Doors!$B:$B,$B315,Doors!$C:$C,$C315)*SUMIFS(Velocity!$I:$I,Velocity!$A:$A,$A315,Velocity!$B:$B,$C315)/Assumptions!$B$4*Assumptions!$B$6</f>
        <v>0</v>
      </c>
      <c r="AB315" s="7" t="n">
        <f aca="false">SUMIFS(Doors!AN:AN,Doors!$A:$A,$D315,Doors!$B:$B,$B315,Doors!$C:$C,$C315)*SUMIFS(Velocity!$I:$I,Velocity!$A:$A,$A315,Velocity!$B:$B,$C315)/Assumptions!$B$4*Assumptions!$B$6</f>
        <v>0</v>
      </c>
      <c r="AC315" s="7" t="n">
        <f aca="false">SUMIFS(Doors!AO:AO,Doors!$A:$A,$D315,Doors!$B:$B,$B315,Doors!$C:$C,$C315)*SUMIFS(Velocity!$I:$I,Velocity!$A:$A,$A315,Velocity!$B:$B,$C315)/Assumptions!$B$4*Assumptions!$B$6</f>
        <v>0</v>
      </c>
      <c r="AD315" s="7" t="n">
        <f aca="false">SUMIFS(Doors!AP:AP,Doors!$A:$A,$D315,Doors!$B:$B,$B315,Doors!$C:$C,$C315)*SUMIFS(Velocity!$I:$I,Velocity!$A:$A,$A315,Velocity!$B:$B,$C315)/Assumptions!$B$4*Assumptions!$B$6</f>
        <v>0</v>
      </c>
      <c r="AE315" s="7" t="n">
        <f aca="false">SUMIFS(Doors!AQ:AQ,Doors!$A:$A,$D315,Doors!$B:$B,$B315,Doors!$C:$C,$C315)*SUMIFS(Velocity!$I:$I,Velocity!$A:$A,$A315,Velocity!$B:$B,$C315)/Assumptions!$B$4*Assumptions!$B$6</f>
        <v>0</v>
      </c>
      <c r="AF315" s="7" t="n">
        <f aca="false">SUMIFS(Doors!AR:AR,Doors!$A:$A,$D315,Doors!$B:$B,$B315,Doors!$C:$C,$C315)*SUMIFS(Velocity!$I:$I,Velocity!$A:$A,$A315,Velocity!$B:$B,$C315)/Assumptions!$B$4*Assumptions!$B$6</f>
        <v>0</v>
      </c>
      <c r="AG315" s="7" t="n">
        <f aca="false">SUMIFS(Doors!AS:AS,Doors!$A:$A,$D315,Doors!$B:$B,$B315,Doors!$C:$C,$C315)*SUMIFS(Velocity!$I:$I,Velocity!$A:$A,$A315,Velocity!$B:$B,$C315)/Assumptions!$B$4*Assumptions!$B$6</f>
        <v>0</v>
      </c>
      <c r="AH315" s="7" t="n">
        <f aca="false">SUMIFS(Doors!AT:AT,Doors!$A:$A,$D315,Doors!$B:$B,$B315,Doors!$C:$C,$C315)*SUMIFS(Velocity!$I:$I,Velocity!$A:$A,$A315,Velocity!$B:$B,$C315)/Assumptions!$B$4*Assumptions!$B$6</f>
        <v>0</v>
      </c>
      <c r="AI315" s="7" t="n">
        <f aca="false">SUMIFS(Doors!AU:AU,Doors!$A:$A,$D315,Doors!$B:$B,$B315,Doors!$C:$C,$C315)*SUMIFS(Velocity!$I:$I,Velocity!$A:$A,$A315,Velocity!$B:$B,$C315)/Assumptions!$B$4*Assumptions!$B$6</f>
        <v>0</v>
      </c>
      <c r="AJ315" s="7" t="n">
        <f aca="false">SUMIFS(Doors!AV:AV,Doors!$A:$A,$D315,Doors!$B:$B,$B315,Doors!$C:$C,$C315)*SUMIFS(Velocity!$I:$I,Velocity!$A:$A,$A315,Velocity!$B:$B,$C315)/Assumptions!$B$4*Assumptions!$B$6</f>
        <v>0</v>
      </c>
      <c r="AK315" s="7" t="n">
        <f aca="false">SUMIFS(Doors!AW:AW,Doors!$A:$A,$D315,Doors!$B:$B,$B315,Doors!$C:$C,$C315)*SUMIFS(Velocity!$I:$I,Velocity!$A:$A,$A315,Velocity!$B:$B,$C315)/Assumptions!$B$4*Assumptions!$B$6</f>
        <v>0</v>
      </c>
      <c r="AL315" s="7" t="n">
        <f aca="false">SUMIFS(Doors!AX:AX,Doors!$A:$A,$D315,Doors!$B:$B,$B315,Doors!$C:$C,$C315)*SUMIFS(Velocity!$I:$I,Velocity!$A:$A,$A315,Velocity!$B:$B,$C315)/Assumptions!$B$4*Assumptions!$B$6</f>
        <v>0</v>
      </c>
      <c r="AM315" s="7" t="n">
        <f aca="false">SUMIFS(Doors!AY:AY,Doors!$A:$A,$D315,Doors!$B:$B,$B315,Doors!$C:$C,$C315)*SUMIFS(Velocity!$I:$I,Velocity!$A:$A,$A315,Velocity!$B:$B,$C315)/Assumptions!$B$4*Assumptions!$B$6</f>
        <v>0</v>
      </c>
      <c r="AN315" s="7" t="n">
        <f aca="false">SUMIFS(Doors!AZ:AZ,Doors!$A:$A,$D315,Doors!$B:$B,$B315,Doors!$C:$C,$C315)*SUMIFS(Velocity!$I:$I,Velocity!$A:$A,$A315,Velocity!$B:$B,$C315)/Assumptions!$B$4*Assumptions!$B$6</f>
        <v>0</v>
      </c>
      <c r="AO315" s="7" t="n">
        <f aca="false">SUMIFS(Doors!BA:BA,Doors!$A:$A,$D315,Doors!$B:$B,$B315,Doors!$C:$C,$C315)*SUMIFS(Velocity!$I:$I,Velocity!$A:$A,$A315,Velocity!$B:$B,$C315)/Assumptions!$B$4*Assumptions!$B$6</f>
        <v>0</v>
      </c>
      <c r="AP315" s="7" t="n">
        <f aca="false">SUMIFS(Doors!BB:BB,Doors!$A:$A,$D315,Doors!$B:$B,$B315,Doors!$C:$C,$C315)*SUMIFS(Velocity!$I:$I,Velocity!$A:$A,$A315,Velocity!$B:$B,$C315)/Assumptions!$B$4*Assumptions!$B$6</f>
        <v>0</v>
      </c>
      <c r="AQ315" s="7" t="n">
        <f aca="false">SUMIFS(Doors!BC:BC,Doors!$A:$A,$D315,Doors!$B:$B,$B315,Doors!$C:$C,$C315)*SUMIFS(Velocity!$I:$I,Velocity!$A:$A,$A315,Velocity!$B:$B,$C315)/Assumptions!$B$4*Assumptions!$B$6</f>
        <v>0</v>
      </c>
      <c r="AR315" s="7" t="n">
        <f aca="false">SUMIFS(Doors!BD:BD,Doors!$A:$A,$D315,Doors!$B:$B,$B315,Doors!$C:$C,$C315)*SUMIFS(Velocity!$I:$I,Velocity!$A:$A,$A315,Velocity!$B:$B,$C315)/Assumptions!$B$4*Assumptions!$B$6</f>
        <v>0</v>
      </c>
      <c r="AS315" s="7" t="n">
        <f aca="false">SUMIFS(Doors!BE:BE,Doors!$A:$A,$D315,Doors!$B:$B,$B315,Doors!$C:$C,$C315)*SUMIFS(Velocity!$I:$I,Velocity!$A:$A,$A315,Velocity!$B:$B,$C315)/Assumptions!$B$4*Assumptions!$B$6</f>
        <v>0</v>
      </c>
      <c r="AT315" s="7" t="n">
        <f aca="false">SUMIFS(Doors!BF:BF,Doors!$A:$A,$D315,Doors!$B:$B,$B315,Doors!$C:$C,$C315)*SUMIFS(Velocity!$I:$I,Velocity!$A:$A,$A315,Velocity!$B:$B,$C315)/Assumptions!$B$4*Assumptions!$B$6</f>
        <v>0</v>
      </c>
      <c r="AU315" s="7" t="n">
        <f aca="false">SUMIFS(Doors!BG:BG,Doors!$A:$A,$D315,Doors!$B:$B,$B315,Doors!$C:$C,$C315)*SUMIFS(Velocity!$I:$I,Velocity!$A:$A,$A315,Velocity!$B:$B,$C315)/Assumptions!$B$4*Assumptions!$B$6</f>
        <v>0</v>
      </c>
      <c r="AV315" s="7" t="n">
        <f aca="false">SUMIFS(Doors!BH:BH,Doors!$A:$A,$D315,Doors!$B:$B,$B315,Doors!$C:$C,$C315)*SUMIFS(Velocity!$I:$I,Velocity!$A:$A,$A315,Velocity!$B:$B,$C315)/Assumptions!$B$4*Assumptions!$B$6</f>
        <v>0</v>
      </c>
      <c r="AW315" s="7" t="n">
        <f aca="false">SUMIFS(Doors!BI:BI,Doors!$A:$A,$D315,Doors!$B:$B,$B315,Doors!$C:$C,$C315)*SUMIFS(Velocity!$I:$I,Velocity!$A:$A,$A315,Velocity!$B:$B,$C315)/Assumptions!$B$4*Assumptions!$B$6</f>
        <v>0</v>
      </c>
      <c r="AX315" s="7" t="n">
        <f aca="false">SUMIFS(Doors!BJ:BJ,Doors!$A:$A,$D315,Doors!$B:$B,$B315,Doors!$C:$C,$C315)*SUMIFS(Velocity!$I:$I,Velocity!$A:$A,$A315,Velocity!$B:$B,$C315)/Assumptions!$B$4*Assumptions!$B$6</f>
        <v>0</v>
      </c>
      <c r="AY315" s="7" t="n">
        <f aca="false">SUMIFS(Doors!BK:BK,Doors!$A:$A,$D315,Doors!$B:$B,$B315,Doors!$C:$C,$C315)*SUMIFS(Velocity!$I:$I,Velocity!$A:$A,$A315,Velocity!$B:$B,$C315)/Assumptions!$B$4*Assumptions!$B$6</f>
        <v>0</v>
      </c>
      <c r="AZ315" s="7" t="n">
        <f aca="false">SUMIFS(Doors!BL:BL,Doors!$A:$A,$D315,Doors!$B:$B,$B315,Doors!$C:$C,$C315)*SUMIFS(Velocity!$I:$I,Velocity!$A:$A,$A315,Velocity!$B:$B,$C315)/Assumptions!$B$4*Assumptions!$B$6</f>
        <v>0</v>
      </c>
      <c r="BA315" s="7" t="n">
        <f aca="false">SUMIFS(Doors!BM:BM,Doors!$A:$A,$D315,Doors!$B:$B,$B315,Doors!$C:$C,$C315)*SUMIFS(Velocity!$I:$I,Velocity!$A:$A,$A315,Velocity!$B:$B,$C315)/Assumptions!$B$4*Assumptions!$B$6</f>
        <v>0</v>
      </c>
      <c r="BB315" s="7" t="n">
        <f aca="false">SUMIFS(Doors!BN:BN,Doors!$A:$A,$D315,Doors!$B:$B,$B315,Doors!$C:$C,$C315)*SUMIFS(Velocity!$I:$I,Velocity!$A:$A,$A315,Velocity!$B:$B,$C315)/Assumptions!$B$4*Assumptions!$B$6</f>
        <v>0</v>
      </c>
      <c r="BC315" s="7" t="n">
        <f aca="false">SUMIFS(Doors!BO:BO,Doors!$A:$A,$D315,Doors!$B:$B,$B315,Doors!$C:$C,$C315)*SUMIFS(Velocity!$I:$I,Velocity!$A:$A,$A315,Velocity!$B:$B,$C315)/Assumptions!$B$4*Assumptions!$B$6</f>
        <v>0</v>
      </c>
      <c r="BD315" s="7" t="n">
        <f aca="false">SUMIFS(Doors!BP:BP,Doors!$A:$A,$D315,Doors!$B:$B,$B315,Doors!$C:$C,$C315)*SUMIFS(Velocity!$I:$I,Velocity!$A:$A,$A315,Velocity!$B:$B,$C315)/Assumptions!$B$4*Assumptions!$B$6</f>
        <v>0</v>
      </c>
    </row>
    <row r="316" customFormat="false" ht="15" hidden="false" customHeight="false" outlineLevel="0" collapsed="false">
      <c r="A316" s="0" t="s">
        <v>111</v>
      </c>
      <c r="B316" s="0" t="s">
        <v>130</v>
      </c>
      <c r="C316" s="0" t="s">
        <v>119</v>
      </c>
      <c r="D316" s="0" t="s">
        <v>236</v>
      </c>
      <c r="E316" s="7" t="n">
        <f aca="false">SUMIFS(Doors!Q:Q,Doors!$A:$A,$D316,Doors!$B:$B,$B316,Doors!$C:$C,$C316)*SUMIFS(Velocity!$I:$I,Velocity!$A:$A,$A316,Velocity!$B:$B,$C316)/Assumptions!$B$4*Assumptions!$B$6</f>
        <v>0</v>
      </c>
      <c r="F316" s="7" t="n">
        <f aca="false">SUMIFS(Doors!R:R,Doors!$A:$A,$D316,Doors!$B:$B,$B316,Doors!$C:$C,$C316)*SUMIFS(Velocity!$I:$I,Velocity!$A:$A,$A316,Velocity!$B:$B,$C316)/Assumptions!$B$4*Assumptions!$B$6</f>
        <v>0</v>
      </c>
      <c r="G316" s="7" t="n">
        <f aca="false">SUMIFS(Doors!S:S,Doors!$A:$A,$D316,Doors!$B:$B,$B316,Doors!$C:$C,$C316)*SUMIFS(Velocity!$I:$I,Velocity!$A:$A,$A316,Velocity!$B:$B,$C316)/Assumptions!$B$4*Assumptions!$B$6</f>
        <v>0</v>
      </c>
      <c r="H316" s="7" t="n">
        <f aca="false">SUMIFS(Doors!T:T,Doors!$A:$A,$D316,Doors!$B:$B,$B316,Doors!$C:$C,$C316)*SUMIFS(Velocity!$I:$I,Velocity!$A:$A,$A316,Velocity!$B:$B,$C316)/Assumptions!$B$4*Assumptions!$B$6</f>
        <v>0</v>
      </c>
      <c r="I316" s="7" t="n">
        <f aca="false">SUMIFS(Doors!U:U,Doors!$A:$A,$D316,Doors!$B:$B,$B316,Doors!$C:$C,$C316)*SUMIFS(Velocity!$I:$I,Velocity!$A:$A,$A316,Velocity!$B:$B,$C316)/Assumptions!$B$4*Assumptions!$B$6</f>
        <v>0</v>
      </c>
      <c r="J316" s="7" t="n">
        <f aca="false">SUMIFS(Doors!V:V,Doors!$A:$A,$D316,Doors!$B:$B,$B316,Doors!$C:$C,$C316)*SUMIFS(Velocity!$I:$I,Velocity!$A:$A,$A316,Velocity!$B:$B,$C316)/Assumptions!$B$4*Assumptions!$B$6</f>
        <v>0</v>
      </c>
      <c r="K316" s="7" t="n">
        <f aca="false">SUMIFS(Doors!W:W,Doors!$A:$A,$D316,Doors!$B:$B,$B316,Doors!$C:$C,$C316)*SUMIFS(Velocity!$I:$I,Velocity!$A:$A,$A316,Velocity!$B:$B,$C316)/Assumptions!$B$4*Assumptions!$B$6</f>
        <v>0</v>
      </c>
      <c r="L316" s="7" t="n">
        <f aca="false">SUMIFS(Doors!X:X,Doors!$A:$A,$D316,Doors!$B:$B,$B316,Doors!$C:$C,$C316)*SUMIFS(Velocity!$I:$I,Velocity!$A:$A,$A316,Velocity!$B:$B,$C316)/Assumptions!$B$4*Assumptions!$B$6</f>
        <v>0</v>
      </c>
      <c r="M316" s="7" t="n">
        <f aca="false">SUMIFS(Doors!Y:Y,Doors!$A:$A,$D316,Doors!$B:$B,$B316,Doors!$C:$C,$C316)*SUMIFS(Velocity!$I:$I,Velocity!$A:$A,$A316,Velocity!$B:$B,$C316)/Assumptions!$B$4*Assumptions!$B$6</f>
        <v>0</v>
      </c>
      <c r="N316" s="7" t="n">
        <f aca="false">SUMIFS(Doors!Z:Z,Doors!$A:$A,$D316,Doors!$B:$B,$B316,Doors!$C:$C,$C316)*SUMIFS(Velocity!$I:$I,Velocity!$A:$A,$A316,Velocity!$B:$B,$C316)/Assumptions!$B$4*Assumptions!$B$6</f>
        <v>0</v>
      </c>
      <c r="O316" s="7" t="n">
        <f aca="false">SUMIFS(Doors!AA:AA,Doors!$A:$A,$D316,Doors!$B:$B,$B316,Doors!$C:$C,$C316)*SUMIFS(Velocity!$I:$I,Velocity!$A:$A,$A316,Velocity!$B:$B,$C316)/Assumptions!$B$4*Assumptions!$B$6</f>
        <v>0</v>
      </c>
      <c r="P316" s="7" t="n">
        <f aca="false">SUMIFS(Doors!AB:AB,Doors!$A:$A,$D316,Doors!$B:$B,$B316,Doors!$C:$C,$C316)*SUMIFS(Velocity!$I:$I,Velocity!$A:$A,$A316,Velocity!$B:$B,$C316)/Assumptions!$B$4*Assumptions!$B$6</f>
        <v>0</v>
      </c>
      <c r="Q316" s="7" t="n">
        <f aca="false">SUMIFS(Doors!AC:AC,Doors!$A:$A,$D316,Doors!$B:$B,$B316,Doors!$C:$C,$C316)*SUMIFS(Velocity!$I:$I,Velocity!$A:$A,$A316,Velocity!$B:$B,$C316)/Assumptions!$B$4*Assumptions!$B$6</f>
        <v>0</v>
      </c>
      <c r="R316" s="7" t="n">
        <f aca="false">SUMIFS(Doors!AD:AD,Doors!$A:$A,$D316,Doors!$B:$B,$B316,Doors!$C:$C,$C316)*SUMIFS(Velocity!$I:$I,Velocity!$A:$A,$A316,Velocity!$B:$B,$C316)/Assumptions!$B$4*Assumptions!$B$6</f>
        <v>0</v>
      </c>
      <c r="S316" s="7" t="n">
        <f aca="false">SUMIFS(Doors!AE:AE,Doors!$A:$A,$D316,Doors!$B:$B,$B316,Doors!$C:$C,$C316)*SUMIFS(Velocity!$I:$I,Velocity!$A:$A,$A316,Velocity!$B:$B,$C316)/Assumptions!$B$4*Assumptions!$B$6</f>
        <v>0</v>
      </c>
      <c r="T316" s="7" t="n">
        <f aca="false">SUMIFS(Doors!AF:AF,Doors!$A:$A,$D316,Doors!$B:$B,$B316,Doors!$C:$C,$C316)*SUMIFS(Velocity!$I:$I,Velocity!$A:$A,$A316,Velocity!$B:$B,$C316)/Assumptions!$B$4*Assumptions!$B$6</f>
        <v>0</v>
      </c>
      <c r="U316" s="7" t="n">
        <f aca="false">SUMIFS(Doors!AG:AG,Doors!$A:$A,$D316,Doors!$B:$B,$B316,Doors!$C:$C,$C316)*SUMIFS(Velocity!$I:$I,Velocity!$A:$A,$A316,Velocity!$B:$B,$C316)/Assumptions!$B$4*Assumptions!$B$6</f>
        <v>0</v>
      </c>
      <c r="V316" s="7" t="n">
        <f aca="false">SUMIFS(Doors!AH:AH,Doors!$A:$A,$D316,Doors!$B:$B,$B316,Doors!$C:$C,$C316)*SUMIFS(Velocity!$I:$I,Velocity!$A:$A,$A316,Velocity!$B:$B,$C316)/Assumptions!$B$4*Assumptions!$B$6</f>
        <v>0</v>
      </c>
      <c r="W316" s="7" t="n">
        <f aca="false">SUMIFS(Doors!AI:AI,Doors!$A:$A,$D316,Doors!$B:$B,$B316,Doors!$C:$C,$C316)*SUMIFS(Velocity!$I:$I,Velocity!$A:$A,$A316,Velocity!$B:$B,$C316)/Assumptions!$B$4*Assumptions!$B$6</f>
        <v>0</v>
      </c>
      <c r="X316" s="7" t="n">
        <f aca="false">SUMIFS(Doors!AJ:AJ,Doors!$A:$A,$D316,Doors!$B:$B,$B316,Doors!$C:$C,$C316)*SUMIFS(Velocity!$I:$I,Velocity!$A:$A,$A316,Velocity!$B:$B,$C316)/Assumptions!$B$4*Assumptions!$B$6</f>
        <v>0</v>
      </c>
      <c r="Y316" s="7" t="n">
        <f aca="false">SUMIFS(Doors!AK:AK,Doors!$A:$A,$D316,Doors!$B:$B,$B316,Doors!$C:$C,$C316)*SUMIFS(Velocity!$I:$I,Velocity!$A:$A,$A316,Velocity!$B:$B,$C316)/Assumptions!$B$4*Assumptions!$B$6</f>
        <v>0</v>
      </c>
      <c r="Z316" s="7" t="n">
        <f aca="false">SUMIFS(Doors!AL:AL,Doors!$A:$A,$D316,Doors!$B:$B,$B316,Doors!$C:$C,$C316)*SUMIFS(Velocity!$I:$I,Velocity!$A:$A,$A316,Velocity!$B:$B,$C316)/Assumptions!$B$4*Assumptions!$B$6</f>
        <v>0</v>
      </c>
      <c r="AA316" s="7" t="n">
        <f aca="false">SUMIFS(Doors!AM:AM,Doors!$A:$A,$D316,Doors!$B:$B,$B316,Doors!$C:$C,$C316)*SUMIFS(Velocity!$I:$I,Velocity!$A:$A,$A316,Velocity!$B:$B,$C316)/Assumptions!$B$4*Assumptions!$B$6</f>
        <v>0</v>
      </c>
      <c r="AB316" s="7" t="n">
        <f aca="false">SUMIFS(Doors!AN:AN,Doors!$A:$A,$D316,Doors!$B:$B,$B316,Doors!$C:$C,$C316)*SUMIFS(Velocity!$I:$I,Velocity!$A:$A,$A316,Velocity!$B:$B,$C316)/Assumptions!$B$4*Assumptions!$B$6</f>
        <v>0</v>
      </c>
      <c r="AC316" s="7" t="n">
        <f aca="false">SUMIFS(Doors!AO:AO,Doors!$A:$A,$D316,Doors!$B:$B,$B316,Doors!$C:$C,$C316)*SUMIFS(Velocity!$I:$I,Velocity!$A:$A,$A316,Velocity!$B:$B,$C316)/Assumptions!$B$4*Assumptions!$B$6</f>
        <v>0</v>
      </c>
      <c r="AD316" s="7" t="n">
        <f aca="false">SUMIFS(Doors!AP:AP,Doors!$A:$A,$D316,Doors!$B:$B,$B316,Doors!$C:$C,$C316)*SUMIFS(Velocity!$I:$I,Velocity!$A:$A,$A316,Velocity!$B:$B,$C316)/Assumptions!$B$4*Assumptions!$B$6</f>
        <v>0</v>
      </c>
      <c r="AE316" s="7" t="n">
        <f aca="false">SUMIFS(Doors!AQ:AQ,Doors!$A:$A,$D316,Doors!$B:$B,$B316,Doors!$C:$C,$C316)*SUMIFS(Velocity!$I:$I,Velocity!$A:$A,$A316,Velocity!$B:$B,$C316)/Assumptions!$B$4*Assumptions!$B$6</f>
        <v>0</v>
      </c>
      <c r="AF316" s="7" t="n">
        <f aca="false">SUMIFS(Doors!AR:AR,Doors!$A:$A,$D316,Doors!$B:$B,$B316,Doors!$C:$C,$C316)*SUMIFS(Velocity!$I:$I,Velocity!$A:$A,$A316,Velocity!$B:$B,$C316)/Assumptions!$B$4*Assumptions!$B$6</f>
        <v>0</v>
      </c>
      <c r="AG316" s="7" t="n">
        <f aca="false">SUMIFS(Doors!AS:AS,Doors!$A:$A,$D316,Doors!$B:$B,$B316,Doors!$C:$C,$C316)*SUMIFS(Velocity!$I:$I,Velocity!$A:$A,$A316,Velocity!$B:$B,$C316)/Assumptions!$B$4*Assumptions!$B$6</f>
        <v>0</v>
      </c>
      <c r="AH316" s="7" t="n">
        <f aca="false">SUMIFS(Doors!AT:AT,Doors!$A:$A,$D316,Doors!$B:$B,$B316,Doors!$C:$C,$C316)*SUMIFS(Velocity!$I:$I,Velocity!$A:$A,$A316,Velocity!$B:$B,$C316)/Assumptions!$B$4*Assumptions!$B$6</f>
        <v>0</v>
      </c>
      <c r="AI316" s="7" t="n">
        <f aca="false">SUMIFS(Doors!AU:AU,Doors!$A:$A,$D316,Doors!$B:$B,$B316,Doors!$C:$C,$C316)*SUMIFS(Velocity!$I:$I,Velocity!$A:$A,$A316,Velocity!$B:$B,$C316)/Assumptions!$B$4*Assumptions!$B$6</f>
        <v>0</v>
      </c>
      <c r="AJ316" s="7" t="n">
        <f aca="false">SUMIFS(Doors!AV:AV,Doors!$A:$A,$D316,Doors!$B:$B,$B316,Doors!$C:$C,$C316)*SUMIFS(Velocity!$I:$I,Velocity!$A:$A,$A316,Velocity!$B:$B,$C316)/Assumptions!$B$4*Assumptions!$B$6</f>
        <v>0</v>
      </c>
      <c r="AK316" s="7" t="n">
        <f aca="false">SUMIFS(Doors!AW:AW,Doors!$A:$A,$D316,Doors!$B:$B,$B316,Doors!$C:$C,$C316)*SUMIFS(Velocity!$I:$I,Velocity!$A:$A,$A316,Velocity!$B:$B,$C316)/Assumptions!$B$4*Assumptions!$B$6</f>
        <v>0</v>
      </c>
      <c r="AL316" s="7" t="n">
        <f aca="false">SUMIFS(Doors!AX:AX,Doors!$A:$A,$D316,Doors!$B:$B,$B316,Doors!$C:$C,$C316)*SUMIFS(Velocity!$I:$I,Velocity!$A:$A,$A316,Velocity!$B:$B,$C316)/Assumptions!$B$4*Assumptions!$B$6</f>
        <v>0</v>
      </c>
      <c r="AM316" s="7" t="n">
        <f aca="false">SUMIFS(Doors!AY:AY,Doors!$A:$A,$D316,Doors!$B:$B,$B316,Doors!$C:$C,$C316)*SUMIFS(Velocity!$I:$I,Velocity!$A:$A,$A316,Velocity!$B:$B,$C316)/Assumptions!$B$4*Assumptions!$B$6</f>
        <v>0</v>
      </c>
      <c r="AN316" s="7" t="n">
        <f aca="false">SUMIFS(Doors!AZ:AZ,Doors!$A:$A,$D316,Doors!$B:$B,$B316,Doors!$C:$C,$C316)*SUMIFS(Velocity!$I:$I,Velocity!$A:$A,$A316,Velocity!$B:$B,$C316)/Assumptions!$B$4*Assumptions!$B$6</f>
        <v>0</v>
      </c>
      <c r="AO316" s="7" t="n">
        <f aca="false">SUMIFS(Doors!BA:BA,Doors!$A:$A,$D316,Doors!$B:$B,$B316,Doors!$C:$C,$C316)*SUMIFS(Velocity!$I:$I,Velocity!$A:$A,$A316,Velocity!$B:$B,$C316)/Assumptions!$B$4*Assumptions!$B$6</f>
        <v>0</v>
      </c>
      <c r="AP316" s="7" t="n">
        <f aca="false">SUMIFS(Doors!BB:BB,Doors!$A:$A,$D316,Doors!$B:$B,$B316,Doors!$C:$C,$C316)*SUMIFS(Velocity!$I:$I,Velocity!$A:$A,$A316,Velocity!$B:$B,$C316)/Assumptions!$B$4*Assumptions!$B$6</f>
        <v>0</v>
      </c>
      <c r="AQ316" s="7" t="n">
        <f aca="false">SUMIFS(Doors!BC:BC,Doors!$A:$A,$D316,Doors!$B:$B,$B316,Doors!$C:$C,$C316)*SUMIFS(Velocity!$I:$I,Velocity!$A:$A,$A316,Velocity!$B:$B,$C316)/Assumptions!$B$4*Assumptions!$B$6</f>
        <v>0</v>
      </c>
      <c r="AR316" s="7" t="n">
        <f aca="false">SUMIFS(Doors!BD:BD,Doors!$A:$A,$D316,Doors!$B:$B,$B316,Doors!$C:$C,$C316)*SUMIFS(Velocity!$I:$I,Velocity!$A:$A,$A316,Velocity!$B:$B,$C316)/Assumptions!$B$4*Assumptions!$B$6</f>
        <v>0</v>
      </c>
      <c r="AS316" s="7" t="n">
        <f aca="false">SUMIFS(Doors!BE:BE,Doors!$A:$A,$D316,Doors!$B:$B,$B316,Doors!$C:$C,$C316)*SUMIFS(Velocity!$I:$I,Velocity!$A:$A,$A316,Velocity!$B:$B,$C316)/Assumptions!$B$4*Assumptions!$B$6</f>
        <v>0</v>
      </c>
      <c r="AT316" s="7" t="n">
        <f aca="false">SUMIFS(Doors!BF:BF,Doors!$A:$A,$D316,Doors!$B:$B,$B316,Doors!$C:$C,$C316)*SUMIFS(Velocity!$I:$I,Velocity!$A:$A,$A316,Velocity!$B:$B,$C316)/Assumptions!$B$4*Assumptions!$B$6</f>
        <v>0</v>
      </c>
      <c r="AU316" s="7" t="n">
        <f aca="false">SUMIFS(Doors!BG:BG,Doors!$A:$A,$D316,Doors!$B:$B,$B316,Doors!$C:$C,$C316)*SUMIFS(Velocity!$I:$I,Velocity!$A:$A,$A316,Velocity!$B:$B,$C316)/Assumptions!$B$4*Assumptions!$B$6</f>
        <v>0</v>
      </c>
      <c r="AV316" s="7" t="n">
        <f aca="false">SUMIFS(Doors!BH:BH,Doors!$A:$A,$D316,Doors!$B:$B,$B316,Doors!$C:$C,$C316)*SUMIFS(Velocity!$I:$I,Velocity!$A:$A,$A316,Velocity!$B:$B,$C316)/Assumptions!$B$4*Assumptions!$B$6</f>
        <v>0</v>
      </c>
      <c r="AW316" s="7" t="n">
        <f aca="false">SUMIFS(Doors!BI:BI,Doors!$A:$A,$D316,Doors!$B:$B,$B316,Doors!$C:$C,$C316)*SUMIFS(Velocity!$I:$I,Velocity!$A:$A,$A316,Velocity!$B:$B,$C316)/Assumptions!$B$4*Assumptions!$B$6</f>
        <v>0</v>
      </c>
      <c r="AX316" s="7" t="n">
        <f aca="false">SUMIFS(Doors!BJ:BJ,Doors!$A:$A,$D316,Doors!$B:$B,$B316,Doors!$C:$C,$C316)*SUMIFS(Velocity!$I:$I,Velocity!$A:$A,$A316,Velocity!$B:$B,$C316)/Assumptions!$B$4*Assumptions!$B$6</f>
        <v>0</v>
      </c>
      <c r="AY316" s="7" t="n">
        <f aca="false">SUMIFS(Doors!BK:BK,Doors!$A:$A,$D316,Doors!$B:$B,$B316,Doors!$C:$C,$C316)*SUMIFS(Velocity!$I:$I,Velocity!$A:$A,$A316,Velocity!$B:$B,$C316)/Assumptions!$B$4*Assumptions!$B$6</f>
        <v>0</v>
      </c>
      <c r="AZ316" s="7" t="n">
        <f aca="false">SUMIFS(Doors!BL:BL,Doors!$A:$A,$D316,Doors!$B:$B,$B316,Doors!$C:$C,$C316)*SUMIFS(Velocity!$I:$I,Velocity!$A:$A,$A316,Velocity!$B:$B,$C316)/Assumptions!$B$4*Assumptions!$B$6</f>
        <v>0</v>
      </c>
      <c r="BA316" s="7" t="n">
        <f aca="false">SUMIFS(Doors!BM:BM,Doors!$A:$A,$D316,Doors!$B:$B,$B316,Doors!$C:$C,$C316)*SUMIFS(Velocity!$I:$I,Velocity!$A:$A,$A316,Velocity!$B:$B,$C316)/Assumptions!$B$4*Assumptions!$B$6</f>
        <v>0</v>
      </c>
      <c r="BB316" s="7" t="n">
        <f aca="false">SUMIFS(Doors!BN:BN,Doors!$A:$A,$D316,Doors!$B:$B,$B316,Doors!$C:$C,$C316)*SUMIFS(Velocity!$I:$I,Velocity!$A:$A,$A316,Velocity!$B:$B,$C316)/Assumptions!$B$4*Assumptions!$B$6</f>
        <v>0</v>
      </c>
      <c r="BC316" s="7" t="n">
        <f aca="false">SUMIFS(Doors!BO:BO,Doors!$A:$A,$D316,Doors!$B:$B,$B316,Doors!$C:$C,$C316)*SUMIFS(Velocity!$I:$I,Velocity!$A:$A,$A316,Velocity!$B:$B,$C316)/Assumptions!$B$4*Assumptions!$B$6</f>
        <v>0</v>
      </c>
      <c r="BD316" s="7" t="n">
        <f aca="false">SUMIFS(Doors!BP:BP,Doors!$A:$A,$D316,Doors!$B:$B,$B316,Doors!$C:$C,$C316)*SUMIFS(Velocity!$I:$I,Velocity!$A:$A,$A316,Velocity!$B:$B,$C316)/Assumptions!$B$4*Assumptions!$B$6</f>
        <v>0</v>
      </c>
    </row>
    <row r="317" customFormat="false" ht="15" hidden="false" customHeight="false" outlineLevel="0" collapsed="false">
      <c r="A317" s="0" t="s">
        <v>111</v>
      </c>
      <c r="B317" s="0" t="s">
        <v>130</v>
      </c>
      <c r="C317" s="0" t="s">
        <v>120</v>
      </c>
      <c r="D317" s="0" t="s">
        <v>236</v>
      </c>
      <c r="E317" s="7" t="n">
        <f aca="false">SUMIFS(Doors!Q:Q,Doors!$A:$A,$D317,Doors!$B:$B,$B317,Doors!$C:$C,$C317)*SUMIFS(Velocity!$I:$I,Velocity!$A:$A,$A317,Velocity!$B:$B,$C317)/Assumptions!$B$4*Assumptions!$B$6</f>
        <v>0</v>
      </c>
      <c r="F317" s="7" t="n">
        <f aca="false">SUMIFS(Doors!R:R,Doors!$A:$A,$D317,Doors!$B:$B,$B317,Doors!$C:$C,$C317)*SUMIFS(Velocity!$I:$I,Velocity!$A:$A,$A317,Velocity!$B:$B,$C317)/Assumptions!$B$4*Assumptions!$B$6</f>
        <v>0</v>
      </c>
      <c r="G317" s="7" t="n">
        <f aca="false">SUMIFS(Doors!S:S,Doors!$A:$A,$D317,Doors!$B:$B,$B317,Doors!$C:$C,$C317)*SUMIFS(Velocity!$I:$I,Velocity!$A:$A,$A317,Velocity!$B:$B,$C317)/Assumptions!$B$4*Assumptions!$B$6</f>
        <v>0</v>
      </c>
      <c r="H317" s="7" t="n">
        <f aca="false">SUMIFS(Doors!T:T,Doors!$A:$A,$D317,Doors!$B:$B,$B317,Doors!$C:$C,$C317)*SUMIFS(Velocity!$I:$I,Velocity!$A:$A,$A317,Velocity!$B:$B,$C317)/Assumptions!$B$4*Assumptions!$B$6</f>
        <v>0</v>
      </c>
      <c r="I317" s="7" t="n">
        <f aca="false">SUMIFS(Doors!U:U,Doors!$A:$A,$D317,Doors!$B:$B,$B317,Doors!$C:$C,$C317)*SUMIFS(Velocity!$I:$I,Velocity!$A:$A,$A317,Velocity!$B:$B,$C317)/Assumptions!$B$4*Assumptions!$B$6</f>
        <v>0</v>
      </c>
      <c r="J317" s="7" t="n">
        <f aca="false">SUMIFS(Doors!V:V,Doors!$A:$A,$D317,Doors!$B:$B,$B317,Doors!$C:$C,$C317)*SUMIFS(Velocity!$I:$I,Velocity!$A:$A,$A317,Velocity!$B:$B,$C317)/Assumptions!$B$4*Assumptions!$B$6</f>
        <v>0</v>
      </c>
      <c r="K317" s="7" t="n">
        <f aca="false">SUMIFS(Doors!W:W,Doors!$A:$A,$D317,Doors!$B:$B,$B317,Doors!$C:$C,$C317)*SUMIFS(Velocity!$I:$I,Velocity!$A:$A,$A317,Velocity!$B:$B,$C317)/Assumptions!$B$4*Assumptions!$B$6</f>
        <v>0</v>
      </c>
      <c r="L317" s="7" t="n">
        <f aca="false">SUMIFS(Doors!X:X,Doors!$A:$A,$D317,Doors!$B:$B,$B317,Doors!$C:$C,$C317)*SUMIFS(Velocity!$I:$I,Velocity!$A:$A,$A317,Velocity!$B:$B,$C317)/Assumptions!$B$4*Assumptions!$B$6</f>
        <v>0</v>
      </c>
      <c r="M317" s="7" t="n">
        <f aca="false">SUMIFS(Doors!Y:Y,Doors!$A:$A,$D317,Doors!$B:$B,$B317,Doors!$C:$C,$C317)*SUMIFS(Velocity!$I:$I,Velocity!$A:$A,$A317,Velocity!$B:$B,$C317)/Assumptions!$B$4*Assumptions!$B$6</f>
        <v>0</v>
      </c>
      <c r="N317" s="7" t="n">
        <f aca="false">SUMIFS(Doors!Z:Z,Doors!$A:$A,$D317,Doors!$B:$B,$B317,Doors!$C:$C,$C317)*SUMIFS(Velocity!$I:$I,Velocity!$A:$A,$A317,Velocity!$B:$B,$C317)/Assumptions!$B$4*Assumptions!$B$6</f>
        <v>0</v>
      </c>
      <c r="O317" s="7" t="n">
        <f aca="false">SUMIFS(Doors!AA:AA,Doors!$A:$A,$D317,Doors!$B:$B,$B317,Doors!$C:$C,$C317)*SUMIFS(Velocity!$I:$I,Velocity!$A:$A,$A317,Velocity!$B:$B,$C317)/Assumptions!$B$4*Assumptions!$B$6</f>
        <v>0</v>
      </c>
      <c r="P317" s="7" t="n">
        <f aca="false">SUMIFS(Doors!AB:AB,Doors!$A:$A,$D317,Doors!$B:$B,$B317,Doors!$C:$C,$C317)*SUMIFS(Velocity!$I:$I,Velocity!$A:$A,$A317,Velocity!$B:$B,$C317)/Assumptions!$B$4*Assumptions!$B$6</f>
        <v>0</v>
      </c>
      <c r="Q317" s="7" t="n">
        <f aca="false">SUMIFS(Doors!AC:AC,Doors!$A:$A,$D317,Doors!$B:$B,$B317,Doors!$C:$C,$C317)*SUMIFS(Velocity!$I:$I,Velocity!$A:$A,$A317,Velocity!$B:$B,$C317)/Assumptions!$B$4*Assumptions!$B$6</f>
        <v>0</v>
      </c>
      <c r="R317" s="7" t="n">
        <f aca="false">SUMIFS(Doors!AD:AD,Doors!$A:$A,$D317,Doors!$B:$B,$B317,Doors!$C:$C,$C317)*SUMIFS(Velocity!$I:$I,Velocity!$A:$A,$A317,Velocity!$B:$B,$C317)/Assumptions!$B$4*Assumptions!$B$6</f>
        <v>0</v>
      </c>
      <c r="S317" s="7" t="n">
        <f aca="false">SUMIFS(Doors!AE:AE,Doors!$A:$A,$D317,Doors!$B:$B,$B317,Doors!$C:$C,$C317)*SUMIFS(Velocity!$I:$I,Velocity!$A:$A,$A317,Velocity!$B:$B,$C317)/Assumptions!$B$4*Assumptions!$B$6</f>
        <v>0</v>
      </c>
      <c r="T317" s="7" t="n">
        <f aca="false">SUMIFS(Doors!AF:AF,Doors!$A:$A,$D317,Doors!$B:$B,$B317,Doors!$C:$C,$C317)*SUMIFS(Velocity!$I:$I,Velocity!$A:$A,$A317,Velocity!$B:$B,$C317)/Assumptions!$B$4*Assumptions!$B$6</f>
        <v>0</v>
      </c>
      <c r="U317" s="7" t="n">
        <f aca="false">SUMIFS(Doors!AG:AG,Doors!$A:$A,$D317,Doors!$B:$B,$B317,Doors!$C:$C,$C317)*SUMIFS(Velocity!$I:$I,Velocity!$A:$A,$A317,Velocity!$B:$B,$C317)/Assumptions!$B$4*Assumptions!$B$6</f>
        <v>0</v>
      </c>
      <c r="V317" s="7" t="n">
        <f aca="false">SUMIFS(Doors!AH:AH,Doors!$A:$A,$D317,Doors!$B:$B,$B317,Doors!$C:$C,$C317)*SUMIFS(Velocity!$I:$I,Velocity!$A:$A,$A317,Velocity!$B:$B,$C317)/Assumptions!$B$4*Assumptions!$B$6</f>
        <v>0</v>
      </c>
      <c r="W317" s="7" t="n">
        <f aca="false">SUMIFS(Doors!AI:AI,Doors!$A:$A,$D317,Doors!$B:$B,$B317,Doors!$C:$C,$C317)*SUMIFS(Velocity!$I:$I,Velocity!$A:$A,$A317,Velocity!$B:$B,$C317)/Assumptions!$B$4*Assumptions!$B$6</f>
        <v>0</v>
      </c>
      <c r="X317" s="7" t="n">
        <f aca="false">SUMIFS(Doors!AJ:AJ,Doors!$A:$A,$D317,Doors!$B:$B,$B317,Doors!$C:$C,$C317)*SUMIFS(Velocity!$I:$I,Velocity!$A:$A,$A317,Velocity!$B:$B,$C317)/Assumptions!$B$4*Assumptions!$B$6</f>
        <v>0</v>
      </c>
      <c r="Y317" s="7" t="n">
        <f aca="false">SUMIFS(Doors!AK:AK,Doors!$A:$A,$D317,Doors!$B:$B,$B317,Doors!$C:$C,$C317)*SUMIFS(Velocity!$I:$I,Velocity!$A:$A,$A317,Velocity!$B:$B,$C317)/Assumptions!$B$4*Assumptions!$B$6</f>
        <v>0</v>
      </c>
      <c r="Z317" s="7" t="n">
        <f aca="false">SUMIFS(Doors!AL:AL,Doors!$A:$A,$D317,Doors!$B:$B,$B317,Doors!$C:$C,$C317)*SUMIFS(Velocity!$I:$I,Velocity!$A:$A,$A317,Velocity!$B:$B,$C317)/Assumptions!$B$4*Assumptions!$B$6</f>
        <v>0</v>
      </c>
      <c r="AA317" s="7" t="n">
        <f aca="false">SUMIFS(Doors!AM:AM,Doors!$A:$A,$D317,Doors!$B:$B,$B317,Doors!$C:$C,$C317)*SUMIFS(Velocity!$I:$I,Velocity!$A:$A,$A317,Velocity!$B:$B,$C317)/Assumptions!$B$4*Assumptions!$B$6</f>
        <v>0</v>
      </c>
      <c r="AB317" s="7" t="n">
        <f aca="false">SUMIFS(Doors!AN:AN,Doors!$A:$A,$D317,Doors!$B:$B,$B317,Doors!$C:$C,$C317)*SUMIFS(Velocity!$I:$I,Velocity!$A:$A,$A317,Velocity!$B:$B,$C317)/Assumptions!$B$4*Assumptions!$B$6</f>
        <v>0</v>
      </c>
      <c r="AC317" s="7" t="n">
        <f aca="false">SUMIFS(Doors!AO:AO,Doors!$A:$A,$D317,Doors!$B:$B,$B317,Doors!$C:$C,$C317)*SUMIFS(Velocity!$I:$I,Velocity!$A:$A,$A317,Velocity!$B:$B,$C317)/Assumptions!$B$4*Assumptions!$B$6</f>
        <v>0</v>
      </c>
      <c r="AD317" s="7" t="n">
        <f aca="false">SUMIFS(Doors!AP:AP,Doors!$A:$A,$D317,Doors!$B:$B,$B317,Doors!$C:$C,$C317)*SUMIFS(Velocity!$I:$I,Velocity!$A:$A,$A317,Velocity!$B:$B,$C317)/Assumptions!$B$4*Assumptions!$B$6</f>
        <v>0</v>
      </c>
      <c r="AE317" s="7" t="n">
        <f aca="false">SUMIFS(Doors!AQ:AQ,Doors!$A:$A,$D317,Doors!$B:$B,$B317,Doors!$C:$C,$C317)*SUMIFS(Velocity!$I:$I,Velocity!$A:$A,$A317,Velocity!$B:$B,$C317)/Assumptions!$B$4*Assumptions!$B$6</f>
        <v>0</v>
      </c>
      <c r="AF317" s="7" t="n">
        <f aca="false">SUMIFS(Doors!AR:AR,Doors!$A:$A,$D317,Doors!$B:$B,$B317,Doors!$C:$C,$C317)*SUMIFS(Velocity!$I:$I,Velocity!$A:$A,$A317,Velocity!$B:$B,$C317)/Assumptions!$B$4*Assumptions!$B$6</f>
        <v>0</v>
      </c>
      <c r="AG317" s="7" t="n">
        <f aca="false">SUMIFS(Doors!AS:AS,Doors!$A:$A,$D317,Doors!$B:$B,$B317,Doors!$C:$C,$C317)*SUMIFS(Velocity!$I:$I,Velocity!$A:$A,$A317,Velocity!$B:$B,$C317)/Assumptions!$B$4*Assumptions!$B$6</f>
        <v>0</v>
      </c>
      <c r="AH317" s="7" t="n">
        <f aca="false">SUMIFS(Doors!AT:AT,Doors!$A:$A,$D317,Doors!$B:$B,$B317,Doors!$C:$C,$C317)*SUMIFS(Velocity!$I:$I,Velocity!$A:$A,$A317,Velocity!$B:$B,$C317)/Assumptions!$B$4*Assumptions!$B$6</f>
        <v>0</v>
      </c>
      <c r="AI317" s="7" t="n">
        <f aca="false">SUMIFS(Doors!AU:AU,Doors!$A:$A,$D317,Doors!$B:$B,$B317,Doors!$C:$C,$C317)*SUMIFS(Velocity!$I:$I,Velocity!$A:$A,$A317,Velocity!$B:$B,$C317)/Assumptions!$B$4*Assumptions!$B$6</f>
        <v>0</v>
      </c>
      <c r="AJ317" s="7" t="n">
        <f aca="false">SUMIFS(Doors!AV:AV,Doors!$A:$A,$D317,Doors!$B:$B,$B317,Doors!$C:$C,$C317)*SUMIFS(Velocity!$I:$I,Velocity!$A:$A,$A317,Velocity!$B:$B,$C317)/Assumptions!$B$4*Assumptions!$B$6</f>
        <v>0</v>
      </c>
      <c r="AK317" s="7" t="n">
        <f aca="false">SUMIFS(Doors!AW:AW,Doors!$A:$A,$D317,Doors!$B:$B,$B317,Doors!$C:$C,$C317)*SUMIFS(Velocity!$I:$I,Velocity!$A:$A,$A317,Velocity!$B:$B,$C317)/Assumptions!$B$4*Assumptions!$B$6</f>
        <v>0</v>
      </c>
      <c r="AL317" s="7" t="n">
        <f aca="false">SUMIFS(Doors!AX:AX,Doors!$A:$A,$D317,Doors!$B:$B,$B317,Doors!$C:$C,$C317)*SUMIFS(Velocity!$I:$I,Velocity!$A:$A,$A317,Velocity!$B:$B,$C317)/Assumptions!$B$4*Assumptions!$B$6</f>
        <v>0</v>
      </c>
      <c r="AM317" s="7" t="n">
        <f aca="false">SUMIFS(Doors!AY:AY,Doors!$A:$A,$D317,Doors!$B:$B,$B317,Doors!$C:$C,$C317)*SUMIFS(Velocity!$I:$I,Velocity!$A:$A,$A317,Velocity!$B:$B,$C317)/Assumptions!$B$4*Assumptions!$B$6</f>
        <v>0</v>
      </c>
      <c r="AN317" s="7" t="n">
        <f aca="false">SUMIFS(Doors!AZ:AZ,Doors!$A:$A,$D317,Doors!$B:$B,$B317,Doors!$C:$C,$C317)*SUMIFS(Velocity!$I:$I,Velocity!$A:$A,$A317,Velocity!$B:$B,$C317)/Assumptions!$B$4*Assumptions!$B$6</f>
        <v>0</v>
      </c>
      <c r="AO317" s="7" t="n">
        <f aca="false">SUMIFS(Doors!BA:BA,Doors!$A:$A,$D317,Doors!$B:$B,$B317,Doors!$C:$C,$C317)*SUMIFS(Velocity!$I:$I,Velocity!$A:$A,$A317,Velocity!$B:$B,$C317)/Assumptions!$B$4*Assumptions!$B$6</f>
        <v>0</v>
      </c>
      <c r="AP317" s="7" t="n">
        <f aca="false">SUMIFS(Doors!BB:BB,Doors!$A:$A,$D317,Doors!$B:$B,$B317,Doors!$C:$C,$C317)*SUMIFS(Velocity!$I:$I,Velocity!$A:$A,$A317,Velocity!$B:$B,$C317)/Assumptions!$B$4*Assumptions!$B$6</f>
        <v>0</v>
      </c>
      <c r="AQ317" s="7" t="n">
        <f aca="false">SUMIFS(Doors!BC:BC,Doors!$A:$A,$D317,Doors!$B:$B,$B317,Doors!$C:$C,$C317)*SUMIFS(Velocity!$I:$I,Velocity!$A:$A,$A317,Velocity!$B:$B,$C317)/Assumptions!$B$4*Assumptions!$B$6</f>
        <v>0</v>
      </c>
      <c r="AR317" s="7" t="n">
        <f aca="false">SUMIFS(Doors!BD:BD,Doors!$A:$A,$D317,Doors!$B:$B,$B317,Doors!$C:$C,$C317)*SUMIFS(Velocity!$I:$I,Velocity!$A:$A,$A317,Velocity!$B:$B,$C317)/Assumptions!$B$4*Assumptions!$B$6</f>
        <v>0</v>
      </c>
      <c r="AS317" s="7" t="n">
        <f aca="false">SUMIFS(Doors!BE:BE,Doors!$A:$A,$D317,Doors!$B:$B,$B317,Doors!$C:$C,$C317)*SUMIFS(Velocity!$I:$I,Velocity!$A:$A,$A317,Velocity!$B:$B,$C317)/Assumptions!$B$4*Assumptions!$B$6</f>
        <v>0</v>
      </c>
      <c r="AT317" s="7" t="n">
        <f aca="false">SUMIFS(Doors!BF:BF,Doors!$A:$A,$D317,Doors!$B:$B,$B317,Doors!$C:$C,$C317)*SUMIFS(Velocity!$I:$I,Velocity!$A:$A,$A317,Velocity!$B:$B,$C317)/Assumptions!$B$4*Assumptions!$B$6</f>
        <v>0</v>
      </c>
      <c r="AU317" s="7" t="n">
        <f aca="false">SUMIFS(Doors!BG:BG,Doors!$A:$A,$D317,Doors!$B:$B,$B317,Doors!$C:$C,$C317)*SUMIFS(Velocity!$I:$I,Velocity!$A:$A,$A317,Velocity!$B:$B,$C317)/Assumptions!$B$4*Assumptions!$B$6</f>
        <v>0</v>
      </c>
      <c r="AV317" s="7" t="n">
        <f aca="false">SUMIFS(Doors!BH:BH,Doors!$A:$A,$D317,Doors!$B:$B,$B317,Doors!$C:$C,$C317)*SUMIFS(Velocity!$I:$I,Velocity!$A:$A,$A317,Velocity!$B:$B,$C317)/Assumptions!$B$4*Assumptions!$B$6</f>
        <v>0</v>
      </c>
      <c r="AW317" s="7" t="n">
        <f aca="false">SUMIFS(Doors!BI:BI,Doors!$A:$A,$D317,Doors!$B:$B,$B317,Doors!$C:$C,$C317)*SUMIFS(Velocity!$I:$I,Velocity!$A:$A,$A317,Velocity!$B:$B,$C317)/Assumptions!$B$4*Assumptions!$B$6</f>
        <v>0</v>
      </c>
      <c r="AX317" s="7" t="n">
        <f aca="false">SUMIFS(Doors!BJ:BJ,Doors!$A:$A,$D317,Doors!$B:$B,$B317,Doors!$C:$C,$C317)*SUMIFS(Velocity!$I:$I,Velocity!$A:$A,$A317,Velocity!$B:$B,$C317)/Assumptions!$B$4*Assumptions!$B$6</f>
        <v>0</v>
      </c>
      <c r="AY317" s="7" t="n">
        <f aca="false">SUMIFS(Doors!BK:BK,Doors!$A:$A,$D317,Doors!$B:$B,$B317,Doors!$C:$C,$C317)*SUMIFS(Velocity!$I:$I,Velocity!$A:$A,$A317,Velocity!$B:$B,$C317)/Assumptions!$B$4*Assumptions!$B$6</f>
        <v>0</v>
      </c>
      <c r="AZ317" s="7" t="n">
        <f aca="false">SUMIFS(Doors!BL:BL,Doors!$A:$A,$D317,Doors!$B:$B,$B317,Doors!$C:$C,$C317)*SUMIFS(Velocity!$I:$I,Velocity!$A:$A,$A317,Velocity!$B:$B,$C317)/Assumptions!$B$4*Assumptions!$B$6</f>
        <v>0</v>
      </c>
      <c r="BA317" s="7" t="n">
        <f aca="false">SUMIFS(Doors!BM:BM,Doors!$A:$A,$D317,Doors!$B:$B,$B317,Doors!$C:$C,$C317)*SUMIFS(Velocity!$I:$I,Velocity!$A:$A,$A317,Velocity!$B:$B,$C317)/Assumptions!$B$4*Assumptions!$B$6</f>
        <v>0</v>
      </c>
      <c r="BB317" s="7" t="n">
        <f aca="false">SUMIFS(Doors!BN:BN,Doors!$A:$A,$D317,Doors!$B:$B,$B317,Doors!$C:$C,$C317)*SUMIFS(Velocity!$I:$I,Velocity!$A:$A,$A317,Velocity!$B:$B,$C317)/Assumptions!$B$4*Assumptions!$B$6</f>
        <v>0</v>
      </c>
      <c r="BC317" s="7" t="n">
        <f aca="false">SUMIFS(Doors!BO:BO,Doors!$A:$A,$D317,Doors!$B:$B,$B317,Doors!$C:$C,$C317)*SUMIFS(Velocity!$I:$I,Velocity!$A:$A,$A317,Velocity!$B:$B,$C317)/Assumptions!$B$4*Assumptions!$B$6</f>
        <v>0</v>
      </c>
      <c r="BD317" s="7" t="n">
        <f aca="false">SUMIFS(Doors!BP:BP,Doors!$A:$A,$D317,Doors!$B:$B,$B317,Doors!$C:$C,$C317)*SUMIFS(Velocity!$I:$I,Velocity!$A:$A,$A317,Velocity!$B:$B,$C317)/Assumptions!$B$4*Assumptions!$B$6</f>
        <v>0</v>
      </c>
    </row>
    <row r="318" customFormat="false" ht="15" hidden="false" customHeight="false" outlineLevel="0" collapsed="false">
      <c r="A318" s="0" t="s">
        <v>111</v>
      </c>
      <c r="B318" s="0" t="s">
        <v>130</v>
      </c>
      <c r="C318" s="0" t="s">
        <v>121</v>
      </c>
      <c r="D318" s="0" t="s">
        <v>236</v>
      </c>
      <c r="E318" s="7" t="n">
        <f aca="false">SUMIFS(Doors!Q:Q,Doors!$A:$A,$D318,Doors!$B:$B,$B318,Doors!$C:$C,$C318)*SUMIFS(Velocity!$I:$I,Velocity!$A:$A,$A318,Velocity!$B:$B,$C318)/Assumptions!$B$4*Assumptions!$B$6</f>
        <v>0</v>
      </c>
      <c r="F318" s="7" t="n">
        <f aca="false">SUMIFS(Doors!R:R,Doors!$A:$A,$D318,Doors!$B:$B,$B318,Doors!$C:$C,$C318)*SUMIFS(Velocity!$I:$I,Velocity!$A:$A,$A318,Velocity!$B:$B,$C318)/Assumptions!$B$4*Assumptions!$B$6</f>
        <v>0</v>
      </c>
      <c r="G318" s="7" t="n">
        <f aca="false">SUMIFS(Doors!S:S,Doors!$A:$A,$D318,Doors!$B:$B,$B318,Doors!$C:$C,$C318)*SUMIFS(Velocity!$I:$I,Velocity!$A:$A,$A318,Velocity!$B:$B,$C318)/Assumptions!$B$4*Assumptions!$B$6</f>
        <v>0</v>
      </c>
      <c r="H318" s="7" t="n">
        <f aca="false">SUMIFS(Doors!T:T,Doors!$A:$A,$D318,Doors!$B:$B,$B318,Doors!$C:$C,$C318)*SUMIFS(Velocity!$I:$I,Velocity!$A:$A,$A318,Velocity!$B:$B,$C318)/Assumptions!$B$4*Assumptions!$B$6</f>
        <v>0</v>
      </c>
      <c r="I318" s="7" t="n">
        <f aca="false">SUMIFS(Doors!U:U,Doors!$A:$A,$D318,Doors!$B:$B,$B318,Doors!$C:$C,$C318)*SUMIFS(Velocity!$I:$I,Velocity!$A:$A,$A318,Velocity!$B:$B,$C318)/Assumptions!$B$4*Assumptions!$B$6</f>
        <v>0</v>
      </c>
      <c r="J318" s="7" t="n">
        <f aca="false">SUMIFS(Doors!V:V,Doors!$A:$A,$D318,Doors!$B:$B,$B318,Doors!$C:$C,$C318)*SUMIFS(Velocity!$I:$I,Velocity!$A:$A,$A318,Velocity!$B:$B,$C318)/Assumptions!$B$4*Assumptions!$B$6</f>
        <v>0</v>
      </c>
      <c r="K318" s="7" t="n">
        <f aca="false">SUMIFS(Doors!W:W,Doors!$A:$A,$D318,Doors!$B:$B,$B318,Doors!$C:$C,$C318)*SUMIFS(Velocity!$I:$I,Velocity!$A:$A,$A318,Velocity!$B:$B,$C318)/Assumptions!$B$4*Assumptions!$B$6</f>
        <v>0</v>
      </c>
      <c r="L318" s="7" t="n">
        <f aca="false">SUMIFS(Doors!X:X,Doors!$A:$A,$D318,Doors!$B:$B,$B318,Doors!$C:$C,$C318)*SUMIFS(Velocity!$I:$I,Velocity!$A:$A,$A318,Velocity!$B:$B,$C318)/Assumptions!$B$4*Assumptions!$B$6</f>
        <v>0</v>
      </c>
      <c r="M318" s="7" t="n">
        <f aca="false">SUMIFS(Doors!Y:Y,Doors!$A:$A,$D318,Doors!$B:$B,$B318,Doors!$C:$C,$C318)*SUMIFS(Velocity!$I:$I,Velocity!$A:$A,$A318,Velocity!$B:$B,$C318)/Assumptions!$B$4*Assumptions!$B$6</f>
        <v>0</v>
      </c>
      <c r="N318" s="7" t="n">
        <f aca="false">SUMIFS(Doors!Z:Z,Doors!$A:$A,$D318,Doors!$B:$B,$B318,Doors!$C:$C,$C318)*SUMIFS(Velocity!$I:$I,Velocity!$A:$A,$A318,Velocity!$B:$B,$C318)/Assumptions!$B$4*Assumptions!$B$6</f>
        <v>0</v>
      </c>
      <c r="O318" s="7" t="n">
        <f aca="false">SUMIFS(Doors!AA:AA,Doors!$A:$A,$D318,Doors!$B:$B,$B318,Doors!$C:$C,$C318)*SUMIFS(Velocity!$I:$I,Velocity!$A:$A,$A318,Velocity!$B:$B,$C318)/Assumptions!$B$4*Assumptions!$B$6</f>
        <v>0</v>
      </c>
      <c r="P318" s="7" t="n">
        <f aca="false">SUMIFS(Doors!AB:AB,Doors!$A:$A,$D318,Doors!$B:$B,$B318,Doors!$C:$C,$C318)*SUMIFS(Velocity!$I:$I,Velocity!$A:$A,$A318,Velocity!$B:$B,$C318)/Assumptions!$B$4*Assumptions!$B$6</f>
        <v>0</v>
      </c>
      <c r="Q318" s="7" t="n">
        <f aca="false">SUMIFS(Doors!AC:AC,Doors!$A:$A,$D318,Doors!$B:$B,$B318,Doors!$C:$C,$C318)*SUMIFS(Velocity!$I:$I,Velocity!$A:$A,$A318,Velocity!$B:$B,$C318)/Assumptions!$B$4*Assumptions!$B$6</f>
        <v>0</v>
      </c>
      <c r="R318" s="7" t="n">
        <f aca="false">SUMIFS(Doors!AD:AD,Doors!$A:$A,$D318,Doors!$B:$B,$B318,Doors!$C:$C,$C318)*SUMIFS(Velocity!$I:$I,Velocity!$A:$A,$A318,Velocity!$B:$B,$C318)/Assumptions!$B$4*Assumptions!$B$6</f>
        <v>0</v>
      </c>
      <c r="S318" s="7" t="n">
        <f aca="false">SUMIFS(Doors!AE:AE,Doors!$A:$A,$D318,Doors!$B:$B,$B318,Doors!$C:$C,$C318)*SUMIFS(Velocity!$I:$I,Velocity!$A:$A,$A318,Velocity!$B:$B,$C318)/Assumptions!$B$4*Assumptions!$B$6</f>
        <v>0</v>
      </c>
      <c r="T318" s="7" t="n">
        <f aca="false">SUMIFS(Doors!AF:AF,Doors!$A:$A,$D318,Doors!$B:$B,$B318,Doors!$C:$C,$C318)*SUMIFS(Velocity!$I:$I,Velocity!$A:$A,$A318,Velocity!$B:$B,$C318)/Assumptions!$B$4*Assumptions!$B$6</f>
        <v>0</v>
      </c>
      <c r="U318" s="7" t="n">
        <f aca="false">SUMIFS(Doors!AG:AG,Doors!$A:$A,$D318,Doors!$B:$B,$B318,Doors!$C:$C,$C318)*SUMIFS(Velocity!$I:$I,Velocity!$A:$A,$A318,Velocity!$B:$B,$C318)/Assumptions!$B$4*Assumptions!$B$6</f>
        <v>0</v>
      </c>
      <c r="V318" s="7" t="n">
        <f aca="false">SUMIFS(Doors!AH:AH,Doors!$A:$A,$D318,Doors!$B:$B,$B318,Doors!$C:$C,$C318)*SUMIFS(Velocity!$I:$I,Velocity!$A:$A,$A318,Velocity!$B:$B,$C318)/Assumptions!$B$4*Assumptions!$B$6</f>
        <v>0</v>
      </c>
      <c r="W318" s="7" t="n">
        <f aca="false">SUMIFS(Doors!AI:AI,Doors!$A:$A,$D318,Doors!$B:$B,$B318,Doors!$C:$C,$C318)*SUMIFS(Velocity!$I:$I,Velocity!$A:$A,$A318,Velocity!$B:$B,$C318)/Assumptions!$B$4*Assumptions!$B$6</f>
        <v>0</v>
      </c>
      <c r="X318" s="7" t="n">
        <f aca="false">SUMIFS(Doors!AJ:AJ,Doors!$A:$A,$D318,Doors!$B:$B,$B318,Doors!$C:$C,$C318)*SUMIFS(Velocity!$I:$I,Velocity!$A:$A,$A318,Velocity!$B:$B,$C318)/Assumptions!$B$4*Assumptions!$B$6</f>
        <v>0</v>
      </c>
      <c r="Y318" s="7" t="n">
        <f aca="false">SUMIFS(Doors!AK:AK,Doors!$A:$A,$D318,Doors!$B:$B,$B318,Doors!$C:$C,$C318)*SUMIFS(Velocity!$I:$I,Velocity!$A:$A,$A318,Velocity!$B:$B,$C318)/Assumptions!$B$4*Assumptions!$B$6</f>
        <v>0</v>
      </c>
      <c r="Z318" s="7" t="n">
        <f aca="false">SUMIFS(Doors!AL:AL,Doors!$A:$A,$D318,Doors!$B:$B,$B318,Doors!$C:$C,$C318)*SUMIFS(Velocity!$I:$I,Velocity!$A:$A,$A318,Velocity!$B:$B,$C318)/Assumptions!$B$4*Assumptions!$B$6</f>
        <v>0</v>
      </c>
      <c r="AA318" s="7" t="n">
        <f aca="false">SUMIFS(Doors!AM:AM,Doors!$A:$A,$D318,Doors!$B:$B,$B318,Doors!$C:$C,$C318)*SUMIFS(Velocity!$I:$I,Velocity!$A:$A,$A318,Velocity!$B:$B,$C318)/Assumptions!$B$4*Assumptions!$B$6</f>
        <v>0</v>
      </c>
      <c r="AB318" s="7" t="n">
        <f aca="false">SUMIFS(Doors!AN:AN,Doors!$A:$A,$D318,Doors!$B:$B,$B318,Doors!$C:$C,$C318)*SUMIFS(Velocity!$I:$I,Velocity!$A:$A,$A318,Velocity!$B:$B,$C318)/Assumptions!$B$4*Assumptions!$B$6</f>
        <v>0</v>
      </c>
      <c r="AC318" s="7" t="n">
        <f aca="false">SUMIFS(Doors!AO:AO,Doors!$A:$A,$D318,Doors!$B:$B,$B318,Doors!$C:$C,$C318)*SUMIFS(Velocity!$I:$I,Velocity!$A:$A,$A318,Velocity!$B:$B,$C318)/Assumptions!$B$4*Assumptions!$B$6</f>
        <v>0</v>
      </c>
      <c r="AD318" s="7" t="n">
        <f aca="false">SUMIFS(Doors!AP:AP,Doors!$A:$A,$D318,Doors!$B:$B,$B318,Doors!$C:$C,$C318)*SUMIFS(Velocity!$I:$I,Velocity!$A:$A,$A318,Velocity!$B:$B,$C318)/Assumptions!$B$4*Assumptions!$B$6</f>
        <v>0</v>
      </c>
      <c r="AE318" s="7" t="n">
        <f aca="false">SUMIFS(Doors!AQ:AQ,Doors!$A:$A,$D318,Doors!$B:$B,$B318,Doors!$C:$C,$C318)*SUMIFS(Velocity!$I:$I,Velocity!$A:$A,$A318,Velocity!$B:$B,$C318)/Assumptions!$B$4*Assumptions!$B$6</f>
        <v>0</v>
      </c>
      <c r="AF318" s="7" t="n">
        <f aca="false">SUMIFS(Doors!AR:AR,Doors!$A:$A,$D318,Doors!$B:$B,$B318,Doors!$C:$C,$C318)*SUMIFS(Velocity!$I:$I,Velocity!$A:$A,$A318,Velocity!$B:$B,$C318)/Assumptions!$B$4*Assumptions!$B$6</f>
        <v>0</v>
      </c>
      <c r="AG318" s="7" t="n">
        <f aca="false">SUMIFS(Doors!AS:AS,Doors!$A:$A,$D318,Doors!$B:$B,$B318,Doors!$C:$C,$C318)*SUMIFS(Velocity!$I:$I,Velocity!$A:$A,$A318,Velocity!$B:$B,$C318)/Assumptions!$B$4*Assumptions!$B$6</f>
        <v>0</v>
      </c>
      <c r="AH318" s="7" t="n">
        <f aca="false">SUMIFS(Doors!AT:AT,Doors!$A:$A,$D318,Doors!$B:$B,$B318,Doors!$C:$C,$C318)*SUMIFS(Velocity!$I:$I,Velocity!$A:$A,$A318,Velocity!$B:$B,$C318)/Assumptions!$B$4*Assumptions!$B$6</f>
        <v>0</v>
      </c>
      <c r="AI318" s="7" t="n">
        <f aca="false">SUMIFS(Doors!AU:AU,Doors!$A:$A,$D318,Doors!$B:$B,$B318,Doors!$C:$C,$C318)*SUMIFS(Velocity!$I:$I,Velocity!$A:$A,$A318,Velocity!$B:$B,$C318)/Assumptions!$B$4*Assumptions!$B$6</f>
        <v>0</v>
      </c>
      <c r="AJ318" s="7" t="n">
        <f aca="false">SUMIFS(Doors!AV:AV,Doors!$A:$A,$D318,Doors!$B:$B,$B318,Doors!$C:$C,$C318)*SUMIFS(Velocity!$I:$I,Velocity!$A:$A,$A318,Velocity!$B:$B,$C318)/Assumptions!$B$4*Assumptions!$B$6</f>
        <v>0</v>
      </c>
      <c r="AK318" s="7" t="n">
        <f aca="false">SUMIFS(Doors!AW:AW,Doors!$A:$A,$D318,Doors!$B:$B,$B318,Doors!$C:$C,$C318)*SUMIFS(Velocity!$I:$I,Velocity!$A:$A,$A318,Velocity!$B:$B,$C318)/Assumptions!$B$4*Assumptions!$B$6</f>
        <v>0</v>
      </c>
      <c r="AL318" s="7" t="n">
        <f aca="false">SUMIFS(Doors!AX:AX,Doors!$A:$A,$D318,Doors!$B:$B,$B318,Doors!$C:$C,$C318)*SUMIFS(Velocity!$I:$I,Velocity!$A:$A,$A318,Velocity!$B:$B,$C318)/Assumptions!$B$4*Assumptions!$B$6</f>
        <v>0</v>
      </c>
      <c r="AM318" s="7" t="n">
        <f aca="false">SUMIFS(Doors!AY:AY,Doors!$A:$A,$D318,Doors!$B:$B,$B318,Doors!$C:$C,$C318)*SUMIFS(Velocity!$I:$I,Velocity!$A:$A,$A318,Velocity!$B:$B,$C318)/Assumptions!$B$4*Assumptions!$B$6</f>
        <v>0</v>
      </c>
      <c r="AN318" s="7" t="n">
        <f aca="false">SUMIFS(Doors!AZ:AZ,Doors!$A:$A,$D318,Doors!$B:$B,$B318,Doors!$C:$C,$C318)*SUMIFS(Velocity!$I:$I,Velocity!$A:$A,$A318,Velocity!$B:$B,$C318)/Assumptions!$B$4*Assumptions!$B$6</f>
        <v>0</v>
      </c>
      <c r="AO318" s="7" t="n">
        <f aca="false">SUMIFS(Doors!BA:BA,Doors!$A:$A,$D318,Doors!$B:$B,$B318,Doors!$C:$C,$C318)*SUMIFS(Velocity!$I:$I,Velocity!$A:$A,$A318,Velocity!$B:$B,$C318)/Assumptions!$B$4*Assumptions!$B$6</f>
        <v>0</v>
      </c>
      <c r="AP318" s="7" t="n">
        <f aca="false">SUMIFS(Doors!BB:BB,Doors!$A:$A,$D318,Doors!$B:$B,$B318,Doors!$C:$C,$C318)*SUMIFS(Velocity!$I:$I,Velocity!$A:$A,$A318,Velocity!$B:$B,$C318)/Assumptions!$B$4*Assumptions!$B$6</f>
        <v>0</v>
      </c>
      <c r="AQ318" s="7" t="n">
        <f aca="false">SUMIFS(Doors!BC:BC,Doors!$A:$A,$D318,Doors!$B:$B,$B318,Doors!$C:$C,$C318)*SUMIFS(Velocity!$I:$I,Velocity!$A:$A,$A318,Velocity!$B:$B,$C318)/Assumptions!$B$4*Assumptions!$B$6</f>
        <v>0</v>
      </c>
      <c r="AR318" s="7" t="n">
        <f aca="false">SUMIFS(Doors!BD:BD,Doors!$A:$A,$D318,Doors!$B:$B,$B318,Doors!$C:$C,$C318)*SUMIFS(Velocity!$I:$I,Velocity!$A:$A,$A318,Velocity!$B:$B,$C318)/Assumptions!$B$4*Assumptions!$B$6</f>
        <v>0</v>
      </c>
      <c r="AS318" s="7" t="n">
        <f aca="false">SUMIFS(Doors!BE:BE,Doors!$A:$A,$D318,Doors!$B:$B,$B318,Doors!$C:$C,$C318)*SUMIFS(Velocity!$I:$I,Velocity!$A:$A,$A318,Velocity!$B:$B,$C318)/Assumptions!$B$4*Assumptions!$B$6</f>
        <v>0</v>
      </c>
      <c r="AT318" s="7" t="n">
        <f aca="false">SUMIFS(Doors!BF:BF,Doors!$A:$A,$D318,Doors!$B:$B,$B318,Doors!$C:$C,$C318)*SUMIFS(Velocity!$I:$I,Velocity!$A:$A,$A318,Velocity!$B:$B,$C318)/Assumptions!$B$4*Assumptions!$B$6</f>
        <v>0</v>
      </c>
      <c r="AU318" s="7" t="n">
        <f aca="false">SUMIFS(Doors!BG:BG,Doors!$A:$A,$D318,Doors!$B:$B,$B318,Doors!$C:$C,$C318)*SUMIFS(Velocity!$I:$I,Velocity!$A:$A,$A318,Velocity!$B:$B,$C318)/Assumptions!$B$4*Assumptions!$B$6</f>
        <v>0</v>
      </c>
      <c r="AV318" s="7" t="n">
        <f aca="false">SUMIFS(Doors!BH:BH,Doors!$A:$A,$D318,Doors!$B:$B,$B318,Doors!$C:$C,$C318)*SUMIFS(Velocity!$I:$I,Velocity!$A:$A,$A318,Velocity!$B:$B,$C318)/Assumptions!$B$4*Assumptions!$B$6</f>
        <v>0</v>
      </c>
      <c r="AW318" s="7" t="n">
        <f aca="false">SUMIFS(Doors!BI:BI,Doors!$A:$A,$D318,Doors!$B:$B,$B318,Doors!$C:$C,$C318)*SUMIFS(Velocity!$I:$I,Velocity!$A:$A,$A318,Velocity!$B:$B,$C318)/Assumptions!$B$4*Assumptions!$B$6</f>
        <v>0</v>
      </c>
      <c r="AX318" s="7" t="n">
        <f aca="false">SUMIFS(Doors!BJ:BJ,Doors!$A:$A,$D318,Doors!$B:$B,$B318,Doors!$C:$C,$C318)*SUMIFS(Velocity!$I:$I,Velocity!$A:$A,$A318,Velocity!$B:$B,$C318)/Assumptions!$B$4*Assumptions!$B$6</f>
        <v>0</v>
      </c>
      <c r="AY318" s="7" t="n">
        <f aca="false">SUMIFS(Doors!BK:BK,Doors!$A:$A,$D318,Doors!$B:$B,$B318,Doors!$C:$C,$C318)*SUMIFS(Velocity!$I:$I,Velocity!$A:$A,$A318,Velocity!$B:$B,$C318)/Assumptions!$B$4*Assumptions!$B$6</f>
        <v>0</v>
      </c>
      <c r="AZ318" s="7" t="n">
        <f aca="false">SUMIFS(Doors!BL:BL,Doors!$A:$A,$D318,Doors!$B:$B,$B318,Doors!$C:$C,$C318)*SUMIFS(Velocity!$I:$I,Velocity!$A:$A,$A318,Velocity!$B:$B,$C318)/Assumptions!$B$4*Assumptions!$B$6</f>
        <v>0</v>
      </c>
      <c r="BA318" s="7" t="n">
        <f aca="false">SUMIFS(Doors!BM:BM,Doors!$A:$A,$D318,Doors!$B:$B,$B318,Doors!$C:$C,$C318)*SUMIFS(Velocity!$I:$I,Velocity!$A:$A,$A318,Velocity!$B:$B,$C318)/Assumptions!$B$4*Assumptions!$B$6</f>
        <v>0</v>
      </c>
      <c r="BB318" s="7" t="n">
        <f aca="false">SUMIFS(Doors!BN:BN,Doors!$A:$A,$D318,Doors!$B:$B,$B318,Doors!$C:$C,$C318)*SUMIFS(Velocity!$I:$I,Velocity!$A:$A,$A318,Velocity!$B:$B,$C318)/Assumptions!$B$4*Assumptions!$B$6</f>
        <v>0</v>
      </c>
      <c r="BC318" s="7" t="n">
        <f aca="false">SUMIFS(Doors!BO:BO,Doors!$A:$A,$D318,Doors!$B:$B,$B318,Doors!$C:$C,$C318)*SUMIFS(Velocity!$I:$I,Velocity!$A:$A,$A318,Velocity!$B:$B,$C318)/Assumptions!$B$4*Assumptions!$B$6</f>
        <v>0</v>
      </c>
      <c r="BD318" s="7" t="n">
        <f aca="false">SUMIFS(Doors!BP:BP,Doors!$A:$A,$D318,Doors!$B:$B,$B318,Doors!$C:$C,$C318)*SUMIFS(Velocity!$I:$I,Velocity!$A:$A,$A318,Velocity!$B:$B,$C318)/Assumptions!$B$4*Assumptions!$B$6</f>
        <v>0</v>
      </c>
    </row>
    <row r="319" customFormat="false" ht="15" hidden="false" customHeight="false" outlineLevel="0" collapsed="false">
      <c r="A319" s="0" t="s">
        <v>111</v>
      </c>
      <c r="B319" s="0" t="s">
        <v>130</v>
      </c>
      <c r="C319" s="0" t="s">
        <v>122</v>
      </c>
      <c r="D319" s="0" t="s">
        <v>236</v>
      </c>
      <c r="E319" s="7" t="n">
        <f aca="false">SUMIFS(Doors!Q:Q,Doors!$A:$A,$D319,Doors!$B:$B,$B319,Doors!$C:$C,$C319)*SUMIFS(Velocity!$I:$I,Velocity!$A:$A,$A319,Velocity!$B:$B,$C319)/Assumptions!$B$4*Assumptions!$B$6</f>
        <v>0</v>
      </c>
      <c r="F319" s="7" t="n">
        <f aca="false">SUMIFS(Doors!R:R,Doors!$A:$A,$D319,Doors!$B:$B,$B319,Doors!$C:$C,$C319)*SUMIFS(Velocity!$I:$I,Velocity!$A:$A,$A319,Velocity!$B:$B,$C319)/Assumptions!$B$4*Assumptions!$B$6</f>
        <v>0</v>
      </c>
      <c r="G319" s="7" t="n">
        <f aca="false">SUMIFS(Doors!S:S,Doors!$A:$A,$D319,Doors!$B:$B,$B319,Doors!$C:$C,$C319)*SUMIFS(Velocity!$I:$I,Velocity!$A:$A,$A319,Velocity!$B:$B,$C319)/Assumptions!$B$4*Assumptions!$B$6</f>
        <v>0</v>
      </c>
      <c r="H319" s="7" t="n">
        <f aca="false">SUMIFS(Doors!T:T,Doors!$A:$A,$D319,Doors!$B:$B,$B319,Doors!$C:$C,$C319)*SUMIFS(Velocity!$I:$I,Velocity!$A:$A,$A319,Velocity!$B:$B,$C319)/Assumptions!$B$4*Assumptions!$B$6</f>
        <v>0</v>
      </c>
      <c r="I319" s="7" t="n">
        <f aca="false">SUMIFS(Doors!U:U,Doors!$A:$A,$D319,Doors!$B:$B,$B319,Doors!$C:$C,$C319)*SUMIFS(Velocity!$I:$I,Velocity!$A:$A,$A319,Velocity!$B:$B,$C319)/Assumptions!$B$4*Assumptions!$B$6</f>
        <v>0</v>
      </c>
      <c r="J319" s="7" t="n">
        <f aca="false">SUMIFS(Doors!V:V,Doors!$A:$A,$D319,Doors!$B:$B,$B319,Doors!$C:$C,$C319)*SUMIFS(Velocity!$I:$I,Velocity!$A:$A,$A319,Velocity!$B:$B,$C319)/Assumptions!$B$4*Assumptions!$B$6</f>
        <v>0</v>
      </c>
      <c r="K319" s="7" t="n">
        <f aca="false">SUMIFS(Doors!W:W,Doors!$A:$A,$D319,Doors!$B:$B,$B319,Doors!$C:$C,$C319)*SUMIFS(Velocity!$I:$I,Velocity!$A:$A,$A319,Velocity!$B:$B,$C319)/Assumptions!$B$4*Assumptions!$B$6</f>
        <v>0</v>
      </c>
      <c r="L319" s="7" t="n">
        <f aca="false">SUMIFS(Doors!X:X,Doors!$A:$A,$D319,Doors!$B:$B,$B319,Doors!$C:$C,$C319)*SUMIFS(Velocity!$I:$I,Velocity!$A:$A,$A319,Velocity!$B:$B,$C319)/Assumptions!$B$4*Assumptions!$B$6</f>
        <v>0</v>
      </c>
      <c r="M319" s="7" t="n">
        <f aca="false">SUMIFS(Doors!Y:Y,Doors!$A:$A,$D319,Doors!$B:$B,$B319,Doors!$C:$C,$C319)*SUMIFS(Velocity!$I:$I,Velocity!$A:$A,$A319,Velocity!$B:$B,$C319)/Assumptions!$B$4*Assumptions!$B$6</f>
        <v>0</v>
      </c>
      <c r="N319" s="7" t="n">
        <f aca="false">SUMIFS(Doors!Z:Z,Doors!$A:$A,$D319,Doors!$B:$B,$B319,Doors!$C:$C,$C319)*SUMIFS(Velocity!$I:$I,Velocity!$A:$A,$A319,Velocity!$B:$B,$C319)/Assumptions!$B$4*Assumptions!$B$6</f>
        <v>0</v>
      </c>
      <c r="O319" s="7" t="n">
        <f aca="false">SUMIFS(Doors!AA:AA,Doors!$A:$A,$D319,Doors!$B:$B,$B319,Doors!$C:$C,$C319)*SUMIFS(Velocity!$I:$I,Velocity!$A:$A,$A319,Velocity!$B:$B,$C319)/Assumptions!$B$4*Assumptions!$B$6</f>
        <v>0</v>
      </c>
      <c r="P319" s="7" t="n">
        <f aca="false">SUMIFS(Doors!AB:AB,Doors!$A:$A,$D319,Doors!$B:$B,$B319,Doors!$C:$C,$C319)*SUMIFS(Velocity!$I:$I,Velocity!$A:$A,$A319,Velocity!$B:$B,$C319)/Assumptions!$B$4*Assumptions!$B$6</f>
        <v>0</v>
      </c>
      <c r="Q319" s="7" t="n">
        <f aca="false">SUMIFS(Doors!AC:AC,Doors!$A:$A,$D319,Doors!$B:$B,$B319,Doors!$C:$C,$C319)*SUMIFS(Velocity!$I:$I,Velocity!$A:$A,$A319,Velocity!$B:$B,$C319)/Assumptions!$B$4*Assumptions!$B$6</f>
        <v>0</v>
      </c>
      <c r="R319" s="7" t="n">
        <f aca="false">SUMIFS(Doors!AD:AD,Doors!$A:$A,$D319,Doors!$B:$B,$B319,Doors!$C:$C,$C319)*SUMIFS(Velocity!$I:$I,Velocity!$A:$A,$A319,Velocity!$B:$B,$C319)/Assumptions!$B$4*Assumptions!$B$6</f>
        <v>0</v>
      </c>
      <c r="S319" s="7" t="n">
        <f aca="false">SUMIFS(Doors!AE:AE,Doors!$A:$A,$D319,Doors!$B:$B,$B319,Doors!$C:$C,$C319)*SUMIFS(Velocity!$I:$I,Velocity!$A:$A,$A319,Velocity!$B:$B,$C319)/Assumptions!$B$4*Assumptions!$B$6</f>
        <v>0</v>
      </c>
      <c r="T319" s="7" t="n">
        <f aca="false">SUMIFS(Doors!AF:AF,Doors!$A:$A,$D319,Doors!$B:$B,$B319,Doors!$C:$C,$C319)*SUMIFS(Velocity!$I:$I,Velocity!$A:$A,$A319,Velocity!$B:$B,$C319)/Assumptions!$B$4*Assumptions!$B$6</f>
        <v>0</v>
      </c>
      <c r="U319" s="7" t="n">
        <f aca="false">SUMIFS(Doors!AG:AG,Doors!$A:$A,$D319,Doors!$B:$B,$B319,Doors!$C:$C,$C319)*SUMIFS(Velocity!$I:$I,Velocity!$A:$A,$A319,Velocity!$B:$B,$C319)/Assumptions!$B$4*Assumptions!$B$6</f>
        <v>0</v>
      </c>
      <c r="V319" s="7" t="n">
        <f aca="false">SUMIFS(Doors!AH:AH,Doors!$A:$A,$D319,Doors!$B:$B,$B319,Doors!$C:$C,$C319)*SUMIFS(Velocity!$I:$I,Velocity!$A:$A,$A319,Velocity!$B:$B,$C319)/Assumptions!$B$4*Assumptions!$B$6</f>
        <v>0</v>
      </c>
      <c r="W319" s="7" t="n">
        <f aca="false">SUMIFS(Doors!AI:AI,Doors!$A:$A,$D319,Doors!$B:$B,$B319,Doors!$C:$C,$C319)*SUMIFS(Velocity!$I:$I,Velocity!$A:$A,$A319,Velocity!$B:$B,$C319)/Assumptions!$B$4*Assumptions!$B$6</f>
        <v>0</v>
      </c>
      <c r="X319" s="7" t="n">
        <f aca="false">SUMIFS(Doors!AJ:AJ,Doors!$A:$A,$D319,Doors!$B:$B,$B319,Doors!$C:$C,$C319)*SUMIFS(Velocity!$I:$I,Velocity!$A:$A,$A319,Velocity!$B:$B,$C319)/Assumptions!$B$4*Assumptions!$B$6</f>
        <v>0</v>
      </c>
      <c r="Y319" s="7" t="n">
        <f aca="false">SUMIFS(Doors!AK:AK,Doors!$A:$A,$D319,Doors!$B:$B,$B319,Doors!$C:$C,$C319)*SUMIFS(Velocity!$I:$I,Velocity!$A:$A,$A319,Velocity!$B:$B,$C319)/Assumptions!$B$4*Assumptions!$B$6</f>
        <v>0</v>
      </c>
      <c r="Z319" s="7" t="n">
        <f aca="false">SUMIFS(Doors!AL:AL,Doors!$A:$A,$D319,Doors!$B:$B,$B319,Doors!$C:$C,$C319)*SUMIFS(Velocity!$I:$I,Velocity!$A:$A,$A319,Velocity!$B:$B,$C319)/Assumptions!$B$4*Assumptions!$B$6</f>
        <v>0</v>
      </c>
      <c r="AA319" s="7" t="n">
        <f aca="false">SUMIFS(Doors!AM:AM,Doors!$A:$A,$D319,Doors!$B:$B,$B319,Doors!$C:$C,$C319)*SUMIFS(Velocity!$I:$I,Velocity!$A:$A,$A319,Velocity!$B:$B,$C319)/Assumptions!$B$4*Assumptions!$B$6</f>
        <v>0</v>
      </c>
      <c r="AB319" s="7" t="n">
        <f aca="false">SUMIFS(Doors!AN:AN,Doors!$A:$A,$D319,Doors!$B:$B,$B319,Doors!$C:$C,$C319)*SUMIFS(Velocity!$I:$I,Velocity!$A:$A,$A319,Velocity!$B:$B,$C319)/Assumptions!$B$4*Assumptions!$B$6</f>
        <v>0</v>
      </c>
      <c r="AC319" s="7" t="n">
        <f aca="false">SUMIFS(Doors!AO:AO,Doors!$A:$A,$D319,Doors!$B:$B,$B319,Doors!$C:$C,$C319)*SUMIFS(Velocity!$I:$I,Velocity!$A:$A,$A319,Velocity!$B:$B,$C319)/Assumptions!$B$4*Assumptions!$B$6</f>
        <v>0</v>
      </c>
      <c r="AD319" s="7" t="n">
        <f aca="false">SUMIFS(Doors!AP:AP,Doors!$A:$A,$D319,Doors!$B:$B,$B319,Doors!$C:$C,$C319)*SUMIFS(Velocity!$I:$I,Velocity!$A:$A,$A319,Velocity!$B:$B,$C319)/Assumptions!$B$4*Assumptions!$B$6</f>
        <v>0</v>
      </c>
      <c r="AE319" s="7" t="n">
        <f aca="false">SUMIFS(Doors!AQ:AQ,Doors!$A:$A,$D319,Doors!$B:$B,$B319,Doors!$C:$C,$C319)*SUMIFS(Velocity!$I:$I,Velocity!$A:$A,$A319,Velocity!$B:$B,$C319)/Assumptions!$B$4*Assumptions!$B$6</f>
        <v>0</v>
      </c>
      <c r="AF319" s="7" t="n">
        <f aca="false">SUMIFS(Doors!AR:AR,Doors!$A:$A,$D319,Doors!$B:$B,$B319,Doors!$C:$C,$C319)*SUMIFS(Velocity!$I:$I,Velocity!$A:$A,$A319,Velocity!$B:$B,$C319)/Assumptions!$B$4*Assumptions!$B$6</f>
        <v>0</v>
      </c>
      <c r="AG319" s="7" t="n">
        <f aca="false">SUMIFS(Doors!AS:AS,Doors!$A:$A,$D319,Doors!$B:$B,$B319,Doors!$C:$C,$C319)*SUMIFS(Velocity!$I:$I,Velocity!$A:$A,$A319,Velocity!$B:$B,$C319)/Assumptions!$B$4*Assumptions!$B$6</f>
        <v>0</v>
      </c>
      <c r="AH319" s="7" t="n">
        <f aca="false">SUMIFS(Doors!AT:AT,Doors!$A:$A,$D319,Doors!$B:$B,$B319,Doors!$C:$C,$C319)*SUMIFS(Velocity!$I:$I,Velocity!$A:$A,$A319,Velocity!$B:$B,$C319)/Assumptions!$B$4*Assumptions!$B$6</f>
        <v>0</v>
      </c>
      <c r="AI319" s="7" t="n">
        <f aca="false">SUMIFS(Doors!AU:AU,Doors!$A:$A,$D319,Doors!$B:$B,$B319,Doors!$C:$C,$C319)*SUMIFS(Velocity!$I:$I,Velocity!$A:$A,$A319,Velocity!$B:$B,$C319)/Assumptions!$B$4*Assumptions!$B$6</f>
        <v>0</v>
      </c>
      <c r="AJ319" s="7" t="n">
        <f aca="false">SUMIFS(Doors!AV:AV,Doors!$A:$A,$D319,Doors!$B:$B,$B319,Doors!$C:$C,$C319)*SUMIFS(Velocity!$I:$I,Velocity!$A:$A,$A319,Velocity!$B:$B,$C319)/Assumptions!$B$4*Assumptions!$B$6</f>
        <v>0</v>
      </c>
      <c r="AK319" s="7" t="n">
        <f aca="false">SUMIFS(Doors!AW:AW,Doors!$A:$A,$D319,Doors!$B:$B,$B319,Doors!$C:$C,$C319)*SUMIFS(Velocity!$I:$I,Velocity!$A:$A,$A319,Velocity!$B:$B,$C319)/Assumptions!$B$4*Assumptions!$B$6</f>
        <v>0</v>
      </c>
      <c r="AL319" s="7" t="n">
        <f aca="false">SUMIFS(Doors!AX:AX,Doors!$A:$A,$D319,Doors!$B:$B,$B319,Doors!$C:$C,$C319)*SUMIFS(Velocity!$I:$I,Velocity!$A:$A,$A319,Velocity!$B:$B,$C319)/Assumptions!$B$4*Assumptions!$B$6</f>
        <v>0</v>
      </c>
      <c r="AM319" s="7" t="n">
        <f aca="false">SUMIFS(Doors!AY:AY,Doors!$A:$A,$D319,Doors!$B:$B,$B319,Doors!$C:$C,$C319)*SUMIFS(Velocity!$I:$I,Velocity!$A:$A,$A319,Velocity!$B:$B,$C319)/Assumptions!$B$4*Assumptions!$B$6</f>
        <v>0</v>
      </c>
      <c r="AN319" s="7" t="n">
        <f aca="false">SUMIFS(Doors!AZ:AZ,Doors!$A:$A,$D319,Doors!$B:$B,$B319,Doors!$C:$C,$C319)*SUMIFS(Velocity!$I:$I,Velocity!$A:$A,$A319,Velocity!$B:$B,$C319)/Assumptions!$B$4*Assumptions!$B$6</f>
        <v>0</v>
      </c>
      <c r="AO319" s="7" t="n">
        <f aca="false">SUMIFS(Doors!BA:BA,Doors!$A:$A,$D319,Doors!$B:$B,$B319,Doors!$C:$C,$C319)*SUMIFS(Velocity!$I:$I,Velocity!$A:$A,$A319,Velocity!$B:$B,$C319)/Assumptions!$B$4*Assumptions!$B$6</f>
        <v>0</v>
      </c>
      <c r="AP319" s="7" t="n">
        <f aca="false">SUMIFS(Doors!BB:BB,Doors!$A:$A,$D319,Doors!$B:$B,$B319,Doors!$C:$C,$C319)*SUMIFS(Velocity!$I:$I,Velocity!$A:$A,$A319,Velocity!$B:$B,$C319)/Assumptions!$B$4*Assumptions!$B$6</f>
        <v>0</v>
      </c>
      <c r="AQ319" s="7" t="n">
        <f aca="false">SUMIFS(Doors!BC:BC,Doors!$A:$A,$D319,Doors!$B:$B,$B319,Doors!$C:$C,$C319)*SUMIFS(Velocity!$I:$I,Velocity!$A:$A,$A319,Velocity!$B:$B,$C319)/Assumptions!$B$4*Assumptions!$B$6</f>
        <v>0</v>
      </c>
      <c r="AR319" s="7" t="n">
        <f aca="false">SUMIFS(Doors!BD:BD,Doors!$A:$A,$D319,Doors!$B:$B,$B319,Doors!$C:$C,$C319)*SUMIFS(Velocity!$I:$I,Velocity!$A:$A,$A319,Velocity!$B:$B,$C319)/Assumptions!$B$4*Assumptions!$B$6</f>
        <v>0</v>
      </c>
      <c r="AS319" s="7" t="n">
        <f aca="false">SUMIFS(Doors!BE:BE,Doors!$A:$A,$D319,Doors!$B:$B,$B319,Doors!$C:$C,$C319)*SUMIFS(Velocity!$I:$I,Velocity!$A:$A,$A319,Velocity!$B:$B,$C319)/Assumptions!$B$4*Assumptions!$B$6</f>
        <v>0</v>
      </c>
      <c r="AT319" s="7" t="n">
        <f aca="false">SUMIFS(Doors!BF:BF,Doors!$A:$A,$D319,Doors!$B:$B,$B319,Doors!$C:$C,$C319)*SUMIFS(Velocity!$I:$I,Velocity!$A:$A,$A319,Velocity!$B:$B,$C319)/Assumptions!$B$4*Assumptions!$B$6</f>
        <v>0</v>
      </c>
      <c r="AU319" s="7" t="n">
        <f aca="false">SUMIFS(Doors!BG:BG,Doors!$A:$A,$D319,Doors!$B:$B,$B319,Doors!$C:$C,$C319)*SUMIFS(Velocity!$I:$I,Velocity!$A:$A,$A319,Velocity!$B:$B,$C319)/Assumptions!$B$4*Assumptions!$B$6</f>
        <v>0</v>
      </c>
      <c r="AV319" s="7" t="n">
        <f aca="false">SUMIFS(Doors!BH:BH,Doors!$A:$A,$D319,Doors!$B:$B,$B319,Doors!$C:$C,$C319)*SUMIFS(Velocity!$I:$I,Velocity!$A:$A,$A319,Velocity!$B:$B,$C319)/Assumptions!$B$4*Assumptions!$B$6</f>
        <v>0</v>
      </c>
      <c r="AW319" s="7" t="n">
        <f aca="false">SUMIFS(Doors!BI:BI,Doors!$A:$A,$D319,Doors!$B:$B,$B319,Doors!$C:$C,$C319)*SUMIFS(Velocity!$I:$I,Velocity!$A:$A,$A319,Velocity!$B:$B,$C319)/Assumptions!$B$4*Assumptions!$B$6</f>
        <v>0</v>
      </c>
      <c r="AX319" s="7" t="n">
        <f aca="false">SUMIFS(Doors!BJ:BJ,Doors!$A:$A,$D319,Doors!$B:$B,$B319,Doors!$C:$C,$C319)*SUMIFS(Velocity!$I:$I,Velocity!$A:$A,$A319,Velocity!$B:$B,$C319)/Assumptions!$B$4*Assumptions!$B$6</f>
        <v>0</v>
      </c>
      <c r="AY319" s="7" t="n">
        <f aca="false">SUMIFS(Doors!BK:BK,Doors!$A:$A,$D319,Doors!$B:$B,$B319,Doors!$C:$C,$C319)*SUMIFS(Velocity!$I:$I,Velocity!$A:$A,$A319,Velocity!$B:$B,$C319)/Assumptions!$B$4*Assumptions!$B$6</f>
        <v>0</v>
      </c>
      <c r="AZ319" s="7" t="n">
        <f aca="false">SUMIFS(Doors!BL:BL,Doors!$A:$A,$D319,Doors!$B:$B,$B319,Doors!$C:$C,$C319)*SUMIFS(Velocity!$I:$I,Velocity!$A:$A,$A319,Velocity!$B:$B,$C319)/Assumptions!$B$4*Assumptions!$B$6</f>
        <v>0</v>
      </c>
      <c r="BA319" s="7" t="n">
        <f aca="false">SUMIFS(Doors!BM:BM,Doors!$A:$A,$D319,Doors!$B:$B,$B319,Doors!$C:$C,$C319)*SUMIFS(Velocity!$I:$I,Velocity!$A:$A,$A319,Velocity!$B:$B,$C319)/Assumptions!$B$4*Assumptions!$B$6</f>
        <v>0</v>
      </c>
      <c r="BB319" s="7" t="n">
        <f aca="false">SUMIFS(Doors!BN:BN,Doors!$A:$A,$D319,Doors!$B:$B,$B319,Doors!$C:$C,$C319)*SUMIFS(Velocity!$I:$I,Velocity!$A:$A,$A319,Velocity!$B:$B,$C319)/Assumptions!$B$4*Assumptions!$B$6</f>
        <v>0</v>
      </c>
      <c r="BC319" s="7" t="n">
        <f aca="false">SUMIFS(Doors!BO:BO,Doors!$A:$A,$D319,Doors!$B:$B,$B319,Doors!$C:$C,$C319)*SUMIFS(Velocity!$I:$I,Velocity!$A:$A,$A319,Velocity!$B:$B,$C319)/Assumptions!$B$4*Assumptions!$B$6</f>
        <v>0</v>
      </c>
      <c r="BD319" s="7" t="n">
        <f aca="false">SUMIFS(Doors!BP:BP,Doors!$A:$A,$D319,Doors!$B:$B,$B319,Doors!$C:$C,$C319)*SUMIFS(Velocity!$I:$I,Velocity!$A:$A,$A319,Velocity!$B:$B,$C319)/Assumptions!$B$4*Assumptions!$B$6</f>
        <v>0</v>
      </c>
    </row>
    <row r="320" customFormat="false" ht="15" hidden="false" customHeight="false" outlineLevel="0" collapsed="false">
      <c r="A320" s="0" t="s">
        <v>111</v>
      </c>
      <c r="B320" s="0" t="s">
        <v>130</v>
      </c>
      <c r="C320" s="0" t="s">
        <v>123</v>
      </c>
      <c r="D320" s="0" t="s">
        <v>236</v>
      </c>
      <c r="E320" s="7" t="n">
        <f aca="false">SUMIFS(Doors!Q:Q,Doors!$A:$A,$D320,Doors!$B:$B,$B320,Doors!$C:$C,$C320)*SUMIFS(Velocity!$I:$I,Velocity!$A:$A,$A320,Velocity!$B:$B,$C320)/Assumptions!$B$4*Assumptions!$B$6</f>
        <v>0</v>
      </c>
      <c r="F320" s="7" t="n">
        <f aca="false">SUMIFS(Doors!R:R,Doors!$A:$A,$D320,Doors!$B:$B,$B320,Doors!$C:$C,$C320)*SUMIFS(Velocity!$I:$I,Velocity!$A:$A,$A320,Velocity!$B:$B,$C320)/Assumptions!$B$4*Assumptions!$B$6</f>
        <v>0</v>
      </c>
      <c r="G320" s="7" t="n">
        <f aca="false">SUMIFS(Doors!S:S,Doors!$A:$A,$D320,Doors!$B:$B,$B320,Doors!$C:$C,$C320)*SUMIFS(Velocity!$I:$I,Velocity!$A:$A,$A320,Velocity!$B:$B,$C320)/Assumptions!$B$4*Assumptions!$B$6</f>
        <v>0</v>
      </c>
      <c r="H320" s="7" t="n">
        <f aca="false">SUMIFS(Doors!T:T,Doors!$A:$A,$D320,Doors!$B:$B,$B320,Doors!$C:$C,$C320)*SUMIFS(Velocity!$I:$I,Velocity!$A:$A,$A320,Velocity!$B:$B,$C320)/Assumptions!$B$4*Assumptions!$B$6</f>
        <v>0</v>
      </c>
      <c r="I320" s="7" t="n">
        <f aca="false">SUMIFS(Doors!U:U,Doors!$A:$A,$D320,Doors!$B:$B,$B320,Doors!$C:$C,$C320)*SUMIFS(Velocity!$I:$I,Velocity!$A:$A,$A320,Velocity!$B:$B,$C320)/Assumptions!$B$4*Assumptions!$B$6</f>
        <v>0</v>
      </c>
      <c r="J320" s="7" t="n">
        <f aca="false">SUMIFS(Doors!V:V,Doors!$A:$A,$D320,Doors!$B:$B,$B320,Doors!$C:$C,$C320)*SUMIFS(Velocity!$I:$I,Velocity!$A:$A,$A320,Velocity!$B:$B,$C320)/Assumptions!$B$4*Assumptions!$B$6</f>
        <v>0</v>
      </c>
      <c r="K320" s="7" t="n">
        <f aca="false">SUMIFS(Doors!W:W,Doors!$A:$A,$D320,Doors!$B:$B,$B320,Doors!$C:$C,$C320)*SUMIFS(Velocity!$I:$I,Velocity!$A:$A,$A320,Velocity!$B:$B,$C320)/Assumptions!$B$4*Assumptions!$B$6</f>
        <v>0</v>
      </c>
      <c r="L320" s="7" t="n">
        <f aca="false">SUMIFS(Doors!X:X,Doors!$A:$A,$D320,Doors!$B:$B,$B320,Doors!$C:$C,$C320)*SUMIFS(Velocity!$I:$I,Velocity!$A:$A,$A320,Velocity!$B:$B,$C320)/Assumptions!$B$4*Assumptions!$B$6</f>
        <v>0</v>
      </c>
      <c r="M320" s="7" t="n">
        <f aca="false">SUMIFS(Doors!Y:Y,Doors!$A:$A,$D320,Doors!$B:$B,$B320,Doors!$C:$C,$C320)*SUMIFS(Velocity!$I:$I,Velocity!$A:$A,$A320,Velocity!$B:$B,$C320)/Assumptions!$B$4*Assumptions!$B$6</f>
        <v>0</v>
      </c>
      <c r="N320" s="7" t="n">
        <f aca="false">SUMIFS(Doors!Z:Z,Doors!$A:$A,$D320,Doors!$B:$B,$B320,Doors!$C:$C,$C320)*SUMIFS(Velocity!$I:$I,Velocity!$A:$A,$A320,Velocity!$B:$B,$C320)/Assumptions!$B$4*Assumptions!$B$6</f>
        <v>0</v>
      </c>
      <c r="O320" s="7" t="n">
        <f aca="false">SUMIFS(Doors!AA:AA,Doors!$A:$A,$D320,Doors!$B:$B,$B320,Doors!$C:$C,$C320)*SUMIFS(Velocity!$I:$I,Velocity!$A:$A,$A320,Velocity!$B:$B,$C320)/Assumptions!$B$4*Assumptions!$B$6</f>
        <v>0</v>
      </c>
      <c r="P320" s="7" t="n">
        <f aca="false">SUMIFS(Doors!AB:AB,Doors!$A:$A,$D320,Doors!$B:$B,$B320,Doors!$C:$C,$C320)*SUMIFS(Velocity!$I:$I,Velocity!$A:$A,$A320,Velocity!$B:$B,$C320)/Assumptions!$B$4*Assumptions!$B$6</f>
        <v>0</v>
      </c>
      <c r="Q320" s="7" t="n">
        <f aca="false">SUMIFS(Doors!AC:AC,Doors!$A:$A,$D320,Doors!$B:$B,$B320,Doors!$C:$C,$C320)*SUMIFS(Velocity!$I:$I,Velocity!$A:$A,$A320,Velocity!$B:$B,$C320)/Assumptions!$B$4*Assumptions!$B$6</f>
        <v>0</v>
      </c>
      <c r="R320" s="7" t="n">
        <f aca="false">SUMIFS(Doors!AD:AD,Doors!$A:$A,$D320,Doors!$B:$B,$B320,Doors!$C:$C,$C320)*SUMIFS(Velocity!$I:$I,Velocity!$A:$A,$A320,Velocity!$B:$B,$C320)/Assumptions!$B$4*Assumptions!$B$6</f>
        <v>0</v>
      </c>
      <c r="S320" s="7" t="n">
        <f aca="false">SUMIFS(Doors!AE:AE,Doors!$A:$A,$D320,Doors!$B:$B,$B320,Doors!$C:$C,$C320)*SUMIFS(Velocity!$I:$I,Velocity!$A:$A,$A320,Velocity!$B:$B,$C320)/Assumptions!$B$4*Assumptions!$B$6</f>
        <v>0</v>
      </c>
      <c r="T320" s="7" t="n">
        <f aca="false">SUMIFS(Doors!AF:AF,Doors!$A:$A,$D320,Doors!$B:$B,$B320,Doors!$C:$C,$C320)*SUMIFS(Velocity!$I:$I,Velocity!$A:$A,$A320,Velocity!$B:$B,$C320)/Assumptions!$B$4*Assumptions!$B$6</f>
        <v>0</v>
      </c>
      <c r="U320" s="7" t="n">
        <f aca="false">SUMIFS(Doors!AG:AG,Doors!$A:$A,$D320,Doors!$B:$B,$B320,Doors!$C:$C,$C320)*SUMIFS(Velocity!$I:$I,Velocity!$A:$A,$A320,Velocity!$B:$B,$C320)/Assumptions!$B$4*Assumptions!$B$6</f>
        <v>0</v>
      </c>
      <c r="V320" s="7" t="n">
        <f aca="false">SUMIFS(Doors!AH:AH,Doors!$A:$A,$D320,Doors!$B:$B,$B320,Doors!$C:$C,$C320)*SUMIFS(Velocity!$I:$I,Velocity!$A:$A,$A320,Velocity!$B:$B,$C320)/Assumptions!$B$4*Assumptions!$B$6</f>
        <v>0</v>
      </c>
      <c r="W320" s="7" t="n">
        <f aca="false">SUMIFS(Doors!AI:AI,Doors!$A:$A,$D320,Doors!$B:$B,$B320,Doors!$C:$C,$C320)*SUMIFS(Velocity!$I:$I,Velocity!$A:$A,$A320,Velocity!$B:$B,$C320)/Assumptions!$B$4*Assumptions!$B$6</f>
        <v>0</v>
      </c>
      <c r="X320" s="7" t="n">
        <f aca="false">SUMIFS(Doors!AJ:AJ,Doors!$A:$A,$D320,Doors!$B:$B,$B320,Doors!$C:$C,$C320)*SUMIFS(Velocity!$I:$I,Velocity!$A:$A,$A320,Velocity!$B:$B,$C320)/Assumptions!$B$4*Assumptions!$B$6</f>
        <v>0</v>
      </c>
      <c r="Y320" s="7" t="n">
        <f aca="false">SUMIFS(Doors!AK:AK,Doors!$A:$A,$D320,Doors!$B:$B,$B320,Doors!$C:$C,$C320)*SUMIFS(Velocity!$I:$I,Velocity!$A:$A,$A320,Velocity!$B:$B,$C320)/Assumptions!$B$4*Assumptions!$B$6</f>
        <v>0</v>
      </c>
      <c r="Z320" s="7" t="n">
        <f aca="false">SUMIFS(Doors!AL:AL,Doors!$A:$A,$D320,Doors!$B:$B,$B320,Doors!$C:$C,$C320)*SUMIFS(Velocity!$I:$I,Velocity!$A:$A,$A320,Velocity!$B:$B,$C320)/Assumptions!$B$4*Assumptions!$B$6</f>
        <v>0</v>
      </c>
      <c r="AA320" s="7" t="n">
        <f aca="false">SUMIFS(Doors!AM:AM,Doors!$A:$A,$D320,Doors!$B:$B,$B320,Doors!$C:$C,$C320)*SUMIFS(Velocity!$I:$I,Velocity!$A:$A,$A320,Velocity!$B:$B,$C320)/Assumptions!$B$4*Assumptions!$B$6</f>
        <v>0</v>
      </c>
      <c r="AB320" s="7" t="n">
        <f aca="false">SUMIFS(Doors!AN:AN,Doors!$A:$A,$D320,Doors!$B:$B,$B320,Doors!$C:$C,$C320)*SUMIFS(Velocity!$I:$I,Velocity!$A:$A,$A320,Velocity!$B:$B,$C320)/Assumptions!$B$4*Assumptions!$B$6</f>
        <v>0</v>
      </c>
      <c r="AC320" s="7" t="n">
        <f aca="false">SUMIFS(Doors!AO:AO,Doors!$A:$A,$D320,Doors!$B:$B,$B320,Doors!$C:$C,$C320)*SUMIFS(Velocity!$I:$I,Velocity!$A:$A,$A320,Velocity!$B:$B,$C320)/Assumptions!$B$4*Assumptions!$B$6</f>
        <v>0</v>
      </c>
      <c r="AD320" s="7" t="n">
        <f aca="false">SUMIFS(Doors!AP:AP,Doors!$A:$A,$D320,Doors!$B:$B,$B320,Doors!$C:$C,$C320)*SUMIFS(Velocity!$I:$I,Velocity!$A:$A,$A320,Velocity!$B:$B,$C320)/Assumptions!$B$4*Assumptions!$B$6</f>
        <v>0</v>
      </c>
      <c r="AE320" s="7" t="n">
        <f aca="false">SUMIFS(Doors!AQ:AQ,Doors!$A:$A,$D320,Doors!$B:$B,$B320,Doors!$C:$C,$C320)*SUMIFS(Velocity!$I:$I,Velocity!$A:$A,$A320,Velocity!$B:$B,$C320)/Assumptions!$B$4*Assumptions!$B$6</f>
        <v>0</v>
      </c>
      <c r="AF320" s="7" t="n">
        <f aca="false">SUMIFS(Doors!AR:AR,Doors!$A:$A,$D320,Doors!$B:$B,$B320,Doors!$C:$C,$C320)*SUMIFS(Velocity!$I:$I,Velocity!$A:$A,$A320,Velocity!$B:$B,$C320)/Assumptions!$B$4*Assumptions!$B$6</f>
        <v>0</v>
      </c>
      <c r="AG320" s="7" t="n">
        <f aca="false">SUMIFS(Doors!AS:AS,Doors!$A:$A,$D320,Doors!$B:$B,$B320,Doors!$C:$C,$C320)*SUMIFS(Velocity!$I:$I,Velocity!$A:$A,$A320,Velocity!$B:$B,$C320)/Assumptions!$B$4*Assumptions!$B$6</f>
        <v>0</v>
      </c>
      <c r="AH320" s="7" t="n">
        <f aca="false">SUMIFS(Doors!AT:AT,Doors!$A:$A,$D320,Doors!$B:$B,$B320,Doors!$C:$C,$C320)*SUMIFS(Velocity!$I:$I,Velocity!$A:$A,$A320,Velocity!$B:$B,$C320)/Assumptions!$B$4*Assumptions!$B$6</f>
        <v>0</v>
      </c>
      <c r="AI320" s="7" t="n">
        <f aca="false">SUMIFS(Doors!AU:AU,Doors!$A:$A,$D320,Doors!$B:$B,$B320,Doors!$C:$C,$C320)*SUMIFS(Velocity!$I:$I,Velocity!$A:$A,$A320,Velocity!$B:$B,$C320)/Assumptions!$B$4*Assumptions!$B$6</f>
        <v>0</v>
      </c>
      <c r="AJ320" s="7" t="n">
        <f aca="false">SUMIFS(Doors!AV:AV,Doors!$A:$A,$D320,Doors!$B:$B,$B320,Doors!$C:$C,$C320)*SUMIFS(Velocity!$I:$I,Velocity!$A:$A,$A320,Velocity!$B:$B,$C320)/Assumptions!$B$4*Assumptions!$B$6</f>
        <v>0</v>
      </c>
      <c r="AK320" s="7" t="n">
        <f aca="false">SUMIFS(Doors!AW:AW,Doors!$A:$A,$D320,Doors!$B:$B,$B320,Doors!$C:$C,$C320)*SUMIFS(Velocity!$I:$I,Velocity!$A:$A,$A320,Velocity!$B:$B,$C320)/Assumptions!$B$4*Assumptions!$B$6</f>
        <v>0</v>
      </c>
      <c r="AL320" s="7" t="n">
        <f aca="false">SUMIFS(Doors!AX:AX,Doors!$A:$A,$D320,Doors!$B:$B,$B320,Doors!$C:$C,$C320)*SUMIFS(Velocity!$I:$I,Velocity!$A:$A,$A320,Velocity!$B:$B,$C320)/Assumptions!$B$4*Assumptions!$B$6</f>
        <v>0</v>
      </c>
      <c r="AM320" s="7" t="n">
        <f aca="false">SUMIFS(Doors!AY:AY,Doors!$A:$A,$D320,Doors!$B:$B,$B320,Doors!$C:$C,$C320)*SUMIFS(Velocity!$I:$I,Velocity!$A:$A,$A320,Velocity!$B:$B,$C320)/Assumptions!$B$4*Assumptions!$B$6</f>
        <v>0</v>
      </c>
      <c r="AN320" s="7" t="n">
        <f aca="false">SUMIFS(Doors!AZ:AZ,Doors!$A:$A,$D320,Doors!$B:$B,$B320,Doors!$C:$C,$C320)*SUMIFS(Velocity!$I:$I,Velocity!$A:$A,$A320,Velocity!$B:$B,$C320)/Assumptions!$B$4*Assumptions!$B$6</f>
        <v>0</v>
      </c>
      <c r="AO320" s="7" t="n">
        <f aca="false">SUMIFS(Doors!BA:BA,Doors!$A:$A,$D320,Doors!$B:$B,$B320,Doors!$C:$C,$C320)*SUMIFS(Velocity!$I:$I,Velocity!$A:$A,$A320,Velocity!$B:$B,$C320)/Assumptions!$B$4*Assumptions!$B$6</f>
        <v>0</v>
      </c>
      <c r="AP320" s="7" t="n">
        <f aca="false">SUMIFS(Doors!BB:BB,Doors!$A:$A,$D320,Doors!$B:$B,$B320,Doors!$C:$C,$C320)*SUMIFS(Velocity!$I:$I,Velocity!$A:$A,$A320,Velocity!$B:$B,$C320)/Assumptions!$B$4*Assumptions!$B$6</f>
        <v>0</v>
      </c>
      <c r="AQ320" s="7" t="n">
        <f aca="false">SUMIFS(Doors!BC:BC,Doors!$A:$A,$D320,Doors!$B:$B,$B320,Doors!$C:$C,$C320)*SUMIFS(Velocity!$I:$I,Velocity!$A:$A,$A320,Velocity!$B:$B,$C320)/Assumptions!$B$4*Assumptions!$B$6</f>
        <v>0</v>
      </c>
      <c r="AR320" s="7" t="n">
        <f aca="false">SUMIFS(Doors!BD:BD,Doors!$A:$A,$D320,Doors!$B:$B,$B320,Doors!$C:$C,$C320)*SUMIFS(Velocity!$I:$I,Velocity!$A:$A,$A320,Velocity!$B:$B,$C320)/Assumptions!$B$4*Assumptions!$B$6</f>
        <v>0</v>
      </c>
      <c r="AS320" s="7" t="n">
        <f aca="false">SUMIFS(Doors!BE:BE,Doors!$A:$A,$D320,Doors!$B:$B,$B320,Doors!$C:$C,$C320)*SUMIFS(Velocity!$I:$I,Velocity!$A:$A,$A320,Velocity!$B:$B,$C320)/Assumptions!$B$4*Assumptions!$B$6</f>
        <v>0</v>
      </c>
      <c r="AT320" s="7" t="n">
        <f aca="false">SUMIFS(Doors!BF:BF,Doors!$A:$A,$D320,Doors!$B:$B,$B320,Doors!$C:$C,$C320)*SUMIFS(Velocity!$I:$I,Velocity!$A:$A,$A320,Velocity!$B:$B,$C320)/Assumptions!$B$4*Assumptions!$B$6</f>
        <v>0</v>
      </c>
      <c r="AU320" s="7" t="n">
        <f aca="false">SUMIFS(Doors!BG:BG,Doors!$A:$A,$D320,Doors!$B:$B,$B320,Doors!$C:$C,$C320)*SUMIFS(Velocity!$I:$I,Velocity!$A:$A,$A320,Velocity!$B:$B,$C320)/Assumptions!$B$4*Assumptions!$B$6</f>
        <v>0</v>
      </c>
      <c r="AV320" s="7" t="n">
        <f aca="false">SUMIFS(Doors!BH:BH,Doors!$A:$A,$D320,Doors!$B:$B,$B320,Doors!$C:$C,$C320)*SUMIFS(Velocity!$I:$I,Velocity!$A:$A,$A320,Velocity!$B:$B,$C320)/Assumptions!$B$4*Assumptions!$B$6</f>
        <v>0</v>
      </c>
      <c r="AW320" s="7" t="n">
        <f aca="false">SUMIFS(Doors!BI:BI,Doors!$A:$A,$D320,Doors!$B:$B,$B320,Doors!$C:$C,$C320)*SUMIFS(Velocity!$I:$I,Velocity!$A:$A,$A320,Velocity!$B:$B,$C320)/Assumptions!$B$4*Assumptions!$B$6</f>
        <v>0</v>
      </c>
      <c r="AX320" s="7" t="n">
        <f aca="false">SUMIFS(Doors!BJ:BJ,Doors!$A:$A,$D320,Doors!$B:$B,$B320,Doors!$C:$C,$C320)*SUMIFS(Velocity!$I:$I,Velocity!$A:$A,$A320,Velocity!$B:$B,$C320)/Assumptions!$B$4*Assumptions!$B$6</f>
        <v>0</v>
      </c>
      <c r="AY320" s="7" t="n">
        <f aca="false">SUMIFS(Doors!BK:BK,Doors!$A:$A,$D320,Doors!$B:$B,$B320,Doors!$C:$C,$C320)*SUMIFS(Velocity!$I:$I,Velocity!$A:$A,$A320,Velocity!$B:$B,$C320)/Assumptions!$B$4*Assumptions!$B$6</f>
        <v>0</v>
      </c>
      <c r="AZ320" s="7" t="n">
        <f aca="false">SUMIFS(Doors!BL:BL,Doors!$A:$A,$D320,Doors!$B:$B,$B320,Doors!$C:$C,$C320)*SUMIFS(Velocity!$I:$I,Velocity!$A:$A,$A320,Velocity!$B:$B,$C320)/Assumptions!$B$4*Assumptions!$B$6</f>
        <v>0</v>
      </c>
      <c r="BA320" s="7" t="n">
        <f aca="false">SUMIFS(Doors!BM:BM,Doors!$A:$A,$D320,Doors!$B:$B,$B320,Doors!$C:$C,$C320)*SUMIFS(Velocity!$I:$I,Velocity!$A:$A,$A320,Velocity!$B:$B,$C320)/Assumptions!$B$4*Assumptions!$B$6</f>
        <v>0</v>
      </c>
      <c r="BB320" s="7" t="n">
        <f aca="false">SUMIFS(Doors!BN:BN,Doors!$A:$A,$D320,Doors!$B:$B,$B320,Doors!$C:$C,$C320)*SUMIFS(Velocity!$I:$I,Velocity!$A:$A,$A320,Velocity!$B:$B,$C320)/Assumptions!$B$4*Assumptions!$B$6</f>
        <v>0</v>
      </c>
      <c r="BC320" s="7" t="n">
        <f aca="false">SUMIFS(Doors!BO:BO,Doors!$A:$A,$D320,Doors!$B:$B,$B320,Doors!$C:$C,$C320)*SUMIFS(Velocity!$I:$I,Velocity!$A:$A,$A320,Velocity!$B:$B,$C320)/Assumptions!$B$4*Assumptions!$B$6</f>
        <v>0</v>
      </c>
      <c r="BD320" s="7" t="n">
        <f aca="false">SUMIFS(Doors!BP:BP,Doors!$A:$A,$D320,Doors!$B:$B,$B320,Doors!$C:$C,$C320)*SUMIFS(Velocity!$I:$I,Velocity!$A:$A,$A320,Velocity!$B:$B,$C320)/Assumptions!$B$4*Assumptions!$B$6</f>
        <v>0</v>
      </c>
    </row>
    <row r="321" customFormat="false" ht="15" hidden="false" customHeight="false" outlineLevel="0" collapsed="false">
      <c r="A321" s="0" t="s">
        <v>111</v>
      </c>
      <c r="B321" s="0" t="s">
        <v>131</v>
      </c>
      <c r="C321" s="0" t="s">
        <v>115</v>
      </c>
      <c r="D321" s="0" t="s">
        <v>236</v>
      </c>
      <c r="E321" s="7" t="n">
        <f aca="false">SUMIFS(Doors!Q:Q,Doors!$A:$A,$D321,Doors!$B:$B,$B321,Doors!$C:$C,$C321)*SUMIFS(Velocity!$I:$I,Velocity!$A:$A,$A321,Velocity!$B:$B,$C321)/Assumptions!$B$4*Assumptions!$B$6</f>
        <v>0</v>
      </c>
      <c r="F321" s="7" t="n">
        <f aca="false">SUMIFS(Doors!R:R,Doors!$A:$A,$D321,Doors!$B:$B,$B321,Doors!$C:$C,$C321)*SUMIFS(Velocity!$I:$I,Velocity!$A:$A,$A321,Velocity!$B:$B,$C321)/Assumptions!$B$4*Assumptions!$B$6</f>
        <v>0</v>
      </c>
      <c r="G321" s="7" t="n">
        <f aca="false">SUMIFS(Doors!S:S,Doors!$A:$A,$D321,Doors!$B:$B,$B321,Doors!$C:$C,$C321)*SUMIFS(Velocity!$I:$I,Velocity!$A:$A,$A321,Velocity!$B:$B,$C321)/Assumptions!$B$4*Assumptions!$B$6</f>
        <v>0</v>
      </c>
      <c r="H321" s="7" t="n">
        <f aca="false">SUMIFS(Doors!T:T,Doors!$A:$A,$D321,Doors!$B:$B,$B321,Doors!$C:$C,$C321)*SUMIFS(Velocity!$I:$I,Velocity!$A:$A,$A321,Velocity!$B:$B,$C321)/Assumptions!$B$4*Assumptions!$B$6</f>
        <v>0</v>
      </c>
      <c r="I321" s="7" t="n">
        <f aca="false">SUMIFS(Doors!U:U,Doors!$A:$A,$D321,Doors!$B:$B,$B321,Doors!$C:$C,$C321)*SUMIFS(Velocity!$I:$I,Velocity!$A:$A,$A321,Velocity!$B:$B,$C321)/Assumptions!$B$4*Assumptions!$B$6</f>
        <v>0</v>
      </c>
      <c r="J321" s="7" t="n">
        <f aca="false">SUMIFS(Doors!V:V,Doors!$A:$A,$D321,Doors!$B:$B,$B321,Doors!$C:$C,$C321)*SUMIFS(Velocity!$I:$I,Velocity!$A:$A,$A321,Velocity!$B:$B,$C321)/Assumptions!$B$4*Assumptions!$B$6</f>
        <v>0</v>
      </c>
      <c r="K321" s="7" t="n">
        <f aca="false">SUMIFS(Doors!W:W,Doors!$A:$A,$D321,Doors!$B:$B,$B321,Doors!$C:$C,$C321)*SUMIFS(Velocity!$I:$I,Velocity!$A:$A,$A321,Velocity!$B:$B,$C321)/Assumptions!$B$4*Assumptions!$B$6</f>
        <v>0</v>
      </c>
      <c r="L321" s="7" t="n">
        <f aca="false">SUMIFS(Doors!X:X,Doors!$A:$A,$D321,Doors!$B:$B,$B321,Doors!$C:$C,$C321)*SUMIFS(Velocity!$I:$I,Velocity!$A:$A,$A321,Velocity!$B:$B,$C321)/Assumptions!$B$4*Assumptions!$B$6</f>
        <v>0</v>
      </c>
      <c r="M321" s="7" t="n">
        <f aca="false">SUMIFS(Doors!Y:Y,Doors!$A:$A,$D321,Doors!$B:$B,$B321,Doors!$C:$C,$C321)*SUMIFS(Velocity!$I:$I,Velocity!$A:$A,$A321,Velocity!$B:$B,$C321)/Assumptions!$B$4*Assumptions!$B$6</f>
        <v>0</v>
      </c>
      <c r="N321" s="7" t="n">
        <f aca="false">SUMIFS(Doors!Z:Z,Doors!$A:$A,$D321,Doors!$B:$B,$B321,Doors!$C:$C,$C321)*SUMIFS(Velocity!$I:$I,Velocity!$A:$A,$A321,Velocity!$B:$B,$C321)/Assumptions!$B$4*Assumptions!$B$6</f>
        <v>0</v>
      </c>
      <c r="O321" s="7" t="n">
        <f aca="false">SUMIFS(Doors!AA:AA,Doors!$A:$A,$D321,Doors!$B:$B,$B321,Doors!$C:$C,$C321)*SUMIFS(Velocity!$I:$I,Velocity!$A:$A,$A321,Velocity!$B:$B,$C321)/Assumptions!$B$4*Assumptions!$B$6</f>
        <v>0</v>
      </c>
      <c r="P321" s="7" t="n">
        <f aca="false">SUMIFS(Doors!AB:AB,Doors!$A:$A,$D321,Doors!$B:$B,$B321,Doors!$C:$C,$C321)*SUMIFS(Velocity!$I:$I,Velocity!$A:$A,$A321,Velocity!$B:$B,$C321)/Assumptions!$B$4*Assumptions!$B$6</f>
        <v>0</v>
      </c>
      <c r="Q321" s="7" t="n">
        <f aca="false">SUMIFS(Doors!AC:AC,Doors!$A:$A,$D321,Doors!$B:$B,$B321,Doors!$C:$C,$C321)*SUMIFS(Velocity!$I:$I,Velocity!$A:$A,$A321,Velocity!$B:$B,$C321)/Assumptions!$B$4*Assumptions!$B$6</f>
        <v>0</v>
      </c>
      <c r="R321" s="7" t="n">
        <f aca="false">SUMIFS(Doors!AD:AD,Doors!$A:$A,$D321,Doors!$B:$B,$B321,Doors!$C:$C,$C321)*SUMIFS(Velocity!$I:$I,Velocity!$A:$A,$A321,Velocity!$B:$B,$C321)/Assumptions!$B$4*Assumptions!$B$6</f>
        <v>0</v>
      </c>
      <c r="S321" s="7" t="n">
        <f aca="false">SUMIFS(Doors!AE:AE,Doors!$A:$A,$D321,Doors!$B:$B,$B321,Doors!$C:$C,$C321)*SUMIFS(Velocity!$I:$I,Velocity!$A:$A,$A321,Velocity!$B:$B,$C321)/Assumptions!$B$4*Assumptions!$B$6</f>
        <v>0</v>
      </c>
      <c r="T321" s="7" t="n">
        <f aca="false">SUMIFS(Doors!AF:AF,Doors!$A:$A,$D321,Doors!$B:$B,$B321,Doors!$C:$C,$C321)*SUMIFS(Velocity!$I:$I,Velocity!$A:$A,$A321,Velocity!$B:$B,$C321)/Assumptions!$B$4*Assumptions!$B$6</f>
        <v>0</v>
      </c>
      <c r="U321" s="7" t="n">
        <f aca="false">SUMIFS(Doors!AG:AG,Doors!$A:$A,$D321,Doors!$B:$B,$B321,Doors!$C:$C,$C321)*SUMIFS(Velocity!$I:$I,Velocity!$A:$A,$A321,Velocity!$B:$B,$C321)/Assumptions!$B$4*Assumptions!$B$6</f>
        <v>0</v>
      </c>
      <c r="V321" s="7" t="n">
        <f aca="false">SUMIFS(Doors!AH:AH,Doors!$A:$A,$D321,Doors!$B:$B,$B321,Doors!$C:$C,$C321)*SUMIFS(Velocity!$I:$I,Velocity!$A:$A,$A321,Velocity!$B:$B,$C321)/Assumptions!$B$4*Assumptions!$B$6</f>
        <v>0</v>
      </c>
      <c r="W321" s="7" t="n">
        <f aca="false">SUMIFS(Doors!AI:AI,Doors!$A:$A,$D321,Doors!$B:$B,$B321,Doors!$C:$C,$C321)*SUMIFS(Velocity!$I:$I,Velocity!$A:$A,$A321,Velocity!$B:$B,$C321)/Assumptions!$B$4*Assumptions!$B$6</f>
        <v>0</v>
      </c>
      <c r="X321" s="7" t="n">
        <f aca="false">SUMIFS(Doors!AJ:AJ,Doors!$A:$A,$D321,Doors!$B:$B,$B321,Doors!$C:$C,$C321)*SUMIFS(Velocity!$I:$I,Velocity!$A:$A,$A321,Velocity!$B:$B,$C321)/Assumptions!$B$4*Assumptions!$B$6</f>
        <v>0</v>
      </c>
      <c r="Y321" s="7" t="n">
        <f aca="false">SUMIFS(Doors!AK:AK,Doors!$A:$A,$D321,Doors!$B:$B,$B321,Doors!$C:$C,$C321)*SUMIFS(Velocity!$I:$I,Velocity!$A:$A,$A321,Velocity!$B:$B,$C321)/Assumptions!$B$4*Assumptions!$B$6</f>
        <v>0</v>
      </c>
      <c r="Z321" s="7" t="n">
        <f aca="false">SUMIFS(Doors!AL:AL,Doors!$A:$A,$D321,Doors!$B:$B,$B321,Doors!$C:$C,$C321)*SUMIFS(Velocity!$I:$I,Velocity!$A:$A,$A321,Velocity!$B:$B,$C321)/Assumptions!$B$4*Assumptions!$B$6</f>
        <v>0</v>
      </c>
      <c r="AA321" s="7" t="n">
        <f aca="false">SUMIFS(Doors!AM:AM,Doors!$A:$A,$D321,Doors!$B:$B,$B321,Doors!$C:$C,$C321)*SUMIFS(Velocity!$I:$I,Velocity!$A:$A,$A321,Velocity!$B:$B,$C321)/Assumptions!$B$4*Assumptions!$B$6</f>
        <v>0</v>
      </c>
      <c r="AB321" s="7" t="n">
        <f aca="false">SUMIFS(Doors!AN:AN,Doors!$A:$A,$D321,Doors!$B:$B,$B321,Doors!$C:$C,$C321)*SUMIFS(Velocity!$I:$I,Velocity!$A:$A,$A321,Velocity!$B:$B,$C321)/Assumptions!$B$4*Assumptions!$B$6</f>
        <v>0</v>
      </c>
      <c r="AC321" s="7" t="n">
        <f aca="false">SUMIFS(Doors!AO:AO,Doors!$A:$A,$D321,Doors!$B:$B,$B321,Doors!$C:$C,$C321)*SUMIFS(Velocity!$I:$I,Velocity!$A:$A,$A321,Velocity!$B:$B,$C321)/Assumptions!$B$4*Assumptions!$B$6</f>
        <v>0</v>
      </c>
      <c r="AD321" s="7" t="n">
        <f aca="false">SUMIFS(Doors!AP:AP,Doors!$A:$A,$D321,Doors!$B:$B,$B321,Doors!$C:$C,$C321)*SUMIFS(Velocity!$I:$I,Velocity!$A:$A,$A321,Velocity!$B:$B,$C321)/Assumptions!$B$4*Assumptions!$B$6</f>
        <v>0</v>
      </c>
      <c r="AE321" s="7" t="n">
        <f aca="false">SUMIFS(Doors!AQ:AQ,Doors!$A:$A,$D321,Doors!$B:$B,$B321,Doors!$C:$C,$C321)*SUMIFS(Velocity!$I:$I,Velocity!$A:$A,$A321,Velocity!$B:$B,$C321)/Assumptions!$B$4*Assumptions!$B$6</f>
        <v>0</v>
      </c>
      <c r="AF321" s="7" t="n">
        <f aca="false">SUMIFS(Doors!AR:AR,Doors!$A:$A,$D321,Doors!$B:$B,$B321,Doors!$C:$C,$C321)*SUMIFS(Velocity!$I:$I,Velocity!$A:$A,$A321,Velocity!$B:$B,$C321)/Assumptions!$B$4*Assumptions!$B$6</f>
        <v>0</v>
      </c>
      <c r="AG321" s="7" t="n">
        <f aca="false">SUMIFS(Doors!AS:AS,Doors!$A:$A,$D321,Doors!$B:$B,$B321,Doors!$C:$C,$C321)*SUMIFS(Velocity!$I:$I,Velocity!$A:$A,$A321,Velocity!$B:$B,$C321)/Assumptions!$B$4*Assumptions!$B$6</f>
        <v>0</v>
      </c>
      <c r="AH321" s="7" t="n">
        <f aca="false">SUMIFS(Doors!AT:AT,Doors!$A:$A,$D321,Doors!$B:$B,$B321,Doors!$C:$C,$C321)*SUMIFS(Velocity!$I:$I,Velocity!$A:$A,$A321,Velocity!$B:$B,$C321)/Assumptions!$B$4*Assumptions!$B$6</f>
        <v>0</v>
      </c>
      <c r="AI321" s="7" t="n">
        <f aca="false">SUMIFS(Doors!AU:AU,Doors!$A:$A,$D321,Doors!$B:$B,$B321,Doors!$C:$C,$C321)*SUMIFS(Velocity!$I:$I,Velocity!$A:$A,$A321,Velocity!$B:$B,$C321)/Assumptions!$B$4*Assumptions!$B$6</f>
        <v>0</v>
      </c>
      <c r="AJ321" s="7" t="n">
        <f aca="false">SUMIFS(Doors!AV:AV,Doors!$A:$A,$D321,Doors!$B:$B,$B321,Doors!$C:$C,$C321)*SUMIFS(Velocity!$I:$I,Velocity!$A:$A,$A321,Velocity!$B:$B,$C321)/Assumptions!$B$4*Assumptions!$B$6</f>
        <v>0</v>
      </c>
      <c r="AK321" s="7" t="n">
        <f aca="false">SUMIFS(Doors!AW:AW,Doors!$A:$A,$D321,Doors!$B:$B,$B321,Doors!$C:$C,$C321)*SUMIFS(Velocity!$I:$I,Velocity!$A:$A,$A321,Velocity!$B:$B,$C321)/Assumptions!$B$4*Assumptions!$B$6</f>
        <v>0</v>
      </c>
      <c r="AL321" s="7" t="n">
        <f aca="false">SUMIFS(Doors!AX:AX,Doors!$A:$A,$D321,Doors!$B:$B,$B321,Doors!$C:$C,$C321)*SUMIFS(Velocity!$I:$I,Velocity!$A:$A,$A321,Velocity!$B:$B,$C321)/Assumptions!$B$4*Assumptions!$B$6</f>
        <v>0</v>
      </c>
      <c r="AM321" s="7" t="n">
        <f aca="false">SUMIFS(Doors!AY:AY,Doors!$A:$A,$D321,Doors!$B:$B,$B321,Doors!$C:$C,$C321)*SUMIFS(Velocity!$I:$I,Velocity!$A:$A,$A321,Velocity!$B:$B,$C321)/Assumptions!$B$4*Assumptions!$B$6</f>
        <v>0</v>
      </c>
      <c r="AN321" s="7" t="n">
        <f aca="false">SUMIFS(Doors!AZ:AZ,Doors!$A:$A,$D321,Doors!$B:$B,$B321,Doors!$C:$C,$C321)*SUMIFS(Velocity!$I:$I,Velocity!$A:$A,$A321,Velocity!$B:$B,$C321)/Assumptions!$B$4*Assumptions!$B$6</f>
        <v>0</v>
      </c>
      <c r="AO321" s="7" t="n">
        <f aca="false">SUMIFS(Doors!BA:BA,Doors!$A:$A,$D321,Doors!$B:$B,$B321,Doors!$C:$C,$C321)*SUMIFS(Velocity!$I:$I,Velocity!$A:$A,$A321,Velocity!$B:$B,$C321)/Assumptions!$B$4*Assumptions!$B$6</f>
        <v>0</v>
      </c>
      <c r="AP321" s="7" t="n">
        <f aca="false">SUMIFS(Doors!BB:BB,Doors!$A:$A,$D321,Doors!$B:$B,$B321,Doors!$C:$C,$C321)*SUMIFS(Velocity!$I:$I,Velocity!$A:$A,$A321,Velocity!$B:$B,$C321)/Assumptions!$B$4*Assumptions!$B$6</f>
        <v>0</v>
      </c>
      <c r="AQ321" s="7" t="n">
        <f aca="false">SUMIFS(Doors!BC:BC,Doors!$A:$A,$D321,Doors!$B:$B,$B321,Doors!$C:$C,$C321)*SUMIFS(Velocity!$I:$I,Velocity!$A:$A,$A321,Velocity!$B:$B,$C321)/Assumptions!$B$4*Assumptions!$B$6</f>
        <v>0</v>
      </c>
      <c r="AR321" s="7" t="n">
        <f aca="false">SUMIFS(Doors!BD:BD,Doors!$A:$A,$D321,Doors!$B:$B,$B321,Doors!$C:$C,$C321)*SUMIFS(Velocity!$I:$I,Velocity!$A:$A,$A321,Velocity!$B:$B,$C321)/Assumptions!$B$4*Assumptions!$B$6</f>
        <v>0</v>
      </c>
      <c r="AS321" s="7" t="n">
        <f aca="false">SUMIFS(Doors!BE:BE,Doors!$A:$A,$D321,Doors!$B:$B,$B321,Doors!$C:$C,$C321)*SUMIFS(Velocity!$I:$I,Velocity!$A:$A,$A321,Velocity!$B:$B,$C321)/Assumptions!$B$4*Assumptions!$B$6</f>
        <v>0</v>
      </c>
      <c r="AT321" s="7" t="n">
        <f aca="false">SUMIFS(Doors!BF:BF,Doors!$A:$A,$D321,Doors!$B:$B,$B321,Doors!$C:$C,$C321)*SUMIFS(Velocity!$I:$I,Velocity!$A:$A,$A321,Velocity!$B:$B,$C321)/Assumptions!$B$4*Assumptions!$B$6</f>
        <v>0</v>
      </c>
      <c r="AU321" s="7" t="n">
        <f aca="false">SUMIFS(Doors!BG:BG,Doors!$A:$A,$D321,Doors!$B:$B,$B321,Doors!$C:$C,$C321)*SUMIFS(Velocity!$I:$I,Velocity!$A:$A,$A321,Velocity!$B:$B,$C321)/Assumptions!$B$4*Assumptions!$B$6</f>
        <v>0</v>
      </c>
      <c r="AV321" s="7" t="n">
        <f aca="false">SUMIFS(Doors!BH:BH,Doors!$A:$A,$D321,Doors!$B:$B,$B321,Doors!$C:$C,$C321)*SUMIFS(Velocity!$I:$I,Velocity!$A:$A,$A321,Velocity!$B:$B,$C321)/Assumptions!$B$4*Assumptions!$B$6</f>
        <v>0</v>
      </c>
      <c r="AW321" s="7" t="n">
        <f aca="false">SUMIFS(Doors!BI:BI,Doors!$A:$A,$D321,Doors!$B:$B,$B321,Doors!$C:$C,$C321)*SUMIFS(Velocity!$I:$I,Velocity!$A:$A,$A321,Velocity!$B:$B,$C321)/Assumptions!$B$4*Assumptions!$B$6</f>
        <v>0</v>
      </c>
      <c r="AX321" s="7" t="n">
        <f aca="false">SUMIFS(Doors!BJ:BJ,Doors!$A:$A,$D321,Doors!$B:$B,$B321,Doors!$C:$C,$C321)*SUMIFS(Velocity!$I:$I,Velocity!$A:$A,$A321,Velocity!$B:$B,$C321)/Assumptions!$B$4*Assumptions!$B$6</f>
        <v>0</v>
      </c>
      <c r="AY321" s="7" t="n">
        <f aca="false">SUMIFS(Doors!BK:BK,Doors!$A:$A,$D321,Doors!$B:$B,$B321,Doors!$C:$C,$C321)*SUMIFS(Velocity!$I:$I,Velocity!$A:$A,$A321,Velocity!$B:$B,$C321)/Assumptions!$B$4*Assumptions!$B$6</f>
        <v>0</v>
      </c>
      <c r="AZ321" s="7" t="n">
        <f aca="false">SUMIFS(Doors!BL:BL,Doors!$A:$A,$D321,Doors!$B:$B,$B321,Doors!$C:$C,$C321)*SUMIFS(Velocity!$I:$I,Velocity!$A:$A,$A321,Velocity!$B:$B,$C321)/Assumptions!$B$4*Assumptions!$B$6</f>
        <v>0</v>
      </c>
      <c r="BA321" s="7" t="n">
        <f aca="false">SUMIFS(Doors!BM:BM,Doors!$A:$A,$D321,Doors!$B:$B,$B321,Doors!$C:$C,$C321)*SUMIFS(Velocity!$I:$I,Velocity!$A:$A,$A321,Velocity!$B:$B,$C321)/Assumptions!$B$4*Assumptions!$B$6</f>
        <v>0</v>
      </c>
      <c r="BB321" s="7" t="n">
        <f aca="false">SUMIFS(Doors!BN:BN,Doors!$A:$A,$D321,Doors!$B:$B,$B321,Doors!$C:$C,$C321)*SUMIFS(Velocity!$I:$I,Velocity!$A:$A,$A321,Velocity!$B:$B,$C321)/Assumptions!$B$4*Assumptions!$B$6</f>
        <v>0</v>
      </c>
      <c r="BC321" s="7" t="n">
        <f aca="false">SUMIFS(Doors!BO:BO,Doors!$A:$A,$D321,Doors!$B:$B,$B321,Doors!$C:$C,$C321)*SUMIFS(Velocity!$I:$I,Velocity!$A:$A,$A321,Velocity!$B:$B,$C321)/Assumptions!$B$4*Assumptions!$B$6</f>
        <v>0</v>
      </c>
      <c r="BD321" s="7" t="n">
        <f aca="false">SUMIFS(Doors!BP:BP,Doors!$A:$A,$D321,Doors!$B:$B,$B321,Doors!$C:$C,$C321)*SUMIFS(Velocity!$I:$I,Velocity!$A:$A,$A321,Velocity!$B:$B,$C321)/Assumptions!$B$4*Assumptions!$B$6</f>
        <v>0</v>
      </c>
    </row>
    <row r="322" customFormat="false" ht="15" hidden="false" customHeight="false" outlineLevel="0" collapsed="false">
      <c r="A322" s="0" t="s">
        <v>111</v>
      </c>
      <c r="B322" s="0" t="s">
        <v>131</v>
      </c>
      <c r="C322" s="0" t="s">
        <v>116</v>
      </c>
      <c r="D322" s="0" t="s">
        <v>236</v>
      </c>
      <c r="E322" s="7" t="n">
        <f aca="false">SUMIFS(Doors!Q:Q,Doors!$A:$A,$D322,Doors!$B:$B,$B322,Doors!$C:$C,$C322)*SUMIFS(Velocity!$I:$I,Velocity!$A:$A,$A322,Velocity!$B:$B,$C322)/Assumptions!$B$4*Assumptions!$B$6</f>
        <v>0</v>
      </c>
      <c r="F322" s="7" t="n">
        <f aca="false">SUMIFS(Doors!R:R,Doors!$A:$A,$D322,Doors!$B:$B,$B322,Doors!$C:$C,$C322)*SUMIFS(Velocity!$I:$I,Velocity!$A:$A,$A322,Velocity!$B:$B,$C322)/Assumptions!$B$4*Assumptions!$B$6</f>
        <v>0</v>
      </c>
      <c r="G322" s="7" t="n">
        <f aca="false">SUMIFS(Doors!S:S,Doors!$A:$A,$D322,Doors!$B:$B,$B322,Doors!$C:$C,$C322)*SUMIFS(Velocity!$I:$I,Velocity!$A:$A,$A322,Velocity!$B:$B,$C322)/Assumptions!$B$4*Assumptions!$B$6</f>
        <v>0</v>
      </c>
      <c r="H322" s="7" t="n">
        <f aca="false">SUMIFS(Doors!T:T,Doors!$A:$A,$D322,Doors!$B:$B,$B322,Doors!$C:$C,$C322)*SUMIFS(Velocity!$I:$I,Velocity!$A:$A,$A322,Velocity!$B:$B,$C322)/Assumptions!$B$4*Assumptions!$B$6</f>
        <v>0</v>
      </c>
      <c r="I322" s="7" t="n">
        <f aca="false">SUMIFS(Doors!U:U,Doors!$A:$A,$D322,Doors!$B:$B,$B322,Doors!$C:$C,$C322)*SUMIFS(Velocity!$I:$I,Velocity!$A:$A,$A322,Velocity!$B:$B,$C322)/Assumptions!$B$4*Assumptions!$B$6</f>
        <v>0</v>
      </c>
      <c r="J322" s="7" t="n">
        <f aca="false">SUMIFS(Doors!V:V,Doors!$A:$A,$D322,Doors!$B:$B,$B322,Doors!$C:$C,$C322)*SUMIFS(Velocity!$I:$I,Velocity!$A:$A,$A322,Velocity!$B:$B,$C322)/Assumptions!$B$4*Assumptions!$B$6</f>
        <v>0</v>
      </c>
      <c r="K322" s="7" t="n">
        <f aca="false">SUMIFS(Doors!W:W,Doors!$A:$A,$D322,Doors!$B:$B,$B322,Doors!$C:$C,$C322)*SUMIFS(Velocity!$I:$I,Velocity!$A:$A,$A322,Velocity!$B:$B,$C322)/Assumptions!$B$4*Assumptions!$B$6</f>
        <v>0</v>
      </c>
      <c r="L322" s="7" t="n">
        <f aca="false">SUMIFS(Doors!X:X,Doors!$A:$A,$D322,Doors!$B:$B,$B322,Doors!$C:$C,$C322)*SUMIFS(Velocity!$I:$I,Velocity!$A:$A,$A322,Velocity!$B:$B,$C322)/Assumptions!$B$4*Assumptions!$B$6</f>
        <v>0</v>
      </c>
      <c r="M322" s="7" t="n">
        <f aca="false">SUMIFS(Doors!Y:Y,Doors!$A:$A,$D322,Doors!$B:$B,$B322,Doors!$C:$C,$C322)*SUMIFS(Velocity!$I:$I,Velocity!$A:$A,$A322,Velocity!$B:$B,$C322)/Assumptions!$B$4*Assumptions!$B$6</f>
        <v>0</v>
      </c>
      <c r="N322" s="7" t="n">
        <f aca="false">SUMIFS(Doors!Z:Z,Doors!$A:$A,$D322,Doors!$B:$B,$B322,Doors!$C:$C,$C322)*SUMIFS(Velocity!$I:$I,Velocity!$A:$A,$A322,Velocity!$B:$B,$C322)/Assumptions!$B$4*Assumptions!$B$6</f>
        <v>0</v>
      </c>
      <c r="O322" s="7" t="n">
        <f aca="false">SUMIFS(Doors!AA:AA,Doors!$A:$A,$D322,Doors!$B:$B,$B322,Doors!$C:$C,$C322)*SUMIFS(Velocity!$I:$I,Velocity!$A:$A,$A322,Velocity!$B:$B,$C322)/Assumptions!$B$4*Assumptions!$B$6</f>
        <v>0</v>
      </c>
      <c r="P322" s="7" t="n">
        <f aca="false">SUMIFS(Doors!AB:AB,Doors!$A:$A,$D322,Doors!$B:$B,$B322,Doors!$C:$C,$C322)*SUMIFS(Velocity!$I:$I,Velocity!$A:$A,$A322,Velocity!$B:$B,$C322)/Assumptions!$B$4*Assumptions!$B$6</f>
        <v>0</v>
      </c>
      <c r="Q322" s="7" t="n">
        <f aca="false">SUMIFS(Doors!AC:AC,Doors!$A:$A,$D322,Doors!$B:$B,$B322,Doors!$C:$C,$C322)*SUMIFS(Velocity!$I:$I,Velocity!$A:$A,$A322,Velocity!$B:$B,$C322)/Assumptions!$B$4*Assumptions!$B$6</f>
        <v>0</v>
      </c>
      <c r="R322" s="7" t="n">
        <f aca="false">SUMIFS(Doors!AD:AD,Doors!$A:$A,$D322,Doors!$B:$B,$B322,Doors!$C:$C,$C322)*SUMIFS(Velocity!$I:$I,Velocity!$A:$A,$A322,Velocity!$B:$B,$C322)/Assumptions!$B$4*Assumptions!$B$6</f>
        <v>0</v>
      </c>
      <c r="S322" s="7" t="n">
        <f aca="false">SUMIFS(Doors!AE:AE,Doors!$A:$A,$D322,Doors!$B:$B,$B322,Doors!$C:$C,$C322)*SUMIFS(Velocity!$I:$I,Velocity!$A:$A,$A322,Velocity!$B:$B,$C322)/Assumptions!$B$4*Assumptions!$B$6</f>
        <v>0</v>
      </c>
      <c r="T322" s="7" t="n">
        <f aca="false">SUMIFS(Doors!AF:AF,Doors!$A:$A,$D322,Doors!$B:$B,$B322,Doors!$C:$C,$C322)*SUMIFS(Velocity!$I:$I,Velocity!$A:$A,$A322,Velocity!$B:$B,$C322)/Assumptions!$B$4*Assumptions!$B$6</f>
        <v>0</v>
      </c>
      <c r="U322" s="7" t="n">
        <f aca="false">SUMIFS(Doors!AG:AG,Doors!$A:$A,$D322,Doors!$B:$B,$B322,Doors!$C:$C,$C322)*SUMIFS(Velocity!$I:$I,Velocity!$A:$A,$A322,Velocity!$B:$B,$C322)/Assumptions!$B$4*Assumptions!$B$6</f>
        <v>0</v>
      </c>
      <c r="V322" s="7" t="n">
        <f aca="false">SUMIFS(Doors!AH:AH,Doors!$A:$A,$D322,Doors!$B:$B,$B322,Doors!$C:$C,$C322)*SUMIFS(Velocity!$I:$I,Velocity!$A:$A,$A322,Velocity!$B:$B,$C322)/Assumptions!$B$4*Assumptions!$B$6</f>
        <v>0</v>
      </c>
      <c r="W322" s="7" t="n">
        <f aca="false">SUMIFS(Doors!AI:AI,Doors!$A:$A,$D322,Doors!$B:$B,$B322,Doors!$C:$C,$C322)*SUMIFS(Velocity!$I:$I,Velocity!$A:$A,$A322,Velocity!$B:$B,$C322)/Assumptions!$B$4*Assumptions!$B$6</f>
        <v>0</v>
      </c>
      <c r="X322" s="7" t="n">
        <f aca="false">SUMIFS(Doors!AJ:AJ,Doors!$A:$A,$D322,Doors!$B:$B,$B322,Doors!$C:$C,$C322)*SUMIFS(Velocity!$I:$I,Velocity!$A:$A,$A322,Velocity!$B:$B,$C322)/Assumptions!$B$4*Assumptions!$B$6</f>
        <v>0</v>
      </c>
      <c r="Y322" s="7" t="n">
        <f aca="false">SUMIFS(Doors!AK:AK,Doors!$A:$A,$D322,Doors!$B:$B,$B322,Doors!$C:$C,$C322)*SUMIFS(Velocity!$I:$I,Velocity!$A:$A,$A322,Velocity!$B:$B,$C322)/Assumptions!$B$4*Assumptions!$B$6</f>
        <v>0</v>
      </c>
      <c r="Z322" s="7" t="n">
        <f aca="false">SUMIFS(Doors!AL:AL,Doors!$A:$A,$D322,Doors!$B:$B,$B322,Doors!$C:$C,$C322)*SUMIFS(Velocity!$I:$I,Velocity!$A:$A,$A322,Velocity!$B:$B,$C322)/Assumptions!$B$4*Assumptions!$B$6</f>
        <v>0</v>
      </c>
      <c r="AA322" s="7" t="n">
        <f aca="false">SUMIFS(Doors!AM:AM,Doors!$A:$A,$D322,Doors!$B:$B,$B322,Doors!$C:$C,$C322)*SUMIFS(Velocity!$I:$I,Velocity!$A:$A,$A322,Velocity!$B:$B,$C322)/Assumptions!$B$4*Assumptions!$B$6</f>
        <v>0</v>
      </c>
      <c r="AB322" s="7" t="n">
        <f aca="false">SUMIFS(Doors!AN:AN,Doors!$A:$A,$D322,Doors!$B:$B,$B322,Doors!$C:$C,$C322)*SUMIFS(Velocity!$I:$I,Velocity!$A:$A,$A322,Velocity!$B:$B,$C322)/Assumptions!$B$4*Assumptions!$B$6</f>
        <v>0</v>
      </c>
      <c r="AC322" s="7" t="n">
        <f aca="false">SUMIFS(Doors!AO:AO,Doors!$A:$A,$D322,Doors!$B:$B,$B322,Doors!$C:$C,$C322)*SUMIFS(Velocity!$I:$I,Velocity!$A:$A,$A322,Velocity!$B:$B,$C322)/Assumptions!$B$4*Assumptions!$B$6</f>
        <v>0</v>
      </c>
      <c r="AD322" s="7" t="n">
        <f aca="false">SUMIFS(Doors!AP:AP,Doors!$A:$A,$D322,Doors!$B:$B,$B322,Doors!$C:$C,$C322)*SUMIFS(Velocity!$I:$I,Velocity!$A:$A,$A322,Velocity!$B:$B,$C322)/Assumptions!$B$4*Assumptions!$B$6</f>
        <v>0</v>
      </c>
      <c r="AE322" s="7" t="n">
        <f aca="false">SUMIFS(Doors!AQ:AQ,Doors!$A:$A,$D322,Doors!$B:$B,$B322,Doors!$C:$C,$C322)*SUMIFS(Velocity!$I:$I,Velocity!$A:$A,$A322,Velocity!$B:$B,$C322)/Assumptions!$B$4*Assumptions!$B$6</f>
        <v>0</v>
      </c>
      <c r="AF322" s="7" t="n">
        <f aca="false">SUMIFS(Doors!AR:AR,Doors!$A:$A,$D322,Doors!$B:$B,$B322,Doors!$C:$C,$C322)*SUMIFS(Velocity!$I:$I,Velocity!$A:$A,$A322,Velocity!$B:$B,$C322)/Assumptions!$B$4*Assumptions!$B$6</f>
        <v>0</v>
      </c>
      <c r="AG322" s="7" t="n">
        <f aca="false">SUMIFS(Doors!AS:AS,Doors!$A:$A,$D322,Doors!$B:$B,$B322,Doors!$C:$C,$C322)*SUMIFS(Velocity!$I:$I,Velocity!$A:$A,$A322,Velocity!$B:$B,$C322)/Assumptions!$B$4*Assumptions!$B$6</f>
        <v>0</v>
      </c>
      <c r="AH322" s="7" t="n">
        <f aca="false">SUMIFS(Doors!AT:AT,Doors!$A:$A,$D322,Doors!$B:$B,$B322,Doors!$C:$C,$C322)*SUMIFS(Velocity!$I:$I,Velocity!$A:$A,$A322,Velocity!$B:$B,$C322)/Assumptions!$B$4*Assumptions!$B$6</f>
        <v>0</v>
      </c>
      <c r="AI322" s="7" t="n">
        <f aca="false">SUMIFS(Doors!AU:AU,Doors!$A:$A,$D322,Doors!$B:$B,$B322,Doors!$C:$C,$C322)*SUMIFS(Velocity!$I:$I,Velocity!$A:$A,$A322,Velocity!$B:$B,$C322)/Assumptions!$B$4*Assumptions!$B$6</f>
        <v>0</v>
      </c>
      <c r="AJ322" s="7" t="n">
        <f aca="false">SUMIFS(Doors!AV:AV,Doors!$A:$A,$D322,Doors!$B:$B,$B322,Doors!$C:$C,$C322)*SUMIFS(Velocity!$I:$I,Velocity!$A:$A,$A322,Velocity!$B:$B,$C322)/Assumptions!$B$4*Assumptions!$B$6</f>
        <v>0</v>
      </c>
      <c r="AK322" s="7" t="n">
        <f aca="false">SUMIFS(Doors!AW:AW,Doors!$A:$A,$D322,Doors!$B:$B,$B322,Doors!$C:$C,$C322)*SUMIFS(Velocity!$I:$I,Velocity!$A:$A,$A322,Velocity!$B:$B,$C322)/Assumptions!$B$4*Assumptions!$B$6</f>
        <v>0</v>
      </c>
      <c r="AL322" s="7" t="n">
        <f aca="false">SUMIFS(Doors!AX:AX,Doors!$A:$A,$D322,Doors!$B:$B,$B322,Doors!$C:$C,$C322)*SUMIFS(Velocity!$I:$I,Velocity!$A:$A,$A322,Velocity!$B:$B,$C322)/Assumptions!$B$4*Assumptions!$B$6</f>
        <v>0</v>
      </c>
      <c r="AM322" s="7" t="n">
        <f aca="false">SUMIFS(Doors!AY:AY,Doors!$A:$A,$D322,Doors!$B:$B,$B322,Doors!$C:$C,$C322)*SUMIFS(Velocity!$I:$I,Velocity!$A:$A,$A322,Velocity!$B:$B,$C322)/Assumptions!$B$4*Assumptions!$B$6</f>
        <v>0</v>
      </c>
      <c r="AN322" s="7" t="n">
        <f aca="false">SUMIFS(Doors!AZ:AZ,Doors!$A:$A,$D322,Doors!$B:$B,$B322,Doors!$C:$C,$C322)*SUMIFS(Velocity!$I:$I,Velocity!$A:$A,$A322,Velocity!$B:$B,$C322)/Assumptions!$B$4*Assumptions!$B$6</f>
        <v>0</v>
      </c>
      <c r="AO322" s="7" t="n">
        <f aca="false">SUMIFS(Doors!BA:BA,Doors!$A:$A,$D322,Doors!$B:$B,$B322,Doors!$C:$C,$C322)*SUMIFS(Velocity!$I:$I,Velocity!$A:$A,$A322,Velocity!$B:$B,$C322)/Assumptions!$B$4*Assumptions!$B$6</f>
        <v>0</v>
      </c>
      <c r="AP322" s="7" t="n">
        <f aca="false">SUMIFS(Doors!BB:BB,Doors!$A:$A,$D322,Doors!$B:$B,$B322,Doors!$C:$C,$C322)*SUMIFS(Velocity!$I:$I,Velocity!$A:$A,$A322,Velocity!$B:$B,$C322)/Assumptions!$B$4*Assumptions!$B$6</f>
        <v>0</v>
      </c>
      <c r="AQ322" s="7" t="n">
        <f aca="false">SUMIFS(Doors!BC:BC,Doors!$A:$A,$D322,Doors!$B:$B,$B322,Doors!$C:$C,$C322)*SUMIFS(Velocity!$I:$I,Velocity!$A:$A,$A322,Velocity!$B:$B,$C322)/Assumptions!$B$4*Assumptions!$B$6</f>
        <v>0</v>
      </c>
      <c r="AR322" s="7" t="n">
        <f aca="false">SUMIFS(Doors!BD:BD,Doors!$A:$A,$D322,Doors!$B:$B,$B322,Doors!$C:$C,$C322)*SUMIFS(Velocity!$I:$I,Velocity!$A:$A,$A322,Velocity!$B:$B,$C322)/Assumptions!$B$4*Assumptions!$B$6</f>
        <v>0</v>
      </c>
      <c r="AS322" s="7" t="n">
        <f aca="false">SUMIFS(Doors!BE:BE,Doors!$A:$A,$D322,Doors!$B:$B,$B322,Doors!$C:$C,$C322)*SUMIFS(Velocity!$I:$I,Velocity!$A:$A,$A322,Velocity!$B:$B,$C322)/Assumptions!$B$4*Assumptions!$B$6</f>
        <v>0</v>
      </c>
      <c r="AT322" s="7" t="n">
        <f aca="false">SUMIFS(Doors!BF:BF,Doors!$A:$A,$D322,Doors!$B:$B,$B322,Doors!$C:$C,$C322)*SUMIFS(Velocity!$I:$I,Velocity!$A:$A,$A322,Velocity!$B:$B,$C322)/Assumptions!$B$4*Assumptions!$B$6</f>
        <v>0</v>
      </c>
      <c r="AU322" s="7" t="n">
        <f aca="false">SUMIFS(Doors!BG:BG,Doors!$A:$A,$D322,Doors!$B:$B,$B322,Doors!$C:$C,$C322)*SUMIFS(Velocity!$I:$I,Velocity!$A:$A,$A322,Velocity!$B:$B,$C322)/Assumptions!$B$4*Assumptions!$B$6</f>
        <v>0</v>
      </c>
      <c r="AV322" s="7" t="n">
        <f aca="false">SUMIFS(Doors!BH:BH,Doors!$A:$A,$D322,Doors!$B:$B,$B322,Doors!$C:$C,$C322)*SUMIFS(Velocity!$I:$I,Velocity!$A:$A,$A322,Velocity!$B:$B,$C322)/Assumptions!$B$4*Assumptions!$B$6</f>
        <v>0</v>
      </c>
      <c r="AW322" s="7" t="n">
        <f aca="false">SUMIFS(Doors!BI:BI,Doors!$A:$A,$D322,Doors!$B:$B,$B322,Doors!$C:$C,$C322)*SUMIFS(Velocity!$I:$I,Velocity!$A:$A,$A322,Velocity!$B:$B,$C322)/Assumptions!$B$4*Assumptions!$B$6</f>
        <v>0</v>
      </c>
      <c r="AX322" s="7" t="n">
        <f aca="false">SUMIFS(Doors!BJ:BJ,Doors!$A:$A,$D322,Doors!$B:$B,$B322,Doors!$C:$C,$C322)*SUMIFS(Velocity!$I:$I,Velocity!$A:$A,$A322,Velocity!$B:$B,$C322)/Assumptions!$B$4*Assumptions!$B$6</f>
        <v>0</v>
      </c>
      <c r="AY322" s="7" t="n">
        <f aca="false">SUMIFS(Doors!BK:BK,Doors!$A:$A,$D322,Doors!$B:$B,$B322,Doors!$C:$C,$C322)*SUMIFS(Velocity!$I:$I,Velocity!$A:$A,$A322,Velocity!$B:$B,$C322)/Assumptions!$B$4*Assumptions!$B$6</f>
        <v>0</v>
      </c>
      <c r="AZ322" s="7" t="n">
        <f aca="false">SUMIFS(Doors!BL:BL,Doors!$A:$A,$D322,Doors!$B:$B,$B322,Doors!$C:$C,$C322)*SUMIFS(Velocity!$I:$I,Velocity!$A:$A,$A322,Velocity!$B:$B,$C322)/Assumptions!$B$4*Assumptions!$B$6</f>
        <v>0</v>
      </c>
      <c r="BA322" s="7" t="n">
        <f aca="false">SUMIFS(Doors!BM:BM,Doors!$A:$A,$D322,Doors!$B:$B,$B322,Doors!$C:$C,$C322)*SUMIFS(Velocity!$I:$I,Velocity!$A:$A,$A322,Velocity!$B:$B,$C322)/Assumptions!$B$4*Assumptions!$B$6</f>
        <v>0</v>
      </c>
      <c r="BB322" s="7" t="n">
        <f aca="false">SUMIFS(Doors!BN:BN,Doors!$A:$A,$D322,Doors!$B:$B,$B322,Doors!$C:$C,$C322)*SUMIFS(Velocity!$I:$I,Velocity!$A:$A,$A322,Velocity!$B:$B,$C322)/Assumptions!$B$4*Assumptions!$B$6</f>
        <v>0</v>
      </c>
      <c r="BC322" s="7" t="n">
        <f aca="false">SUMIFS(Doors!BO:BO,Doors!$A:$A,$D322,Doors!$B:$B,$B322,Doors!$C:$C,$C322)*SUMIFS(Velocity!$I:$I,Velocity!$A:$A,$A322,Velocity!$B:$B,$C322)/Assumptions!$B$4*Assumptions!$B$6</f>
        <v>0</v>
      </c>
      <c r="BD322" s="7" t="n">
        <f aca="false">SUMIFS(Doors!BP:BP,Doors!$A:$A,$D322,Doors!$B:$B,$B322,Doors!$C:$C,$C322)*SUMIFS(Velocity!$I:$I,Velocity!$A:$A,$A322,Velocity!$B:$B,$C322)/Assumptions!$B$4*Assumptions!$B$6</f>
        <v>0</v>
      </c>
    </row>
    <row r="323" customFormat="false" ht="15" hidden="false" customHeight="false" outlineLevel="0" collapsed="false">
      <c r="A323" s="0" t="s">
        <v>111</v>
      </c>
      <c r="B323" s="0" t="s">
        <v>131</v>
      </c>
      <c r="C323" s="0" t="s">
        <v>117</v>
      </c>
      <c r="D323" s="0" t="s">
        <v>236</v>
      </c>
      <c r="E323" s="7" t="n">
        <f aca="false">SUMIFS(Doors!Q:Q,Doors!$A:$A,$D323,Doors!$B:$B,$B323,Doors!$C:$C,$C323)*SUMIFS(Velocity!$I:$I,Velocity!$A:$A,$A323,Velocity!$B:$B,$C323)/Assumptions!$B$4*Assumptions!$B$6</f>
        <v>0</v>
      </c>
      <c r="F323" s="7" t="n">
        <f aca="false">SUMIFS(Doors!R:R,Doors!$A:$A,$D323,Doors!$B:$B,$B323,Doors!$C:$C,$C323)*SUMIFS(Velocity!$I:$I,Velocity!$A:$A,$A323,Velocity!$B:$B,$C323)/Assumptions!$B$4*Assumptions!$B$6</f>
        <v>0</v>
      </c>
      <c r="G323" s="7" t="n">
        <f aca="false">SUMIFS(Doors!S:S,Doors!$A:$A,$D323,Doors!$B:$B,$B323,Doors!$C:$C,$C323)*SUMIFS(Velocity!$I:$I,Velocity!$A:$A,$A323,Velocity!$B:$B,$C323)/Assumptions!$B$4*Assumptions!$B$6</f>
        <v>0</v>
      </c>
      <c r="H323" s="7" t="n">
        <f aca="false">SUMIFS(Doors!T:T,Doors!$A:$A,$D323,Doors!$B:$B,$B323,Doors!$C:$C,$C323)*SUMIFS(Velocity!$I:$I,Velocity!$A:$A,$A323,Velocity!$B:$B,$C323)/Assumptions!$B$4*Assumptions!$B$6</f>
        <v>0</v>
      </c>
      <c r="I323" s="7" t="n">
        <f aca="false">SUMIFS(Doors!U:U,Doors!$A:$A,$D323,Doors!$B:$B,$B323,Doors!$C:$C,$C323)*SUMIFS(Velocity!$I:$I,Velocity!$A:$A,$A323,Velocity!$B:$B,$C323)/Assumptions!$B$4*Assumptions!$B$6</f>
        <v>0</v>
      </c>
      <c r="J323" s="7" t="n">
        <f aca="false">SUMIFS(Doors!V:V,Doors!$A:$A,$D323,Doors!$B:$B,$B323,Doors!$C:$C,$C323)*SUMIFS(Velocity!$I:$I,Velocity!$A:$A,$A323,Velocity!$B:$B,$C323)/Assumptions!$B$4*Assumptions!$B$6</f>
        <v>0</v>
      </c>
      <c r="K323" s="7" t="n">
        <f aca="false">SUMIFS(Doors!W:W,Doors!$A:$A,$D323,Doors!$B:$B,$B323,Doors!$C:$C,$C323)*SUMIFS(Velocity!$I:$I,Velocity!$A:$A,$A323,Velocity!$B:$B,$C323)/Assumptions!$B$4*Assumptions!$B$6</f>
        <v>0</v>
      </c>
      <c r="L323" s="7" t="n">
        <f aca="false">SUMIFS(Doors!X:X,Doors!$A:$A,$D323,Doors!$B:$B,$B323,Doors!$C:$C,$C323)*SUMIFS(Velocity!$I:$I,Velocity!$A:$A,$A323,Velocity!$B:$B,$C323)/Assumptions!$B$4*Assumptions!$B$6</f>
        <v>0</v>
      </c>
      <c r="M323" s="7" t="n">
        <f aca="false">SUMIFS(Doors!Y:Y,Doors!$A:$A,$D323,Doors!$B:$B,$B323,Doors!$C:$C,$C323)*SUMIFS(Velocity!$I:$I,Velocity!$A:$A,$A323,Velocity!$B:$B,$C323)/Assumptions!$B$4*Assumptions!$B$6</f>
        <v>0</v>
      </c>
      <c r="N323" s="7" t="n">
        <f aca="false">SUMIFS(Doors!Z:Z,Doors!$A:$A,$D323,Doors!$B:$B,$B323,Doors!$C:$C,$C323)*SUMIFS(Velocity!$I:$I,Velocity!$A:$A,$A323,Velocity!$B:$B,$C323)/Assumptions!$B$4*Assumptions!$B$6</f>
        <v>0</v>
      </c>
      <c r="O323" s="7" t="n">
        <f aca="false">SUMIFS(Doors!AA:AA,Doors!$A:$A,$D323,Doors!$B:$B,$B323,Doors!$C:$C,$C323)*SUMIFS(Velocity!$I:$I,Velocity!$A:$A,$A323,Velocity!$B:$B,$C323)/Assumptions!$B$4*Assumptions!$B$6</f>
        <v>0</v>
      </c>
      <c r="P323" s="7" t="n">
        <f aca="false">SUMIFS(Doors!AB:AB,Doors!$A:$A,$D323,Doors!$B:$B,$B323,Doors!$C:$C,$C323)*SUMIFS(Velocity!$I:$I,Velocity!$A:$A,$A323,Velocity!$B:$B,$C323)/Assumptions!$B$4*Assumptions!$B$6</f>
        <v>0</v>
      </c>
      <c r="Q323" s="7" t="n">
        <f aca="false">SUMIFS(Doors!AC:AC,Doors!$A:$A,$D323,Doors!$B:$B,$B323,Doors!$C:$C,$C323)*SUMIFS(Velocity!$I:$I,Velocity!$A:$A,$A323,Velocity!$B:$B,$C323)/Assumptions!$B$4*Assumptions!$B$6</f>
        <v>0</v>
      </c>
      <c r="R323" s="7" t="n">
        <f aca="false">SUMIFS(Doors!AD:AD,Doors!$A:$A,$D323,Doors!$B:$B,$B323,Doors!$C:$C,$C323)*SUMIFS(Velocity!$I:$I,Velocity!$A:$A,$A323,Velocity!$B:$B,$C323)/Assumptions!$B$4*Assumptions!$B$6</f>
        <v>0</v>
      </c>
      <c r="S323" s="7" t="n">
        <f aca="false">SUMIFS(Doors!AE:AE,Doors!$A:$A,$D323,Doors!$B:$B,$B323,Doors!$C:$C,$C323)*SUMIFS(Velocity!$I:$I,Velocity!$A:$A,$A323,Velocity!$B:$B,$C323)/Assumptions!$B$4*Assumptions!$B$6</f>
        <v>0</v>
      </c>
      <c r="T323" s="7" t="n">
        <f aca="false">SUMIFS(Doors!AF:AF,Doors!$A:$A,$D323,Doors!$B:$B,$B323,Doors!$C:$C,$C323)*SUMIFS(Velocity!$I:$I,Velocity!$A:$A,$A323,Velocity!$B:$B,$C323)/Assumptions!$B$4*Assumptions!$B$6</f>
        <v>0</v>
      </c>
      <c r="U323" s="7" t="n">
        <f aca="false">SUMIFS(Doors!AG:AG,Doors!$A:$A,$D323,Doors!$B:$B,$B323,Doors!$C:$C,$C323)*SUMIFS(Velocity!$I:$I,Velocity!$A:$A,$A323,Velocity!$B:$B,$C323)/Assumptions!$B$4*Assumptions!$B$6</f>
        <v>0</v>
      </c>
      <c r="V323" s="7" t="n">
        <f aca="false">SUMIFS(Doors!AH:AH,Doors!$A:$A,$D323,Doors!$B:$B,$B323,Doors!$C:$C,$C323)*SUMIFS(Velocity!$I:$I,Velocity!$A:$A,$A323,Velocity!$B:$B,$C323)/Assumptions!$B$4*Assumptions!$B$6</f>
        <v>0</v>
      </c>
      <c r="W323" s="7" t="n">
        <f aca="false">SUMIFS(Doors!AI:AI,Doors!$A:$A,$D323,Doors!$B:$B,$B323,Doors!$C:$C,$C323)*SUMIFS(Velocity!$I:$I,Velocity!$A:$A,$A323,Velocity!$B:$B,$C323)/Assumptions!$B$4*Assumptions!$B$6</f>
        <v>0</v>
      </c>
      <c r="X323" s="7" t="n">
        <f aca="false">SUMIFS(Doors!AJ:AJ,Doors!$A:$A,$D323,Doors!$B:$B,$B323,Doors!$C:$C,$C323)*SUMIFS(Velocity!$I:$I,Velocity!$A:$A,$A323,Velocity!$B:$B,$C323)/Assumptions!$B$4*Assumptions!$B$6</f>
        <v>0</v>
      </c>
      <c r="Y323" s="7" t="n">
        <f aca="false">SUMIFS(Doors!AK:AK,Doors!$A:$A,$D323,Doors!$B:$B,$B323,Doors!$C:$C,$C323)*SUMIFS(Velocity!$I:$I,Velocity!$A:$A,$A323,Velocity!$B:$B,$C323)/Assumptions!$B$4*Assumptions!$B$6</f>
        <v>0</v>
      </c>
      <c r="Z323" s="7" t="n">
        <f aca="false">SUMIFS(Doors!AL:AL,Doors!$A:$A,$D323,Doors!$B:$B,$B323,Doors!$C:$C,$C323)*SUMIFS(Velocity!$I:$I,Velocity!$A:$A,$A323,Velocity!$B:$B,$C323)/Assumptions!$B$4*Assumptions!$B$6</f>
        <v>0</v>
      </c>
      <c r="AA323" s="7" t="n">
        <f aca="false">SUMIFS(Doors!AM:AM,Doors!$A:$A,$D323,Doors!$B:$B,$B323,Doors!$C:$C,$C323)*SUMIFS(Velocity!$I:$I,Velocity!$A:$A,$A323,Velocity!$B:$B,$C323)/Assumptions!$B$4*Assumptions!$B$6</f>
        <v>0</v>
      </c>
      <c r="AB323" s="7" t="n">
        <f aca="false">SUMIFS(Doors!AN:AN,Doors!$A:$A,$D323,Doors!$B:$B,$B323,Doors!$C:$C,$C323)*SUMIFS(Velocity!$I:$I,Velocity!$A:$A,$A323,Velocity!$B:$B,$C323)/Assumptions!$B$4*Assumptions!$B$6</f>
        <v>0</v>
      </c>
      <c r="AC323" s="7" t="n">
        <f aca="false">SUMIFS(Doors!AO:AO,Doors!$A:$A,$D323,Doors!$B:$B,$B323,Doors!$C:$C,$C323)*SUMIFS(Velocity!$I:$I,Velocity!$A:$A,$A323,Velocity!$B:$B,$C323)/Assumptions!$B$4*Assumptions!$B$6</f>
        <v>0</v>
      </c>
      <c r="AD323" s="7" t="n">
        <f aca="false">SUMIFS(Doors!AP:AP,Doors!$A:$A,$D323,Doors!$B:$B,$B323,Doors!$C:$C,$C323)*SUMIFS(Velocity!$I:$I,Velocity!$A:$A,$A323,Velocity!$B:$B,$C323)/Assumptions!$B$4*Assumptions!$B$6</f>
        <v>0</v>
      </c>
      <c r="AE323" s="7" t="n">
        <f aca="false">SUMIFS(Doors!AQ:AQ,Doors!$A:$A,$D323,Doors!$B:$B,$B323,Doors!$C:$C,$C323)*SUMIFS(Velocity!$I:$I,Velocity!$A:$A,$A323,Velocity!$B:$B,$C323)/Assumptions!$B$4*Assumptions!$B$6</f>
        <v>0</v>
      </c>
      <c r="AF323" s="7" t="n">
        <f aca="false">SUMIFS(Doors!AR:AR,Doors!$A:$A,$D323,Doors!$B:$B,$B323,Doors!$C:$C,$C323)*SUMIFS(Velocity!$I:$I,Velocity!$A:$A,$A323,Velocity!$B:$B,$C323)/Assumptions!$B$4*Assumptions!$B$6</f>
        <v>0</v>
      </c>
      <c r="AG323" s="7" t="n">
        <f aca="false">SUMIFS(Doors!AS:AS,Doors!$A:$A,$D323,Doors!$B:$B,$B323,Doors!$C:$C,$C323)*SUMIFS(Velocity!$I:$I,Velocity!$A:$A,$A323,Velocity!$B:$B,$C323)/Assumptions!$B$4*Assumptions!$B$6</f>
        <v>0</v>
      </c>
      <c r="AH323" s="7" t="n">
        <f aca="false">SUMIFS(Doors!AT:AT,Doors!$A:$A,$D323,Doors!$B:$B,$B323,Doors!$C:$C,$C323)*SUMIFS(Velocity!$I:$I,Velocity!$A:$A,$A323,Velocity!$B:$B,$C323)/Assumptions!$B$4*Assumptions!$B$6</f>
        <v>0</v>
      </c>
      <c r="AI323" s="7" t="n">
        <f aca="false">SUMIFS(Doors!AU:AU,Doors!$A:$A,$D323,Doors!$B:$B,$B323,Doors!$C:$C,$C323)*SUMIFS(Velocity!$I:$I,Velocity!$A:$A,$A323,Velocity!$B:$B,$C323)/Assumptions!$B$4*Assumptions!$B$6</f>
        <v>0</v>
      </c>
      <c r="AJ323" s="7" t="n">
        <f aca="false">SUMIFS(Doors!AV:AV,Doors!$A:$A,$D323,Doors!$B:$B,$B323,Doors!$C:$C,$C323)*SUMIFS(Velocity!$I:$I,Velocity!$A:$A,$A323,Velocity!$B:$B,$C323)/Assumptions!$B$4*Assumptions!$B$6</f>
        <v>0</v>
      </c>
      <c r="AK323" s="7" t="n">
        <f aca="false">SUMIFS(Doors!AW:AW,Doors!$A:$A,$D323,Doors!$B:$B,$B323,Doors!$C:$C,$C323)*SUMIFS(Velocity!$I:$I,Velocity!$A:$A,$A323,Velocity!$B:$B,$C323)/Assumptions!$B$4*Assumptions!$B$6</f>
        <v>0</v>
      </c>
      <c r="AL323" s="7" t="n">
        <f aca="false">SUMIFS(Doors!AX:AX,Doors!$A:$A,$D323,Doors!$B:$B,$B323,Doors!$C:$C,$C323)*SUMIFS(Velocity!$I:$I,Velocity!$A:$A,$A323,Velocity!$B:$B,$C323)/Assumptions!$B$4*Assumptions!$B$6</f>
        <v>0</v>
      </c>
      <c r="AM323" s="7" t="n">
        <f aca="false">SUMIFS(Doors!AY:AY,Doors!$A:$A,$D323,Doors!$B:$B,$B323,Doors!$C:$C,$C323)*SUMIFS(Velocity!$I:$I,Velocity!$A:$A,$A323,Velocity!$B:$B,$C323)/Assumptions!$B$4*Assumptions!$B$6</f>
        <v>0</v>
      </c>
      <c r="AN323" s="7" t="n">
        <f aca="false">SUMIFS(Doors!AZ:AZ,Doors!$A:$A,$D323,Doors!$B:$B,$B323,Doors!$C:$C,$C323)*SUMIFS(Velocity!$I:$I,Velocity!$A:$A,$A323,Velocity!$B:$B,$C323)/Assumptions!$B$4*Assumptions!$B$6</f>
        <v>0</v>
      </c>
      <c r="AO323" s="7" t="n">
        <f aca="false">SUMIFS(Doors!BA:BA,Doors!$A:$A,$D323,Doors!$B:$B,$B323,Doors!$C:$C,$C323)*SUMIFS(Velocity!$I:$I,Velocity!$A:$A,$A323,Velocity!$B:$B,$C323)/Assumptions!$B$4*Assumptions!$B$6</f>
        <v>0</v>
      </c>
      <c r="AP323" s="7" t="n">
        <f aca="false">SUMIFS(Doors!BB:BB,Doors!$A:$A,$D323,Doors!$B:$B,$B323,Doors!$C:$C,$C323)*SUMIFS(Velocity!$I:$I,Velocity!$A:$A,$A323,Velocity!$B:$B,$C323)/Assumptions!$B$4*Assumptions!$B$6</f>
        <v>0</v>
      </c>
      <c r="AQ323" s="7" t="n">
        <f aca="false">SUMIFS(Doors!BC:BC,Doors!$A:$A,$D323,Doors!$B:$B,$B323,Doors!$C:$C,$C323)*SUMIFS(Velocity!$I:$I,Velocity!$A:$A,$A323,Velocity!$B:$B,$C323)/Assumptions!$B$4*Assumptions!$B$6</f>
        <v>0</v>
      </c>
      <c r="AR323" s="7" t="n">
        <f aca="false">SUMIFS(Doors!BD:BD,Doors!$A:$A,$D323,Doors!$B:$B,$B323,Doors!$C:$C,$C323)*SUMIFS(Velocity!$I:$I,Velocity!$A:$A,$A323,Velocity!$B:$B,$C323)/Assumptions!$B$4*Assumptions!$B$6</f>
        <v>0</v>
      </c>
      <c r="AS323" s="7" t="n">
        <f aca="false">SUMIFS(Doors!BE:BE,Doors!$A:$A,$D323,Doors!$B:$B,$B323,Doors!$C:$C,$C323)*SUMIFS(Velocity!$I:$I,Velocity!$A:$A,$A323,Velocity!$B:$B,$C323)/Assumptions!$B$4*Assumptions!$B$6</f>
        <v>0</v>
      </c>
      <c r="AT323" s="7" t="n">
        <f aca="false">SUMIFS(Doors!BF:BF,Doors!$A:$A,$D323,Doors!$B:$B,$B323,Doors!$C:$C,$C323)*SUMIFS(Velocity!$I:$I,Velocity!$A:$A,$A323,Velocity!$B:$B,$C323)/Assumptions!$B$4*Assumptions!$B$6</f>
        <v>0</v>
      </c>
      <c r="AU323" s="7" t="n">
        <f aca="false">SUMIFS(Doors!BG:BG,Doors!$A:$A,$D323,Doors!$B:$B,$B323,Doors!$C:$C,$C323)*SUMIFS(Velocity!$I:$I,Velocity!$A:$A,$A323,Velocity!$B:$B,$C323)/Assumptions!$B$4*Assumptions!$B$6</f>
        <v>0</v>
      </c>
      <c r="AV323" s="7" t="n">
        <f aca="false">SUMIFS(Doors!BH:BH,Doors!$A:$A,$D323,Doors!$B:$B,$B323,Doors!$C:$C,$C323)*SUMIFS(Velocity!$I:$I,Velocity!$A:$A,$A323,Velocity!$B:$B,$C323)/Assumptions!$B$4*Assumptions!$B$6</f>
        <v>0</v>
      </c>
      <c r="AW323" s="7" t="n">
        <f aca="false">SUMIFS(Doors!BI:BI,Doors!$A:$A,$D323,Doors!$B:$B,$B323,Doors!$C:$C,$C323)*SUMIFS(Velocity!$I:$I,Velocity!$A:$A,$A323,Velocity!$B:$B,$C323)/Assumptions!$B$4*Assumptions!$B$6</f>
        <v>0</v>
      </c>
      <c r="AX323" s="7" t="n">
        <f aca="false">SUMIFS(Doors!BJ:BJ,Doors!$A:$A,$D323,Doors!$B:$B,$B323,Doors!$C:$C,$C323)*SUMIFS(Velocity!$I:$I,Velocity!$A:$A,$A323,Velocity!$B:$B,$C323)/Assumptions!$B$4*Assumptions!$B$6</f>
        <v>0</v>
      </c>
      <c r="AY323" s="7" t="n">
        <f aca="false">SUMIFS(Doors!BK:BK,Doors!$A:$A,$D323,Doors!$B:$B,$B323,Doors!$C:$C,$C323)*SUMIFS(Velocity!$I:$I,Velocity!$A:$A,$A323,Velocity!$B:$B,$C323)/Assumptions!$B$4*Assumptions!$B$6</f>
        <v>0</v>
      </c>
      <c r="AZ323" s="7" t="n">
        <f aca="false">SUMIFS(Doors!BL:BL,Doors!$A:$A,$D323,Doors!$B:$B,$B323,Doors!$C:$C,$C323)*SUMIFS(Velocity!$I:$I,Velocity!$A:$A,$A323,Velocity!$B:$B,$C323)/Assumptions!$B$4*Assumptions!$B$6</f>
        <v>0</v>
      </c>
      <c r="BA323" s="7" t="n">
        <f aca="false">SUMIFS(Doors!BM:BM,Doors!$A:$A,$D323,Doors!$B:$B,$B323,Doors!$C:$C,$C323)*SUMIFS(Velocity!$I:$I,Velocity!$A:$A,$A323,Velocity!$B:$B,$C323)/Assumptions!$B$4*Assumptions!$B$6</f>
        <v>0</v>
      </c>
      <c r="BB323" s="7" t="n">
        <f aca="false">SUMIFS(Doors!BN:BN,Doors!$A:$A,$D323,Doors!$B:$B,$B323,Doors!$C:$C,$C323)*SUMIFS(Velocity!$I:$I,Velocity!$A:$A,$A323,Velocity!$B:$B,$C323)/Assumptions!$B$4*Assumptions!$B$6</f>
        <v>0</v>
      </c>
      <c r="BC323" s="7" t="n">
        <f aca="false">SUMIFS(Doors!BO:BO,Doors!$A:$A,$D323,Doors!$B:$B,$B323,Doors!$C:$C,$C323)*SUMIFS(Velocity!$I:$I,Velocity!$A:$A,$A323,Velocity!$B:$B,$C323)/Assumptions!$B$4*Assumptions!$B$6</f>
        <v>0</v>
      </c>
      <c r="BD323" s="7" t="n">
        <f aca="false">SUMIFS(Doors!BP:BP,Doors!$A:$A,$D323,Doors!$B:$B,$B323,Doors!$C:$C,$C323)*SUMIFS(Velocity!$I:$I,Velocity!$A:$A,$A323,Velocity!$B:$B,$C323)/Assumptions!$B$4*Assumptions!$B$6</f>
        <v>0</v>
      </c>
    </row>
    <row r="324" customFormat="false" ht="15" hidden="false" customHeight="false" outlineLevel="0" collapsed="false">
      <c r="A324" s="0" t="s">
        <v>111</v>
      </c>
      <c r="B324" s="0" t="s">
        <v>131</v>
      </c>
      <c r="C324" s="0" t="s">
        <v>118</v>
      </c>
      <c r="D324" s="0" t="s">
        <v>236</v>
      </c>
      <c r="E324" s="7" t="n">
        <f aca="false">SUMIFS(Doors!Q:Q,Doors!$A:$A,$D324,Doors!$B:$B,$B324,Doors!$C:$C,$C324)*SUMIFS(Velocity!$I:$I,Velocity!$A:$A,$A324,Velocity!$B:$B,$C324)/Assumptions!$B$4*Assumptions!$B$6</f>
        <v>0</v>
      </c>
      <c r="F324" s="7" t="n">
        <f aca="false">SUMIFS(Doors!R:R,Doors!$A:$A,$D324,Doors!$B:$B,$B324,Doors!$C:$C,$C324)*SUMIFS(Velocity!$I:$I,Velocity!$A:$A,$A324,Velocity!$B:$B,$C324)/Assumptions!$B$4*Assumptions!$B$6</f>
        <v>0</v>
      </c>
      <c r="G324" s="7" t="n">
        <f aca="false">SUMIFS(Doors!S:S,Doors!$A:$A,$D324,Doors!$B:$B,$B324,Doors!$C:$C,$C324)*SUMIFS(Velocity!$I:$I,Velocity!$A:$A,$A324,Velocity!$B:$B,$C324)/Assumptions!$B$4*Assumptions!$B$6</f>
        <v>0</v>
      </c>
      <c r="H324" s="7" t="n">
        <f aca="false">SUMIFS(Doors!T:T,Doors!$A:$A,$D324,Doors!$B:$B,$B324,Doors!$C:$C,$C324)*SUMIFS(Velocity!$I:$I,Velocity!$A:$A,$A324,Velocity!$B:$B,$C324)/Assumptions!$B$4*Assumptions!$B$6</f>
        <v>0</v>
      </c>
      <c r="I324" s="7" t="n">
        <f aca="false">SUMIFS(Doors!U:U,Doors!$A:$A,$D324,Doors!$B:$B,$B324,Doors!$C:$C,$C324)*SUMIFS(Velocity!$I:$I,Velocity!$A:$A,$A324,Velocity!$B:$B,$C324)/Assumptions!$B$4*Assumptions!$B$6</f>
        <v>0</v>
      </c>
      <c r="J324" s="7" t="n">
        <f aca="false">SUMIFS(Doors!V:V,Doors!$A:$A,$D324,Doors!$B:$B,$B324,Doors!$C:$C,$C324)*SUMIFS(Velocity!$I:$I,Velocity!$A:$A,$A324,Velocity!$B:$B,$C324)/Assumptions!$B$4*Assumptions!$B$6</f>
        <v>0</v>
      </c>
      <c r="K324" s="7" t="n">
        <f aca="false">SUMIFS(Doors!W:W,Doors!$A:$A,$D324,Doors!$B:$B,$B324,Doors!$C:$C,$C324)*SUMIFS(Velocity!$I:$I,Velocity!$A:$A,$A324,Velocity!$B:$B,$C324)/Assumptions!$B$4*Assumptions!$B$6</f>
        <v>0</v>
      </c>
      <c r="L324" s="7" t="n">
        <f aca="false">SUMIFS(Doors!X:X,Doors!$A:$A,$D324,Doors!$B:$B,$B324,Doors!$C:$C,$C324)*SUMIFS(Velocity!$I:$I,Velocity!$A:$A,$A324,Velocity!$B:$B,$C324)/Assumptions!$B$4*Assumptions!$B$6</f>
        <v>0</v>
      </c>
      <c r="M324" s="7" t="n">
        <f aca="false">SUMIFS(Doors!Y:Y,Doors!$A:$A,$D324,Doors!$B:$B,$B324,Doors!$C:$C,$C324)*SUMIFS(Velocity!$I:$I,Velocity!$A:$A,$A324,Velocity!$B:$B,$C324)/Assumptions!$B$4*Assumptions!$B$6</f>
        <v>0</v>
      </c>
      <c r="N324" s="7" t="n">
        <f aca="false">SUMIFS(Doors!Z:Z,Doors!$A:$A,$D324,Doors!$B:$B,$B324,Doors!$C:$C,$C324)*SUMIFS(Velocity!$I:$I,Velocity!$A:$A,$A324,Velocity!$B:$B,$C324)/Assumptions!$B$4*Assumptions!$B$6</f>
        <v>0</v>
      </c>
      <c r="O324" s="7" t="n">
        <f aca="false">SUMIFS(Doors!AA:AA,Doors!$A:$A,$D324,Doors!$B:$B,$B324,Doors!$C:$C,$C324)*SUMIFS(Velocity!$I:$I,Velocity!$A:$A,$A324,Velocity!$B:$B,$C324)/Assumptions!$B$4*Assumptions!$B$6</f>
        <v>0</v>
      </c>
      <c r="P324" s="7" t="n">
        <f aca="false">SUMIFS(Doors!AB:AB,Doors!$A:$A,$D324,Doors!$B:$B,$B324,Doors!$C:$C,$C324)*SUMIFS(Velocity!$I:$I,Velocity!$A:$A,$A324,Velocity!$B:$B,$C324)/Assumptions!$B$4*Assumptions!$B$6</f>
        <v>0</v>
      </c>
      <c r="Q324" s="7" t="n">
        <f aca="false">SUMIFS(Doors!AC:AC,Doors!$A:$A,$D324,Doors!$B:$B,$B324,Doors!$C:$C,$C324)*SUMIFS(Velocity!$I:$I,Velocity!$A:$A,$A324,Velocity!$B:$B,$C324)/Assumptions!$B$4*Assumptions!$B$6</f>
        <v>0</v>
      </c>
      <c r="R324" s="7" t="n">
        <f aca="false">SUMIFS(Doors!AD:AD,Doors!$A:$A,$D324,Doors!$B:$B,$B324,Doors!$C:$C,$C324)*SUMIFS(Velocity!$I:$I,Velocity!$A:$A,$A324,Velocity!$B:$B,$C324)/Assumptions!$B$4*Assumptions!$B$6</f>
        <v>0</v>
      </c>
      <c r="S324" s="7" t="n">
        <f aca="false">SUMIFS(Doors!AE:AE,Doors!$A:$A,$D324,Doors!$B:$B,$B324,Doors!$C:$C,$C324)*SUMIFS(Velocity!$I:$I,Velocity!$A:$A,$A324,Velocity!$B:$B,$C324)/Assumptions!$B$4*Assumptions!$B$6</f>
        <v>0</v>
      </c>
      <c r="T324" s="7" t="n">
        <f aca="false">SUMIFS(Doors!AF:AF,Doors!$A:$A,$D324,Doors!$B:$B,$B324,Doors!$C:$C,$C324)*SUMIFS(Velocity!$I:$I,Velocity!$A:$A,$A324,Velocity!$B:$B,$C324)/Assumptions!$B$4*Assumptions!$B$6</f>
        <v>0</v>
      </c>
      <c r="U324" s="7" t="n">
        <f aca="false">SUMIFS(Doors!AG:AG,Doors!$A:$A,$D324,Doors!$B:$B,$B324,Doors!$C:$C,$C324)*SUMIFS(Velocity!$I:$I,Velocity!$A:$A,$A324,Velocity!$B:$B,$C324)/Assumptions!$B$4*Assumptions!$B$6</f>
        <v>0</v>
      </c>
      <c r="V324" s="7" t="n">
        <f aca="false">SUMIFS(Doors!AH:AH,Doors!$A:$A,$D324,Doors!$B:$B,$B324,Doors!$C:$C,$C324)*SUMIFS(Velocity!$I:$I,Velocity!$A:$A,$A324,Velocity!$B:$B,$C324)/Assumptions!$B$4*Assumptions!$B$6</f>
        <v>0</v>
      </c>
      <c r="W324" s="7" t="n">
        <f aca="false">SUMIFS(Doors!AI:AI,Doors!$A:$A,$D324,Doors!$B:$B,$B324,Doors!$C:$C,$C324)*SUMIFS(Velocity!$I:$I,Velocity!$A:$A,$A324,Velocity!$B:$B,$C324)/Assumptions!$B$4*Assumptions!$B$6</f>
        <v>0</v>
      </c>
      <c r="X324" s="7" t="n">
        <f aca="false">SUMIFS(Doors!AJ:AJ,Doors!$A:$A,$D324,Doors!$B:$B,$B324,Doors!$C:$C,$C324)*SUMIFS(Velocity!$I:$I,Velocity!$A:$A,$A324,Velocity!$B:$B,$C324)/Assumptions!$B$4*Assumptions!$B$6</f>
        <v>0</v>
      </c>
      <c r="Y324" s="7" t="n">
        <f aca="false">SUMIFS(Doors!AK:AK,Doors!$A:$A,$D324,Doors!$B:$B,$B324,Doors!$C:$C,$C324)*SUMIFS(Velocity!$I:$I,Velocity!$A:$A,$A324,Velocity!$B:$B,$C324)/Assumptions!$B$4*Assumptions!$B$6</f>
        <v>0</v>
      </c>
      <c r="Z324" s="7" t="n">
        <f aca="false">SUMIFS(Doors!AL:AL,Doors!$A:$A,$D324,Doors!$B:$B,$B324,Doors!$C:$C,$C324)*SUMIFS(Velocity!$I:$I,Velocity!$A:$A,$A324,Velocity!$B:$B,$C324)/Assumptions!$B$4*Assumptions!$B$6</f>
        <v>0</v>
      </c>
      <c r="AA324" s="7" t="n">
        <f aca="false">SUMIFS(Doors!AM:AM,Doors!$A:$A,$D324,Doors!$B:$B,$B324,Doors!$C:$C,$C324)*SUMIFS(Velocity!$I:$I,Velocity!$A:$A,$A324,Velocity!$B:$B,$C324)/Assumptions!$B$4*Assumptions!$B$6</f>
        <v>0</v>
      </c>
      <c r="AB324" s="7" t="n">
        <f aca="false">SUMIFS(Doors!AN:AN,Doors!$A:$A,$D324,Doors!$B:$B,$B324,Doors!$C:$C,$C324)*SUMIFS(Velocity!$I:$I,Velocity!$A:$A,$A324,Velocity!$B:$B,$C324)/Assumptions!$B$4*Assumptions!$B$6</f>
        <v>0</v>
      </c>
      <c r="AC324" s="7" t="n">
        <f aca="false">SUMIFS(Doors!AO:AO,Doors!$A:$A,$D324,Doors!$B:$B,$B324,Doors!$C:$C,$C324)*SUMIFS(Velocity!$I:$I,Velocity!$A:$A,$A324,Velocity!$B:$B,$C324)/Assumptions!$B$4*Assumptions!$B$6</f>
        <v>0</v>
      </c>
      <c r="AD324" s="7" t="n">
        <f aca="false">SUMIFS(Doors!AP:AP,Doors!$A:$A,$D324,Doors!$B:$B,$B324,Doors!$C:$C,$C324)*SUMIFS(Velocity!$I:$I,Velocity!$A:$A,$A324,Velocity!$B:$B,$C324)/Assumptions!$B$4*Assumptions!$B$6</f>
        <v>0</v>
      </c>
      <c r="AE324" s="7" t="n">
        <f aca="false">SUMIFS(Doors!AQ:AQ,Doors!$A:$A,$D324,Doors!$B:$B,$B324,Doors!$C:$C,$C324)*SUMIFS(Velocity!$I:$I,Velocity!$A:$A,$A324,Velocity!$B:$B,$C324)/Assumptions!$B$4*Assumptions!$B$6</f>
        <v>0</v>
      </c>
      <c r="AF324" s="7" t="n">
        <f aca="false">SUMIFS(Doors!AR:AR,Doors!$A:$A,$D324,Doors!$B:$B,$B324,Doors!$C:$C,$C324)*SUMIFS(Velocity!$I:$I,Velocity!$A:$A,$A324,Velocity!$B:$B,$C324)/Assumptions!$B$4*Assumptions!$B$6</f>
        <v>0</v>
      </c>
      <c r="AG324" s="7" t="n">
        <f aca="false">SUMIFS(Doors!AS:AS,Doors!$A:$A,$D324,Doors!$B:$B,$B324,Doors!$C:$C,$C324)*SUMIFS(Velocity!$I:$I,Velocity!$A:$A,$A324,Velocity!$B:$B,$C324)/Assumptions!$B$4*Assumptions!$B$6</f>
        <v>0</v>
      </c>
      <c r="AH324" s="7" t="n">
        <f aca="false">SUMIFS(Doors!AT:AT,Doors!$A:$A,$D324,Doors!$B:$B,$B324,Doors!$C:$C,$C324)*SUMIFS(Velocity!$I:$I,Velocity!$A:$A,$A324,Velocity!$B:$B,$C324)/Assumptions!$B$4*Assumptions!$B$6</f>
        <v>0</v>
      </c>
      <c r="AI324" s="7" t="n">
        <f aca="false">SUMIFS(Doors!AU:AU,Doors!$A:$A,$D324,Doors!$B:$B,$B324,Doors!$C:$C,$C324)*SUMIFS(Velocity!$I:$I,Velocity!$A:$A,$A324,Velocity!$B:$B,$C324)/Assumptions!$B$4*Assumptions!$B$6</f>
        <v>0</v>
      </c>
      <c r="AJ324" s="7" t="n">
        <f aca="false">SUMIFS(Doors!AV:AV,Doors!$A:$A,$D324,Doors!$B:$B,$B324,Doors!$C:$C,$C324)*SUMIFS(Velocity!$I:$I,Velocity!$A:$A,$A324,Velocity!$B:$B,$C324)/Assumptions!$B$4*Assumptions!$B$6</f>
        <v>0</v>
      </c>
      <c r="AK324" s="7" t="n">
        <f aca="false">SUMIFS(Doors!AW:AW,Doors!$A:$A,$D324,Doors!$B:$B,$B324,Doors!$C:$C,$C324)*SUMIFS(Velocity!$I:$I,Velocity!$A:$A,$A324,Velocity!$B:$B,$C324)/Assumptions!$B$4*Assumptions!$B$6</f>
        <v>0</v>
      </c>
      <c r="AL324" s="7" t="n">
        <f aca="false">SUMIFS(Doors!AX:AX,Doors!$A:$A,$D324,Doors!$B:$B,$B324,Doors!$C:$C,$C324)*SUMIFS(Velocity!$I:$I,Velocity!$A:$A,$A324,Velocity!$B:$B,$C324)/Assumptions!$B$4*Assumptions!$B$6</f>
        <v>0</v>
      </c>
      <c r="AM324" s="7" t="n">
        <f aca="false">SUMIFS(Doors!AY:AY,Doors!$A:$A,$D324,Doors!$B:$B,$B324,Doors!$C:$C,$C324)*SUMIFS(Velocity!$I:$I,Velocity!$A:$A,$A324,Velocity!$B:$B,$C324)/Assumptions!$B$4*Assumptions!$B$6</f>
        <v>0</v>
      </c>
      <c r="AN324" s="7" t="n">
        <f aca="false">SUMIFS(Doors!AZ:AZ,Doors!$A:$A,$D324,Doors!$B:$B,$B324,Doors!$C:$C,$C324)*SUMIFS(Velocity!$I:$I,Velocity!$A:$A,$A324,Velocity!$B:$B,$C324)/Assumptions!$B$4*Assumptions!$B$6</f>
        <v>0</v>
      </c>
      <c r="AO324" s="7" t="n">
        <f aca="false">SUMIFS(Doors!BA:BA,Doors!$A:$A,$D324,Doors!$B:$B,$B324,Doors!$C:$C,$C324)*SUMIFS(Velocity!$I:$I,Velocity!$A:$A,$A324,Velocity!$B:$B,$C324)/Assumptions!$B$4*Assumptions!$B$6</f>
        <v>0</v>
      </c>
      <c r="AP324" s="7" t="n">
        <f aca="false">SUMIFS(Doors!BB:BB,Doors!$A:$A,$D324,Doors!$B:$B,$B324,Doors!$C:$C,$C324)*SUMIFS(Velocity!$I:$I,Velocity!$A:$A,$A324,Velocity!$B:$B,$C324)/Assumptions!$B$4*Assumptions!$B$6</f>
        <v>0</v>
      </c>
      <c r="AQ324" s="7" t="n">
        <f aca="false">SUMIFS(Doors!BC:BC,Doors!$A:$A,$D324,Doors!$B:$B,$B324,Doors!$C:$C,$C324)*SUMIFS(Velocity!$I:$I,Velocity!$A:$A,$A324,Velocity!$B:$B,$C324)/Assumptions!$B$4*Assumptions!$B$6</f>
        <v>0</v>
      </c>
      <c r="AR324" s="7" t="n">
        <f aca="false">SUMIFS(Doors!BD:BD,Doors!$A:$A,$D324,Doors!$B:$B,$B324,Doors!$C:$C,$C324)*SUMIFS(Velocity!$I:$I,Velocity!$A:$A,$A324,Velocity!$B:$B,$C324)/Assumptions!$B$4*Assumptions!$B$6</f>
        <v>0</v>
      </c>
      <c r="AS324" s="7" t="n">
        <f aca="false">SUMIFS(Doors!BE:BE,Doors!$A:$A,$D324,Doors!$B:$B,$B324,Doors!$C:$C,$C324)*SUMIFS(Velocity!$I:$I,Velocity!$A:$A,$A324,Velocity!$B:$B,$C324)/Assumptions!$B$4*Assumptions!$B$6</f>
        <v>0</v>
      </c>
      <c r="AT324" s="7" t="n">
        <f aca="false">SUMIFS(Doors!BF:BF,Doors!$A:$A,$D324,Doors!$B:$B,$B324,Doors!$C:$C,$C324)*SUMIFS(Velocity!$I:$I,Velocity!$A:$A,$A324,Velocity!$B:$B,$C324)/Assumptions!$B$4*Assumptions!$B$6</f>
        <v>0</v>
      </c>
      <c r="AU324" s="7" t="n">
        <f aca="false">SUMIFS(Doors!BG:BG,Doors!$A:$A,$D324,Doors!$B:$B,$B324,Doors!$C:$C,$C324)*SUMIFS(Velocity!$I:$I,Velocity!$A:$A,$A324,Velocity!$B:$B,$C324)/Assumptions!$B$4*Assumptions!$B$6</f>
        <v>0</v>
      </c>
      <c r="AV324" s="7" t="n">
        <f aca="false">SUMIFS(Doors!BH:BH,Doors!$A:$A,$D324,Doors!$B:$B,$B324,Doors!$C:$C,$C324)*SUMIFS(Velocity!$I:$I,Velocity!$A:$A,$A324,Velocity!$B:$B,$C324)/Assumptions!$B$4*Assumptions!$B$6</f>
        <v>0</v>
      </c>
      <c r="AW324" s="7" t="n">
        <f aca="false">SUMIFS(Doors!BI:BI,Doors!$A:$A,$D324,Doors!$B:$B,$B324,Doors!$C:$C,$C324)*SUMIFS(Velocity!$I:$I,Velocity!$A:$A,$A324,Velocity!$B:$B,$C324)/Assumptions!$B$4*Assumptions!$B$6</f>
        <v>0</v>
      </c>
      <c r="AX324" s="7" t="n">
        <f aca="false">SUMIFS(Doors!BJ:BJ,Doors!$A:$A,$D324,Doors!$B:$B,$B324,Doors!$C:$C,$C324)*SUMIFS(Velocity!$I:$I,Velocity!$A:$A,$A324,Velocity!$B:$B,$C324)/Assumptions!$B$4*Assumptions!$B$6</f>
        <v>0</v>
      </c>
      <c r="AY324" s="7" t="n">
        <f aca="false">SUMIFS(Doors!BK:BK,Doors!$A:$A,$D324,Doors!$B:$B,$B324,Doors!$C:$C,$C324)*SUMIFS(Velocity!$I:$I,Velocity!$A:$A,$A324,Velocity!$B:$B,$C324)/Assumptions!$B$4*Assumptions!$B$6</f>
        <v>0</v>
      </c>
      <c r="AZ324" s="7" t="n">
        <f aca="false">SUMIFS(Doors!BL:BL,Doors!$A:$A,$D324,Doors!$B:$B,$B324,Doors!$C:$C,$C324)*SUMIFS(Velocity!$I:$I,Velocity!$A:$A,$A324,Velocity!$B:$B,$C324)/Assumptions!$B$4*Assumptions!$B$6</f>
        <v>0</v>
      </c>
      <c r="BA324" s="7" t="n">
        <f aca="false">SUMIFS(Doors!BM:BM,Doors!$A:$A,$D324,Doors!$B:$B,$B324,Doors!$C:$C,$C324)*SUMIFS(Velocity!$I:$I,Velocity!$A:$A,$A324,Velocity!$B:$B,$C324)/Assumptions!$B$4*Assumptions!$B$6</f>
        <v>0</v>
      </c>
      <c r="BB324" s="7" t="n">
        <f aca="false">SUMIFS(Doors!BN:BN,Doors!$A:$A,$D324,Doors!$B:$B,$B324,Doors!$C:$C,$C324)*SUMIFS(Velocity!$I:$I,Velocity!$A:$A,$A324,Velocity!$B:$B,$C324)/Assumptions!$B$4*Assumptions!$B$6</f>
        <v>0</v>
      </c>
      <c r="BC324" s="7" t="n">
        <f aca="false">SUMIFS(Doors!BO:BO,Doors!$A:$A,$D324,Doors!$B:$B,$B324,Doors!$C:$C,$C324)*SUMIFS(Velocity!$I:$I,Velocity!$A:$A,$A324,Velocity!$B:$B,$C324)/Assumptions!$B$4*Assumptions!$B$6</f>
        <v>0</v>
      </c>
      <c r="BD324" s="7" t="n">
        <f aca="false">SUMIFS(Doors!BP:BP,Doors!$A:$A,$D324,Doors!$B:$B,$B324,Doors!$C:$C,$C324)*SUMIFS(Velocity!$I:$I,Velocity!$A:$A,$A324,Velocity!$B:$B,$C324)/Assumptions!$B$4*Assumptions!$B$6</f>
        <v>0</v>
      </c>
    </row>
    <row r="325" customFormat="false" ht="15" hidden="false" customHeight="false" outlineLevel="0" collapsed="false">
      <c r="A325" s="0" t="s">
        <v>111</v>
      </c>
      <c r="B325" s="0" t="s">
        <v>131</v>
      </c>
      <c r="C325" s="0" t="s">
        <v>119</v>
      </c>
      <c r="D325" s="0" t="s">
        <v>236</v>
      </c>
      <c r="E325" s="7" t="n">
        <f aca="false">SUMIFS(Doors!Q:Q,Doors!$A:$A,$D325,Doors!$B:$B,$B325,Doors!$C:$C,$C325)*SUMIFS(Velocity!$I:$I,Velocity!$A:$A,$A325,Velocity!$B:$B,$C325)/Assumptions!$B$4*Assumptions!$B$6</f>
        <v>0</v>
      </c>
      <c r="F325" s="7" t="n">
        <f aca="false">SUMIFS(Doors!R:R,Doors!$A:$A,$D325,Doors!$B:$B,$B325,Doors!$C:$C,$C325)*SUMIFS(Velocity!$I:$I,Velocity!$A:$A,$A325,Velocity!$B:$B,$C325)/Assumptions!$B$4*Assumptions!$B$6</f>
        <v>0</v>
      </c>
      <c r="G325" s="7" t="n">
        <f aca="false">SUMIFS(Doors!S:S,Doors!$A:$A,$D325,Doors!$B:$B,$B325,Doors!$C:$C,$C325)*SUMIFS(Velocity!$I:$I,Velocity!$A:$A,$A325,Velocity!$B:$B,$C325)/Assumptions!$B$4*Assumptions!$B$6</f>
        <v>0</v>
      </c>
      <c r="H325" s="7" t="n">
        <f aca="false">SUMIFS(Doors!T:T,Doors!$A:$A,$D325,Doors!$B:$B,$B325,Doors!$C:$C,$C325)*SUMIFS(Velocity!$I:$I,Velocity!$A:$A,$A325,Velocity!$B:$B,$C325)/Assumptions!$B$4*Assumptions!$B$6</f>
        <v>0</v>
      </c>
      <c r="I325" s="7" t="n">
        <f aca="false">SUMIFS(Doors!U:U,Doors!$A:$A,$D325,Doors!$B:$B,$B325,Doors!$C:$C,$C325)*SUMIFS(Velocity!$I:$I,Velocity!$A:$A,$A325,Velocity!$B:$B,$C325)/Assumptions!$B$4*Assumptions!$B$6</f>
        <v>0</v>
      </c>
      <c r="J325" s="7" t="n">
        <f aca="false">SUMIFS(Doors!V:V,Doors!$A:$A,$D325,Doors!$B:$B,$B325,Doors!$C:$C,$C325)*SUMIFS(Velocity!$I:$I,Velocity!$A:$A,$A325,Velocity!$B:$B,$C325)/Assumptions!$B$4*Assumptions!$B$6</f>
        <v>0</v>
      </c>
      <c r="K325" s="7" t="n">
        <f aca="false">SUMIFS(Doors!W:W,Doors!$A:$A,$D325,Doors!$B:$B,$B325,Doors!$C:$C,$C325)*SUMIFS(Velocity!$I:$I,Velocity!$A:$A,$A325,Velocity!$B:$B,$C325)/Assumptions!$B$4*Assumptions!$B$6</f>
        <v>0</v>
      </c>
      <c r="L325" s="7" t="n">
        <f aca="false">SUMIFS(Doors!X:X,Doors!$A:$A,$D325,Doors!$B:$B,$B325,Doors!$C:$C,$C325)*SUMIFS(Velocity!$I:$I,Velocity!$A:$A,$A325,Velocity!$B:$B,$C325)/Assumptions!$B$4*Assumptions!$B$6</f>
        <v>0</v>
      </c>
      <c r="M325" s="7" t="n">
        <f aca="false">SUMIFS(Doors!Y:Y,Doors!$A:$A,$D325,Doors!$B:$B,$B325,Doors!$C:$C,$C325)*SUMIFS(Velocity!$I:$I,Velocity!$A:$A,$A325,Velocity!$B:$B,$C325)/Assumptions!$B$4*Assumptions!$B$6</f>
        <v>0</v>
      </c>
      <c r="N325" s="7" t="n">
        <f aca="false">SUMIFS(Doors!Z:Z,Doors!$A:$A,$D325,Doors!$B:$B,$B325,Doors!$C:$C,$C325)*SUMIFS(Velocity!$I:$I,Velocity!$A:$A,$A325,Velocity!$B:$B,$C325)/Assumptions!$B$4*Assumptions!$B$6</f>
        <v>0</v>
      </c>
      <c r="O325" s="7" t="n">
        <f aca="false">SUMIFS(Doors!AA:AA,Doors!$A:$A,$D325,Doors!$B:$B,$B325,Doors!$C:$C,$C325)*SUMIFS(Velocity!$I:$I,Velocity!$A:$A,$A325,Velocity!$B:$B,$C325)/Assumptions!$B$4*Assumptions!$B$6</f>
        <v>0</v>
      </c>
      <c r="P325" s="7" t="n">
        <f aca="false">SUMIFS(Doors!AB:AB,Doors!$A:$A,$D325,Doors!$B:$B,$B325,Doors!$C:$C,$C325)*SUMIFS(Velocity!$I:$I,Velocity!$A:$A,$A325,Velocity!$B:$B,$C325)/Assumptions!$B$4*Assumptions!$B$6</f>
        <v>0</v>
      </c>
      <c r="Q325" s="7" t="n">
        <f aca="false">SUMIFS(Doors!AC:AC,Doors!$A:$A,$D325,Doors!$B:$B,$B325,Doors!$C:$C,$C325)*SUMIFS(Velocity!$I:$I,Velocity!$A:$A,$A325,Velocity!$B:$B,$C325)/Assumptions!$B$4*Assumptions!$B$6</f>
        <v>0</v>
      </c>
      <c r="R325" s="7" t="n">
        <f aca="false">SUMIFS(Doors!AD:AD,Doors!$A:$A,$D325,Doors!$B:$B,$B325,Doors!$C:$C,$C325)*SUMIFS(Velocity!$I:$I,Velocity!$A:$A,$A325,Velocity!$B:$B,$C325)/Assumptions!$B$4*Assumptions!$B$6</f>
        <v>0</v>
      </c>
      <c r="S325" s="7" t="n">
        <f aca="false">SUMIFS(Doors!AE:AE,Doors!$A:$A,$D325,Doors!$B:$B,$B325,Doors!$C:$C,$C325)*SUMIFS(Velocity!$I:$I,Velocity!$A:$A,$A325,Velocity!$B:$B,$C325)/Assumptions!$B$4*Assumptions!$B$6</f>
        <v>0</v>
      </c>
      <c r="T325" s="7" t="n">
        <f aca="false">SUMIFS(Doors!AF:AF,Doors!$A:$A,$D325,Doors!$B:$B,$B325,Doors!$C:$C,$C325)*SUMIFS(Velocity!$I:$I,Velocity!$A:$A,$A325,Velocity!$B:$B,$C325)/Assumptions!$B$4*Assumptions!$B$6</f>
        <v>0</v>
      </c>
      <c r="U325" s="7" t="n">
        <f aca="false">SUMIFS(Doors!AG:AG,Doors!$A:$A,$D325,Doors!$B:$B,$B325,Doors!$C:$C,$C325)*SUMIFS(Velocity!$I:$I,Velocity!$A:$A,$A325,Velocity!$B:$B,$C325)/Assumptions!$B$4*Assumptions!$B$6</f>
        <v>0</v>
      </c>
      <c r="V325" s="7" t="n">
        <f aca="false">SUMIFS(Doors!AH:AH,Doors!$A:$A,$D325,Doors!$B:$B,$B325,Doors!$C:$C,$C325)*SUMIFS(Velocity!$I:$I,Velocity!$A:$A,$A325,Velocity!$B:$B,$C325)/Assumptions!$B$4*Assumptions!$B$6</f>
        <v>0</v>
      </c>
      <c r="W325" s="7" t="n">
        <f aca="false">SUMIFS(Doors!AI:AI,Doors!$A:$A,$D325,Doors!$B:$B,$B325,Doors!$C:$C,$C325)*SUMIFS(Velocity!$I:$I,Velocity!$A:$A,$A325,Velocity!$B:$B,$C325)/Assumptions!$B$4*Assumptions!$B$6</f>
        <v>0</v>
      </c>
      <c r="X325" s="7" t="n">
        <f aca="false">SUMIFS(Doors!AJ:AJ,Doors!$A:$A,$D325,Doors!$B:$B,$B325,Doors!$C:$C,$C325)*SUMIFS(Velocity!$I:$I,Velocity!$A:$A,$A325,Velocity!$B:$B,$C325)/Assumptions!$B$4*Assumptions!$B$6</f>
        <v>0</v>
      </c>
      <c r="Y325" s="7" t="n">
        <f aca="false">SUMIFS(Doors!AK:AK,Doors!$A:$A,$D325,Doors!$B:$B,$B325,Doors!$C:$C,$C325)*SUMIFS(Velocity!$I:$I,Velocity!$A:$A,$A325,Velocity!$B:$B,$C325)/Assumptions!$B$4*Assumptions!$B$6</f>
        <v>0</v>
      </c>
      <c r="Z325" s="7" t="n">
        <f aca="false">SUMIFS(Doors!AL:AL,Doors!$A:$A,$D325,Doors!$B:$B,$B325,Doors!$C:$C,$C325)*SUMIFS(Velocity!$I:$I,Velocity!$A:$A,$A325,Velocity!$B:$B,$C325)/Assumptions!$B$4*Assumptions!$B$6</f>
        <v>0</v>
      </c>
      <c r="AA325" s="7" t="n">
        <f aca="false">SUMIFS(Doors!AM:AM,Doors!$A:$A,$D325,Doors!$B:$B,$B325,Doors!$C:$C,$C325)*SUMIFS(Velocity!$I:$I,Velocity!$A:$A,$A325,Velocity!$B:$B,$C325)/Assumptions!$B$4*Assumptions!$B$6</f>
        <v>0</v>
      </c>
      <c r="AB325" s="7" t="n">
        <f aca="false">SUMIFS(Doors!AN:AN,Doors!$A:$A,$D325,Doors!$B:$B,$B325,Doors!$C:$C,$C325)*SUMIFS(Velocity!$I:$I,Velocity!$A:$A,$A325,Velocity!$B:$B,$C325)/Assumptions!$B$4*Assumptions!$B$6</f>
        <v>0</v>
      </c>
      <c r="AC325" s="7" t="n">
        <f aca="false">SUMIFS(Doors!AO:AO,Doors!$A:$A,$D325,Doors!$B:$B,$B325,Doors!$C:$C,$C325)*SUMIFS(Velocity!$I:$I,Velocity!$A:$A,$A325,Velocity!$B:$B,$C325)/Assumptions!$B$4*Assumptions!$B$6</f>
        <v>0</v>
      </c>
      <c r="AD325" s="7" t="n">
        <f aca="false">SUMIFS(Doors!AP:AP,Doors!$A:$A,$D325,Doors!$B:$B,$B325,Doors!$C:$C,$C325)*SUMIFS(Velocity!$I:$I,Velocity!$A:$A,$A325,Velocity!$B:$B,$C325)/Assumptions!$B$4*Assumptions!$B$6</f>
        <v>0</v>
      </c>
      <c r="AE325" s="7" t="n">
        <f aca="false">SUMIFS(Doors!AQ:AQ,Doors!$A:$A,$D325,Doors!$B:$B,$B325,Doors!$C:$C,$C325)*SUMIFS(Velocity!$I:$I,Velocity!$A:$A,$A325,Velocity!$B:$B,$C325)/Assumptions!$B$4*Assumptions!$B$6</f>
        <v>0</v>
      </c>
      <c r="AF325" s="7" t="n">
        <f aca="false">SUMIFS(Doors!AR:AR,Doors!$A:$A,$D325,Doors!$B:$B,$B325,Doors!$C:$C,$C325)*SUMIFS(Velocity!$I:$I,Velocity!$A:$A,$A325,Velocity!$B:$B,$C325)/Assumptions!$B$4*Assumptions!$B$6</f>
        <v>0</v>
      </c>
      <c r="AG325" s="7" t="n">
        <f aca="false">SUMIFS(Doors!AS:AS,Doors!$A:$A,$D325,Doors!$B:$B,$B325,Doors!$C:$C,$C325)*SUMIFS(Velocity!$I:$I,Velocity!$A:$A,$A325,Velocity!$B:$B,$C325)/Assumptions!$B$4*Assumptions!$B$6</f>
        <v>0</v>
      </c>
      <c r="AH325" s="7" t="n">
        <f aca="false">SUMIFS(Doors!AT:AT,Doors!$A:$A,$D325,Doors!$B:$B,$B325,Doors!$C:$C,$C325)*SUMIFS(Velocity!$I:$I,Velocity!$A:$A,$A325,Velocity!$B:$B,$C325)/Assumptions!$B$4*Assumptions!$B$6</f>
        <v>0</v>
      </c>
      <c r="AI325" s="7" t="n">
        <f aca="false">SUMIFS(Doors!AU:AU,Doors!$A:$A,$D325,Doors!$B:$B,$B325,Doors!$C:$C,$C325)*SUMIFS(Velocity!$I:$I,Velocity!$A:$A,$A325,Velocity!$B:$B,$C325)/Assumptions!$B$4*Assumptions!$B$6</f>
        <v>0</v>
      </c>
      <c r="AJ325" s="7" t="n">
        <f aca="false">SUMIFS(Doors!AV:AV,Doors!$A:$A,$D325,Doors!$B:$B,$B325,Doors!$C:$C,$C325)*SUMIFS(Velocity!$I:$I,Velocity!$A:$A,$A325,Velocity!$B:$B,$C325)/Assumptions!$B$4*Assumptions!$B$6</f>
        <v>0</v>
      </c>
      <c r="AK325" s="7" t="n">
        <f aca="false">SUMIFS(Doors!AW:AW,Doors!$A:$A,$D325,Doors!$B:$B,$B325,Doors!$C:$C,$C325)*SUMIFS(Velocity!$I:$I,Velocity!$A:$A,$A325,Velocity!$B:$B,$C325)/Assumptions!$B$4*Assumptions!$B$6</f>
        <v>0</v>
      </c>
      <c r="AL325" s="7" t="n">
        <f aca="false">SUMIFS(Doors!AX:AX,Doors!$A:$A,$D325,Doors!$B:$B,$B325,Doors!$C:$C,$C325)*SUMIFS(Velocity!$I:$I,Velocity!$A:$A,$A325,Velocity!$B:$B,$C325)/Assumptions!$B$4*Assumptions!$B$6</f>
        <v>0</v>
      </c>
      <c r="AM325" s="7" t="n">
        <f aca="false">SUMIFS(Doors!AY:AY,Doors!$A:$A,$D325,Doors!$B:$B,$B325,Doors!$C:$C,$C325)*SUMIFS(Velocity!$I:$I,Velocity!$A:$A,$A325,Velocity!$B:$B,$C325)/Assumptions!$B$4*Assumptions!$B$6</f>
        <v>0</v>
      </c>
      <c r="AN325" s="7" t="n">
        <f aca="false">SUMIFS(Doors!AZ:AZ,Doors!$A:$A,$D325,Doors!$B:$B,$B325,Doors!$C:$C,$C325)*SUMIFS(Velocity!$I:$I,Velocity!$A:$A,$A325,Velocity!$B:$B,$C325)/Assumptions!$B$4*Assumptions!$B$6</f>
        <v>0</v>
      </c>
      <c r="AO325" s="7" t="n">
        <f aca="false">SUMIFS(Doors!BA:BA,Doors!$A:$A,$D325,Doors!$B:$B,$B325,Doors!$C:$C,$C325)*SUMIFS(Velocity!$I:$I,Velocity!$A:$A,$A325,Velocity!$B:$B,$C325)/Assumptions!$B$4*Assumptions!$B$6</f>
        <v>0</v>
      </c>
      <c r="AP325" s="7" t="n">
        <f aca="false">SUMIFS(Doors!BB:BB,Doors!$A:$A,$D325,Doors!$B:$B,$B325,Doors!$C:$C,$C325)*SUMIFS(Velocity!$I:$I,Velocity!$A:$A,$A325,Velocity!$B:$B,$C325)/Assumptions!$B$4*Assumptions!$B$6</f>
        <v>0</v>
      </c>
      <c r="AQ325" s="7" t="n">
        <f aca="false">SUMIFS(Doors!BC:BC,Doors!$A:$A,$D325,Doors!$B:$B,$B325,Doors!$C:$C,$C325)*SUMIFS(Velocity!$I:$I,Velocity!$A:$A,$A325,Velocity!$B:$B,$C325)/Assumptions!$B$4*Assumptions!$B$6</f>
        <v>0</v>
      </c>
      <c r="AR325" s="7" t="n">
        <f aca="false">SUMIFS(Doors!BD:BD,Doors!$A:$A,$D325,Doors!$B:$B,$B325,Doors!$C:$C,$C325)*SUMIFS(Velocity!$I:$I,Velocity!$A:$A,$A325,Velocity!$B:$B,$C325)/Assumptions!$B$4*Assumptions!$B$6</f>
        <v>0</v>
      </c>
      <c r="AS325" s="7" t="n">
        <f aca="false">SUMIFS(Doors!BE:BE,Doors!$A:$A,$D325,Doors!$B:$B,$B325,Doors!$C:$C,$C325)*SUMIFS(Velocity!$I:$I,Velocity!$A:$A,$A325,Velocity!$B:$B,$C325)/Assumptions!$B$4*Assumptions!$B$6</f>
        <v>0</v>
      </c>
      <c r="AT325" s="7" t="n">
        <f aca="false">SUMIFS(Doors!BF:BF,Doors!$A:$A,$D325,Doors!$B:$B,$B325,Doors!$C:$C,$C325)*SUMIFS(Velocity!$I:$I,Velocity!$A:$A,$A325,Velocity!$B:$B,$C325)/Assumptions!$B$4*Assumptions!$B$6</f>
        <v>0</v>
      </c>
      <c r="AU325" s="7" t="n">
        <f aca="false">SUMIFS(Doors!BG:BG,Doors!$A:$A,$D325,Doors!$B:$B,$B325,Doors!$C:$C,$C325)*SUMIFS(Velocity!$I:$I,Velocity!$A:$A,$A325,Velocity!$B:$B,$C325)/Assumptions!$B$4*Assumptions!$B$6</f>
        <v>0</v>
      </c>
      <c r="AV325" s="7" t="n">
        <f aca="false">SUMIFS(Doors!BH:BH,Doors!$A:$A,$D325,Doors!$B:$B,$B325,Doors!$C:$C,$C325)*SUMIFS(Velocity!$I:$I,Velocity!$A:$A,$A325,Velocity!$B:$B,$C325)/Assumptions!$B$4*Assumptions!$B$6</f>
        <v>0</v>
      </c>
      <c r="AW325" s="7" t="n">
        <f aca="false">SUMIFS(Doors!BI:BI,Doors!$A:$A,$D325,Doors!$B:$B,$B325,Doors!$C:$C,$C325)*SUMIFS(Velocity!$I:$I,Velocity!$A:$A,$A325,Velocity!$B:$B,$C325)/Assumptions!$B$4*Assumptions!$B$6</f>
        <v>0</v>
      </c>
      <c r="AX325" s="7" t="n">
        <f aca="false">SUMIFS(Doors!BJ:BJ,Doors!$A:$A,$D325,Doors!$B:$B,$B325,Doors!$C:$C,$C325)*SUMIFS(Velocity!$I:$I,Velocity!$A:$A,$A325,Velocity!$B:$B,$C325)/Assumptions!$B$4*Assumptions!$B$6</f>
        <v>0</v>
      </c>
      <c r="AY325" s="7" t="n">
        <f aca="false">SUMIFS(Doors!BK:BK,Doors!$A:$A,$D325,Doors!$B:$B,$B325,Doors!$C:$C,$C325)*SUMIFS(Velocity!$I:$I,Velocity!$A:$A,$A325,Velocity!$B:$B,$C325)/Assumptions!$B$4*Assumptions!$B$6</f>
        <v>0</v>
      </c>
      <c r="AZ325" s="7" t="n">
        <f aca="false">SUMIFS(Doors!BL:BL,Doors!$A:$A,$D325,Doors!$B:$B,$B325,Doors!$C:$C,$C325)*SUMIFS(Velocity!$I:$I,Velocity!$A:$A,$A325,Velocity!$B:$B,$C325)/Assumptions!$B$4*Assumptions!$B$6</f>
        <v>0</v>
      </c>
      <c r="BA325" s="7" t="n">
        <f aca="false">SUMIFS(Doors!BM:BM,Doors!$A:$A,$D325,Doors!$B:$B,$B325,Doors!$C:$C,$C325)*SUMIFS(Velocity!$I:$I,Velocity!$A:$A,$A325,Velocity!$B:$B,$C325)/Assumptions!$B$4*Assumptions!$B$6</f>
        <v>0</v>
      </c>
      <c r="BB325" s="7" t="n">
        <f aca="false">SUMIFS(Doors!BN:BN,Doors!$A:$A,$D325,Doors!$B:$B,$B325,Doors!$C:$C,$C325)*SUMIFS(Velocity!$I:$I,Velocity!$A:$A,$A325,Velocity!$B:$B,$C325)/Assumptions!$B$4*Assumptions!$B$6</f>
        <v>0</v>
      </c>
      <c r="BC325" s="7" t="n">
        <f aca="false">SUMIFS(Doors!BO:BO,Doors!$A:$A,$D325,Doors!$B:$B,$B325,Doors!$C:$C,$C325)*SUMIFS(Velocity!$I:$I,Velocity!$A:$A,$A325,Velocity!$B:$B,$C325)/Assumptions!$B$4*Assumptions!$B$6</f>
        <v>0</v>
      </c>
      <c r="BD325" s="7" t="n">
        <f aca="false">SUMIFS(Doors!BP:BP,Doors!$A:$A,$D325,Doors!$B:$B,$B325,Doors!$C:$C,$C325)*SUMIFS(Velocity!$I:$I,Velocity!$A:$A,$A325,Velocity!$B:$B,$C325)/Assumptions!$B$4*Assumptions!$B$6</f>
        <v>0</v>
      </c>
    </row>
    <row r="326" customFormat="false" ht="15" hidden="false" customHeight="false" outlineLevel="0" collapsed="false">
      <c r="A326" s="0" t="s">
        <v>111</v>
      </c>
      <c r="B326" s="0" t="s">
        <v>131</v>
      </c>
      <c r="C326" s="0" t="s">
        <v>120</v>
      </c>
      <c r="D326" s="0" t="s">
        <v>236</v>
      </c>
      <c r="E326" s="7" t="n">
        <f aca="false">SUMIFS(Doors!Q:Q,Doors!$A:$A,$D326,Doors!$B:$B,$B326,Doors!$C:$C,$C326)*SUMIFS(Velocity!$I:$I,Velocity!$A:$A,$A326,Velocity!$B:$B,$C326)/Assumptions!$B$4*Assumptions!$B$6</f>
        <v>0</v>
      </c>
      <c r="F326" s="7" t="n">
        <f aca="false">SUMIFS(Doors!R:R,Doors!$A:$A,$D326,Doors!$B:$B,$B326,Doors!$C:$C,$C326)*SUMIFS(Velocity!$I:$I,Velocity!$A:$A,$A326,Velocity!$B:$B,$C326)/Assumptions!$B$4*Assumptions!$B$6</f>
        <v>0</v>
      </c>
      <c r="G326" s="7" t="n">
        <f aca="false">SUMIFS(Doors!S:S,Doors!$A:$A,$D326,Doors!$B:$B,$B326,Doors!$C:$C,$C326)*SUMIFS(Velocity!$I:$I,Velocity!$A:$A,$A326,Velocity!$B:$B,$C326)/Assumptions!$B$4*Assumptions!$B$6</f>
        <v>0</v>
      </c>
      <c r="H326" s="7" t="n">
        <f aca="false">SUMIFS(Doors!T:T,Doors!$A:$A,$D326,Doors!$B:$B,$B326,Doors!$C:$C,$C326)*SUMIFS(Velocity!$I:$I,Velocity!$A:$A,$A326,Velocity!$B:$B,$C326)/Assumptions!$B$4*Assumptions!$B$6</f>
        <v>0</v>
      </c>
      <c r="I326" s="7" t="n">
        <f aca="false">SUMIFS(Doors!U:U,Doors!$A:$A,$D326,Doors!$B:$B,$B326,Doors!$C:$C,$C326)*SUMIFS(Velocity!$I:$I,Velocity!$A:$A,$A326,Velocity!$B:$B,$C326)/Assumptions!$B$4*Assumptions!$B$6</f>
        <v>0</v>
      </c>
      <c r="J326" s="7" t="n">
        <f aca="false">SUMIFS(Doors!V:V,Doors!$A:$A,$D326,Doors!$B:$B,$B326,Doors!$C:$C,$C326)*SUMIFS(Velocity!$I:$I,Velocity!$A:$A,$A326,Velocity!$B:$B,$C326)/Assumptions!$B$4*Assumptions!$B$6</f>
        <v>0</v>
      </c>
      <c r="K326" s="7" t="n">
        <f aca="false">SUMIFS(Doors!W:W,Doors!$A:$A,$D326,Doors!$B:$B,$B326,Doors!$C:$C,$C326)*SUMIFS(Velocity!$I:$I,Velocity!$A:$A,$A326,Velocity!$B:$B,$C326)/Assumptions!$B$4*Assumptions!$B$6</f>
        <v>0</v>
      </c>
      <c r="L326" s="7" t="n">
        <f aca="false">SUMIFS(Doors!X:X,Doors!$A:$A,$D326,Doors!$B:$B,$B326,Doors!$C:$C,$C326)*SUMIFS(Velocity!$I:$I,Velocity!$A:$A,$A326,Velocity!$B:$B,$C326)/Assumptions!$B$4*Assumptions!$B$6</f>
        <v>0</v>
      </c>
      <c r="M326" s="7" t="n">
        <f aca="false">SUMIFS(Doors!Y:Y,Doors!$A:$A,$D326,Doors!$B:$B,$B326,Doors!$C:$C,$C326)*SUMIFS(Velocity!$I:$I,Velocity!$A:$A,$A326,Velocity!$B:$B,$C326)/Assumptions!$B$4*Assumptions!$B$6</f>
        <v>0</v>
      </c>
      <c r="N326" s="7" t="n">
        <f aca="false">SUMIFS(Doors!Z:Z,Doors!$A:$A,$D326,Doors!$B:$B,$B326,Doors!$C:$C,$C326)*SUMIFS(Velocity!$I:$I,Velocity!$A:$A,$A326,Velocity!$B:$B,$C326)/Assumptions!$B$4*Assumptions!$B$6</f>
        <v>0</v>
      </c>
      <c r="O326" s="7" t="n">
        <f aca="false">SUMIFS(Doors!AA:AA,Doors!$A:$A,$D326,Doors!$B:$B,$B326,Doors!$C:$C,$C326)*SUMIFS(Velocity!$I:$I,Velocity!$A:$A,$A326,Velocity!$B:$B,$C326)/Assumptions!$B$4*Assumptions!$B$6</f>
        <v>0</v>
      </c>
      <c r="P326" s="7" t="n">
        <f aca="false">SUMIFS(Doors!AB:AB,Doors!$A:$A,$D326,Doors!$B:$B,$B326,Doors!$C:$C,$C326)*SUMIFS(Velocity!$I:$I,Velocity!$A:$A,$A326,Velocity!$B:$B,$C326)/Assumptions!$B$4*Assumptions!$B$6</f>
        <v>0</v>
      </c>
      <c r="Q326" s="7" t="n">
        <f aca="false">SUMIFS(Doors!AC:AC,Doors!$A:$A,$D326,Doors!$B:$B,$B326,Doors!$C:$C,$C326)*SUMIFS(Velocity!$I:$I,Velocity!$A:$A,$A326,Velocity!$B:$B,$C326)/Assumptions!$B$4*Assumptions!$B$6</f>
        <v>0</v>
      </c>
      <c r="R326" s="7" t="n">
        <f aca="false">SUMIFS(Doors!AD:AD,Doors!$A:$A,$D326,Doors!$B:$B,$B326,Doors!$C:$C,$C326)*SUMIFS(Velocity!$I:$I,Velocity!$A:$A,$A326,Velocity!$B:$B,$C326)/Assumptions!$B$4*Assumptions!$B$6</f>
        <v>0</v>
      </c>
      <c r="S326" s="7" t="n">
        <f aca="false">SUMIFS(Doors!AE:AE,Doors!$A:$A,$D326,Doors!$B:$B,$B326,Doors!$C:$C,$C326)*SUMIFS(Velocity!$I:$I,Velocity!$A:$A,$A326,Velocity!$B:$B,$C326)/Assumptions!$B$4*Assumptions!$B$6</f>
        <v>0</v>
      </c>
      <c r="T326" s="7" t="n">
        <f aca="false">SUMIFS(Doors!AF:AF,Doors!$A:$A,$D326,Doors!$B:$B,$B326,Doors!$C:$C,$C326)*SUMIFS(Velocity!$I:$I,Velocity!$A:$A,$A326,Velocity!$B:$B,$C326)/Assumptions!$B$4*Assumptions!$B$6</f>
        <v>0</v>
      </c>
      <c r="U326" s="7" t="n">
        <f aca="false">SUMIFS(Doors!AG:AG,Doors!$A:$A,$D326,Doors!$B:$B,$B326,Doors!$C:$C,$C326)*SUMIFS(Velocity!$I:$I,Velocity!$A:$A,$A326,Velocity!$B:$B,$C326)/Assumptions!$B$4*Assumptions!$B$6</f>
        <v>0</v>
      </c>
      <c r="V326" s="7" t="n">
        <f aca="false">SUMIFS(Doors!AH:AH,Doors!$A:$A,$D326,Doors!$B:$B,$B326,Doors!$C:$C,$C326)*SUMIFS(Velocity!$I:$I,Velocity!$A:$A,$A326,Velocity!$B:$B,$C326)/Assumptions!$B$4*Assumptions!$B$6</f>
        <v>0</v>
      </c>
      <c r="W326" s="7" t="n">
        <f aca="false">SUMIFS(Doors!AI:AI,Doors!$A:$A,$D326,Doors!$B:$B,$B326,Doors!$C:$C,$C326)*SUMIFS(Velocity!$I:$I,Velocity!$A:$A,$A326,Velocity!$B:$B,$C326)/Assumptions!$B$4*Assumptions!$B$6</f>
        <v>0</v>
      </c>
      <c r="X326" s="7" t="n">
        <f aca="false">SUMIFS(Doors!AJ:AJ,Doors!$A:$A,$D326,Doors!$B:$B,$B326,Doors!$C:$C,$C326)*SUMIFS(Velocity!$I:$I,Velocity!$A:$A,$A326,Velocity!$B:$B,$C326)/Assumptions!$B$4*Assumptions!$B$6</f>
        <v>0</v>
      </c>
      <c r="Y326" s="7" t="n">
        <f aca="false">SUMIFS(Doors!AK:AK,Doors!$A:$A,$D326,Doors!$B:$B,$B326,Doors!$C:$C,$C326)*SUMIFS(Velocity!$I:$I,Velocity!$A:$A,$A326,Velocity!$B:$B,$C326)/Assumptions!$B$4*Assumptions!$B$6</f>
        <v>0</v>
      </c>
      <c r="Z326" s="7" t="n">
        <f aca="false">SUMIFS(Doors!AL:AL,Doors!$A:$A,$D326,Doors!$B:$B,$B326,Doors!$C:$C,$C326)*SUMIFS(Velocity!$I:$I,Velocity!$A:$A,$A326,Velocity!$B:$B,$C326)/Assumptions!$B$4*Assumptions!$B$6</f>
        <v>0</v>
      </c>
      <c r="AA326" s="7" t="n">
        <f aca="false">SUMIFS(Doors!AM:AM,Doors!$A:$A,$D326,Doors!$B:$B,$B326,Doors!$C:$C,$C326)*SUMIFS(Velocity!$I:$I,Velocity!$A:$A,$A326,Velocity!$B:$B,$C326)/Assumptions!$B$4*Assumptions!$B$6</f>
        <v>0</v>
      </c>
      <c r="AB326" s="7" t="n">
        <f aca="false">SUMIFS(Doors!AN:AN,Doors!$A:$A,$D326,Doors!$B:$B,$B326,Doors!$C:$C,$C326)*SUMIFS(Velocity!$I:$I,Velocity!$A:$A,$A326,Velocity!$B:$B,$C326)/Assumptions!$B$4*Assumptions!$B$6</f>
        <v>0</v>
      </c>
      <c r="AC326" s="7" t="n">
        <f aca="false">SUMIFS(Doors!AO:AO,Doors!$A:$A,$D326,Doors!$B:$B,$B326,Doors!$C:$C,$C326)*SUMIFS(Velocity!$I:$I,Velocity!$A:$A,$A326,Velocity!$B:$B,$C326)/Assumptions!$B$4*Assumptions!$B$6</f>
        <v>0</v>
      </c>
      <c r="AD326" s="7" t="n">
        <f aca="false">SUMIFS(Doors!AP:AP,Doors!$A:$A,$D326,Doors!$B:$B,$B326,Doors!$C:$C,$C326)*SUMIFS(Velocity!$I:$I,Velocity!$A:$A,$A326,Velocity!$B:$B,$C326)/Assumptions!$B$4*Assumptions!$B$6</f>
        <v>0</v>
      </c>
      <c r="AE326" s="7" t="n">
        <f aca="false">SUMIFS(Doors!AQ:AQ,Doors!$A:$A,$D326,Doors!$B:$B,$B326,Doors!$C:$C,$C326)*SUMIFS(Velocity!$I:$I,Velocity!$A:$A,$A326,Velocity!$B:$B,$C326)/Assumptions!$B$4*Assumptions!$B$6</f>
        <v>0</v>
      </c>
      <c r="AF326" s="7" t="n">
        <f aca="false">SUMIFS(Doors!AR:AR,Doors!$A:$A,$D326,Doors!$B:$B,$B326,Doors!$C:$C,$C326)*SUMIFS(Velocity!$I:$I,Velocity!$A:$A,$A326,Velocity!$B:$B,$C326)/Assumptions!$B$4*Assumptions!$B$6</f>
        <v>0</v>
      </c>
      <c r="AG326" s="7" t="n">
        <f aca="false">SUMIFS(Doors!AS:AS,Doors!$A:$A,$D326,Doors!$B:$B,$B326,Doors!$C:$C,$C326)*SUMIFS(Velocity!$I:$I,Velocity!$A:$A,$A326,Velocity!$B:$B,$C326)/Assumptions!$B$4*Assumptions!$B$6</f>
        <v>0</v>
      </c>
      <c r="AH326" s="7" t="n">
        <f aca="false">SUMIFS(Doors!AT:AT,Doors!$A:$A,$D326,Doors!$B:$B,$B326,Doors!$C:$C,$C326)*SUMIFS(Velocity!$I:$I,Velocity!$A:$A,$A326,Velocity!$B:$B,$C326)/Assumptions!$B$4*Assumptions!$B$6</f>
        <v>0</v>
      </c>
      <c r="AI326" s="7" t="n">
        <f aca="false">SUMIFS(Doors!AU:AU,Doors!$A:$A,$D326,Doors!$B:$B,$B326,Doors!$C:$C,$C326)*SUMIFS(Velocity!$I:$I,Velocity!$A:$A,$A326,Velocity!$B:$B,$C326)/Assumptions!$B$4*Assumptions!$B$6</f>
        <v>0</v>
      </c>
      <c r="AJ326" s="7" t="n">
        <f aca="false">SUMIFS(Doors!AV:AV,Doors!$A:$A,$D326,Doors!$B:$B,$B326,Doors!$C:$C,$C326)*SUMIFS(Velocity!$I:$I,Velocity!$A:$A,$A326,Velocity!$B:$B,$C326)/Assumptions!$B$4*Assumptions!$B$6</f>
        <v>0</v>
      </c>
      <c r="AK326" s="7" t="n">
        <f aca="false">SUMIFS(Doors!AW:AW,Doors!$A:$A,$D326,Doors!$B:$B,$B326,Doors!$C:$C,$C326)*SUMIFS(Velocity!$I:$I,Velocity!$A:$A,$A326,Velocity!$B:$B,$C326)/Assumptions!$B$4*Assumptions!$B$6</f>
        <v>0</v>
      </c>
      <c r="AL326" s="7" t="n">
        <f aca="false">SUMIFS(Doors!AX:AX,Doors!$A:$A,$D326,Doors!$B:$B,$B326,Doors!$C:$C,$C326)*SUMIFS(Velocity!$I:$I,Velocity!$A:$A,$A326,Velocity!$B:$B,$C326)/Assumptions!$B$4*Assumptions!$B$6</f>
        <v>0</v>
      </c>
      <c r="AM326" s="7" t="n">
        <f aca="false">SUMIFS(Doors!AY:AY,Doors!$A:$A,$D326,Doors!$B:$B,$B326,Doors!$C:$C,$C326)*SUMIFS(Velocity!$I:$I,Velocity!$A:$A,$A326,Velocity!$B:$B,$C326)/Assumptions!$B$4*Assumptions!$B$6</f>
        <v>0</v>
      </c>
      <c r="AN326" s="7" t="n">
        <f aca="false">SUMIFS(Doors!AZ:AZ,Doors!$A:$A,$D326,Doors!$B:$B,$B326,Doors!$C:$C,$C326)*SUMIFS(Velocity!$I:$I,Velocity!$A:$A,$A326,Velocity!$B:$B,$C326)/Assumptions!$B$4*Assumptions!$B$6</f>
        <v>0</v>
      </c>
      <c r="AO326" s="7" t="n">
        <f aca="false">SUMIFS(Doors!BA:BA,Doors!$A:$A,$D326,Doors!$B:$B,$B326,Doors!$C:$C,$C326)*SUMIFS(Velocity!$I:$I,Velocity!$A:$A,$A326,Velocity!$B:$B,$C326)/Assumptions!$B$4*Assumptions!$B$6</f>
        <v>0</v>
      </c>
      <c r="AP326" s="7" t="n">
        <f aca="false">SUMIFS(Doors!BB:BB,Doors!$A:$A,$D326,Doors!$B:$B,$B326,Doors!$C:$C,$C326)*SUMIFS(Velocity!$I:$I,Velocity!$A:$A,$A326,Velocity!$B:$B,$C326)/Assumptions!$B$4*Assumptions!$B$6</f>
        <v>0</v>
      </c>
      <c r="AQ326" s="7" t="n">
        <f aca="false">SUMIFS(Doors!BC:BC,Doors!$A:$A,$D326,Doors!$B:$B,$B326,Doors!$C:$C,$C326)*SUMIFS(Velocity!$I:$I,Velocity!$A:$A,$A326,Velocity!$B:$B,$C326)/Assumptions!$B$4*Assumptions!$B$6</f>
        <v>0</v>
      </c>
      <c r="AR326" s="7" t="n">
        <f aca="false">SUMIFS(Doors!BD:BD,Doors!$A:$A,$D326,Doors!$B:$B,$B326,Doors!$C:$C,$C326)*SUMIFS(Velocity!$I:$I,Velocity!$A:$A,$A326,Velocity!$B:$B,$C326)/Assumptions!$B$4*Assumptions!$B$6</f>
        <v>0</v>
      </c>
      <c r="AS326" s="7" t="n">
        <f aca="false">SUMIFS(Doors!BE:BE,Doors!$A:$A,$D326,Doors!$B:$B,$B326,Doors!$C:$C,$C326)*SUMIFS(Velocity!$I:$I,Velocity!$A:$A,$A326,Velocity!$B:$B,$C326)/Assumptions!$B$4*Assumptions!$B$6</f>
        <v>0</v>
      </c>
      <c r="AT326" s="7" t="n">
        <f aca="false">SUMIFS(Doors!BF:BF,Doors!$A:$A,$D326,Doors!$B:$B,$B326,Doors!$C:$C,$C326)*SUMIFS(Velocity!$I:$I,Velocity!$A:$A,$A326,Velocity!$B:$B,$C326)/Assumptions!$B$4*Assumptions!$B$6</f>
        <v>0</v>
      </c>
      <c r="AU326" s="7" t="n">
        <f aca="false">SUMIFS(Doors!BG:BG,Doors!$A:$A,$D326,Doors!$B:$B,$B326,Doors!$C:$C,$C326)*SUMIFS(Velocity!$I:$I,Velocity!$A:$A,$A326,Velocity!$B:$B,$C326)/Assumptions!$B$4*Assumptions!$B$6</f>
        <v>0</v>
      </c>
      <c r="AV326" s="7" t="n">
        <f aca="false">SUMIFS(Doors!BH:BH,Doors!$A:$A,$D326,Doors!$B:$B,$B326,Doors!$C:$C,$C326)*SUMIFS(Velocity!$I:$I,Velocity!$A:$A,$A326,Velocity!$B:$B,$C326)/Assumptions!$B$4*Assumptions!$B$6</f>
        <v>0</v>
      </c>
      <c r="AW326" s="7" t="n">
        <f aca="false">SUMIFS(Doors!BI:BI,Doors!$A:$A,$D326,Doors!$B:$B,$B326,Doors!$C:$C,$C326)*SUMIFS(Velocity!$I:$I,Velocity!$A:$A,$A326,Velocity!$B:$B,$C326)/Assumptions!$B$4*Assumptions!$B$6</f>
        <v>0</v>
      </c>
      <c r="AX326" s="7" t="n">
        <f aca="false">SUMIFS(Doors!BJ:BJ,Doors!$A:$A,$D326,Doors!$B:$B,$B326,Doors!$C:$C,$C326)*SUMIFS(Velocity!$I:$I,Velocity!$A:$A,$A326,Velocity!$B:$B,$C326)/Assumptions!$B$4*Assumptions!$B$6</f>
        <v>0</v>
      </c>
      <c r="AY326" s="7" t="n">
        <f aca="false">SUMIFS(Doors!BK:BK,Doors!$A:$A,$D326,Doors!$B:$B,$B326,Doors!$C:$C,$C326)*SUMIFS(Velocity!$I:$I,Velocity!$A:$A,$A326,Velocity!$B:$B,$C326)/Assumptions!$B$4*Assumptions!$B$6</f>
        <v>0</v>
      </c>
      <c r="AZ326" s="7" t="n">
        <f aca="false">SUMIFS(Doors!BL:BL,Doors!$A:$A,$D326,Doors!$B:$B,$B326,Doors!$C:$C,$C326)*SUMIFS(Velocity!$I:$I,Velocity!$A:$A,$A326,Velocity!$B:$B,$C326)/Assumptions!$B$4*Assumptions!$B$6</f>
        <v>0</v>
      </c>
      <c r="BA326" s="7" t="n">
        <f aca="false">SUMIFS(Doors!BM:BM,Doors!$A:$A,$D326,Doors!$B:$B,$B326,Doors!$C:$C,$C326)*SUMIFS(Velocity!$I:$I,Velocity!$A:$A,$A326,Velocity!$B:$B,$C326)/Assumptions!$B$4*Assumptions!$B$6</f>
        <v>0</v>
      </c>
      <c r="BB326" s="7" t="n">
        <f aca="false">SUMIFS(Doors!BN:BN,Doors!$A:$A,$D326,Doors!$B:$B,$B326,Doors!$C:$C,$C326)*SUMIFS(Velocity!$I:$I,Velocity!$A:$A,$A326,Velocity!$B:$B,$C326)/Assumptions!$B$4*Assumptions!$B$6</f>
        <v>0</v>
      </c>
      <c r="BC326" s="7" t="n">
        <f aca="false">SUMIFS(Doors!BO:BO,Doors!$A:$A,$D326,Doors!$B:$B,$B326,Doors!$C:$C,$C326)*SUMIFS(Velocity!$I:$I,Velocity!$A:$A,$A326,Velocity!$B:$B,$C326)/Assumptions!$B$4*Assumptions!$B$6</f>
        <v>0</v>
      </c>
      <c r="BD326" s="7" t="n">
        <f aca="false">SUMIFS(Doors!BP:BP,Doors!$A:$A,$D326,Doors!$B:$B,$B326,Doors!$C:$C,$C326)*SUMIFS(Velocity!$I:$I,Velocity!$A:$A,$A326,Velocity!$B:$B,$C326)/Assumptions!$B$4*Assumptions!$B$6</f>
        <v>0</v>
      </c>
    </row>
    <row r="327" customFormat="false" ht="15" hidden="false" customHeight="false" outlineLevel="0" collapsed="false">
      <c r="A327" s="0" t="s">
        <v>111</v>
      </c>
      <c r="B327" s="0" t="s">
        <v>131</v>
      </c>
      <c r="C327" s="0" t="s">
        <v>121</v>
      </c>
      <c r="D327" s="0" t="s">
        <v>236</v>
      </c>
      <c r="E327" s="7" t="n">
        <f aca="false">SUMIFS(Doors!Q:Q,Doors!$A:$A,$D327,Doors!$B:$B,$B327,Doors!$C:$C,$C327)*SUMIFS(Velocity!$I:$I,Velocity!$A:$A,$A327,Velocity!$B:$B,$C327)/Assumptions!$B$4*Assumptions!$B$6</f>
        <v>0</v>
      </c>
      <c r="F327" s="7" t="n">
        <f aca="false">SUMIFS(Doors!R:R,Doors!$A:$A,$D327,Doors!$B:$B,$B327,Doors!$C:$C,$C327)*SUMIFS(Velocity!$I:$I,Velocity!$A:$A,$A327,Velocity!$B:$B,$C327)/Assumptions!$B$4*Assumptions!$B$6</f>
        <v>0</v>
      </c>
      <c r="G327" s="7" t="n">
        <f aca="false">SUMIFS(Doors!S:S,Doors!$A:$A,$D327,Doors!$B:$B,$B327,Doors!$C:$C,$C327)*SUMIFS(Velocity!$I:$I,Velocity!$A:$A,$A327,Velocity!$B:$B,$C327)/Assumptions!$B$4*Assumptions!$B$6</f>
        <v>0</v>
      </c>
      <c r="H327" s="7" t="n">
        <f aca="false">SUMIFS(Doors!T:T,Doors!$A:$A,$D327,Doors!$B:$B,$B327,Doors!$C:$C,$C327)*SUMIFS(Velocity!$I:$I,Velocity!$A:$A,$A327,Velocity!$B:$B,$C327)/Assumptions!$B$4*Assumptions!$B$6</f>
        <v>0</v>
      </c>
      <c r="I327" s="7" t="n">
        <f aca="false">SUMIFS(Doors!U:U,Doors!$A:$A,$D327,Doors!$B:$B,$B327,Doors!$C:$C,$C327)*SUMIFS(Velocity!$I:$I,Velocity!$A:$A,$A327,Velocity!$B:$B,$C327)/Assumptions!$B$4*Assumptions!$B$6</f>
        <v>0</v>
      </c>
      <c r="J327" s="7" t="n">
        <f aca="false">SUMIFS(Doors!V:V,Doors!$A:$A,$D327,Doors!$B:$B,$B327,Doors!$C:$C,$C327)*SUMIFS(Velocity!$I:$I,Velocity!$A:$A,$A327,Velocity!$B:$B,$C327)/Assumptions!$B$4*Assumptions!$B$6</f>
        <v>0</v>
      </c>
      <c r="K327" s="7" t="n">
        <f aca="false">SUMIFS(Doors!W:W,Doors!$A:$A,$D327,Doors!$B:$B,$B327,Doors!$C:$C,$C327)*SUMIFS(Velocity!$I:$I,Velocity!$A:$A,$A327,Velocity!$B:$B,$C327)/Assumptions!$B$4*Assumptions!$B$6</f>
        <v>0</v>
      </c>
      <c r="L327" s="7" t="n">
        <f aca="false">SUMIFS(Doors!X:X,Doors!$A:$A,$D327,Doors!$B:$B,$B327,Doors!$C:$C,$C327)*SUMIFS(Velocity!$I:$I,Velocity!$A:$A,$A327,Velocity!$B:$B,$C327)/Assumptions!$B$4*Assumptions!$B$6</f>
        <v>0</v>
      </c>
      <c r="M327" s="7" t="n">
        <f aca="false">SUMIFS(Doors!Y:Y,Doors!$A:$A,$D327,Doors!$B:$B,$B327,Doors!$C:$C,$C327)*SUMIFS(Velocity!$I:$I,Velocity!$A:$A,$A327,Velocity!$B:$B,$C327)/Assumptions!$B$4*Assumptions!$B$6</f>
        <v>0</v>
      </c>
      <c r="N327" s="7" t="n">
        <f aca="false">SUMIFS(Doors!Z:Z,Doors!$A:$A,$D327,Doors!$B:$B,$B327,Doors!$C:$C,$C327)*SUMIFS(Velocity!$I:$I,Velocity!$A:$A,$A327,Velocity!$B:$B,$C327)/Assumptions!$B$4*Assumptions!$B$6</f>
        <v>0</v>
      </c>
      <c r="O327" s="7" t="n">
        <f aca="false">SUMIFS(Doors!AA:AA,Doors!$A:$A,$D327,Doors!$B:$B,$B327,Doors!$C:$C,$C327)*SUMIFS(Velocity!$I:$I,Velocity!$A:$A,$A327,Velocity!$B:$B,$C327)/Assumptions!$B$4*Assumptions!$B$6</f>
        <v>0</v>
      </c>
      <c r="P327" s="7" t="n">
        <f aca="false">SUMIFS(Doors!AB:AB,Doors!$A:$A,$D327,Doors!$B:$B,$B327,Doors!$C:$C,$C327)*SUMIFS(Velocity!$I:$I,Velocity!$A:$A,$A327,Velocity!$B:$B,$C327)/Assumptions!$B$4*Assumptions!$B$6</f>
        <v>0</v>
      </c>
      <c r="Q327" s="7" t="n">
        <f aca="false">SUMIFS(Doors!AC:AC,Doors!$A:$A,$D327,Doors!$B:$B,$B327,Doors!$C:$C,$C327)*SUMIFS(Velocity!$I:$I,Velocity!$A:$A,$A327,Velocity!$B:$B,$C327)/Assumptions!$B$4*Assumptions!$B$6</f>
        <v>0</v>
      </c>
      <c r="R327" s="7" t="n">
        <f aca="false">SUMIFS(Doors!AD:AD,Doors!$A:$A,$D327,Doors!$B:$B,$B327,Doors!$C:$C,$C327)*SUMIFS(Velocity!$I:$I,Velocity!$A:$A,$A327,Velocity!$B:$B,$C327)/Assumptions!$B$4*Assumptions!$B$6</f>
        <v>0</v>
      </c>
      <c r="S327" s="7" t="n">
        <f aca="false">SUMIFS(Doors!AE:AE,Doors!$A:$A,$D327,Doors!$B:$B,$B327,Doors!$C:$C,$C327)*SUMIFS(Velocity!$I:$I,Velocity!$A:$A,$A327,Velocity!$B:$B,$C327)/Assumptions!$B$4*Assumptions!$B$6</f>
        <v>0</v>
      </c>
      <c r="T327" s="7" t="n">
        <f aca="false">SUMIFS(Doors!AF:AF,Doors!$A:$A,$D327,Doors!$B:$B,$B327,Doors!$C:$C,$C327)*SUMIFS(Velocity!$I:$I,Velocity!$A:$A,$A327,Velocity!$B:$B,$C327)/Assumptions!$B$4*Assumptions!$B$6</f>
        <v>0</v>
      </c>
      <c r="U327" s="7" t="n">
        <f aca="false">SUMIFS(Doors!AG:AG,Doors!$A:$A,$D327,Doors!$B:$B,$B327,Doors!$C:$C,$C327)*SUMIFS(Velocity!$I:$I,Velocity!$A:$A,$A327,Velocity!$B:$B,$C327)/Assumptions!$B$4*Assumptions!$B$6</f>
        <v>0</v>
      </c>
      <c r="V327" s="7" t="n">
        <f aca="false">SUMIFS(Doors!AH:AH,Doors!$A:$A,$D327,Doors!$B:$B,$B327,Doors!$C:$C,$C327)*SUMIFS(Velocity!$I:$I,Velocity!$A:$A,$A327,Velocity!$B:$B,$C327)/Assumptions!$B$4*Assumptions!$B$6</f>
        <v>0</v>
      </c>
      <c r="W327" s="7" t="n">
        <f aca="false">SUMIFS(Doors!AI:AI,Doors!$A:$A,$D327,Doors!$B:$B,$B327,Doors!$C:$C,$C327)*SUMIFS(Velocity!$I:$I,Velocity!$A:$A,$A327,Velocity!$B:$B,$C327)/Assumptions!$B$4*Assumptions!$B$6</f>
        <v>0</v>
      </c>
      <c r="X327" s="7" t="n">
        <f aca="false">SUMIFS(Doors!AJ:AJ,Doors!$A:$A,$D327,Doors!$B:$B,$B327,Doors!$C:$C,$C327)*SUMIFS(Velocity!$I:$I,Velocity!$A:$A,$A327,Velocity!$B:$B,$C327)/Assumptions!$B$4*Assumptions!$B$6</f>
        <v>0</v>
      </c>
      <c r="Y327" s="7" t="n">
        <f aca="false">SUMIFS(Doors!AK:AK,Doors!$A:$A,$D327,Doors!$B:$B,$B327,Doors!$C:$C,$C327)*SUMIFS(Velocity!$I:$I,Velocity!$A:$A,$A327,Velocity!$B:$B,$C327)/Assumptions!$B$4*Assumptions!$B$6</f>
        <v>0</v>
      </c>
      <c r="Z327" s="7" t="n">
        <f aca="false">SUMIFS(Doors!AL:AL,Doors!$A:$A,$D327,Doors!$B:$B,$B327,Doors!$C:$C,$C327)*SUMIFS(Velocity!$I:$I,Velocity!$A:$A,$A327,Velocity!$B:$B,$C327)/Assumptions!$B$4*Assumptions!$B$6</f>
        <v>0</v>
      </c>
      <c r="AA327" s="7" t="n">
        <f aca="false">SUMIFS(Doors!AM:AM,Doors!$A:$A,$D327,Doors!$B:$B,$B327,Doors!$C:$C,$C327)*SUMIFS(Velocity!$I:$I,Velocity!$A:$A,$A327,Velocity!$B:$B,$C327)/Assumptions!$B$4*Assumptions!$B$6</f>
        <v>0</v>
      </c>
      <c r="AB327" s="7" t="n">
        <f aca="false">SUMIFS(Doors!AN:AN,Doors!$A:$A,$D327,Doors!$B:$B,$B327,Doors!$C:$C,$C327)*SUMIFS(Velocity!$I:$I,Velocity!$A:$A,$A327,Velocity!$B:$B,$C327)/Assumptions!$B$4*Assumptions!$B$6</f>
        <v>0</v>
      </c>
      <c r="AC327" s="7" t="n">
        <f aca="false">SUMIFS(Doors!AO:AO,Doors!$A:$A,$D327,Doors!$B:$B,$B327,Doors!$C:$C,$C327)*SUMIFS(Velocity!$I:$I,Velocity!$A:$A,$A327,Velocity!$B:$B,$C327)/Assumptions!$B$4*Assumptions!$B$6</f>
        <v>0</v>
      </c>
      <c r="AD327" s="7" t="n">
        <f aca="false">SUMIFS(Doors!AP:AP,Doors!$A:$A,$D327,Doors!$B:$B,$B327,Doors!$C:$C,$C327)*SUMIFS(Velocity!$I:$I,Velocity!$A:$A,$A327,Velocity!$B:$B,$C327)/Assumptions!$B$4*Assumptions!$B$6</f>
        <v>0</v>
      </c>
      <c r="AE327" s="7" t="n">
        <f aca="false">SUMIFS(Doors!AQ:AQ,Doors!$A:$A,$D327,Doors!$B:$B,$B327,Doors!$C:$C,$C327)*SUMIFS(Velocity!$I:$I,Velocity!$A:$A,$A327,Velocity!$B:$B,$C327)/Assumptions!$B$4*Assumptions!$B$6</f>
        <v>0</v>
      </c>
      <c r="AF327" s="7" t="n">
        <f aca="false">SUMIFS(Doors!AR:AR,Doors!$A:$A,$D327,Doors!$B:$B,$B327,Doors!$C:$C,$C327)*SUMIFS(Velocity!$I:$I,Velocity!$A:$A,$A327,Velocity!$B:$B,$C327)/Assumptions!$B$4*Assumptions!$B$6</f>
        <v>0</v>
      </c>
      <c r="AG327" s="7" t="n">
        <f aca="false">SUMIFS(Doors!AS:AS,Doors!$A:$A,$D327,Doors!$B:$B,$B327,Doors!$C:$C,$C327)*SUMIFS(Velocity!$I:$I,Velocity!$A:$A,$A327,Velocity!$B:$B,$C327)/Assumptions!$B$4*Assumptions!$B$6</f>
        <v>0</v>
      </c>
      <c r="AH327" s="7" t="n">
        <f aca="false">SUMIFS(Doors!AT:AT,Doors!$A:$A,$D327,Doors!$B:$B,$B327,Doors!$C:$C,$C327)*SUMIFS(Velocity!$I:$I,Velocity!$A:$A,$A327,Velocity!$B:$B,$C327)/Assumptions!$B$4*Assumptions!$B$6</f>
        <v>0</v>
      </c>
      <c r="AI327" s="7" t="n">
        <f aca="false">SUMIFS(Doors!AU:AU,Doors!$A:$A,$D327,Doors!$B:$B,$B327,Doors!$C:$C,$C327)*SUMIFS(Velocity!$I:$I,Velocity!$A:$A,$A327,Velocity!$B:$B,$C327)/Assumptions!$B$4*Assumptions!$B$6</f>
        <v>0</v>
      </c>
      <c r="AJ327" s="7" t="n">
        <f aca="false">SUMIFS(Doors!AV:AV,Doors!$A:$A,$D327,Doors!$B:$B,$B327,Doors!$C:$C,$C327)*SUMIFS(Velocity!$I:$I,Velocity!$A:$A,$A327,Velocity!$B:$B,$C327)/Assumptions!$B$4*Assumptions!$B$6</f>
        <v>0</v>
      </c>
      <c r="AK327" s="7" t="n">
        <f aca="false">SUMIFS(Doors!AW:AW,Doors!$A:$A,$D327,Doors!$B:$B,$B327,Doors!$C:$C,$C327)*SUMIFS(Velocity!$I:$I,Velocity!$A:$A,$A327,Velocity!$B:$B,$C327)/Assumptions!$B$4*Assumptions!$B$6</f>
        <v>0</v>
      </c>
      <c r="AL327" s="7" t="n">
        <f aca="false">SUMIFS(Doors!AX:AX,Doors!$A:$A,$D327,Doors!$B:$B,$B327,Doors!$C:$C,$C327)*SUMIFS(Velocity!$I:$I,Velocity!$A:$A,$A327,Velocity!$B:$B,$C327)/Assumptions!$B$4*Assumptions!$B$6</f>
        <v>0</v>
      </c>
      <c r="AM327" s="7" t="n">
        <f aca="false">SUMIFS(Doors!AY:AY,Doors!$A:$A,$D327,Doors!$B:$B,$B327,Doors!$C:$C,$C327)*SUMIFS(Velocity!$I:$I,Velocity!$A:$A,$A327,Velocity!$B:$B,$C327)/Assumptions!$B$4*Assumptions!$B$6</f>
        <v>0</v>
      </c>
      <c r="AN327" s="7" t="n">
        <f aca="false">SUMIFS(Doors!AZ:AZ,Doors!$A:$A,$D327,Doors!$B:$B,$B327,Doors!$C:$C,$C327)*SUMIFS(Velocity!$I:$I,Velocity!$A:$A,$A327,Velocity!$B:$B,$C327)/Assumptions!$B$4*Assumptions!$B$6</f>
        <v>0</v>
      </c>
      <c r="AO327" s="7" t="n">
        <f aca="false">SUMIFS(Doors!BA:BA,Doors!$A:$A,$D327,Doors!$B:$B,$B327,Doors!$C:$C,$C327)*SUMIFS(Velocity!$I:$I,Velocity!$A:$A,$A327,Velocity!$B:$B,$C327)/Assumptions!$B$4*Assumptions!$B$6</f>
        <v>0</v>
      </c>
      <c r="AP327" s="7" t="n">
        <f aca="false">SUMIFS(Doors!BB:BB,Doors!$A:$A,$D327,Doors!$B:$B,$B327,Doors!$C:$C,$C327)*SUMIFS(Velocity!$I:$I,Velocity!$A:$A,$A327,Velocity!$B:$B,$C327)/Assumptions!$B$4*Assumptions!$B$6</f>
        <v>0</v>
      </c>
      <c r="AQ327" s="7" t="n">
        <f aca="false">SUMIFS(Doors!BC:BC,Doors!$A:$A,$D327,Doors!$B:$B,$B327,Doors!$C:$C,$C327)*SUMIFS(Velocity!$I:$I,Velocity!$A:$A,$A327,Velocity!$B:$B,$C327)/Assumptions!$B$4*Assumptions!$B$6</f>
        <v>0</v>
      </c>
      <c r="AR327" s="7" t="n">
        <f aca="false">SUMIFS(Doors!BD:BD,Doors!$A:$A,$D327,Doors!$B:$B,$B327,Doors!$C:$C,$C327)*SUMIFS(Velocity!$I:$I,Velocity!$A:$A,$A327,Velocity!$B:$B,$C327)/Assumptions!$B$4*Assumptions!$B$6</f>
        <v>0</v>
      </c>
      <c r="AS327" s="7" t="n">
        <f aca="false">SUMIFS(Doors!BE:BE,Doors!$A:$A,$D327,Doors!$B:$B,$B327,Doors!$C:$C,$C327)*SUMIFS(Velocity!$I:$I,Velocity!$A:$A,$A327,Velocity!$B:$B,$C327)/Assumptions!$B$4*Assumptions!$B$6</f>
        <v>0</v>
      </c>
      <c r="AT327" s="7" t="n">
        <f aca="false">SUMIFS(Doors!BF:BF,Doors!$A:$A,$D327,Doors!$B:$B,$B327,Doors!$C:$C,$C327)*SUMIFS(Velocity!$I:$I,Velocity!$A:$A,$A327,Velocity!$B:$B,$C327)/Assumptions!$B$4*Assumptions!$B$6</f>
        <v>0</v>
      </c>
      <c r="AU327" s="7" t="n">
        <f aca="false">SUMIFS(Doors!BG:BG,Doors!$A:$A,$D327,Doors!$B:$B,$B327,Doors!$C:$C,$C327)*SUMIFS(Velocity!$I:$I,Velocity!$A:$A,$A327,Velocity!$B:$B,$C327)/Assumptions!$B$4*Assumptions!$B$6</f>
        <v>0</v>
      </c>
      <c r="AV327" s="7" t="n">
        <f aca="false">SUMIFS(Doors!BH:BH,Doors!$A:$A,$D327,Doors!$B:$B,$B327,Doors!$C:$C,$C327)*SUMIFS(Velocity!$I:$I,Velocity!$A:$A,$A327,Velocity!$B:$B,$C327)/Assumptions!$B$4*Assumptions!$B$6</f>
        <v>0</v>
      </c>
      <c r="AW327" s="7" t="n">
        <f aca="false">SUMIFS(Doors!BI:BI,Doors!$A:$A,$D327,Doors!$B:$B,$B327,Doors!$C:$C,$C327)*SUMIFS(Velocity!$I:$I,Velocity!$A:$A,$A327,Velocity!$B:$B,$C327)/Assumptions!$B$4*Assumptions!$B$6</f>
        <v>0</v>
      </c>
      <c r="AX327" s="7" t="n">
        <f aca="false">SUMIFS(Doors!BJ:BJ,Doors!$A:$A,$D327,Doors!$B:$B,$B327,Doors!$C:$C,$C327)*SUMIFS(Velocity!$I:$I,Velocity!$A:$A,$A327,Velocity!$B:$B,$C327)/Assumptions!$B$4*Assumptions!$B$6</f>
        <v>0</v>
      </c>
      <c r="AY327" s="7" t="n">
        <f aca="false">SUMIFS(Doors!BK:BK,Doors!$A:$A,$D327,Doors!$B:$B,$B327,Doors!$C:$C,$C327)*SUMIFS(Velocity!$I:$I,Velocity!$A:$A,$A327,Velocity!$B:$B,$C327)/Assumptions!$B$4*Assumptions!$B$6</f>
        <v>0</v>
      </c>
      <c r="AZ327" s="7" t="n">
        <f aca="false">SUMIFS(Doors!BL:BL,Doors!$A:$A,$D327,Doors!$B:$B,$B327,Doors!$C:$C,$C327)*SUMIFS(Velocity!$I:$I,Velocity!$A:$A,$A327,Velocity!$B:$B,$C327)/Assumptions!$B$4*Assumptions!$B$6</f>
        <v>0</v>
      </c>
      <c r="BA327" s="7" t="n">
        <f aca="false">SUMIFS(Doors!BM:BM,Doors!$A:$A,$D327,Doors!$B:$B,$B327,Doors!$C:$C,$C327)*SUMIFS(Velocity!$I:$I,Velocity!$A:$A,$A327,Velocity!$B:$B,$C327)/Assumptions!$B$4*Assumptions!$B$6</f>
        <v>0</v>
      </c>
      <c r="BB327" s="7" t="n">
        <f aca="false">SUMIFS(Doors!BN:BN,Doors!$A:$A,$D327,Doors!$B:$B,$B327,Doors!$C:$C,$C327)*SUMIFS(Velocity!$I:$I,Velocity!$A:$A,$A327,Velocity!$B:$B,$C327)/Assumptions!$B$4*Assumptions!$B$6</f>
        <v>0</v>
      </c>
      <c r="BC327" s="7" t="n">
        <f aca="false">SUMIFS(Doors!BO:BO,Doors!$A:$A,$D327,Doors!$B:$B,$B327,Doors!$C:$C,$C327)*SUMIFS(Velocity!$I:$I,Velocity!$A:$A,$A327,Velocity!$B:$B,$C327)/Assumptions!$B$4*Assumptions!$B$6</f>
        <v>0</v>
      </c>
      <c r="BD327" s="7" t="n">
        <f aca="false">SUMIFS(Doors!BP:BP,Doors!$A:$A,$D327,Doors!$B:$B,$B327,Doors!$C:$C,$C327)*SUMIFS(Velocity!$I:$I,Velocity!$A:$A,$A327,Velocity!$B:$B,$C327)/Assumptions!$B$4*Assumptions!$B$6</f>
        <v>0</v>
      </c>
    </row>
    <row r="328" customFormat="false" ht="15" hidden="false" customHeight="false" outlineLevel="0" collapsed="false">
      <c r="A328" s="0" t="s">
        <v>111</v>
      </c>
      <c r="B328" s="0" t="s">
        <v>131</v>
      </c>
      <c r="C328" s="0" t="s">
        <v>122</v>
      </c>
      <c r="D328" s="0" t="s">
        <v>236</v>
      </c>
      <c r="E328" s="7" t="n">
        <f aca="false">SUMIFS(Doors!Q:Q,Doors!$A:$A,$D328,Doors!$B:$B,$B328,Doors!$C:$C,$C328)*SUMIFS(Velocity!$I:$I,Velocity!$A:$A,$A328,Velocity!$B:$B,$C328)/Assumptions!$B$4*Assumptions!$B$6</f>
        <v>0</v>
      </c>
      <c r="F328" s="7" t="n">
        <f aca="false">SUMIFS(Doors!R:R,Doors!$A:$A,$D328,Doors!$B:$B,$B328,Doors!$C:$C,$C328)*SUMIFS(Velocity!$I:$I,Velocity!$A:$A,$A328,Velocity!$B:$B,$C328)/Assumptions!$B$4*Assumptions!$B$6</f>
        <v>0</v>
      </c>
      <c r="G328" s="7" t="n">
        <f aca="false">SUMIFS(Doors!S:S,Doors!$A:$A,$D328,Doors!$B:$B,$B328,Doors!$C:$C,$C328)*SUMIFS(Velocity!$I:$I,Velocity!$A:$A,$A328,Velocity!$B:$B,$C328)/Assumptions!$B$4*Assumptions!$B$6</f>
        <v>0</v>
      </c>
      <c r="H328" s="7" t="n">
        <f aca="false">SUMIFS(Doors!T:T,Doors!$A:$A,$D328,Doors!$B:$B,$B328,Doors!$C:$C,$C328)*SUMIFS(Velocity!$I:$I,Velocity!$A:$A,$A328,Velocity!$B:$B,$C328)/Assumptions!$B$4*Assumptions!$B$6</f>
        <v>0</v>
      </c>
      <c r="I328" s="7" t="n">
        <f aca="false">SUMIFS(Doors!U:U,Doors!$A:$A,$D328,Doors!$B:$B,$B328,Doors!$C:$C,$C328)*SUMIFS(Velocity!$I:$I,Velocity!$A:$A,$A328,Velocity!$B:$B,$C328)/Assumptions!$B$4*Assumptions!$B$6</f>
        <v>0</v>
      </c>
      <c r="J328" s="7" t="n">
        <f aca="false">SUMIFS(Doors!V:V,Doors!$A:$A,$D328,Doors!$B:$B,$B328,Doors!$C:$C,$C328)*SUMIFS(Velocity!$I:$I,Velocity!$A:$A,$A328,Velocity!$B:$B,$C328)/Assumptions!$B$4*Assumptions!$B$6</f>
        <v>0</v>
      </c>
      <c r="K328" s="7" t="n">
        <f aca="false">SUMIFS(Doors!W:W,Doors!$A:$A,$D328,Doors!$B:$B,$B328,Doors!$C:$C,$C328)*SUMIFS(Velocity!$I:$I,Velocity!$A:$A,$A328,Velocity!$B:$B,$C328)/Assumptions!$B$4*Assumptions!$B$6</f>
        <v>0</v>
      </c>
      <c r="L328" s="7" t="n">
        <f aca="false">SUMIFS(Doors!X:X,Doors!$A:$A,$D328,Doors!$B:$B,$B328,Doors!$C:$C,$C328)*SUMIFS(Velocity!$I:$I,Velocity!$A:$A,$A328,Velocity!$B:$B,$C328)/Assumptions!$B$4*Assumptions!$B$6</f>
        <v>0</v>
      </c>
      <c r="M328" s="7" t="n">
        <f aca="false">SUMIFS(Doors!Y:Y,Doors!$A:$A,$D328,Doors!$B:$B,$B328,Doors!$C:$C,$C328)*SUMIFS(Velocity!$I:$I,Velocity!$A:$A,$A328,Velocity!$B:$B,$C328)/Assumptions!$B$4*Assumptions!$B$6</f>
        <v>0</v>
      </c>
      <c r="N328" s="7" t="n">
        <f aca="false">SUMIFS(Doors!Z:Z,Doors!$A:$A,$D328,Doors!$B:$B,$B328,Doors!$C:$C,$C328)*SUMIFS(Velocity!$I:$I,Velocity!$A:$A,$A328,Velocity!$B:$B,$C328)/Assumptions!$B$4*Assumptions!$B$6</f>
        <v>0</v>
      </c>
      <c r="O328" s="7" t="n">
        <f aca="false">SUMIFS(Doors!AA:AA,Doors!$A:$A,$D328,Doors!$B:$B,$B328,Doors!$C:$C,$C328)*SUMIFS(Velocity!$I:$I,Velocity!$A:$A,$A328,Velocity!$B:$B,$C328)/Assumptions!$B$4*Assumptions!$B$6</f>
        <v>0</v>
      </c>
      <c r="P328" s="7" t="n">
        <f aca="false">SUMIFS(Doors!AB:AB,Doors!$A:$A,$D328,Doors!$B:$B,$B328,Doors!$C:$C,$C328)*SUMIFS(Velocity!$I:$I,Velocity!$A:$A,$A328,Velocity!$B:$B,$C328)/Assumptions!$B$4*Assumptions!$B$6</f>
        <v>0</v>
      </c>
      <c r="Q328" s="7" t="n">
        <f aca="false">SUMIFS(Doors!AC:AC,Doors!$A:$A,$D328,Doors!$B:$B,$B328,Doors!$C:$C,$C328)*SUMIFS(Velocity!$I:$I,Velocity!$A:$A,$A328,Velocity!$B:$B,$C328)/Assumptions!$B$4*Assumptions!$B$6</f>
        <v>0</v>
      </c>
      <c r="R328" s="7" t="n">
        <f aca="false">SUMIFS(Doors!AD:AD,Doors!$A:$A,$D328,Doors!$B:$B,$B328,Doors!$C:$C,$C328)*SUMIFS(Velocity!$I:$I,Velocity!$A:$A,$A328,Velocity!$B:$B,$C328)/Assumptions!$B$4*Assumptions!$B$6</f>
        <v>0</v>
      </c>
      <c r="S328" s="7" t="n">
        <f aca="false">SUMIFS(Doors!AE:AE,Doors!$A:$A,$D328,Doors!$B:$B,$B328,Doors!$C:$C,$C328)*SUMIFS(Velocity!$I:$I,Velocity!$A:$A,$A328,Velocity!$B:$B,$C328)/Assumptions!$B$4*Assumptions!$B$6</f>
        <v>0</v>
      </c>
      <c r="T328" s="7" t="n">
        <f aca="false">SUMIFS(Doors!AF:AF,Doors!$A:$A,$D328,Doors!$B:$B,$B328,Doors!$C:$C,$C328)*SUMIFS(Velocity!$I:$I,Velocity!$A:$A,$A328,Velocity!$B:$B,$C328)/Assumptions!$B$4*Assumptions!$B$6</f>
        <v>0</v>
      </c>
      <c r="U328" s="7" t="n">
        <f aca="false">SUMIFS(Doors!AG:AG,Doors!$A:$A,$D328,Doors!$B:$B,$B328,Doors!$C:$C,$C328)*SUMIFS(Velocity!$I:$I,Velocity!$A:$A,$A328,Velocity!$B:$B,$C328)/Assumptions!$B$4*Assumptions!$B$6</f>
        <v>0</v>
      </c>
      <c r="V328" s="7" t="n">
        <f aca="false">SUMIFS(Doors!AH:AH,Doors!$A:$A,$D328,Doors!$B:$B,$B328,Doors!$C:$C,$C328)*SUMIFS(Velocity!$I:$I,Velocity!$A:$A,$A328,Velocity!$B:$B,$C328)/Assumptions!$B$4*Assumptions!$B$6</f>
        <v>0</v>
      </c>
      <c r="W328" s="7" t="n">
        <f aca="false">SUMIFS(Doors!AI:AI,Doors!$A:$A,$D328,Doors!$B:$B,$B328,Doors!$C:$C,$C328)*SUMIFS(Velocity!$I:$I,Velocity!$A:$A,$A328,Velocity!$B:$B,$C328)/Assumptions!$B$4*Assumptions!$B$6</f>
        <v>0</v>
      </c>
      <c r="X328" s="7" t="n">
        <f aca="false">SUMIFS(Doors!AJ:AJ,Doors!$A:$A,$D328,Doors!$B:$B,$B328,Doors!$C:$C,$C328)*SUMIFS(Velocity!$I:$I,Velocity!$A:$A,$A328,Velocity!$B:$B,$C328)/Assumptions!$B$4*Assumptions!$B$6</f>
        <v>0</v>
      </c>
      <c r="Y328" s="7" t="n">
        <f aca="false">SUMIFS(Doors!AK:AK,Doors!$A:$A,$D328,Doors!$B:$B,$B328,Doors!$C:$C,$C328)*SUMIFS(Velocity!$I:$I,Velocity!$A:$A,$A328,Velocity!$B:$B,$C328)/Assumptions!$B$4*Assumptions!$B$6</f>
        <v>0</v>
      </c>
      <c r="Z328" s="7" t="n">
        <f aca="false">SUMIFS(Doors!AL:AL,Doors!$A:$A,$D328,Doors!$B:$B,$B328,Doors!$C:$C,$C328)*SUMIFS(Velocity!$I:$I,Velocity!$A:$A,$A328,Velocity!$B:$B,$C328)/Assumptions!$B$4*Assumptions!$B$6</f>
        <v>0</v>
      </c>
      <c r="AA328" s="7" t="n">
        <f aca="false">SUMIFS(Doors!AM:AM,Doors!$A:$A,$D328,Doors!$B:$B,$B328,Doors!$C:$C,$C328)*SUMIFS(Velocity!$I:$I,Velocity!$A:$A,$A328,Velocity!$B:$B,$C328)/Assumptions!$B$4*Assumptions!$B$6</f>
        <v>0</v>
      </c>
      <c r="AB328" s="7" t="n">
        <f aca="false">SUMIFS(Doors!AN:AN,Doors!$A:$A,$D328,Doors!$B:$B,$B328,Doors!$C:$C,$C328)*SUMIFS(Velocity!$I:$I,Velocity!$A:$A,$A328,Velocity!$B:$B,$C328)/Assumptions!$B$4*Assumptions!$B$6</f>
        <v>0</v>
      </c>
      <c r="AC328" s="7" t="n">
        <f aca="false">SUMIFS(Doors!AO:AO,Doors!$A:$A,$D328,Doors!$B:$B,$B328,Doors!$C:$C,$C328)*SUMIFS(Velocity!$I:$I,Velocity!$A:$A,$A328,Velocity!$B:$B,$C328)/Assumptions!$B$4*Assumptions!$B$6</f>
        <v>0</v>
      </c>
      <c r="AD328" s="7" t="n">
        <f aca="false">SUMIFS(Doors!AP:AP,Doors!$A:$A,$D328,Doors!$B:$B,$B328,Doors!$C:$C,$C328)*SUMIFS(Velocity!$I:$I,Velocity!$A:$A,$A328,Velocity!$B:$B,$C328)/Assumptions!$B$4*Assumptions!$B$6</f>
        <v>0</v>
      </c>
      <c r="AE328" s="7" t="n">
        <f aca="false">SUMIFS(Doors!AQ:AQ,Doors!$A:$A,$D328,Doors!$B:$B,$B328,Doors!$C:$C,$C328)*SUMIFS(Velocity!$I:$I,Velocity!$A:$A,$A328,Velocity!$B:$B,$C328)/Assumptions!$B$4*Assumptions!$B$6</f>
        <v>0</v>
      </c>
      <c r="AF328" s="7" t="n">
        <f aca="false">SUMIFS(Doors!AR:AR,Doors!$A:$A,$D328,Doors!$B:$B,$B328,Doors!$C:$C,$C328)*SUMIFS(Velocity!$I:$I,Velocity!$A:$A,$A328,Velocity!$B:$B,$C328)/Assumptions!$B$4*Assumptions!$B$6</f>
        <v>0</v>
      </c>
      <c r="AG328" s="7" t="n">
        <f aca="false">SUMIFS(Doors!AS:AS,Doors!$A:$A,$D328,Doors!$B:$B,$B328,Doors!$C:$C,$C328)*SUMIFS(Velocity!$I:$I,Velocity!$A:$A,$A328,Velocity!$B:$B,$C328)/Assumptions!$B$4*Assumptions!$B$6</f>
        <v>0</v>
      </c>
      <c r="AH328" s="7" t="n">
        <f aca="false">SUMIFS(Doors!AT:AT,Doors!$A:$A,$D328,Doors!$B:$B,$B328,Doors!$C:$C,$C328)*SUMIFS(Velocity!$I:$I,Velocity!$A:$A,$A328,Velocity!$B:$B,$C328)/Assumptions!$B$4*Assumptions!$B$6</f>
        <v>0</v>
      </c>
      <c r="AI328" s="7" t="n">
        <f aca="false">SUMIFS(Doors!AU:AU,Doors!$A:$A,$D328,Doors!$B:$B,$B328,Doors!$C:$C,$C328)*SUMIFS(Velocity!$I:$I,Velocity!$A:$A,$A328,Velocity!$B:$B,$C328)/Assumptions!$B$4*Assumptions!$B$6</f>
        <v>0</v>
      </c>
      <c r="AJ328" s="7" t="n">
        <f aca="false">SUMIFS(Doors!AV:AV,Doors!$A:$A,$D328,Doors!$B:$B,$B328,Doors!$C:$C,$C328)*SUMIFS(Velocity!$I:$I,Velocity!$A:$A,$A328,Velocity!$B:$B,$C328)/Assumptions!$B$4*Assumptions!$B$6</f>
        <v>0</v>
      </c>
      <c r="AK328" s="7" t="n">
        <f aca="false">SUMIFS(Doors!AW:AW,Doors!$A:$A,$D328,Doors!$B:$B,$B328,Doors!$C:$C,$C328)*SUMIFS(Velocity!$I:$I,Velocity!$A:$A,$A328,Velocity!$B:$B,$C328)/Assumptions!$B$4*Assumptions!$B$6</f>
        <v>0</v>
      </c>
      <c r="AL328" s="7" t="n">
        <f aca="false">SUMIFS(Doors!AX:AX,Doors!$A:$A,$D328,Doors!$B:$B,$B328,Doors!$C:$C,$C328)*SUMIFS(Velocity!$I:$I,Velocity!$A:$A,$A328,Velocity!$B:$B,$C328)/Assumptions!$B$4*Assumptions!$B$6</f>
        <v>0</v>
      </c>
      <c r="AM328" s="7" t="n">
        <f aca="false">SUMIFS(Doors!AY:AY,Doors!$A:$A,$D328,Doors!$B:$B,$B328,Doors!$C:$C,$C328)*SUMIFS(Velocity!$I:$I,Velocity!$A:$A,$A328,Velocity!$B:$B,$C328)/Assumptions!$B$4*Assumptions!$B$6</f>
        <v>0</v>
      </c>
      <c r="AN328" s="7" t="n">
        <f aca="false">SUMIFS(Doors!AZ:AZ,Doors!$A:$A,$D328,Doors!$B:$B,$B328,Doors!$C:$C,$C328)*SUMIFS(Velocity!$I:$I,Velocity!$A:$A,$A328,Velocity!$B:$B,$C328)/Assumptions!$B$4*Assumptions!$B$6</f>
        <v>0</v>
      </c>
      <c r="AO328" s="7" t="n">
        <f aca="false">SUMIFS(Doors!BA:BA,Doors!$A:$A,$D328,Doors!$B:$B,$B328,Doors!$C:$C,$C328)*SUMIFS(Velocity!$I:$I,Velocity!$A:$A,$A328,Velocity!$B:$B,$C328)/Assumptions!$B$4*Assumptions!$B$6</f>
        <v>0</v>
      </c>
      <c r="AP328" s="7" t="n">
        <f aca="false">SUMIFS(Doors!BB:BB,Doors!$A:$A,$D328,Doors!$B:$B,$B328,Doors!$C:$C,$C328)*SUMIFS(Velocity!$I:$I,Velocity!$A:$A,$A328,Velocity!$B:$B,$C328)/Assumptions!$B$4*Assumptions!$B$6</f>
        <v>0</v>
      </c>
      <c r="AQ328" s="7" t="n">
        <f aca="false">SUMIFS(Doors!BC:BC,Doors!$A:$A,$D328,Doors!$B:$B,$B328,Doors!$C:$C,$C328)*SUMIFS(Velocity!$I:$I,Velocity!$A:$A,$A328,Velocity!$B:$B,$C328)/Assumptions!$B$4*Assumptions!$B$6</f>
        <v>0</v>
      </c>
      <c r="AR328" s="7" t="n">
        <f aca="false">SUMIFS(Doors!BD:BD,Doors!$A:$A,$D328,Doors!$B:$B,$B328,Doors!$C:$C,$C328)*SUMIFS(Velocity!$I:$I,Velocity!$A:$A,$A328,Velocity!$B:$B,$C328)/Assumptions!$B$4*Assumptions!$B$6</f>
        <v>0</v>
      </c>
      <c r="AS328" s="7" t="n">
        <f aca="false">SUMIFS(Doors!BE:BE,Doors!$A:$A,$D328,Doors!$B:$B,$B328,Doors!$C:$C,$C328)*SUMIFS(Velocity!$I:$I,Velocity!$A:$A,$A328,Velocity!$B:$B,$C328)/Assumptions!$B$4*Assumptions!$B$6</f>
        <v>0</v>
      </c>
      <c r="AT328" s="7" t="n">
        <f aca="false">SUMIFS(Doors!BF:BF,Doors!$A:$A,$D328,Doors!$B:$B,$B328,Doors!$C:$C,$C328)*SUMIFS(Velocity!$I:$I,Velocity!$A:$A,$A328,Velocity!$B:$B,$C328)/Assumptions!$B$4*Assumptions!$B$6</f>
        <v>0</v>
      </c>
      <c r="AU328" s="7" t="n">
        <f aca="false">SUMIFS(Doors!BG:BG,Doors!$A:$A,$D328,Doors!$B:$B,$B328,Doors!$C:$C,$C328)*SUMIFS(Velocity!$I:$I,Velocity!$A:$A,$A328,Velocity!$B:$B,$C328)/Assumptions!$B$4*Assumptions!$B$6</f>
        <v>0</v>
      </c>
      <c r="AV328" s="7" t="n">
        <f aca="false">SUMIFS(Doors!BH:BH,Doors!$A:$A,$D328,Doors!$B:$B,$B328,Doors!$C:$C,$C328)*SUMIFS(Velocity!$I:$I,Velocity!$A:$A,$A328,Velocity!$B:$B,$C328)/Assumptions!$B$4*Assumptions!$B$6</f>
        <v>0</v>
      </c>
      <c r="AW328" s="7" t="n">
        <f aca="false">SUMIFS(Doors!BI:BI,Doors!$A:$A,$D328,Doors!$B:$B,$B328,Doors!$C:$C,$C328)*SUMIFS(Velocity!$I:$I,Velocity!$A:$A,$A328,Velocity!$B:$B,$C328)/Assumptions!$B$4*Assumptions!$B$6</f>
        <v>0</v>
      </c>
      <c r="AX328" s="7" t="n">
        <f aca="false">SUMIFS(Doors!BJ:BJ,Doors!$A:$A,$D328,Doors!$B:$B,$B328,Doors!$C:$C,$C328)*SUMIFS(Velocity!$I:$I,Velocity!$A:$A,$A328,Velocity!$B:$B,$C328)/Assumptions!$B$4*Assumptions!$B$6</f>
        <v>0</v>
      </c>
      <c r="AY328" s="7" t="n">
        <f aca="false">SUMIFS(Doors!BK:BK,Doors!$A:$A,$D328,Doors!$B:$B,$B328,Doors!$C:$C,$C328)*SUMIFS(Velocity!$I:$I,Velocity!$A:$A,$A328,Velocity!$B:$B,$C328)/Assumptions!$B$4*Assumptions!$B$6</f>
        <v>0</v>
      </c>
      <c r="AZ328" s="7" t="n">
        <f aca="false">SUMIFS(Doors!BL:BL,Doors!$A:$A,$D328,Doors!$B:$B,$B328,Doors!$C:$C,$C328)*SUMIFS(Velocity!$I:$I,Velocity!$A:$A,$A328,Velocity!$B:$B,$C328)/Assumptions!$B$4*Assumptions!$B$6</f>
        <v>0</v>
      </c>
      <c r="BA328" s="7" t="n">
        <f aca="false">SUMIFS(Doors!BM:BM,Doors!$A:$A,$D328,Doors!$B:$B,$B328,Doors!$C:$C,$C328)*SUMIFS(Velocity!$I:$I,Velocity!$A:$A,$A328,Velocity!$B:$B,$C328)/Assumptions!$B$4*Assumptions!$B$6</f>
        <v>0</v>
      </c>
      <c r="BB328" s="7" t="n">
        <f aca="false">SUMIFS(Doors!BN:BN,Doors!$A:$A,$D328,Doors!$B:$B,$B328,Doors!$C:$C,$C328)*SUMIFS(Velocity!$I:$I,Velocity!$A:$A,$A328,Velocity!$B:$B,$C328)/Assumptions!$B$4*Assumptions!$B$6</f>
        <v>0</v>
      </c>
      <c r="BC328" s="7" t="n">
        <f aca="false">SUMIFS(Doors!BO:BO,Doors!$A:$A,$D328,Doors!$B:$B,$B328,Doors!$C:$C,$C328)*SUMIFS(Velocity!$I:$I,Velocity!$A:$A,$A328,Velocity!$B:$B,$C328)/Assumptions!$B$4*Assumptions!$B$6</f>
        <v>0</v>
      </c>
      <c r="BD328" s="7" t="n">
        <f aca="false">SUMIFS(Doors!BP:BP,Doors!$A:$A,$D328,Doors!$B:$B,$B328,Doors!$C:$C,$C328)*SUMIFS(Velocity!$I:$I,Velocity!$A:$A,$A328,Velocity!$B:$B,$C328)/Assumptions!$B$4*Assumptions!$B$6</f>
        <v>0</v>
      </c>
    </row>
    <row r="329" customFormat="false" ht="15" hidden="false" customHeight="false" outlineLevel="0" collapsed="false">
      <c r="A329" s="0" t="s">
        <v>111</v>
      </c>
      <c r="B329" s="0" t="s">
        <v>131</v>
      </c>
      <c r="C329" s="0" t="s">
        <v>123</v>
      </c>
      <c r="D329" s="0" t="s">
        <v>236</v>
      </c>
      <c r="E329" s="7" t="n">
        <f aca="false">SUMIFS(Doors!Q:Q,Doors!$A:$A,$D329,Doors!$B:$B,$B329,Doors!$C:$C,$C329)*SUMIFS(Velocity!$I:$I,Velocity!$A:$A,$A329,Velocity!$B:$B,$C329)/Assumptions!$B$4*Assumptions!$B$6</f>
        <v>0</v>
      </c>
      <c r="F329" s="7" t="n">
        <f aca="false">SUMIFS(Doors!R:R,Doors!$A:$A,$D329,Doors!$B:$B,$B329,Doors!$C:$C,$C329)*SUMIFS(Velocity!$I:$I,Velocity!$A:$A,$A329,Velocity!$B:$B,$C329)/Assumptions!$B$4*Assumptions!$B$6</f>
        <v>0</v>
      </c>
      <c r="G329" s="7" t="n">
        <f aca="false">SUMIFS(Doors!S:S,Doors!$A:$A,$D329,Doors!$B:$B,$B329,Doors!$C:$C,$C329)*SUMIFS(Velocity!$I:$I,Velocity!$A:$A,$A329,Velocity!$B:$B,$C329)/Assumptions!$B$4*Assumptions!$B$6</f>
        <v>0</v>
      </c>
      <c r="H329" s="7" t="n">
        <f aca="false">SUMIFS(Doors!T:T,Doors!$A:$A,$D329,Doors!$B:$B,$B329,Doors!$C:$C,$C329)*SUMIFS(Velocity!$I:$I,Velocity!$A:$A,$A329,Velocity!$B:$B,$C329)/Assumptions!$B$4*Assumptions!$B$6</f>
        <v>0</v>
      </c>
      <c r="I329" s="7" t="n">
        <f aca="false">SUMIFS(Doors!U:U,Doors!$A:$A,$D329,Doors!$B:$B,$B329,Doors!$C:$C,$C329)*SUMIFS(Velocity!$I:$I,Velocity!$A:$A,$A329,Velocity!$B:$B,$C329)/Assumptions!$B$4*Assumptions!$B$6</f>
        <v>0</v>
      </c>
      <c r="J329" s="7" t="n">
        <f aca="false">SUMIFS(Doors!V:V,Doors!$A:$A,$D329,Doors!$B:$B,$B329,Doors!$C:$C,$C329)*SUMIFS(Velocity!$I:$I,Velocity!$A:$A,$A329,Velocity!$B:$B,$C329)/Assumptions!$B$4*Assumptions!$B$6</f>
        <v>0</v>
      </c>
      <c r="K329" s="7" t="n">
        <f aca="false">SUMIFS(Doors!W:W,Doors!$A:$A,$D329,Doors!$B:$B,$B329,Doors!$C:$C,$C329)*SUMIFS(Velocity!$I:$I,Velocity!$A:$A,$A329,Velocity!$B:$B,$C329)/Assumptions!$B$4*Assumptions!$B$6</f>
        <v>0</v>
      </c>
      <c r="L329" s="7" t="n">
        <f aca="false">SUMIFS(Doors!X:X,Doors!$A:$A,$D329,Doors!$B:$B,$B329,Doors!$C:$C,$C329)*SUMIFS(Velocity!$I:$I,Velocity!$A:$A,$A329,Velocity!$B:$B,$C329)/Assumptions!$B$4*Assumptions!$B$6</f>
        <v>0</v>
      </c>
      <c r="M329" s="7" t="n">
        <f aca="false">SUMIFS(Doors!Y:Y,Doors!$A:$A,$D329,Doors!$B:$B,$B329,Doors!$C:$C,$C329)*SUMIFS(Velocity!$I:$I,Velocity!$A:$A,$A329,Velocity!$B:$B,$C329)/Assumptions!$B$4*Assumptions!$B$6</f>
        <v>0</v>
      </c>
      <c r="N329" s="7" t="n">
        <f aca="false">SUMIFS(Doors!Z:Z,Doors!$A:$A,$D329,Doors!$B:$B,$B329,Doors!$C:$C,$C329)*SUMIFS(Velocity!$I:$I,Velocity!$A:$A,$A329,Velocity!$B:$B,$C329)/Assumptions!$B$4*Assumptions!$B$6</f>
        <v>0</v>
      </c>
      <c r="O329" s="7" t="n">
        <f aca="false">SUMIFS(Doors!AA:AA,Doors!$A:$A,$D329,Doors!$B:$B,$B329,Doors!$C:$C,$C329)*SUMIFS(Velocity!$I:$I,Velocity!$A:$A,$A329,Velocity!$B:$B,$C329)/Assumptions!$B$4*Assumptions!$B$6</f>
        <v>0</v>
      </c>
      <c r="P329" s="7" t="n">
        <f aca="false">SUMIFS(Doors!AB:AB,Doors!$A:$A,$D329,Doors!$B:$B,$B329,Doors!$C:$C,$C329)*SUMIFS(Velocity!$I:$I,Velocity!$A:$A,$A329,Velocity!$B:$B,$C329)/Assumptions!$B$4*Assumptions!$B$6</f>
        <v>0</v>
      </c>
      <c r="Q329" s="7" t="n">
        <f aca="false">SUMIFS(Doors!AC:AC,Doors!$A:$A,$D329,Doors!$B:$B,$B329,Doors!$C:$C,$C329)*SUMIFS(Velocity!$I:$I,Velocity!$A:$A,$A329,Velocity!$B:$B,$C329)/Assumptions!$B$4*Assumptions!$B$6</f>
        <v>0</v>
      </c>
      <c r="R329" s="7" t="n">
        <f aca="false">SUMIFS(Doors!AD:AD,Doors!$A:$A,$D329,Doors!$B:$B,$B329,Doors!$C:$C,$C329)*SUMIFS(Velocity!$I:$I,Velocity!$A:$A,$A329,Velocity!$B:$B,$C329)/Assumptions!$B$4*Assumptions!$B$6</f>
        <v>0</v>
      </c>
      <c r="S329" s="7" t="n">
        <f aca="false">SUMIFS(Doors!AE:AE,Doors!$A:$A,$D329,Doors!$B:$B,$B329,Doors!$C:$C,$C329)*SUMIFS(Velocity!$I:$I,Velocity!$A:$A,$A329,Velocity!$B:$B,$C329)/Assumptions!$B$4*Assumptions!$B$6</f>
        <v>0</v>
      </c>
      <c r="T329" s="7" t="n">
        <f aca="false">SUMIFS(Doors!AF:AF,Doors!$A:$A,$D329,Doors!$B:$B,$B329,Doors!$C:$C,$C329)*SUMIFS(Velocity!$I:$I,Velocity!$A:$A,$A329,Velocity!$B:$B,$C329)/Assumptions!$B$4*Assumptions!$B$6</f>
        <v>0</v>
      </c>
      <c r="U329" s="7" t="n">
        <f aca="false">SUMIFS(Doors!AG:AG,Doors!$A:$A,$D329,Doors!$B:$B,$B329,Doors!$C:$C,$C329)*SUMIFS(Velocity!$I:$I,Velocity!$A:$A,$A329,Velocity!$B:$B,$C329)/Assumptions!$B$4*Assumptions!$B$6</f>
        <v>0</v>
      </c>
      <c r="V329" s="7" t="n">
        <f aca="false">SUMIFS(Doors!AH:AH,Doors!$A:$A,$D329,Doors!$B:$B,$B329,Doors!$C:$C,$C329)*SUMIFS(Velocity!$I:$I,Velocity!$A:$A,$A329,Velocity!$B:$B,$C329)/Assumptions!$B$4*Assumptions!$B$6</f>
        <v>0</v>
      </c>
      <c r="W329" s="7" t="n">
        <f aca="false">SUMIFS(Doors!AI:AI,Doors!$A:$A,$D329,Doors!$B:$B,$B329,Doors!$C:$C,$C329)*SUMIFS(Velocity!$I:$I,Velocity!$A:$A,$A329,Velocity!$B:$B,$C329)/Assumptions!$B$4*Assumptions!$B$6</f>
        <v>0</v>
      </c>
      <c r="X329" s="7" t="n">
        <f aca="false">SUMIFS(Doors!AJ:AJ,Doors!$A:$A,$D329,Doors!$B:$B,$B329,Doors!$C:$C,$C329)*SUMIFS(Velocity!$I:$I,Velocity!$A:$A,$A329,Velocity!$B:$B,$C329)/Assumptions!$B$4*Assumptions!$B$6</f>
        <v>0</v>
      </c>
      <c r="Y329" s="7" t="n">
        <f aca="false">SUMIFS(Doors!AK:AK,Doors!$A:$A,$D329,Doors!$B:$B,$B329,Doors!$C:$C,$C329)*SUMIFS(Velocity!$I:$I,Velocity!$A:$A,$A329,Velocity!$B:$B,$C329)/Assumptions!$B$4*Assumptions!$B$6</f>
        <v>0</v>
      </c>
      <c r="Z329" s="7" t="n">
        <f aca="false">SUMIFS(Doors!AL:AL,Doors!$A:$A,$D329,Doors!$B:$B,$B329,Doors!$C:$C,$C329)*SUMIFS(Velocity!$I:$I,Velocity!$A:$A,$A329,Velocity!$B:$B,$C329)/Assumptions!$B$4*Assumptions!$B$6</f>
        <v>0</v>
      </c>
      <c r="AA329" s="7" t="n">
        <f aca="false">SUMIFS(Doors!AM:AM,Doors!$A:$A,$D329,Doors!$B:$B,$B329,Doors!$C:$C,$C329)*SUMIFS(Velocity!$I:$I,Velocity!$A:$A,$A329,Velocity!$B:$B,$C329)/Assumptions!$B$4*Assumptions!$B$6</f>
        <v>0</v>
      </c>
      <c r="AB329" s="7" t="n">
        <f aca="false">SUMIFS(Doors!AN:AN,Doors!$A:$A,$D329,Doors!$B:$B,$B329,Doors!$C:$C,$C329)*SUMIFS(Velocity!$I:$I,Velocity!$A:$A,$A329,Velocity!$B:$B,$C329)/Assumptions!$B$4*Assumptions!$B$6</f>
        <v>0</v>
      </c>
      <c r="AC329" s="7" t="n">
        <f aca="false">SUMIFS(Doors!AO:AO,Doors!$A:$A,$D329,Doors!$B:$B,$B329,Doors!$C:$C,$C329)*SUMIFS(Velocity!$I:$I,Velocity!$A:$A,$A329,Velocity!$B:$B,$C329)/Assumptions!$B$4*Assumptions!$B$6</f>
        <v>0</v>
      </c>
      <c r="AD329" s="7" t="n">
        <f aca="false">SUMIFS(Doors!AP:AP,Doors!$A:$A,$D329,Doors!$B:$B,$B329,Doors!$C:$C,$C329)*SUMIFS(Velocity!$I:$I,Velocity!$A:$A,$A329,Velocity!$B:$B,$C329)/Assumptions!$B$4*Assumptions!$B$6</f>
        <v>0</v>
      </c>
      <c r="AE329" s="7" t="n">
        <f aca="false">SUMIFS(Doors!AQ:AQ,Doors!$A:$A,$D329,Doors!$B:$B,$B329,Doors!$C:$C,$C329)*SUMIFS(Velocity!$I:$I,Velocity!$A:$A,$A329,Velocity!$B:$B,$C329)/Assumptions!$B$4*Assumptions!$B$6</f>
        <v>0</v>
      </c>
      <c r="AF329" s="7" t="n">
        <f aca="false">SUMIFS(Doors!AR:AR,Doors!$A:$A,$D329,Doors!$B:$B,$B329,Doors!$C:$C,$C329)*SUMIFS(Velocity!$I:$I,Velocity!$A:$A,$A329,Velocity!$B:$B,$C329)/Assumptions!$B$4*Assumptions!$B$6</f>
        <v>0</v>
      </c>
      <c r="AG329" s="7" t="n">
        <f aca="false">SUMIFS(Doors!AS:AS,Doors!$A:$A,$D329,Doors!$B:$B,$B329,Doors!$C:$C,$C329)*SUMIFS(Velocity!$I:$I,Velocity!$A:$A,$A329,Velocity!$B:$B,$C329)/Assumptions!$B$4*Assumptions!$B$6</f>
        <v>0</v>
      </c>
      <c r="AH329" s="7" t="n">
        <f aca="false">SUMIFS(Doors!AT:AT,Doors!$A:$A,$D329,Doors!$B:$B,$B329,Doors!$C:$C,$C329)*SUMIFS(Velocity!$I:$I,Velocity!$A:$A,$A329,Velocity!$B:$B,$C329)/Assumptions!$B$4*Assumptions!$B$6</f>
        <v>0</v>
      </c>
      <c r="AI329" s="7" t="n">
        <f aca="false">SUMIFS(Doors!AU:AU,Doors!$A:$A,$D329,Doors!$B:$B,$B329,Doors!$C:$C,$C329)*SUMIFS(Velocity!$I:$I,Velocity!$A:$A,$A329,Velocity!$B:$B,$C329)/Assumptions!$B$4*Assumptions!$B$6</f>
        <v>0</v>
      </c>
      <c r="AJ329" s="7" t="n">
        <f aca="false">SUMIFS(Doors!AV:AV,Doors!$A:$A,$D329,Doors!$B:$B,$B329,Doors!$C:$C,$C329)*SUMIFS(Velocity!$I:$I,Velocity!$A:$A,$A329,Velocity!$B:$B,$C329)/Assumptions!$B$4*Assumptions!$B$6</f>
        <v>0</v>
      </c>
      <c r="AK329" s="7" t="n">
        <f aca="false">SUMIFS(Doors!AW:AW,Doors!$A:$A,$D329,Doors!$B:$B,$B329,Doors!$C:$C,$C329)*SUMIFS(Velocity!$I:$I,Velocity!$A:$A,$A329,Velocity!$B:$B,$C329)/Assumptions!$B$4*Assumptions!$B$6</f>
        <v>0</v>
      </c>
      <c r="AL329" s="7" t="n">
        <f aca="false">SUMIFS(Doors!AX:AX,Doors!$A:$A,$D329,Doors!$B:$B,$B329,Doors!$C:$C,$C329)*SUMIFS(Velocity!$I:$I,Velocity!$A:$A,$A329,Velocity!$B:$B,$C329)/Assumptions!$B$4*Assumptions!$B$6</f>
        <v>0</v>
      </c>
      <c r="AM329" s="7" t="n">
        <f aca="false">SUMIFS(Doors!AY:AY,Doors!$A:$A,$D329,Doors!$B:$B,$B329,Doors!$C:$C,$C329)*SUMIFS(Velocity!$I:$I,Velocity!$A:$A,$A329,Velocity!$B:$B,$C329)/Assumptions!$B$4*Assumptions!$B$6</f>
        <v>0</v>
      </c>
      <c r="AN329" s="7" t="n">
        <f aca="false">SUMIFS(Doors!AZ:AZ,Doors!$A:$A,$D329,Doors!$B:$B,$B329,Doors!$C:$C,$C329)*SUMIFS(Velocity!$I:$I,Velocity!$A:$A,$A329,Velocity!$B:$B,$C329)/Assumptions!$B$4*Assumptions!$B$6</f>
        <v>0</v>
      </c>
      <c r="AO329" s="7" t="n">
        <f aca="false">SUMIFS(Doors!BA:BA,Doors!$A:$A,$D329,Doors!$B:$B,$B329,Doors!$C:$C,$C329)*SUMIFS(Velocity!$I:$I,Velocity!$A:$A,$A329,Velocity!$B:$B,$C329)/Assumptions!$B$4*Assumptions!$B$6</f>
        <v>0</v>
      </c>
      <c r="AP329" s="7" t="n">
        <f aca="false">SUMIFS(Doors!BB:BB,Doors!$A:$A,$D329,Doors!$B:$B,$B329,Doors!$C:$C,$C329)*SUMIFS(Velocity!$I:$I,Velocity!$A:$A,$A329,Velocity!$B:$B,$C329)/Assumptions!$B$4*Assumptions!$B$6</f>
        <v>0</v>
      </c>
      <c r="AQ329" s="7" t="n">
        <f aca="false">SUMIFS(Doors!BC:BC,Doors!$A:$A,$D329,Doors!$B:$B,$B329,Doors!$C:$C,$C329)*SUMIFS(Velocity!$I:$I,Velocity!$A:$A,$A329,Velocity!$B:$B,$C329)/Assumptions!$B$4*Assumptions!$B$6</f>
        <v>0</v>
      </c>
      <c r="AR329" s="7" t="n">
        <f aca="false">SUMIFS(Doors!BD:BD,Doors!$A:$A,$D329,Doors!$B:$B,$B329,Doors!$C:$C,$C329)*SUMIFS(Velocity!$I:$I,Velocity!$A:$A,$A329,Velocity!$B:$B,$C329)/Assumptions!$B$4*Assumptions!$B$6</f>
        <v>0</v>
      </c>
      <c r="AS329" s="7" t="n">
        <f aca="false">SUMIFS(Doors!BE:BE,Doors!$A:$A,$D329,Doors!$B:$B,$B329,Doors!$C:$C,$C329)*SUMIFS(Velocity!$I:$I,Velocity!$A:$A,$A329,Velocity!$B:$B,$C329)/Assumptions!$B$4*Assumptions!$B$6</f>
        <v>0</v>
      </c>
      <c r="AT329" s="7" t="n">
        <f aca="false">SUMIFS(Doors!BF:BF,Doors!$A:$A,$D329,Doors!$B:$B,$B329,Doors!$C:$C,$C329)*SUMIFS(Velocity!$I:$I,Velocity!$A:$A,$A329,Velocity!$B:$B,$C329)/Assumptions!$B$4*Assumptions!$B$6</f>
        <v>0</v>
      </c>
      <c r="AU329" s="7" t="n">
        <f aca="false">SUMIFS(Doors!BG:BG,Doors!$A:$A,$D329,Doors!$B:$B,$B329,Doors!$C:$C,$C329)*SUMIFS(Velocity!$I:$I,Velocity!$A:$A,$A329,Velocity!$B:$B,$C329)/Assumptions!$B$4*Assumptions!$B$6</f>
        <v>0</v>
      </c>
      <c r="AV329" s="7" t="n">
        <f aca="false">SUMIFS(Doors!BH:BH,Doors!$A:$A,$D329,Doors!$B:$B,$B329,Doors!$C:$C,$C329)*SUMIFS(Velocity!$I:$I,Velocity!$A:$A,$A329,Velocity!$B:$B,$C329)/Assumptions!$B$4*Assumptions!$B$6</f>
        <v>0</v>
      </c>
      <c r="AW329" s="7" t="n">
        <f aca="false">SUMIFS(Doors!BI:BI,Doors!$A:$A,$D329,Doors!$B:$B,$B329,Doors!$C:$C,$C329)*SUMIFS(Velocity!$I:$I,Velocity!$A:$A,$A329,Velocity!$B:$B,$C329)/Assumptions!$B$4*Assumptions!$B$6</f>
        <v>0</v>
      </c>
      <c r="AX329" s="7" t="n">
        <f aca="false">SUMIFS(Doors!BJ:BJ,Doors!$A:$A,$D329,Doors!$B:$B,$B329,Doors!$C:$C,$C329)*SUMIFS(Velocity!$I:$I,Velocity!$A:$A,$A329,Velocity!$B:$B,$C329)/Assumptions!$B$4*Assumptions!$B$6</f>
        <v>0</v>
      </c>
      <c r="AY329" s="7" t="n">
        <f aca="false">SUMIFS(Doors!BK:BK,Doors!$A:$A,$D329,Doors!$B:$B,$B329,Doors!$C:$C,$C329)*SUMIFS(Velocity!$I:$I,Velocity!$A:$A,$A329,Velocity!$B:$B,$C329)/Assumptions!$B$4*Assumptions!$B$6</f>
        <v>0</v>
      </c>
      <c r="AZ329" s="7" t="n">
        <f aca="false">SUMIFS(Doors!BL:BL,Doors!$A:$A,$D329,Doors!$B:$B,$B329,Doors!$C:$C,$C329)*SUMIFS(Velocity!$I:$I,Velocity!$A:$A,$A329,Velocity!$B:$B,$C329)/Assumptions!$B$4*Assumptions!$B$6</f>
        <v>0</v>
      </c>
      <c r="BA329" s="7" t="n">
        <f aca="false">SUMIFS(Doors!BM:BM,Doors!$A:$A,$D329,Doors!$B:$B,$B329,Doors!$C:$C,$C329)*SUMIFS(Velocity!$I:$I,Velocity!$A:$A,$A329,Velocity!$B:$B,$C329)/Assumptions!$B$4*Assumptions!$B$6</f>
        <v>0</v>
      </c>
      <c r="BB329" s="7" t="n">
        <f aca="false">SUMIFS(Doors!BN:BN,Doors!$A:$A,$D329,Doors!$B:$B,$B329,Doors!$C:$C,$C329)*SUMIFS(Velocity!$I:$I,Velocity!$A:$A,$A329,Velocity!$B:$B,$C329)/Assumptions!$B$4*Assumptions!$B$6</f>
        <v>0</v>
      </c>
      <c r="BC329" s="7" t="n">
        <f aca="false">SUMIFS(Doors!BO:BO,Doors!$A:$A,$D329,Doors!$B:$B,$B329,Doors!$C:$C,$C329)*SUMIFS(Velocity!$I:$I,Velocity!$A:$A,$A329,Velocity!$B:$B,$C329)/Assumptions!$B$4*Assumptions!$B$6</f>
        <v>0</v>
      </c>
      <c r="BD329" s="7" t="n">
        <f aca="false">SUMIFS(Doors!BP:BP,Doors!$A:$A,$D329,Doors!$B:$B,$B329,Doors!$C:$C,$C329)*SUMIFS(Velocity!$I:$I,Velocity!$A:$A,$A329,Velocity!$B:$B,$C329)/Assumptions!$B$4*Assumptions!$B$6</f>
        <v>0</v>
      </c>
    </row>
    <row r="330" customFormat="false" ht="15" hidden="false" customHeight="false" outlineLevel="0" collapsed="false">
      <c r="A330" s="0" t="s">
        <v>111</v>
      </c>
      <c r="B330" s="0" t="s">
        <v>132</v>
      </c>
      <c r="C330" s="0" t="s">
        <v>115</v>
      </c>
      <c r="D330" s="0" t="s">
        <v>236</v>
      </c>
      <c r="E330" s="7" t="n">
        <f aca="false">SUMIFS(Doors!Q:Q,Doors!$A:$A,$D330,Doors!$B:$B,$B330,Doors!$C:$C,$C330)*SUMIFS(Velocity!$I:$I,Velocity!$A:$A,$A330,Velocity!$B:$B,$C330)/Assumptions!$B$4*Assumptions!$B$6</f>
        <v>0</v>
      </c>
      <c r="F330" s="7" t="n">
        <f aca="false">SUMIFS(Doors!R:R,Doors!$A:$A,$D330,Doors!$B:$B,$B330,Doors!$C:$C,$C330)*SUMIFS(Velocity!$I:$I,Velocity!$A:$A,$A330,Velocity!$B:$B,$C330)/Assumptions!$B$4*Assumptions!$B$6</f>
        <v>0</v>
      </c>
      <c r="G330" s="7" t="n">
        <f aca="false">SUMIFS(Doors!S:S,Doors!$A:$A,$D330,Doors!$B:$B,$B330,Doors!$C:$C,$C330)*SUMIFS(Velocity!$I:$I,Velocity!$A:$A,$A330,Velocity!$B:$B,$C330)/Assumptions!$B$4*Assumptions!$B$6</f>
        <v>0</v>
      </c>
      <c r="H330" s="7" t="n">
        <f aca="false">SUMIFS(Doors!T:T,Doors!$A:$A,$D330,Doors!$B:$B,$B330,Doors!$C:$C,$C330)*SUMIFS(Velocity!$I:$I,Velocity!$A:$A,$A330,Velocity!$B:$B,$C330)/Assumptions!$B$4*Assumptions!$B$6</f>
        <v>0</v>
      </c>
      <c r="I330" s="7" t="n">
        <f aca="false">SUMIFS(Doors!U:U,Doors!$A:$A,$D330,Doors!$B:$B,$B330,Doors!$C:$C,$C330)*SUMIFS(Velocity!$I:$I,Velocity!$A:$A,$A330,Velocity!$B:$B,$C330)/Assumptions!$B$4*Assumptions!$B$6</f>
        <v>0</v>
      </c>
      <c r="J330" s="7" t="n">
        <f aca="false">SUMIFS(Doors!V:V,Doors!$A:$A,$D330,Doors!$B:$B,$B330,Doors!$C:$C,$C330)*SUMIFS(Velocity!$I:$I,Velocity!$A:$A,$A330,Velocity!$B:$B,$C330)/Assumptions!$B$4*Assumptions!$B$6</f>
        <v>0</v>
      </c>
      <c r="K330" s="7" t="n">
        <f aca="false">SUMIFS(Doors!W:W,Doors!$A:$A,$D330,Doors!$B:$B,$B330,Doors!$C:$C,$C330)*SUMIFS(Velocity!$I:$I,Velocity!$A:$A,$A330,Velocity!$B:$B,$C330)/Assumptions!$B$4*Assumptions!$B$6</f>
        <v>0</v>
      </c>
      <c r="L330" s="7" t="n">
        <f aca="false">SUMIFS(Doors!X:X,Doors!$A:$A,$D330,Doors!$B:$B,$B330,Doors!$C:$C,$C330)*SUMIFS(Velocity!$I:$I,Velocity!$A:$A,$A330,Velocity!$B:$B,$C330)/Assumptions!$B$4*Assumptions!$B$6</f>
        <v>0</v>
      </c>
      <c r="M330" s="7" t="n">
        <f aca="false">SUMIFS(Doors!Y:Y,Doors!$A:$A,$D330,Doors!$B:$B,$B330,Doors!$C:$C,$C330)*SUMIFS(Velocity!$I:$I,Velocity!$A:$A,$A330,Velocity!$B:$B,$C330)/Assumptions!$B$4*Assumptions!$B$6</f>
        <v>0</v>
      </c>
      <c r="N330" s="7" t="n">
        <f aca="false">SUMIFS(Doors!Z:Z,Doors!$A:$A,$D330,Doors!$B:$B,$B330,Doors!$C:$C,$C330)*SUMIFS(Velocity!$I:$I,Velocity!$A:$A,$A330,Velocity!$B:$B,$C330)/Assumptions!$B$4*Assumptions!$B$6</f>
        <v>0</v>
      </c>
      <c r="O330" s="7" t="n">
        <f aca="false">SUMIFS(Doors!AA:AA,Doors!$A:$A,$D330,Doors!$B:$B,$B330,Doors!$C:$C,$C330)*SUMIFS(Velocity!$I:$I,Velocity!$A:$A,$A330,Velocity!$B:$B,$C330)/Assumptions!$B$4*Assumptions!$B$6</f>
        <v>0</v>
      </c>
      <c r="P330" s="7" t="n">
        <f aca="false">SUMIFS(Doors!AB:AB,Doors!$A:$A,$D330,Doors!$B:$B,$B330,Doors!$C:$C,$C330)*SUMIFS(Velocity!$I:$I,Velocity!$A:$A,$A330,Velocity!$B:$B,$C330)/Assumptions!$B$4*Assumptions!$B$6</f>
        <v>0</v>
      </c>
      <c r="Q330" s="7" t="n">
        <f aca="false">SUMIFS(Doors!AC:AC,Doors!$A:$A,$D330,Doors!$B:$B,$B330,Doors!$C:$C,$C330)*SUMIFS(Velocity!$I:$I,Velocity!$A:$A,$A330,Velocity!$B:$B,$C330)/Assumptions!$B$4*Assumptions!$B$6</f>
        <v>0</v>
      </c>
      <c r="R330" s="7" t="n">
        <f aca="false">SUMIFS(Doors!AD:AD,Doors!$A:$A,$D330,Doors!$B:$B,$B330,Doors!$C:$C,$C330)*SUMIFS(Velocity!$I:$I,Velocity!$A:$A,$A330,Velocity!$B:$B,$C330)/Assumptions!$B$4*Assumptions!$B$6</f>
        <v>0</v>
      </c>
      <c r="S330" s="7" t="n">
        <f aca="false">SUMIFS(Doors!AE:AE,Doors!$A:$A,$D330,Doors!$B:$B,$B330,Doors!$C:$C,$C330)*SUMIFS(Velocity!$I:$I,Velocity!$A:$A,$A330,Velocity!$B:$B,$C330)/Assumptions!$B$4*Assumptions!$B$6</f>
        <v>0</v>
      </c>
      <c r="T330" s="7" t="n">
        <f aca="false">SUMIFS(Doors!AF:AF,Doors!$A:$A,$D330,Doors!$B:$B,$B330,Doors!$C:$C,$C330)*SUMIFS(Velocity!$I:$I,Velocity!$A:$A,$A330,Velocity!$B:$B,$C330)/Assumptions!$B$4*Assumptions!$B$6</f>
        <v>0</v>
      </c>
      <c r="U330" s="7" t="n">
        <f aca="false">SUMIFS(Doors!AG:AG,Doors!$A:$A,$D330,Doors!$B:$B,$B330,Doors!$C:$C,$C330)*SUMIFS(Velocity!$I:$I,Velocity!$A:$A,$A330,Velocity!$B:$B,$C330)/Assumptions!$B$4*Assumptions!$B$6</f>
        <v>0</v>
      </c>
      <c r="V330" s="7" t="n">
        <f aca="false">SUMIFS(Doors!AH:AH,Doors!$A:$A,$D330,Doors!$B:$B,$B330,Doors!$C:$C,$C330)*SUMIFS(Velocity!$I:$I,Velocity!$A:$A,$A330,Velocity!$B:$B,$C330)/Assumptions!$B$4*Assumptions!$B$6</f>
        <v>0</v>
      </c>
      <c r="W330" s="7" t="n">
        <f aca="false">SUMIFS(Doors!AI:AI,Doors!$A:$A,$D330,Doors!$B:$B,$B330,Doors!$C:$C,$C330)*SUMIFS(Velocity!$I:$I,Velocity!$A:$A,$A330,Velocity!$B:$B,$C330)/Assumptions!$B$4*Assumptions!$B$6</f>
        <v>0</v>
      </c>
      <c r="X330" s="7" t="n">
        <f aca="false">SUMIFS(Doors!AJ:AJ,Doors!$A:$A,$D330,Doors!$B:$B,$B330,Doors!$C:$C,$C330)*SUMIFS(Velocity!$I:$I,Velocity!$A:$A,$A330,Velocity!$B:$B,$C330)/Assumptions!$B$4*Assumptions!$B$6</f>
        <v>0</v>
      </c>
      <c r="Y330" s="7" t="n">
        <f aca="false">SUMIFS(Doors!AK:AK,Doors!$A:$A,$D330,Doors!$B:$B,$B330,Doors!$C:$C,$C330)*SUMIFS(Velocity!$I:$I,Velocity!$A:$A,$A330,Velocity!$B:$B,$C330)/Assumptions!$B$4*Assumptions!$B$6</f>
        <v>0</v>
      </c>
      <c r="Z330" s="7" t="n">
        <f aca="false">SUMIFS(Doors!AL:AL,Doors!$A:$A,$D330,Doors!$B:$B,$B330,Doors!$C:$C,$C330)*SUMIFS(Velocity!$I:$I,Velocity!$A:$A,$A330,Velocity!$B:$B,$C330)/Assumptions!$B$4*Assumptions!$B$6</f>
        <v>0</v>
      </c>
      <c r="AA330" s="7" t="n">
        <f aca="false">SUMIFS(Doors!AM:AM,Doors!$A:$A,$D330,Doors!$B:$B,$B330,Doors!$C:$C,$C330)*SUMIFS(Velocity!$I:$I,Velocity!$A:$A,$A330,Velocity!$B:$B,$C330)/Assumptions!$B$4*Assumptions!$B$6</f>
        <v>0</v>
      </c>
      <c r="AB330" s="7" t="n">
        <f aca="false">SUMIFS(Doors!AN:AN,Doors!$A:$A,$D330,Doors!$B:$B,$B330,Doors!$C:$C,$C330)*SUMIFS(Velocity!$I:$I,Velocity!$A:$A,$A330,Velocity!$B:$B,$C330)/Assumptions!$B$4*Assumptions!$B$6</f>
        <v>0</v>
      </c>
      <c r="AC330" s="7" t="n">
        <f aca="false">SUMIFS(Doors!AO:AO,Doors!$A:$A,$D330,Doors!$B:$B,$B330,Doors!$C:$C,$C330)*SUMIFS(Velocity!$I:$I,Velocity!$A:$A,$A330,Velocity!$B:$B,$C330)/Assumptions!$B$4*Assumptions!$B$6</f>
        <v>0</v>
      </c>
      <c r="AD330" s="7" t="n">
        <f aca="false">SUMIFS(Doors!AP:AP,Doors!$A:$A,$D330,Doors!$B:$B,$B330,Doors!$C:$C,$C330)*SUMIFS(Velocity!$I:$I,Velocity!$A:$A,$A330,Velocity!$B:$B,$C330)/Assumptions!$B$4*Assumptions!$B$6</f>
        <v>0</v>
      </c>
      <c r="AE330" s="7" t="n">
        <f aca="false">SUMIFS(Doors!AQ:AQ,Doors!$A:$A,$D330,Doors!$B:$B,$B330,Doors!$C:$C,$C330)*SUMIFS(Velocity!$I:$I,Velocity!$A:$A,$A330,Velocity!$B:$B,$C330)/Assumptions!$B$4*Assumptions!$B$6</f>
        <v>0</v>
      </c>
      <c r="AF330" s="7" t="n">
        <f aca="false">SUMIFS(Doors!AR:AR,Doors!$A:$A,$D330,Doors!$B:$B,$B330,Doors!$C:$C,$C330)*SUMIFS(Velocity!$I:$I,Velocity!$A:$A,$A330,Velocity!$B:$B,$C330)/Assumptions!$B$4*Assumptions!$B$6</f>
        <v>0</v>
      </c>
      <c r="AG330" s="7" t="n">
        <f aca="false">SUMIFS(Doors!AS:AS,Doors!$A:$A,$D330,Doors!$B:$B,$B330,Doors!$C:$C,$C330)*SUMIFS(Velocity!$I:$I,Velocity!$A:$A,$A330,Velocity!$B:$B,$C330)/Assumptions!$B$4*Assumptions!$B$6</f>
        <v>0</v>
      </c>
      <c r="AH330" s="7" t="n">
        <f aca="false">SUMIFS(Doors!AT:AT,Doors!$A:$A,$D330,Doors!$B:$B,$B330,Doors!$C:$C,$C330)*SUMIFS(Velocity!$I:$I,Velocity!$A:$A,$A330,Velocity!$B:$B,$C330)/Assumptions!$B$4*Assumptions!$B$6</f>
        <v>0</v>
      </c>
      <c r="AI330" s="7" t="n">
        <f aca="false">SUMIFS(Doors!AU:AU,Doors!$A:$A,$D330,Doors!$B:$B,$B330,Doors!$C:$C,$C330)*SUMIFS(Velocity!$I:$I,Velocity!$A:$A,$A330,Velocity!$B:$B,$C330)/Assumptions!$B$4*Assumptions!$B$6</f>
        <v>0</v>
      </c>
      <c r="AJ330" s="7" t="n">
        <f aca="false">SUMIFS(Doors!AV:AV,Doors!$A:$A,$D330,Doors!$B:$B,$B330,Doors!$C:$C,$C330)*SUMIFS(Velocity!$I:$I,Velocity!$A:$A,$A330,Velocity!$B:$B,$C330)/Assumptions!$B$4*Assumptions!$B$6</f>
        <v>0</v>
      </c>
      <c r="AK330" s="7" t="n">
        <f aca="false">SUMIFS(Doors!AW:AW,Doors!$A:$A,$D330,Doors!$B:$B,$B330,Doors!$C:$C,$C330)*SUMIFS(Velocity!$I:$I,Velocity!$A:$A,$A330,Velocity!$B:$B,$C330)/Assumptions!$B$4*Assumptions!$B$6</f>
        <v>0</v>
      </c>
      <c r="AL330" s="7" t="n">
        <f aca="false">SUMIFS(Doors!AX:AX,Doors!$A:$A,$D330,Doors!$B:$B,$B330,Doors!$C:$C,$C330)*SUMIFS(Velocity!$I:$I,Velocity!$A:$A,$A330,Velocity!$B:$B,$C330)/Assumptions!$B$4*Assumptions!$B$6</f>
        <v>0</v>
      </c>
      <c r="AM330" s="7" t="n">
        <f aca="false">SUMIFS(Doors!AY:AY,Doors!$A:$A,$D330,Doors!$B:$B,$B330,Doors!$C:$C,$C330)*SUMIFS(Velocity!$I:$I,Velocity!$A:$A,$A330,Velocity!$B:$B,$C330)/Assumptions!$B$4*Assumptions!$B$6</f>
        <v>0</v>
      </c>
      <c r="AN330" s="7" t="n">
        <f aca="false">SUMIFS(Doors!AZ:AZ,Doors!$A:$A,$D330,Doors!$B:$B,$B330,Doors!$C:$C,$C330)*SUMIFS(Velocity!$I:$I,Velocity!$A:$A,$A330,Velocity!$B:$B,$C330)/Assumptions!$B$4*Assumptions!$B$6</f>
        <v>0</v>
      </c>
      <c r="AO330" s="7" t="n">
        <f aca="false">SUMIFS(Doors!BA:BA,Doors!$A:$A,$D330,Doors!$B:$B,$B330,Doors!$C:$C,$C330)*SUMIFS(Velocity!$I:$I,Velocity!$A:$A,$A330,Velocity!$B:$B,$C330)/Assumptions!$B$4*Assumptions!$B$6</f>
        <v>0</v>
      </c>
      <c r="AP330" s="7" t="n">
        <f aca="false">SUMIFS(Doors!BB:BB,Doors!$A:$A,$D330,Doors!$B:$B,$B330,Doors!$C:$C,$C330)*SUMIFS(Velocity!$I:$I,Velocity!$A:$A,$A330,Velocity!$B:$B,$C330)/Assumptions!$B$4*Assumptions!$B$6</f>
        <v>0</v>
      </c>
      <c r="AQ330" s="7" t="n">
        <f aca="false">SUMIFS(Doors!BC:BC,Doors!$A:$A,$D330,Doors!$B:$B,$B330,Doors!$C:$C,$C330)*SUMIFS(Velocity!$I:$I,Velocity!$A:$A,$A330,Velocity!$B:$B,$C330)/Assumptions!$B$4*Assumptions!$B$6</f>
        <v>0</v>
      </c>
      <c r="AR330" s="7" t="n">
        <f aca="false">SUMIFS(Doors!BD:BD,Doors!$A:$A,$D330,Doors!$B:$B,$B330,Doors!$C:$C,$C330)*SUMIFS(Velocity!$I:$I,Velocity!$A:$A,$A330,Velocity!$B:$B,$C330)/Assumptions!$B$4*Assumptions!$B$6</f>
        <v>0</v>
      </c>
      <c r="AS330" s="7" t="n">
        <f aca="false">SUMIFS(Doors!BE:BE,Doors!$A:$A,$D330,Doors!$B:$B,$B330,Doors!$C:$C,$C330)*SUMIFS(Velocity!$I:$I,Velocity!$A:$A,$A330,Velocity!$B:$B,$C330)/Assumptions!$B$4*Assumptions!$B$6</f>
        <v>0</v>
      </c>
      <c r="AT330" s="7" t="n">
        <f aca="false">SUMIFS(Doors!BF:BF,Doors!$A:$A,$D330,Doors!$B:$B,$B330,Doors!$C:$C,$C330)*SUMIFS(Velocity!$I:$I,Velocity!$A:$A,$A330,Velocity!$B:$B,$C330)/Assumptions!$B$4*Assumptions!$B$6</f>
        <v>0</v>
      </c>
      <c r="AU330" s="7" t="n">
        <f aca="false">SUMIFS(Doors!BG:BG,Doors!$A:$A,$D330,Doors!$B:$B,$B330,Doors!$C:$C,$C330)*SUMIFS(Velocity!$I:$I,Velocity!$A:$A,$A330,Velocity!$B:$B,$C330)/Assumptions!$B$4*Assumptions!$B$6</f>
        <v>0</v>
      </c>
      <c r="AV330" s="7" t="n">
        <f aca="false">SUMIFS(Doors!BH:BH,Doors!$A:$A,$D330,Doors!$B:$B,$B330,Doors!$C:$C,$C330)*SUMIFS(Velocity!$I:$I,Velocity!$A:$A,$A330,Velocity!$B:$B,$C330)/Assumptions!$B$4*Assumptions!$B$6</f>
        <v>0</v>
      </c>
      <c r="AW330" s="7" t="n">
        <f aca="false">SUMIFS(Doors!BI:BI,Doors!$A:$A,$D330,Doors!$B:$B,$B330,Doors!$C:$C,$C330)*SUMIFS(Velocity!$I:$I,Velocity!$A:$A,$A330,Velocity!$B:$B,$C330)/Assumptions!$B$4*Assumptions!$B$6</f>
        <v>0</v>
      </c>
      <c r="AX330" s="7" t="n">
        <f aca="false">SUMIFS(Doors!BJ:BJ,Doors!$A:$A,$D330,Doors!$B:$B,$B330,Doors!$C:$C,$C330)*SUMIFS(Velocity!$I:$I,Velocity!$A:$A,$A330,Velocity!$B:$B,$C330)/Assumptions!$B$4*Assumptions!$B$6</f>
        <v>0</v>
      </c>
      <c r="AY330" s="7" t="n">
        <f aca="false">SUMIFS(Doors!BK:BK,Doors!$A:$A,$D330,Doors!$B:$B,$B330,Doors!$C:$C,$C330)*SUMIFS(Velocity!$I:$I,Velocity!$A:$A,$A330,Velocity!$B:$B,$C330)/Assumptions!$B$4*Assumptions!$B$6</f>
        <v>0</v>
      </c>
      <c r="AZ330" s="7" t="n">
        <f aca="false">SUMIFS(Doors!BL:BL,Doors!$A:$A,$D330,Doors!$B:$B,$B330,Doors!$C:$C,$C330)*SUMIFS(Velocity!$I:$I,Velocity!$A:$A,$A330,Velocity!$B:$B,$C330)/Assumptions!$B$4*Assumptions!$B$6</f>
        <v>0</v>
      </c>
      <c r="BA330" s="7" t="n">
        <f aca="false">SUMIFS(Doors!BM:BM,Doors!$A:$A,$D330,Doors!$B:$B,$B330,Doors!$C:$C,$C330)*SUMIFS(Velocity!$I:$I,Velocity!$A:$A,$A330,Velocity!$B:$B,$C330)/Assumptions!$B$4*Assumptions!$B$6</f>
        <v>0</v>
      </c>
      <c r="BB330" s="7" t="n">
        <f aca="false">SUMIFS(Doors!BN:BN,Doors!$A:$A,$D330,Doors!$B:$B,$B330,Doors!$C:$C,$C330)*SUMIFS(Velocity!$I:$I,Velocity!$A:$A,$A330,Velocity!$B:$B,$C330)/Assumptions!$B$4*Assumptions!$B$6</f>
        <v>0</v>
      </c>
      <c r="BC330" s="7" t="n">
        <f aca="false">SUMIFS(Doors!BO:BO,Doors!$A:$A,$D330,Doors!$B:$B,$B330,Doors!$C:$C,$C330)*SUMIFS(Velocity!$I:$I,Velocity!$A:$A,$A330,Velocity!$B:$B,$C330)/Assumptions!$B$4*Assumptions!$B$6</f>
        <v>0</v>
      </c>
      <c r="BD330" s="7" t="n">
        <f aca="false">SUMIFS(Doors!BP:BP,Doors!$A:$A,$D330,Doors!$B:$B,$B330,Doors!$C:$C,$C330)*SUMIFS(Velocity!$I:$I,Velocity!$A:$A,$A330,Velocity!$B:$B,$C330)/Assumptions!$B$4*Assumptions!$B$6</f>
        <v>0</v>
      </c>
    </row>
    <row r="331" customFormat="false" ht="15" hidden="false" customHeight="false" outlineLevel="0" collapsed="false">
      <c r="A331" s="0" t="s">
        <v>111</v>
      </c>
      <c r="B331" s="0" t="s">
        <v>132</v>
      </c>
      <c r="C331" s="0" t="s">
        <v>116</v>
      </c>
      <c r="D331" s="0" t="s">
        <v>236</v>
      </c>
      <c r="E331" s="7" t="n">
        <f aca="false">SUMIFS(Doors!Q:Q,Doors!$A:$A,$D331,Doors!$B:$B,$B331,Doors!$C:$C,$C331)*SUMIFS(Velocity!$I:$I,Velocity!$A:$A,$A331,Velocity!$B:$B,$C331)/Assumptions!$B$4*Assumptions!$B$6</f>
        <v>0</v>
      </c>
      <c r="F331" s="7" t="n">
        <f aca="false">SUMIFS(Doors!R:R,Doors!$A:$A,$D331,Doors!$B:$B,$B331,Doors!$C:$C,$C331)*SUMIFS(Velocity!$I:$I,Velocity!$A:$A,$A331,Velocity!$B:$B,$C331)/Assumptions!$B$4*Assumptions!$B$6</f>
        <v>0</v>
      </c>
      <c r="G331" s="7" t="n">
        <f aca="false">SUMIFS(Doors!S:S,Doors!$A:$A,$D331,Doors!$B:$B,$B331,Doors!$C:$C,$C331)*SUMIFS(Velocity!$I:$I,Velocity!$A:$A,$A331,Velocity!$B:$B,$C331)/Assumptions!$B$4*Assumptions!$B$6</f>
        <v>0</v>
      </c>
      <c r="H331" s="7" t="n">
        <f aca="false">SUMIFS(Doors!T:T,Doors!$A:$A,$D331,Doors!$B:$B,$B331,Doors!$C:$C,$C331)*SUMIFS(Velocity!$I:$I,Velocity!$A:$A,$A331,Velocity!$B:$B,$C331)/Assumptions!$B$4*Assumptions!$B$6</f>
        <v>0</v>
      </c>
      <c r="I331" s="7" t="n">
        <f aca="false">SUMIFS(Doors!U:U,Doors!$A:$A,$D331,Doors!$B:$B,$B331,Doors!$C:$C,$C331)*SUMIFS(Velocity!$I:$I,Velocity!$A:$A,$A331,Velocity!$B:$B,$C331)/Assumptions!$B$4*Assumptions!$B$6</f>
        <v>0</v>
      </c>
      <c r="J331" s="7" t="n">
        <f aca="false">SUMIFS(Doors!V:V,Doors!$A:$A,$D331,Doors!$B:$B,$B331,Doors!$C:$C,$C331)*SUMIFS(Velocity!$I:$I,Velocity!$A:$A,$A331,Velocity!$B:$B,$C331)/Assumptions!$B$4*Assumptions!$B$6</f>
        <v>0</v>
      </c>
      <c r="K331" s="7" t="n">
        <f aca="false">SUMIFS(Doors!W:W,Doors!$A:$A,$D331,Doors!$B:$B,$B331,Doors!$C:$C,$C331)*SUMIFS(Velocity!$I:$I,Velocity!$A:$A,$A331,Velocity!$B:$B,$C331)/Assumptions!$B$4*Assumptions!$B$6</f>
        <v>0</v>
      </c>
      <c r="L331" s="7" t="n">
        <f aca="false">SUMIFS(Doors!X:X,Doors!$A:$A,$D331,Doors!$B:$B,$B331,Doors!$C:$C,$C331)*SUMIFS(Velocity!$I:$I,Velocity!$A:$A,$A331,Velocity!$B:$B,$C331)/Assumptions!$B$4*Assumptions!$B$6</f>
        <v>0</v>
      </c>
      <c r="M331" s="7" t="n">
        <f aca="false">SUMIFS(Doors!Y:Y,Doors!$A:$A,$D331,Doors!$B:$B,$B331,Doors!$C:$C,$C331)*SUMIFS(Velocity!$I:$I,Velocity!$A:$A,$A331,Velocity!$B:$B,$C331)/Assumptions!$B$4*Assumptions!$B$6</f>
        <v>0</v>
      </c>
      <c r="N331" s="7" t="n">
        <f aca="false">SUMIFS(Doors!Z:Z,Doors!$A:$A,$D331,Doors!$B:$B,$B331,Doors!$C:$C,$C331)*SUMIFS(Velocity!$I:$I,Velocity!$A:$A,$A331,Velocity!$B:$B,$C331)/Assumptions!$B$4*Assumptions!$B$6</f>
        <v>0</v>
      </c>
      <c r="O331" s="7" t="n">
        <f aca="false">SUMIFS(Doors!AA:AA,Doors!$A:$A,$D331,Doors!$B:$B,$B331,Doors!$C:$C,$C331)*SUMIFS(Velocity!$I:$I,Velocity!$A:$A,$A331,Velocity!$B:$B,$C331)/Assumptions!$B$4*Assumptions!$B$6</f>
        <v>0</v>
      </c>
      <c r="P331" s="7" t="n">
        <f aca="false">SUMIFS(Doors!AB:AB,Doors!$A:$A,$D331,Doors!$B:$B,$B331,Doors!$C:$C,$C331)*SUMIFS(Velocity!$I:$I,Velocity!$A:$A,$A331,Velocity!$B:$B,$C331)/Assumptions!$B$4*Assumptions!$B$6</f>
        <v>0</v>
      </c>
      <c r="Q331" s="7" t="n">
        <f aca="false">SUMIFS(Doors!AC:AC,Doors!$A:$A,$D331,Doors!$B:$B,$B331,Doors!$C:$C,$C331)*SUMIFS(Velocity!$I:$I,Velocity!$A:$A,$A331,Velocity!$B:$B,$C331)/Assumptions!$B$4*Assumptions!$B$6</f>
        <v>0</v>
      </c>
      <c r="R331" s="7" t="n">
        <f aca="false">SUMIFS(Doors!AD:AD,Doors!$A:$A,$D331,Doors!$B:$B,$B331,Doors!$C:$C,$C331)*SUMIFS(Velocity!$I:$I,Velocity!$A:$A,$A331,Velocity!$B:$B,$C331)/Assumptions!$B$4*Assumptions!$B$6</f>
        <v>0</v>
      </c>
      <c r="S331" s="7" t="n">
        <f aca="false">SUMIFS(Doors!AE:AE,Doors!$A:$A,$D331,Doors!$B:$B,$B331,Doors!$C:$C,$C331)*SUMIFS(Velocity!$I:$I,Velocity!$A:$A,$A331,Velocity!$B:$B,$C331)/Assumptions!$B$4*Assumptions!$B$6</f>
        <v>0</v>
      </c>
      <c r="T331" s="7" t="n">
        <f aca="false">SUMIFS(Doors!AF:AF,Doors!$A:$A,$D331,Doors!$B:$B,$B331,Doors!$C:$C,$C331)*SUMIFS(Velocity!$I:$I,Velocity!$A:$A,$A331,Velocity!$B:$B,$C331)/Assumptions!$B$4*Assumptions!$B$6</f>
        <v>0</v>
      </c>
      <c r="U331" s="7" t="n">
        <f aca="false">SUMIFS(Doors!AG:AG,Doors!$A:$A,$D331,Doors!$B:$B,$B331,Doors!$C:$C,$C331)*SUMIFS(Velocity!$I:$I,Velocity!$A:$A,$A331,Velocity!$B:$B,$C331)/Assumptions!$B$4*Assumptions!$B$6</f>
        <v>0</v>
      </c>
      <c r="V331" s="7" t="n">
        <f aca="false">SUMIFS(Doors!AH:AH,Doors!$A:$A,$D331,Doors!$B:$B,$B331,Doors!$C:$C,$C331)*SUMIFS(Velocity!$I:$I,Velocity!$A:$A,$A331,Velocity!$B:$B,$C331)/Assumptions!$B$4*Assumptions!$B$6</f>
        <v>0</v>
      </c>
      <c r="W331" s="7" t="n">
        <f aca="false">SUMIFS(Doors!AI:AI,Doors!$A:$A,$D331,Doors!$B:$B,$B331,Doors!$C:$C,$C331)*SUMIFS(Velocity!$I:$I,Velocity!$A:$A,$A331,Velocity!$B:$B,$C331)/Assumptions!$B$4*Assumptions!$B$6</f>
        <v>0</v>
      </c>
      <c r="X331" s="7" t="n">
        <f aca="false">SUMIFS(Doors!AJ:AJ,Doors!$A:$A,$D331,Doors!$B:$B,$B331,Doors!$C:$C,$C331)*SUMIFS(Velocity!$I:$I,Velocity!$A:$A,$A331,Velocity!$B:$B,$C331)/Assumptions!$B$4*Assumptions!$B$6</f>
        <v>0</v>
      </c>
      <c r="Y331" s="7" t="n">
        <f aca="false">SUMIFS(Doors!AK:AK,Doors!$A:$A,$D331,Doors!$B:$B,$B331,Doors!$C:$C,$C331)*SUMIFS(Velocity!$I:$I,Velocity!$A:$A,$A331,Velocity!$B:$B,$C331)/Assumptions!$B$4*Assumptions!$B$6</f>
        <v>0</v>
      </c>
      <c r="Z331" s="7" t="n">
        <f aca="false">SUMIFS(Doors!AL:AL,Doors!$A:$A,$D331,Doors!$B:$B,$B331,Doors!$C:$C,$C331)*SUMIFS(Velocity!$I:$I,Velocity!$A:$A,$A331,Velocity!$B:$B,$C331)/Assumptions!$B$4*Assumptions!$B$6</f>
        <v>0</v>
      </c>
      <c r="AA331" s="7" t="n">
        <f aca="false">SUMIFS(Doors!AM:AM,Doors!$A:$A,$D331,Doors!$B:$B,$B331,Doors!$C:$C,$C331)*SUMIFS(Velocity!$I:$I,Velocity!$A:$A,$A331,Velocity!$B:$B,$C331)/Assumptions!$B$4*Assumptions!$B$6</f>
        <v>0</v>
      </c>
      <c r="AB331" s="7" t="n">
        <f aca="false">SUMIFS(Doors!AN:AN,Doors!$A:$A,$D331,Doors!$B:$B,$B331,Doors!$C:$C,$C331)*SUMIFS(Velocity!$I:$I,Velocity!$A:$A,$A331,Velocity!$B:$B,$C331)/Assumptions!$B$4*Assumptions!$B$6</f>
        <v>0</v>
      </c>
      <c r="AC331" s="7" t="n">
        <f aca="false">SUMIFS(Doors!AO:AO,Doors!$A:$A,$D331,Doors!$B:$B,$B331,Doors!$C:$C,$C331)*SUMIFS(Velocity!$I:$I,Velocity!$A:$A,$A331,Velocity!$B:$B,$C331)/Assumptions!$B$4*Assumptions!$B$6</f>
        <v>0</v>
      </c>
      <c r="AD331" s="7" t="n">
        <f aca="false">SUMIFS(Doors!AP:AP,Doors!$A:$A,$D331,Doors!$B:$B,$B331,Doors!$C:$C,$C331)*SUMIFS(Velocity!$I:$I,Velocity!$A:$A,$A331,Velocity!$B:$B,$C331)/Assumptions!$B$4*Assumptions!$B$6</f>
        <v>0</v>
      </c>
      <c r="AE331" s="7" t="n">
        <f aca="false">SUMIFS(Doors!AQ:AQ,Doors!$A:$A,$D331,Doors!$B:$B,$B331,Doors!$C:$C,$C331)*SUMIFS(Velocity!$I:$I,Velocity!$A:$A,$A331,Velocity!$B:$B,$C331)/Assumptions!$B$4*Assumptions!$B$6</f>
        <v>0</v>
      </c>
      <c r="AF331" s="7" t="n">
        <f aca="false">SUMIFS(Doors!AR:AR,Doors!$A:$A,$D331,Doors!$B:$B,$B331,Doors!$C:$C,$C331)*SUMIFS(Velocity!$I:$I,Velocity!$A:$A,$A331,Velocity!$B:$B,$C331)/Assumptions!$B$4*Assumptions!$B$6</f>
        <v>0</v>
      </c>
      <c r="AG331" s="7" t="n">
        <f aca="false">SUMIFS(Doors!AS:AS,Doors!$A:$A,$D331,Doors!$B:$B,$B331,Doors!$C:$C,$C331)*SUMIFS(Velocity!$I:$I,Velocity!$A:$A,$A331,Velocity!$B:$B,$C331)/Assumptions!$B$4*Assumptions!$B$6</f>
        <v>0</v>
      </c>
      <c r="AH331" s="7" t="n">
        <f aca="false">SUMIFS(Doors!AT:AT,Doors!$A:$A,$D331,Doors!$B:$B,$B331,Doors!$C:$C,$C331)*SUMIFS(Velocity!$I:$I,Velocity!$A:$A,$A331,Velocity!$B:$B,$C331)/Assumptions!$B$4*Assumptions!$B$6</f>
        <v>0</v>
      </c>
      <c r="AI331" s="7" t="n">
        <f aca="false">SUMIFS(Doors!AU:AU,Doors!$A:$A,$D331,Doors!$B:$B,$B331,Doors!$C:$C,$C331)*SUMIFS(Velocity!$I:$I,Velocity!$A:$A,$A331,Velocity!$B:$B,$C331)/Assumptions!$B$4*Assumptions!$B$6</f>
        <v>0</v>
      </c>
      <c r="AJ331" s="7" t="n">
        <f aca="false">SUMIFS(Doors!AV:AV,Doors!$A:$A,$D331,Doors!$B:$B,$B331,Doors!$C:$C,$C331)*SUMIFS(Velocity!$I:$I,Velocity!$A:$A,$A331,Velocity!$B:$B,$C331)/Assumptions!$B$4*Assumptions!$B$6</f>
        <v>0</v>
      </c>
      <c r="AK331" s="7" t="n">
        <f aca="false">SUMIFS(Doors!AW:AW,Doors!$A:$A,$D331,Doors!$B:$B,$B331,Doors!$C:$C,$C331)*SUMIFS(Velocity!$I:$I,Velocity!$A:$A,$A331,Velocity!$B:$B,$C331)/Assumptions!$B$4*Assumptions!$B$6</f>
        <v>0</v>
      </c>
      <c r="AL331" s="7" t="n">
        <f aca="false">SUMIFS(Doors!AX:AX,Doors!$A:$A,$D331,Doors!$B:$B,$B331,Doors!$C:$C,$C331)*SUMIFS(Velocity!$I:$I,Velocity!$A:$A,$A331,Velocity!$B:$B,$C331)/Assumptions!$B$4*Assumptions!$B$6</f>
        <v>0</v>
      </c>
      <c r="AM331" s="7" t="n">
        <f aca="false">SUMIFS(Doors!AY:AY,Doors!$A:$A,$D331,Doors!$B:$B,$B331,Doors!$C:$C,$C331)*SUMIFS(Velocity!$I:$I,Velocity!$A:$A,$A331,Velocity!$B:$B,$C331)/Assumptions!$B$4*Assumptions!$B$6</f>
        <v>0</v>
      </c>
      <c r="AN331" s="7" t="n">
        <f aca="false">SUMIFS(Doors!AZ:AZ,Doors!$A:$A,$D331,Doors!$B:$B,$B331,Doors!$C:$C,$C331)*SUMIFS(Velocity!$I:$I,Velocity!$A:$A,$A331,Velocity!$B:$B,$C331)/Assumptions!$B$4*Assumptions!$B$6</f>
        <v>0</v>
      </c>
      <c r="AO331" s="7" t="n">
        <f aca="false">SUMIFS(Doors!BA:BA,Doors!$A:$A,$D331,Doors!$B:$B,$B331,Doors!$C:$C,$C331)*SUMIFS(Velocity!$I:$I,Velocity!$A:$A,$A331,Velocity!$B:$B,$C331)/Assumptions!$B$4*Assumptions!$B$6</f>
        <v>0</v>
      </c>
      <c r="AP331" s="7" t="n">
        <f aca="false">SUMIFS(Doors!BB:BB,Doors!$A:$A,$D331,Doors!$B:$B,$B331,Doors!$C:$C,$C331)*SUMIFS(Velocity!$I:$I,Velocity!$A:$A,$A331,Velocity!$B:$B,$C331)/Assumptions!$B$4*Assumptions!$B$6</f>
        <v>0</v>
      </c>
      <c r="AQ331" s="7" t="n">
        <f aca="false">SUMIFS(Doors!BC:BC,Doors!$A:$A,$D331,Doors!$B:$B,$B331,Doors!$C:$C,$C331)*SUMIFS(Velocity!$I:$I,Velocity!$A:$A,$A331,Velocity!$B:$B,$C331)/Assumptions!$B$4*Assumptions!$B$6</f>
        <v>0</v>
      </c>
      <c r="AR331" s="7" t="n">
        <f aca="false">SUMIFS(Doors!BD:BD,Doors!$A:$A,$D331,Doors!$B:$B,$B331,Doors!$C:$C,$C331)*SUMIFS(Velocity!$I:$I,Velocity!$A:$A,$A331,Velocity!$B:$B,$C331)/Assumptions!$B$4*Assumptions!$B$6</f>
        <v>0</v>
      </c>
      <c r="AS331" s="7" t="n">
        <f aca="false">SUMIFS(Doors!BE:BE,Doors!$A:$A,$D331,Doors!$B:$B,$B331,Doors!$C:$C,$C331)*SUMIFS(Velocity!$I:$I,Velocity!$A:$A,$A331,Velocity!$B:$B,$C331)/Assumptions!$B$4*Assumptions!$B$6</f>
        <v>0</v>
      </c>
      <c r="AT331" s="7" t="n">
        <f aca="false">SUMIFS(Doors!BF:BF,Doors!$A:$A,$D331,Doors!$B:$B,$B331,Doors!$C:$C,$C331)*SUMIFS(Velocity!$I:$I,Velocity!$A:$A,$A331,Velocity!$B:$B,$C331)/Assumptions!$B$4*Assumptions!$B$6</f>
        <v>0</v>
      </c>
      <c r="AU331" s="7" t="n">
        <f aca="false">SUMIFS(Doors!BG:BG,Doors!$A:$A,$D331,Doors!$B:$B,$B331,Doors!$C:$C,$C331)*SUMIFS(Velocity!$I:$I,Velocity!$A:$A,$A331,Velocity!$B:$B,$C331)/Assumptions!$B$4*Assumptions!$B$6</f>
        <v>0</v>
      </c>
      <c r="AV331" s="7" t="n">
        <f aca="false">SUMIFS(Doors!BH:BH,Doors!$A:$A,$D331,Doors!$B:$B,$B331,Doors!$C:$C,$C331)*SUMIFS(Velocity!$I:$I,Velocity!$A:$A,$A331,Velocity!$B:$B,$C331)/Assumptions!$B$4*Assumptions!$B$6</f>
        <v>0</v>
      </c>
      <c r="AW331" s="7" t="n">
        <f aca="false">SUMIFS(Doors!BI:BI,Doors!$A:$A,$D331,Doors!$B:$B,$B331,Doors!$C:$C,$C331)*SUMIFS(Velocity!$I:$I,Velocity!$A:$A,$A331,Velocity!$B:$B,$C331)/Assumptions!$B$4*Assumptions!$B$6</f>
        <v>0</v>
      </c>
      <c r="AX331" s="7" t="n">
        <f aca="false">SUMIFS(Doors!BJ:BJ,Doors!$A:$A,$D331,Doors!$B:$B,$B331,Doors!$C:$C,$C331)*SUMIFS(Velocity!$I:$I,Velocity!$A:$A,$A331,Velocity!$B:$B,$C331)/Assumptions!$B$4*Assumptions!$B$6</f>
        <v>0</v>
      </c>
      <c r="AY331" s="7" t="n">
        <f aca="false">SUMIFS(Doors!BK:BK,Doors!$A:$A,$D331,Doors!$B:$B,$B331,Doors!$C:$C,$C331)*SUMIFS(Velocity!$I:$I,Velocity!$A:$A,$A331,Velocity!$B:$B,$C331)/Assumptions!$B$4*Assumptions!$B$6</f>
        <v>0</v>
      </c>
      <c r="AZ331" s="7" t="n">
        <f aca="false">SUMIFS(Doors!BL:BL,Doors!$A:$A,$D331,Doors!$B:$B,$B331,Doors!$C:$C,$C331)*SUMIFS(Velocity!$I:$I,Velocity!$A:$A,$A331,Velocity!$B:$B,$C331)/Assumptions!$B$4*Assumptions!$B$6</f>
        <v>0</v>
      </c>
      <c r="BA331" s="7" t="n">
        <f aca="false">SUMIFS(Doors!BM:BM,Doors!$A:$A,$D331,Doors!$B:$B,$B331,Doors!$C:$C,$C331)*SUMIFS(Velocity!$I:$I,Velocity!$A:$A,$A331,Velocity!$B:$B,$C331)/Assumptions!$B$4*Assumptions!$B$6</f>
        <v>0</v>
      </c>
      <c r="BB331" s="7" t="n">
        <f aca="false">SUMIFS(Doors!BN:BN,Doors!$A:$A,$D331,Doors!$B:$B,$B331,Doors!$C:$C,$C331)*SUMIFS(Velocity!$I:$I,Velocity!$A:$A,$A331,Velocity!$B:$B,$C331)/Assumptions!$B$4*Assumptions!$B$6</f>
        <v>0</v>
      </c>
      <c r="BC331" s="7" t="n">
        <f aca="false">SUMIFS(Doors!BO:BO,Doors!$A:$A,$D331,Doors!$B:$B,$B331,Doors!$C:$C,$C331)*SUMIFS(Velocity!$I:$I,Velocity!$A:$A,$A331,Velocity!$B:$B,$C331)/Assumptions!$B$4*Assumptions!$B$6</f>
        <v>0</v>
      </c>
      <c r="BD331" s="7" t="n">
        <f aca="false">SUMIFS(Doors!BP:BP,Doors!$A:$A,$D331,Doors!$B:$B,$B331,Doors!$C:$C,$C331)*SUMIFS(Velocity!$I:$I,Velocity!$A:$A,$A331,Velocity!$B:$B,$C331)/Assumptions!$B$4*Assumptions!$B$6</f>
        <v>0</v>
      </c>
    </row>
    <row r="332" customFormat="false" ht="15" hidden="false" customHeight="false" outlineLevel="0" collapsed="false">
      <c r="A332" s="0" t="s">
        <v>111</v>
      </c>
      <c r="B332" s="0" t="s">
        <v>132</v>
      </c>
      <c r="C332" s="0" t="s">
        <v>117</v>
      </c>
      <c r="D332" s="0" t="s">
        <v>236</v>
      </c>
      <c r="E332" s="7" t="n">
        <f aca="false">SUMIFS(Doors!Q:Q,Doors!$A:$A,$D332,Doors!$B:$B,$B332,Doors!$C:$C,$C332)*SUMIFS(Velocity!$I:$I,Velocity!$A:$A,$A332,Velocity!$B:$B,$C332)/Assumptions!$B$4*Assumptions!$B$6</f>
        <v>0</v>
      </c>
      <c r="F332" s="7" t="n">
        <f aca="false">SUMIFS(Doors!R:R,Doors!$A:$A,$D332,Doors!$B:$B,$B332,Doors!$C:$C,$C332)*SUMIFS(Velocity!$I:$I,Velocity!$A:$A,$A332,Velocity!$B:$B,$C332)/Assumptions!$B$4*Assumptions!$B$6</f>
        <v>0</v>
      </c>
      <c r="G332" s="7" t="n">
        <f aca="false">SUMIFS(Doors!S:S,Doors!$A:$A,$D332,Doors!$B:$B,$B332,Doors!$C:$C,$C332)*SUMIFS(Velocity!$I:$I,Velocity!$A:$A,$A332,Velocity!$B:$B,$C332)/Assumptions!$B$4*Assumptions!$B$6</f>
        <v>0</v>
      </c>
      <c r="H332" s="7" t="n">
        <f aca="false">SUMIFS(Doors!T:T,Doors!$A:$A,$D332,Doors!$B:$B,$B332,Doors!$C:$C,$C332)*SUMIFS(Velocity!$I:$I,Velocity!$A:$A,$A332,Velocity!$B:$B,$C332)/Assumptions!$B$4*Assumptions!$B$6</f>
        <v>0</v>
      </c>
      <c r="I332" s="7" t="n">
        <f aca="false">SUMIFS(Doors!U:U,Doors!$A:$A,$D332,Doors!$B:$B,$B332,Doors!$C:$C,$C332)*SUMIFS(Velocity!$I:$I,Velocity!$A:$A,$A332,Velocity!$B:$B,$C332)/Assumptions!$B$4*Assumptions!$B$6</f>
        <v>0</v>
      </c>
      <c r="J332" s="7" t="n">
        <f aca="false">SUMIFS(Doors!V:V,Doors!$A:$A,$D332,Doors!$B:$B,$B332,Doors!$C:$C,$C332)*SUMIFS(Velocity!$I:$I,Velocity!$A:$A,$A332,Velocity!$B:$B,$C332)/Assumptions!$B$4*Assumptions!$B$6</f>
        <v>0</v>
      </c>
      <c r="K332" s="7" t="n">
        <f aca="false">SUMIFS(Doors!W:W,Doors!$A:$A,$D332,Doors!$B:$B,$B332,Doors!$C:$C,$C332)*SUMIFS(Velocity!$I:$I,Velocity!$A:$A,$A332,Velocity!$B:$B,$C332)/Assumptions!$B$4*Assumptions!$B$6</f>
        <v>0</v>
      </c>
      <c r="L332" s="7" t="n">
        <f aca="false">SUMIFS(Doors!X:X,Doors!$A:$A,$D332,Doors!$B:$B,$B332,Doors!$C:$C,$C332)*SUMIFS(Velocity!$I:$I,Velocity!$A:$A,$A332,Velocity!$B:$B,$C332)/Assumptions!$B$4*Assumptions!$B$6</f>
        <v>0</v>
      </c>
      <c r="M332" s="7" t="n">
        <f aca="false">SUMIFS(Doors!Y:Y,Doors!$A:$A,$D332,Doors!$B:$B,$B332,Doors!$C:$C,$C332)*SUMIFS(Velocity!$I:$I,Velocity!$A:$A,$A332,Velocity!$B:$B,$C332)/Assumptions!$B$4*Assumptions!$B$6</f>
        <v>0</v>
      </c>
      <c r="N332" s="7" t="n">
        <f aca="false">SUMIFS(Doors!Z:Z,Doors!$A:$A,$D332,Doors!$B:$B,$B332,Doors!$C:$C,$C332)*SUMIFS(Velocity!$I:$I,Velocity!$A:$A,$A332,Velocity!$B:$B,$C332)/Assumptions!$B$4*Assumptions!$B$6</f>
        <v>0</v>
      </c>
      <c r="O332" s="7" t="n">
        <f aca="false">SUMIFS(Doors!AA:AA,Doors!$A:$A,$D332,Doors!$B:$B,$B332,Doors!$C:$C,$C332)*SUMIFS(Velocity!$I:$I,Velocity!$A:$A,$A332,Velocity!$B:$B,$C332)/Assumptions!$B$4*Assumptions!$B$6</f>
        <v>0</v>
      </c>
      <c r="P332" s="7" t="n">
        <f aca="false">SUMIFS(Doors!AB:AB,Doors!$A:$A,$D332,Doors!$B:$B,$B332,Doors!$C:$C,$C332)*SUMIFS(Velocity!$I:$I,Velocity!$A:$A,$A332,Velocity!$B:$B,$C332)/Assumptions!$B$4*Assumptions!$B$6</f>
        <v>0</v>
      </c>
      <c r="Q332" s="7" t="n">
        <f aca="false">SUMIFS(Doors!AC:AC,Doors!$A:$A,$D332,Doors!$B:$B,$B332,Doors!$C:$C,$C332)*SUMIFS(Velocity!$I:$I,Velocity!$A:$A,$A332,Velocity!$B:$B,$C332)/Assumptions!$B$4*Assumptions!$B$6</f>
        <v>0</v>
      </c>
      <c r="R332" s="7" t="n">
        <f aca="false">SUMIFS(Doors!AD:AD,Doors!$A:$A,$D332,Doors!$B:$B,$B332,Doors!$C:$C,$C332)*SUMIFS(Velocity!$I:$I,Velocity!$A:$A,$A332,Velocity!$B:$B,$C332)/Assumptions!$B$4*Assumptions!$B$6</f>
        <v>0</v>
      </c>
      <c r="S332" s="7" t="n">
        <f aca="false">SUMIFS(Doors!AE:AE,Doors!$A:$A,$D332,Doors!$B:$B,$B332,Doors!$C:$C,$C332)*SUMIFS(Velocity!$I:$I,Velocity!$A:$A,$A332,Velocity!$B:$B,$C332)/Assumptions!$B$4*Assumptions!$B$6</f>
        <v>0</v>
      </c>
      <c r="T332" s="7" t="n">
        <f aca="false">SUMIFS(Doors!AF:AF,Doors!$A:$A,$D332,Doors!$B:$B,$B332,Doors!$C:$C,$C332)*SUMIFS(Velocity!$I:$I,Velocity!$A:$A,$A332,Velocity!$B:$B,$C332)/Assumptions!$B$4*Assumptions!$B$6</f>
        <v>0</v>
      </c>
      <c r="U332" s="7" t="n">
        <f aca="false">SUMIFS(Doors!AG:AG,Doors!$A:$A,$D332,Doors!$B:$B,$B332,Doors!$C:$C,$C332)*SUMIFS(Velocity!$I:$I,Velocity!$A:$A,$A332,Velocity!$B:$B,$C332)/Assumptions!$B$4*Assumptions!$B$6</f>
        <v>0</v>
      </c>
      <c r="V332" s="7" t="n">
        <f aca="false">SUMIFS(Doors!AH:AH,Doors!$A:$A,$D332,Doors!$B:$B,$B332,Doors!$C:$C,$C332)*SUMIFS(Velocity!$I:$I,Velocity!$A:$A,$A332,Velocity!$B:$B,$C332)/Assumptions!$B$4*Assumptions!$B$6</f>
        <v>0</v>
      </c>
      <c r="W332" s="7" t="n">
        <f aca="false">SUMIFS(Doors!AI:AI,Doors!$A:$A,$D332,Doors!$B:$B,$B332,Doors!$C:$C,$C332)*SUMIFS(Velocity!$I:$I,Velocity!$A:$A,$A332,Velocity!$B:$B,$C332)/Assumptions!$B$4*Assumptions!$B$6</f>
        <v>0</v>
      </c>
      <c r="X332" s="7" t="n">
        <f aca="false">SUMIFS(Doors!AJ:AJ,Doors!$A:$A,$D332,Doors!$B:$B,$B332,Doors!$C:$C,$C332)*SUMIFS(Velocity!$I:$I,Velocity!$A:$A,$A332,Velocity!$B:$B,$C332)/Assumptions!$B$4*Assumptions!$B$6</f>
        <v>0</v>
      </c>
      <c r="Y332" s="7" t="n">
        <f aca="false">SUMIFS(Doors!AK:AK,Doors!$A:$A,$D332,Doors!$B:$B,$B332,Doors!$C:$C,$C332)*SUMIFS(Velocity!$I:$I,Velocity!$A:$A,$A332,Velocity!$B:$B,$C332)/Assumptions!$B$4*Assumptions!$B$6</f>
        <v>0</v>
      </c>
      <c r="Z332" s="7" t="n">
        <f aca="false">SUMIFS(Doors!AL:AL,Doors!$A:$A,$D332,Doors!$B:$B,$B332,Doors!$C:$C,$C332)*SUMIFS(Velocity!$I:$I,Velocity!$A:$A,$A332,Velocity!$B:$B,$C332)/Assumptions!$B$4*Assumptions!$B$6</f>
        <v>0</v>
      </c>
      <c r="AA332" s="7" t="n">
        <f aca="false">SUMIFS(Doors!AM:AM,Doors!$A:$A,$D332,Doors!$B:$B,$B332,Doors!$C:$C,$C332)*SUMIFS(Velocity!$I:$I,Velocity!$A:$A,$A332,Velocity!$B:$B,$C332)/Assumptions!$B$4*Assumptions!$B$6</f>
        <v>0</v>
      </c>
      <c r="AB332" s="7" t="n">
        <f aca="false">SUMIFS(Doors!AN:AN,Doors!$A:$A,$D332,Doors!$B:$B,$B332,Doors!$C:$C,$C332)*SUMIFS(Velocity!$I:$I,Velocity!$A:$A,$A332,Velocity!$B:$B,$C332)/Assumptions!$B$4*Assumptions!$B$6</f>
        <v>0</v>
      </c>
      <c r="AC332" s="7" t="n">
        <f aca="false">SUMIFS(Doors!AO:AO,Doors!$A:$A,$D332,Doors!$B:$B,$B332,Doors!$C:$C,$C332)*SUMIFS(Velocity!$I:$I,Velocity!$A:$A,$A332,Velocity!$B:$B,$C332)/Assumptions!$B$4*Assumptions!$B$6</f>
        <v>0</v>
      </c>
      <c r="AD332" s="7" t="n">
        <f aca="false">SUMIFS(Doors!AP:AP,Doors!$A:$A,$D332,Doors!$B:$B,$B332,Doors!$C:$C,$C332)*SUMIFS(Velocity!$I:$I,Velocity!$A:$A,$A332,Velocity!$B:$B,$C332)/Assumptions!$B$4*Assumptions!$B$6</f>
        <v>0</v>
      </c>
      <c r="AE332" s="7" t="n">
        <f aca="false">SUMIFS(Doors!AQ:AQ,Doors!$A:$A,$D332,Doors!$B:$B,$B332,Doors!$C:$C,$C332)*SUMIFS(Velocity!$I:$I,Velocity!$A:$A,$A332,Velocity!$B:$B,$C332)/Assumptions!$B$4*Assumptions!$B$6</f>
        <v>0</v>
      </c>
      <c r="AF332" s="7" t="n">
        <f aca="false">SUMIFS(Doors!AR:AR,Doors!$A:$A,$D332,Doors!$B:$B,$B332,Doors!$C:$C,$C332)*SUMIFS(Velocity!$I:$I,Velocity!$A:$A,$A332,Velocity!$B:$B,$C332)/Assumptions!$B$4*Assumptions!$B$6</f>
        <v>0</v>
      </c>
      <c r="AG332" s="7" t="n">
        <f aca="false">SUMIFS(Doors!AS:AS,Doors!$A:$A,$D332,Doors!$B:$B,$B332,Doors!$C:$C,$C332)*SUMIFS(Velocity!$I:$I,Velocity!$A:$A,$A332,Velocity!$B:$B,$C332)/Assumptions!$B$4*Assumptions!$B$6</f>
        <v>0</v>
      </c>
      <c r="AH332" s="7" t="n">
        <f aca="false">SUMIFS(Doors!AT:AT,Doors!$A:$A,$D332,Doors!$B:$B,$B332,Doors!$C:$C,$C332)*SUMIFS(Velocity!$I:$I,Velocity!$A:$A,$A332,Velocity!$B:$B,$C332)/Assumptions!$B$4*Assumptions!$B$6</f>
        <v>0</v>
      </c>
      <c r="AI332" s="7" t="n">
        <f aca="false">SUMIFS(Doors!AU:AU,Doors!$A:$A,$D332,Doors!$B:$B,$B332,Doors!$C:$C,$C332)*SUMIFS(Velocity!$I:$I,Velocity!$A:$A,$A332,Velocity!$B:$B,$C332)/Assumptions!$B$4*Assumptions!$B$6</f>
        <v>0</v>
      </c>
      <c r="AJ332" s="7" t="n">
        <f aca="false">SUMIFS(Doors!AV:AV,Doors!$A:$A,$D332,Doors!$B:$B,$B332,Doors!$C:$C,$C332)*SUMIFS(Velocity!$I:$I,Velocity!$A:$A,$A332,Velocity!$B:$B,$C332)/Assumptions!$B$4*Assumptions!$B$6</f>
        <v>0</v>
      </c>
      <c r="AK332" s="7" t="n">
        <f aca="false">SUMIFS(Doors!AW:AW,Doors!$A:$A,$D332,Doors!$B:$B,$B332,Doors!$C:$C,$C332)*SUMIFS(Velocity!$I:$I,Velocity!$A:$A,$A332,Velocity!$B:$B,$C332)/Assumptions!$B$4*Assumptions!$B$6</f>
        <v>0</v>
      </c>
      <c r="AL332" s="7" t="n">
        <f aca="false">SUMIFS(Doors!AX:AX,Doors!$A:$A,$D332,Doors!$B:$B,$B332,Doors!$C:$C,$C332)*SUMIFS(Velocity!$I:$I,Velocity!$A:$A,$A332,Velocity!$B:$B,$C332)/Assumptions!$B$4*Assumptions!$B$6</f>
        <v>0</v>
      </c>
      <c r="AM332" s="7" t="n">
        <f aca="false">SUMIFS(Doors!AY:AY,Doors!$A:$A,$D332,Doors!$B:$B,$B332,Doors!$C:$C,$C332)*SUMIFS(Velocity!$I:$I,Velocity!$A:$A,$A332,Velocity!$B:$B,$C332)/Assumptions!$B$4*Assumptions!$B$6</f>
        <v>0</v>
      </c>
      <c r="AN332" s="7" t="n">
        <f aca="false">SUMIFS(Doors!AZ:AZ,Doors!$A:$A,$D332,Doors!$B:$B,$B332,Doors!$C:$C,$C332)*SUMIFS(Velocity!$I:$I,Velocity!$A:$A,$A332,Velocity!$B:$B,$C332)/Assumptions!$B$4*Assumptions!$B$6</f>
        <v>0</v>
      </c>
      <c r="AO332" s="7" t="n">
        <f aca="false">SUMIFS(Doors!BA:BA,Doors!$A:$A,$D332,Doors!$B:$B,$B332,Doors!$C:$C,$C332)*SUMIFS(Velocity!$I:$I,Velocity!$A:$A,$A332,Velocity!$B:$B,$C332)/Assumptions!$B$4*Assumptions!$B$6</f>
        <v>0</v>
      </c>
      <c r="AP332" s="7" t="n">
        <f aca="false">SUMIFS(Doors!BB:BB,Doors!$A:$A,$D332,Doors!$B:$B,$B332,Doors!$C:$C,$C332)*SUMIFS(Velocity!$I:$I,Velocity!$A:$A,$A332,Velocity!$B:$B,$C332)/Assumptions!$B$4*Assumptions!$B$6</f>
        <v>0</v>
      </c>
      <c r="AQ332" s="7" t="n">
        <f aca="false">SUMIFS(Doors!BC:BC,Doors!$A:$A,$D332,Doors!$B:$B,$B332,Doors!$C:$C,$C332)*SUMIFS(Velocity!$I:$I,Velocity!$A:$A,$A332,Velocity!$B:$B,$C332)/Assumptions!$B$4*Assumptions!$B$6</f>
        <v>0</v>
      </c>
      <c r="AR332" s="7" t="n">
        <f aca="false">SUMIFS(Doors!BD:BD,Doors!$A:$A,$D332,Doors!$B:$B,$B332,Doors!$C:$C,$C332)*SUMIFS(Velocity!$I:$I,Velocity!$A:$A,$A332,Velocity!$B:$B,$C332)/Assumptions!$B$4*Assumptions!$B$6</f>
        <v>0</v>
      </c>
      <c r="AS332" s="7" t="n">
        <f aca="false">SUMIFS(Doors!BE:BE,Doors!$A:$A,$D332,Doors!$B:$B,$B332,Doors!$C:$C,$C332)*SUMIFS(Velocity!$I:$I,Velocity!$A:$A,$A332,Velocity!$B:$B,$C332)/Assumptions!$B$4*Assumptions!$B$6</f>
        <v>0</v>
      </c>
      <c r="AT332" s="7" t="n">
        <f aca="false">SUMIFS(Doors!BF:BF,Doors!$A:$A,$D332,Doors!$B:$B,$B332,Doors!$C:$C,$C332)*SUMIFS(Velocity!$I:$I,Velocity!$A:$A,$A332,Velocity!$B:$B,$C332)/Assumptions!$B$4*Assumptions!$B$6</f>
        <v>0</v>
      </c>
      <c r="AU332" s="7" t="n">
        <f aca="false">SUMIFS(Doors!BG:BG,Doors!$A:$A,$D332,Doors!$B:$B,$B332,Doors!$C:$C,$C332)*SUMIFS(Velocity!$I:$I,Velocity!$A:$A,$A332,Velocity!$B:$B,$C332)/Assumptions!$B$4*Assumptions!$B$6</f>
        <v>0</v>
      </c>
      <c r="AV332" s="7" t="n">
        <f aca="false">SUMIFS(Doors!BH:BH,Doors!$A:$A,$D332,Doors!$B:$B,$B332,Doors!$C:$C,$C332)*SUMIFS(Velocity!$I:$I,Velocity!$A:$A,$A332,Velocity!$B:$B,$C332)/Assumptions!$B$4*Assumptions!$B$6</f>
        <v>0</v>
      </c>
      <c r="AW332" s="7" t="n">
        <f aca="false">SUMIFS(Doors!BI:BI,Doors!$A:$A,$D332,Doors!$B:$B,$B332,Doors!$C:$C,$C332)*SUMIFS(Velocity!$I:$I,Velocity!$A:$A,$A332,Velocity!$B:$B,$C332)/Assumptions!$B$4*Assumptions!$B$6</f>
        <v>0</v>
      </c>
      <c r="AX332" s="7" t="n">
        <f aca="false">SUMIFS(Doors!BJ:BJ,Doors!$A:$A,$D332,Doors!$B:$B,$B332,Doors!$C:$C,$C332)*SUMIFS(Velocity!$I:$I,Velocity!$A:$A,$A332,Velocity!$B:$B,$C332)/Assumptions!$B$4*Assumptions!$B$6</f>
        <v>0</v>
      </c>
      <c r="AY332" s="7" t="n">
        <f aca="false">SUMIFS(Doors!BK:BK,Doors!$A:$A,$D332,Doors!$B:$B,$B332,Doors!$C:$C,$C332)*SUMIFS(Velocity!$I:$I,Velocity!$A:$A,$A332,Velocity!$B:$B,$C332)/Assumptions!$B$4*Assumptions!$B$6</f>
        <v>0</v>
      </c>
      <c r="AZ332" s="7" t="n">
        <f aca="false">SUMIFS(Doors!BL:BL,Doors!$A:$A,$D332,Doors!$B:$B,$B332,Doors!$C:$C,$C332)*SUMIFS(Velocity!$I:$I,Velocity!$A:$A,$A332,Velocity!$B:$B,$C332)/Assumptions!$B$4*Assumptions!$B$6</f>
        <v>0</v>
      </c>
      <c r="BA332" s="7" t="n">
        <f aca="false">SUMIFS(Doors!BM:BM,Doors!$A:$A,$D332,Doors!$B:$B,$B332,Doors!$C:$C,$C332)*SUMIFS(Velocity!$I:$I,Velocity!$A:$A,$A332,Velocity!$B:$B,$C332)/Assumptions!$B$4*Assumptions!$B$6</f>
        <v>0</v>
      </c>
      <c r="BB332" s="7" t="n">
        <f aca="false">SUMIFS(Doors!BN:BN,Doors!$A:$A,$D332,Doors!$B:$B,$B332,Doors!$C:$C,$C332)*SUMIFS(Velocity!$I:$I,Velocity!$A:$A,$A332,Velocity!$B:$B,$C332)/Assumptions!$B$4*Assumptions!$B$6</f>
        <v>0</v>
      </c>
      <c r="BC332" s="7" t="n">
        <f aca="false">SUMIFS(Doors!BO:BO,Doors!$A:$A,$D332,Doors!$B:$B,$B332,Doors!$C:$C,$C332)*SUMIFS(Velocity!$I:$I,Velocity!$A:$A,$A332,Velocity!$B:$B,$C332)/Assumptions!$B$4*Assumptions!$B$6</f>
        <v>0</v>
      </c>
      <c r="BD332" s="7" t="n">
        <f aca="false">SUMIFS(Doors!BP:BP,Doors!$A:$A,$D332,Doors!$B:$B,$B332,Doors!$C:$C,$C332)*SUMIFS(Velocity!$I:$I,Velocity!$A:$A,$A332,Velocity!$B:$B,$C332)/Assumptions!$B$4*Assumptions!$B$6</f>
        <v>0</v>
      </c>
    </row>
    <row r="333" customFormat="false" ht="15" hidden="false" customHeight="false" outlineLevel="0" collapsed="false">
      <c r="A333" s="0" t="s">
        <v>111</v>
      </c>
      <c r="B333" s="0" t="s">
        <v>132</v>
      </c>
      <c r="C333" s="0" t="s">
        <v>118</v>
      </c>
      <c r="D333" s="0" t="s">
        <v>236</v>
      </c>
      <c r="E333" s="7" t="n">
        <f aca="false">SUMIFS(Doors!Q:Q,Doors!$A:$A,$D333,Doors!$B:$B,$B333,Doors!$C:$C,$C333)*SUMIFS(Velocity!$I:$I,Velocity!$A:$A,$A333,Velocity!$B:$B,$C333)/Assumptions!$B$4*Assumptions!$B$6</f>
        <v>0</v>
      </c>
      <c r="F333" s="7" t="n">
        <f aca="false">SUMIFS(Doors!R:R,Doors!$A:$A,$D333,Doors!$B:$B,$B333,Doors!$C:$C,$C333)*SUMIFS(Velocity!$I:$I,Velocity!$A:$A,$A333,Velocity!$B:$B,$C333)/Assumptions!$B$4*Assumptions!$B$6</f>
        <v>0</v>
      </c>
      <c r="G333" s="7" t="n">
        <f aca="false">SUMIFS(Doors!S:S,Doors!$A:$A,$D333,Doors!$B:$B,$B333,Doors!$C:$C,$C333)*SUMIFS(Velocity!$I:$I,Velocity!$A:$A,$A333,Velocity!$B:$B,$C333)/Assumptions!$B$4*Assumptions!$B$6</f>
        <v>0</v>
      </c>
      <c r="H333" s="7" t="n">
        <f aca="false">SUMIFS(Doors!T:T,Doors!$A:$A,$D333,Doors!$B:$B,$B333,Doors!$C:$C,$C333)*SUMIFS(Velocity!$I:$I,Velocity!$A:$A,$A333,Velocity!$B:$B,$C333)/Assumptions!$B$4*Assumptions!$B$6</f>
        <v>0</v>
      </c>
      <c r="I333" s="7" t="n">
        <f aca="false">SUMIFS(Doors!U:U,Doors!$A:$A,$D333,Doors!$B:$B,$B333,Doors!$C:$C,$C333)*SUMIFS(Velocity!$I:$I,Velocity!$A:$A,$A333,Velocity!$B:$B,$C333)/Assumptions!$B$4*Assumptions!$B$6</f>
        <v>0</v>
      </c>
      <c r="J333" s="7" t="n">
        <f aca="false">SUMIFS(Doors!V:V,Doors!$A:$A,$D333,Doors!$B:$B,$B333,Doors!$C:$C,$C333)*SUMIFS(Velocity!$I:$I,Velocity!$A:$A,$A333,Velocity!$B:$B,$C333)/Assumptions!$B$4*Assumptions!$B$6</f>
        <v>0</v>
      </c>
      <c r="K333" s="7" t="n">
        <f aca="false">SUMIFS(Doors!W:W,Doors!$A:$A,$D333,Doors!$B:$B,$B333,Doors!$C:$C,$C333)*SUMIFS(Velocity!$I:$I,Velocity!$A:$A,$A333,Velocity!$B:$B,$C333)/Assumptions!$B$4*Assumptions!$B$6</f>
        <v>0</v>
      </c>
      <c r="L333" s="7" t="n">
        <f aca="false">SUMIFS(Doors!X:X,Doors!$A:$A,$D333,Doors!$B:$B,$B333,Doors!$C:$C,$C333)*SUMIFS(Velocity!$I:$I,Velocity!$A:$A,$A333,Velocity!$B:$B,$C333)/Assumptions!$B$4*Assumptions!$B$6</f>
        <v>0</v>
      </c>
      <c r="M333" s="7" t="n">
        <f aca="false">SUMIFS(Doors!Y:Y,Doors!$A:$A,$D333,Doors!$B:$B,$B333,Doors!$C:$C,$C333)*SUMIFS(Velocity!$I:$I,Velocity!$A:$A,$A333,Velocity!$B:$B,$C333)/Assumptions!$B$4*Assumptions!$B$6</f>
        <v>0</v>
      </c>
      <c r="N333" s="7" t="n">
        <f aca="false">SUMIFS(Doors!Z:Z,Doors!$A:$A,$D333,Doors!$B:$B,$B333,Doors!$C:$C,$C333)*SUMIFS(Velocity!$I:$I,Velocity!$A:$A,$A333,Velocity!$B:$B,$C333)/Assumptions!$B$4*Assumptions!$B$6</f>
        <v>0</v>
      </c>
      <c r="O333" s="7" t="n">
        <f aca="false">SUMIFS(Doors!AA:AA,Doors!$A:$A,$D333,Doors!$B:$B,$B333,Doors!$C:$C,$C333)*SUMIFS(Velocity!$I:$I,Velocity!$A:$A,$A333,Velocity!$B:$B,$C333)/Assumptions!$B$4*Assumptions!$B$6</f>
        <v>0</v>
      </c>
      <c r="P333" s="7" t="n">
        <f aca="false">SUMIFS(Doors!AB:AB,Doors!$A:$A,$D333,Doors!$B:$B,$B333,Doors!$C:$C,$C333)*SUMIFS(Velocity!$I:$I,Velocity!$A:$A,$A333,Velocity!$B:$B,$C333)/Assumptions!$B$4*Assumptions!$B$6</f>
        <v>0</v>
      </c>
      <c r="Q333" s="7" t="n">
        <f aca="false">SUMIFS(Doors!AC:AC,Doors!$A:$A,$D333,Doors!$B:$B,$B333,Doors!$C:$C,$C333)*SUMIFS(Velocity!$I:$I,Velocity!$A:$A,$A333,Velocity!$B:$B,$C333)/Assumptions!$B$4*Assumptions!$B$6</f>
        <v>0</v>
      </c>
      <c r="R333" s="7" t="n">
        <f aca="false">SUMIFS(Doors!AD:AD,Doors!$A:$A,$D333,Doors!$B:$B,$B333,Doors!$C:$C,$C333)*SUMIFS(Velocity!$I:$I,Velocity!$A:$A,$A333,Velocity!$B:$B,$C333)/Assumptions!$B$4*Assumptions!$B$6</f>
        <v>0</v>
      </c>
      <c r="S333" s="7" t="n">
        <f aca="false">SUMIFS(Doors!AE:AE,Doors!$A:$A,$D333,Doors!$B:$B,$B333,Doors!$C:$C,$C333)*SUMIFS(Velocity!$I:$I,Velocity!$A:$A,$A333,Velocity!$B:$B,$C333)/Assumptions!$B$4*Assumptions!$B$6</f>
        <v>0</v>
      </c>
      <c r="T333" s="7" t="n">
        <f aca="false">SUMIFS(Doors!AF:AF,Doors!$A:$A,$D333,Doors!$B:$B,$B333,Doors!$C:$C,$C333)*SUMIFS(Velocity!$I:$I,Velocity!$A:$A,$A333,Velocity!$B:$B,$C333)/Assumptions!$B$4*Assumptions!$B$6</f>
        <v>0</v>
      </c>
      <c r="U333" s="7" t="n">
        <f aca="false">SUMIFS(Doors!AG:AG,Doors!$A:$A,$D333,Doors!$B:$B,$B333,Doors!$C:$C,$C333)*SUMIFS(Velocity!$I:$I,Velocity!$A:$A,$A333,Velocity!$B:$B,$C333)/Assumptions!$B$4*Assumptions!$B$6</f>
        <v>0</v>
      </c>
      <c r="V333" s="7" t="n">
        <f aca="false">SUMIFS(Doors!AH:AH,Doors!$A:$A,$D333,Doors!$B:$B,$B333,Doors!$C:$C,$C333)*SUMIFS(Velocity!$I:$I,Velocity!$A:$A,$A333,Velocity!$B:$B,$C333)/Assumptions!$B$4*Assumptions!$B$6</f>
        <v>0</v>
      </c>
      <c r="W333" s="7" t="n">
        <f aca="false">SUMIFS(Doors!AI:AI,Doors!$A:$A,$D333,Doors!$B:$B,$B333,Doors!$C:$C,$C333)*SUMIFS(Velocity!$I:$I,Velocity!$A:$A,$A333,Velocity!$B:$B,$C333)/Assumptions!$B$4*Assumptions!$B$6</f>
        <v>0</v>
      </c>
      <c r="X333" s="7" t="n">
        <f aca="false">SUMIFS(Doors!AJ:AJ,Doors!$A:$A,$D333,Doors!$B:$B,$B333,Doors!$C:$C,$C333)*SUMIFS(Velocity!$I:$I,Velocity!$A:$A,$A333,Velocity!$B:$B,$C333)/Assumptions!$B$4*Assumptions!$B$6</f>
        <v>0</v>
      </c>
      <c r="Y333" s="7" t="n">
        <f aca="false">SUMIFS(Doors!AK:AK,Doors!$A:$A,$D333,Doors!$B:$B,$B333,Doors!$C:$C,$C333)*SUMIFS(Velocity!$I:$I,Velocity!$A:$A,$A333,Velocity!$B:$B,$C333)/Assumptions!$B$4*Assumptions!$B$6</f>
        <v>0</v>
      </c>
      <c r="Z333" s="7" t="n">
        <f aca="false">SUMIFS(Doors!AL:AL,Doors!$A:$A,$D333,Doors!$B:$B,$B333,Doors!$C:$C,$C333)*SUMIFS(Velocity!$I:$I,Velocity!$A:$A,$A333,Velocity!$B:$B,$C333)/Assumptions!$B$4*Assumptions!$B$6</f>
        <v>0</v>
      </c>
      <c r="AA333" s="7" t="n">
        <f aca="false">SUMIFS(Doors!AM:AM,Doors!$A:$A,$D333,Doors!$B:$B,$B333,Doors!$C:$C,$C333)*SUMIFS(Velocity!$I:$I,Velocity!$A:$A,$A333,Velocity!$B:$B,$C333)/Assumptions!$B$4*Assumptions!$B$6</f>
        <v>0</v>
      </c>
      <c r="AB333" s="7" t="n">
        <f aca="false">SUMIFS(Doors!AN:AN,Doors!$A:$A,$D333,Doors!$B:$B,$B333,Doors!$C:$C,$C333)*SUMIFS(Velocity!$I:$I,Velocity!$A:$A,$A333,Velocity!$B:$B,$C333)/Assumptions!$B$4*Assumptions!$B$6</f>
        <v>0</v>
      </c>
      <c r="AC333" s="7" t="n">
        <f aca="false">SUMIFS(Doors!AO:AO,Doors!$A:$A,$D333,Doors!$B:$B,$B333,Doors!$C:$C,$C333)*SUMIFS(Velocity!$I:$I,Velocity!$A:$A,$A333,Velocity!$B:$B,$C333)/Assumptions!$B$4*Assumptions!$B$6</f>
        <v>0</v>
      </c>
      <c r="AD333" s="7" t="n">
        <f aca="false">SUMIFS(Doors!AP:AP,Doors!$A:$A,$D333,Doors!$B:$B,$B333,Doors!$C:$C,$C333)*SUMIFS(Velocity!$I:$I,Velocity!$A:$A,$A333,Velocity!$B:$B,$C333)/Assumptions!$B$4*Assumptions!$B$6</f>
        <v>0</v>
      </c>
      <c r="AE333" s="7" t="n">
        <f aca="false">SUMIFS(Doors!AQ:AQ,Doors!$A:$A,$D333,Doors!$B:$B,$B333,Doors!$C:$C,$C333)*SUMIFS(Velocity!$I:$I,Velocity!$A:$A,$A333,Velocity!$B:$B,$C333)/Assumptions!$B$4*Assumptions!$B$6</f>
        <v>0</v>
      </c>
      <c r="AF333" s="7" t="n">
        <f aca="false">SUMIFS(Doors!AR:AR,Doors!$A:$A,$D333,Doors!$B:$B,$B333,Doors!$C:$C,$C333)*SUMIFS(Velocity!$I:$I,Velocity!$A:$A,$A333,Velocity!$B:$B,$C333)/Assumptions!$B$4*Assumptions!$B$6</f>
        <v>0</v>
      </c>
      <c r="AG333" s="7" t="n">
        <f aca="false">SUMIFS(Doors!AS:AS,Doors!$A:$A,$D333,Doors!$B:$B,$B333,Doors!$C:$C,$C333)*SUMIFS(Velocity!$I:$I,Velocity!$A:$A,$A333,Velocity!$B:$B,$C333)/Assumptions!$B$4*Assumptions!$B$6</f>
        <v>0</v>
      </c>
      <c r="AH333" s="7" t="n">
        <f aca="false">SUMIFS(Doors!AT:AT,Doors!$A:$A,$D333,Doors!$B:$B,$B333,Doors!$C:$C,$C333)*SUMIFS(Velocity!$I:$I,Velocity!$A:$A,$A333,Velocity!$B:$B,$C333)/Assumptions!$B$4*Assumptions!$B$6</f>
        <v>0</v>
      </c>
      <c r="AI333" s="7" t="n">
        <f aca="false">SUMIFS(Doors!AU:AU,Doors!$A:$A,$D333,Doors!$B:$B,$B333,Doors!$C:$C,$C333)*SUMIFS(Velocity!$I:$I,Velocity!$A:$A,$A333,Velocity!$B:$B,$C333)/Assumptions!$B$4*Assumptions!$B$6</f>
        <v>0</v>
      </c>
      <c r="AJ333" s="7" t="n">
        <f aca="false">SUMIFS(Doors!AV:AV,Doors!$A:$A,$D333,Doors!$B:$B,$B333,Doors!$C:$C,$C333)*SUMIFS(Velocity!$I:$I,Velocity!$A:$A,$A333,Velocity!$B:$B,$C333)/Assumptions!$B$4*Assumptions!$B$6</f>
        <v>0</v>
      </c>
      <c r="AK333" s="7" t="n">
        <f aca="false">SUMIFS(Doors!AW:AW,Doors!$A:$A,$D333,Doors!$B:$B,$B333,Doors!$C:$C,$C333)*SUMIFS(Velocity!$I:$I,Velocity!$A:$A,$A333,Velocity!$B:$B,$C333)/Assumptions!$B$4*Assumptions!$B$6</f>
        <v>0</v>
      </c>
      <c r="AL333" s="7" t="n">
        <f aca="false">SUMIFS(Doors!AX:AX,Doors!$A:$A,$D333,Doors!$B:$B,$B333,Doors!$C:$C,$C333)*SUMIFS(Velocity!$I:$I,Velocity!$A:$A,$A333,Velocity!$B:$B,$C333)/Assumptions!$B$4*Assumptions!$B$6</f>
        <v>0</v>
      </c>
      <c r="AM333" s="7" t="n">
        <f aca="false">SUMIFS(Doors!AY:AY,Doors!$A:$A,$D333,Doors!$B:$B,$B333,Doors!$C:$C,$C333)*SUMIFS(Velocity!$I:$I,Velocity!$A:$A,$A333,Velocity!$B:$B,$C333)/Assumptions!$B$4*Assumptions!$B$6</f>
        <v>0</v>
      </c>
      <c r="AN333" s="7" t="n">
        <f aca="false">SUMIFS(Doors!AZ:AZ,Doors!$A:$A,$D333,Doors!$B:$B,$B333,Doors!$C:$C,$C333)*SUMIFS(Velocity!$I:$I,Velocity!$A:$A,$A333,Velocity!$B:$B,$C333)/Assumptions!$B$4*Assumptions!$B$6</f>
        <v>0</v>
      </c>
      <c r="AO333" s="7" t="n">
        <f aca="false">SUMIFS(Doors!BA:BA,Doors!$A:$A,$D333,Doors!$B:$B,$B333,Doors!$C:$C,$C333)*SUMIFS(Velocity!$I:$I,Velocity!$A:$A,$A333,Velocity!$B:$B,$C333)/Assumptions!$B$4*Assumptions!$B$6</f>
        <v>0</v>
      </c>
      <c r="AP333" s="7" t="n">
        <f aca="false">SUMIFS(Doors!BB:BB,Doors!$A:$A,$D333,Doors!$B:$B,$B333,Doors!$C:$C,$C333)*SUMIFS(Velocity!$I:$I,Velocity!$A:$A,$A333,Velocity!$B:$B,$C333)/Assumptions!$B$4*Assumptions!$B$6</f>
        <v>0</v>
      </c>
      <c r="AQ333" s="7" t="n">
        <f aca="false">SUMIFS(Doors!BC:BC,Doors!$A:$A,$D333,Doors!$B:$B,$B333,Doors!$C:$C,$C333)*SUMIFS(Velocity!$I:$I,Velocity!$A:$A,$A333,Velocity!$B:$B,$C333)/Assumptions!$B$4*Assumptions!$B$6</f>
        <v>0</v>
      </c>
      <c r="AR333" s="7" t="n">
        <f aca="false">SUMIFS(Doors!BD:BD,Doors!$A:$A,$D333,Doors!$B:$B,$B333,Doors!$C:$C,$C333)*SUMIFS(Velocity!$I:$I,Velocity!$A:$A,$A333,Velocity!$B:$B,$C333)/Assumptions!$B$4*Assumptions!$B$6</f>
        <v>0</v>
      </c>
      <c r="AS333" s="7" t="n">
        <f aca="false">SUMIFS(Doors!BE:BE,Doors!$A:$A,$D333,Doors!$B:$B,$B333,Doors!$C:$C,$C333)*SUMIFS(Velocity!$I:$I,Velocity!$A:$A,$A333,Velocity!$B:$B,$C333)/Assumptions!$B$4*Assumptions!$B$6</f>
        <v>0</v>
      </c>
      <c r="AT333" s="7" t="n">
        <f aca="false">SUMIFS(Doors!BF:BF,Doors!$A:$A,$D333,Doors!$B:$B,$B333,Doors!$C:$C,$C333)*SUMIFS(Velocity!$I:$I,Velocity!$A:$A,$A333,Velocity!$B:$B,$C333)/Assumptions!$B$4*Assumptions!$B$6</f>
        <v>0</v>
      </c>
      <c r="AU333" s="7" t="n">
        <f aca="false">SUMIFS(Doors!BG:BG,Doors!$A:$A,$D333,Doors!$B:$B,$B333,Doors!$C:$C,$C333)*SUMIFS(Velocity!$I:$I,Velocity!$A:$A,$A333,Velocity!$B:$B,$C333)/Assumptions!$B$4*Assumptions!$B$6</f>
        <v>0</v>
      </c>
      <c r="AV333" s="7" t="n">
        <f aca="false">SUMIFS(Doors!BH:BH,Doors!$A:$A,$D333,Doors!$B:$B,$B333,Doors!$C:$C,$C333)*SUMIFS(Velocity!$I:$I,Velocity!$A:$A,$A333,Velocity!$B:$B,$C333)/Assumptions!$B$4*Assumptions!$B$6</f>
        <v>0</v>
      </c>
      <c r="AW333" s="7" t="n">
        <f aca="false">SUMIFS(Doors!BI:BI,Doors!$A:$A,$D333,Doors!$B:$B,$B333,Doors!$C:$C,$C333)*SUMIFS(Velocity!$I:$I,Velocity!$A:$A,$A333,Velocity!$B:$B,$C333)/Assumptions!$B$4*Assumptions!$B$6</f>
        <v>0</v>
      </c>
      <c r="AX333" s="7" t="n">
        <f aca="false">SUMIFS(Doors!BJ:BJ,Doors!$A:$A,$D333,Doors!$B:$B,$B333,Doors!$C:$C,$C333)*SUMIFS(Velocity!$I:$I,Velocity!$A:$A,$A333,Velocity!$B:$B,$C333)/Assumptions!$B$4*Assumptions!$B$6</f>
        <v>0</v>
      </c>
      <c r="AY333" s="7" t="n">
        <f aca="false">SUMIFS(Doors!BK:BK,Doors!$A:$A,$D333,Doors!$B:$B,$B333,Doors!$C:$C,$C333)*SUMIFS(Velocity!$I:$I,Velocity!$A:$A,$A333,Velocity!$B:$B,$C333)/Assumptions!$B$4*Assumptions!$B$6</f>
        <v>0</v>
      </c>
      <c r="AZ333" s="7" t="n">
        <f aca="false">SUMIFS(Doors!BL:BL,Doors!$A:$A,$D333,Doors!$B:$B,$B333,Doors!$C:$C,$C333)*SUMIFS(Velocity!$I:$I,Velocity!$A:$A,$A333,Velocity!$B:$B,$C333)/Assumptions!$B$4*Assumptions!$B$6</f>
        <v>0</v>
      </c>
      <c r="BA333" s="7" t="n">
        <f aca="false">SUMIFS(Doors!BM:BM,Doors!$A:$A,$D333,Doors!$B:$B,$B333,Doors!$C:$C,$C333)*SUMIFS(Velocity!$I:$I,Velocity!$A:$A,$A333,Velocity!$B:$B,$C333)/Assumptions!$B$4*Assumptions!$B$6</f>
        <v>0</v>
      </c>
      <c r="BB333" s="7" t="n">
        <f aca="false">SUMIFS(Doors!BN:BN,Doors!$A:$A,$D333,Doors!$B:$B,$B333,Doors!$C:$C,$C333)*SUMIFS(Velocity!$I:$I,Velocity!$A:$A,$A333,Velocity!$B:$B,$C333)/Assumptions!$B$4*Assumptions!$B$6</f>
        <v>0</v>
      </c>
      <c r="BC333" s="7" t="n">
        <f aca="false">SUMIFS(Doors!BO:BO,Doors!$A:$A,$D333,Doors!$B:$B,$B333,Doors!$C:$C,$C333)*SUMIFS(Velocity!$I:$I,Velocity!$A:$A,$A333,Velocity!$B:$B,$C333)/Assumptions!$B$4*Assumptions!$B$6</f>
        <v>0</v>
      </c>
      <c r="BD333" s="7" t="n">
        <f aca="false">SUMIFS(Doors!BP:BP,Doors!$A:$A,$D333,Doors!$B:$B,$B333,Doors!$C:$C,$C333)*SUMIFS(Velocity!$I:$I,Velocity!$A:$A,$A333,Velocity!$B:$B,$C333)/Assumptions!$B$4*Assumptions!$B$6</f>
        <v>0</v>
      </c>
    </row>
    <row r="334" customFormat="false" ht="15" hidden="false" customHeight="false" outlineLevel="0" collapsed="false">
      <c r="A334" s="0" t="s">
        <v>111</v>
      </c>
      <c r="B334" s="0" t="s">
        <v>132</v>
      </c>
      <c r="C334" s="0" t="s">
        <v>119</v>
      </c>
      <c r="D334" s="0" t="s">
        <v>236</v>
      </c>
      <c r="E334" s="7" t="n">
        <f aca="false">SUMIFS(Doors!Q:Q,Doors!$A:$A,$D334,Doors!$B:$B,$B334,Doors!$C:$C,$C334)*SUMIFS(Velocity!$I:$I,Velocity!$A:$A,$A334,Velocity!$B:$B,$C334)/Assumptions!$B$4*Assumptions!$B$6</f>
        <v>0</v>
      </c>
      <c r="F334" s="7" t="n">
        <f aca="false">SUMIFS(Doors!R:R,Doors!$A:$A,$D334,Doors!$B:$B,$B334,Doors!$C:$C,$C334)*SUMIFS(Velocity!$I:$I,Velocity!$A:$A,$A334,Velocity!$B:$B,$C334)/Assumptions!$B$4*Assumptions!$B$6</f>
        <v>0</v>
      </c>
      <c r="G334" s="7" t="n">
        <f aca="false">SUMIFS(Doors!S:S,Doors!$A:$A,$D334,Doors!$B:$B,$B334,Doors!$C:$C,$C334)*SUMIFS(Velocity!$I:$I,Velocity!$A:$A,$A334,Velocity!$B:$B,$C334)/Assumptions!$B$4*Assumptions!$B$6</f>
        <v>0</v>
      </c>
      <c r="H334" s="7" t="n">
        <f aca="false">SUMIFS(Doors!T:T,Doors!$A:$A,$D334,Doors!$B:$B,$B334,Doors!$C:$C,$C334)*SUMIFS(Velocity!$I:$I,Velocity!$A:$A,$A334,Velocity!$B:$B,$C334)/Assumptions!$B$4*Assumptions!$B$6</f>
        <v>0</v>
      </c>
      <c r="I334" s="7" t="n">
        <f aca="false">SUMIFS(Doors!U:U,Doors!$A:$A,$D334,Doors!$B:$B,$B334,Doors!$C:$C,$C334)*SUMIFS(Velocity!$I:$I,Velocity!$A:$A,$A334,Velocity!$B:$B,$C334)/Assumptions!$B$4*Assumptions!$B$6</f>
        <v>0</v>
      </c>
      <c r="J334" s="7" t="n">
        <f aca="false">SUMIFS(Doors!V:V,Doors!$A:$A,$D334,Doors!$B:$B,$B334,Doors!$C:$C,$C334)*SUMIFS(Velocity!$I:$I,Velocity!$A:$A,$A334,Velocity!$B:$B,$C334)/Assumptions!$B$4*Assumptions!$B$6</f>
        <v>0</v>
      </c>
      <c r="K334" s="7" t="n">
        <f aca="false">SUMIFS(Doors!W:W,Doors!$A:$A,$D334,Doors!$B:$B,$B334,Doors!$C:$C,$C334)*SUMIFS(Velocity!$I:$I,Velocity!$A:$A,$A334,Velocity!$B:$B,$C334)/Assumptions!$B$4*Assumptions!$B$6</f>
        <v>0</v>
      </c>
      <c r="L334" s="7" t="n">
        <f aca="false">SUMIFS(Doors!X:X,Doors!$A:$A,$D334,Doors!$B:$B,$B334,Doors!$C:$C,$C334)*SUMIFS(Velocity!$I:$I,Velocity!$A:$A,$A334,Velocity!$B:$B,$C334)/Assumptions!$B$4*Assumptions!$B$6</f>
        <v>0</v>
      </c>
      <c r="M334" s="7" t="n">
        <f aca="false">SUMIFS(Doors!Y:Y,Doors!$A:$A,$D334,Doors!$B:$B,$B334,Doors!$C:$C,$C334)*SUMIFS(Velocity!$I:$I,Velocity!$A:$A,$A334,Velocity!$B:$B,$C334)/Assumptions!$B$4*Assumptions!$B$6</f>
        <v>0</v>
      </c>
      <c r="N334" s="7" t="n">
        <f aca="false">SUMIFS(Doors!Z:Z,Doors!$A:$A,$D334,Doors!$B:$B,$B334,Doors!$C:$C,$C334)*SUMIFS(Velocity!$I:$I,Velocity!$A:$A,$A334,Velocity!$B:$B,$C334)/Assumptions!$B$4*Assumptions!$B$6</f>
        <v>0</v>
      </c>
      <c r="O334" s="7" t="n">
        <f aca="false">SUMIFS(Doors!AA:AA,Doors!$A:$A,$D334,Doors!$B:$B,$B334,Doors!$C:$C,$C334)*SUMIFS(Velocity!$I:$I,Velocity!$A:$A,$A334,Velocity!$B:$B,$C334)/Assumptions!$B$4*Assumptions!$B$6</f>
        <v>0</v>
      </c>
      <c r="P334" s="7" t="n">
        <f aca="false">SUMIFS(Doors!AB:AB,Doors!$A:$A,$D334,Doors!$B:$B,$B334,Doors!$C:$C,$C334)*SUMIFS(Velocity!$I:$I,Velocity!$A:$A,$A334,Velocity!$B:$B,$C334)/Assumptions!$B$4*Assumptions!$B$6</f>
        <v>0</v>
      </c>
      <c r="Q334" s="7" t="n">
        <f aca="false">SUMIFS(Doors!AC:AC,Doors!$A:$A,$D334,Doors!$B:$B,$B334,Doors!$C:$C,$C334)*SUMIFS(Velocity!$I:$I,Velocity!$A:$A,$A334,Velocity!$B:$B,$C334)/Assumptions!$B$4*Assumptions!$B$6</f>
        <v>0</v>
      </c>
      <c r="R334" s="7" t="n">
        <f aca="false">SUMIFS(Doors!AD:AD,Doors!$A:$A,$D334,Doors!$B:$B,$B334,Doors!$C:$C,$C334)*SUMIFS(Velocity!$I:$I,Velocity!$A:$A,$A334,Velocity!$B:$B,$C334)/Assumptions!$B$4*Assumptions!$B$6</f>
        <v>0</v>
      </c>
      <c r="S334" s="7" t="n">
        <f aca="false">SUMIFS(Doors!AE:AE,Doors!$A:$A,$D334,Doors!$B:$B,$B334,Doors!$C:$C,$C334)*SUMIFS(Velocity!$I:$I,Velocity!$A:$A,$A334,Velocity!$B:$B,$C334)/Assumptions!$B$4*Assumptions!$B$6</f>
        <v>0</v>
      </c>
      <c r="T334" s="7" t="n">
        <f aca="false">SUMIFS(Doors!AF:AF,Doors!$A:$A,$D334,Doors!$B:$B,$B334,Doors!$C:$C,$C334)*SUMIFS(Velocity!$I:$I,Velocity!$A:$A,$A334,Velocity!$B:$B,$C334)/Assumptions!$B$4*Assumptions!$B$6</f>
        <v>0</v>
      </c>
      <c r="U334" s="7" t="n">
        <f aca="false">SUMIFS(Doors!AG:AG,Doors!$A:$A,$D334,Doors!$B:$B,$B334,Doors!$C:$C,$C334)*SUMIFS(Velocity!$I:$I,Velocity!$A:$A,$A334,Velocity!$B:$B,$C334)/Assumptions!$B$4*Assumptions!$B$6</f>
        <v>0</v>
      </c>
      <c r="V334" s="7" t="n">
        <f aca="false">SUMIFS(Doors!AH:AH,Doors!$A:$A,$D334,Doors!$B:$B,$B334,Doors!$C:$C,$C334)*SUMIFS(Velocity!$I:$I,Velocity!$A:$A,$A334,Velocity!$B:$B,$C334)/Assumptions!$B$4*Assumptions!$B$6</f>
        <v>0</v>
      </c>
      <c r="W334" s="7" t="n">
        <f aca="false">SUMIFS(Doors!AI:AI,Doors!$A:$A,$D334,Doors!$B:$B,$B334,Doors!$C:$C,$C334)*SUMIFS(Velocity!$I:$I,Velocity!$A:$A,$A334,Velocity!$B:$B,$C334)/Assumptions!$B$4*Assumptions!$B$6</f>
        <v>0</v>
      </c>
      <c r="X334" s="7" t="n">
        <f aca="false">SUMIFS(Doors!AJ:AJ,Doors!$A:$A,$D334,Doors!$B:$B,$B334,Doors!$C:$C,$C334)*SUMIFS(Velocity!$I:$I,Velocity!$A:$A,$A334,Velocity!$B:$B,$C334)/Assumptions!$B$4*Assumptions!$B$6</f>
        <v>0</v>
      </c>
      <c r="Y334" s="7" t="n">
        <f aca="false">SUMIFS(Doors!AK:AK,Doors!$A:$A,$D334,Doors!$B:$B,$B334,Doors!$C:$C,$C334)*SUMIFS(Velocity!$I:$I,Velocity!$A:$A,$A334,Velocity!$B:$B,$C334)/Assumptions!$B$4*Assumptions!$B$6</f>
        <v>0</v>
      </c>
      <c r="Z334" s="7" t="n">
        <f aca="false">SUMIFS(Doors!AL:AL,Doors!$A:$A,$D334,Doors!$B:$B,$B334,Doors!$C:$C,$C334)*SUMIFS(Velocity!$I:$I,Velocity!$A:$A,$A334,Velocity!$B:$B,$C334)/Assumptions!$B$4*Assumptions!$B$6</f>
        <v>0</v>
      </c>
      <c r="AA334" s="7" t="n">
        <f aca="false">SUMIFS(Doors!AM:AM,Doors!$A:$A,$D334,Doors!$B:$B,$B334,Doors!$C:$C,$C334)*SUMIFS(Velocity!$I:$I,Velocity!$A:$A,$A334,Velocity!$B:$B,$C334)/Assumptions!$B$4*Assumptions!$B$6</f>
        <v>0</v>
      </c>
      <c r="AB334" s="7" t="n">
        <f aca="false">SUMIFS(Doors!AN:AN,Doors!$A:$A,$D334,Doors!$B:$B,$B334,Doors!$C:$C,$C334)*SUMIFS(Velocity!$I:$I,Velocity!$A:$A,$A334,Velocity!$B:$B,$C334)/Assumptions!$B$4*Assumptions!$B$6</f>
        <v>0</v>
      </c>
      <c r="AC334" s="7" t="n">
        <f aca="false">SUMIFS(Doors!AO:AO,Doors!$A:$A,$D334,Doors!$B:$B,$B334,Doors!$C:$C,$C334)*SUMIFS(Velocity!$I:$I,Velocity!$A:$A,$A334,Velocity!$B:$B,$C334)/Assumptions!$B$4*Assumptions!$B$6</f>
        <v>0</v>
      </c>
      <c r="AD334" s="7" t="n">
        <f aca="false">SUMIFS(Doors!AP:AP,Doors!$A:$A,$D334,Doors!$B:$B,$B334,Doors!$C:$C,$C334)*SUMIFS(Velocity!$I:$I,Velocity!$A:$A,$A334,Velocity!$B:$B,$C334)/Assumptions!$B$4*Assumptions!$B$6</f>
        <v>0</v>
      </c>
      <c r="AE334" s="7" t="n">
        <f aca="false">SUMIFS(Doors!AQ:AQ,Doors!$A:$A,$D334,Doors!$B:$B,$B334,Doors!$C:$C,$C334)*SUMIFS(Velocity!$I:$I,Velocity!$A:$A,$A334,Velocity!$B:$B,$C334)/Assumptions!$B$4*Assumptions!$B$6</f>
        <v>0</v>
      </c>
      <c r="AF334" s="7" t="n">
        <f aca="false">SUMIFS(Doors!AR:AR,Doors!$A:$A,$D334,Doors!$B:$B,$B334,Doors!$C:$C,$C334)*SUMIFS(Velocity!$I:$I,Velocity!$A:$A,$A334,Velocity!$B:$B,$C334)/Assumptions!$B$4*Assumptions!$B$6</f>
        <v>0</v>
      </c>
      <c r="AG334" s="7" t="n">
        <f aca="false">SUMIFS(Doors!AS:AS,Doors!$A:$A,$D334,Doors!$B:$B,$B334,Doors!$C:$C,$C334)*SUMIFS(Velocity!$I:$I,Velocity!$A:$A,$A334,Velocity!$B:$B,$C334)/Assumptions!$B$4*Assumptions!$B$6</f>
        <v>0</v>
      </c>
      <c r="AH334" s="7" t="n">
        <f aca="false">SUMIFS(Doors!AT:AT,Doors!$A:$A,$D334,Doors!$B:$B,$B334,Doors!$C:$C,$C334)*SUMIFS(Velocity!$I:$I,Velocity!$A:$A,$A334,Velocity!$B:$B,$C334)/Assumptions!$B$4*Assumptions!$B$6</f>
        <v>0</v>
      </c>
      <c r="AI334" s="7" t="n">
        <f aca="false">SUMIFS(Doors!AU:AU,Doors!$A:$A,$D334,Doors!$B:$B,$B334,Doors!$C:$C,$C334)*SUMIFS(Velocity!$I:$I,Velocity!$A:$A,$A334,Velocity!$B:$B,$C334)/Assumptions!$B$4*Assumptions!$B$6</f>
        <v>0</v>
      </c>
      <c r="AJ334" s="7" t="n">
        <f aca="false">SUMIFS(Doors!AV:AV,Doors!$A:$A,$D334,Doors!$B:$B,$B334,Doors!$C:$C,$C334)*SUMIFS(Velocity!$I:$I,Velocity!$A:$A,$A334,Velocity!$B:$B,$C334)/Assumptions!$B$4*Assumptions!$B$6</f>
        <v>0</v>
      </c>
      <c r="AK334" s="7" t="n">
        <f aca="false">SUMIFS(Doors!AW:AW,Doors!$A:$A,$D334,Doors!$B:$B,$B334,Doors!$C:$C,$C334)*SUMIFS(Velocity!$I:$I,Velocity!$A:$A,$A334,Velocity!$B:$B,$C334)/Assumptions!$B$4*Assumptions!$B$6</f>
        <v>0</v>
      </c>
      <c r="AL334" s="7" t="n">
        <f aca="false">SUMIFS(Doors!AX:AX,Doors!$A:$A,$D334,Doors!$B:$B,$B334,Doors!$C:$C,$C334)*SUMIFS(Velocity!$I:$I,Velocity!$A:$A,$A334,Velocity!$B:$B,$C334)/Assumptions!$B$4*Assumptions!$B$6</f>
        <v>0</v>
      </c>
      <c r="AM334" s="7" t="n">
        <f aca="false">SUMIFS(Doors!AY:AY,Doors!$A:$A,$D334,Doors!$B:$B,$B334,Doors!$C:$C,$C334)*SUMIFS(Velocity!$I:$I,Velocity!$A:$A,$A334,Velocity!$B:$B,$C334)/Assumptions!$B$4*Assumptions!$B$6</f>
        <v>0</v>
      </c>
      <c r="AN334" s="7" t="n">
        <f aca="false">SUMIFS(Doors!AZ:AZ,Doors!$A:$A,$D334,Doors!$B:$B,$B334,Doors!$C:$C,$C334)*SUMIFS(Velocity!$I:$I,Velocity!$A:$A,$A334,Velocity!$B:$B,$C334)/Assumptions!$B$4*Assumptions!$B$6</f>
        <v>0</v>
      </c>
      <c r="AO334" s="7" t="n">
        <f aca="false">SUMIFS(Doors!BA:BA,Doors!$A:$A,$D334,Doors!$B:$B,$B334,Doors!$C:$C,$C334)*SUMIFS(Velocity!$I:$I,Velocity!$A:$A,$A334,Velocity!$B:$B,$C334)/Assumptions!$B$4*Assumptions!$B$6</f>
        <v>0</v>
      </c>
      <c r="AP334" s="7" t="n">
        <f aca="false">SUMIFS(Doors!BB:BB,Doors!$A:$A,$D334,Doors!$B:$B,$B334,Doors!$C:$C,$C334)*SUMIFS(Velocity!$I:$I,Velocity!$A:$A,$A334,Velocity!$B:$B,$C334)/Assumptions!$B$4*Assumptions!$B$6</f>
        <v>0</v>
      </c>
      <c r="AQ334" s="7" t="n">
        <f aca="false">SUMIFS(Doors!BC:BC,Doors!$A:$A,$D334,Doors!$B:$B,$B334,Doors!$C:$C,$C334)*SUMIFS(Velocity!$I:$I,Velocity!$A:$A,$A334,Velocity!$B:$B,$C334)/Assumptions!$B$4*Assumptions!$B$6</f>
        <v>0</v>
      </c>
      <c r="AR334" s="7" t="n">
        <f aca="false">SUMIFS(Doors!BD:BD,Doors!$A:$A,$D334,Doors!$B:$B,$B334,Doors!$C:$C,$C334)*SUMIFS(Velocity!$I:$I,Velocity!$A:$A,$A334,Velocity!$B:$B,$C334)/Assumptions!$B$4*Assumptions!$B$6</f>
        <v>0</v>
      </c>
      <c r="AS334" s="7" t="n">
        <f aca="false">SUMIFS(Doors!BE:BE,Doors!$A:$A,$D334,Doors!$B:$B,$B334,Doors!$C:$C,$C334)*SUMIFS(Velocity!$I:$I,Velocity!$A:$A,$A334,Velocity!$B:$B,$C334)/Assumptions!$B$4*Assumptions!$B$6</f>
        <v>0</v>
      </c>
      <c r="AT334" s="7" t="n">
        <f aca="false">SUMIFS(Doors!BF:BF,Doors!$A:$A,$D334,Doors!$B:$B,$B334,Doors!$C:$C,$C334)*SUMIFS(Velocity!$I:$I,Velocity!$A:$A,$A334,Velocity!$B:$B,$C334)/Assumptions!$B$4*Assumptions!$B$6</f>
        <v>0</v>
      </c>
      <c r="AU334" s="7" t="n">
        <f aca="false">SUMIFS(Doors!BG:BG,Doors!$A:$A,$D334,Doors!$B:$B,$B334,Doors!$C:$C,$C334)*SUMIFS(Velocity!$I:$I,Velocity!$A:$A,$A334,Velocity!$B:$B,$C334)/Assumptions!$B$4*Assumptions!$B$6</f>
        <v>0</v>
      </c>
      <c r="AV334" s="7" t="n">
        <f aca="false">SUMIFS(Doors!BH:BH,Doors!$A:$A,$D334,Doors!$B:$B,$B334,Doors!$C:$C,$C334)*SUMIFS(Velocity!$I:$I,Velocity!$A:$A,$A334,Velocity!$B:$B,$C334)/Assumptions!$B$4*Assumptions!$B$6</f>
        <v>0</v>
      </c>
      <c r="AW334" s="7" t="n">
        <f aca="false">SUMIFS(Doors!BI:BI,Doors!$A:$A,$D334,Doors!$B:$B,$B334,Doors!$C:$C,$C334)*SUMIFS(Velocity!$I:$I,Velocity!$A:$A,$A334,Velocity!$B:$B,$C334)/Assumptions!$B$4*Assumptions!$B$6</f>
        <v>0</v>
      </c>
      <c r="AX334" s="7" t="n">
        <f aca="false">SUMIFS(Doors!BJ:BJ,Doors!$A:$A,$D334,Doors!$B:$B,$B334,Doors!$C:$C,$C334)*SUMIFS(Velocity!$I:$I,Velocity!$A:$A,$A334,Velocity!$B:$B,$C334)/Assumptions!$B$4*Assumptions!$B$6</f>
        <v>0</v>
      </c>
      <c r="AY334" s="7" t="n">
        <f aca="false">SUMIFS(Doors!BK:BK,Doors!$A:$A,$D334,Doors!$B:$B,$B334,Doors!$C:$C,$C334)*SUMIFS(Velocity!$I:$I,Velocity!$A:$A,$A334,Velocity!$B:$B,$C334)/Assumptions!$B$4*Assumptions!$B$6</f>
        <v>0</v>
      </c>
      <c r="AZ334" s="7" t="n">
        <f aca="false">SUMIFS(Doors!BL:BL,Doors!$A:$A,$D334,Doors!$B:$B,$B334,Doors!$C:$C,$C334)*SUMIFS(Velocity!$I:$I,Velocity!$A:$A,$A334,Velocity!$B:$B,$C334)/Assumptions!$B$4*Assumptions!$B$6</f>
        <v>0</v>
      </c>
      <c r="BA334" s="7" t="n">
        <f aca="false">SUMIFS(Doors!BM:BM,Doors!$A:$A,$D334,Doors!$B:$B,$B334,Doors!$C:$C,$C334)*SUMIFS(Velocity!$I:$I,Velocity!$A:$A,$A334,Velocity!$B:$B,$C334)/Assumptions!$B$4*Assumptions!$B$6</f>
        <v>0</v>
      </c>
      <c r="BB334" s="7" t="n">
        <f aca="false">SUMIFS(Doors!BN:BN,Doors!$A:$A,$D334,Doors!$B:$B,$B334,Doors!$C:$C,$C334)*SUMIFS(Velocity!$I:$I,Velocity!$A:$A,$A334,Velocity!$B:$B,$C334)/Assumptions!$B$4*Assumptions!$B$6</f>
        <v>0</v>
      </c>
      <c r="BC334" s="7" t="n">
        <f aca="false">SUMIFS(Doors!BO:BO,Doors!$A:$A,$D334,Doors!$B:$B,$B334,Doors!$C:$C,$C334)*SUMIFS(Velocity!$I:$I,Velocity!$A:$A,$A334,Velocity!$B:$B,$C334)/Assumptions!$B$4*Assumptions!$B$6</f>
        <v>0</v>
      </c>
      <c r="BD334" s="7" t="n">
        <f aca="false">SUMIFS(Doors!BP:BP,Doors!$A:$A,$D334,Doors!$B:$B,$B334,Doors!$C:$C,$C334)*SUMIFS(Velocity!$I:$I,Velocity!$A:$A,$A334,Velocity!$B:$B,$C334)/Assumptions!$B$4*Assumptions!$B$6</f>
        <v>0</v>
      </c>
    </row>
    <row r="335" customFormat="false" ht="15" hidden="false" customHeight="false" outlineLevel="0" collapsed="false">
      <c r="A335" s="0" t="s">
        <v>111</v>
      </c>
      <c r="B335" s="0" t="s">
        <v>132</v>
      </c>
      <c r="C335" s="0" t="s">
        <v>120</v>
      </c>
      <c r="D335" s="0" t="s">
        <v>236</v>
      </c>
      <c r="E335" s="7" t="n">
        <f aca="false">SUMIFS(Doors!Q:Q,Doors!$A:$A,$D335,Doors!$B:$B,$B335,Doors!$C:$C,$C335)*SUMIFS(Velocity!$I:$I,Velocity!$A:$A,$A335,Velocity!$B:$B,$C335)/Assumptions!$B$4*Assumptions!$B$6</f>
        <v>0</v>
      </c>
      <c r="F335" s="7" t="n">
        <f aca="false">SUMIFS(Doors!R:R,Doors!$A:$A,$D335,Doors!$B:$B,$B335,Doors!$C:$C,$C335)*SUMIFS(Velocity!$I:$I,Velocity!$A:$A,$A335,Velocity!$B:$B,$C335)/Assumptions!$B$4*Assumptions!$B$6</f>
        <v>0</v>
      </c>
      <c r="G335" s="7" t="n">
        <f aca="false">SUMIFS(Doors!S:S,Doors!$A:$A,$D335,Doors!$B:$B,$B335,Doors!$C:$C,$C335)*SUMIFS(Velocity!$I:$I,Velocity!$A:$A,$A335,Velocity!$B:$B,$C335)/Assumptions!$B$4*Assumptions!$B$6</f>
        <v>0</v>
      </c>
      <c r="H335" s="7" t="n">
        <f aca="false">SUMIFS(Doors!T:T,Doors!$A:$A,$D335,Doors!$B:$B,$B335,Doors!$C:$C,$C335)*SUMIFS(Velocity!$I:$I,Velocity!$A:$A,$A335,Velocity!$B:$B,$C335)/Assumptions!$B$4*Assumptions!$B$6</f>
        <v>0</v>
      </c>
      <c r="I335" s="7" t="n">
        <f aca="false">SUMIFS(Doors!U:U,Doors!$A:$A,$D335,Doors!$B:$B,$B335,Doors!$C:$C,$C335)*SUMIFS(Velocity!$I:$I,Velocity!$A:$A,$A335,Velocity!$B:$B,$C335)/Assumptions!$B$4*Assumptions!$B$6</f>
        <v>0</v>
      </c>
      <c r="J335" s="7" t="n">
        <f aca="false">SUMIFS(Doors!V:V,Doors!$A:$A,$D335,Doors!$B:$B,$B335,Doors!$C:$C,$C335)*SUMIFS(Velocity!$I:$I,Velocity!$A:$A,$A335,Velocity!$B:$B,$C335)/Assumptions!$B$4*Assumptions!$B$6</f>
        <v>0</v>
      </c>
      <c r="K335" s="7" t="n">
        <f aca="false">SUMIFS(Doors!W:W,Doors!$A:$A,$D335,Doors!$B:$B,$B335,Doors!$C:$C,$C335)*SUMIFS(Velocity!$I:$I,Velocity!$A:$A,$A335,Velocity!$B:$B,$C335)/Assumptions!$B$4*Assumptions!$B$6</f>
        <v>0</v>
      </c>
      <c r="L335" s="7" t="n">
        <f aca="false">SUMIFS(Doors!X:X,Doors!$A:$A,$D335,Doors!$B:$B,$B335,Doors!$C:$C,$C335)*SUMIFS(Velocity!$I:$I,Velocity!$A:$A,$A335,Velocity!$B:$B,$C335)/Assumptions!$B$4*Assumptions!$B$6</f>
        <v>0</v>
      </c>
      <c r="M335" s="7" t="n">
        <f aca="false">SUMIFS(Doors!Y:Y,Doors!$A:$A,$D335,Doors!$B:$B,$B335,Doors!$C:$C,$C335)*SUMIFS(Velocity!$I:$I,Velocity!$A:$A,$A335,Velocity!$B:$B,$C335)/Assumptions!$B$4*Assumptions!$B$6</f>
        <v>0</v>
      </c>
      <c r="N335" s="7" t="n">
        <f aca="false">SUMIFS(Doors!Z:Z,Doors!$A:$A,$D335,Doors!$B:$B,$B335,Doors!$C:$C,$C335)*SUMIFS(Velocity!$I:$I,Velocity!$A:$A,$A335,Velocity!$B:$B,$C335)/Assumptions!$B$4*Assumptions!$B$6</f>
        <v>0</v>
      </c>
      <c r="O335" s="7" t="n">
        <f aca="false">SUMIFS(Doors!AA:AA,Doors!$A:$A,$D335,Doors!$B:$B,$B335,Doors!$C:$C,$C335)*SUMIFS(Velocity!$I:$I,Velocity!$A:$A,$A335,Velocity!$B:$B,$C335)/Assumptions!$B$4*Assumptions!$B$6</f>
        <v>0</v>
      </c>
      <c r="P335" s="7" t="n">
        <f aca="false">SUMIFS(Doors!AB:AB,Doors!$A:$A,$D335,Doors!$B:$B,$B335,Doors!$C:$C,$C335)*SUMIFS(Velocity!$I:$I,Velocity!$A:$A,$A335,Velocity!$B:$B,$C335)/Assumptions!$B$4*Assumptions!$B$6</f>
        <v>0</v>
      </c>
      <c r="Q335" s="7" t="n">
        <f aca="false">SUMIFS(Doors!AC:AC,Doors!$A:$A,$D335,Doors!$B:$B,$B335,Doors!$C:$C,$C335)*SUMIFS(Velocity!$I:$I,Velocity!$A:$A,$A335,Velocity!$B:$B,$C335)/Assumptions!$B$4*Assumptions!$B$6</f>
        <v>0</v>
      </c>
      <c r="R335" s="7" t="n">
        <f aca="false">SUMIFS(Doors!AD:AD,Doors!$A:$A,$D335,Doors!$B:$B,$B335,Doors!$C:$C,$C335)*SUMIFS(Velocity!$I:$I,Velocity!$A:$A,$A335,Velocity!$B:$B,$C335)/Assumptions!$B$4*Assumptions!$B$6</f>
        <v>0</v>
      </c>
      <c r="S335" s="7" t="n">
        <f aca="false">SUMIFS(Doors!AE:AE,Doors!$A:$A,$D335,Doors!$B:$B,$B335,Doors!$C:$C,$C335)*SUMIFS(Velocity!$I:$I,Velocity!$A:$A,$A335,Velocity!$B:$B,$C335)/Assumptions!$B$4*Assumptions!$B$6</f>
        <v>0</v>
      </c>
      <c r="T335" s="7" t="n">
        <f aca="false">SUMIFS(Doors!AF:AF,Doors!$A:$A,$D335,Doors!$B:$B,$B335,Doors!$C:$C,$C335)*SUMIFS(Velocity!$I:$I,Velocity!$A:$A,$A335,Velocity!$B:$B,$C335)/Assumptions!$B$4*Assumptions!$B$6</f>
        <v>0</v>
      </c>
      <c r="U335" s="7" t="n">
        <f aca="false">SUMIFS(Doors!AG:AG,Doors!$A:$A,$D335,Doors!$B:$B,$B335,Doors!$C:$C,$C335)*SUMIFS(Velocity!$I:$I,Velocity!$A:$A,$A335,Velocity!$B:$B,$C335)/Assumptions!$B$4*Assumptions!$B$6</f>
        <v>0</v>
      </c>
      <c r="V335" s="7" t="n">
        <f aca="false">SUMIFS(Doors!AH:AH,Doors!$A:$A,$D335,Doors!$B:$B,$B335,Doors!$C:$C,$C335)*SUMIFS(Velocity!$I:$I,Velocity!$A:$A,$A335,Velocity!$B:$B,$C335)/Assumptions!$B$4*Assumptions!$B$6</f>
        <v>0</v>
      </c>
      <c r="W335" s="7" t="n">
        <f aca="false">SUMIFS(Doors!AI:AI,Doors!$A:$A,$D335,Doors!$B:$B,$B335,Doors!$C:$C,$C335)*SUMIFS(Velocity!$I:$I,Velocity!$A:$A,$A335,Velocity!$B:$B,$C335)/Assumptions!$B$4*Assumptions!$B$6</f>
        <v>0</v>
      </c>
      <c r="X335" s="7" t="n">
        <f aca="false">SUMIFS(Doors!AJ:AJ,Doors!$A:$A,$D335,Doors!$B:$B,$B335,Doors!$C:$C,$C335)*SUMIFS(Velocity!$I:$I,Velocity!$A:$A,$A335,Velocity!$B:$B,$C335)/Assumptions!$B$4*Assumptions!$B$6</f>
        <v>0</v>
      </c>
      <c r="Y335" s="7" t="n">
        <f aca="false">SUMIFS(Doors!AK:AK,Doors!$A:$A,$D335,Doors!$B:$B,$B335,Doors!$C:$C,$C335)*SUMIFS(Velocity!$I:$I,Velocity!$A:$A,$A335,Velocity!$B:$B,$C335)/Assumptions!$B$4*Assumptions!$B$6</f>
        <v>0</v>
      </c>
      <c r="Z335" s="7" t="n">
        <f aca="false">SUMIFS(Doors!AL:AL,Doors!$A:$A,$D335,Doors!$B:$B,$B335,Doors!$C:$C,$C335)*SUMIFS(Velocity!$I:$I,Velocity!$A:$A,$A335,Velocity!$B:$B,$C335)/Assumptions!$B$4*Assumptions!$B$6</f>
        <v>0</v>
      </c>
      <c r="AA335" s="7" t="n">
        <f aca="false">SUMIFS(Doors!AM:AM,Doors!$A:$A,$D335,Doors!$B:$B,$B335,Doors!$C:$C,$C335)*SUMIFS(Velocity!$I:$I,Velocity!$A:$A,$A335,Velocity!$B:$B,$C335)/Assumptions!$B$4*Assumptions!$B$6</f>
        <v>0</v>
      </c>
      <c r="AB335" s="7" t="n">
        <f aca="false">SUMIFS(Doors!AN:AN,Doors!$A:$A,$D335,Doors!$B:$B,$B335,Doors!$C:$C,$C335)*SUMIFS(Velocity!$I:$I,Velocity!$A:$A,$A335,Velocity!$B:$B,$C335)/Assumptions!$B$4*Assumptions!$B$6</f>
        <v>0</v>
      </c>
      <c r="AC335" s="7" t="n">
        <f aca="false">SUMIFS(Doors!AO:AO,Doors!$A:$A,$D335,Doors!$B:$B,$B335,Doors!$C:$C,$C335)*SUMIFS(Velocity!$I:$I,Velocity!$A:$A,$A335,Velocity!$B:$B,$C335)/Assumptions!$B$4*Assumptions!$B$6</f>
        <v>0</v>
      </c>
      <c r="AD335" s="7" t="n">
        <f aca="false">SUMIFS(Doors!AP:AP,Doors!$A:$A,$D335,Doors!$B:$B,$B335,Doors!$C:$C,$C335)*SUMIFS(Velocity!$I:$I,Velocity!$A:$A,$A335,Velocity!$B:$B,$C335)/Assumptions!$B$4*Assumptions!$B$6</f>
        <v>0</v>
      </c>
      <c r="AE335" s="7" t="n">
        <f aca="false">SUMIFS(Doors!AQ:AQ,Doors!$A:$A,$D335,Doors!$B:$B,$B335,Doors!$C:$C,$C335)*SUMIFS(Velocity!$I:$I,Velocity!$A:$A,$A335,Velocity!$B:$B,$C335)/Assumptions!$B$4*Assumptions!$B$6</f>
        <v>0</v>
      </c>
      <c r="AF335" s="7" t="n">
        <f aca="false">SUMIFS(Doors!AR:AR,Doors!$A:$A,$D335,Doors!$B:$B,$B335,Doors!$C:$C,$C335)*SUMIFS(Velocity!$I:$I,Velocity!$A:$A,$A335,Velocity!$B:$B,$C335)/Assumptions!$B$4*Assumptions!$B$6</f>
        <v>0</v>
      </c>
      <c r="AG335" s="7" t="n">
        <f aca="false">SUMIFS(Doors!AS:AS,Doors!$A:$A,$D335,Doors!$B:$B,$B335,Doors!$C:$C,$C335)*SUMIFS(Velocity!$I:$I,Velocity!$A:$A,$A335,Velocity!$B:$B,$C335)/Assumptions!$B$4*Assumptions!$B$6</f>
        <v>0</v>
      </c>
      <c r="AH335" s="7" t="n">
        <f aca="false">SUMIFS(Doors!AT:AT,Doors!$A:$A,$D335,Doors!$B:$B,$B335,Doors!$C:$C,$C335)*SUMIFS(Velocity!$I:$I,Velocity!$A:$A,$A335,Velocity!$B:$B,$C335)/Assumptions!$B$4*Assumptions!$B$6</f>
        <v>0</v>
      </c>
      <c r="AI335" s="7" t="n">
        <f aca="false">SUMIFS(Doors!AU:AU,Doors!$A:$A,$D335,Doors!$B:$B,$B335,Doors!$C:$C,$C335)*SUMIFS(Velocity!$I:$I,Velocity!$A:$A,$A335,Velocity!$B:$B,$C335)/Assumptions!$B$4*Assumptions!$B$6</f>
        <v>0</v>
      </c>
      <c r="AJ335" s="7" t="n">
        <f aca="false">SUMIFS(Doors!AV:AV,Doors!$A:$A,$D335,Doors!$B:$B,$B335,Doors!$C:$C,$C335)*SUMIFS(Velocity!$I:$I,Velocity!$A:$A,$A335,Velocity!$B:$B,$C335)/Assumptions!$B$4*Assumptions!$B$6</f>
        <v>0</v>
      </c>
      <c r="AK335" s="7" t="n">
        <f aca="false">SUMIFS(Doors!AW:AW,Doors!$A:$A,$D335,Doors!$B:$B,$B335,Doors!$C:$C,$C335)*SUMIFS(Velocity!$I:$I,Velocity!$A:$A,$A335,Velocity!$B:$B,$C335)/Assumptions!$B$4*Assumptions!$B$6</f>
        <v>0</v>
      </c>
      <c r="AL335" s="7" t="n">
        <f aca="false">SUMIFS(Doors!AX:AX,Doors!$A:$A,$D335,Doors!$B:$B,$B335,Doors!$C:$C,$C335)*SUMIFS(Velocity!$I:$I,Velocity!$A:$A,$A335,Velocity!$B:$B,$C335)/Assumptions!$B$4*Assumptions!$B$6</f>
        <v>0</v>
      </c>
      <c r="AM335" s="7" t="n">
        <f aca="false">SUMIFS(Doors!AY:AY,Doors!$A:$A,$D335,Doors!$B:$B,$B335,Doors!$C:$C,$C335)*SUMIFS(Velocity!$I:$I,Velocity!$A:$A,$A335,Velocity!$B:$B,$C335)/Assumptions!$B$4*Assumptions!$B$6</f>
        <v>0</v>
      </c>
      <c r="AN335" s="7" t="n">
        <f aca="false">SUMIFS(Doors!AZ:AZ,Doors!$A:$A,$D335,Doors!$B:$B,$B335,Doors!$C:$C,$C335)*SUMIFS(Velocity!$I:$I,Velocity!$A:$A,$A335,Velocity!$B:$B,$C335)/Assumptions!$B$4*Assumptions!$B$6</f>
        <v>0</v>
      </c>
      <c r="AO335" s="7" t="n">
        <f aca="false">SUMIFS(Doors!BA:BA,Doors!$A:$A,$D335,Doors!$B:$B,$B335,Doors!$C:$C,$C335)*SUMIFS(Velocity!$I:$I,Velocity!$A:$A,$A335,Velocity!$B:$B,$C335)/Assumptions!$B$4*Assumptions!$B$6</f>
        <v>0</v>
      </c>
      <c r="AP335" s="7" t="n">
        <f aca="false">SUMIFS(Doors!BB:BB,Doors!$A:$A,$D335,Doors!$B:$B,$B335,Doors!$C:$C,$C335)*SUMIFS(Velocity!$I:$I,Velocity!$A:$A,$A335,Velocity!$B:$B,$C335)/Assumptions!$B$4*Assumptions!$B$6</f>
        <v>0</v>
      </c>
      <c r="AQ335" s="7" t="n">
        <f aca="false">SUMIFS(Doors!BC:BC,Doors!$A:$A,$D335,Doors!$B:$B,$B335,Doors!$C:$C,$C335)*SUMIFS(Velocity!$I:$I,Velocity!$A:$A,$A335,Velocity!$B:$B,$C335)/Assumptions!$B$4*Assumptions!$B$6</f>
        <v>0</v>
      </c>
      <c r="AR335" s="7" t="n">
        <f aca="false">SUMIFS(Doors!BD:BD,Doors!$A:$A,$D335,Doors!$B:$B,$B335,Doors!$C:$C,$C335)*SUMIFS(Velocity!$I:$I,Velocity!$A:$A,$A335,Velocity!$B:$B,$C335)/Assumptions!$B$4*Assumptions!$B$6</f>
        <v>0</v>
      </c>
      <c r="AS335" s="7" t="n">
        <f aca="false">SUMIFS(Doors!BE:BE,Doors!$A:$A,$D335,Doors!$B:$B,$B335,Doors!$C:$C,$C335)*SUMIFS(Velocity!$I:$I,Velocity!$A:$A,$A335,Velocity!$B:$B,$C335)/Assumptions!$B$4*Assumptions!$B$6</f>
        <v>0</v>
      </c>
      <c r="AT335" s="7" t="n">
        <f aca="false">SUMIFS(Doors!BF:BF,Doors!$A:$A,$D335,Doors!$B:$B,$B335,Doors!$C:$C,$C335)*SUMIFS(Velocity!$I:$I,Velocity!$A:$A,$A335,Velocity!$B:$B,$C335)/Assumptions!$B$4*Assumptions!$B$6</f>
        <v>0</v>
      </c>
      <c r="AU335" s="7" t="n">
        <f aca="false">SUMIFS(Doors!BG:BG,Doors!$A:$A,$D335,Doors!$B:$B,$B335,Doors!$C:$C,$C335)*SUMIFS(Velocity!$I:$I,Velocity!$A:$A,$A335,Velocity!$B:$B,$C335)/Assumptions!$B$4*Assumptions!$B$6</f>
        <v>0</v>
      </c>
      <c r="AV335" s="7" t="n">
        <f aca="false">SUMIFS(Doors!BH:BH,Doors!$A:$A,$D335,Doors!$B:$B,$B335,Doors!$C:$C,$C335)*SUMIFS(Velocity!$I:$I,Velocity!$A:$A,$A335,Velocity!$B:$B,$C335)/Assumptions!$B$4*Assumptions!$B$6</f>
        <v>0</v>
      </c>
      <c r="AW335" s="7" t="n">
        <f aca="false">SUMIFS(Doors!BI:BI,Doors!$A:$A,$D335,Doors!$B:$B,$B335,Doors!$C:$C,$C335)*SUMIFS(Velocity!$I:$I,Velocity!$A:$A,$A335,Velocity!$B:$B,$C335)/Assumptions!$B$4*Assumptions!$B$6</f>
        <v>0</v>
      </c>
      <c r="AX335" s="7" t="n">
        <f aca="false">SUMIFS(Doors!BJ:BJ,Doors!$A:$A,$D335,Doors!$B:$B,$B335,Doors!$C:$C,$C335)*SUMIFS(Velocity!$I:$I,Velocity!$A:$A,$A335,Velocity!$B:$B,$C335)/Assumptions!$B$4*Assumptions!$B$6</f>
        <v>0</v>
      </c>
      <c r="AY335" s="7" t="n">
        <f aca="false">SUMIFS(Doors!BK:BK,Doors!$A:$A,$D335,Doors!$B:$B,$B335,Doors!$C:$C,$C335)*SUMIFS(Velocity!$I:$I,Velocity!$A:$A,$A335,Velocity!$B:$B,$C335)/Assumptions!$B$4*Assumptions!$B$6</f>
        <v>0</v>
      </c>
      <c r="AZ335" s="7" t="n">
        <f aca="false">SUMIFS(Doors!BL:BL,Doors!$A:$A,$D335,Doors!$B:$B,$B335,Doors!$C:$C,$C335)*SUMIFS(Velocity!$I:$I,Velocity!$A:$A,$A335,Velocity!$B:$B,$C335)/Assumptions!$B$4*Assumptions!$B$6</f>
        <v>0</v>
      </c>
      <c r="BA335" s="7" t="n">
        <f aca="false">SUMIFS(Doors!BM:BM,Doors!$A:$A,$D335,Doors!$B:$B,$B335,Doors!$C:$C,$C335)*SUMIFS(Velocity!$I:$I,Velocity!$A:$A,$A335,Velocity!$B:$B,$C335)/Assumptions!$B$4*Assumptions!$B$6</f>
        <v>0</v>
      </c>
      <c r="BB335" s="7" t="n">
        <f aca="false">SUMIFS(Doors!BN:BN,Doors!$A:$A,$D335,Doors!$B:$B,$B335,Doors!$C:$C,$C335)*SUMIFS(Velocity!$I:$I,Velocity!$A:$A,$A335,Velocity!$B:$B,$C335)/Assumptions!$B$4*Assumptions!$B$6</f>
        <v>0</v>
      </c>
      <c r="BC335" s="7" t="n">
        <f aca="false">SUMIFS(Doors!BO:BO,Doors!$A:$A,$D335,Doors!$B:$B,$B335,Doors!$C:$C,$C335)*SUMIFS(Velocity!$I:$I,Velocity!$A:$A,$A335,Velocity!$B:$B,$C335)/Assumptions!$B$4*Assumptions!$B$6</f>
        <v>0</v>
      </c>
      <c r="BD335" s="7" t="n">
        <f aca="false">SUMIFS(Doors!BP:BP,Doors!$A:$A,$D335,Doors!$B:$B,$B335,Doors!$C:$C,$C335)*SUMIFS(Velocity!$I:$I,Velocity!$A:$A,$A335,Velocity!$B:$B,$C335)/Assumptions!$B$4*Assumptions!$B$6</f>
        <v>0</v>
      </c>
    </row>
    <row r="336" customFormat="false" ht="15" hidden="false" customHeight="false" outlineLevel="0" collapsed="false">
      <c r="A336" s="0" t="s">
        <v>111</v>
      </c>
      <c r="B336" s="0" t="s">
        <v>132</v>
      </c>
      <c r="C336" s="0" t="s">
        <v>121</v>
      </c>
      <c r="D336" s="0" t="s">
        <v>236</v>
      </c>
      <c r="E336" s="7" t="n">
        <f aca="false">SUMIFS(Doors!Q:Q,Doors!$A:$A,$D336,Doors!$B:$B,$B336,Doors!$C:$C,$C336)*SUMIFS(Velocity!$I:$I,Velocity!$A:$A,$A336,Velocity!$B:$B,$C336)/Assumptions!$B$4*Assumptions!$B$6</f>
        <v>0</v>
      </c>
      <c r="F336" s="7" t="n">
        <f aca="false">SUMIFS(Doors!R:R,Doors!$A:$A,$D336,Doors!$B:$B,$B336,Doors!$C:$C,$C336)*SUMIFS(Velocity!$I:$I,Velocity!$A:$A,$A336,Velocity!$B:$B,$C336)/Assumptions!$B$4*Assumptions!$B$6</f>
        <v>0</v>
      </c>
      <c r="G336" s="7" t="n">
        <f aca="false">SUMIFS(Doors!S:S,Doors!$A:$A,$D336,Doors!$B:$B,$B336,Doors!$C:$C,$C336)*SUMIFS(Velocity!$I:$I,Velocity!$A:$A,$A336,Velocity!$B:$B,$C336)/Assumptions!$B$4*Assumptions!$B$6</f>
        <v>0</v>
      </c>
      <c r="H336" s="7" t="n">
        <f aca="false">SUMIFS(Doors!T:T,Doors!$A:$A,$D336,Doors!$B:$B,$B336,Doors!$C:$C,$C336)*SUMIFS(Velocity!$I:$I,Velocity!$A:$A,$A336,Velocity!$B:$B,$C336)/Assumptions!$B$4*Assumptions!$B$6</f>
        <v>0</v>
      </c>
      <c r="I336" s="7" t="n">
        <f aca="false">SUMIFS(Doors!U:U,Doors!$A:$A,$D336,Doors!$B:$B,$B336,Doors!$C:$C,$C336)*SUMIFS(Velocity!$I:$I,Velocity!$A:$A,$A336,Velocity!$B:$B,$C336)/Assumptions!$B$4*Assumptions!$B$6</f>
        <v>0</v>
      </c>
      <c r="J336" s="7" t="n">
        <f aca="false">SUMIFS(Doors!V:V,Doors!$A:$A,$D336,Doors!$B:$B,$B336,Doors!$C:$C,$C336)*SUMIFS(Velocity!$I:$I,Velocity!$A:$A,$A336,Velocity!$B:$B,$C336)/Assumptions!$B$4*Assumptions!$B$6</f>
        <v>0</v>
      </c>
      <c r="K336" s="7" t="n">
        <f aca="false">SUMIFS(Doors!W:W,Doors!$A:$A,$D336,Doors!$B:$B,$B336,Doors!$C:$C,$C336)*SUMIFS(Velocity!$I:$I,Velocity!$A:$A,$A336,Velocity!$B:$B,$C336)/Assumptions!$B$4*Assumptions!$B$6</f>
        <v>0</v>
      </c>
      <c r="L336" s="7" t="n">
        <f aca="false">SUMIFS(Doors!X:X,Doors!$A:$A,$D336,Doors!$B:$B,$B336,Doors!$C:$C,$C336)*SUMIFS(Velocity!$I:$I,Velocity!$A:$A,$A336,Velocity!$B:$B,$C336)/Assumptions!$B$4*Assumptions!$B$6</f>
        <v>0</v>
      </c>
      <c r="M336" s="7" t="n">
        <f aca="false">SUMIFS(Doors!Y:Y,Doors!$A:$A,$D336,Doors!$B:$B,$B336,Doors!$C:$C,$C336)*SUMIFS(Velocity!$I:$I,Velocity!$A:$A,$A336,Velocity!$B:$B,$C336)/Assumptions!$B$4*Assumptions!$B$6</f>
        <v>0</v>
      </c>
      <c r="N336" s="7" t="n">
        <f aca="false">SUMIFS(Doors!Z:Z,Doors!$A:$A,$D336,Doors!$B:$B,$B336,Doors!$C:$C,$C336)*SUMIFS(Velocity!$I:$I,Velocity!$A:$A,$A336,Velocity!$B:$B,$C336)/Assumptions!$B$4*Assumptions!$B$6</f>
        <v>0</v>
      </c>
      <c r="O336" s="7" t="n">
        <f aca="false">SUMIFS(Doors!AA:AA,Doors!$A:$A,$D336,Doors!$B:$B,$B336,Doors!$C:$C,$C336)*SUMIFS(Velocity!$I:$I,Velocity!$A:$A,$A336,Velocity!$B:$B,$C336)/Assumptions!$B$4*Assumptions!$B$6</f>
        <v>0</v>
      </c>
      <c r="P336" s="7" t="n">
        <f aca="false">SUMIFS(Doors!AB:AB,Doors!$A:$A,$D336,Doors!$B:$B,$B336,Doors!$C:$C,$C336)*SUMIFS(Velocity!$I:$I,Velocity!$A:$A,$A336,Velocity!$B:$B,$C336)/Assumptions!$B$4*Assumptions!$B$6</f>
        <v>0</v>
      </c>
      <c r="Q336" s="7" t="n">
        <f aca="false">SUMIFS(Doors!AC:AC,Doors!$A:$A,$D336,Doors!$B:$B,$B336,Doors!$C:$C,$C336)*SUMIFS(Velocity!$I:$I,Velocity!$A:$A,$A336,Velocity!$B:$B,$C336)/Assumptions!$B$4*Assumptions!$B$6</f>
        <v>0</v>
      </c>
      <c r="R336" s="7" t="n">
        <f aca="false">SUMIFS(Doors!AD:AD,Doors!$A:$A,$D336,Doors!$B:$B,$B336,Doors!$C:$C,$C336)*SUMIFS(Velocity!$I:$I,Velocity!$A:$A,$A336,Velocity!$B:$B,$C336)/Assumptions!$B$4*Assumptions!$B$6</f>
        <v>0</v>
      </c>
      <c r="S336" s="7" t="n">
        <f aca="false">SUMIFS(Doors!AE:AE,Doors!$A:$A,$D336,Doors!$B:$B,$B336,Doors!$C:$C,$C336)*SUMIFS(Velocity!$I:$I,Velocity!$A:$A,$A336,Velocity!$B:$B,$C336)/Assumptions!$B$4*Assumptions!$B$6</f>
        <v>0</v>
      </c>
      <c r="T336" s="7" t="n">
        <f aca="false">SUMIFS(Doors!AF:AF,Doors!$A:$A,$D336,Doors!$B:$B,$B336,Doors!$C:$C,$C336)*SUMIFS(Velocity!$I:$I,Velocity!$A:$A,$A336,Velocity!$B:$B,$C336)/Assumptions!$B$4*Assumptions!$B$6</f>
        <v>0</v>
      </c>
      <c r="U336" s="7" t="n">
        <f aca="false">SUMIFS(Doors!AG:AG,Doors!$A:$A,$D336,Doors!$B:$B,$B336,Doors!$C:$C,$C336)*SUMIFS(Velocity!$I:$I,Velocity!$A:$A,$A336,Velocity!$B:$B,$C336)/Assumptions!$B$4*Assumptions!$B$6</f>
        <v>0</v>
      </c>
      <c r="V336" s="7" t="n">
        <f aca="false">SUMIFS(Doors!AH:AH,Doors!$A:$A,$D336,Doors!$B:$B,$B336,Doors!$C:$C,$C336)*SUMIFS(Velocity!$I:$I,Velocity!$A:$A,$A336,Velocity!$B:$B,$C336)/Assumptions!$B$4*Assumptions!$B$6</f>
        <v>0</v>
      </c>
      <c r="W336" s="7" t="n">
        <f aca="false">SUMIFS(Doors!AI:AI,Doors!$A:$A,$D336,Doors!$B:$B,$B336,Doors!$C:$C,$C336)*SUMIFS(Velocity!$I:$I,Velocity!$A:$A,$A336,Velocity!$B:$B,$C336)/Assumptions!$B$4*Assumptions!$B$6</f>
        <v>0</v>
      </c>
      <c r="X336" s="7" t="n">
        <f aca="false">SUMIFS(Doors!AJ:AJ,Doors!$A:$A,$D336,Doors!$B:$B,$B336,Doors!$C:$C,$C336)*SUMIFS(Velocity!$I:$I,Velocity!$A:$A,$A336,Velocity!$B:$B,$C336)/Assumptions!$B$4*Assumptions!$B$6</f>
        <v>0</v>
      </c>
      <c r="Y336" s="7" t="n">
        <f aca="false">SUMIFS(Doors!AK:AK,Doors!$A:$A,$D336,Doors!$B:$B,$B336,Doors!$C:$C,$C336)*SUMIFS(Velocity!$I:$I,Velocity!$A:$A,$A336,Velocity!$B:$B,$C336)/Assumptions!$B$4*Assumptions!$B$6</f>
        <v>0</v>
      </c>
      <c r="Z336" s="7" t="n">
        <f aca="false">SUMIFS(Doors!AL:AL,Doors!$A:$A,$D336,Doors!$B:$B,$B336,Doors!$C:$C,$C336)*SUMIFS(Velocity!$I:$I,Velocity!$A:$A,$A336,Velocity!$B:$B,$C336)/Assumptions!$B$4*Assumptions!$B$6</f>
        <v>0</v>
      </c>
      <c r="AA336" s="7" t="n">
        <f aca="false">SUMIFS(Doors!AM:AM,Doors!$A:$A,$D336,Doors!$B:$B,$B336,Doors!$C:$C,$C336)*SUMIFS(Velocity!$I:$I,Velocity!$A:$A,$A336,Velocity!$B:$B,$C336)/Assumptions!$B$4*Assumptions!$B$6</f>
        <v>0</v>
      </c>
      <c r="AB336" s="7" t="n">
        <f aca="false">SUMIFS(Doors!AN:AN,Doors!$A:$A,$D336,Doors!$B:$B,$B336,Doors!$C:$C,$C336)*SUMIFS(Velocity!$I:$I,Velocity!$A:$A,$A336,Velocity!$B:$B,$C336)/Assumptions!$B$4*Assumptions!$B$6</f>
        <v>0</v>
      </c>
      <c r="AC336" s="7" t="n">
        <f aca="false">SUMIFS(Doors!AO:AO,Doors!$A:$A,$D336,Doors!$B:$B,$B336,Doors!$C:$C,$C336)*SUMIFS(Velocity!$I:$I,Velocity!$A:$A,$A336,Velocity!$B:$B,$C336)/Assumptions!$B$4*Assumptions!$B$6</f>
        <v>0</v>
      </c>
      <c r="AD336" s="7" t="n">
        <f aca="false">SUMIFS(Doors!AP:AP,Doors!$A:$A,$D336,Doors!$B:$B,$B336,Doors!$C:$C,$C336)*SUMIFS(Velocity!$I:$I,Velocity!$A:$A,$A336,Velocity!$B:$B,$C336)/Assumptions!$B$4*Assumptions!$B$6</f>
        <v>0</v>
      </c>
      <c r="AE336" s="7" t="n">
        <f aca="false">SUMIFS(Doors!AQ:AQ,Doors!$A:$A,$D336,Doors!$B:$B,$B336,Doors!$C:$C,$C336)*SUMIFS(Velocity!$I:$I,Velocity!$A:$A,$A336,Velocity!$B:$B,$C336)/Assumptions!$B$4*Assumptions!$B$6</f>
        <v>0</v>
      </c>
      <c r="AF336" s="7" t="n">
        <f aca="false">SUMIFS(Doors!AR:AR,Doors!$A:$A,$D336,Doors!$B:$B,$B336,Doors!$C:$C,$C336)*SUMIFS(Velocity!$I:$I,Velocity!$A:$A,$A336,Velocity!$B:$B,$C336)/Assumptions!$B$4*Assumptions!$B$6</f>
        <v>0</v>
      </c>
      <c r="AG336" s="7" t="n">
        <f aca="false">SUMIFS(Doors!AS:AS,Doors!$A:$A,$D336,Doors!$B:$B,$B336,Doors!$C:$C,$C336)*SUMIFS(Velocity!$I:$I,Velocity!$A:$A,$A336,Velocity!$B:$B,$C336)/Assumptions!$B$4*Assumptions!$B$6</f>
        <v>0</v>
      </c>
      <c r="AH336" s="7" t="n">
        <f aca="false">SUMIFS(Doors!AT:AT,Doors!$A:$A,$D336,Doors!$B:$B,$B336,Doors!$C:$C,$C336)*SUMIFS(Velocity!$I:$I,Velocity!$A:$A,$A336,Velocity!$B:$B,$C336)/Assumptions!$B$4*Assumptions!$B$6</f>
        <v>0</v>
      </c>
      <c r="AI336" s="7" t="n">
        <f aca="false">SUMIFS(Doors!AU:AU,Doors!$A:$A,$D336,Doors!$B:$B,$B336,Doors!$C:$C,$C336)*SUMIFS(Velocity!$I:$I,Velocity!$A:$A,$A336,Velocity!$B:$B,$C336)/Assumptions!$B$4*Assumptions!$B$6</f>
        <v>0</v>
      </c>
      <c r="AJ336" s="7" t="n">
        <f aca="false">SUMIFS(Doors!AV:AV,Doors!$A:$A,$D336,Doors!$B:$B,$B336,Doors!$C:$C,$C336)*SUMIFS(Velocity!$I:$I,Velocity!$A:$A,$A336,Velocity!$B:$B,$C336)/Assumptions!$B$4*Assumptions!$B$6</f>
        <v>0</v>
      </c>
      <c r="AK336" s="7" t="n">
        <f aca="false">SUMIFS(Doors!AW:AW,Doors!$A:$A,$D336,Doors!$B:$B,$B336,Doors!$C:$C,$C336)*SUMIFS(Velocity!$I:$I,Velocity!$A:$A,$A336,Velocity!$B:$B,$C336)/Assumptions!$B$4*Assumptions!$B$6</f>
        <v>0</v>
      </c>
      <c r="AL336" s="7" t="n">
        <f aca="false">SUMIFS(Doors!AX:AX,Doors!$A:$A,$D336,Doors!$B:$B,$B336,Doors!$C:$C,$C336)*SUMIFS(Velocity!$I:$I,Velocity!$A:$A,$A336,Velocity!$B:$B,$C336)/Assumptions!$B$4*Assumptions!$B$6</f>
        <v>0</v>
      </c>
      <c r="AM336" s="7" t="n">
        <f aca="false">SUMIFS(Doors!AY:AY,Doors!$A:$A,$D336,Doors!$B:$B,$B336,Doors!$C:$C,$C336)*SUMIFS(Velocity!$I:$I,Velocity!$A:$A,$A336,Velocity!$B:$B,$C336)/Assumptions!$B$4*Assumptions!$B$6</f>
        <v>0</v>
      </c>
      <c r="AN336" s="7" t="n">
        <f aca="false">SUMIFS(Doors!AZ:AZ,Doors!$A:$A,$D336,Doors!$B:$B,$B336,Doors!$C:$C,$C336)*SUMIFS(Velocity!$I:$I,Velocity!$A:$A,$A336,Velocity!$B:$B,$C336)/Assumptions!$B$4*Assumptions!$B$6</f>
        <v>0</v>
      </c>
      <c r="AO336" s="7" t="n">
        <f aca="false">SUMIFS(Doors!BA:BA,Doors!$A:$A,$D336,Doors!$B:$B,$B336,Doors!$C:$C,$C336)*SUMIFS(Velocity!$I:$I,Velocity!$A:$A,$A336,Velocity!$B:$B,$C336)/Assumptions!$B$4*Assumptions!$B$6</f>
        <v>0</v>
      </c>
      <c r="AP336" s="7" t="n">
        <f aca="false">SUMIFS(Doors!BB:BB,Doors!$A:$A,$D336,Doors!$B:$B,$B336,Doors!$C:$C,$C336)*SUMIFS(Velocity!$I:$I,Velocity!$A:$A,$A336,Velocity!$B:$B,$C336)/Assumptions!$B$4*Assumptions!$B$6</f>
        <v>0</v>
      </c>
      <c r="AQ336" s="7" t="n">
        <f aca="false">SUMIFS(Doors!BC:BC,Doors!$A:$A,$D336,Doors!$B:$B,$B336,Doors!$C:$C,$C336)*SUMIFS(Velocity!$I:$I,Velocity!$A:$A,$A336,Velocity!$B:$B,$C336)/Assumptions!$B$4*Assumptions!$B$6</f>
        <v>0</v>
      </c>
      <c r="AR336" s="7" t="n">
        <f aca="false">SUMIFS(Doors!BD:BD,Doors!$A:$A,$D336,Doors!$B:$B,$B336,Doors!$C:$C,$C336)*SUMIFS(Velocity!$I:$I,Velocity!$A:$A,$A336,Velocity!$B:$B,$C336)/Assumptions!$B$4*Assumptions!$B$6</f>
        <v>0</v>
      </c>
      <c r="AS336" s="7" t="n">
        <f aca="false">SUMIFS(Doors!BE:BE,Doors!$A:$A,$D336,Doors!$B:$B,$B336,Doors!$C:$C,$C336)*SUMIFS(Velocity!$I:$I,Velocity!$A:$A,$A336,Velocity!$B:$B,$C336)/Assumptions!$B$4*Assumptions!$B$6</f>
        <v>0</v>
      </c>
      <c r="AT336" s="7" t="n">
        <f aca="false">SUMIFS(Doors!BF:BF,Doors!$A:$A,$D336,Doors!$B:$B,$B336,Doors!$C:$C,$C336)*SUMIFS(Velocity!$I:$I,Velocity!$A:$A,$A336,Velocity!$B:$B,$C336)/Assumptions!$B$4*Assumptions!$B$6</f>
        <v>0</v>
      </c>
      <c r="AU336" s="7" t="n">
        <f aca="false">SUMIFS(Doors!BG:BG,Doors!$A:$A,$D336,Doors!$B:$B,$B336,Doors!$C:$C,$C336)*SUMIFS(Velocity!$I:$I,Velocity!$A:$A,$A336,Velocity!$B:$B,$C336)/Assumptions!$B$4*Assumptions!$B$6</f>
        <v>0</v>
      </c>
      <c r="AV336" s="7" t="n">
        <f aca="false">SUMIFS(Doors!BH:BH,Doors!$A:$A,$D336,Doors!$B:$B,$B336,Doors!$C:$C,$C336)*SUMIFS(Velocity!$I:$I,Velocity!$A:$A,$A336,Velocity!$B:$B,$C336)/Assumptions!$B$4*Assumptions!$B$6</f>
        <v>0</v>
      </c>
      <c r="AW336" s="7" t="n">
        <f aca="false">SUMIFS(Doors!BI:BI,Doors!$A:$A,$D336,Doors!$B:$B,$B336,Doors!$C:$C,$C336)*SUMIFS(Velocity!$I:$I,Velocity!$A:$A,$A336,Velocity!$B:$B,$C336)/Assumptions!$B$4*Assumptions!$B$6</f>
        <v>0</v>
      </c>
      <c r="AX336" s="7" t="n">
        <f aca="false">SUMIFS(Doors!BJ:BJ,Doors!$A:$A,$D336,Doors!$B:$B,$B336,Doors!$C:$C,$C336)*SUMIFS(Velocity!$I:$I,Velocity!$A:$A,$A336,Velocity!$B:$B,$C336)/Assumptions!$B$4*Assumptions!$B$6</f>
        <v>0</v>
      </c>
      <c r="AY336" s="7" t="n">
        <f aca="false">SUMIFS(Doors!BK:BK,Doors!$A:$A,$D336,Doors!$B:$B,$B336,Doors!$C:$C,$C336)*SUMIFS(Velocity!$I:$I,Velocity!$A:$A,$A336,Velocity!$B:$B,$C336)/Assumptions!$B$4*Assumptions!$B$6</f>
        <v>0</v>
      </c>
      <c r="AZ336" s="7" t="n">
        <f aca="false">SUMIFS(Doors!BL:BL,Doors!$A:$A,$D336,Doors!$B:$B,$B336,Doors!$C:$C,$C336)*SUMIFS(Velocity!$I:$I,Velocity!$A:$A,$A336,Velocity!$B:$B,$C336)/Assumptions!$B$4*Assumptions!$B$6</f>
        <v>0</v>
      </c>
      <c r="BA336" s="7" t="n">
        <f aca="false">SUMIFS(Doors!BM:BM,Doors!$A:$A,$D336,Doors!$B:$B,$B336,Doors!$C:$C,$C336)*SUMIFS(Velocity!$I:$I,Velocity!$A:$A,$A336,Velocity!$B:$B,$C336)/Assumptions!$B$4*Assumptions!$B$6</f>
        <v>0</v>
      </c>
      <c r="BB336" s="7" t="n">
        <f aca="false">SUMIFS(Doors!BN:BN,Doors!$A:$A,$D336,Doors!$B:$B,$B336,Doors!$C:$C,$C336)*SUMIFS(Velocity!$I:$I,Velocity!$A:$A,$A336,Velocity!$B:$B,$C336)/Assumptions!$B$4*Assumptions!$B$6</f>
        <v>0</v>
      </c>
      <c r="BC336" s="7" t="n">
        <f aca="false">SUMIFS(Doors!BO:BO,Doors!$A:$A,$D336,Doors!$B:$B,$B336,Doors!$C:$C,$C336)*SUMIFS(Velocity!$I:$I,Velocity!$A:$A,$A336,Velocity!$B:$B,$C336)/Assumptions!$B$4*Assumptions!$B$6</f>
        <v>0</v>
      </c>
      <c r="BD336" s="7" t="n">
        <f aca="false">SUMIFS(Doors!BP:BP,Doors!$A:$A,$D336,Doors!$B:$B,$B336,Doors!$C:$C,$C336)*SUMIFS(Velocity!$I:$I,Velocity!$A:$A,$A336,Velocity!$B:$B,$C336)/Assumptions!$B$4*Assumptions!$B$6</f>
        <v>0</v>
      </c>
    </row>
    <row r="337" customFormat="false" ht="15" hidden="false" customHeight="false" outlineLevel="0" collapsed="false">
      <c r="A337" s="0" t="s">
        <v>111</v>
      </c>
      <c r="B337" s="0" t="s">
        <v>132</v>
      </c>
      <c r="C337" s="0" t="s">
        <v>122</v>
      </c>
      <c r="D337" s="0" t="s">
        <v>236</v>
      </c>
      <c r="E337" s="7" t="n">
        <f aca="false">SUMIFS(Doors!Q:Q,Doors!$A:$A,$D337,Doors!$B:$B,$B337,Doors!$C:$C,$C337)*SUMIFS(Velocity!$I:$I,Velocity!$A:$A,$A337,Velocity!$B:$B,$C337)/Assumptions!$B$4*Assumptions!$B$6</f>
        <v>0</v>
      </c>
      <c r="F337" s="7" t="n">
        <f aca="false">SUMIFS(Doors!R:R,Doors!$A:$A,$D337,Doors!$B:$B,$B337,Doors!$C:$C,$C337)*SUMIFS(Velocity!$I:$I,Velocity!$A:$A,$A337,Velocity!$B:$B,$C337)/Assumptions!$B$4*Assumptions!$B$6</f>
        <v>0</v>
      </c>
      <c r="G337" s="7" t="n">
        <f aca="false">SUMIFS(Doors!S:S,Doors!$A:$A,$D337,Doors!$B:$B,$B337,Doors!$C:$C,$C337)*SUMIFS(Velocity!$I:$I,Velocity!$A:$A,$A337,Velocity!$B:$B,$C337)/Assumptions!$B$4*Assumptions!$B$6</f>
        <v>0</v>
      </c>
      <c r="H337" s="7" t="n">
        <f aca="false">SUMIFS(Doors!T:T,Doors!$A:$A,$D337,Doors!$B:$B,$B337,Doors!$C:$C,$C337)*SUMIFS(Velocity!$I:$I,Velocity!$A:$A,$A337,Velocity!$B:$B,$C337)/Assumptions!$B$4*Assumptions!$B$6</f>
        <v>0</v>
      </c>
      <c r="I337" s="7" t="n">
        <f aca="false">SUMIFS(Doors!U:U,Doors!$A:$A,$D337,Doors!$B:$B,$B337,Doors!$C:$C,$C337)*SUMIFS(Velocity!$I:$I,Velocity!$A:$A,$A337,Velocity!$B:$B,$C337)/Assumptions!$B$4*Assumptions!$B$6</f>
        <v>0</v>
      </c>
      <c r="J337" s="7" t="n">
        <f aca="false">SUMIFS(Doors!V:V,Doors!$A:$A,$D337,Doors!$B:$B,$B337,Doors!$C:$C,$C337)*SUMIFS(Velocity!$I:$I,Velocity!$A:$A,$A337,Velocity!$B:$B,$C337)/Assumptions!$B$4*Assumptions!$B$6</f>
        <v>0</v>
      </c>
      <c r="K337" s="7" t="n">
        <f aca="false">SUMIFS(Doors!W:W,Doors!$A:$A,$D337,Doors!$B:$B,$B337,Doors!$C:$C,$C337)*SUMIFS(Velocity!$I:$I,Velocity!$A:$A,$A337,Velocity!$B:$B,$C337)/Assumptions!$B$4*Assumptions!$B$6</f>
        <v>0</v>
      </c>
      <c r="L337" s="7" t="n">
        <f aca="false">SUMIFS(Doors!X:X,Doors!$A:$A,$D337,Doors!$B:$B,$B337,Doors!$C:$C,$C337)*SUMIFS(Velocity!$I:$I,Velocity!$A:$A,$A337,Velocity!$B:$B,$C337)/Assumptions!$B$4*Assumptions!$B$6</f>
        <v>0</v>
      </c>
      <c r="M337" s="7" t="n">
        <f aca="false">SUMIFS(Doors!Y:Y,Doors!$A:$A,$D337,Doors!$B:$B,$B337,Doors!$C:$C,$C337)*SUMIFS(Velocity!$I:$I,Velocity!$A:$A,$A337,Velocity!$B:$B,$C337)/Assumptions!$B$4*Assumptions!$B$6</f>
        <v>0</v>
      </c>
      <c r="N337" s="7" t="n">
        <f aca="false">SUMIFS(Doors!Z:Z,Doors!$A:$A,$D337,Doors!$B:$B,$B337,Doors!$C:$C,$C337)*SUMIFS(Velocity!$I:$I,Velocity!$A:$A,$A337,Velocity!$B:$B,$C337)/Assumptions!$B$4*Assumptions!$B$6</f>
        <v>0</v>
      </c>
      <c r="O337" s="7" t="n">
        <f aca="false">SUMIFS(Doors!AA:AA,Doors!$A:$A,$D337,Doors!$B:$B,$B337,Doors!$C:$C,$C337)*SUMIFS(Velocity!$I:$I,Velocity!$A:$A,$A337,Velocity!$B:$B,$C337)/Assumptions!$B$4*Assumptions!$B$6</f>
        <v>0</v>
      </c>
      <c r="P337" s="7" t="n">
        <f aca="false">SUMIFS(Doors!AB:AB,Doors!$A:$A,$D337,Doors!$B:$B,$B337,Doors!$C:$C,$C337)*SUMIFS(Velocity!$I:$I,Velocity!$A:$A,$A337,Velocity!$B:$B,$C337)/Assumptions!$B$4*Assumptions!$B$6</f>
        <v>0</v>
      </c>
      <c r="Q337" s="7" t="n">
        <f aca="false">SUMIFS(Doors!AC:AC,Doors!$A:$A,$D337,Doors!$B:$B,$B337,Doors!$C:$C,$C337)*SUMIFS(Velocity!$I:$I,Velocity!$A:$A,$A337,Velocity!$B:$B,$C337)/Assumptions!$B$4*Assumptions!$B$6</f>
        <v>0</v>
      </c>
      <c r="R337" s="7" t="n">
        <f aca="false">SUMIFS(Doors!AD:AD,Doors!$A:$A,$D337,Doors!$B:$B,$B337,Doors!$C:$C,$C337)*SUMIFS(Velocity!$I:$I,Velocity!$A:$A,$A337,Velocity!$B:$B,$C337)/Assumptions!$B$4*Assumptions!$B$6</f>
        <v>0</v>
      </c>
      <c r="S337" s="7" t="n">
        <f aca="false">SUMIFS(Doors!AE:AE,Doors!$A:$A,$D337,Doors!$B:$B,$B337,Doors!$C:$C,$C337)*SUMIFS(Velocity!$I:$I,Velocity!$A:$A,$A337,Velocity!$B:$B,$C337)/Assumptions!$B$4*Assumptions!$B$6</f>
        <v>0</v>
      </c>
      <c r="T337" s="7" t="n">
        <f aca="false">SUMIFS(Doors!AF:AF,Doors!$A:$A,$D337,Doors!$B:$B,$B337,Doors!$C:$C,$C337)*SUMIFS(Velocity!$I:$I,Velocity!$A:$A,$A337,Velocity!$B:$B,$C337)/Assumptions!$B$4*Assumptions!$B$6</f>
        <v>0</v>
      </c>
      <c r="U337" s="7" t="n">
        <f aca="false">SUMIFS(Doors!AG:AG,Doors!$A:$A,$D337,Doors!$B:$B,$B337,Doors!$C:$C,$C337)*SUMIFS(Velocity!$I:$I,Velocity!$A:$A,$A337,Velocity!$B:$B,$C337)/Assumptions!$B$4*Assumptions!$B$6</f>
        <v>0</v>
      </c>
      <c r="V337" s="7" t="n">
        <f aca="false">SUMIFS(Doors!AH:AH,Doors!$A:$A,$D337,Doors!$B:$B,$B337,Doors!$C:$C,$C337)*SUMIFS(Velocity!$I:$I,Velocity!$A:$A,$A337,Velocity!$B:$B,$C337)/Assumptions!$B$4*Assumptions!$B$6</f>
        <v>0</v>
      </c>
      <c r="W337" s="7" t="n">
        <f aca="false">SUMIFS(Doors!AI:AI,Doors!$A:$A,$D337,Doors!$B:$B,$B337,Doors!$C:$C,$C337)*SUMIFS(Velocity!$I:$I,Velocity!$A:$A,$A337,Velocity!$B:$B,$C337)/Assumptions!$B$4*Assumptions!$B$6</f>
        <v>0</v>
      </c>
      <c r="X337" s="7" t="n">
        <f aca="false">SUMIFS(Doors!AJ:AJ,Doors!$A:$A,$D337,Doors!$B:$B,$B337,Doors!$C:$C,$C337)*SUMIFS(Velocity!$I:$I,Velocity!$A:$A,$A337,Velocity!$B:$B,$C337)/Assumptions!$B$4*Assumptions!$B$6</f>
        <v>0</v>
      </c>
      <c r="Y337" s="7" t="n">
        <f aca="false">SUMIFS(Doors!AK:AK,Doors!$A:$A,$D337,Doors!$B:$B,$B337,Doors!$C:$C,$C337)*SUMIFS(Velocity!$I:$I,Velocity!$A:$A,$A337,Velocity!$B:$B,$C337)/Assumptions!$B$4*Assumptions!$B$6</f>
        <v>0</v>
      </c>
      <c r="Z337" s="7" t="n">
        <f aca="false">SUMIFS(Doors!AL:AL,Doors!$A:$A,$D337,Doors!$B:$B,$B337,Doors!$C:$C,$C337)*SUMIFS(Velocity!$I:$I,Velocity!$A:$A,$A337,Velocity!$B:$B,$C337)/Assumptions!$B$4*Assumptions!$B$6</f>
        <v>0</v>
      </c>
      <c r="AA337" s="7" t="n">
        <f aca="false">SUMIFS(Doors!AM:AM,Doors!$A:$A,$D337,Doors!$B:$B,$B337,Doors!$C:$C,$C337)*SUMIFS(Velocity!$I:$I,Velocity!$A:$A,$A337,Velocity!$B:$B,$C337)/Assumptions!$B$4*Assumptions!$B$6</f>
        <v>0</v>
      </c>
      <c r="AB337" s="7" t="n">
        <f aca="false">SUMIFS(Doors!AN:AN,Doors!$A:$A,$D337,Doors!$B:$B,$B337,Doors!$C:$C,$C337)*SUMIFS(Velocity!$I:$I,Velocity!$A:$A,$A337,Velocity!$B:$B,$C337)/Assumptions!$B$4*Assumptions!$B$6</f>
        <v>0</v>
      </c>
      <c r="AC337" s="7" t="n">
        <f aca="false">SUMIFS(Doors!AO:AO,Doors!$A:$A,$D337,Doors!$B:$B,$B337,Doors!$C:$C,$C337)*SUMIFS(Velocity!$I:$I,Velocity!$A:$A,$A337,Velocity!$B:$B,$C337)/Assumptions!$B$4*Assumptions!$B$6</f>
        <v>0</v>
      </c>
      <c r="AD337" s="7" t="n">
        <f aca="false">SUMIFS(Doors!AP:AP,Doors!$A:$A,$D337,Doors!$B:$B,$B337,Doors!$C:$C,$C337)*SUMIFS(Velocity!$I:$I,Velocity!$A:$A,$A337,Velocity!$B:$B,$C337)/Assumptions!$B$4*Assumptions!$B$6</f>
        <v>0</v>
      </c>
      <c r="AE337" s="7" t="n">
        <f aca="false">SUMIFS(Doors!AQ:AQ,Doors!$A:$A,$D337,Doors!$B:$B,$B337,Doors!$C:$C,$C337)*SUMIFS(Velocity!$I:$I,Velocity!$A:$A,$A337,Velocity!$B:$B,$C337)/Assumptions!$B$4*Assumptions!$B$6</f>
        <v>0</v>
      </c>
      <c r="AF337" s="7" t="n">
        <f aca="false">SUMIFS(Doors!AR:AR,Doors!$A:$A,$D337,Doors!$B:$B,$B337,Doors!$C:$C,$C337)*SUMIFS(Velocity!$I:$I,Velocity!$A:$A,$A337,Velocity!$B:$B,$C337)/Assumptions!$B$4*Assumptions!$B$6</f>
        <v>0</v>
      </c>
      <c r="AG337" s="7" t="n">
        <f aca="false">SUMIFS(Doors!AS:AS,Doors!$A:$A,$D337,Doors!$B:$B,$B337,Doors!$C:$C,$C337)*SUMIFS(Velocity!$I:$I,Velocity!$A:$A,$A337,Velocity!$B:$B,$C337)/Assumptions!$B$4*Assumptions!$B$6</f>
        <v>0</v>
      </c>
      <c r="AH337" s="7" t="n">
        <f aca="false">SUMIFS(Doors!AT:AT,Doors!$A:$A,$D337,Doors!$B:$B,$B337,Doors!$C:$C,$C337)*SUMIFS(Velocity!$I:$I,Velocity!$A:$A,$A337,Velocity!$B:$B,$C337)/Assumptions!$B$4*Assumptions!$B$6</f>
        <v>0</v>
      </c>
      <c r="AI337" s="7" t="n">
        <f aca="false">SUMIFS(Doors!AU:AU,Doors!$A:$A,$D337,Doors!$B:$B,$B337,Doors!$C:$C,$C337)*SUMIFS(Velocity!$I:$I,Velocity!$A:$A,$A337,Velocity!$B:$B,$C337)/Assumptions!$B$4*Assumptions!$B$6</f>
        <v>0</v>
      </c>
      <c r="AJ337" s="7" t="n">
        <f aca="false">SUMIFS(Doors!AV:AV,Doors!$A:$A,$D337,Doors!$B:$B,$B337,Doors!$C:$C,$C337)*SUMIFS(Velocity!$I:$I,Velocity!$A:$A,$A337,Velocity!$B:$B,$C337)/Assumptions!$B$4*Assumptions!$B$6</f>
        <v>0</v>
      </c>
      <c r="AK337" s="7" t="n">
        <f aca="false">SUMIFS(Doors!AW:AW,Doors!$A:$A,$D337,Doors!$B:$B,$B337,Doors!$C:$C,$C337)*SUMIFS(Velocity!$I:$I,Velocity!$A:$A,$A337,Velocity!$B:$B,$C337)/Assumptions!$B$4*Assumptions!$B$6</f>
        <v>0</v>
      </c>
      <c r="AL337" s="7" t="n">
        <f aca="false">SUMIFS(Doors!AX:AX,Doors!$A:$A,$D337,Doors!$B:$B,$B337,Doors!$C:$C,$C337)*SUMIFS(Velocity!$I:$I,Velocity!$A:$A,$A337,Velocity!$B:$B,$C337)/Assumptions!$B$4*Assumptions!$B$6</f>
        <v>0</v>
      </c>
      <c r="AM337" s="7" t="n">
        <f aca="false">SUMIFS(Doors!AY:AY,Doors!$A:$A,$D337,Doors!$B:$B,$B337,Doors!$C:$C,$C337)*SUMIFS(Velocity!$I:$I,Velocity!$A:$A,$A337,Velocity!$B:$B,$C337)/Assumptions!$B$4*Assumptions!$B$6</f>
        <v>0</v>
      </c>
      <c r="AN337" s="7" t="n">
        <f aca="false">SUMIFS(Doors!AZ:AZ,Doors!$A:$A,$D337,Doors!$B:$B,$B337,Doors!$C:$C,$C337)*SUMIFS(Velocity!$I:$I,Velocity!$A:$A,$A337,Velocity!$B:$B,$C337)/Assumptions!$B$4*Assumptions!$B$6</f>
        <v>0</v>
      </c>
      <c r="AO337" s="7" t="n">
        <f aca="false">SUMIFS(Doors!BA:BA,Doors!$A:$A,$D337,Doors!$B:$B,$B337,Doors!$C:$C,$C337)*SUMIFS(Velocity!$I:$I,Velocity!$A:$A,$A337,Velocity!$B:$B,$C337)/Assumptions!$B$4*Assumptions!$B$6</f>
        <v>0</v>
      </c>
      <c r="AP337" s="7" t="n">
        <f aca="false">SUMIFS(Doors!BB:BB,Doors!$A:$A,$D337,Doors!$B:$B,$B337,Doors!$C:$C,$C337)*SUMIFS(Velocity!$I:$I,Velocity!$A:$A,$A337,Velocity!$B:$B,$C337)/Assumptions!$B$4*Assumptions!$B$6</f>
        <v>0</v>
      </c>
      <c r="AQ337" s="7" t="n">
        <f aca="false">SUMIFS(Doors!BC:BC,Doors!$A:$A,$D337,Doors!$B:$B,$B337,Doors!$C:$C,$C337)*SUMIFS(Velocity!$I:$I,Velocity!$A:$A,$A337,Velocity!$B:$B,$C337)/Assumptions!$B$4*Assumptions!$B$6</f>
        <v>0</v>
      </c>
      <c r="AR337" s="7" t="n">
        <f aca="false">SUMIFS(Doors!BD:BD,Doors!$A:$A,$D337,Doors!$B:$B,$B337,Doors!$C:$C,$C337)*SUMIFS(Velocity!$I:$I,Velocity!$A:$A,$A337,Velocity!$B:$B,$C337)/Assumptions!$B$4*Assumptions!$B$6</f>
        <v>0</v>
      </c>
      <c r="AS337" s="7" t="n">
        <f aca="false">SUMIFS(Doors!BE:BE,Doors!$A:$A,$D337,Doors!$B:$B,$B337,Doors!$C:$C,$C337)*SUMIFS(Velocity!$I:$I,Velocity!$A:$A,$A337,Velocity!$B:$B,$C337)/Assumptions!$B$4*Assumptions!$B$6</f>
        <v>0</v>
      </c>
      <c r="AT337" s="7" t="n">
        <f aca="false">SUMIFS(Doors!BF:BF,Doors!$A:$A,$D337,Doors!$B:$B,$B337,Doors!$C:$C,$C337)*SUMIFS(Velocity!$I:$I,Velocity!$A:$A,$A337,Velocity!$B:$B,$C337)/Assumptions!$B$4*Assumptions!$B$6</f>
        <v>0</v>
      </c>
      <c r="AU337" s="7" t="n">
        <f aca="false">SUMIFS(Doors!BG:BG,Doors!$A:$A,$D337,Doors!$B:$B,$B337,Doors!$C:$C,$C337)*SUMIFS(Velocity!$I:$I,Velocity!$A:$A,$A337,Velocity!$B:$B,$C337)/Assumptions!$B$4*Assumptions!$B$6</f>
        <v>0</v>
      </c>
      <c r="AV337" s="7" t="n">
        <f aca="false">SUMIFS(Doors!BH:BH,Doors!$A:$A,$D337,Doors!$B:$B,$B337,Doors!$C:$C,$C337)*SUMIFS(Velocity!$I:$I,Velocity!$A:$A,$A337,Velocity!$B:$B,$C337)/Assumptions!$B$4*Assumptions!$B$6</f>
        <v>0</v>
      </c>
      <c r="AW337" s="7" t="n">
        <f aca="false">SUMIFS(Doors!BI:BI,Doors!$A:$A,$D337,Doors!$B:$B,$B337,Doors!$C:$C,$C337)*SUMIFS(Velocity!$I:$I,Velocity!$A:$A,$A337,Velocity!$B:$B,$C337)/Assumptions!$B$4*Assumptions!$B$6</f>
        <v>0</v>
      </c>
      <c r="AX337" s="7" t="n">
        <f aca="false">SUMIFS(Doors!BJ:BJ,Doors!$A:$A,$D337,Doors!$B:$B,$B337,Doors!$C:$C,$C337)*SUMIFS(Velocity!$I:$I,Velocity!$A:$A,$A337,Velocity!$B:$B,$C337)/Assumptions!$B$4*Assumptions!$B$6</f>
        <v>0</v>
      </c>
      <c r="AY337" s="7" t="n">
        <f aca="false">SUMIFS(Doors!BK:BK,Doors!$A:$A,$D337,Doors!$B:$B,$B337,Doors!$C:$C,$C337)*SUMIFS(Velocity!$I:$I,Velocity!$A:$A,$A337,Velocity!$B:$B,$C337)/Assumptions!$B$4*Assumptions!$B$6</f>
        <v>0</v>
      </c>
      <c r="AZ337" s="7" t="n">
        <f aca="false">SUMIFS(Doors!BL:BL,Doors!$A:$A,$D337,Doors!$B:$B,$B337,Doors!$C:$C,$C337)*SUMIFS(Velocity!$I:$I,Velocity!$A:$A,$A337,Velocity!$B:$B,$C337)/Assumptions!$B$4*Assumptions!$B$6</f>
        <v>0</v>
      </c>
      <c r="BA337" s="7" t="n">
        <f aca="false">SUMIFS(Doors!BM:BM,Doors!$A:$A,$D337,Doors!$B:$B,$B337,Doors!$C:$C,$C337)*SUMIFS(Velocity!$I:$I,Velocity!$A:$A,$A337,Velocity!$B:$B,$C337)/Assumptions!$B$4*Assumptions!$B$6</f>
        <v>0</v>
      </c>
      <c r="BB337" s="7" t="n">
        <f aca="false">SUMIFS(Doors!BN:BN,Doors!$A:$A,$D337,Doors!$B:$B,$B337,Doors!$C:$C,$C337)*SUMIFS(Velocity!$I:$I,Velocity!$A:$A,$A337,Velocity!$B:$B,$C337)/Assumptions!$B$4*Assumptions!$B$6</f>
        <v>0</v>
      </c>
      <c r="BC337" s="7" t="n">
        <f aca="false">SUMIFS(Doors!BO:BO,Doors!$A:$A,$D337,Doors!$B:$B,$B337,Doors!$C:$C,$C337)*SUMIFS(Velocity!$I:$I,Velocity!$A:$A,$A337,Velocity!$B:$B,$C337)/Assumptions!$B$4*Assumptions!$B$6</f>
        <v>0</v>
      </c>
      <c r="BD337" s="7" t="n">
        <f aca="false">SUMIFS(Doors!BP:BP,Doors!$A:$A,$D337,Doors!$B:$B,$B337,Doors!$C:$C,$C337)*SUMIFS(Velocity!$I:$I,Velocity!$A:$A,$A337,Velocity!$B:$B,$C337)/Assumptions!$B$4*Assumptions!$B$6</f>
        <v>0</v>
      </c>
    </row>
    <row r="338" customFormat="false" ht="15" hidden="false" customHeight="false" outlineLevel="0" collapsed="false">
      <c r="A338" s="0" t="s">
        <v>111</v>
      </c>
      <c r="B338" s="0" t="s">
        <v>132</v>
      </c>
      <c r="C338" s="0" t="s">
        <v>123</v>
      </c>
      <c r="D338" s="0" t="s">
        <v>236</v>
      </c>
      <c r="E338" s="7" t="n">
        <f aca="false">SUMIFS(Doors!Q:Q,Doors!$A:$A,$D338,Doors!$B:$B,$B338,Doors!$C:$C,$C338)*SUMIFS(Velocity!$I:$I,Velocity!$A:$A,$A338,Velocity!$B:$B,$C338)/Assumptions!$B$4*Assumptions!$B$6</f>
        <v>0</v>
      </c>
      <c r="F338" s="7" t="n">
        <f aca="false">SUMIFS(Doors!R:R,Doors!$A:$A,$D338,Doors!$B:$B,$B338,Doors!$C:$C,$C338)*SUMIFS(Velocity!$I:$I,Velocity!$A:$A,$A338,Velocity!$B:$B,$C338)/Assumptions!$B$4*Assumptions!$B$6</f>
        <v>0</v>
      </c>
      <c r="G338" s="7" t="n">
        <f aca="false">SUMIFS(Doors!S:S,Doors!$A:$A,$D338,Doors!$B:$B,$B338,Doors!$C:$C,$C338)*SUMIFS(Velocity!$I:$I,Velocity!$A:$A,$A338,Velocity!$B:$B,$C338)/Assumptions!$B$4*Assumptions!$B$6</f>
        <v>0</v>
      </c>
      <c r="H338" s="7" t="n">
        <f aca="false">SUMIFS(Doors!T:T,Doors!$A:$A,$D338,Doors!$B:$B,$B338,Doors!$C:$C,$C338)*SUMIFS(Velocity!$I:$I,Velocity!$A:$A,$A338,Velocity!$B:$B,$C338)/Assumptions!$B$4*Assumptions!$B$6</f>
        <v>0</v>
      </c>
      <c r="I338" s="7" t="n">
        <f aca="false">SUMIFS(Doors!U:U,Doors!$A:$A,$D338,Doors!$B:$B,$B338,Doors!$C:$C,$C338)*SUMIFS(Velocity!$I:$I,Velocity!$A:$A,$A338,Velocity!$B:$B,$C338)/Assumptions!$B$4*Assumptions!$B$6</f>
        <v>0</v>
      </c>
      <c r="J338" s="7" t="n">
        <f aca="false">SUMIFS(Doors!V:V,Doors!$A:$A,$D338,Doors!$B:$B,$B338,Doors!$C:$C,$C338)*SUMIFS(Velocity!$I:$I,Velocity!$A:$A,$A338,Velocity!$B:$B,$C338)/Assumptions!$B$4*Assumptions!$B$6</f>
        <v>0</v>
      </c>
      <c r="K338" s="7" t="n">
        <f aca="false">SUMIFS(Doors!W:W,Doors!$A:$A,$D338,Doors!$B:$B,$B338,Doors!$C:$C,$C338)*SUMIFS(Velocity!$I:$I,Velocity!$A:$A,$A338,Velocity!$B:$B,$C338)/Assumptions!$B$4*Assumptions!$B$6</f>
        <v>0</v>
      </c>
      <c r="L338" s="7" t="n">
        <f aca="false">SUMIFS(Doors!X:X,Doors!$A:$A,$D338,Doors!$B:$B,$B338,Doors!$C:$C,$C338)*SUMIFS(Velocity!$I:$I,Velocity!$A:$A,$A338,Velocity!$B:$B,$C338)/Assumptions!$B$4*Assumptions!$B$6</f>
        <v>0</v>
      </c>
      <c r="M338" s="7" t="n">
        <f aca="false">SUMIFS(Doors!Y:Y,Doors!$A:$A,$D338,Doors!$B:$B,$B338,Doors!$C:$C,$C338)*SUMIFS(Velocity!$I:$I,Velocity!$A:$A,$A338,Velocity!$B:$B,$C338)/Assumptions!$B$4*Assumptions!$B$6</f>
        <v>0</v>
      </c>
      <c r="N338" s="7" t="n">
        <f aca="false">SUMIFS(Doors!Z:Z,Doors!$A:$A,$D338,Doors!$B:$B,$B338,Doors!$C:$C,$C338)*SUMIFS(Velocity!$I:$I,Velocity!$A:$A,$A338,Velocity!$B:$B,$C338)/Assumptions!$B$4*Assumptions!$B$6</f>
        <v>0</v>
      </c>
      <c r="O338" s="7" t="n">
        <f aca="false">SUMIFS(Doors!AA:AA,Doors!$A:$A,$D338,Doors!$B:$B,$B338,Doors!$C:$C,$C338)*SUMIFS(Velocity!$I:$I,Velocity!$A:$A,$A338,Velocity!$B:$B,$C338)/Assumptions!$B$4*Assumptions!$B$6</f>
        <v>0</v>
      </c>
      <c r="P338" s="7" t="n">
        <f aca="false">SUMIFS(Doors!AB:AB,Doors!$A:$A,$D338,Doors!$B:$B,$B338,Doors!$C:$C,$C338)*SUMIFS(Velocity!$I:$I,Velocity!$A:$A,$A338,Velocity!$B:$B,$C338)/Assumptions!$B$4*Assumptions!$B$6</f>
        <v>0</v>
      </c>
      <c r="Q338" s="7" t="n">
        <f aca="false">SUMIFS(Doors!AC:AC,Doors!$A:$A,$D338,Doors!$B:$B,$B338,Doors!$C:$C,$C338)*SUMIFS(Velocity!$I:$I,Velocity!$A:$A,$A338,Velocity!$B:$B,$C338)/Assumptions!$B$4*Assumptions!$B$6</f>
        <v>0</v>
      </c>
      <c r="R338" s="7" t="n">
        <f aca="false">SUMIFS(Doors!AD:AD,Doors!$A:$A,$D338,Doors!$B:$B,$B338,Doors!$C:$C,$C338)*SUMIFS(Velocity!$I:$I,Velocity!$A:$A,$A338,Velocity!$B:$B,$C338)/Assumptions!$B$4*Assumptions!$B$6</f>
        <v>0</v>
      </c>
      <c r="S338" s="7" t="n">
        <f aca="false">SUMIFS(Doors!AE:AE,Doors!$A:$A,$D338,Doors!$B:$B,$B338,Doors!$C:$C,$C338)*SUMIFS(Velocity!$I:$I,Velocity!$A:$A,$A338,Velocity!$B:$B,$C338)/Assumptions!$B$4*Assumptions!$B$6</f>
        <v>0</v>
      </c>
      <c r="T338" s="7" t="n">
        <f aca="false">SUMIFS(Doors!AF:AF,Doors!$A:$A,$D338,Doors!$B:$B,$B338,Doors!$C:$C,$C338)*SUMIFS(Velocity!$I:$I,Velocity!$A:$A,$A338,Velocity!$B:$B,$C338)/Assumptions!$B$4*Assumptions!$B$6</f>
        <v>0</v>
      </c>
      <c r="U338" s="7" t="n">
        <f aca="false">SUMIFS(Doors!AG:AG,Doors!$A:$A,$D338,Doors!$B:$B,$B338,Doors!$C:$C,$C338)*SUMIFS(Velocity!$I:$I,Velocity!$A:$A,$A338,Velocity!$B:$B,$C338)/Assumptions!$B$4*Assumptions!$B$6</f>
        <v>0</v>
      </c>
      <c r="V338" s="7" t="n">
        <f aca="false">SUMIFS(Doors!AH:AH,Doors!$A:$A,$D338,Doors!$B:$B,$B338,Doors!$C:$C,$C338)*SUMIFS(Velocity!$I:$I,Velocity!$A:$A,$A338,Velocity!$B:$B,$C338)/Assumptions!$B$4*Assumptions!$B$6</f>
        <v>0</v>
      </c>
      <c r="W338" s="7" t="n">
        <f aca="false">SUMIFS(Doors!AI:AI,Doors!$A:$A,$D338,Doors!$B:$B,$B338,Doors!$C:$C,$C338)*SUMIFS(Velocity!$I:$I,Velocity!$A:$A,$A338,Velocity!$B:$B,$C338)/Assumptions!$B$4*Assumptions!$B$6</f>
        <v>0</v>
      </c>
      <c r="X338" s="7" t="n">
        <f aca="false">SUMIFS(Doors!AJ:AJ,Doors!$A:$A,$D338,Doors!$B:$B,$B338,Doors!$C:$C,$C338)*SUMIFS(Velocity!$I:$I,Velocity!$A:$A,$A338,Velocity!$B:$B,$C338)/Assumptions!$B$4*Assumptions!$B$6</f>
        <v>0</v>
      </c>
      <c r="Y338" s="7" t="n">
        <f aca="false">SUMIFS(Doors!AK:AK,Doors!$A:$A,$D338,Doors!$B:$B,$B338,Doors!$C:$C,$C338)*SUMIFS(Velocity!$I:$I,Velocity!$A:$A,$A338,Velocity!$B:$B,$C338)/Assumptions!$B$4*Assumptions!$B$6</f>
        <v>0</v>
      </c>
      <c r="Z338" s="7" t="n">
        <f aca="false">SUMIFS(Doors!AL:AL,Doors!$A:$A,$D338,Doors!$B:$B,$B338,Doors!$C:$C,$C338)*SUMIFS(Velocity!$I:$I,Velocity!$A:$A,$A338,Velocity!$B:$B,$C338)/Assumptions!$B$4*Assumptions!$B$6</f>
        <v>0</v>
      </c>
      <c r="AA338" s="7" t="n">
        <f aca="false">SUMIFS(Doors!AM:AM,Doors!$A:$A,$D338,Doors!$B:$B,$B338,Doors!$C:$C,$C338)*SUMIFS(Velocity!$I:$I,Velocity!$A:$A,$A338,Velocity!$B:$B,$C338)/Assumptions!$B$4*Assumptions!$B$6</f>
        <v>0</v>
      </c>
      <c r="AB338" s="7" t="n">
        <f aca="false">SUMIFS(Doors!AN:AN,Doors!$A:$A,$D338,Doors!$B:$B,$B338,Doors!$C:$C,$C338)*SUMIFS(Velocity!$I:$I,Velocity!$A:$A,$A338,Velocity!$B:$B,$C338)/Assumptions!$B$4*Assumptions!$B$6</f>
        <v>0</v>
      </c>
      <c r="AC338" s="7" t="n">
        <f aca="false">SUMIFS(Doors!AO:AO,Doors!$A:$A,$D338,Doors!$B:$B,$B338,Doors!$C:$C,$C338)*SUMIFS(Velocity!$I:$I,Velocity!$A:$A,$A338,Velocity!$B:$B,$C338)/Assumptions!$B$4*Assumptions!$B$6</f>
        <v>0</v>
      </c>
      <c r="AD338" s="7" t="n">
        <f aca="false">SUMIFS(Doors!AP:AP,Doors!$A:$A,$D338,Doors!$B:$B,$B338,Doors!$C:$C,$C338)*SUMIFS(Velocity!$I:$I,Velocity!$A:$A,$A338,Velocity!$B:$B,$C338)/Assumptions!$B$4*Assumptions!$B$6</f>
        <v>0</v>
      </c>
      <c r="AE338" s="7" t="n">
        <f aca="false">SUMIFS(Doors!AQ:AQ,Doors!$A:$A,$D338,Doors!$B:$B,$B338,Doors!$C:$C,$C338)*SUMIFS(Velocity!$I:$I,Velocity!$A:$A,$A338,Velocity!$B:$B,$C338)/Assumptions!$B$4*Assumptions!$B$6</f>
        <v>0</v>
      </c>
      <c r="AF338" s="7" t="n">
        <f aca="false">SUMIFS(Doors!AR:AR,Doors!$A:$A,$D338,Doors!$B:$B,$B338,Doors!$C:$C,$C338)*SUMIFS(Velocity!$I:$I,Velocity!$A:$A,$A338,Velocity!$B:$B,$C338)/Assumptions!$B$4*Assumptions!$B$6</f>
        <v>0</v>
      </c>
      <c r="AG338" s="7" t="n">
        <f aca="false">SUMIFS(Doors!AS:AS,Doors!$A:$A,$D338,Doors!$B:$B,$B338,Doors!$C:$C,$C338)*SUMIFS(Velocity!$I:$I,Velocity!$A:$A,$A338,Velocity!$B:$B,$C338)/Assumptions!$B$4*Assumptions!$B$6</f>
        <v>0</v>
      </c>
      <c r="AH338" s="7" t="n">
        <f aca="false">SUMIFS(Doors!AT:AT,Doors!$A:$A,$D338,Doors!$B:$B,$B338,Doors!$C:$C,$C338)*SUMIFS(Velocity!$I:$I,Velocity!$A:$A,$A338,Velocity!$B:$B,$C338)/Assumptions!$B$4*Assumptions!$B$6</f>
        <v>0</v>
      </c>
      <c r="AI338" s="7" t="n">
        <f aca="false">SUMIFS(Doors!AU:AU,Doors!$A:$A,$D338,Doors!$B:$B,$B338,Doors!$C:$C,$C338)*SUMIFS(Velocity!$I:$I,Velocity!$A:$A,$A338,Velocity!$B:$B,$C338)/Assumptions!$B$4*Assumptions!$B$6</f>
        <v>0</v>
      </c>
      <c r="AJ338" s="7" t="n">
        <f aca="false">SUMIFS(Doors!AV:AV,Doors!$A:$A,$D338,Doors!$B:$B,$B338,Doors!$C:$C,$C338)*SUMIFS(Velocity!$I:$I,Velocity!$A:$A,$A338,Velocity!$B:$B,$C338)/Assumptions!$B$4*Assumptions!$B$6</f>
        <v>0</v>
      </c>
      <c r="AK338" s="7" t="n">
        <f aca="false">SUMIFS(Doors!AW:AW,Doors!$A:$A,$D338,Doors!$B:$B,$B338,Doors!$C:$C,$C338)*SUMIFS(Velocity!$I:$I,Velocity!$A:$A,$A338,Velocity!$B:$B,$C338)/Assumptions!$B$4*Assumptions!$B$6</f>
        <v>0</v>
      </c>
      <c r="AL338" s="7" t="n">
        <f aca="false">SUMIFS(Doors!AX:AX,Doors!$A:$A,$D338,Doors!$B:$B,$B338,Doors!$C:$C,$C338)*SUMIFS(Velocity!$I:$I,Velocity!$A:$A,$A338,Velocity!$B:$B,$C338)/Assumptions!$B$4*Assumptions!$B$6</f>
        <v>0</v>
      </c>
      <c r="AM338" s="7" t="n">
        <f aca="false">SUMIFS(Doors!AY:AY,Doors!$A:$A,$D338,Doors!$B:$B,$B338,Doors!$C:$C,$C338)*SUMIFS(Velocity!$I:$I,Velocity!$A:$A,$A338,Velocity!$B:$B,$C338)/Assumptions!$B$4*Assumptions!$B$6</f>
        <v>0</v>
      </c>
      <c r="AN338" s="7" t="n">
        <f aca="false">SUMIFS(Doors!AZ:AZ,Doors!$A:$A,$D338,Doors!$B:$B,$B338,Doors!$C:$C,$C338)*SUMIFS(Velocity!$I:$I,Velocity!$A:$A,$A338,Velocity!$B:$B,$C338)/Assumptions!$B$4*Assumptions!$B$6</f>
        <v>0</v>
      </c>
      <c r="AO338" s="7" t="n">
        <f aca="false">SUMIFS(Doors!BA:BA,Doors!$A:$A,$D338,Doors!$B:$B,$B338,Doors!$C:$C,$C338)*SUMIFS(Velocity!$I:$I,Velocity!$A:$A,$A338,Velocity!$B:$B,$C338)/Assumptions!$B$4*Assumptions!$B$6</f>
        <v>0</v>
      </c>
      <c r="AP338" s="7" t="n">
        <f aca="false">SUMIFS(Doors!BB:BB,Doors!$A:$A,$D338,Doors!$B:$B,$B338,Doors!$C:$C,$C338)*SUMIFS(Velocity!$I:$I,Velocity!$A:$A,$A338,Velocity!$B:$B,$C338)/Assumptions!$B$4*Assumptions!$B$6</f>
        <v>0</v>
      </c>
      <c r="AQ338" s="7" t="n">
        <f aca="false">SUMIFS(Doors!BC:BC,Doors!$A:$A,$D338,Doors!$B:$B,$B338,Doors!$C:$C,$C338)*SUMIFS(Velocity!$I:$I,Velocity!$A:$A,$A338,Velocity!$B:$B,$C338)/Assumptions!$B$4*Assumptions!$B$6</f>
        <v>0</v>
      </c>
      <c r="AR338" s="7" t="n">
        <f aca="false">SUMIFS(Doors!BD:BD,Doors!$A:$A,$D338,Doors!$B:$B,$B338,Doors!$C:$C,$C338)*SUMIFS(Velocity!$I:$I,Velocity!$A:$A,$A338,Velocity!$B:$B,$C338)/Assumptions!$B$4*Assumptions!$B$6</f>
        <v>0</v>
      </c>
      <c r="AS338" s="7" t="n">
        <f aca="false">SUMIFS(Doors!BE:BE,Doors!$A:$A,$D338,Doors!$B:$B,$B338,Doors!$C:$C,$C338)*SUMIFS(Velocity!$I:$I,Velocity!$A:$A,$A338,Velocity!$B:$B,$C338)/Assumptions!$B$4*Assumptions!$B$6</f>
        <v>0</v>
      </c>
      <c r="AT338" s="7" t="n">
        <f aca="false">SUMIFS(Doors!BF:BF,Doors!$A:$A,$D338,Doors!$B:$B,$B338,Doors!$C:$C,$C338)*SUMIFS(Velocity!$I:$I,Velocity!$A:$A,$A338,Velocity!$B:$B,$C338)/Assumptions!$B$4*Assumptions!$B$6</f>
        <v>0</v>
      </c>
      <c r="AU338" s="7" t="n">
        <f aca="false">SUMIFS(Doors!BG:BG,Doors!$A:$A,$D338,Doors!$B:$B,$B338,Doors!$C:$C,$C338)*SUMIFS(Velocity!$I:$I,Velocity!$A:$A,$A338,Velocity!$B:$B,$C338)/Assumptions!$B$4*Assumptions!$B$6</f>
        <v>0</v>
      </c>
      <c r="AV338" s="7" t="n">
        <f aca="false">SUMIFS(Doors!BH:BH,Doors!$A:$A,$D338,Doors!$B:$B,$B338,Doors!$C:$C,$C338)*SUMIFS(Velocity!$I:$I,Velocity!$A:$A,$A338,Velocity!$B:$B,$C338)/Assumptions!$B$4*Assumptions!$B$6</f>
        <v>0</v>
      </c>
      <c r="AW338" s="7" t="n">
        <f aca="false">SUMIFS(Doors!BI:BI,Doors!$A:$A,$D338,Doors!$B:$B,$B338,Doors!$C:$C,$C338)*SUMIFS(Velocity!$I:$I,Velocity!$A:$A,$A338,Velocity!$B:$B,$C338)/Assumptions!$B$4*Assumptions!$B$6</f>
        <v>0</v>
      </c>
      <c r="AX338" s="7" t="n">
        <f aca="false">SUMIFS(Doors!BJ:BJ,Doors!$A:$A,$D338,Doors!$B:$B,$B338,Doors!$C:$C,$C338)*SUMIFS(Velocity!$I:$I,Velocity!$A:$A,$A338,Velocity!$B:$B,$C338)/Assumptions!$B$4*Assumptions!$B$6</f>
        <v>0</v>
      </c>
      <c r="AY338" s="7" t="n">
        <f aca="false">SUMIFS(Doors!BK:BK,Doors!$A:$A,$D338,Doors!$B:$B,$B338,Doors!$C:$C,$C338)*SUMIFS(Velocity!$I:$I,Velocity!$A:$A,$A338,Velocity!$B:$B,$C338)/Assumptions!$B$4*Assumptions!$B$6</f>
        <v>0</v>
      </c>
      <c r="AZ338" s="7" t="n">
        <f aca="false">SUMIFS(Doors!BL:BL,Doors!$A:$A,$D338,Doors!$B:$B,$B338,Doors!$C:$C,$C338)*SUMIFS(Velocity!$I:$I,Velocity!$A:$A,$A338,Velocity!$B:$B,$C338)/Assumptions!$B$4*Assumptions!$B$6</f>
        <v>0</v>
      </c>
      <c r="BA338" s="7" t="n">
        <f aca="false">SUMIFS(Doors!BM:BM,Doors!$A:$A,$D338,Doors!$B:$B,$B338,Doors!$C:$C,$C338)*SUMIFS(Velocity!$I:$I,Velocity!$A:$A,$A338,Velocity!$B:$B,$C338)/Assumptions!$B$4*Assumptions!$B$6</f>
        <v>0</v>
      </c>
      <c r="BB338" s="7" t="n">
        <f aca="false">SUMIFS(Doors!BN:BN,Doors!$A:$A,$D338,Doors!$B:$B,$B338,Doors!$C:$C,$C338)*SUMIFS(Velocity!$I:$I,Velocity!$A:$A,$A338,Velocity!$B:$B,$C338)/Assumptions!$B$4*Assumptions!$B$6</f>
        <v>0</v>
      </c>
      <c r="BC338" s="7" t="n">
        <f aca="false">SUMIFS(Doors!BO:BO,Doors!$A:$A,$D338,Doors!$B:$B,$B338,Doors!$C:$C,$C338)*SUMIFS(Velocity!$I:$I,Velocity!$A:$A,$A338,Velocity!$B:$B,$C338)/Assumptions!$B$4*Assumptions!$B$6</f>
        <v>0</v>
      </c>
      <c r="BD338" s="7" t="n">
        <f aca="false">SUMIFS(Doors!BP:BP,Doors!$A:$A,$D338,Doors!$B:$B,$B338,Doors!$C:$C,$C338)*SUMIFS(Velocity!$I:$I,Velocity!$A:$A,$A338,Velocity!$B:$B,$C338)/Assumptions!$B$4*Assumptions!$B$6</f>
        <v>0</v>
      </c>
    </row>
    <row r="339" customFormat="false" ht="15" hidden="false" customHeight="false" outlineLevel="0" collapsed="false">
      <c r="A339" s="0" t="s">
        <v>111</v>
      </c>
      <c r="B339" s="0" t="s">
        <v>133</v>
      </c>
      <c r="C339" s="0" t="s">
        <v>115</v>
      </c>
      <c r="D339" s="0" t="s">
        <v>236</v>
      </c>
      <c r="E339" s="7" t="n">
        <f aca="false">SUMIFS(Doors!Q:Q,Doors!$A:$A,$D339,Doors!$B:$B,$B339,Doors!$C:$C,$C339)*SUMIFS(Velocity!$I:$I,Velocity!$A:$A,$A339,Velocity!$B:$B,$C339)/Assumptions!$B$4*Assumptions!$B$6</f>
        <v>0</v>
      </c>
      <c r="F339" s="7" t="n">
        <f aca="false">SUMIFS(Doors!R:R,Doors!$A:$A,$D339,Doors!$B:$B,$B339,Doors!$C:$C,$C339)*SUMIFS(Velocity!$I:$I,Velocity!$A:$A,$A339,Velocity!$B:$B,$C339)/Assumptions!$B$4*Assumptions!$B$6</f>
        <v>0</v>
      </c>
      <c r="G339" s="7" t="n">
        <f aca="false">SUMIFS(Doors!S:S,Doors!$A:$A,$D339,Doors!$B:$B,$B339,Doors!$C:$C,$C339)*SUMIFS(Velocity!$I:$I,Velocity!$A:$A,$A339,Velocity!$B:$B,$C339)/Assumptions!$B$4*Assumptions!$B$6</f>
        <v>0</v>
      </c>
      <c r="H339" s="7" t="n">
        <f aca="false">SUMIFS(Doors!T:T,Doors!$A:$A,$D339,Doors!$B:$B,$B339,Doors!$C:$C,$C339)*SUMIFS(Velocity!$I:$I,Velocity!$A:$A,$A339,Velocity!$B:$B,$C339)/Assumptions!$B$4*Assumptions!$B$6</f>
        <v>0</v>
      </c>
      <c r="I339" s="7" t="n">
        <f aca="false">SUMIFS(Doors!U:U,Doors!$A:$A,$D339,Doors!$B:$B,$B339,Doors!$C:$C,$C339)*SUMIFS(Velocity!$I:$I,Velocity!$A:$A,$A339,Velocity!$B:$B,$C339)/Assumptions!$B$4*Assumptions!$B$6</f>
        <v>0</v>
      </c>
      <c r="J339" s="7" t="n">
        <f aca="false">SUMIFS(Doors!V:V,Doors!$A:$A,$D339,Doors!$B:$B,$B339,Doors!$C:$C,$C339)*SUMIFS(Velocity!$I:$I,Velocity!$A:$A,$A339,Velocity!$B:$B,$C339)/Assumptions!$B$4*Assumptions!$B$6</f>
        <v>0</v>
      </c>
      <c r="K339" s="7" t="n">
        <f aca="false">SUMIFS(Doors!W:W,Doors!$A:$A,$D339,Doors!$B:$B,$B339,Doors!$C:$C,$C339)*SUMIFS(Velocity!$I:$I,Velocity!$A:$A,$A339,Velocity!$B:$B,$C339)/Assumptions!$B$4*Assumptions!$B$6</f>
        <v>0</v>
      </c>
      <c r="L339" s="7" t="n">
        <f aca="false">SUMIFS(Doors!X:X,Doors!$A:$A,$D339,Doors!$B:$B,$B339,Doors!$C:$C,$C339)*SUMIFS(Velocity!$I:$I,Velocity!$A:$A,$A339,Velocity!$B:$B,$C339)/Assumptions!$B$4*Assumptions!$B$6</f>
        <v>0</v>
      </c>
      <c r="M339" s="7" t="n">
        <f aca="false">SUMIFS(Doors!Y:Y,Doors!$A:$A,$D339,Doors!$B:$B,$B339,Doors!$C:$C,$C339)*SUMIFS(Velocity!$I:$I,Velocity!$A:$A,$A339,Velocity!$B:$B,$C339)/Assumptions!$B$4*Assumptions!$B$6</f>
        <v>0</v>
      </c>
      <c r="N339" s="7" t="n">
        <f aca="false">SUMIFS(Doors!Z:Z,Doors!$A:$A,$D339,Doors!$B:$B,$B339,Doors!$C:$C,$C339)*SUMIFS(Velocity!$I:$I,Velocity!$A:$A,$A339,Velocity!$B:$B,$C339)/Assumptions!$B$4*Assumptions!$B$6</f>
        <v>0</v>
      </c>
      <c r="O339" s="7" t="n">
        <f aca="false">SUMIFS(Doors!AA:AA,Doors!$A:$A,$D339,Doors!$B:$B,$B339,Doors!$C:$C,$C339)*SUMIFS(Velocity!$I:$I,Velocity!$A:$A,$A339,Velocity!$B:$B,$C339)/Assumptions!$B$4*Assumptions!$B$6</f>
        <v>0</v>
      </c>
      <c r="P339" s="7" t="n">
        <f aca="false">SUMIFS(Doors!AB:AB,Doors!$A:$A,$D339,Doors!$B:$B,$B339,Doors!$C:$C,$C339)*SUMIFS(Velocity!$I:$I,Velocity!$A:$A,$A339,Velocity!$B:$B,$C339)/Assumptions!$B$4*Assumptions!$B$6</f>
        <v>0</v>
      </c>
      <c r="Q339" s="7" t="n">
        <f aca="false">SUMIFS(Doors!AC:AC,Doors!$A:$A,$D339,Doors!$B:$B,$B339,Doors!$C:$C,$C339)*SUMIFS(Velocity!$I:$I,Velocity!$A:$A,$A339,Velocity!$B:$B,$C339)/Assumptions!$B$4*Assumptions!$B$6</f>
        <v>0</v>
      </c>
      <c r="R339" s="7" t="n">
        <f aca="false">SUMIFS(Doors!AD:AD,Doors!$A:$A,$D339,Doors!$B:$B,$B339,Doors!$C:$C,$C339)*SUMIFS(Velocity!$I:$I,Velocity!$A:$A,$A339,Velocity!$B:$B,$C339)/Assumptions!$B$4*Assumptions!$B$6</f>
        <v>0</v>
      </c>
      <c r="S339" s="7" t="n">
        <f aca="false">SUMIFS(Doors!AE:AE,Doors!$A:$A,$D339,Doors!$B:$B,$B339,Doors!$C:$C,$C339)*SUMIFS(Velocity!$I:$I,Velocity!$A:$A,$A339,Velocity!$B:$B,$C339)/Assumptions!$B$4*Assumptions!$B$6</f>
        <v>0</v>
      </c>
      <c r="T339" s="7" t="n">
        <f aca="false">SUMIFS(Doors!AF:AF,Doors!$A:$A,$D339,Doors!$B:$B,$B339,Doors!$C:$C,$C339)*SUMIFS(Velocity!$I:$I,Velocity!$A:$A,$A339,Velocity!$B:$B,$C339)/Assumptions!$B$4*Assumptions!$B$6</f>
        <v>0</v>
      </c>
      <c r="U339" s="7" t="n">
        <f aca="false">SUMIFS(Doors!AG:AG,Doors!$A:$A,$D339,Doors!$B:$B,$B339,Doors!$C:$C,$C339)*SUMIFS(Velocity!$I:$I,Velocity!$A:$A,$A339,Velocity!$B:$B,$C339)/Assumptions!$B$4*Assumptions!$B$6</f>
        <v>0</v>
      </c>
      <c r="V339" s="7" t="n">
        <f aca="false">SUMIFS(Doors!AH:AH,Doors!$A:$A,$D339,Doors!$B:$B,$B339,Doors!$C:$C,$C339)*SUMIFS(Velocity!$I:$I,Velocity!$A:$A,$A339,Velocity!$B:$B,$C339)/Assumptions!$B$4*Assumptions!$B$6</f>
        <v>0</v>
      </c>
      <c r="W339" s="7" t="n">
        <f aca="false">SUMIFS(Doors!AI:AI,Doors!$A:$A,$D339,Doors!$B:$B,$B339,Doors!$C:$C,$C339)*SUMIFS(Velocity!$I:$I,Velocity!$A:$A,$A339,Velocity!$B:$B,$C339)/Assumptions!$B$4*Assumptions!$B$6</f>
        <v>0</v>
      </c>
      <c r="X339" s="7" t="n">
        <f aca="false">SUMIFS(Doors!AJ:AJ,Doors!$A:$A,$D339,Doors!$B:$B,$B339,Doors!$C:$C,$C339)*SUMIFS(Velocity!$I:$I,Velocity!$A:$A,$A339,Velocity!$B:$B,$C339)/Assumptions!$B$4*Assumptions!$B$6</f>
        <v>0</v>
      </c>
      <c r="Y339" s="7" t="n">
        <f aca="false">SUMIFS(Doors!AK:AK,Doors!$A:$A,$D339,Doors!$B:$B,$B339,Doors!$C:$C,$C339)*SUMIFS(Velocity!$I:$I,Velocity!$A:$A,$A339,Velocity!$B:$B,$C339)/Assumptions!$B$4*Assumptions!$B$6</f>
        <v>0</v>
      </c>
      <c r="Z339" s="7" t="n">
        <f aca="false">SUMIFS(Doors!AL:AL,Doors!$A:$A,$D339,Doors!$B:$B,$B339,Doors!$C:$C,$C339)*SUMIFS(Velocity!$I:$I,Velocity!$A:$A,$A339,Velocity!$B:$B,$C339)/Assumptions!$B$4*Assumptions!$B$6</f>
        <v>0</v>
      </c>
      <c r="AA339" s="7" t="n">
        <f aca="false">SUMIFS(Doors!AM:AM,Doors!$A:$A,$D339,Doors!$B:$B,$B339,Doors!$C:$C,$C339)*SUMIFS(Velocity!$I:$I,Velocity!$A:$A,$A339,Velocity!$B:$B,$C339)/Assumptions!$B$4*Assumptions!$B$6</f>
        <v>0</v>
      </c>
      <c r="AB339" s="7" t="n">
        <f aca="false">SUMIFS(Doors!AN:AN,Doors!$A:$A,$D339,Doors!$B:$B,$B339,Doors!$C:$C,$C339)*SUMIFS(Velocity!$I:$I,Velocity!$A:$A,$A339,Velocity!$B:$B,$C339)/Assumptions!$B$4*Assumptions!$B$6</f>
        <v>0</v>
      </c>
      <c r="AC339" s="7" t="n">
        <f aca="false">SUMIFS(Doors!AO:AO,Doors!$A:$A,$D339,Doors!$B:$B,$B339,Doors!$C:$C,$C339)*SUMIFS(Velocity!$I:$I,Velocity!$A:$A,$A339,Velocity!$B:$B,$C339)/Assumptions!$B$4*Assumptions!$B$6</f>
        <v>0</v>
      </c>
      <c r="AD339" s="7" t="n">
        <f aca="false">SUMIFS(Doors!AP:AP,Doors!$A:$A,$D339,Doors!$B:$B,$B339,Doors!$C:$C,$C339)*SUMIFS(Velocity!$I:$I,Velocity!$A:$A,$A339,Velocity!$B:$B,$C339)/Assumptions!$B$4*Assumptions!$B$6</f>
        <v>0</v>
      </c>
      <c r="AE339" s="7" t="n">
        <f aca="false">SUMIFS(Doors!AQ:AQ,Doors!$A:$A,$D339,Doors!$B:$B,$B339,Doors!$C:$C,$C339)*SUMIFS(Velocity!$I:$I,Velocity!$A:$A,$A339,Velocity!$B:$B,$C339)/Assumptions!$B$4*Assumptions!$B$6</f>
        <v>0</v>
      </c>
      <c r="AF339" s="7" t="n">
        <f aca="false">SUMIFS(Doors!AR:AR,Doors!$A:$A,$D339,Doors!$B:$B,$B339,Doors!$C:$C,$C339)*SUMIFS(Velocity!$I:$I,Velocity!$A:$A,$A339,Velocity!$B:$B,$C339)/Assumptions!$B$4*Assumptions!$B$6</f>
        <v>0</v>
      </c>
      <c r="AG339" s="7" t="n">
        <f aca="false">SUMIFS(Doors!AS:AS,Doors!$A:$A,$D339,Doors!$B:$B,$B339,Doors!$C:$C,$C339)*SUMIFS(Velocity!$I:$I,Velocity!$A:$A,$A339,Velocity!$B:$B,$C339)/Assumptions!$B$4*Assumptions!$B$6</f>
        <v>0</v>
      </c>
      <c r="AH339" s="7" t="n">
        <f aca="false">SUMIFS(Doors!AT:AT,Doors!$A:$A,$D339,Doors!$B:$B,$B339,Doors!$C:$C,$C339)*SUMIFS(Velocity!$I:$I,Velocity!$A:$A,$A339,Velocity!$B:$B,$C339)/Assumptions!$B$4*Assumptions!$B$6</f>
        <v>0</v>
      </c>
      <c r="AI339" s="7" t="n">
        <f aca="false">SUMIFS(Doors!AU:AU,Doors!$A:$A,$D339,Doors!$B:$B,$B339,Doors!$C:$C,$C339)*SUMIFS(Velocity!$I:$I,Velocity!$A:$A,$A339,Velocity!$B:$B,$C339)/Assumptions!$B$4*Assumptions!$B$6</f>
        <v>0</v>
      </c>
      <c r="AJ339" s="7" t="n">
        <f aca="false">SUMIFS(Doors!AV:AV,Doors!$A:$A,$D339,Doors!$B:$B,$B339,Doors!$C:$C,$C339)*SUMIFS(Velocity!$I:$I,Velocity!$A:$A,$A339,Velocity!$B:$B,$C339)/Assumptions!$B$4*Assumptions!$B$6</f>
        <v>0</v>
      </c>
      <c r="AK339" s="7" t="n">
        <f aca="false">SUMIFS(Doors!AW:AW,Doors!$A:$A,$D339,Doors!$B:$B,$B339,Doors!$C:$C,$C339)*SUMIFS(Velocity!$I:$I,Velocity!$A:$A,$A339,Velocity!$B:$B,$C339)/Assumptions!$B$4*Assumptions!$B$6</f>
        <v>0</v>
      </c>
      <c r="AL339" s="7" t="n">
        <f aca="false">SUMIFS(Doors!AX:AX,Doors!$A:$A,$D339,Doors!$B:$B,$B339,Doors!$C:$C,$C339)*SUMIFS(Velocity!$I:$I,Velocity!$A:$A,$A339,Velocity!$B:$B,$C339)/Assumptions!$B$4*Assumptions!$B$6</f>
        <v>0</v>
      </c>
      <c r="AM339" s="7" t="n">
        <f aca="false">SUMIFS(Doors!AY:AY,Doors!$A:$A,$D339,Doors!$B:$B,$B339,Doors!$C:$C,$C339)*SUMIFS(Velocity!$I:$I,Velocity!$A:$A,$A339,Velocity!$B:$B,$C339)/Assumptions!$B$4*Assumptions!$B$6</f>
        <v>0</v>
      </c>
      <c r="AN339" s="7" t="n">
        <f aca="false">SUMIFS(Doors!AZ:AZ,Doors!$A:$A,$D339,Doors!$B:$B,$B339,Doors!$C:$C,$C339)*SUMIFS(Velocity!$I:$I,Velocity!$A:$A,$A339,Velocity!$B:$B,$C339)/Assumptions!$B$4*Assumptions!$B$6</f>
        <v>0</v>
      </c>
      <c r="AO339" s="7" t="n">
        <f aca="false">SUMIFS(Doors!BA:BA,Doors!$A:$A,$D339,Doors!$B:$B,$B339,Doors!$C:$C,$C339)*SUMIFS(Velocity!$I:$I,Velocity!$A:$A,$A339,Velocity!$B:$B,$C339)/Assumptions!$B$4*Assumptions!$B$6</f>
        <v>0</v>
      </c>
      <c r="AP339" s="7" t="n">
        <f aca="false">SUMIFS(Doors!BB:BB,Doors!$A:$A,$D339,Doors!$B:$B,$B339,Doors!$C:$C,$C339)*SUMIFS(Velocity!$I:$I,Velocity!$A:$A,$A339,Velocity!$B:$B,$C339)/Assumptions!$B$4*Assumptions!$B$6</f>
        <v>0</v>
      </c>
      <c r="AQ339" s="7" t="n">
        <f aca="false">SUMIFS(Doors!BC:BC,Doors!$A:$A,$D339,Doors!$B:$B,$B339,Doors!$C:$C,$C339)*SUMIFS(Velocity!$I:$I,Velocity!$A:$A,$A339,Velocity!$B:$B,$C339)/Assumptions!$B$4*Assumptions!$B$6</f>
        <v>0</v>
      </c>
      <c r="AR339" s="7" t="n">
        <f aca="false">SUMIFS(Doors!BD:BD,Doors!$A:$A,$D339,Doors!$B:$B,$B339,Doors!$C:$C,$C339)*SUMIFS(Velocity!$I:$I,Velocity!$A:$A,$A339,Velocity!$B:$B,$C339)/Assumptions!$B$4*Assumptions!$B$6</f>
        <v>0</v>
      </c>
      <c r="AS339" s="7" t="n">
        <f aca="false">SUMIFS(Doors!BE:BE,Doors!$A:$A,$D339,Doors!$B:$B,$B339,Doors!$C:$C,$C339)*SUMIFS(Velocity!$I:$I,Velocity!$A:$A,$A339,Velocity!$B:$B,$C339)/Assumptions!$B$4*Assumptions!$B$6</f>
        <v>0</v>
      </c>
      <c r="AT339" s="7" t="n">
        <f aca="false">SUMIFS(Doors!BF:BF,Doors!$A:$A,$D339,Doors!$B:$B,$B339,Doors!$C:$C,$C339)*SUMIFS(Velocity!$I:$I,Velocity!$A:$A,$A339,Velocity!$B:$B,$C339)/Assumptions!$B$4*Assumptions!$B$6</f>
        <v>0</v>
      </c>
      <c r="AU339" s="7" t="n">
        <f aca="false">SUMIFS(Doors!BG:BG,Doors!$A:$A,$D339,Doors!$B:$B,$B339,Doors!$C:$C,$C339)*SUMIFS(Velocity!$I:$I,Velocity!$A:$A,$A339,Velocity!$B:$B,$C339)/Assumptions!$B$4*Assumptions!$B$6</f>
        <v>0</v>
      </c>
      <c r="AV339" s="7" t="n">
        <f aca="false">SUMIFS(Doors!BH:BH,Doors!$A:$A,$D339,Doors!$B:$B,$B339,Doors!$C:$C,$C339)*SUMIFS(Velocity!$I:$I,Velocity!$A:$A,$A339,Velocity!$B:$B,$C339)/Assumptions!$B$4*Assumptions!$B$6</f>
        <v>0</v>
      </c>
      <c r="AW339" s="7" t="n">
        <f aca="false">SUMIFS(Doors!BI:BI,Doors!$A:$A,$D339,Doors!$B:$B,$B339,Doors!$C:$C,$C339)*SUMIFS(Velocity!$I:$I,Velocity!$A:$A,$A339,Velocity!$B:$B,$C339)/Assumptions!$B$4*Assumptions!$B$6</f>
        <v>0</v>
      </c>
      <c r="AX339" s="7" t="n">
        <f aca="false">SUMIFS(Doors!BJ:BJ,Doors!$A:$A,$D339,Doors!$B:$B,$B339,Doors!$C:$C,$C339)*SUMIFS(Velocity!$I:$I,Velocity!$A:$A,$A339,Velocity!$B:$B,$C339)/Assumptions!$B$4*Assumptions!$B$6</f>
        <v>0</v>
      </c>
      <c r="AY339" s="7" t="n">
        <f aca="false">SUMIFS(Doors!BK:BK,Doors!$A:$A,$D339,Doors!$B:$B,$B339,Doors!$C:$C,$C339)*SUMIFS(Velocity!$I:$I,Velocity!$A:$A,$A339,Velocity!$B:$B,$C339)/Assumptions!$B$4*Assumptions!$B$6</f>
        <v>0</v>
      </c>
      <c r="AZ339" s="7" t="n">
        <f aca="false">SUMIFS(Doors!BL:BL,Doors!$A:$A,$D339,Doors!$B:$B,$B339,Doors!$C:$C,$C339)*SUMIFS(Velocity!$I:$I,Velocity!$A:$A,$A339,Velocity!$B:$B,$C339)/Assumptions!$B$4*Assumptions!$B$6</f>
        <v>0</v>
      </c>
      <c r="BA339" s="7" t="n">
        <f aca="false">SUMIFS(Doors!BM:BM,Doors!$A:$A,$D339,Doors!$B:$B,$B339,Doors!$C:$C,$C339)*SUMIFS(Velocity!$I:$I,Velocity!$A:$A,$A339,Velocity!$B:$B,$C339)/Assumptions!$B$4*Assumptions!$B$6</f>
        <v>0</v>
      </c>
      <c r="BB339" s="7" t="n">
        <f aca="false">SUMIFS(Doors!BN:BN,Doors!$A:$A,$D339,Doors!$B:$B,$B339,Doors!$C:$C,$C339)*SUMIFS(Velocity!$I:$I,Velocity!$A:$A,$A339,Velocity!$B:$B,$C339)/Assumptions!$B$4*Assumptions!$B$6</f>
        <v>0</v>
      </c>
      <c r="BC339" s="7" t="n">
        <f aca="false">SUMIFS(Doors!BO:BO,Doors!$A:$A,$D339,Doors!$B:$B,$B339,Doors!$C:$C,$C339)*SUMIFS(Velocity!$I:$I,Velocity!$A:$A,$A339,Velocity!$B:$B,$C339)/Assumptions!$B$4*Assumptions!$B$6</f>
        <v>0</v>
      </c>
      <c r="BD339" s="7" t="n">
        <f aca="false">SUMIFS(Doors!BP:BP,Doors!$A:$A,$D339,Doors!$B:$B,$B339,Doors!$C:$C,$C339)*SUMIFS(Velocity!$I:$I,Velocity!$A:$A,$A339,Velocity!$B:$B,$C339)/Assumptions!$B$4*Assumptions!$B$6</f>
        <v>0</v>
      </c>
    </row>
    <row r="340" customFormat="false" ht="15" hidden="false" customHeight="false" outlineLevel="0" collapsed="false">
      <c r="A340" s="0" t="s">
        <v>111</v>
      </c>
      <c r="B340" s="0" t="s">
        <v>133</v>
      </c>
      <c r="C340" s="0" t="s">
        <v>116</v>
      </c>
      <c r="D340" s="0" t="s">
        <v>236</v>
      </c>
      <c r="E340" s="7" t="n">
        <f aca="false">SUMIFS(Doors!Q:Q,Doors!$A:$A,$D340,Doors!$B:$B,$B340,Doors!$C:$C,$C340)*SUMIFS(Velocity!$I:$I,Velocity!$A:$A,$A340,Velocity!$B:$B,$C340)/Assumptions!$B$4*Assumptions!$B$6</f>
        <v>0</v>
      </c>
      <c r="F340" s="7" t="n">
        <f aca="false">SUMIFS(Doors!R:R,Doors!$A:$A,$D340,Doors!$B:$B,$B340,Doors!$C:$C,$C340)*SUMIFS(Velocity!$I:$I,Velocity!$A:$A,$A340,Velocity!$B:$B,$C340)/Assumptions!$B$4*Assumptions!$B$6</f>
        <v>0</v>
      </c>
      <c r="G340" s="7" t="n">
        <f aca="false">SUMIFS(Doors!S:S,Doors!$A:$A,$D340,Doors!$B:$B,$B340,Doors!$C:$C,$C340)*SUMIFS(Velocity!$I:$I,Velocity!$A:$A,$A340,Velocity!$B:$B,$C340)/Assumptions!$B$4*Assumptions!$B$6</f>
        <v>0</v>
      </c>
      <c r="H340" s="7" t="n">
        <f aca="false">SUMIFS(Doors!T:T,Doors!$A:$A,$D340,Doors!$B:$B,$B340,Doors!$C:$C,$C340)*SUMIFS(Velocity!$I:$I,Velocity!$A:$A,$A340,Velocity!$B:$B,$C340)/Assumptions!$B$4*Assumptions!$B$6</f>
        <v>0</v>
      </c>
      <c r="I340" s="7" t="n">
        <f aca="false">SUMIFS(Doors!U:U,Doors!$A:$A,$D340,Doors!$B:$B,$B340,Doors!$C:$C,$C340)*SUMIFS(Velocity!$I:$I,Velocity!$A:$A,$A340,Velocity!$B:$B,$C340)/Assumptions!$B$4*Assumptions!$B$6</f>
        <v>0</v>
      </c>
      <c r="J340" s="7" t="n">
        <f aca="false">SUMIFS(Doors!V:V,Doors!$A:$A,$D340,Doors!$B:$B,$B340,Doors!$C:$C,$C340)*SUMIFS(Velocity!$I:$I,Velocity!$A:$A,$A340,Velocity!$B:$B,$C340)/Assumptions!$B$4*Assumptions!$B$6</f>
        <v>0</v>
      </c>
      <c r="K340" s="7" t="n">
        <f aca="false">SUMIFS(Doors!W:W,Doors!$A:$A,$D340,Doors!$B:$B,$B340,Doors!$C:$C,$C340)*SUMIFS(Velocity!$I:$I,Velocity!$A:$A,$A340,Velocity!$B:$B,$C340)/Assumptions!$B$4*Assumptions!$B$6</f>
        <v>0</v>
      </c>
      <c r="L340" s="7" t="n">
        <f aca="false">SUMIFS(Doors!X:X,Doors!$A:$A,$D340,Doors!$B:$B,$B340,Doors!$C:$C,$C340)*SUMIFS(Velocity!$I:$I,Velocity!$A:$A,$A340,Velocity!$B:$B,$C340)/Assumptions!$B$4*Assumptions!$B$6</f>
        <v>0</v>
      </c>
      <c r="M340" s="7" t="n">
        <f aca="false">SUMIFS(Doors!Y:Y,Doors!$A:$A,$D340,Doors!$B:$B,$B340,Doors!$C:$C,$C340)*SUMIFS(Velocity!$I:$I,Velocity!$A:$A,$A340,Velocity!$B:$B,$C340)/Assumptions!$B$4*Assumptions!$B$6</f>
        <v>0</v>
      </c>
      <c r="N340" s="7" t="n">
        <f aca="false">SUMIFS(Doors!Z:Z,Doors!$A:$A,$D340,Doors!$B:$B,$B340,Doors!$C:$C,$C340)*SUMIFS(Velocity!$I:$I,Velocity!$A:$A,$A340,Velocity!$B:$B,$C340)/Assumptions!$B$4*Assumptions!$B$6</f>
        <v>0</v>
      </c>
      <c r="O340" s="7" t="n">
        <f aca="false">SUMIFS(Doors!AA:AA,Doors!$A:$A,$D340,Doors!$B:$B,$B340,Doors!$C:$C,$C340)*SUMIFS(Velocity!$I:$I,Velocity!$A:$A,$A340,Velocity!$B:$B,$C340)/Assumptions!$B$4*Assumptions!$B$6</f>
        <v>0</v>
      </c>
      <c r="P340" s="7" t="n">
        <f aca="false">SUMIFS(Doors!AB:AB,Doors!$A:$A,$D340,Doors!$B:$B,$B340,Doors!$C:$C,$C340)*SUMIFS(Velocity!$I:$I,Velocity!$A:$A,$A340,Velocity!$B:$B,$C340)/Assumptions!$B$4*Assumptions!$B$6</f>
        <v>0</v>
      </c>
      <c r="Q340" s="7" t="n">
        <f aca="false">SUMIFS(Doors!AC:AC,Doors!$A:$A,$D340,Doors!$B:$B,$B340,Doors!$C:$C,$C340)*SUMIFS(Velocity!$I:$I,Velocity!$A:$A,$A340,Velocity!$B:$B,$C340)/Assumptions!$B$4*Assumptions!$B$6</f>
        <v>0</v>
      </c>
      <c r="R340" s="7" t="n">
        <f aca="false">SUMIFS(Doors!AD:AD,Doors!$A:$A,$D340,Doors!$B:$B,$B340,Doors!$C:$C,$C340)*SUMIFS(Velocity!$I:$I,Velocity!$A:$A,$A340,Velocity!$B:$B,$C340)/Assumptions!$B$4*Assumptions!$B$6</f>
        <v>0</v>
      </c>
      <c r="S340" s="7" t="n">
        <f aca="false">SUMIFS(Doors!AE:AE,Doors!$A:$A,$D340,Doors!$B:$B,$B340,Doors!$C:$C,$C340)*SUMIFS(Velocity!$I:$I,Velocity!$A:$A,$A340,Velocity!$B:$B,$C340)/Assumptions!$B$4*Assumptions!$B$6</f>
        <v>0</v>
      </c>
      <c r="T340" s="7" t="n">
        <f aca="false">SUMIFS(Doors!AF:AF,Doors!$A:$A,$D340,Doors!$B:$B,$B340,Doors!$C:$C,$C340)*SUMIFS(Velocity!$I:$I,Velocity!$A:$A,$A340,Velocity!$B:$B,$C340)/Assumptions!$B$4*Assumptions!$B$6</f>
        <v>0</v>
      </c>
      <c r="U340" s="7" t="n">
        <f aca="false">SUMIFS(Doors!AG:AG,Doors!$A:$A,$D340,Doors!$B:$B,$B340,Doors!$C:$C,$C340)*SUMIFS(Velocity!$I:$I,Velocity!$A:$A,$A340,Velocity!$B:$B,$C340)/Assumptions!$B$4*Assumptions!$B$6</f>
        <v>0</v>
      </c>
      <c r="V340" s="7" t="n">
        <f aca="false">SUMIFS(Doors!AH:AH,Doors!$A:$A,$D340,Doors!$B:$B,$B340,Doors!$C:$C,$C340)*SUMIFS(Velocity!$I:$I,Velocity!$A:$A,$A340,Velocity!$B:$B,$C340)/Assumptions!$B$4*Assumptions!$B$6</f>
        <v>0</v>
      </c>
      <c r="W340" s="7" t="n">
        <f aca="false">SUMIFS(Doors!AI:AI,Doors!$A:$A,$D340,Doors!$B:$B,$B340,Doors!$C:$C,$C340)*SUMIFS(Velocity!$I:$I,Velocity!$A:$A,$A340,Velocity!$B:$B,$C340)/Assumptions!$B$4*Assumptions!$B$6</f>
        <v>0</v>
      </c>
      <c r="X340" s="7" t="n">
        <f aca="false">SUMIFS(Doors!AJ:AJ,Doors!$A:$A,$D340,Doors!$B:$B,$B340,Doors!$C:$C,$C340)*SUMIFS(Velocity!$I:$I,Velocity!$A:$A,$A340,Velocity!$B:$B,$C340)/Assumptions!$B$4*Assumptions!$B$6</f>
        <v>0</v>
      </c>
      <c r="Y340" s="7" t="n">
        <f aca="false">SUMIFS(Doors!AK:AK,Doors!$A:$A,$D340,Doors!$B:$B,$B340,Doors!$C:$C,$C340)*SUMIFS(Velocity!$I:$I,Velocity!$A:$A,$A340,Velocity!$B:$B,$C340)/Assumptions!$B$4*Assumptions!$B$6</f>
        <v>0</v>
      </c>
      <c r="Z340" s="7" t="n">
        <f aca="false">SUMIFS(Doors!AL:AL,Doors!$A:$A,$D340,Doors!$B:$B,$B340,Doors!$C:$C,$C340)*SUMIFS(Velocity!$I:$I,Velocity!$A:$A,$A340,Velocity!$B:$B,$C340)/Assumptions!$B$4*Assumptions!$B$6</f>
        <v>0</v>
      </c>
      <c r="AA340" s="7" t="n">
        <f aca="false">SUMIFS(Doors!AM:AM,Doors!$A:$A,$D340,Doors!$B:$B,$B340,Doors!$C:$C,$C340)*SUMIFS(Velocity!$I:$I,Velocity!$A:$A,$A340,Velocity!$B:$B,$C340)/Assumptions!$B$4*Assumptions!$B$6</f>
        <v>0</v>
      </c>
      <c r="AB340" s="7" t="n">
        <f aca="false">SUMIFS(Doors!AN:AN,Doors!$A:$A,$D340,Doors!$B:$B,$B340,Doors!$C:$C,$C340)*SUMIFS(Velocity!$I:$I,Velocity!$A:$A,$A340,Velocity!$B:$B,$C340)/Assumptions!$B$4*Assumptions!$B$6</f>
        <v>0</v>
      </c>
      <c r="AC340" s="7" t="n">
        <f aca="false">SUMIFS(Doors!AO:AO,Doors!$A:$A,$D340,Doors!$B:$B,$B340,Doors!$C:$C,$C340)*SUMIFS(Velocity!$I:$I,Velocity!$A:$A,$A340,Velocity!$B:$B,$C340)/Assumptions!$B$4*Assumptions!$B$6</f>
        <v>0</v>
      </c>
      <c r="AD340" s="7" t="n">
        <f aca="false">SUMIFS(Doors!AP:AP,Doors!$A:$A,$D340,Doors!$B:$B,$B340,Doors!$C:$C,$C340)*SUMIFS(Velocity!$I:$I,Velocity!$A:$A,$A340,Velocity!$B:$B,$C340)/Assumptions!$B$4*Assumptions!$B$6</f>
        <v>0</v>
      </c>
      <c r="AE340" s="7" t="n">
        <f aca="false">SUMIFS(Doors!AQ:AQ,Doors!$A:$A,$D340,Doors!$B:$B,$B340,Doors!$C:$C,$C340)*SUMIFS(Velocity!$I:$I,Velocity!$A:$A,$A340,Velocity!$B:$B,$C340)/Assumptions!$B$4*Assumptions!$B$6</f>
        <v>0</v>
      </c>
      <c r="AF340" s="7" t="n">
        <f aca="false">SUMIFS(Doors!AR:AR,Doors!$A:$A,$D340,Doors!$B:$B,$B340,Doors!$C:$C,$C340)*SUMIFS(Velocity!$I:$I,Velocity!$A:$A,$A340,Velocity!$B:$B,$C340)/Assumptions!$B$4*Assumptions!$B$6</f>
        <v>0</v>
      </c>
      <c r="AG340" s="7" t="n">
        <f aca="false">SUMIFS(Doors!AS:AS,Doors!$A:$A,$D340,Doors!$B:$B,$B340,Doors!$C:$C,$C340)*SUMIFS(Velocity!$I:$I,Velocity!$A:$A,$A340,Velocity!$B:$B,$C340)/Assumptions!$B$4*Assumptions!$B$6</f>
        <v>0</v>
      </c>
      <c r="AH340" s="7" t="n">
        <f aca="false">SUMIFS(Doors!AT:AT,Doors!$A:$A,$D340,Doors!$B:$B,$B340,Doors!$C:$C,$C340)*SUMIFS(Velocity!$I:$I,Velocity!$A:$A,$A340,Velocity!$B:$B,$C340)/Assumptions!$B$4*Assumptions!$B$6</f>
        <v>0</v>
      </c>
      <c r="AI340" s="7" t="n">
        <f aca="false">SUMIFS(Doors!AU:AU,Doors!$A:$A,$D340,Doors!$B:$B,$B340,Doors!$C:$C,$C340)*SUMIFS(Velocity!$I:$I,Velocity!$A:$A,$A340,Velocity!$B:$B,$C340)/Assumptions!$B$4*Assumptions!$B$6</f>
        <v>0</v>
      </c>
      <c r="AJ340" s="7" t="n">
        <f aca="false">SUMIFS(Doors!AV:AV,Doors!$A:$A,$D340,Doors!$B:$B,$B340,Doors!$C:$C,$C340)*SUMIFS(Velocity!$I:$I,Velocity!$A:$A,$A340,Velocity!$B:$B,$C340)/Assumptions!$B$4*Assumptions!$B$6</f>
        <v>0</v>
      </c>
      <c r="AK340" s="7" t="n">
        <f aca="false">SUMIFS(Doors!AW:AW,Doors!$A:$A,$D340,Doors!$B:$B,$B340,Doors!$C:$C,$C340)*SUMIFS(Velocity!$I:$I,Velocity!$A:$A,$A340,Velocity!$B:$B,$C340)/Assumptions!$B$4*Assumptions!$B$6</f>
        <v>0</v>
      </c>
      <c r="AL340" s="7" t="n">
        <f aca="false">SUMIFS(Doors!AX:AX,Doors!$A:$A,$D340,Doors!$B:$B,$B340,Doors!$C:$C,$C340)*SUMIFS(Velocity!$I:$I,Velocity!$A:$A,$A340,Velocity!$B:$B,$C340)/Assumptions!$B$4*Assumptions!$B$6</f>
        <v>0</v>
      </c>
      <c r="AM340" s="7" t="n">
        <f aca="false">SUMIFS(Doors!AY:AY,Doors!$A:$A,$D340,Doors!$B:$B,$B340,Doors!$C:$C,$C340)*SUMIFS(Velocity!$I:$I,Velocity!$A:$A,$A340,Velocity!$B:$B,$C340)/Assumptions!$B$4*Assumptions!$B$6</f>
        <v>0</v>
      </c>
      <c r="AN340" s="7" t="n">
        <f aca="false">SUMIFS(Doors!AZ:AZ,Doors!$A:$A,$D340,Doors!$B:$B,$B340,Doors!$C:$C,$C340)*SUMIFS(Velocity!$I:$I,Velocity!$A:$A,$A340,Velocity!$B:$B,$C340)/Assumptions!$B$4*Assumptions!$B$6</f>
        <v>0</v>
      </c>
      <c r="AO340" s="7" t="n">
        <f aca="false">SUMIFS(Doors!BA:BA,Doors!$A:$A,$D340,Doors!$B:$B,$B340,Doors!$C:$C,$C340)*SUMIFS(Velocity!$I:$I,Velocity!$A:$A,$A340,Velocity!$B:$B,$C340)/Assumptions!$B$4*Assumptions!$B$6</f>
        <v>0</v>
      </c>
      <c r="AP340" s="7" t="n">
        <f aca="false">SUMIFS(Doors!BB:BB,Doors!$A:$A,$D340,Doors!$B:$B,$B340,Doors!$C:$C,$C340)*SUMIFS(Velocity!$I:$I,Velocity!$A:$A,$A340,Velocity!$B:$B,$C340)/Assumptions!$B$4*Assumptions!$B$6</f>
        <v>0</v>
      </c>
      <c r="AQ340" s="7" t="n">
        <f aca="false">SUMIFS(Doors!BC:BC,Doors!$A:$A,$D340,Doors!$B:$B,$B340,Doors!$C:$C,$C340)*SUMIFS(Velocity!$I:$I,Velocity!$A:$A,$A340,Velocity!$B:$B,$C340)/Assumptions!$B$4*Assumptions!$B$6</f>
        <v>0</v>
      </c>
      <c r="AR340" s="7" t="n">
        <f aca="false">SUMIFS(Doors!BD:BD,Doors!$A:$A,$D340,Doors!$B:$B,$B340,Doors!$C:$C,$C340)*SUMIFS(Velocity!$I:$I,Velocity!$A:$A,$A340,Velocity!$B:$B,$C340)/Assumptions!$B$4*Assumptions!$B$6</f>
        <v>0</v>
      </c>
      <c r="AS340" s="7" t="n">
        <f aca="false">SUMIFS(Doors!BE:BE,Doors!$A:$A,$D340,Doors!$B:$B,$B340,Doors!$C:$C,$C340)*SUMIFS(Velocity!$I:$I,Velocity!$A:$A,$A340,Velocity!$B:$B,$C340)/Assumptions!$B$4*Assumptions!$B$6</f>
        <v>0</v>
      </c>
      <c r="AT340" s="7" t="n">
        <f aca="false">SUMIFS(Doors!BF:BF,Doors!$A:$A,$D340,Doors!$B:$B,$B340,Doors!$C:$C,$C340)*SUMIFS(Velocity!$I:$I,Velocity!$A:$A,$A340,Velocity!$B:$B,$C340)/Assumptions!$B$4*Assumptions!$B$6</f>
        <v>0</v>
      </c>
      <c r="AU340" s="7" t="n">
        <f aca="false">SUMIFS(Doors!BG:BG,Doors!$A:$A,$D340,Doors!$B:$B,$B340,Doors!$C:$C,$C340)*SUMIFS(Velocity!$I:$I,Velocity!$A:$A,$A340,Velocity!$B:$B,$C340)/Assumptions!$B$4*Assumptions!$B$6</f>
        <v>0</v>
      </c>
      <c r="AV340" s="7" t="n">
        <f aca="false">SUMIFS(Doors!BH:BH,Doors!$A:$A,$D340,Doors!$B:$B,$B340,Doors!$C:$C,$C340)*SUMIFS(Velocity!$I:$I,Velocity!$A:$A,$A340,Velocity!$B:$B,$C340)/Assumptions!$B$4*Assumptions!$B$6</f>
        <v>0</v>
      </c>
      <c r="AW340" s="7" t="n">
        <f aca="false">SUMIFS(Doors!BI:BI,Doors!$A:$A,$D340,Doors!$B:$B,$B340,Doors!$C:$C,$C340)*SUMIFS(Velocity!$I:$I,Velocity!$A:$A,$A340,Velocity!$B:$B,$C340)/Assumptions!$B$4*Assumptions!$B$6</f>
        <v>0</v>
      </c>
      <c r="AX340" s="7" t="n">
        <f aca="false">SUMIFS(Doors!BJ:BJ,Doors!$A:$A,$D340,Doors!$B:$B,$B340,Doors!$C:$C,$C340)*SUMIFS(Velocity!$I:$I,Velocity!$A:$A,$A340,Velocity!$B:$B,$C340)/Assumptions!$B$4*Assumptions!$B$6</f>
        <v>0</v>
      </c>
      <c r="AY340" s="7" t="n">
        <f aca="false">SUMIFS(Doors!BK:BK,Doors!$A:$A,$D340,Doors!$B:$B,$B340,Doors!$C:$C,$C340)*SUMIFS(Velocity!$I:$I,Velocity!$A:$A,$A340,Velocity!$B:$B,$C340)/Assumptions!$B$4*Assumptions!$B$6</f>
        <v>0</v>
      </c>
      <c r="AZ340" s="7" t="n">
        <f aca="false">SUMIFS(Doors!BL:BL,Doors!$A:$A,$D340,Doors!$B:$B,$B340,Doors!$C:$C,$C340)*SUMIFS(Velocity!$I:$I,Velocity!$A:$A,$A340,Velocity!$B:$B,$C340)/Assumptions!$B$4*Assumptions!$B$6</f>
        <v>0</v>
      </c>
      <c r="BA340" s="7" t="n">
        <f aca="false">SUMIFS(Doors!BM:BM,Doors!$A:$A,$D340,Doors!$B:$B,$B340,Doors!$C:$C,$C340)*SUMIFS(Velocity!$I:$I,Velocity!$A:$A,$A340,Velocity!$B:$B,$C340)/Assumptions!$B$4*Assumptions!$B$6</f>
        <v>0</v>
      </c>
      <c r="BB340" s="7" t="n">
        <f aca="false">SUMIFS(Doors!BN:BN,Doors!$A:$A,$D340,Doors!$B:$B,$B340,Doors!$C:$C,$C340)*SUMIFS(Velocity!$I:$I,Velocity!$A:$A,$A340,Velocity!$B:$B,$C340)/Assumptions!$B$4*Assumptions!$B$6</f>
        <v>0</v>
      </c>
      <c r="BC340" s="7" t="n">
        <f aca="false">SUMIFS(Doors!BO:BO,Doors!$A:$A,$D340,Doors!$B:$B,$B340,Doors!$C:$C,$C340)*SUMIFS(Velocity!$I:$I,Velocity!$A:$A,$A340,Velocity!$B:$B,$C340)/Assumptions!$B$4*Assumptions!$B$6</f>
        <v>0</v>
      </c>
      <c r="BD340" s="7" t="n">
        <f aca="false">SUMIFS(Doors!BP:BP,Doors!$A:$A,$D340,Doors!$B:$B,$B340,Doors!$C:$C,$C340)*SUMIFS(Velocity!$I:$I,Velocity!$A:$A,$A340,Velocity!$B:$B,$C340)/Assumptions!$B$4*Assumptions!$B$6</f>
        <v>0</v>
      </c>
    </row>
    <row r="341" customFormat="false" ht="15" hidden="false" customHeight="false" outlineLevel="0" collapsed="false">
      <c r="A341" s="0" t="s">
        <v>111</v>
      </c>
      <c r="B341" s="0" t="s">
        <v>133</v>
      </c>
      <c r="C341" s="0" t="s">
        <v>117</v>
      </c>
      <c r="D341" s="0" t="s">
        <v>236</v>
      </c>
      <c r="E341" s="7" t="n">
        <f aca="false">SUMIFS(Doors!Q:Q,Doors!$A:$A,$D341,Doors!$B:$B,$B341,Doors!$C:$C,$C341)*SUMIFS(Velocity!$I:$I,Velocity!$A:$A,$A341,Velocity!$B:$B,$C341)/Assumptions!$B$4*Assumptions!$B$6</f>
        <v>0</v>
      </c>
      <c r="F341" s="7" t="n">
        <f aca="false">SUMIFS(Doors!R:R,Doors!$A:$A,$D341,Doors!$B:$B,$B341,Doors!$C:$C,$C341)*SUMIFS(Velocity!$I:$I,Velocity!$A:$A,$A341,Velocity!$B:$B,$C341)/Assumptions!$B$4*Assumptions!$B$6</f>
        <v>0</v>
      </c>
      <c r="G341" s="7" t="n">
        <f aca="false">SUMIFS(Doors!S:S,Doors!$A:$A,$D341,Doors!$B:$B,$B341,Doors!$C:$C,$C341)*SUMIFS(Velocity!$I:$I,Velocity!$A:$A,$A341,Velocity!$B:$B,$C341)/Assumptions!$B$4*Assumptions!$B$6</f>
        <v>0</v>
      </c>
      <c r="H341" s="7" t="n">
        <f aca="false">SUMIFS(Doors!T:T,Doors!$A:$A,$D341,Doors!$B:$B,$B341,Doors!$C:$C,$C341)*SUMIFS(Velocity!$I:$I,Velocity!$A:$A,$A341,Velocity!$B:$B,$C341)/Assumptions!$B$4*Assumptions!$B$6</f>
        <v>0</v>
      </c>
      <c r="I341" s="7" t="n">
        <f aca="false">SUMIFS(Doors!U:U,Doors!$A:$A,$D341,Doors!$B:$B,$B341,Doors!$C:$C,$C341)*SUMIFS(Velocity!$I:$I,Velocity!$A:$A,$A341,Velocity!$B:$B,$C341)/Assumptions!$B$4*Assumptions!$B$6</f>
        <v>0</v>
      </c>
      <c r="J341" s="7" t="n">
        <f aca="false">SUMIFS(Doors!V:V,Doors!$A:$A,$D341,Doors!$B:$B,$B341,Doors!$C:$C,$C341)*SUMIFS(Velocity!$I:$I,Velocity!$A:$A,$A341,Velocity!$B:$B,$C341)/Assumptions!$B$4*Assumptions!$B$6</f>
        <v>0</v>
      </c>
      <c r="K341" s="7" t="n">
        <f aca="false">SUMIFS(Doors!W:W,Doors!$A:$A,$D341,Doors!$B:$B,$B341,Doors!$C:$C,$C341)*SUMIFS(Velocity!$I:$I,Velocity!$A:$A,$A341,Velocity!$B:$B,$C341)/Assumptions!$B$4*Assumptions!$B$6</f>
        <v>0</v>
      </c>
      <c r="L341" s="7" t="n">
        <f aca="false">SUMIFS(Doors!X:X,Doors!$A:$A,$D341,Doors!$B:$B,$B341,Doors!$C:$C,$C341)*SUMIFS(Velocity!$I:$I,Velocity!$A:$A,$A341,Velocity!$B:$B,$C341)/Assumptions!$B$4*Assumptions!$B$6</f>
        <v>0</v>
      </c>
      <c r="M341" s="7" t="n">
        <f aca="false">SUMIFS(Doors!Y:Y,Doors!$A:$A,$D341,Doors!$B:$B,$B341,Doors!$C:$C,$C341)*SUMIFS(Velocity!$I:$I,Velocity!$A:$A,$A341,Velocity!$B:$B,$C341)/Assumptions!$B$4*Assumptions!$B$6</f>
        <v>0</v>
      </c>
      <c r="N341" s="7" t="n">
        <f aca="false">SUMIFS(Doors!Z:Z,Doors!$A:$A,$D341,Doors!$B:$B,$B341,Doors!$C:$C,$C341)*SUMIFS(Velocity!$I:$I,Velocity!$A:$A,$A341,Velocity!$B:$B,$C341)/Assumptions!$B$4*Assumptions!$B$6</f>
        <v>0</v>
      </c>
      <c r="O341" s="7" t="n">
        <f aca="false">SUMIFS(Doors!AA:AA,Doors!$A:$A,$D341,Doors!$B:$B,$B341,Doors!$C:$C,$C341)*SUMIFS(Velocity!$I:$I,Velocity!$A:$A,$A341,Velocity!$B:$B,$C341)/Assumptions!$B$4*Assumptions!$B$6</f>
        <v>0</v>
      </c>
      <c r="P341" s="7" t="n">
        <f aca="false">SUMIFS(Doors!AB:AB,Doors!$A:$A,$D341,Doors!$B:$B,$B341,Doors!$C:$C,$C341)*SUMIFS(Velocity!$I:$I,Velocity!$A:$A,$A341,Velocity!$B:$B,$C341)/Assumptions!$B$4*Assumptions!$B$6</f>
        <v>0</v>
      </c>
      <c r="Q341" s="7" t="n">
        <f aca="false">SUMIFS(Doors!AC:AC,Doors!$A:$A,$D341,Doors!$B:$B,$B341,Doors!$C:$C,$C341)*SUMIFS(Velocity!$I:$I,Velocity!$A:$A,$A341,Velocity!$B:$B,$C341)/Assumptions!$B$4*Assumptions!$B$6</f>
        <v>0</v>
      </c>
      <c r="R341" s="7" t="n">
        <f aca="false">SUMIFS(Doors!AD:AD,Doors!$A:$A,$D341,Doors!$B:$B,$B341,Doors!$C:$C,$C341)*SUMIFS(Velocity!$I:$I,Velocity!$A:$A,$A341,Velocity!$B:$B,$C341)/Assumptions!$B$4*Assumptions!$B$6</f>
        <v>0</v>
      </c>
      <c r="S341" s="7" t="n">
        <f aca="false">SUMIFS(Doors!AE:AE,Doors!$A:$A,$D341,Doors!$B:$B,$B341,Doors!$C:$C,$C341)*SUMIFS(Velocity!$I:$I,Velocity!$A:$A,$A341,Velocity!$B:$B,$C341)/Assumptions!$B$4*Assumptions!$B$6</f>
        <v>0</v>
      </c>
      <c r="T341" s="7" t="n">
        <f aca="false">SUMIFS(Doors!AF:AF,Doors!$A:$A,$D341,Doors!$B:$B,$B341,Doors!$C:$C,$C341)*SUMIFS(Velocity!$I:$I,Velocity!$A:$A,$A341,Velocity!$B:$B,$C341)/Assumptions!$B$4*Assumptions!$B$6</f>
        <v>0</v>
      </c>
      <c r="U341" s="7" t="n">
        <f aca="false">SUMIFS(Doors!AG:AG,Doors!$A:$A,$D341,Doors!$B:$B,$B341,Doors!$C:$C,$C341)*SUMIFS(Velocity!$I:$I,Velocity!$A:$A,$A341,Velocity!$B:$B,$C341)/Assumptions!$B$4*Assumptions!$B$6</f>
        <v>0</v>
      </c>
      <c r="V341" s="7" t="n">
        <f aca="false">SUMIFS(Doors!AH:AH,Doors!$A:$A,$D341,Doors!$B:$B,$B341,Doors!$C:$C,$C341)*SUMIFS(Velocity!$I:$I,Velocity!$A:$A,$A341,Velocity!$B:$B,$C341)/Assumptions!$B$4*Assumptions!$B$6</f>
        <v>0</v>
      </c>
      <c r="W341" s="7" t="n">
        <f aca="false">SUMIFS(Doors!AI:AI,Doors!$A:$A,$D341,Doors!$B:$B,$B341,Doors!$C:$C,$C341)*SUMIFS(Velocity!$I:$I,Velocity!$A:$A,$A341,Velocity!$B:$B,$C341)/Assumptions!$B$4*Assumptions!$B$6</f>
        <v>0</v>
      </c>
      <c r="X341" s="7" t="n">
        <f aca="false">SUMIFS(Doors!AJ:AJ,Doors!$A:$A,$D341,Doors!$B:$B,$B341,Doors!$C:$C,$C341)*SUMIFS(Velocity!$I:$I,Velocity!$A:$A,$A341,Velocity!$B:$B,$C341)/Assumptions!$B$4*Assumptions!$B$6</f>
        <v>0</v>
      </c>
      <c r="Y341" s="7" t="n">
        <f aca="false">SUMIFS(Doors!AK:AK,Doors!$A:$A,$D341,Doors!$B:$B,$B341,Doors!$C:$C,$C341)*SUMIFS(Velocity!$I:$I,Velocity!$A:$A,$A341,Velocity!$B:$B,$C341)/Assumptions!$B$4*Assumptions!$B$6</f>
        <v>0</v>
      </c>
      <c r="Z341" s="7" t="n">
        <f aca="false">SUMIFS(Doors!AL:AL,Doors!$A:$A,$D341,Doors!$B:$B,$B341,Doors!$C:$C,$C341)*SUMIFS(Velocity!$I:$I,Velocity!$A:$A,$A341,Velocity!$B:$B,$C341)/Assumptions!$B$4*Assumptions!$B$6</f>
        <v>0</v>
      </c>
      <c r="AA341" s="7" t="n">
        <f aca="false">SUMIFS(Doors!AM:AM,Doors!$A:$A,$D341,Doors!$B:$B,$B341,Doors!$C:$C,$C341)*SUMIFS(Velocity!$I:$I,Velocity!$A:$A,$A341,Velocity!$B:$B,$C341)/Assumptions!$B$4*Assumptions!$B$6</f>
        <v>0</v>
      </c>
      <c r="AB341" s="7" t="n">
        <f aca="false">SUMIFS(Doors!AN:AN,Doors!$A:$A,$D341,Doors!$B:$B,$B341,Doors!$C:$C,$C341)*SUMIFS(Velocity!$I:$I,Velocity!$A:$A,$A341,Velocity!$B:$B,$C341)/Assumptions!$B$4*Assumptions!$B$6</f>
        <v>0</v>
      </c>
      <c r="AC341" s="7" t="n">
        <f aca="false">SUMIFS(Doors!AO:AO,Doors!$A:$A,$D341,Doors!$B:$B,$B341,Doors!$C:$C,$C341)*SUMIFS(Velocity!$I:$I,Velocity!$A:$A,$A341,Velocity!$B:$B,$C341)/Assumptions!$B$4*Assumptions!$B$6</f>
        <v>0</v>
      </c>
      <c r="AD341" s="7" t="n">
        <f aca="false">SUMIFS(Doors!AP:AP,Doors!$A:$A,$D341,Doors!$B:$B,$B341,Doors!$C:$C,$C341)*SUMIFS(Velocity!$I:$I,Velocity!$A:$A,$A341,Velocity!$B:$B,$C341)/Assumptions!$B$4*Assumptions!$B$6</f>
        <v>0</v>
      </c>
      <c r="AE341" s="7" t="n">
        <f aca="false">SUMIFS(Doors!AQ:AQ,Doors!$A:$A,$D341,Doors!$B:$B,$B341,Doors!$C:$C,$C341)*SUMIFS(Velocity!$I:$I,Velocity!$A:$A,$A341,Velocity!$B:$B,$C341)/Assumptions!$B$4*Assumptions!$B$6</f>
        <v>0</v>
      </c>
      <c r="AF341" s="7" t="n">
        <f aca="false">SUMIFS(Doors!AR:AR,Doors!$A:$A,$D341,Doors!$B:$B,$B341,Doors!$C:$C,$C341)*SUMIFS(Velocity!$I:$I,Velocity!$A:$A,$A341,Velocity!$B:$B,$C341)/Assumptions!$B$4*Assumptions!$B$6</f>
        <v>0</v>
      </c>
      <c r="AG341" s="7" t="n">
        <f aca="false">SUMIFS(Doors!AS:AS,Doors!$A:$A,$D341,Doors!$B:$B,$B341,Doors!$C:$C,$C341)*SUMIFS(Velocity!$I:$I,Velocity!$A:$A,$A341,Velocity!$B:$B,$C341)/Assumptions!$B$4*Assumptions!$B$6</f>
        <v>0</v>
      </c>
      <c r="AH341" s="7" t="n">
        <f aca="false">SUMIFS(Doors!AT:AT,Doors!$A:$A,$D341,Doors!$B:$B,$B341,Doors!$C:$C,$C341)*SUMIFS(Velocity!$I:$I,Velocity!$A:$A,$A341,Velocity!$B:$B,$C341)/Assumptions!$B$4*Assumptions!$B$6</f>
        <v>0</v>
      </c>
      <c r="AI341" s="7" t="n">
        <f aca="false">SUMIFS(Doors!AU:AU,Doors!$A:$A,$D341,Doors!$B:$B,$B341,Doors!$C:$C,$C341)*SUMIFS(Velocity!$I:$I,Velocity!$A:$A,$A341,Velocity!$B:$B,$C341)/Assumptions!$B$4*Assumptions!$B$6</f>
        <v>0</v>
      </c>
      <c r="AJ341" s="7" t="n">
        <f aca="false">SUMIFS(Doors!AV:AV,Doors!$A:$A,$D341,Doors!$B:$B,$B341,Doors!$C:$C,$C341)*SUMIFS(Velocity!$I:$I,Velocity!$A:$A,$A341,Velocity!$B:$B,$C341)/Assumptions!$B$4*Assumptions!$B$6</f>
        <v>0</v>
      </c>
      <c r="AK341" s="7" t="n">
        <f aca="false">SUMIFS(Doors!AW:AW,Doors!$A:$A,$D341,Doors!$B:$B,$B341,Doors!$C:$C,$C341)*SUMIFS(Velocity!$I:$I,Velocity!$A:$A,$A341,Velocity!$B:$B,$C341)/Assumptions!$B$4*Assumptions!$B$6</f>
        <v>0</v>
      </c>
      <c r="AL341" s="7" t="n">
        <f aca="false">SUMIFS(Doors!AX:AX,Doors!$A:$A,$D341,Doors!$B:$B,$B341,Doors!$C:$C,$C341)*SUMIFS(Velocity!$I:$I,Velocity!$A:$A,$A341,Velocity!$B:$B,$C341)/Assumptions!$B$4*Assumptions!$B$6</f>
        <v>0</v>
      </c>
      <c r="AM341" s="7" t="n">
        <f aca="false">SUMIFS(Doors!AY:AY,Doors!$A:$A,$D341,Doors!$B:$B,$B341,Doors!$C:$C,$C341)*SUMIFS(Velocity!$I:$I,Velocity!$A:$A,$A341,Velocity!$B:$B,$C341)/Assumptions!$B$4*Assumptions!$B$6</f>
        <v>0</v>
      </c>
      <c r="AN341" s="7" t="n">
        <f aca="false">SUMIFS(Doors!AZ:AZ,Doors!$A:$A,$D341,Doors!$B:$B,$B341,Doors!$C:$C,$C341)*SUMIFS(Velocity!$I:$I,Velocity!$A:$A,$A341,Velocity!$B:$B,$C341)/Assumptions!$B$4*Assumptions!$B$6</f>
        <v>0</v>
      </c>
      <c r="AO341" s="7" t="n">
        <f aca="false">SUMIFS(Doors!BA:BA,Doors!$A:$A,$D341,Doors!$B:$B,$B341,Doors!$C:$C,$C341)*SUMIFS(Velocity!$I:$I,Velocity!$A:$A,$A341,Velocity!$B:$B,$C341)/Assumptions!$B$4*Assumptions!$B$6</f>
        <v>0</v>
      </c>
      <c r="AP341" s="7" t="n">
        <f aca="false">SUMIFS(Doors!BB:BB,Doors!$A:$A,$D341,Doors!$B:$B,$B341,Doors!$C:$C,$C341)*SUMIFS(Velocity!$I:$I,Velocity!$A:$A,$A341,Velocity!$B:$B,$C341)/Assumptions!$B$4*Assumptions!$B$6</f>
        <v>0</v>
      </c>
      <c r="AQ341" s="7" t="n">
        <f aca="false">SUMIFS(Doors!BC:BC,Doors!$A:$A,$D341,Doors!$B:$B,$B341,Doors!$C:$C,$C341)*SUMIFS(Velocity!$I:$I,Velocity!$A:$A,$A341,Velocity!$B:$B,$C341)/Assumptions!$B$4*Assumptions!$B$6</f>
        <v>0</v>
      </c>
      <c r="AR341" s="7" t="n">
        <f aca="false">SUMIFS(Doors!BD:BD,Doors!$A:$A,$D341,Doors!$B:$B,$B341,Doors!$C:$C,$C341)*SUMIFS(Velocity!$I:$I,Velocity!$A:$A,$A341,Velocity!$B:$B,$C341)/Assumptions!$B$4*Assumptions!$B$6</f>
        <v>0</v>
      </c>
      <c r="AS341" s="7" t="n">
        <f aca="false">SUMIFS(Doors!BE:BE,Doors!$A:$A,$D341,Doors!$B:$B,$B341,Doors!$C:$C,$C341)*SUMIFS(Velocity!$I:$I,Velocity!$A:$A,$A341,Velocity!$B:$B,$C341)/Assumptions!$B$4*Assumptions!$B$6</f>
        <v>0</v>
      </c>
      <c r="AT341" s="7" t="n">
        <f aca="false">SUMIFS(Doors!BF:BF,Doors!$A:$A,$D341,Doors!$B:$B,$B341,Doors!$C:$C,$C341)*SUMIFS(Velocity!$I:$I,Velocity!$A:$A,$A341,Velocity!$B:$B,$C341)/Assumptions!$B$4*Assumptions!$B$6</f>
        <v>0</v>
      </c>
      <c r="AU341" s="7" t="n">
        <f aca="false">SUMIFS(Doors!BG:BG,Doors!$A:$A,$D341,Doors!$B:$B,$B341,Doors!$C:$C,$C341)*SUMIFS(Velocity!$I:$I,Velocity!$A:$A,$A341,Velocity!$B:$B,$C341)/Assumptions!$B$4*Assumptions!$B$6</f>
        <v>0</v>
      </c>
      <c r="AV341" s="7" t="n">
        <f aca="false">SUMIFS(Doors!BH:BH,Doors!$A:$A,$D341,Doors!$B:$B,$B341,Doors!$C:$C,$C341)*SUMIFS(Velocity!$I:$I,Velocity!$A:$A,$A341,Velocity!$B:$B,$C341)/Assumptions!$B$4*Assumptions!$B$6</f>
        <v>0</v>
      </c>
      <c r="AW341" s="7" t="n">
        <f aca="false">SUMIFS(Doors!BI:BI,Doors!$A:$A,$D341,Doors!$B:$B,$B341,Doors!$C:$C,$C341)*SUMIFS(Velocity!$I:$I,Velocity!$A:$A,$A341,Velocity!$B:$B,$C341)/Assumptions!$B$4*Assumptions!$B$6</f>
        <v>0</v>
      </c>
      <c r="AX341" s="7" t="n">
        <f aca="false">SUMIFS(Doors!BJ:BJ,Doors!$A:$A,$D341,Doors!$B:$B,$B341,Doors!$C:$C,$C341)*SUMIFS(Velocity!$I:$I,Velocity!$A:$A,$A341,Velocity!$B:$B,$C341)/Assumptions!$B$4*Assumptions!$B$6</f>
        <v>0</v>
      </c>
      <c r="AY341" s="7" t="n">
        <f aca="false">SUMIFS(Doors!BK:BK,Doors!$A:$A,$D341,Doors!$B:$B,$B341,Doors!$C:$C,$C341)*SUMIFS(Velocity!$I:$I,Velocity!$A:$A,$A341,Velocity!$B:$B,$C341)/Assumptions!$B$4*Assumptions!$B$6</f>
        <v>0</v>
      </c>
      <c r="AZ341" s="7" t="n">
        <f aca="false">SUMIFS(Doors!BL:BL,Doors!$A:$A,$D341,Doors!$B:$B,$B341,Doors!$C:$C,$C341)*SUMIFS(Velocity!$I:$I,Velocity!$A:$A,$A341,Velocity!$B:$B,$C341)/Assumptions!$B$4*Assumptions!$B$6</f>
        <v>0</v>
      </c>
      <c r="BA341" s="7" t="n">
        <f aca="false">SUMIFS(Doors!BM:BM,Doors!$A:$A,$D341,Doors!$B:$B,$B341,Doors!$C:$C,$C341)*SUMIFS(Velocity!$I:$I,Velocity!$A:$A,$A341,Velocity!$B:$B,$C341)/Assumptions!$B$4*Assumptions!$B$6</f>
        <v>0</v>
      </c>
      <c r="BB341" s="7" t="n">
        <f aca="false">SUMIFS(Doors!BN:BN,Doors!$A:$A,$D341,Doors!$B:$B,$B341,Doors!$C:$C,$C341)*SUMIFS(Velocity!$I:$I,Velocity!$A:$A,$A341,Velocity!$B:$B,$C341)/Assumptions!$B$4*Assumptions!$B$6</f>
        <v>0</v>
      </c>
      <c r="BC341" s="7" t="n">
        <f aca="false">SUMIFS(Doors!BO:BO,Doors!$A:$A,$D341,Doors!$B:$B,$B341,Doors!$C:$C,$C341)*SUMIFS(Velocity!$I:$I,Velocity!$A:$A,$A341,Velocity!$B:$B,$C341)/Assumptions!$B$4*Assumptions!$B$6</f>
        <v>0</v>
      </c>
      <c r="BD341" s="7" t="n">
        <f aca="false">SUMIFS(Doors!BP:BP,Doors!$A:$A,$D341,Doors!$B:$B,$B341,Doors!$C:$C,$C341)*SUMIFS(Velocity!$I:$I,Velocity!$A:$A,$A341,Velocity!$B:$B,$C341)/Assumptions!$B$4*Assumptions!$B$6</f>
        <v>0</v>
      </c>
    </row>
    <row r="342" customFormat="false" ht="15" hidden="false" customHeight="false" outlineLevel="0" collapsed="false">
      <c r="A342" s="0" t="s">
        <v>111</v>
      </c>
      <c r="B342" s="0" t="s">
        <v>133</v>
      </c>
      <c r="C342" s="0" t="s">
        <v>118</v>
      </c>
      <c r="D342" s="0" t="s">
        <v>236</v>
      </c>
      <c r="E342" s="7" t="n">
        <f aca="false">SUMIFS(Doors!Q:Q,Doors!$A:$A,$D342,Doors!$B:$B,$B342,Doors!$C:$C,$C342)*SUMIFS(Velocity!$I:$I,Velocity!$A:$A,$A342,Velocity!$B:$B,$C342)/Assumptions!$B$4*Assumptions!$B$6</f>
        <v>0</v>
      </c>
      <c r="F342" s="7" t="n">
        <f aca="false">SUMIFS(Doors!R:R,Doors!$A:$A,$D342,Doors!$B:$B,$B342,Doors!$C:$C,$C342)*SUMIFS(Velocity!$I:$I,Velocity!$A:$A,$A342,Velocity!$B:$B,$C342)/Assumptions!$B$4*Assumptions!$B$6</f>
        <v>0</v>
      </c>
      <c r="G342" s="7" t="n">
        <f aca="false">SUMIFS(Doors!S:S,Doors!$A:$A,$D342,Doors!$B:$B,$B342,Doors!$C:$C,$C342)*SUMIFS(Velocity!$I:$I,Velocity!$A:$A,$A342,Velocity!$B:$B,$C342)/Assumptions!$B$4*Assumptions!$B$6</f>
        <v>0</v>
      </c>
      <c r="H342" s="7" t="n">
        <f aca="false">SUMIFS(Doors!T:T,Doors!$A:$A,$D342,Doors!$B:$B,$B342,Doors!$C:$C,$C342)*SUMIFS(Velocity!$I:$I,Velocity!$A:$A,$A342,Velocity!$B:$B,$C342)/Assumptions!$B$4*Assumptions!$B$6</f>
        <v>0</v>
      </c>
      <c r="I342" s="7" t="n">
        <f aca="false">SUMIFS(Doors!U:U,Doors!$A:$A,$D342,Doors!$B:$B,$B342,Doors!$C:$C,$C342)*SUMIFS(Velocity!$I:$I,Velocity!$A:$A,$A342,Velocity!$B:$B,$C342)/Assumptions!$B$4*Assumptions!$B$6</f>
        <v>0</v>
      </c>
      <c r="J342" s="7" t="n">
        <f aca="false">SUMIFS(Doors!V:V,Doors!$A:$A,$D342,Doors!$B:$B,$B342,Doors!$C:$C,$C342)*SUMIFS(Velocity!$I:$I,Velocity!$A:$A,$A342,Velocity!$B:$B,$C342)/Assumptions!$B$4*Assumptions!$B$6</f>
        <v>0</v>
      </c>
      <c r="K342" s="7" t="n">
        <f aca="false">SUMIFS(Doors!W:W,Doors!$A:$A,$D342,Doors!$B:$B,$B342,Doors!$C:$C,$C342)*SUMIFS(Velocity!$I:$I,Velocity!$A:$A,$A342,Velocity!$B:$B,$C342)/Assumptions!$B$4*Assumptions!$B$6</f>
        <v>0</v>
      </c>
      <c r="L342" s="7" t="n">
        <f aca="false">SUMIFS(Doors!X:X,Doors!$A:$A,$D342,Doors!$B:$B,$B342,Doors!$C:$C,$C342)*SUMIFS(Velocity!$I:$I,Velocity!$A:$A,$A342,Velocity!$B:$B,$C342)/Assumptions!$B$4*Assumptions!$B$6</f>
        <v>0</v>
      </c>
      <c r="M342" s="7" t="n">
        <f aca="false">SUMIFS(Doors!Y:Y,Doors!$A:$A,$D342,Doors!$B:$B,$B342,Doors!$C:$C,$C342)*SUMIFS(Velocity!$I:$I,Velocity!$A:$A,$A342,Velocity!$B:$B,$C342)/Assumptions!$B$4*Assumptions!$B$6</f>
        <v>0</v>
      </c>
      <c r="N342" s="7" t="n">
        <f aca="false">SUMIFS(Doors!Z:Z,Doors!$A:$A,$D342,Doors!$B:$B,$B342,Doors!$C:$C,$C342)*SUMIFS(Velocity!$I:$I,Velocity!$A:$A,$A342,Velocity!$B:$B,$C342)/Assumptions!$B$4*Assumptions!$B$6</f>
        <v>0</v>
      </c>
      <c r="O342" s="7" t="n">
        <f aca="false">SUMIFS(Doors!AA:AA,Doors!$A:$A,$D342,Doors!$B:$B,$B342,Doors!$C:$C,$C342)*SUMIFS(Velocity!$I:$I,Velocity!$A:$A,$A342,Velocity!$B:$B,$C342)/Assumptions!$B$4*Assumptions!$B$6</f>
        <v>0</v>
      </c>
      <c r="P342" s="7" t="n">
        <f aca="false">SUMIFS(Doors!AB:AB,Doors!$A:$A,$D342,Doors!$B:$B,$B342,Doors!$C:$C,$C342)*SUMIFS(Velocity!$I:$I,Velocity!$A:$A,$A342,Velocity!$B:$B,$C342)/Assumptions!$B$4*Assumptions!$B$6</f>
        <v>0</v>
      </c>
      <c r="Q342" s="7" t="n">
        <f aca="false">SUMIFS(Doors!AC:AC,Doors!$A:$A,$D342,Doors!$B:$B,$B342,Doors!$C:$C,$C342)*SUMIFS(Velocity!$I:$I,Velocity!$A:$A,$A342,Velocity!$B:$B,$C342)/Assumptions!$B$4*Assumptions!$B$6</f>
        <v>0</v>
      </c>
      <c r="R342" s="7" t="n">
        <f aca="false">SUMIFS(Doors!AD:AD,Doors!$A:$A,$D342,Doors!$B:$B,$B342,Doors!$C:$C,$C342)*SUMIFS(Velocity!$I:$I,Velocity!$A:$A,$A342,Velocity!$B:$B,$C342)/Assumptions!$B$4*Assumptions!$B$6</f>
        <v>0</v>
      </c>
      <c r="S342" s="7" t="n">
        <f aca="false">SUMIFS(Doors!AE:AE,Doors!$A:$A,$D342,Doors!$B:$B,$B342,Doors!$C:$C,$C342)*SUMIFS(Velocity!$I:$I,Velocity!$A:$A,$A342,Velocity!$B:$B,$C342)/Assumptions!$B$4*Assumptions!$B$6</f>
        <v>0</v>
      </c>
      <c r="T342" s="7" t="n">
        <f aca="false">SUMIFS(Doors!AF:AF,Doors!$A:$A,$D342,Doors!$B:$B,$B342,Doors!$C:$C,$C342)*SUMIFS(Velocity!$I:$I,Velocity!$A:$A,$A342,Velocity!$B:$B,$C342)/Assumptions!$B$4*Assumptions!$B$6</f>
        <v>0</v>
      </c>
      <c r="U342" s="7" t="n">
        <f aca="false">SUMIFS(Doors!AG:AG,Doors!$A:$A,$D342,Doors!$B:$B,$B342,Doors!$C:$C,$C342)*SUMIFS(Velocity!$I:$I,Velocity!$A:$A,$A342,Velocity!$B:$B,$C342)/Assumptions!$B$4*Assumptions!$B$6</f>
        <v>0</v>
      </c>
      <c r="V342" s="7" t="n">
        <f aca="false">SUMIFS(Doors!AH:AH,Doors!$A:$A,$D342,Doors!$B:$B,$B342,Doors!$C:$C,$C342)*SUMIFS(Velocity!$I:$I,Velocity!$A:$A,$A342,Velocity!$B:$B,$C342)/Assumptions!$B$4*Assumptions!$B$6</f>
        <v>0</v>
      </c>
      <c r="W342" s="7" t="n">
        <f aca="false">SUMIFS(Doors!AI:AI,Doors!$A:$A,$D342,Doors!$B:$B,$B342,Doors!$C:$C,$C342)*SUMIFS(Velocity!$I:$I,Velocity!$A:$A,$A342,Velocity!$B:$B,$C342)/Assumptions!$B$4*Assumptions!$B$6</f>
        <v>0</v>
      </c>
      <c r="X342" s="7" t="n">
        <f aca="false">SUMIFS(Doors!AJ:AJ,Doors!$A:$A,$D342,Doors!$B:$B,$B342,Doors!$C:$C,$C342)*SUMIFS(Velocity!$I:$I,Velocity!$A:$A,$A342,Velocity!$B:$B,$C342)/Assumptions!$B$4*Assumptions!$B$6</f>
        <v>0</v>
      </c>
      <c r="Y342" s="7" t="n">
        <f aca="false">SUMIFS(Doors!AK:AK,Doors!$A:$A,$D342,Doors!$B:$B,$B342,Doors!$C:$C,$C342)*SUMIFS(Velocity!$I:$I,Velocity!$A:$A,$A342,Velocity!$B:$B,$C342)/Assumptions!$B$4*Assumptions!$B$6</f>
        <v>0</v>
      </c>
      <c r="Z342" s="7" t="n">
        <f aca="false">SUMIFS(Doors!AL:AL,Doors!$A:$A,$D342,Doors!$B:$B,$B342,Doors!$C:$C,$C342)*SUMIFS(Velocity!$I:$I,Velocity!$A:$A,$A342,Velocity!$B:$B,$C342)/Assumptions!$B$4*Assumptions!$B$6</f>
        <v>0</v>
      </c>
      <c r="AA342" s="7" t="n">
        <f aca="false">SUMIFS(Doors!AM:AM,Doors!$A:$A,$D342,Doors!$B:$B,$B342,Doors!$C:$C,$C342)*SUMIFS(Velocity!$I:$I,Velocity!$A:$A,$A342,Velocity!$B:$B,$C342)/Assumptions!$B$4*Assumptions!$B$6</f>
        <v>0</v>
      </c>
      <c r="AB342" s="7" t="n">
        <f aca="false">SUMIFS(Doors!AN:AN,Doors!$A:$A,$D342,Doors!$B:$B,$B342,Doors!$C:$C,$C342)*SUMIFS(Velocity!$I:$I,Velocity!$A:$A,$A342,Velocity!$B:$B,$C342)/Assumptions!$B$4*Assumptions!$B$6</f>
        <v>0</v>
      </c>
      <c r="AC342" s="7" t="n">
        <f aca="false">SUMIFS(Doors!AO:AO,Doors!$A:$A,$D342,Doors!$B:$B,$B342,Doors!$C:$C,$C342)*SUMIFS(Velocity!$I:$I,Velocity!$A:$A,$A342,Velocity!$B:$B,$C342)/Assumptions!$B$4*Assumptions!$B$6</f>
        <v>0</v>
      </c>
      <c r="AD342" s="7" t="n">
        <f aca="false">SUMIFS(Doors!AP:AP,Doors!$A:$A,$D342,Doors!$B:$B,$B342,Doors!$C:$C,$C342)*SUMIFS(Velocity!$I:$I,Velocity!$A:$A,$A342,Velocity!$B:$B,$C342)/Assumptions!$B$4*Assumptions!$B$6</f>
        <v>0</v>
      </c>
      <c r="AE342" s="7" t="n">
        <f aca="false">SUMIFS(Doors!AQ:AQ,Doors!$A:$A,$D342,Doors!$B:$B,$B342,Doors!$C:$C,$C342)*SUMIFS(Velocity!$I:$I,Velocity!$A:$A,$A342,Velocity!$B:$B,$C342)/Assumptions!$B$4*Assumptions!$B$6</f>
        <v>0</v>
      </c>
      <c r="AF342" s="7" t="n">
        <f aca="false">SUMIFS(Doors!AR:AR,Doors!$A:$A,$D342,Doors!$B:$B,$B342,Doors!$C:$C,$C342)*SUMIFS(Velocity!$I:$I,Velocity!$A:$A,$A342,Velocity!$B:$B,$C342)/Assumptions!$B$4*Assumptions!$B$6</f>
        <v>0</v>
      </c>
      <c r="AG342" s="7" t="n">
        <f aca="false">SUMIFS(Doors!AS:AS,Doors!$A:$A,$D342,Doors!$B:$B,$B342,Doors!$C:$C,$C342)*SUMIFS(Velocity!$I:$I,Velocity!$A:$A,$A342,Velocity!$B:$B,$C342)/Assumptions!$B$4*Assumptions!$B$6</f>
        <v>0</v>
      </c>
      <c r="AH342" s="7" t="n">
        <f aca="false">SUMIFS(Doors!AT:AT,Doors!$A:$A,$D342,Doors!$B:$B,$B342,Doors!$C:$C,$C342)*SUMIFS(Velocity!$I:$I,Velocity!$A:$A,$A342,Velocity!$B:$B,$C342)/Assumptions!$B$4*Assumptions!$B$6</f>
        <v>0</v>
      </c>
      <c r="AI342" s="7" t="n">
        <f aca="false">SUMIFS(Doors!AU:AU,Doors!$A:$A,$D342,Doors!$B:$B,$B342,Doors!$C:$C,$C342)*SUMIFS(Velocity!$I:$I,Velocity!$A:$A,$A342,Velocity!$B:$B,$C342)/Assumptions!$B$4*Assumptions!$B$6</f>
        <v>0</v>
      </c>
      <c r="AJ342" s="7" t="n">
        <f aca="false">SUMIFS(Doors!AV:AV,Doors!$A:$A,$D342,Doors!$B:$B,$B342,Doors!$C:$C,$C342)*SUMIFS(Velocity!$I:$I,Velocity!$A:$A,$A342,Velocity!$B:$B,$C342)/Assumptions!$B$4*Assumptions!$B$6</f>
        <v>0</v>
      </c>
      <c r="AK342" s="7" t="n">
        <f aca="false">SUMIFS(Doors!AW:AW,Doors!$A:$A,$D342,Doors!$B:$B,$B342,Doors!$C:$C,$C342)*SUMIFS(Velocity!$I:$I,Velocity!$A:$A,$A342,Velocity!$B:$B,$C342)/Assumptions!$B$4*Assumptions!$B$6</f>
        <v>0</v>
      </c>
      <c r="AL342" s="7" t="n">
        <f aca="false">SUMIFS(Doors!AX:AX,Doors!$A:$A,$D342,Doors!$B:$B,$B342,Doors!$C:$C,$C342)*SUMIFS(Velocity!$I:$I,Velocity!$A:$A,$A342,Velocity!$B:$B,$C342)/Assumptions!$B$4*Assumptions!$B$6</f>
        <v>0</v>
      </c>
      <c r="AM342" s="7" t="n">
        <f aca="false">SUMIFS(Doors!AY:AY,Doors!$A:$A,$D342,Doors!$B:$B,$B342,Doors!$C:$C,$C342)*SUMIFS(Velocity!$I:$I,Velocity!$A:$A,$A342,Velocity!$B:$B,$C342)/Assumptions!$B$4*Assumptions!$B$6</f>
        <v>0</v>
      </c>
      <c r="AN342" s="7" t="n">
        <f aca="false">SUMIFS(Doors!AZ:AZ,Doors!$A:$A,$D342,Doors!$B:$B,$B342,Doors!$C:$C,$C342)*SUMIFS(Velocity!$I:$I,Velocity!$A:$A,$A342,Velocity!$B:$B,$C342)/Assumptions!$B$4*Assumptions!$B$6</f>
        <v>0</v>
      </c>
      <c r="AO342" s="7" t="n">
        <f aca="false">SUMIFS(Doors!BA:BA,Doors!$A:$A,$D342,Doors!$B:$B,$B342,Doors!$C:$C,$C342)*SUMIFS(Velocity!$I:$I,Velocity!$A:$A,$A342,Velocity!$B:$B,$C342)/Assumptions!$B$4*Assumptions!$B$6</f>
        <v>0</v>
      </c>
      <c r="AP342" s="7" t="n">
        <f aca="false">SUMIFS(Doors!BB:BB,Doors!$A:$A,$D342,Doors!$B:$B,$B342,Doors!$C:$C,$C342)*SUMIFS(Velocity!$I:$I,Velocity!$A:$A,$A342,Velocity!$B:$B,$C342)/Assumptions!$B$4*Assumptions!$B$6</f>
        <v>0</v>
      </c>
      <c r="AQ342" s="7" t="n">
        <f aca="false">SUMIFS(Doors!BC:BC,Doors!$A:$A,$D342,Doors!$B:$B,$B342,Doors!$C:$C,$C342)*SUMIFS(Velocity!$I:$I,Velocity!$A:$A,$A342,Velocity!$B:$B,$C342)/Assumptions!$B$4*Assumptions!$B$6</f>
        <v>0</v>
      </c>
      <c r="AR342" s="7" t="n">
        <f aca="false">SUMIFS(Doors!BD:BD,Doors!$A:$A,$D342,Doors!$B:$B,$B342,Doors!$C:$C,$C342)*SUMIFS(Velocity!$I:$I,Velocity!$A:$A,$A342,Velocity!$B:$B,$C342)/Assumptions!$B$4*Assumptions!$B$6</f>
        <v>0</v>
      </c>
      <c r="AS342" s="7" t="n">
        <f aca="false">SUMIFS(Doors!BE:BE,Doors!$A:$A,$D342,Doors!$B:$B,$B342,Doors!$C:$C,$C342)*SUMIFS(Velocity!$I:$I,Velocity!$A:$A,$A342,Velocity!$B:$B,$C342)/Assumptions!$B$4*Assumptions!$B$6</f>
        <v>0</v>
      </c>
      <c r="AT342" s="7" t="n">
        <f aca="false">SUMIFS(Doors!BF:BF,Doors!$A:$A,$D342,Doors!$B:$B,$B342,Doors!$C:$C,$C342)*SUMIFS(Velocity!$I:$I,Velocity!$A:$A,$A342,Velocity!$B:$B,$C342)/Assumptions!$B$4*Assumptions!$B$6</f>
        <v>0</v>
      </c>
      <c r="AU342" s="7" t="n">
        <f aca="false">SUMIFS(Doors!BG:BG,Doors!$A:$A,$D342,Doors!$B:$B,$B342,Doors!$C:$C,$C342)*SUMIFS(Velocity!$I:$I,Velocity!$A:$A,$A342,Velocity!$B:$B,$C342)/Assumptions!$B$4*Assumptions!$B$6</f>
        <v>0</v>
      </c>
      <c r="AV342" s="7" t="n">
        <f aca="false">SUMIFS(Doors!BH:BH,Doors!$A:$A,$D342,Doors!$B:$B,$B342,Doors!$C:$C,$C342)*SUMIFS(Velocity!$I:$I,Velocity!$A:$A,$A342,Velocity!$B:$B,$C342)/Assumptions!$B$4*Assumptions!$B$6</f>
        <v>0</v>
      </c>
      <c r="AW342" s="7" t="n">
        <f aca="false">SUMIFS(Doors!BI:BI,Doors!$A:$A,$D342,Doors!$B:$B,$B342,Doors!$C:$C,$C342)*SUMIFS(Velocity!$I:$I,Velocity!$A:$A,$A342,Velocity!$B:$B,$C342)/Assumptions!$B$4*Assumptions!$B$6</f>
        <v>0</v>
      </c>
      <c r="AX342" s="7" t="n">
        <f aca="false">SUMIFS(Doors!BJ:BJ,Doors!$A:$A,$D342,Doors!$B:$B,$B342,Doors!$C:$C,$C342)*SUMIFS(Velocity!$I:$I,Velocity!$A:$A,$A342,Velocity!$B:$B,$C342)/Assumptions!$B$4*Assumptions!$B$6</f>
        <v>0</v>
      </c>
      <c r="AY342" s="7" t="n">
        <f aca="false">SUMIFS(Doors!BK:BK,Doors!$A:$A,$D342,Doors!$B:$B,$B342,Doors!$C:$C,$C342)*SUMIFS(Velocity!$I:$I,Velocity!$A:$A,$A342,Velocity!$B:$B,$C342)/Assumptions!$B$4*Assumptions!$B$6</f>
        <v>0</v>
      </c>
      <c r="AZ342" s="7" t="n">
        <f aca="false">SUMIFS(Doors!BL:BL,Doors!$A:$A,$D342,Doors!$B:$B,$B342,Doors!$C:$C,$C342)*SUMIFS(Velocity!$I:$I,Velocity!$A:$A,$A342,Velocity!$B:$B,$C342)/Assumptions!$B$4*Assumptions!$B$6</f>
        <v>0</v>
      </c>
      <c r="BA342" s="7" t="n">
        <f aca="false">SUMIFS(Doors!BM:BM,Doors!$A:$A,$D342,Doors!$B:$B,$B342,Doors!$C:$C,$C342)*SUMIFS(Velocity!$I:$I,Velocity!$A:$A,$A342,Velocity!$B:$B,$C342)/Assumptions!$B$4*Assumptions!$B$6</f>
        <v>0</v>
      </c>
      <c r="BB342" s="7" t="n">
        <f aca="false">SUMIFS(Doors!BN:BN,Doors!$A:$A,$D342,Doors!$B:$B,$B342,Doors!$C:$C,$C342)*SUMIFS(Velocity!$I:$I,Velocity!$A:$A,$A342,Velocity!$B:$B,$C342)/Assumptions!$B$4*Assumptions!$B$6</f>
        <v>0</v>
      </c>
      <c r="BC342" s="7" t="n">
        <f aca="false">SUMIFS(Doors!BO:BO,Doors!$A:$A,$D342,Doors!$B:$B,$B342,Doors!$C:$C,$C342)*SUMIFS(Velocity!$I:$I,Velocity!$A:$A,$A342,Velocity!$B:$B,$C342)/Assumptions!$B$4*Assumptions!$B$6</f>
        <v>0</v>
      </c>
      <c r="BD342" s="7" t="n">
        <f aca="false">SUMIFS(Doors!BP:BP,Doors!$A:$A,$D342,Doors!$B:$B,$B342,Doors!$C:$C,$C342)*SUMIFS(Velocity!$I:$I,Velocity!$A:$A,$A342,Velocity!$B:$B,$C342)/Assumptions!$B$4*Assumptions!$B$6</f>
        <v>0</v>
      </c>
    </row>
    <row r="343" customFormat="false" ht="15" hidden="false" customHeight="false" outlineLevel="0" collapsed="false">
      <c r="A343" s="0" t="s">
        <v>111</v>
      </c>
      <c r="B343" s="0" t="s">
        <v>133</v>
      </c>
      <c r="C343" s="0" t="s">
        <v>119</v>
      </c>
      <c r="D343" s="0" t="s">
        <v>236</v>
      </c>
      <c r="E343" s="7" t="n">
        <f aca="false">SUMIFS(Doors!Q:Q,Doors!$A:$A,$D343,Doors!$B:$B,$B343,Doors!$C:$C,$C343)*SUMIFS(Velocity!$I:$I,Velocity!$A:$A,$A343,Velocity!$B:$B,$C343)/Assumptions!$B$4*Assumptions!$B$6</f>
        <v>0</v>
      </c>
      <c r="F343" s="7" t="n">
        <f aca="false">SUMIFS(Doors!R:R,Doors!$A:$A,$D343,Doors!$B:$B,$B343,Doors!$C:$C,$C343)*SUMIFS(Velocity!$I:$I,Velocity!$A:$A,$A343,Velocity!$B:$B,$C343)/Assumptions!$B$4*Assumptions!$B$6</f>
        <v>0</v>
      </c>
      <c r="G343" s="7" t="n">
        <f aca="false">SUMIFS(Doors!S:S,Doors!$A:$A,$D343,Doors!$B:$B,$B343,Doors!$C:$C,$C343)*SUMIFS(Velocity!$I:$I,Velocity!$A:$A,$A343,Velocity!$B:$B,$C343)/Assumptions!$B$4*Assumptions!$B$6</f>
        <v>0</v>
      </c>
      <c r="H343" s="7" t="n">
        <f aca="false">SUMIFS(Doors!T:T,Doors!$A:$A,$D343,Doors!$B:$B,$B343,Doors!$C:$C,$C343)*SUMIFS(Velocity!$I:$I,Velocity!$A:$A,$A343,Velocity!$B:$B,$C343)/Assumptions!$B$4*Assumptions!$B$6</f>
        <v>0</v>
      </c>
      <c r="I343" s="7" t="n">
        <f aca="false">SUMIFS(Doors!U:U,Doors!$A:$A,$D343,Doors!$B:$B,$B343,Doors!$C:$C,$C343)*SUMIFS(Velocity!$I:$I,Velocity!$A:$A,$A343,Velocity!$B:$B,$C343)/Assumptions!$B$4*Assumptions!$B$6</f>
        <v>0</v>
      </c>
      <c r="J343" s="7" t="n">
        <f aca="false">SUMIFS(Doors!V:V,Doors!$A:$A,$D343,Doors!$B:$B,$B343,Doors!$C:$C,$C343)*SUMIFS(Velocity!$I:$I,Velocity!$A:$A,$A343,Velocity!$B:$B,$C343)/Assumptions!$B$4*Assumptions!$B$6</f>
        <v>0</v>
      </c>
      <c r="K343" s="7" t="n">
        <f aca="false">SUMIFS(Doors!W:W,Doors!$A:$A,$D343,Doors!$B:$B,$B343,Doors!$C:$C,$C343)*SUMIFS(Velocity!$I:$I,Velocity!$A:$A,$A343,Velocity!$B:$B,$C343)/Assumptions!$B$4*Assumptions!$B$6</f>
        <v>0</v>
      </c>
      <c r="L343" s="7" t="n">
        <f aca="false">SUMIFS(Doors!X:X,Doors!$A:$A,$D343,Doors!$B:$B,$B343,Doors!$C:$C,$C343)*SUMIFS(Velocity!$I:$I,Velocity!$A:$A,$A343,Velocity!$B:$B,$C343)/Assumptions!$B$4*Assumptions!$B$6</f>
        <v>0</v>
      </c>
      <c r="M343" s="7" t="n">
        <f aca="false">SUMIFS(Doors!Y:Y,Doors!$A:$A,$D343,Doors!$B:$B,$B343,Doors!$C:$C,$C343)*SUMIFS(Velocity!$I:$I,Velocity!$A:$A,$A343,Velocity!$B:$B,$C343)/Assumptions!$B$4*Assumptions!$B$6</f>
        <v>0</v>
      </c>
      <c r="N343" s="7" t="n">
        <f aca="false">SUMIFS(Doors!Z:Z,Doors!$A:$A,$D343,Doors!$B:$B,$B343,Doors!$C:$C,$C343)*SUMIFS(Velocity!$I:$I,Velocity!$A:$A,$A343,Velocity!$B:$B,$C343)/Assumptions!$B$4*Assumptions!$B$6</f>
        <v>0</v>
      </c>
      <c r="O343" s="7" t="n">
        <f aca="false">SUMIFS(Doors!AA:AA,Doors!$A:$A,$D343,Doors!$B:$B,$B343,Doors!$C:$C,$C343)*SUMIFS(Velocity!$I:$I,Velocity!$A:$A,$A343,Velocity!$B:$B,$C343)/Assumptions!$B$4*Assumptions!$B$6</f>
        <v>0</v>
      </c>
      <c r="P343" s="7" t="n">
        <f aca="false">SUMIFS(Doors!AB:AB,Doors!$A:$A,$D343,Doors!$B:$B,$B343,Doors!$C:$C,$C343)*SUMIFS(Velocity!$I:$I,Velocity!$A:$A,$A343,Velocity!$B:$B,$C343)/Assumptions!$B$4*Assumptions!$B$6</f>
        <v>0</v>
      </c>
      <c r="Q343" s="7" t="n">
        <f aca="false">SUMIFS(Doors!AC:AC,Doors!$A:$A,$D343,Doors!$B:$B,$B343,Doors!$C:$C,$C343)*SUMIFS(Velocity!$I:$I,Velocity!$A:$A,$A343,Velocity!$B:$B,$C343)/Assumptions!$B$4*Assumptions!$B$6</f>
        <v>0</v>
      </c>
      <c r="R343" s="7" t="n">
        <f aca="false">SUMIFS(Doors!AD:AD,Doors!$A:$A,$D343,Doors!$B:$B,$B343,Doors!$C:$C,$C343)*SUMIFS(Velocity!$I:$I,Velocity!$A:$A,$A343,Velocity!$B:$B,$C343)/Assumptions!$B$4*Assumptions!$B$6</f>
        <v>0</v>
      </c>
      <c r="S343" s="7" t="n">
        <f aca="false">SUMIFS(Doors!AE:AE,Doors!$A:$A,$D343,Doors!$B:$B,$B343,Doors!$C:$C,$C343)*SUMIFS(Velocity!$I:$I,Velocity!$A:$A,$A343,Velocity!$B:$B,$C343)/Assumptions!$B$4*Assumptions!$B$6</f>
        <v>0</v>
      </c>
      <c r="T343" s="7" t="n">
        <f aca="false">SUMIFS(Doors!AF:AF,Doors!$A:$A,$D343,Doors!$B:$B,$B343,Doors!$C:$C,$C343)*SUMIFS(Velocity!$I:$I,Velocity!$A:$A,$A343,Velocity!$B:$B,$C343)/Assumptions!$B$4*Assumptions!$B$6</f>
        <v>0</v>
      </c>
      <c r="U343" s="7" t="n">
        <f aca="false">SUMIFS(Doors!AG:AG,Doors!$A:$A,$D343,Doors!$B:$B,$B343,Doors!$C:$C,$C343)*SUMIFS(Velocity!$I:$I,Velocity!$A:$A,$A343,Velocity!$B:$B,$C343)/Assumptions!$B$4*Assumptions!$B$6</f>
        <v>0</v>
      </c>
      <c r="V343" s="7" t="n">
        <f aca="false">SUMIFS(Doors!AH:AH,Doors!$A:$A,$D343,Doors!$B:$B,$B343,Doors!$C:$C,$C343)*SUMIFS(Velocity!$I:$I,Velocity!$A:$A,$A343,Velocity!$B:$B,$C343)/Assumptions!$B$4*Assumptions!$B$6</f>
        <v>0</v>
      </c>
      <c r="W343" s="7" t="n">
        <f aca="false">SUMIFS(Doors!AI:AI,Doors!$A:$A,$D343,Doors!$B:$B,$B343,Doors!$C:$C,$C343)*SUMIFS(Velocity!$I:$I,Velocity!$A:$A,$A343,Velocity!$B:$B,$C343)/Assumptions!$B$4*Assumptions!$B$6</f>
        <v>0</v>
      </c>
      <c r="X343" s="7" t="n">
        <f aca="false">SUMIFS(Doors!AJ:AJ,Doors!$A:$A,$D343,Doors!$B:$B,$B343,Doors!$C:$C,$C343)*SUMIFS(Velocity!$I:$I,Velocity!$A:$A,$A343,Velocity!$B:$B,$C343)/Assumptions!$B$4*Assumptions!$B$6</f>
        <v>0</v>
      </c>
      <c r="Y343" s="7" t="n">
        <f aca="false">SUMIFS(Doors!AK:AK,Doors!$A:$A,$D343,Doors!$B:$B,$B343,Doors!$C:$C,$C343)*SUMIFS(Velocity!$I:$I,Velocity!$A:$A,$A343,Velocity!$B:$B,$C343)/Assumptions!$B$4*Assumptions!$B$6</f>
        <v>0</v>
      </c>
      <c r="Z343" s="7" t="n">
        <f aca="false">SUMIFS(Doors!AL:AL,Doors!$A:$A,$D343,Doors!$B:$B,$B343,Doors!$C:$C,$C343)*SUMIFS(Velocity!$I:$I,Velocity!$A:$A,$A343,Velocity!$B:$B,$C343)/Assumptions!$B$4*Assumptions!$B$6</f>
        <v>0</v>
      </c>
      <c r="AA343" s="7" t="n">
        <f aca="false">SUMIFS(Doors!AM:AM,Doors!$A:$A,$D343,Doors!$B:$B,$B343,Doors!$C:$C,$C343)*SUMIFS(Velocity!$I:$I,Velocity!$A:$A,$A343,Velocity!$B:$B,$C343)/Assumptions!$B$4*Assumptions!$B$6</f>
        <v>0</v>
      </c>
      <c r="AB343" s="7" t="n">
        <f aca="false">SUMIFS(Doors!AN:AN,Doors!$A:$A,$D343,Doors!$B:$B,$B343,Doors!$C:$C,$C343)*SUMIFS(Velocity!$I:$I,Velocity!$A:$A,$A343,Velocity!$B:$B,$C343)/Assumptions!$B$4*Assumptions!$B$6</f>
        <v>0</v>
      </c>
      <c r="AC343" s="7" t="n">
        <f aca="false">SUMIFS(Doors!AO:AO,Doors!$A:$A,$D343,Doors!$B:$B,$B343,Doors!$C:$C,$C343)*SUMIFS(Velocity!$I:$I,Velocity!$A:$A,$A343,Velocity!$B:$B,$C343)/Assumptions!$B$4*Assumptions!$B$6</f>
        <v>0</v>
      </c>
      <c r="AD343" s="7" t="n">
        <f aca="false">SUMIFS(Doors!AP:AP,Doors!$A:$A,$D343,Doors!$B:$B,$B343,Doors!$C:$C,$C343)*SUMIFS(Velocity!$I:$I,Velocity!$A:$A,$A343,Velocity!$B:$B,$C343)/Assumptions!$B$4*Assumptions!$B$6</f>
        <v>0</v>
      </c>
      <c r="AE343" s="7" t="n">
        <f aca="false">SUMIFS(Doors!AQ:AQ,Doors!$A:$A,$D343,Doors!$B:$B,$B343,Doors!$C:$C,$C343)*SUMIFS(Velocity!$I:$I,Velocity!$A:$A,$A343,Velocity!$B:$B,$C343)/Assumptions!$B$4*Assumptions!$B$6</f>
        <v>0</v>
      </c>
      <c r="AF343" s="7" t="n">
        <f aca="false">SUMIFS(Doors!AR:AR,Doors!$A:$A,$D343,Doors!$B:$B,$B343,Doors!$C:$C,$C343)*SUMIFS(Velocity!$I:$I,Velocity!$A:$A,$A343,Velocity!$B:$B,$C343)/Assumptions!$B$4*Assumptions!$B$6</f>
        <v>0</v>
      </c>
      <c r="AG343" s="7" t="n">
        <f aca="false">SUMIFS(Doors!AS:AS,Doors!$A:$A,$D343,Doors!$B:$B,$B343,Doors!$C:$C,$C343)*SUMIFS(Velocity!$I:$I,Velocity!$A:$A,$A343,Velocity!$B:$B,$C343)/Assumptions!$B$4*Assumptions!$B$6</f>
        <v>0</v>
      </c>
      <c r="AH343" s="7" t="n">
        <f aca="false">SUMIFS(Doors!AT:AT,Doors!$A:$A,$D343,Doors!$B:$B,$B343,Doors!$C:$C,$C343)*SUMIFS(Velocity!$I:$I,Velocity!$A:$A,$A343,Velocity!$B:$B,$C343)/Assumptions!$B$4*Assumptions!$B$6</f>
        <v>0</v>
      </c>
      <c r="AI343" s="7" t="n">
        <f aca="false">SUMIFS(Doors!AU:AU,Doors!$A:$A,$D343,Doors!$B:$B,$B343,Doors!$C:$C,$C343)*SUMIFS(Velocity!$I:$I,Velocity!$A:$A,$A343,Velocity!$B:$B,$C343)/Assumptions!$B$4*Assumptions!$B$6</f>
        <v>0</v>
      </c>
      <c r="AJ343" s="7" t="n">
        <f aca="false">SUMIFS(Doors!AV:AV,Doors!$A:$A,$D343,Doors!$B:$B,$B343,Doors!$C:$C,$C343)*SUMIFS(Velocity!$I:$I,Velocity!$A:$A,$A343,Velocity!$B:$B,$C343)/Assumptions!$B$4*Assumptions!$B$6</f>
        <v>0</v>
      </c>
      <c r="AK343" s="7" t="n">
        <f aca="false">SUMIFS(Doors!AW:AW,Doors!$A:$A,$D343,Doors!$B:$B,$B343,Doors!$C:$C,$C343)*SUMIFS(Velocity!$I:$I,Velocity!$A:$A,$A343,Velocity!$B:$B,$C343)/Assumptions!$B$4*Assumptions!$B$6</f>
        <v>0</v>
      </c>
      <c r="AL343" s="7" t="n">
        <f aca="false">SUMIFS(Doors!AX:AX,Doors!$A:$A,$D343,Doors!$B:$B,$B343,Doors!$C:$C,$C343)*SUMIFS(Velocity!$I:$I,Velocity!$A:$A,$A343,Velocity!$B:$B,$C343)/Assumptions!$B$4*Assumptions!$B$6</f>
        <v>0</v>
      </c>
      <c r="AM343" s="7" t="n">
        <f aca="false">SUMIFS(Doors!AY:AY,Doors!$A:$A,$D343,Doors!$B:$B,$B343,Doors!$C:$C,$C343)*SUMIFS(Velocity!$I:$I,Velocity!$A:$A,$A343,Velocity!$B:$B,$C343)/Assumptions!$B$4*Assumptions!$B$6</f>
        <v>0</v>
      </c>
      <c r="AN343" s="7" t="n">
        <f aca="false">SUMIFS(Doors!AZ:AZ,Doors!$A:$A,$D343,Doors!$B:$B,$B343,Doors!$C:$C,$C343)*SUMIFS(Velocity!$I:$I,Velocity!$A:$A,$A343,Velocity!$B:$B,$C343)/Assumptions!$B$4*Assumptions!$B$6</f>
        <v>0</v>
      </c>
      <c r="AO343" s="7" t="n">
        <f aca="false">SUMIFS(Doors!BA:BA,Doors!$A:$A,$D343,Doors!$B:$B,$B343,Doors!$C:$C,$C343)*SUMIFS(Velocity!$I:$I,Velocity!$A:$A,$A343,Velocity!$B:$B,$C343)/Assumptions!$B$4*Assumptions!$B$6</f>
        <v>0</v>
      </c>
      <c r="AP343" s="7" t="n">
        <f aca="false">SUMIFS(Doors!BB:BB,Doors!$A:$A,$D343,Doors!$B:$B,$B343,Doors!$C:$C,$C343)*SUMIFS(Velocity!$I:$I,Velocity!$A:$A,$A343,Velocity!$B:$B,$C343)/Assumptions!$B$4*Assumptions!$B$6</f>
        <v>0</v>
      </c>
      <c r="AQ343" s="7" t="n">
        <f aca="false">SUMIFS(Doors!BC:BC,Doors!$A:$A,$D343,Doors!$B:$B,$B343,Doors!$C:$C,$C343)*SUMIFS(Velocity!$I:$I,Velocity!$A:$A,$A343,Velocity!$B:$B,$C343)/Assumptions!$B$4*Assumptions!$B$6</f>
        <v>0</v>
      </c>
      <c r="AR343" s="7" t="n">
        <f aca="false">SUMIFS(Doors!BD:BD,Doors!$A:$A,$D343,Doors!$B:$B,$B343,Doors!$C:$C,$C343)*SUMIFS(Velocity!$I:$I,Velocity!$A:$A,$A343,Velocity!$B:$B,$C343)/Assumptions!$B$4*Assumptions!$B$6</f>
        <v>0</v>
      </c>
      <c r="AS343" s="7" t="n">
        <f aca="false">SUMIFS(Doors!BE:BE,Doors!$A:$A,$D343,Doors!$B:$B,$B343,Doors!$C:$C,$C343)*SUMIFS(Velocity!$I:$I,Velocity!$A:$A,$A343,Velocity!$B:$B,$C343)/Assumptions!$B$4*Assumptions!$B$6</f>
        <v>0</v>
      </c>
      <c r="AT343" s="7" t="n">
        <f aca="false">SUMIFS(Doors!BF:BF,Doors!$A:$A,$D343,Doors!$B:$B,$B343,Doors!$C:$C,$C343)*SUMIFS(Velocity!$I:$I,Velocity!$A:$A,$A343,Velocity!$B:$B,$C343)/Assumptions!$B$4*Assumptions!$B$6</f>
        <v>0</v>
      </c>
      <c r="AU343" s="7" t="n">
        <f aca="false">SUMIFS(Doors!BG:BG,Doors!$A:$A,$D343,Doors!$B:$B,$B343,Doors!$C:$C,$C343)*SUMIFS(Velocity!$I:$I,Velocity!$A:$A,$A343,Velocity!$B:$B,$C343)/Assumptions!$B$4*Assumptions!$B$6</f>
        <v>0</v>
      </c>
      <c r="AV343" s="7" t="n">
        <f aca="false">SUMIFS(Doors!BH:BH,Doors!$A:$A,$D343,Doors!$B:$B,$B343,Doors!$C:$C,$C343)*SUMIFS(Velocity!$I:$I,Velocity!$A:$A,$A343,Velocity!$B:$B,$C343)/Assumptions!$B$4*Assumptions!$B$6</f>
        <v>0</v>
      </c>
      <c r="AW343" s="7" t="n">
        <f aca="false">SUMIFS(Doors!BI:BI,Doors!$A:$A,$D343,Doors!$B:$B,$B343,Doors!$C:$C,$C343)*SUMIFS(Velocity!$I:$I,Velocity!$A:$A,$A343,Velocity!$B:$B,$C343)/Assumptions!$B$4*Assumptions!$B$6</f>
        <v>0</v>
      </c>
      <c r="AX343" s="7" t="n">
        <f aca="false">SUMIFS(Doors!BJ:BJ,Doors!$A:$A,$D343,Doors!$B:$B,$B343,Doors!$C:$C,$C343)*SUMIFS(Velocity!$I:$I,Velocity!$A:$A,$A343,Velocity!$B:$B,$C343)/Assumptions!$B$4*Assumptions!$B$6</f>
        <v>0</v>
      </c>
      <c r="AY343" s="7" t="n">
        <f aca="false">SUMIFS(Doors!BK:BK,Doors!$A:$A,$D343,Doors!$B:$B,$B343,Doors!$C:$C,$C343)*SUMIFS(Velocity!$I:$I,Velocity!$A:$A,$A343,Velocity!$B:$B,$C343)/Assumptions!$B$4*Assumptions!$B$6</f>
        <v>0</v>
      </c>
      <c r="AZ343" s="7" t="n">
        <f aca="false">SUMIFS(Doors!BL:BL,Doors!$A:$A,$D343,Doors!$B:$B,$B343,Doors!$C:$C,$C343)*SUMIFS(Velocity!$I:$I,Velocity!$A:$A,$A343,Velocity!$B:$B,$C343)/Assumptions!$B$4*Assumptions!$B$6</f>
        <v>0</v>
      </c>
      <c r="BA343" s="7" t="n">
        <f aca="false">SUMIFS(Doors!BM:BM,Doors!$A:$A,$D343,Doors!$B:$B,$B343,Doors!$C:$C,$C343)*SUMIFS(Velocity!$I:$I,Velocity!$A:$A,$A343,Velocity!$B:$B,$C343)/Assumptions!$B$4*Assumptions!$B$6</f>
        <v>0</v>
      </c>
      <c r="BB343" s="7" t="n">
        <f aca="false">SUMIFS(Doors!BN:BN,Doors!$A:$A,$D343,Doors!$B:$B,$B343,Doors!$C:$C,$C343)*SUMIFS(Velocity!$I:$I,Velocity!$A:$A,$A343,Velocity!$B:$B,$C343)/Assumptions!$B$4*Assumptions!$B$6</f>
        <v>0</v>
      </c>
      <c r="BC343" s="7" t="n">
        <f aca="false">SUMIFS(Doors!BO:BO,Doors!$A:$A,$D343,Doors!$B:$B,$B343,Doors!$C:$C,$C343)*SUMIFS(Velocity!$I:$I,Velocity!$A:$A,$A343,Velocity!$B:$B,$C343)/Assumptions!$B$4*Assumptions!$B$6</f>
        <v>0</v>
      </c>
      <c r="BD343" s="7" t="n">
        <f aca="false">SUMIFS(Doors!BP:BP,Doors!$A:$A,$D343,Doors!$B:$B,$B343,Doors!$C:$C,$C343)*SUMIFS(Velocity!$I:$I,Velocity!$A:$A,$A343,Velocity!$B:$B,$C343)/Assumptions!$B$4*Assumptions!$B$6</f>
        <v>0</v>
      </c>
    </row>
    <row r="344" customFormat="false" ht="15" hidden="false" customHeight="false" outlineLevel="0" collapsed="false">
      <c r="A344" s="0" t="s">
        <v>111</v>
      </c>
      <c r="B344" s="0" t="s">
        <v>133</v>
      </c>
      <c r="C344" s="0" t="s">
        <v>120</v>
      </c>
      <c r="D344" s="0" t="s">
        <v>236</v>
      </c>
      <c r="E344" s="7" t="n">
        <f aca="false">SUMIFS(Doors!Q:Q,Doors!$A:$A,$D344,Doors!$B:$B,$B344,Doors!$C:$C,$C344)*SUMIFS(Velocity!$I:$I,Velocity!$A:$A,$A344,Velocity!$B:$B,$C344)/Assumptions!$B$4*Assumptions!$B$6</f>
        <v>0</v>
      </c>
      <c r="F344" s="7" t="n">
        <f aca="false">SUMIFS(Doors!R:R,Doors!$A:$A,$D344,Doors!$B:$B,$B344,Doors!$C:$C,$C344)*SUMIFS(Velocity!$I:$I,Velocity!$A:$A,$A344,Velocity!$B:$B,$C344)/Assumptions!$B$4*Assumptions!$B$6</f>
        <v>0</v>
      </c>
      <c r="G344" s="7" t="n">
        <f aca="false">SUMIFS(Doors!S:S,Doors!$A:$A,$D344,Doors!$B:$B,$B344,Doors!$C:$C,$C344)*SUMIFS(Velocity!$I:$I,Velocity!$A:$A,$A344,Velocity!$B:$B,$C344)/Assumptions!$B$4*Assumptions!$B$6</f>
        <v>0</v>
      </c>
      <c r="H344" s="7" t="n">
        <f aca="false">SUMIFS(Doors!T:T,Doors!$A:$A,$D344,Doors!$B:$B,$B344,Doors!$C:$C,$C344)*SUMIFS(Velocity!$I:$I,Velocity!$A:$A,$A344,Velocity!$B:$B,$C344)/Assumptions!$B$4*Assumptions!$B$6</f>
        <v>0</v>
      </c>
      <c r="I344" s="7" t="n">
        <f aca="false">SUMIFS(Doors!U:U,Doors!$A:$A,$D344,Doors!$B:$B,$B344,Doors!$C:$C,$C344)*SUMIFS(Velocity!$I:$I,Velocity!$A:$A,$A344,Velocity!$B:$B,$C344)/Assumptions!$B$4*Assumptions!$B$6</f>
        <v>0</v>
      </c>
      <c r="J344" s="7" t="n">
        <f aca="false">SUMIFS(Doors!V:V,Doors!$A:$A,$D344,Doors!$B:$B,$B344,Doors!$C:$C,$C344)*SUMIFS(Velocity!$I:$I,Velocity!$A:$A,$A344,Velocity!$B:$B,$C344)/Assumptions!$B$4*Assumptions!$B$6</f>
        <v>0</v>
      </c>
      <c r="K344" s="7" t="n">
        <f aca="false">SUMIFS(Doors!W:W,Doors!$A:$A,$D344,Doors!$B:$B,$B344,Doors!$C:$C,$C344)*SUMIFS(Velocity!$I:$I,Velocity!$A:$A,$A344,Velocity!$B:$B,$C344)/Assumptions!$B$4*Assumptions!$B$6</f>
        <v>0</v>
      </c>
      <c r="L344" s="7" t="n">
        <f aca="false">SUMIFS(Doors!X:X,Doors!$A:$A,$D344,Doors!$B:$B,$B344,Doors!$C:$C,$C344)*SUMIFS(Velocity!$I:$I,Velocity!$A:$A,$A344,Velocity!$B:$B,$C344)/Assumptions!$B$4*Assumptions!$B$6</f>
        <v>0</v>
      </c>
      <c r="M344" s="7" t="n">
        <f aca="false">SUMIFS(Doors!Y:Y,Doors!$A:$A,$D344,Doors!$B:$B,$B344,Doors!$C:$C,$C344)*SUMIFS(Velocity!$I:$I,Velocity!$A:$A,$A344,Velocity!$B:$B,$C344)/Assumptions!$B$4*Assumptions!$B$6</f>
        <v>0</v>
      </c>
      <c r="N344" s="7" t="n">
        <f aca="false">SUMIFS(Doors!Z:Z,Doors!$A:$A,$D344,Doors!$B:$B,$B344,Doors!$C:$C,$C344)*SUMIFS(Velocity!$I:$I,Velocity!$A:$A,$A344,Velocity!$B:$B,$C344)/Assumptions!$B$4*Assumptions!$B$6</f>
        <v>0</v>
      </c>
      <c r="O344" s="7" t="n">
        <f aca="false">SUMIFS(Doors!AA:AA,Doors!$A:$A,$D344,Doors!$B:$B,$B344,Doors!$C:$C,$C344)*SUMIFS(Velocity!$I:$I,Velocity!$A:$A,$A344,Velocity!$B:$B,$C344)/Assumptions!$B$4*Assumptions!$B$6</f>
        <v>0</v>
      </c>
      <c r="P344" s="7" t="n">
        <f aca="false">SUMIFS(Doors!AB:AB,Doors!$A:$A,$D344,Doors!$B:$B,$B344,Doors!$C:$C,$C344)*SUMIFS(Velocity!$I:$I,Velocity!$A:$A,$A344,Velocity!$B:$B,$C344)/Assumptions!$B$4*Assumptions!$B$6</f>
        <v>0</v>
      </c>
      <c r="Q344" s="7" t="n">
        <f aca="false">SUMIFS(Doors!AC:AC,Doors!$A:$A,$D344,Doors!$B:$B,$B344,Doors!$C:$C,$C344)*SUMIFS(Velocity!$I:$I,Velocity!$A:$A,$A344,Velocity!$B:$B,$C344)/Assumptions!$B$4*Assumptions!$B$6</f>
        <v>0</v>
      </c>
      <c r="R344" s="7" t="n">
        <f aca="false">SUMIFS(Doors!AD:AD,Doors!$A:$A,$D344,Doors!$B:$B,$B344,Doors!$C:$C,$C344)*SUMIFS(Velocity!$I:$I,Velocity!$A:$A,$A344,Velocity!$B:$B,$C344)/Assumptions!$B$4*Assumptions!$B$6</f>
        <v>0</v>
      </c>
      <c r="S344" s="7" t="n">
        <f aca="false">SUMIFS(Doors!AE:AE,Doors!$A:$A,$D344,Doors!$B:$B,$B344,Doors!$C:$C,$C344)*SUMIFS(Velocity!$I:$I,Velocity!$A:$A,$A344,Velocity!$B:$B,$C344)/Assumptions!$B$4*Assumptions!$B$6</f>
        <v>0</v>
      </c>
      <c r="T344" s="7" t="n">
        <f aca="false">SUMIFS(Doors!AF:AF,Doors!$A:$A,$D344,Doors!$B:$B,$B344,Doors!$C:$C,$C344)*SUMIFS(Velocity!$I:$I,Velocity!$A:$A,$A344,Velocity!$B:$B,$C344)/Assumptions!$B$4*Assumptions!$B$6</f>
        <v>0</v>
      </c>
      <c r="U344" s="7" t="n">
        <f aca="false">SUMIFS(Doors!AG:AG,Doors!$A:$A,$D344,Doors!$B:$B,$B344,Doors!$C:$C,$C344)*SUMIFS(Velocity!$I:$I,Velocity!$A:$A,$A344,Velocity!$B:$B,$C344)/Assumptions!$B$4*Assumptions!$B$6</f>
        <v>0</v>
      </c>
      <c r="V344" s="7" t="n">
        <f aca="false">SUMIFS(Doors!AH:AH,Doors!$A:$A,$D344,Doors!$B:$B,$B344,Doors!$C:$C,$C344)*SUMIFS(Velocity!$I:$I,Velocity!$A:$A,$A344,Velocity!$B:$B,$C344)/Assumptions!$B$4*Assumptions!$B$6</f>
        <v>0</v>
      </c>
      <c r="W344" s="7" t="n">
        <f aca="false">SUMIFS(Doors!AI:AI,Doors!$A:$A,$D344,Doors!$B:$B,$B344,Doors!$C:$C,$C344)*SUMIFS(Velocity!$I:$I,Velocity!$A:$A,$A344,Velocity!$B:$B,$C344)/Assumptions!$B$4*Assumptions!$B$6</f>
        <v>0</v>
      </c>
      <c r="X344" s="7" t="n">
        <f aca="false">SUMIFS(Doors!AJ:AJ,Doors!$A:$A,$D344,Doors!$B:$B,$B344,Doors!$C:$C,$C344)*SUMIFS(Velocity!$I:$I,Velocity!$A:$A,$A344,Velocity!$B:$B,$C344)/Assumptions!$B$4*Assumptions!$B$6</f>
        <v>0</v>
      </c>
      <c r="Y344" s="7" t="n">
        <f aca="false">SUMIFS(Doors!AK:AK,Doors!$A:$A,$D344,Doors!$B:$B,$B344,Doors!$C:$C,$C344)*SUMIFS(Velocity!$I:$I,Velocity!$A:$A,$A344,Velocity!$B:$B,$C344)/Assumptions!$B$4*Assumptions!$B$6</f>
        <v>0</v>
      </c>
      <c r="Z344" s="7" t="n">
        <f aca="false">SUMIFS(Doors!AL:AL,Doors!$A:$A,$D344,Doors!$B:$B,$B344,Doors!$C:$C,$C344)*SUMIFS(Velocity!$I:$I,Velocity!$A:$A,$A344,Velocity!$B:$B,$C344)/Assumptions!$B$4*Assumptions!$B$6</f>
        <v>0</v>
      </c>
      <c r="AA344" s="7" t="n">
        <f aca="false">SUMIFS(Doors!AM:AM,Doors!$A:$A,$D344,Doors!$B:$B,$B344,Doors!$C:$C,$C344)*SUMIFS(Velocity!$I:$I,Velocity!$A:$A,$A344,Velocity!$B:$B,$C344)/Assumptions!$B$4*Assumptions!$B$6</f>
        <v>0</v>
      </c>
      <c r="AB344" s="7" t="n">
        <f aca="false">SUMIFS(Doors!AN:AN,Doors!$A:$A,$D344,Doors!$B:$B,$B344,Doors!$C:$C,$C344)*SUMIFS(Velocity!$I:$I,Velocity!$A:$A,$A344,Velocity!$B:$B,$C344)/Assumptions!$B$4*Assumptions!$B$6</f>
        <v>0</v>
      </c>
      <c r="AC344" s="7" t="n">
        <f aca="false">SUMIFS(Doors!AO:AO,Doors!$A:$A,$D344,Doors!$B:$B,$B344,Doors!$C:$C,$C344)*SUMIFS(Velocity!$I:$I,Velocity!$A:$A,$A344,Velocity!$B:$B,$C344)/Assumptions!$B$4*Assumptions!$B$6</f>
        <v>0</v>
      </c>
      <c r="AD344" s="7" t="n">
        <f aca="false">SUMIFS(Doors!AP:AP,Doors!$A:$A,$D344,Doors!$B:$B,$B344,Doors!$C:$C,$C344)*SUMIFS(Velocity!$I:$I,Velocity!$A:$A,$A344,Velocity!$B:$B,$C344)/Assumptions!$B$4*Assumptions!$B$6</f>
        <v>0</v>
      </c>
      <c r="AE344" s="7" t="n">
        <f aca="false">SUMIFS(Doors!AQ:AQ,Doors!$A:$A,$D344,Doors!$B:$B,$B344,Doors!$C:$C,$C344)*SUMIFS(Velocity!$I:$I,Velocity!$A:$A,$A344,Velocity!$B:$B,$C344)/Assumptions!$B$4*Assumptions!$B$6</f>
        <v>0</v>
      </c>
      <c r="AF344" s="7" t="n">
        <f aca="false">SUMIFS(Doors!AR:AR,Doors!$A:$A,$D344,Doors!$B:$B,$B344,Doors!$C:$C,$C344)*SUMIFS(Velocity!$I:$I,Velocity!$A:$A,$A344,Velocity!$B:$B,$C344)/Assumptions!$B$4*Assumptions!$B$6</f>
        <v>0</v>
      </c>
      <c r="AG344" s="7" t="n">
        <f aca="false">SUMIFS(Doors!AS:AS,Doors!$A:$A,$D344,Doors!$B:$B,$B344,Doors!$C:$C,$C344)*SUMIFS(Velocity!$I:$I,Velocity!$A:$A,$A344,Velocity!$B:$B,$C344)/Assumptions!$B$4*Assumptions!$B$6</f>
        <v>0</v>
      </c>
      <c r="AH344" s="7" t="n">
        <f aca="false">SUMIFS(Doors!AT:AT,Doors!$A:$A,$D344,Doors!$B:$B,$B344,Doors!$C:$C,$C344)*SUMIFS(Velocity!$I:$I,Velocity!$A:$A,$A344,Velocity!$B:$B,$C344)/Assumptions!$B$4*Assumptions!$B$6</f>
        <v>0</v>
      </c>
      <c r="AI344" s="7" t="n">
        <f aca="false">SUMIFS(Doors!AU:AU,Doors!$A:$A,$D344,Doors!$B:$B,$B344,Doors!$C:$C,$C344)*SUMIFS(Velocity!$I:$I,Velocity!$A:$A,$A344,Velocity!$B:$B,$C344)/Assumptions!$B$4*Assumptions!$B$6</f>
        <v>0</v>
      </c>
      <c r="AJ344" s="7" t="n">
        <f aca="false">SUMIFS(Doors!AV:AV,Doors!$A:$A,$D344,Doors!$B:$B,$B344,Doors!$C:$C,$C344)*SUMIFS(Velocity!$I:$I,Velocity!$A:$A,$A344,Velocity!$B:$B,$C344)/Assumptions!$B$4*Assumptions!$B$6</f>
        <v>0</v>
      </c>
      <c r="AK344" s="7" t="n">
        <f aca="false">SUMIFS(Doors!AW:AW,Doors!$A:$A,$D344,Doors!$B:$B,$B344,Doors!$C:$C,$C344)*SUMIFS(Velocity!$I:$I,Velocity!$A:$A,$A344,Velocity!$B:$B,$C344)/Assumptions!$B$4*Assumptions!$B$6</f>
        <v>0</v>
      </c>
      <c r="AL344" s="7" t="n">
        <f aca="false">SUMIFS(Doors!AX:AX,Doors!$A:$A,$D344,Doors!$B:$B,$B344,Doors!$C:$C,$C344)*SUMIFS(Velocity!$I:$I,Velocity!$A:$A,$A344,Velocity!$B:$B,$C344)/Assumptions!$B$4*Assumptions!$B$6</f>
        <v>0</v>
      </c>
      <c r="AM344" s="7" t="n">
        <f aca="false">SUMIFS(Doors!AY:AY,Doors!$A:$A,$D344,Doors!$B:$B,$B344,Doors!$C:$C,$C344)*SUMIFS(Velocity!$I:$I,Velocity!$A:$A,$A344,Velocity!$B:$B,$C344)/Assumptions!$B$4*Assumptions!$B$6</f>
        <v>0</v>
      </c>
      <c r="AN344" s="7" t="n">
        <f aca="false">SUMIFS(Doors!AZ:AZ,Doors!$A:$A,$D344,Doors!$B:$B,$B344,Doors!$C:$C,$C344)*SUMIFS(Velocity!$I:$I,Velocity!$A:$A,$A344,Velocity!$B:$B,$C344)/Assumptions!$B$4*Assumptions!$B$6</f>
        <v>0</v>
      </c>
      <c r="AO344" s="7" t="n">
        <f aca="false">SUMIFS(Doors!BA:BA,Doors!$A:$A,$D344,Doors!$B:$B,$B344,Doors!$C:$C,$C344)*SUMIFS(Velocity!$I:$I,Velocity!$A:$A,$A344,Velocity!$B:$B,$C344)/Assumptions!$B$4*Assumptions!$B$6</f>
        <v>0</v>
      </c>
      <c r="AP344" s="7" t="n">
        <f aca="false">SUMIFS(Doors!BB:BB,Doors!$A:$A,$D344,Doors!$B:$B,$B344,Doors!$C:$C,$C344)*SUMIFS(Velocity!$I:$I,Velocity!$A:$A,$A344,Velocity!$B:$B,$C344)/Assumptions!$B$4*Assumptions!$B$6</f>
        <v>0</v>
      </c>
      <c r="AQ344" s="7" t="n">
        <f aca="false">SUMIFS(Doors!BC:BC,Doors!$A:$A,$D344,Doors!$B:$B,$B344,Doors!$C:$C,$C344)*SUMIFS(Velocity!$I:$I,Velocity!$A:$A,$A344,Velocity!$B:$B,$C344)/Assumptions!$B$4*Assumptions!$B$6</f>
        <v>0</v>
      </c>
      <c r="AR344" s="7" t="n">
        <f aca="false">SUMIFS(Doors!BD:BD,Doors!$A:$A,$D344,Doors!$B:$B,$B344,Doors!$C:$C,$C344)*SUMIFS(Velocity!$I:$I,Velocity!$A:$A,$A344,Velocity!$B:$B,$C344)/Assumptions!$B$4*Assumptions!$B$6</f>
        <v>0</v>
      </c>
      <c r="AS344" s="7" t="n">
        <f aca="false">SUMIFS(Doors!BE:BE,Doors!$A:$A,$D344,Doors!$B:$B,$B344,Doors!$C:$C,$C344)*SUMIFS(Velocity!$I:$I,Velocity!$A:$A,$A344,Velocity!$B:$B,$C344)/Assumptions!$B$4*Assumptions!$B$6</f>
        <v>0</v>
      </c>
      <c r="AT344" s="7" t="n">
        <f aca="false">SUMIFS(Doors!BF:BF,Doors!$A:$A,$D344,Doors!$B:$B,$B344,Doors!$C:$C,$C344)*SUMIFS(Velocity!$I:$I,Velocity!$A:$A,$A344,Velocity!$B:$B,$C344)/Assumptions!$B$4*Assumptions!$B$6</f>
        <v>0</v>
      </c>
      <c r="AU344" s="7" t="n">
        <f aca="false">SUMIFS(Doors!BG:BG,Doors!$A:$A,$D344,Doors!$B:$B,$B344,Doors!$C:$C,$C344)*SUMIFS(Velocity!$I:$I,Velocity!$A:$A,$A344,Velocity!$B:$B,$C344)/Assumptions!$B$4*Assumptions!$B$6</f>
        <v>0</v>
      </c>
      <c r="AV344" s="7" t="n">
        <f aca="false">SUMIFS(Doors!BH:BH,Doors!$A:$A,$D344,Doors!$B:$B,$B344,Doors!$C:$C,$C344)*SUMIFS(Velocity!$I:$I,Velocity!$A:$A,$A344,Velocity!$B:$B,$C344)/Assumptions!$B$4*Assumptions!$B$6</f>
        <v>0</v>
      </c>
      <c r="AW344" s="7" t="n">
        <f aca="false">SUMIFS(Doors!BI:BI,Doors!$A:$A,$D344,Doors!$B:$B,$B344,Doors!$C:$C,$C344)*SUMIFS(Velocity!$I:$I,Velocity!$A:$A,$A344,Velocity!$B:$B,$C344)/Assumptions!$B$4*Assumptions!$B$6</f>
        <v>0</v>
      </c>
      <c r="AX344" s="7" t="n">
        <f aca="false">SUMIFS(Doors!BJ:BJ,Doors!$A:$A,$D344,Doors!$B:$B,$B344,Doors!$C:$C,$C344)*SUMIFS(Velocity!$I:$I,Velocity!$A:$A,$A344,Velocity!$B:$B,$C344)/Assumptions!$B$4*Assumptions!$B$6</f>
        <v>0</v>
      </c>
      <c r="AY344" s="7" t="n">
        <f aca="false">SUMIFS(Doors!BK:BK,Doors!$A:$A,$D344,Doors!$B:$B,$B344,Doors!$C:$C,$C344)*SUMIFS(Velocity!$I:$I,Velocity!$A:$A,$A344,Velocity!$B:$B,$C344)/Assumptions!$B$4*Assumptions!$B$6</f>
        <v>0</v>
      </c>
      <c r="AZ344" s="7" t="n">
        <f aca="false">SUMIFS(Doors!BL:BL,Doors!$A:$A,$D344,Doors!$B:$B,$B344,Doors!$C:$C,$C344)*SUMIFS(Velocity!$I:$I,Velocity!$A:$A,$A344,Velocity!$B:$B,$C344)/Assumptions!$B$4*Assumptions!$B$6</f>
        <v>0</v>
      </c>
      <c r="BA344" s="7" t="n">
        <f aca="false">SUMIFS(Doors!BM:BM,Doors!$A:$A,$D344,Doors!$B:$B,$B344,Doors!$C:$C,$C344)*SUMIFS(Velocity!$I:$I,Velocity!$A:$A,$A344,Velocity!$B:$B,$C344)/Assumptions!$B$4*Assumptions!$B$6</f>
        <v>0</v>
      </c>
      <c r="BB344" s="7" t="n">
        <f aca="false">SUMIFS(Doors!BN:BN,Doors!$A:$A,$D344,Doors!$B:$B,$B344,Doors!$C:$C,$C344)*SUMIFS(Velocity!$I:$I,Velocity!$A:$A,$A344,Velocity!$B:$B,$C344)/Assumptions!$B$4*Assumptions!$B$6</f>
        <v>0</v>
      </c>
      <c r="BC344" s="7" t="n">
        <f aca="false">SUMIFS(Doors!BO:BO,Doors!$A:$A,$D344,Doors!$B:$B,$B344,Doors!$C:$C,$C344)*SUMIFS(Velocity!$I:$I,Velocity!$A:$A,$A344,Velocity!$B:$B,$C344)/Assumptions!$B$4*Assumptions!$B$6</f>
        <v>0</v>
      </c>
      <c r="BD344" s="7" t="n">
        <f aca="false">SUMIFS(Doors!BP:BP,Doors!$A:$A,$D344,Doors!$B:$B,$B344,Doors!$C:$C,$C344)*SUMIFS(Velocity!$I:$I,Velocity!$A:$A,$A344,Velocity!$B:$B,$C344)/Assumptions!$B$4*Assumptions!$B$6</f>
        <v>0</v>
      </c>
    </row>
    <row r="345" customFormat="false" ht="15" hidden="false" customHeight="false" outlineLevel="0" collapsed="false">
      <c r="A345" s="0" t="s">
        <v>111</v>
      </c>
      <c r="B345" s="0" t="s">
        <v>133</v>
      </c>
      <c r="C345" s="0" t="s">
        <v>121</v>
      </c>
      <c r="D345" s="0" t="s">
        <v>236</v>
      </c>
      <c r="E345" s="7" t="n">
        <f aca="false">SUMIFS(Doors!Q:Q,Doors!$A:$A,$D345,Doors!$B:$B,$B345,Doors!$C:$C,$C345)*SUMIFS(Velocity!$I:$I,Velocity!$A:$A,$A345,Velocity!$B:$B,$C345)/Assumptions!$B$4*Assumptions!$B$6</f>
        <v>0</v>
      </c>
      <c r="F345" s="7" t="n">
        <f aca="false">SUMIFS(Doors!R:R,Doors!$A:$A,$D345,Doors!$B:$B,$B345,Doors!$C:$C,$C345)*SUMIFS(Velocity!$I:$I,Velocity!$A:$A,$A345,Velocity!$B:$B,$C345)/Assumptions!$B$4*Assumptions!$B$6</f>
        <v>0</v>
      </c>
      <c r="G345" s="7" t="n">
        <f aca="false">SUMIFS(Doors!S:S,Doors!$A:$A,$D345,Doors!$B:$B,$B345,Doors!$C:$C,$C345)*SUMIFS(Velocity!$I:$I,Velocity!$A:$A,$A345,Velocity!$B:$B,$C345)/Assumptions!$B$4*Assumptions!$B$6</f>
        <v>0</v>
      </c>
      <c r="H345" s="7" t="n">
        <f aca="false">SUMIFS(Doors!T:T,Doors!$A:$A,$D345,Doors!$B:$B,$B345,Doors!$C:$C,$C345)*SUMIFS(Velocity!$I:$I,Velocity!$A:$A,$A345,Velocity!$B:$B,$C345)/Assumptions!$B$4*Assumptions!$B$6</f>
        <v>0</v>
      </c>
      <c r="I345" s="7" t="n">
        <f aca="false">SUMIFS(Doors!U:U,Doors!$A:$A,$D345,Doors!$B:$B,$B345,Doors!$C:$C,$C345)*SUMIFS(Velocity!$I:$I,Velocity!$A:$A,$A345,Velocity!$B:$B,$C345)/Assumptions!$B$4*Assumptions!$B$6</f>
        <v>0</v>
      </c>
      <c r="J345" s="7" t="n">
        <f aca="false">SUMIFS(Doors!V:V,Doors!$A:$A,$D345,Doors!$B:$B,$B345,Doors!$C:$C,$C345)*SUMIFS(Velocity!$I:$I,Velocity!$A:$A,$A345,Velocity!$B:$B,$C345)/Assumptions!$B$4*Assumptions!$B$6</f>
        <v>0</v>
      </c>
      <c r="K345" s="7" t="n">
        <f aca="false">SUMIFS(Doors!W:W,Doors!$A:$A,$D345,Doors!$B:$B,$B345,Doors!$C:$C,$C345)*SUMIFS(Velocity!$I:$I,Velocity!$A:$A,$A345,Velocity!$B:$B,$C345)/Assumptions!$B$4*Assumptions!$B$6</f>
        <v>0</v>
      </c>
      <c r="L345" s="7" t="n">
        <f aca="false">SUMIFS(Doors!X:X,Doors!$A:$A,$D345,Doors!$B:$B,$B345,Doors!$C:$C,$C345)*SUMIFS(Velocity!$I:$I,Velocity!$A:$A,$A345,Velocity!$B:$B,$C345)/Assumptions!$B$4*Assumptions!$B$6</f>
        <v>0</v>
      </c>
      <c r="M345" s="7" t="n">
        <f aca="false">SUMIFS(Doors!Y:Y,Doors!$A:$A,$D345,Doors!$B:$B,$B345,Doors!$C:$C,$C345)*SUMIFS(Velocity!$I:$I,Velocity!$A:$A,$A345,Velocity!$B:$B,$C345)/Assumptions!$B$4*Assumptions!$B$6</f>
        <v>0</v>
      </c>
      <c r="N345" s="7" t="n">
        <f aca="false">SUMIFS(Doors!Z:Z,Doors!$A:$A,$D345,Doors!$B:$B,$B345,Doors!$C:$C,$C345)*SUMIFS(Velocity!$I:$I,Velocity!$A:$A,$A345,Velocity!$B:$B,$C345)/Assumptions!$B$4*Assumptions!$B$6</f>
        <v>0</v>
      </c>
      <c r="O345" s="7" t="n">
        <f aca="false">SUMIFS(Doors!AA:AA,Doors!$A:$A,$D345,Doors!$B:$B,$B345,Doors!$C:$C,$C345)*SUMIFS(Velocity!$I:$I,Velocity!$A:$A,$A345,Velocity!$B:$B,$C345)/Assumptions!$B$4*Assumptions!$B$6</f>
        <v>0</v>
      </c>
      <c r="P345" s="7" t="n">
        <f aca="false">SUMIFS(Doors!AB:AB,Doors!$A:$A,$D345,Doors!$B:$B,$B345,Doors!$C:$C,$C345)*SUMIFS(Velocity!$I:$I,Velocity!$A:$A,$A345,Velocity!$B:$B,$C345)/Assumptions!$B$4*Assumptions!$B$6</f>
        <v>0</v>
      </c>
      <c r="Q345" s="7" t="n">
        <f aca="false">SUMIFS(Doors!AC:AC,Doors!$A:$A,$D345,Doors!$B:$B,$B345,Doors!$C:$C,$C345)*SUMIFS(Velocity!$I:$I,Velocity!$A:$A,$A345,Velocity!$B:$B,$C345)/Assumptions!$B$4*Assumptions!$B$6</f>
        <v>0</v>
      </c>
      <c r="R345" s="7" t="n">
        <f aca="false">SUMIFS(Doors!AD:AD,Doors!$A:$A,$D345,Doors!$B:$B,$B345,Doors!$C:$C,$C345)*SUMIFS(Velocity!$I:$I,Velocity!$A:$A,$A345,Velocity!$B:$B,$C345)/Assumptions!$B$4*Assumptions!$B$6</f>
        <v>0</v>
      </c>
      <c r="S345" s="7" t="n">
        <f aca="false">SUMIFS(Doors!AE:AE,Doors!$A:$A,$D345,Doors!$B:$B,$B345,Doors!$C:$C,$C345)*SUMIFS(Velocity!$I:$I,Velocity!$A:$A,$A345,Velocity!$B:$B,$C345)/Assumptions!$B$4*Assumptions!$B$6</f>
        <v>0</v>
      </c>
      <c r="T345" s="7" t="n">
        <f aca="false">SUMIFS(Doors!AF:AF,Doors!$A:$A,$D345,Doors!$B:$B,$B345,Doors!$C:$C,$C345)*SUMIFS(Velocity!$I:$I,Velocity!$A:$A,$A345,Velocity!$B:$B,$C345)/Assumptions!$B$4*Assumptions!$B$6</f>
        <v>0</v>
      </c>
      <c r="U345" s="7" t="n">
        <f aca="false">SUMIFS(Doors!AG:AG,Doors!$A:$A,$D345,Doors!$B:$B,$B345,Doors!$C:$C,$C345)*SUMIFS(Velocity!$I:$I,Velocity!$A:$A,$A345,Velocity!$B:$B,$C345)/Assumptions!$B$4*Assumptions!$B$6</f>
        <v>0</v>
      </c>
      <c r="V345" s="7" t="n">
        <f aca="false">SUMIFS(Doors!AH:AH,Doors!$A:$A,$D345,Doors!$B:$B,$B345,Doors!$C:$C,$C345)*SUMIFS(Velocity!$I:$I,Velocity!$A:$A,$A345,Velocity!$B:$B,$C345)/Assumptions!$B$4*Assumptions!$B$6</f>
        <v>0</v>
      </c>
      <c r="W345" s="7" t="n">
        <f aca="false">SUMIFS(Doors!AI:AI,Doors!$A:$A,$D345,Doors!$B:$B,$B345,Doors!$C:$C,$C345)*SUMIFS(Velocity!$I:$I,Velocity!$A:$A,$A345,Velocity!$B:$B,$C345)/Assumptions!$B$4*Assumptions!$B$6</f>
        <v>0</v>
      </c>
      <c r="X345" s="7" t="n">
        <f aca="false">SUMIFS(Doors!AJ:AJ,Doors!$A:$A,$D345,Doors!$B:$B,$B345,Doors!$C:$C,$C345)*SUMIFS(Velocity!$I:$I,Velocity!$A:$A,$A345,Velocity!$B:$B,$C345)/Assumptions!$B$4*Assumptions!$B$6</f>
        <v>0</v>
      </c>
      <c r="Y345" s="7" t="n">
        <f aca="false">SUMIFS(Doors!AK:AK,Doors!$A:$A,$D345,Doors!$B:$B,$B345,Doors!$C:$C,$C345)*SUMIFS(Velocity!$I:$I,Velocity!$A:$A,$A345,Velocity!$B:$B,$C345)/Assumptions!$B$4*Assumptions!$B$6</f>
        <v>0</v>
      </c>
      <c r="Z345" s="7" t="n">
        <f aca="false">SUMIFS(Doors!AL:AL,Doors!$A:$A,$D345,Doors!$B:$B,$B345,Doors!$C:$C,$C345)*SUMIFS(Velocity!$I:$I,Velocity!$A:$A,$A345,Velocity!$B:$B,$C345)/Assumptions!$B$4*Assumptions!$B$6</f>
        <v>0</v>
      </c>
      <c r="AA345" s="7" t="n">
        <f aca="false">SUMIFS(Doors!AM:AM,Doors!$A:$A,$D345,Doors!$B:$B,$B345,Doors!$C:$C,$C345)*SUMIFS(Velocity!$I:$I,Velocity!$A:$A,$A345,Velocity!$B:$B,$C345)/Assumptions!$B$4*Assumptions!$B$6</f>
        <v>0</v>
      </c>
      <c r="AB345" s="7" t="n">
        <f aca="false">SUMIFS(Doors!AN:AN,Doors!$A:$A,$D345,Doors!$B:$B,$B345,Doors!$C:$C,$C345)*SUMIFS(Velocity!$I:$I,Velocity!$A:$A,$A345,Velocity!$B:$B,$C345)/Assumptions!$B$4*Assumptions!$B$6</f>
        <v>0</v>
      </c>
      <c r="AC345" s="7" t="n">
        <f aca="false">SUMIFS(Doors!AO:AO,Doors!$A:$A,$D345,Doors!$B:$B,$B345,Doors!$C:$C,$C345)*SUMIFS(Velocity!$I:$I,Velocity!$A:$A,$A345,Velocity!$B:$B,$C345)/Assumptions!$B$4*Assumptions!$B$6</f>
        <v>0</v>
      </c>
      <c r="AD345" s="7" t="n">
        <f aca="false">SUMIFS(Doors!AP:AP,Doors!$A:$A,$D345,Doors!$B:$B,$B345,Doors!$C:$C,$C345)*SUMIFS(Velocity!$I:$I,Velocity!$A:$A,$A345,Velocity!$B:$B,$C345)/Assumptions!$B$4*Assumptions!$B$6</f>
        <v>0</v>
      </c>
      <c r="AE345" s="7" t="n">
        <f aca="false">SUMIFS(Doors!AQ:AQ,Doors!$A:$A,$D345,Doors!$B:$B,$B345,Doors!$C:$C,$C345)*SUMIFS(Velocity!$I:$I,Velocity!$A:$A,$A345,Velocity!$B:$B,$C345)/Assumptions!$B$4*Assumptions!$B$6</f>
        <v>0</v>
      </c>
      <c r="AF345" s="7" t="n">
        <f aca="false">SUMIFS(Doors!AR:AR,Doors!$A:$A,$D345,Doors!$B:$B,$B345,Doors!$C:$C,$C345)*SUMIFS(Velocity!$I:$I,Velocity!$A:$A,$A345,Velocity!$B:$B,$C345)/Assumptions!$B$4*Assumptions!$B$6</f>
        <v>0</v>
      </c>
      <c r="AG345" s="7" t="n">
        <f aca="false">SUMIFS(Doors!AS:AS,Doors!$A:$A,$D345,Doors!$B:$B,$B345,Doors!$C:$C,$C345)*SUMIFS(Velocity!$I:$I,Velocity!$A:$A,$A345,Velocity!$B:$B,$C345)/Assumptions!$B$4*Assumptions!$B$6</f>
        <v>0</v>
      </c>
      <c r="AH345" s="7" t="n">
        <f aca="false">SUMIFS(Doors!AT:AT,Doors!$A:$A,$D345,Doors!$B:$B,$B345,Doors!$C:$C,$C345)*SUMIFS(Velocity!$I:$I,Velocity!$A:$A,$A345,Velocity!$B:$B,$C345)/Assumptions!$B$4*Assumptions!$B$6</f>
        <v>0</v>
      </c>
      <c r="AI345" s="7" t="n">
        <f aca="false">SUMIFS(Doors!AU:AU,Doors!$A:$A,$D345,Doors!$B:$B,$B345,Doors!$C:$C,$C345)*SUMIFS(Velocity!$I:$I,Velocity!$A:$A,$A345,Velocity!$B:$B,$C345)/Assumptions!$B$4*Assumptions!$B$6</f>
        <v>0</v>
      </c>
      <c r="AJ345" s="7" t="n">
        <f aca="false">SUMIFS(Doors!AV:AV,Doors!$A:$A,$D345,Doors!$B:$B,$B345,Doors!$C:$C,$C345)*SUMIFS(Velocity!$I:$I,Velocity!$A:$A,$A345,Velocity!$B:$B,$C345)/Assumptions!$B$4*Assumptions!$B$6</f>
        <v>0</v>
      </c>
      <c r="AK345" s="7" t="n">
        <f aca="false">SUMIFS(Doors!AW:AW,Doors!$A:$A,$D345,Doors!$B:$B,$B345,Doors!$C:$C,$C345)*SUMIFS(Velocity!$I:$I,Velocity!$A:$A,$A345,Velocity!$B:$B,$C345)/Assumptions!$B$4*Assumptions!$B$6</f>
        <v>0</v>
      </c>
      <c r="AL345" s="7" t="n">
        <f aca="false">SUMIFS(Doors!AX:AX,Doors!$A:$A,$D345,Doors!$B:$B,$B345,Doors!$C:$C,$C345)*SUMIFS(Velocity!$I:$I,Velocity!$A:$A,$A345,Velocity!$B:$B,$C345)/Assumptions!$B$4*Assumptions!$B$6</f>
        <v>0</v>
      </c>
      <c r="AM345" s="7" t="n">
        <f aca="false">SUMIFS(Doors!AY:AY,Doors!$A:$A,$D345,Doors!$B:$B,$B345,Doors!$C:$C,$C345)*SUMIFS(Velocity!$I:$I,Velocity!$A:$A,$A345,Velocity!$B:$B,$C345)/Assumptions!$B$4*Assumptions!$B$6</f>
        <v>0</v>
      </c>
      <c r="AN345" s="7" t="n">
        <f aca="false">SUMIFS(Doors!AZ:AZ,Doors!$A:$A,$D345,Doors!$B:$B,$B345,Doors!$C:$C,$C345)*SUMIFS(Velocity!$I:$I,Velocity!$A:$A,$A345,Velocity!$B:$B,$C345)/Assumptions!$B$4*Assumptions!$B$6</f>
        <v>0</v>
      </c>
      <c r="AO345" s="7" t="n">
        <f aca="false">SUMIFS(Doors!BA:BA,Doors!$A:$A,$D345,Doors!$B:$B,$B345,Doors!$C:$C,$C345)*SUMIFS(Velocity!$I:$I,Velocity!$A:$A,$A345,Velocity!$B:$B,$C345)/Assumptions!$B$4*Assumptions!$B$6</f>
        <v>0</v>
      </c>
      <c r="AP345" s="7" t="n">
        <f aca="false">SUMIFS(Doors!BB:BB,Doors!$A:$A,$D345,Doors!$B:$B,$B345,Doors!$C:$C,$C345)*SUMIFS(Velocity!$I:$I,Velocity!$A:$A,$A345,Velocity!$B:$B,$C345)/Assumptions!$B$4*Assumptions!$B$6</f>
        <v>0</v>
      </c>
      <c r="AQ345" s="7" t="n">
        <f aca="false">SUMIFS(Doors!BC:BC,Doors!$A:$A,$D345,Doors!$B:$B,$B345,Doors!$C:$C,$C345)*SUMIFS(Velocity!$I:$I,Velocity!$A:$A,$A345,Velocity!$B:$B,$C345)/Assumptions!$B$4*Assumptions!$B$6</f>
        <v>0</v>
      </c>
      <c r="AR345" s="7" t="n">
        <f aca="false">SUMIFS(Doors!BD:BD,Doors!$A:$A,$D345,Doors!$B:$B,$B345,Doors!$C:$C,$C345)*SUMIFS(Velocity!$I:$I,Velocity!$A:$A,$A345,Velocity!$B:$B,$C345)/Assumptions!$B$4*Assumptions!$B$6</f>
        <v>0</v>
      </c>
      <c r="AS345" s="7" t="n">
        <f aca="false">SUMIFS(Doors!BE:BE,Doors!$A:$A,$D345,Doors!$B:$B,$B345,Doors!$C:$C,$C345)*SUMIFS(Velocity!$I:$I,Velocity!$A:$A,$A345,Velocity!$B:$B,$C345)/Assumptions!$B$4*Assumptions!$B$6</f>
        <v>0</v>
      </c>
      <c r="AT345" s="7" t="n">
        <f aca="false">SUMIFS(Doors!BF:BF,Doors!$A:$A,$D345,Doors!$B:$B,$B345,Doors!$C:$C,$C345)*SUMIFS(Velocity!$I:$I,Velocity!$A:$A,$A345,Velocity!$B:$B,$C345)/Assumptions!$B$4*Assumptions!$B$6</f>
        <v>0</v>
      </c>
      <c r="AU345" s="7" t="n">
        <f aca="false">SUMIFS(Doors!BG:BG,Doors!$A:$A,$D345,Doors!$B:$B,$B345,Doors!$C:$C,$C345)*SUMIFS(Velocity!$I:$I,Velocity!$A:$A,$A345,Velocity!$B:$B,$C345)/Assumptions!$B$4*Assumptions!$B$6</f>
        <v>0</v>
      </c>
      <c r="AV345" s="7" t="n">
        <f aca="false">SUMIFS(Doors!BH:BH,Doors!$A:$A,$D345,Doors!$B:$B,$B345,Doors!$C:$C,$C345)*SUMIFS(Velocity!$I:$I,Velocity!$A:$A,$A345,Velocity!$B:$B,$C345)/Assumptions!$B$4*Assumptions!$B$6</f>
        <v>0</v>
      </c>
      <c r="AW345" s="7" t="n">
        <f aca="false">SUMIFS(Doors!BI:BI,Doors!$A:$A,$D345,Doors!$B:$B,$B345,Doors!$C:$C,$C345)*SUMIFS(Velocity!$I:$I,Velocity!$A:$A,$A345,Velocity!$B:$B,$C345)/Assumptions!$B$4*Assumptions!$B$6</f>
        <v>0</v>
      </c>
      <c r="AX345" s="7" t="n">
        <f aca="false">SUMIFS(Doors!BJ:BJ,Doors!$A:$A,$D345,Doors!$B:$B,$B345,Doors!$C:$C,$C345)*SUMIFS(Velocity!$I:$I,Velocity!$A:$A,$A345,Velocity!$B:$B,$C345)/Assumptions!$B$4*Assumptions!$B$6</f>
        <v>0</v>
      </c>
      <c r="AY345" s="7" t="n">
        <f aca="false">SUMIFS(Doors!BK:BK,Doors!$A:$A,$D345,Doors!$B:$B,$B345,Doors!$C:$C,$C345)*SUMIFS(Velocity!$I:$I,Velocity!$A:$A,$A345,Velocity!$B:$B,$C345)/Assumptions!$B$4*Assumptions!$B$6</f>
        <v>0</v>
      </c>
      <c r="AZ345" s="7" t="n">
        <f aca="false">SUMIFS(Doors!BL:BL,Doors!$A:$A,$D345,Doors!$B:$B,$B345,Doors!$C:$C,$C345)*SUMIFS(Velocity!$I:$I,Velocity!$A:$A,$A345,Velocity!$B:$B,$C345)/Assumptions!$B$4*Assumptions!$B$6</f>
        <v>0</v>
      </c>
      <c r="BA345" s="7" t="n">
        <f aca="false">SUMIFS(Doors!BM:BM,Doors!$A:$A,$D345,Doors!$B:$B,$B345,Doors!$C:$C,$C345)*SUMIFS(Velocity!$I:$I,Velocity!$A:$A,$A345,Velocity!$B:$B,$C345)/Assumptions!$B$4*Assumptions!$B$6</f>
        <v>0</v>
      </c>
      <c r="BB345" s="7" t="n">
        <f aca="false">SUMIFS(Doors!BN:BN,Doors!$A:$A,$D345,Doors!$B:$B,$B345,Doors!$C:$C,$C345)*SUMIFS(Velocity!$I:$I,Velocity!$A:$A,$A345,Velocity!$B:$B,$C345)/Assumptions!$B$4*Assumptions!$B$6</f>
        <v>0</v>
      </c>
      <c r="BC345" s="7" t="n">
        <f aca="false">SUMIFS(Doors!BO:BO,Doors!$A:$A,$D345,Doors!$B:$B,$B345,Doors!$C:$C,$C345)*SUMIFS(Velocity!$I:$I,Velocity!$A:$A,$A345,Velocity!$B:$B,$C345)/Assumptions!$B$4*Assumptions!$B$6</f>
        <v>0</v>
      </c>
      <c r="BD345" s="7" t="n">
        <f aca="false">SUMIFS(Doors!BP:BP,Doors!$A:$A,$D345,Doors!$B:$B,$B345,Doors!$C:$C,$C345)*SUMIFS(Velocity!$I:$I,Velocity!$A:$A,$A345,Velocity!$B:$B,$C345)/Assumptions!$B$4*Assumptions!$B$6</f>
        <v>0</v>
      </c>
    </row>
    <row r="346" customFormat="false" ht="15" hidden="false" customHeight="false" outlineLevel="0" collapsed="false">
      <c r="A346" s="0" t="s">
        <v>111</v>
      </c>
      <c r="B346" s="0" t="s">
        <v>133</v>
      </c>
      <c r="C346" s="0" t="s">
        <v>122</v>
      </c>
      <c r="D346" s="0" t="s">
        <v>236</v>
      </c>
      <c r="E346" s="7" t="n">
        <f aca="false">SUMIFS(Doors!Q:Q,Doors!$A:$A,$D346,Doors!$B:$B,$B346,Doors!$C:$C,$C346)*SUMIFS(Velocity!$I:$I,Velocity!$A:$A,$A346,Velocity!$B:$B,$C346)/Assumptions!$B$4*Assumptions!$B$6</f>
        <v>0</v>
      </c>
      <c r="F346" s="7" t="n">
        <f aca="false">SUMIFS(Doors!R:R,Doors!$A:$A,$D346,Doors!$B:$B,$B346,Doors!$C:$C,$C346)*SUMIFS(Velocity!$I:$I,Velocity!$A:$A,$A346,Velocity!$B:$B,$C346)/Assumptions!$B$4*Assumptions!$B$6</f>
        <v>0</v>
      </c>
      <c r="G346" s="7" t="n">
        <f aca="false">SUMIFS(Doors!S:S,Doors!$A:$A,$D346,Doors!$B:$B,$B346,Doors!$C:$C,$C346)*SUMIFS(Velocity!$I:$I,Velocity!$A:$A,$A346,Velocity!$B:$B,$C346)/Assumptions!$B$4*Assumptions!$B$6</f>
        <v>0</v>
      </c>
      <c r="H346" s="7" t="n">
        <f aca="false">SUMIFS(Doors!T:T,Doors!$A:$A,$D346,Doors!$B:$B,$B346,Doors!$C:$C,$C346)*SUMIFS(Velocity!$I:$I,Velocity!$A:$A,$A346,Velocity!$B:$B,$C346)/Assumptions!$B$4*Assumptions!$B$6</f>
        <v>0</v>
      </c>
      <c r="I346" s="7" t="n">
        <f aca="false">SUMIFS(Doors!U:U,Doors!$A:$A,$D346,Doors!$B:$B,$B346,Doors!$C:$C,$C346)*SUMIFS(Velocity!$I:$I,Velocity!$A:$A,$A346,Velocity!$B:$B,$C346)/Assumptions!$B$4*Assumptions!$B$6</f>
        <v>0</v>
      </c>
      <c r="J346" s="7" t="n">
        <f aca="false">SUMIFS(Doors!V:V,Doors!$A:$A,$D346,Doors!$B:$B,$B346,Doors!$C:$C,$C346)*SUMIFS(Velocity!$I:$I,Velocity!$A:$A,$A346,Velocity!$B:$B,$C346)/Assumptions!$B$4*Assumptions!$B$6</f>
        <v>0</v>
      </c>
      <c r="K346" s="7" t="n">
        <f aca="false">SUMIFS(Doors!W:W,Doors!$A:$A,$D346,Doors!$B:$B,$B346,Doors!$C:$C,$C346)*SUMIFS(Velocity!$I:$I,Velocity!$A:$A,$A346,Velocity!$B:$B,$C346)/Assumptions!$B$4*Assumptions!$B$6</f>
        <v>0</v>
      </c>
      <c r="L346" s="7" t="n">
        <f aca="false">SUMIFS(Doors!X:X,Doors!$A:$A,$D346,Doors!$B:$B,$B346,Doors!$C:$C,$C346)*SUMIFS(Velocity!$I:$I,Velocity!$A:$A,$A346,Velocity!$B:$B,$C346)/Assumptions!$B$4*Assumptions!$B$6</f>
        <v>0</v>
      </c>
      <c r="M346" s="7" t="n">
        <f aca="false">SUMIFS(Doors!Y:Y,Doors!$A:$A,$D346,Doors!$B:$B,$B346,Doors!$C:$C,$C346)*SUMIFS(Velocity!$I:$I,Velocity!$A:$A,$A346,Velocity!$B:$B,$C346)/Assumptions!$B$4*Assumptions!$B$6</f>
        <v>0</v>
      </c>
      <c r="N346" s="7" t="n">
        <f aca="false">SUMIFS(Doors!Z:Z,Doors!$A:$A,$D346,Doors!$B:$B,$B346,Doors!$C:$C,$C346)*SUMIFS(Velocity!$I:$I,Velocity!$A:$A,$A346,Velocity!$B:$B,$C346)/Assumptions!$B$4*Assumptions!$B$6</f>
        <v>0</v>
      </c>
      <c r="O346" s="7" t="n">
        <f aca="false">SUMIFS(Doors!AA:AA,Doors!$A:$A,$D346,Doors!$B:$B,$B346,Doors!$C:$C,$C346)*SUMIFS(Velocity!$I:$I,Velocity!$A:$A,$A346,Velocity!$B:$B,$C346)/Assumptions!$B$4*Assumptions!$B$6</f>
        <v>0</v>
      </c>
      <c r="P346" s="7" t="n">
        <f aca="false">SUMIFS(Doors!AB:AB,Doors!$A:$A,$D346,Doors!$B:$B,$B346,Doors!$C:$C,$C346)*SUMIFS(Velocity!$I:$I,Velocity!$A:$A,$A346,Velocity!$B:$B,$C346)/Assumptions!$B$4*Assumptions!$B$6</f>
        <v>0</v>
      </c>
      <c r="Q346" s="7" t="n">
        <f aca="false">SUMIFS(Doors!AC:AC,Doors!$A:$A,$D346,Doors!$B:$B,$B346,Doors!$C:$C,$C346)*SUMIFS(Velocity!$I:$I,Velocity!$A:$A,$A346,Velocity!$B:$B,$C346)/Assumptions!$B$4*Assumptions!$B$6</f>
        <v>0</v>
      </c>
      <c r="R346" s="7" t="n">
        <f aca="false">SUMIFS(Doors!AD:AD,Doors!$A:$A,$D346,Doors!$B:$B,$B346,Doors!$C:$C,$C346)*SUMIFS(Velocity!$I:$I,Velocity!$A:$A,$A346,Velocity!$B:$B,$C346)/Assumptions!$B$4*Assumptions!$B$6</f>
        <v>0</v>
      </c>
      <c r="S346" s="7" t="n">
        <f aca="false">SUMIFS(Doors!AE:AE,Doors!$A:$A,$D346,Doors!$B:$B,$B346,Doors!$C:$C,$C346)*SUMIFS(Velocity!$I:$I,Velocity!$A:$A,$A346,Velocity!$B:$B,$C346)/Assumptions!$B$4*Assumptions!$B$6</f>
        <v>0</v>
      </c>
      <c r="T346" s="7" t="n">
        <f aca="false">SUMIFS(Doors!AF:AF,Doors!$A:$A,$D346,Doors!$B:$B,$B346,Doors!$C:$C,$C346)*SUMIFS(Velocity!$I:$I,Velocity!$A:$A,$A346,Velocity!$B:$B,$C346)/Assumptions!$B$4*Assumptions!$B$6</f>
        <v>0</v>
      </c>
      <c r="U346" s="7" t="n">
        <f aca="false">SUMIFS(Doors!AG:AG,Doors!$A:$A,$D346,Doors!$B:$B,$B346,Doors!$C:$C,$C346)*SUMIFS(Velocity!$I:$I,Velocity!$A:$A,$A346,Velocity!$B:$B,$C346)/Assumptions!$B$4*Assumptions!$B$6</f>
        <v>0</v>
      </c>
      <c r="V346" s="7" t="n">
        <f aca="false">SUMIFS(Doors!AH:AH,Doors!$A:$A,$D346,Doors!$B:$B,$B346,Doors!$C:$C,$C346)*SUMIFS(Velocity!$I:$I,Velocity!$A:$A,$A346,Velocity!$B:$B,$C346)/Assumptions!$B$4*Assumptions!$B$6</f>
        <v>0</v>
      </c>
      <c r="W346" s="7" t="n">
        <f aca="false">SUMIFS(Doors!AI:AI,Doors!$A:$A,$D346,Doors!$B:$B,$B346,Doors!$C:$C,$C346)*SUMIFS(Velocity!$I:$I,Velocity!$A:$A,$A346,Velocity!$B:$B,$C346)/Assumptions!$B$4*Assumptions!$B$6</f>
        <v>0</v>
      </c>
      <c r="X346" s="7" t="n">
        <f aca="false">SUMIFS(Doors!AJ:AJ,Doors!$A:$A,$D346,Doors!$B:$B,$B346,Doors!$C:$C,$C346)*SUMIFS(Velocity!$I:$I,Velocity!$A:$A,$A346,Velocity!$B:$B,$C346)/Assumptions!$B$4*Assumptions!$B$6</f>
        <v>0</v>
      </c>
      <c r="Y346" s="7" t="n">
        <f aca="false">SUMIFS(Doors!AK:AK,Doors!$A:$A,$D346,Doors!$B:$B,$B346,Doors!$C:$C,$C346)*SUMIFS(Velocity!$I:$I,Velocity!$A:$A,$A346,Velocity!$B:$B,$C346)/Assumptions!$B$4*Assumptions!$B$6</f>
        <v>0</v>
      </c>
      <c r="Z346" s="7" t="n">
        <f aca="false">SUMIFS(Doors!AL:AL,Doors!$A:$A,$D346,Doors!$B:$B,$B346,Doors!$C:$C,$C346)*SUMIFS(Velocity!$I:$I,Velocity!$A:$A,$A346,Velocity!$B:$B,$C346)/Assumptions!$B$4*Assumptions!$B$6</f>
        <v>0</v>
      </c>
      <c r="AA346" s="7" t="n">
        <f aca="false">SUMIFS(Doors!AM:AM,Doors!$A:$A,$D346,Doors!$B:$B,$B346,Doors!$C:$C,$C346)*SUMIFS(Velocity!$I:$I,Velocity!$A:$A,$A346,Velocity!$B:$B,$C346)/Assumptions!$B$4*Assumptions!$B$6</f>
        <v>0</v>
      </c>
      <c r="AB346" s="7" t="n">
        <f aca="false">SUMIFS(Doors!AN:AN,Doors!$A:$A,$D346,Doors!$B:$B,$B346,Doors!$C:$C,$C346)*SUMIFS(Velocity!$I:$I,Velocity!$A:$A,$A346,Velocity!$B:$B,$C346)/Assumptions!$B$4*Assumptions!$B$6</f>
        <v>0</v>
      </c>
      <c r="AC346" s="7" t="n">
        <f aca="false">SUMIFS(Doors!AO:AO,Doors!$A:$A,$D346,Doors!$B:$B,$B346,Doors!$C:$C,$C346)*SUMIFS(Velocity!$I:$I,Velocity!$A:$A,$A346,Velocity!$B:$B,$C346)/Assumptions!$B$4*Assumptions!$B$6</f>
        <v>0</v>
      </c>
      <c r="AD346" s="7" t="n">
        <f aca="false">SUMIFS(Doors!AP:AP,Doors!$A:$A,$D346,Doors!$B:$B,$B346,Doors!$C:$C,$C346)*SUMIFS(Velocity!$I:$I,Velocity!$A:$A,$A346,Velocity!$B:$B,$C346)/Assumptions!$B$4*Assumptions!$B$6</f>
        <v>0</v>
      </c>
      <c r="AE346" s="7" t="n">
        <f aca="false">SUMIFS(Doors!AQ:AQ,Doors!$A:$A,$D346,Doors!$B:$B,$B346,Doors!$C:$C,$C346)*SUMIFS(Velocity!$I:$I,Velocity!$A:$A,$A346,Velocity!$B:$B,$C346)/Assumptions!$B$4*Assumptions!$B$6</f>
        <v>0</v>
      </c>
      <c r="AF346" s="7" t="n">
        <f aca="false">SUMIFS(Doors!AR:AR,Doors!$A:$A,$D346,Doors!$B:$B,$B346,Doors!$C:$C,$C346)*SUMIFS(Velocity!$I:$I,Velocity!$A:$A,$A346,Velocity!$B:$B,$C346)/Assumptions!$B$4*Assumptions!$B$6</f>
        <v>0</v>
      </c>
      <c r="AG346" s="7" t="n">
        <f aca="false">SUMIFS(Doors!AS:AS,Doors!$A:$A,$D346,Doors!$B:$B,$B346,Doors!$C:$C,$C346)*SUMIFS(Velocity!$I:$I,Velocity!$A:$A,$A346,Velocity!$B:$B,$C346)/Assumptions!$B$4*Assumptions!$B$6</f>
        <v>0</v>
      </c>
      <c r="AH346" s="7" t="n">
        <f aca="false">SUMIFS(Doors!AT:AT,Doors!$A:$A,$D346,Doors!$B:$B,$B346,Doors!$C:$C,$C346)*SUMIFS(Velocity!$I:$I,Velocity!$A:$A,$A346,Velocity!$B:$B,$C346)/Assumptions!$B$4*Assumptions!$B$6</f>
        <v>0</v>
      </c>
      <c r="AI346" s="7" t="n">
        <f aca="false">SUMIFS(Doors!AU:AU,Doors!$A:$A,$D346,Doors!$B:$B,$B346,Doors!$C:$C,$C346)*SUMIFS(Velocity!$I:$I,Velocity!$A:$A,$A346,Velocity!$B:$B,$C346)/Assumptions!$B$4*Assumptions!$B$6</f>
        <v>0</v>
      </c>
      <c r="AJ346" s="7" t="n">
        <f aca="false">SUMIFS(Doors!AV:AV,Doors!$A:$A,$D346,Doors!$B:$B,$B346,Doors!$C:$C,$C346)*SUMIFS(Velocity!$I:$I,Velocity!$A:$A,$A346,Velocity!$B:$B,$C346)/Assumptions!$B$4*Assumptions!$B$6</f>
        <v>0</v>
      </c>
      <c r="AK346" s="7" t="n">
        <f aca="false">SUMIFS(Doors!AW:AW,Doors!$A:$A,$D346,Doors!$B:$B,$B346,Doors!$C:$C,$C346)*SUMIFS(Velocity!$I:$I,Velocity!$A:$A,$A346,Velocity!$B:$B,$C346)/Assumptions!$B$4*Assumptions!$B$6</f>
        <v>0</v>
      </c>
      <c r="AL346" s="7" t="n">
        <f aca="false">SUMIFS(Doors!AX:AX,Doors!$A:$A,$D346,Doors!$B:$B,$B346,Doors!$C:$C,$C346)*SUMIFS(Velocity!$I:$I,Velocity!$A:$A,$A346,Velocity!$B:$B,$C346)/Assumptions!$B$4*Assumptions!$B$6</f>
        <v>0</v>
      </c>
      <c r="AM346" s="7" t="n">
        <f aca="false">SUMIFS(Doors!AY:AY,Doors!$A:$A,$D346,Doors!$B:$B,$B346,Doors!$C:$C,$C346)*SUMIFS(Velocity!$I:$I,Velocity!$A:$A,$A346,Velocity!$B:$B,$C346)/Assumptions!$B$4*Assumptions!$B$6</f>
        <v>0</v>
      </c>
      <c r="AN346" s="7" t="n">
        <f aca="false">SUMIFS(Doors!AZ:AZ,Doors!$A:$A,$D346,Doors!$B:$B,$B346,Doors!$C:$C,$C346)*SUMIFS(Velocity!$I:$I,Velocity!$A:$A,$A346,Velocity!$B:$B,$C346)/Assumptions!$B$4*Assumptions!$B$6</f>
        <v>0</v>
      </c>
      <c r="AO346" s="7" t="n">
        <f aca="false">SUMIFS(Doors!BA:BA,Doors!$A:$A,$D346,Doors!$B:$B,$B346,Doors!$C:$C,$C346)*SUMIFS(Velocity!$I:$I,Velocity!$A:$A,$A346,Velocity!$B:$B,$C346)/Assumptions!$B$4*Assumptions!$B$6</f>
        <v>0</v>
      </c>
      <c r="AP346" s="7" t="n">
        <f aca="false">SUMIFS(Doors!BB:BB,Doors!$A:$A,$D346,Doors!$B:$B,$B346,Doors!$C:$C,$C346)*SUMIFS(Velocity!$I:$I,Velocity!$A:$A,$A346,Velocity!$B:$B,$C346)/Assumptions!$B$4*Assumptions!$B$6</f>
        <v>0</v>
      </c>
      <c r="AQ346" s="7" t="n">
        <f aca="false">SUMIFS(Doors!BC:BC,Doors!$A:$A,$D346,Doors!$B:$B,$B346,Doors!$C:$C,$C346)*SUMIFS(Velocity!$I:$I,Velocity!$A:$A,$A346,Velocity!$B:$B,$C346)/Assumptions!$B$4*Assumptions!$B$6</f>
        <v>0</v>
      </c>
      <c r="AR346" s="7" t="n">
        <f aca="false">SUMIFS(Doors!BD:BD,Doors!$A:$A,$D346,Doors!$B:$B,$B346,Doors!$C:$C,$C346)*SUMIFS(Velocity!$I:$I,Velocity!$A:$A,$A346,Velocity!$B:$B,$C346)/Assumptions!$B$4*Assumptions!$B$6</f>
        <v>0</v>
      </c>
      <c r="AS346" s="7" t="n">
        <f aca="false">SUMIFS(Doors!BE:BE,Doors!$A:$A,$D346,Doors!$B:$B,$B346,Doors!$C:$C,$C346)*SUMIFS(Velocity!$I:$I,Velocity!$A:$A,$A346,Velocity!$B:$B,$C346)/Assumptions!$B$4*Assumptions!$B$6</f>
        <v>0</v>
      </c>
      <c r="AT346" s="7" t="n">
        <f aca="false">SUMIFS(Doors!BF:BF,Doors!$A:$A,$D346,Doors!$B:$B,$B346,Doors!$C:$C,$C346)*SUMIFS(Velocity!$I:$I,Velocity!$A:$A,$A346,Velocity!$B:$B,$C346)/Assumptions!$B$4*Assumptions!$B$6</f>
        <v>0</v>
      </c>
      <c r="AU346" s="7" t="n">
        <f aca="false">SUMIFS(Doors!BG:BG,Doors!$A:$A,$D346,Doors!$B:$B,$B346,Doors!$C:$C,$C346)*SUMIFS(Velocity!$I:$I,Velocity!$A:$A,$A346,Velocity!$B:$B,$C346)/Assumptions!$B$4*Assumptions!$B$6</f>
        <v>0</v>
      </c>
      <c r="AV346" s="7" t="n">
        <f aca="false">SUMIFS(Doors!BH:BH,Doors!$A:$A,$D346,Doors!$B:$B,$B346,Doors!$C:$C,$C346)*SUMIFS(Velocity!$I:$I,Velocity!$A:$A,$A346,Velocity!$B:$B,$C346)/Assumptions!$B$4*Assumptions!$B$6</f>
        <v>0</v>
      </c>
      <c r="AW346" s="7" t="n">
        <f aca="false">SUMIFS(Doors!BI:BI,Doors!$A:$A,$D346,Doors!$B:$B,$B346,Doors!$C:$C,$C346)*SUMIFS(Velocity!$I:$I,Velocity!$A:$A,$A346,Velocity!$B:$B,$C346)/Assumptions!$B$4*Assumptions!$B$6</f>
        <v>0</v>
      </c>
      <c r="AX346" s="7" t="n">
        <f aca="false">SUMIFS(Doors!BJ:BJ,Doors!$A:$A,$D346,Doors!$B:$B,$B346,Doors!$C:$C,$C346)*SUMIFS(Velocity!$I:$I,Velocity!$A:$A,$A346,Velocity!$B:$B,$C346)/Assumptions!$B$4*Assumptions!$B$6</f>
        <v>0</v>
      </c>
      <c r="AY346" s="7" t="n">
        <f aca="false">SUMIFS(Doors!BK:BK,Doors!$A:$A,$D346,Doors!$B:$B,$B346,Doors!$C:$C,$C346)*SUMIFS(Velocity!$I:$I,Velocity!$A:$A,$A346,Velocity!$B:$B,$C346)/Assumptions!$B$4*Assumptions!$B$6</f>
        <v>0</v>
      </c>
      <c r="AZ346" s="7" t="n">
        <f aca="false">SUMIFS(Doors!BL:BL,Doors!$A:$A,$D346,Doors!$B:$B,$B346,Doors!$C:$C,$C346)*SUMIFS(Velocity!$I:$I,Velocity!$A:$A,$A346,Velocity!$B:$B,$C346)/Assumptions!$B$4*Assumptions!$B$6</f>
        <v>0</v>
      </c>
      <c r="BA346" s="7" t="n">
        <f aca="false">SUMIFS(Doors!BM:BM,Doors!$A:$A,$D346,Doors!$B:$B,$B346,Doors!$C:$C,$C346)*SUMIFS(Velocity!$I:$I,Velocity!$A:$A,$A346,Velocity!$B:$B,$C346)/Assumptions!$B$4*Assumptions!$B$6</f>
        <v>0</v>
      </c>
      <c r="BB346" s="7" t="n">
        <f aca="false">SUMIFS(Doors!BN:BN,Doors!$A:$A,$D346,Doors!$B:$B,$B346,Doors!$C:$C,$C346)*SUMIFS(Velocity!$I:$I,Velocity!$A:$A,$A346,Velocity!$B:$B,$C346)/Assumptions!$B$4*Assumptions!$B$6</f>
        <v>0</v>
      </c>
      <c r="BC346" s="7" t="n">
        <f aca="false">SUMIFS(Doors!BO:BO,Doors!$A:$A,$D346,Doors!$B:$B,$B346,Doors!$C:$C,$C346)*SUMIFS(Velocity!$I:$I,Velocity!$A:$A,$A346,Velocity!$B:$B,$C346)/Assumptions!$B$4*Assumptions!$B$6</f>
        <v>0</v>
      </c>
      <c r="BD346" s="7" t="n">
        <f aca="false">SUMIFS(Doors!BP:BP,Doors!$A:$A,$D346,Doors!$B:$B,$B346,Doors!$C:$C,$C346)*SUMIFS(Velocity!$I:$I,Velocity!$A:$A,$A346,Velocity!$B:$B,$C346)/Assumptions!$B$4*Assumptions!$B$6</f>
        <v>0</v>
      </c>
    </row>
    <row r="347" customFormat="false" ht="15" hidden="false" customHeight="false" outlineLevel="0" collapsed="false">
      <c r="A347" s="0" t="s">
        <v>111</v>
      </c>
      <c r="B347" s="0" t="s">
        <v>133</v>
      </c>
      <c r="C347" s="0" t="s">
        <v>123</v>
      </c>
      <c r="D347" s="0" t="s">
        <v>236</v>
      </c>
      <c r="E347" s="7" t="n">
        <f aca="false">SUMIFS(Doors!Q:Q,Doors!$A:$A,$D347,Doors!$B:$B,$B347,Doors!$C:$C,$C347)*SUMIFS(Velocity!$I:$I,Velocity!$A:$A,$A347,Velocity!$B:$B,$C347)/Assumptions!$B$4*Assumptions!$B$6</f>
        <v>0</v>
      </c>
      <c r="F347" s="7" t="n">
        <f aca="false">SUMIFS(Doors!R:R,Doors!$A:$A,$D347,Doors!$B:$B,$B347,Doors!$C:$C,$C347)*SUMIFS(Velocity!$I:$I,Velocity!$A:$A,$A347,Velocity!$B:$B,$C347)/Assumptions!$B$4*Assumptions!$B$6</f>
        <v>0</v>
      </c>
      <c r="G347" s="7" t="n">
        <f aca="false">SUMIFS(Doors!S:S,Doors!$A:$A,$D347,Doors!$B:$B,$B347,Doors!$C:$C,$C347)*SUMIFS(Velocity!$I:$I,Velocity!$A:$A,$A347,Velocity!$B:$B,$C347)/Assumptions!$B$4*Assumptions!$B$6</f>
        <v>0</v>
      </c>
      <c r="H347" s="7" t="n">
        <f aca="false">SUMIFS(Doors!T:T,Doors!$A:$A,$D347,Doors!$B:$B,$B347,Doors!$C:$C,$C347)*SUMIFS(Velocity!$I:$I,Velocity!$A:$A,$A347,Velocity!$B:$B,$C347)/Assumptions!$B$4*Assumptions!$B$6</f>
        <v>0</v>
      </c>
      <c r="I347" s="7" t="n">
        <f aca="false">SUMIFS(Doors!U:U,Doors!$A:$A,$D347,Doors!$B:$B,$B347,Doors!$C:$C,$C347)*SUMIFS(Velocity!$I:$I,Velocity!$A:$A,$A347,Velocity!$B:$B,$C347)/Assumptions!$B$4*Assumptions!$B$6</f>
        <v>0</v>
      </c>
      <c r="J347" s="7" t="n">
        <f aca="false">SUMIFS(Doors!V:V,Doors!$A:$A,$D347,Doors!$B:$B,$B347,Doors!$C:$C,$C347)*SUMIFS(Velocity!$I:$I,Velocity!$A:$A,$A347,Velocity!$B:$B,$C347)/Assumptions!$B$4*Assumptions!$B$6</f>
        <v>0</v>
      </c>
      <c r="K347" s="7" t="n">
        <f aca="false">SUMIFS(Doors!W:W,Doors!$A:$A,$D347,Doors!$B:$B,$B347,Doors!$C:$C,$C347)*SUMIFS(Velocity!$I:$I,Velocity!$A:$A,$A347,Velocity!$B:$B,$C347)/Assumptions!$B$4*Assumptions!$B$6</f>
        <v>0</v>
      </c>
      <c r="L347" s="7" t="n">
        <f aca="false">SUMIFS(Doors!X:X,Doors!$A:$A,$D347,Doors!$B:$B,$B347,Doors!$C:$C,$C347)*SUMIFS(Velocity!$I:$I,Velocity!$A:$A,$A347,Velocity!$B:$B,$C347)/Assumptions!$B$4*Assumptions!$B$6</f>
        <v>0</v>
      </c>
      <c r="M347" s="7" t="n">
        <f aca="false">SUMIFS(Doors!Y:Y,Doors!$A:$A,$D347,Doors!$B:$B,$B347,Doors!$C:$C,$C347)*SUMIFS(Velocity!$I:$I,Velocity!$A:$A,$A347,Velocity!$B:$B,$C347)/Assumptions!$B$4*Assumptions!$B$6</f>
        <v>0</v>
      </c>
      <c r="N347" s="7" t="n">
        <f aca="false">SUMIFS(Doors!Z:Z,Doors!$A:$A,$D347,Doors!$B:$B,$B347,Doors!$C:$C,$C347)*SUMIFS(Velocity!$I:$I,Velocity!$A:$A,$A347,Velocity!$B:$B,$C347)/Assumptions!$B$4*Assumptions!$B$6</f>
        <v>0</v>
      </c>
      <c r="O347" s="7" t="n">
        <f aca="false">SUMIFS(Doors!AA:AA,Doors!$A:$A,$D347,Doors!$B:$B,$B347,Doors!$C:$C,$C347)*SUMIFS(Velocity!$I:$I,Velocity!$A:$A,$A347,Velocity!$B:$B,$C347)/Assumptions!$B$4*Assumptions!$B$6</f>
        <v>0</v>
      </c>
      <c r="P347" s="7" t="n">
        <f aca="false">SUMIFS(Doors!AB:AB,Doors!$A:$A,$D347,Doors!$B:$B,$B347,Doors!$C:$C,$C347)*SUMIFS(Velocity!$I:$I,Velocity!$A:$A,$A347,Velocity!$B:$B,$C347)/Assumptions!$B$4*Assumptions!$B$6</f>
        <v>0</v>
      </c>
      <c r="Q347" s="7" t="n">
        <f aca="false">SUMIFS(Doors!AC:AC,Doors!$A:$A,$D347,Doors!$B:$B,$B347,Doors!$C:$C,$C347)*SUMIFS(Velocity!$I:$I,Velocity!$A:$A,$A347,Velocity!$B:$B,$C347)/Assumptions!$B$4*Assumptions!$B$6</f>
        <v>0</v>
      </c>
      <c r="R347" s="7" t="n">
        <f aca="false">SUMIFS(Doors!AD:AD,Doors!$A:$A,$D347,Doors!$B:$B,$B347,Doors!$C:$C,$C347)*SUMIFS(Velocity!$I:$I,Velocity!$A:$A,$A347,Velocity!$B:$B,$C347)/Assumptions!$B$4*Assumptions!$B$6</f>
        <v>0</v>
      </c>
      <c r="S347" s="7" t="n">
        <f aca="false">SUMIFS(Doors!AE:AE,Doors!$A:$A,$D347,Doors!$B:$B,$B347,Doors!$C:$C,$C347)*SUMIFS(Velocity!$I:$I,Velocity!$A:$A,$A347,Velocity!$B:$B,$C347)/Assumptions!$B$4*Assumptions!$B$6</f>
        <v>0</v>
      </c>
      <c r="T347" s="7" t="n">
        <f aca="false">SUMIFS(Doors!AF:AF,Doors!$A:$A,$D347,Doors!$B:$B,$B347,Doors!$C:$C,$C347)*SUMIFS(Velocity!$I:$I,Velocity!$A:$A,$A347,Velocity!$B:$B,$C347)/Assumptions!$B$4*Assumptions!$B$6</f>
        <v>0</v>
      </c>
      <c r="U347" s="7" t="n">
        <f aca="false">SUMIFS(Doors!AG:AG,Doors!$A:$A,$D347,Doors!$B:$B,$B347,Doors!$C:$C,$C347)*SUMIFS(Velocity!$I:$I,Velocity!$A:$A,$A347,Velocity!$B:$B,$C347)/Assumptions!$B$4*Assumptions!$B$6</f>
        <v>0</v>
      </c>
      <c r="V347" s="7" t="n">
        <f aca="false">SUMIFS(Doors!AH:AH,Doors!$A:$A,$D347,Doors!$B:$B,$B347,Doors!$C:$C,$C347)*SUMIFS(Velocity!$I:$I,Velocity!$A:$A,$A347,Velocity!$B:$B,$C347)/Assumptions!$B$4*Assumptions!$B$6</f>
        <v>0</v>
      </c>
      <c r="W347" s="7" t="n">
        <f aca="false">SUMIFS(Doors!AI:AI,Doors!$A:$A,$D347,Doors!$B:$B,$B347,Doors!$C:$C,$C347)*SUMIFS(Velocity!$I:$I,Velocity!$A:$A,$A347,Velocity!$B:$B,$C347)/Assumptions!$B$4*Assumptions!$B$6</f>
        <v>0</v>
      </c>
      <c r="X347" s="7" t="n">
        <f aca="false">SUMIFS(Doors!AJ:AJ,Doors!$A:$A,$D347,Doors!$B:$B,$B347,Doors!$C:$C,$C347)*SUMIFS(Velocity!$I:$I,Velocity!$A:$A,$A347,Velocity!$B:$B,$C347)/Assumptions!$B$4*Assumptions!$B$6</f>
        <v>0</v>
      </c>
      <c r="Y347" s="7" t="n">
        <f aca="false">SUMIFS(Doors!AK:AK,Doors!$A:$A,$D347,Doors!$B:$B,$B347,Doors!$C:$C,$C347)*SUMIFS(Velocity!$I:$I,Velocity!$A:$A,$A347,Velocity!$B:$B,$C347)/Assumptions!$B$4*Assumptions!$B$6</f>
        <v>0</v>
      </c>
      <c r="Z347" s="7" t="n">
        <f aca="false">SUMIFS(Doors!AL:AL,Doors!$A:$A,$D347,Doors!$B:$B,$B347,Doors!$C:$C,$C347)*SUMIFS(Velocity!$I:$I,Velocity!$A:$A,$A347,Velocity!$B:$B,$C347)/Assumptions!$B$4*Assumptions!$B$6</f>
        <v>0</v>
      </c>
      <c r="AA347" s="7" t="n">
        <f aca="false">SUMIFS(Doors!AM:AM,Doors!$A:$A,$D347,Doors!$B:$B,$B347,Doors!$C:$C,$C347)*SUMIFS(Velocity!$I:$I,Velocity!$A:$A,$A347,Velocity!$B:$B,$C347)/Assumptions!$B$4*Assumptions!$B$6</f>
        <v>0</v>
      </c>
      <c r="AB347" s="7" t="n">
        <f aca="false">SUMIFS(Doors!AN:AN,Doors!$A:$A,$D347,Doors!$B:$B,$B347,Doors!$C:$C,$C347)*SUMIFS(Velocity!$I:$I,Velocity!$A:$A,$A347,Velocity!$B:$B,$C347)/Assumptions!$B$4*Assumptions!$B$6</f>
        <v>0</v>
      </c>
      <c r="AC347" s="7" t="n">
        <f aca="false">SUMIFS(Doors!AO:AO,Doors!$A:$A,$D347,Doors!$B:$B,$B347,Doors!$C:$C,$C347)*SUMIFS(Velocity!$I:$I,Velocity!$A:$A,$A347,Velocity!$B:$B,$C347)/Assumptions!$B$4*Assumptions!$B$6</f>
        <v>0</v>
      </c>
      <c r="AD347" s="7" t="n">
        <f aca="false">SUMIFS(Doors!AP:AP,Doors!$A:$A,$D347,Doors!$B:$B,$B347,Doors!$C:$C,$C347)*SUMIFS(Velocity!$I:$I,Velocity!$A:$A,$A347,Velocity!$B:$B,$C347)/Assumptions!$B$4*Assumptions!$B$6</f>
        <v>0</v>
      </c>
      <c r="AE347" s="7" t="n">
        <f aca="false">SUMIFS(Doors!AQ:AQ,Doors!$A:$A,$D347,Doors!$B:$B,$B347,Doors!$C:$C,$C347)*SUMIFS(Velocity!$I:$I,Velocity!$A:$A,$A347,Velocity!$B:$B,$C347)/Assumptions!$B$4*Assumptions!$B$6</f>
        <v>0</v>
      </c>
      <c r="AF347" s="7" t="n">
        <f aca="false">SUMIFS(Doors!AR:AR,Doors!$A:$A,$D347,Doors!$B:$B,$B347,Doors!$C:$C,$C347)*SUMIFS(Velocity!$I:$I,Velocity!$A:$A,$A347,Velocity!$B:$B,$C347)/Assumptions!$B$4*Assumptions!$B$6</f>
        <v>0</v>
      </c>
      <c r="AG347" s="7" t="n">
        <f aca="false">SUMIFS(Doors!AS:AS,Doors!$A:$A,$D347,Doors!$B:$B,$B347,Doors!$C:$C,$C347)*SUMIFS(Velocity!$I:$I,Velocity!$A:$A,$A347,Velocity!$B:$B,$C347)/Assumptions!$B$4*Assumptions!$B$6</f>
        <v>0</v>
      </c>
      <c r="AH347" s="7" t="n">
        <f aca="false">SUMIFS(Doors!AT:AT,Doors!$A:$A,$D347,Doors!$B:$B,$B347,Doors!$C:$C,$C347)*SUMIFS(Velocity!$I:$I,Velocity!$A:$A,$A347,Velocity!$B:$B,$C347)/Assumptions!$B$4*Assumptions!$B$6</f>
        <v>0</v>
      </c>
      <c r="AI347" s="7" t="n">
        <f aca="false">SUMIFS(Doors!AU:AU,Doors!$A:$A,$D347,Doors!$B:$B,$B347,Doors!$C:$C,$C347)*SUMIFS(Velocity!$I:$I,Velocity!$A:$A,$A347,Velocity!$B:$B,$C347)/Assumptions!$B$4*Assumptions!$B$6</f>
        <v>0</v>
      </c>
      <c r="AJ347" s="7" t="n">
        <f aca="false">SUMIFS(Doors!AV:AV,Doors!$A:$A,$D347,Doors!$B:$B,$B347,Doors!$C:$C,$C347)*SUMIFS(Velocity!$I:$I,Velocity!$A:$A,$A347,Velocity!$B:$B,$C347)/Assumptions!$B$4*Assumptions!$B$6</f>
        <v>0</v>
      </c>
      <c r="AK347" s="7" t="n">
        <f aca="false">SUMIFS(Doors!AW:AW,Doors!$A:$A,$D347,Doors!$B:$B,$B347,Doors!$C:$C,$C347)*SUMIFS(Velocity!$I:$I,Velocity!$A:$A,$A347,Velocity!$B:$B,$C347)/Assumptions!$B$4*Assumptions!$B$6</f>
        <v>0</v>
      </c>
      <c r="AL347" s="7" t="n">
        <f aca="false">SUMIFS(Doors!AX:AX,Doors!$A:$A,$D347,Doors!$B:$B,$B347,Doors!$C:$C,$C347)*SUMIFS(Velocity!$I:$I,Velocity!$A:$A,$A347,Velocity!$B:$B,$C347)/Assumptions!$B$4*Assumptions!$B$6</f>
        <v>0</v>
      </c>
      <c r="AM347" s="7" t="n">
        <f aca="false">SUMIFS(Doors!AY:AY,Doors!$A:$A,$D347,Doors!$B:$B,$B347,Doors!$C:$C,$C347)*SUMIFS(Velocity!$I:$I,Velocity!$A:$A,$A347,Velocity!$B:$B,$C347)/Assumptions!$B$4*Assumptions!$B$6</f>
        <v>0</v>
      </c>
      <c r="AN347" s="7" t="n">
        <f aca="false">SUMIFS(Doors!AZ:AZ,Doors!$A:$A,$D347,Doors!$B:$B,$B347,Doors!$C:$C,$C347)*SUMIFS(Velocity!$I:$I,Velocity!$A:$A,$A347,Velocity!$B:$B,$C347)/Assumptions!$B$4*Assumptions!$B$6</f>
        <v>0</v>
      </c>
      <c r="AO347" s="7" t="n">
        <f aca="false">SUMIFS(Doors!BA:BA,Doors!$A:$A,$D347,Doors!$B:$B,$B347,Doors!$C:$C,$C347)*SUMIFS(Velocity!$I:$I,Velocity!$A:$A,$A347,Velocity!$B:$B,$C347)/Assumptions!$B$4*Assumptions!$B$6</f>
        <v>0</v>
      </c>
      <c r="AP347" s="7" t="n">
        <f aca="false">SUMIFS(Doors!BB:BB,Doors!$A:$A,$D347,Doors!$B:$B,$B347,Doors!$C:$C,$C347)*SUMIFS(Velocity!$I:$I,Velocity!$A:$A,$A347,Velocity!$B:$B,$C347)/Assumptions!$B$4*Assumptions!$B$6</f>
        <v>0</v>
      </c>
      <c r="AQ347" s="7" t="n">
        <f aca="false">SUMIFS(Doors!BC:BC,Doors!$A:$A,$D347,Doors!$B:$B,$B347,Doors!$C:$C,$C347)*SUMIFS(Velocity!$I:$I,Velocity!$A:$A,$A347,Velocity!$B:$B,$C347)/Assumptions!$B$4*Assumptions!$B$6</f>
        <v>0</v>
      </c>
      <c r="AR347" s="7" t="n">
        <f aca="false">SUMIFS(Doors!BD:BD,Doors!$A:$A,$D347,Doors!$B:$B,$B347,Doors!$C:$C,$C347)*SUMIFS(Velocity!$I:$I,Velocity!$A:$A,$A347,Velocity!$B:$B,$C347)/Assumptions!$B$4*Assumptions!$B$6</f>
        <v>0</v>
      </c>
      <c r="AS347" s="7" t="n">
        <f aca="false">SUMIFS(Doors!BE:BE,Doors!$A:$A,$D347,Doors!$B:$B,$B347,Doors!$C:$C,$C347)*SUMIFS(Velocity!$I:$I,Velocity!$A:$A,$A347,Velocity!$B:$B,$C347)/Assumptions!$B$4*Assumptions!$B$6</f>
        <v>0</v>
      </c>
      <c r="AT347" s="7" t="n">
        <f aca="false">SUMIFS(Doors!BF:BF,Doors!$A:$A,$D347,Doors!$B:$B,$B347,Doors!$C:$C,$C347)*SUMIFS(Velocity!$I:$I,Velocity!$A:$A,$A347,Velocity!$B:$B,$C347)/Assumptions!$B$4*Assumptions!$B$6</f>
        <v>0</v>
      </c>
      <c r="AU347" s="7" t="n">
        <f aca="false">SUMIFS(Doors!BG:BG,Doors!$A:$A,$D347,Doors!$B:$B,$B347,Doors!$C:$C,$C347)*SUMIFS(Velocity!$I:$I,Velocity!$A:$A,$A347,Velocity!$B:$B,$C347)/Assumptions!$B$4*Assumptions!$B$6</f>
        <v>0</v>
      </c>
      <c r="AV347" s="7" t="n">
        <f aca="false">SUMIFS(Doors!BH:BH,Doors!$A:$A,$D347,Doors!$B:$B,$B347,Doors!$C:$C,$C347)*SUMIFS(Velocity!$I:$I,Velocity!$A:$A,$A347,Velocity!$B:$B,$C347)/Assumptions!$B$4*Assumptions!$B$6</f>
        <v>0</v>
      </c>
      <c r="AW347" s="7" t="n">
        <f aca="false">SUMIFS(Doors!BI:BI,Doors!$A:$A,$D347,Doors!$B:$B,$B347,Doors!$C:$C,$C347)*SUMIFS(Velocity!$I:$I,Velocity!$A:$A,$A347,Velocity!$B:$B,$C347)/Assumptions!$B$4*Assumptions!$B$6</f>
        <v>0</v>
      </c>
      <c r="AX347" s="7" t="n">
        <f aca="false">SUMIFS(Doors!BJ:BJ,Doors!$A:$A,$D347,Doors!$B:$B,$B347,Doors!$C:$C,$C347)*SUMIFS(Velocity!$I:$I,Velocity!$A:$A,$A347,Velocity!$B:$B,$C347)/Assumptions!$B$4*Assumptions!$B$6</f>
        <v>0</v>
      </c>
      <c r="AY347" s="7" t="n">
        <f aca="false">SUMIFS(Doors!BK:BK,Doors!$A:$A,$D347,Doors!$B:$B,$B347,Doors!$C:$C,$C347)*SUMIFS(Velocity!$I:$I,Velocity!$A:$A,$A347,Velocity!$B:$B,$C347)/Assumptions!$B$4*Assumptions!$B$6</f>
        <v>0</v>
      </c>
      <c r="AZ347" s="7" t="n">
        <f aca="false">SUMIFS(Doors!BL:BL,Doors!$A:$A,$D347,Doors!$B:$B,$B347,Doors!$C:$C,$C347)*SUMIFS(Velocity!$I:$I,Velocity!$A:$A,$A347,Velocity!$B:$B,$C347)/Assumptions!$B$4*Assumptions!$B$6</f>
        <v>0</v>
      </c>
      <c r="BA347" s="7" t="n">
        <f aca="false">SUMIFS(Doors!BM:BM,Doors!$A:$A,$D347,Doors!$B:$B,$B347,Doors!$C:$C,$C347)*SUMIFS(Velocity!$I:$I,Velocity!$A:$A,$A347,Velocity!$B:$B,$C347)/Assumptions!$B$4*Assumptions!$B$6</f>
        <v>0</v>
      </c>
      <c r="BB347" s="7" t="n">
        <f aca="false">SUMIFS(Doors!BN:BN,Doors!$A:$A,$D347,Doors!$B:$B,$B347,Doors!$C:$C,$C347)*SUMIFS(Velocity!$I:$I,Velocity!$A:$A,$A347,Velocity!$B:$B,$C347)/Assumptions!$B$4*Assumptions!$B$6</f>
        <v>0</v>
      </c>
      <c r="BC347" s="7" t="n">
        <f aca="false">SUMIFS(Doors!BO:BO,Doors!$A:$A,$D347,Doors!$B:$B,$B347,Doors!$C:$C,$C347)*SUMIFS(Velocity!$I:$I,Velocity!$A:$A,$A347,Velocity!$B:$B,$C347)/Assumptions!$B$4*Assumptions!$B$6</f>
        <v>0</v>
      </c>
      <c r="BD347" s="7" t="n">
        <f aca="false">SUMIFS(Doors!BP:BP,Doors!$A:$A,$D347,Doors!$B:$B,$B347,Doors!$C:$C,$C347)*SUMIFS(Velocity!$I:$I,Velocity!$A:$A,$A347,Velocity!$B:$B,$C347)/Assumptions!$B$4*Assumptions!$B$6</f>
        <v>0</v>
      </c>
    </row>
    <row r="348" customFormat="false" ht="15" hidden="false" customHeight="false" outlineLevel="0" collapsed="false">
      <c r="A348" s="0" t="s">
        <v>111</v>
      </c>
      <c r="B348" s="0" t="s">
        <v>134</v>
      </c>
      <c r="C348" s="0" t="s">
        <v>115</v>
      </c>
      <c r="D348" s="0" t="s">
        <v>236</v>
      </c>
      <c r="E348" s="7" t="n">
        <f aca="false">SUMIFS(Doors!Q:Q,Doors!$A:$A,$D348,Doors!$B:$B,$B348,Doors!$C:$C,$C348)*SUMIFS(Velocity!$I:$I,Velocity!$A:$A,$A348,Velocity!$B:$B,$C348)/Assumptions!$B$4*Assumptions!$B$6</f>
        <v>0</v>
      </c>
      <c r="F348" s="7" t="n">
        <f aca="false">SUMIFS(Doors!R:R,Doors!$A:$A,$D348,Doors!$B:$B,$B348,Doors!$C:$C,$C348)*SUMIFS(Velocity!$I:$I,Velocity!$A:$A,$A348,Velocity!$B:$B,$C348)/Assumptions!$B$4*Assumptions!$B$6</f>
        <v>0</v>
      </c>
      <c r="G348" s="7" t="n">
        <f aca="false">SUMIFS(Doors!S:S,Doors!$A:$A,$D348,Doors!$B:$B,$B348,Doors!$C:$C,$C348)*SUMIFS(Velocity!$I:$I,Velocity!$A:$A,$A348,Velocity!$B:$B,$C348)/Assumptions!$B$4*Assumptions!$B$6</f>
        <v>0</v>
      </c>
      <c r="H348" s="7" t="n">
        <f aca="false">SUMIFS(Doors!T:T,Doors!$A:$A,$D348,Doors!$B:$B,$B348,Doors!$C:$C,$C348)*SUMIFS(Velocity!$I:$I,Velocity!$A:$A,$A348,Velocity!$B:$B,$C348)/Assumptions!$B$4*Assumptions!$B$6</f>
        <v>0</v>
      </c>
      <c r="I348" s="7" t="n">
        <f aca="false">SUMIFS(Doors!U:U,Doors!$A:$A,$D348,Doors!$B:$B,$B348,Doors!$C:$C,$C348)*SUMIFS(Velocity!$I:$I,Velocity!$A:$A,$A348,Velocity!$B:$B,$C348)/Assumptions!$B$4*Assumptions!$B$6</f>
        <v>0</v>
      </c>
      <c r="J348" s="7" t="n">
        <f aca="false">SUMIFS(Doors!V:V,Doors!$A:$A,$D348,Doors!$B:$B,$B348,Doors!$C:$C,$C348)*SUMIFS(Velocity!$I:$I,Velocity!$A:$A,$A348,Velocity!$B:$B,$C348)/Assumptions!$B$4*Assumptions!$B$6</f>
        <v>0</v>
      </c>
      <c r="K348" s="7" t="n">
        <f aca="false">SUMIFS(Doors!W:W,Doors!$A:$A,$D348,Doors!$B:$B,$B348,Doors!$C:$C,$C348)*SUMIFS(Velocity!$I:$I,Velocity!$A:$A,$A348,Velocity!$B:$B,$C348)/Assumptions!$B$4*Assumptions!$B$6</f>
        <v>0</v>
      </c>
      <c r="L348" s="7" t="n">
        <f aca="false">SUMIFS(Doors!X:X,Doors!$A:$A,$D348,Doors!$B:$B,$B348,Doors!$C:$C,$C348)*SUMIFS(Velocity!$I:$I,Velocity!$A:$A,$A348,Velocity!$B:$B,$C348)/Assumptions!$B$4*Assumptions!$B$6</f>
        <v>0</v>
      </c>
      <c r="M348" s="7" t="n">
        <f aca="false">SUMIFS(Doors!Y:Y,Doors!$A:$A,$D348,Doors!$B:$B,$B348,Doors!$C:$C,$C348)*SUMIFS(Velocity!$I:$I,Velocity!$A:$A,$A348,Velocity!$B:$B,$C348)/Assumptions!$B$4*Assumptions!$B$6</f>
        <v>0</v>
      </c>
      <c r="N348" s="7" t="n">
        <f aca="false">SUMIFS(Doors!Z:Z,Doors!$A:$A,$D348,Doors!$B:$B,$B348,Doors!$C:$C,$C348)*SUMIFS(Velocity!$I:$I,Velocity!$A:$A,$A348,Velocity!$B:$B,$C348)/Assumptions!$B$4*Assumptions!$B$6</f>
        <v>0</v>
      </c>
      <c r="O348" s="7" t="n">
        <f aca="false">SUMIFS(Doors!AA:AA,Doors!$A:$A,$D348,Doors!$B:$B,$B348,Doors!$C:$C,$C348)*SUMIFS(Velocity!$I:$I,Velocity!$A:$A,$A348,Velocity!$B:$B,$C348)/Assumptions!$B$4*Assumptions!$B$6</f>
        <v>0</v>
      </c>
      <c r="P348" s="7" t="n">
        <f aca="false">SUMIFS(Doors!AB:AB,Doors!$A:$A,$D348,Doors!$B:$B,$B348,Doors!$C:$C,$C348)*SUMIFS(Velocity!$I:$I,Velocity!$A:$A,$A348,Velocity!$B:$B,$C348)/Assumptions!$B$4*Assumptions!$B$6</f>
        <v>0</v>
      </c>
      <c r="Q348" s="7" t="n">
        <f aca="false">SUMIFS(Doors!AC:AC,Doors!$A:$A,$D348,Doors!$B:$B,$B348,Doors!$C:$C,$C348)*SUMIFS(Velocity!$I:$I,Velocity!$A:$A,$A348,Velocity!$B:$B,$C348)/Assumptions!$B$4*Assumptions!$B$6</f>
        <v>0</v>
      </c>
      <c r="R348" s="7" t="n">
        <f aca="false">SUMIFS(Doors!AD:AD,Doors!$A:$A,$D348,Doors!$B:$B,$B348,Doors!$C:$C,$C348)*SUMIFS(Velocity!$I:$I,Velocity!$A:$A,$A348,Velocity!$B:$B,$C348)/Assumptions!$B$4*Assumptions!$B$6</f>
        <v>0</v>
      </c>
      <c r="S348" s="7" t="n">
        <f aca="false">SUMIFS(Doors!AE:AE,Doors!$A:$A,$D348,Doors!$B:$B,$B348,Doors!$C:$C,$C348)*SUMIFS(Velocity!$I:$I,Velocity!$A:$A,$A348,Velocity!$B:$B,$C348)/Assumptions!$B$4*Assumptions!$B$6</f>
        <v>0</v>
      </c>
      <c r="T348" s="7" t="n">
        <f aca="false">SUMIFS(Doors!AF:AF,Doors!$A:$A,$D348,Doors!$B:$B,$B348,Doors!$C:$C,$C348)*SUMIFS(Velocity!$I:$I,Velocity!$A:$A,$A348,Velocity!$B:$B,$C348)/Assumptions!$B$4*Assumptions!$B$6</f>
        <v>0</v>
      </c>
      <c r="U348" s="7" t="n">
        <f aca="false">SUMIFS(Doors!AG:AG,Doors!$A:$A,$D348,Doors!$B:$B,$B348,Doors!$C:$C,$C348)*SUMIFS(Velocity!$I:$I,Velocity!$A:$A,$A348,Velocity!$B:$B,$C348)/Assumptions!$B$4*Assumptions!$B$6</f>
        <v>0</v>
      </c>
      <c r="V348" s="7" t="n">
        <f aca="false">SUMIFS(Doors!AH:AH,Doors!$A:$A,$D348,Doors!$B:$B,$B348,Doors!$C:$C,$C348)*SUMIFS(Velocity!$I:$I,Velocity!$A:$A,$A348,Velocity!$B:$B,$C348)/Assumptions!$B$4*Assumptions!$B$6</f>
        <v>0</v>
      </c>
      <c r="W348" s="7" t="n">
        <f aca="false">SUMIFS(Doors!AI:AI,Doors!$A:$A,$D348,Doors!$B:$B,$B348,Doors!$C:$C,$C348)*SUMIFS(Velocity!$I:$I,Velocity!$A:$A,$A348,Velocity!$B:$B,$C348)/Assumptions!$B$4*Assumptions!$B$6</f>
        <v>0</v>
      </c>
      <c r="X348" s="7" t="n">
        <f aca="false">SUMIFS(Doors!AJ:AJ,Doors!$A:$A,$D348,Doors!$B:$B,$B348,Doors!$C:$C,$C348)*SUMIFS(Velocity!$I:$I,Velocity!$A:$A,$A348,Velocity!$B:$B,$C348)/Assumptions!$B$4*Assumptions!$B$6</f>
        <v>0</v>
      </c>
      <c r="Y348" s="7" t="n">
        <f aca="false">SUMIFS(Doors!AK:AK,Doors!$A:$A,$D348,Doors!$B:$B,$B348,Doors!$C:$C,$C348)*SUMIFS(Velocity!$I:$I,Velocity!$A:$A,$A348,Velocity!$B:$B,$C348)/Assumptions!$B$4*Assumptions!$B$6</f>
        <v>0</v>
      </c>
      <c r="Z348" s="7" t="n">
        <f aca="false">SUMIFS(Doors!AL:AL,Doors!$A:$A,$D348,Doors!$B:$B,$B348,Doors!$C:$C,$C348)*SUMIFS(Velocity!$I:$I,Velocity!$A:$A,$A348,Velocity!$B:$B,$C348)/Assumptions!$B$4*Assumptions!$B$6</f>
        <v>0</v>
      </c>
      <c r="AA348" s="7" t="n">
        <f aca="false">SUMIFS(Doors!AM:AM,Doors!$A:$A,$D348,Doors!$B:$B,$B348,Doors!$C:$C,$C348)*SUMIFS(Velocity!$I:$I,Velocity!$A:$A,$A348,Velocity!$B:$B,$C348)/Assumptions!$B$4*Assumptions!$B$6</f>
        <v>0</v>
      </c>
      <c r="AB348" s="7" t="n">
        <f aca="false">SUMIFS(Doors!AN:AN,Doors!$A:$A,$D348,Doors!$B:$B,$B348,Doors!$C:$C,$C348)*SUMIFS(Velocity!$I:$I,Velocity!$A:$A,$A348,Velocity!$B:$B,$C348)/Assumptions!$B$4*Assumptions!$B$6</f>
        <v>0</v>
      </c>
      <c r="AC348" s="7" t="n">
        <f aca="false">SUMIFS(Doors!AO:AO,Doors!$A:$A,$D348,Doors!$B:$B,$B348,Doors!$C:$C,$C348)*SUMIFS(Velocity!$I:$I,Velocity!$A:$A,$A348,Velocity!$B:$B,$C348)/Assumptions!$B$4*Assumptions!$B$6</f>
        <v>0</v>
      </c>
      <c r="AD348" s="7" t="n">
        <f aca="false">SUMIFS(Doors!AP:AP,Doors!$A:$A,$D348,Doors!$B:$B,$B348,Doors!$C:$C,$C348)*SUMIFS(Velocity!$I:$I,Velocity!$A:$A,$A348,Velocity!$B:$B,$C348)/Assumptions!$B$4*Assumptions!$B$6</f>
        <v>0</v>
      </c>
      <c r="AE348" s="7" t="n">
        <f aca="false">SUMIFS(Doors!AQ:AQ,Doors!$A:$A,$D348,Doors!$B:$B,$B348,Doors!$C:$C,$C348)*SUMIFS(Velocity!$I:$I,Velocity!$A:$A,$A348,Velocity!$B:$B,$C348)/Assumptions!$B$4*Assumptions!$B$6</f>
        <v>0</v>
      </c>
      <c r="AF348" s="7" t="n">
        <f aca="false">SUMIFS(Doors!AR:AR,Doors!$A:$A,$D348,Doors!$B:$B,$B348,Doors!$C:$C,$C348)*SUMIFS(Velocity!$I:$I,Velocity!$A:$A,$A348,Velocity!$B:$B,$C348)/Assumptions!$B$4*Assumptions!$B$6</f>
        <v>0</v>
      </c>
      <c r="AG348" s="7" t="n">
        <f aca="false">SUMIFS(Doors!AS:AS,Doors!$A:$A,$D348,Doors!$B:$B,$B348,Doors!$C:$C,$C348)*SUMIFS(Velocity!$I:$I,Velocity!$A:$A,$A348,Velocity!$B:$B,$C348)/Assumptions!$B$4*Assumptions!$B$6</f>
        <v>0</v>
      </c>
      <c r="AH348" s="7" t="n">
        <f aca="false">SUMIFS(Doors!AT:AT,Doors!$A:$A,$D348,Doors!$B:$B,$B348,Doors!$C:$C,$C348)*SUMIFS(Velocity!$I:$I,Velocity!$A:$A,$A348,Velocity!$B:$B,$C348)/Assumptions!$B$4*Assumptions!$B$6</f>
        <v>0</v>
      </c>
      <c r="AI348" s="7" t="n">
        <f aca="false">SUMIFS(Doors!AU:AU,Doors!$A:$A,$D348,Doors!$B:$B,$B348,Doors!$C:$C,$C348)*SUMIFS(Velocity!$I:$I,Velocity!$A:$A,$A348,Velocity!$B:$B,$C348)/Assumptions!$B$4*Assumptions!$B$6</f>
        <v>0</v>
      </c>
      <c r="AJ348" s="7" t="n">
        <f aca="false">SUMIFS(Doors!AV:AV,Doors!$A:$A,$D348,Doors!$B:$B,$B348,Doors!$C:$C,$C348)*SUMIFS(Velocity!$I:$I,Velocity!$A:$A,$A348,Velocity!$B:$B,$C348)/Assumptions!$B$4*Assumptions!$B$6</f>
        <v>0</v>
      </c>
      <c r="AK348" s="7" t="n">
        <f aca="false">SUMIFS(Doors!AW:AW,Doors!$A:$A,$D348,Doors!$B:$B,$B348,Doors!$C:$C,$C348)*SUMIFS(Velocity!$I:$I,Velocity!$A:$A,$A348,Velocity!$B:$B,$C348)/Assumptions!$B$4*Assumptions!$B$6</f>
        <v>0</v>
      </c>
      <c r="AL348" s="7" t="n">
        <f aca="false">SUMIFS(Doors!AX:AX,Doors!$A:$A,$D348,Doors!$B:$B,$B348,Doors!$C:$C,$C348)*SUMIFS(Velocity!$I:$I,Velocity!$A:$A,$A348,Velocity!$B:$B,$C348)/Assumptions!$B$4*Assumptions!$B$6</f>
        <v>0</v>
      </c>
      <c r="AM348" s="7" t="n">
        <f aca="false">SUMIFS(Doors!AY:AY,Doors!$A:$A,$D348,Doors!$B:$B,$B348,Doors!$C:$C,$C348)*SUMIFS(Velocity!$I:$I,Velocity!$A:$A,$A348,Velocity!$B:$B,$C348)/Assumptions!$B$4*Assumptions!$B$6</f>
        <v>0</v>
      </c>
      <c r="AN348" s="7" t="n">
        <f aca="false">SUMIFS(Doors!AZ:AZ,Doors!$A:$A,$D348,Doors!$B:$B,$B348,Doors!$C:$C,$C348)*SUMIFS(Velocity!$I:$I,Velocity!$A:$A,$A348,Velocity!$B:$B,$C348)/Assumptions!$B$4*Assumptions!$B$6</f>
        <v>0</v>
      </c>
      <c r="AO348" s="7" t="n">
        <f aca="false">SUMIFS(Doors!BA:BA,Doors!$A:$A,$D348,Doors!$B:$B,$B348,Doors!$C:$C,$C348)*SUMIFS(Velocity!$I:$I,Velocity!$A:$A,$A348,Velocity!$B:$B,$C348)/Assumptions!$B$4*Assumptions!$B$6</f>
        <v>0</v>
      </c>
      <c r="AP348" s="7" t="n">
        <f aca="false">SUMIFS(Doors!BB:BB,Doors!$A:$A,$D348,Doors!$B:$B,$B348,Doors!$C:$C,$C348)*SUMIFS(Velocity!$I:$I,Velocity!$A:$A,$A348,Velocity!$B:$B,$C348)/Assumptions!$B$4*Assumptions!$B$6</f>
        <v>0</v>
      </c>
      <c r="AQ348" s="7" t="n">
        <f aca="false">SUMIFS(Doors!BC:BC,Doors!$A:$A,$D348,Doors!$B:$B,$B348,Doors!$C:$C,$C348)*SUMIFS(Velocity!$I:$I,Velocity!$A:$A,$A348,Velocity!$B:$B,$C348)/Assumptions!$B$4*Assumptions!$B$6</f>
        <v>0</v>
      </c>
      <c r="AR348" s="7" t="n">
        <f aca="false">SUMIFS(Doors!BD:BD,Doors!$A:$A,$D348,Doors!$B:$B,$B348,Doors!$C:$C,$C348)*SUMIFS(Velocity!$I:$I,Velocity!$A:$A,$A348,Velocity!$B:$B,$C348)/Assumptions!$B$4*Assumptions!$B$6</f>
        <v>0</v>
      </c>
      <c r="AS348" s="7" t="n">
        <f aca="false">SUMIFS(Doors!BE:BE,Doors!$A:$A,$D348,Doors!$B:$B,$B348,Doors!$C:$C,$C348)*SUMIFS(Velocity!$I:$I,Velocity!$A:$A,$A348,Velocity!$B:$B,$C348)/Assumptions!$B$4*Assumptions!$B$6</f>
        <v>0</v>
      </c>
      <c r="AT348" s="7" t="n">
        <f aca="false">SUMIFS(Doors!BF:BF,Doors!$A:$A,$D348,Doors!$B:$B,$B348,Doors!$C:$C,$C348)*SUMIFS(Velocity!$I:$I,Velocity!$A:$A,$A348,Velocity!$B:$B,$C348)/Assumptions!$B$4*Assumptions!$B$6</f>
        <v>0</v>
      </c>
      <c r="AU348" s="7" t="n">
        <f aca="false">SUMIFS(Doors!BG:BG,Doors!$A:$A,$D348,Doors!$B:$B,$B348,Doors!$C:$C,$C348)*SUMIFS(Velocity!$I:$I,Velocity!$A:$A,$A348,Velocity!$B:$B,$C348)/Assumptions!$B$4*Assumptions!$B$6</f>
        <v>0</v>
      </c>
      <c r="AV348" s="7" t="n">
        <f aca="false">SUMIFS(Doors!BH:BH,Doors!$A:$A,$D348,Doors!$B:$B,$B348,Doors!$C:$C,$C348)*SUMIFS(Velocity!$I:$I,Velocity!$A:$A,$A348,Velocity!$B:$B,$C348)/Assumptions!$B$4*Assumptions!$B$6</f>
        <v>0</v>
      </c>
      <c r="AW348" s="7" t="n">
        <f aca="false">SUMIFS(Doors!BI:BI,Doors!$A:$A,$D348,Doors!$B:$B,$B348,Doors!$C:$C,$C348)*SUMIFS(Velocity!$I:$I,Velocity!$A:$A,$A348,Velocity!$B:$B,$C348)/Assumptions!$B$4*Assumptions!$B$6</f>
        <v>0</v>
      </c>
      <c r="AX348" s="7" t="n">
        <f aca="false">SUMIFS(Doors!BJ:BJ,Doors!$A:$A,$D348,Doors!$B:$B,$B348,Doors!$C:$C,$C348)*SUMIFS(Velocity!$I:$I,Velocity!$A:$A,$A348,Velocity!$B:$B,$C348)/Assumptions!$B$4*Assumptions!$B$6</f>
        <v>0</v>
      </c>
      <c r="AY348" s="7" t="n">
        <f aca="false">SUMIFS(Doors!BK:BK,Doors!$A:$A,$D348,Doors!$B:$B,$B348,Doors!$C:$C,$C348)*SUMIFS(Velocity!$I:$I,Velocity!$A:$A,$A348,Velocity!$B:$B,$C348)/Assumptions!$B$4*Assumptions!$B$6</f>
        <v>0</v>
      </c>
      <c r="AZ348" s="7" t="n">
        <f aca="false">SUMIFS(Doors!BL:BL,Doors!$A:$A,$D348,Doors!$B:$B,$B348,Doors!$C:$C,$C348)*SUMIFS(Velocity!$I:$I,Velocity!$A:$A,$A348,Velocity!$B:$B,$C348)/Assumptions!$B$4*Assumptions!$B$6</f>
        <v>0</v>
      </c>
      <c r="BA348" s="7" t="n">
        <f aca="false">SUMIFS(Doors!BM:BM,Doors!$A:$A,$D348,Doors!$B:$B,$B348,Doors!$C:$C,$C348)*SUMIFS(Velocity!$I:$I,Velocity!$A:$A,$A348,Velocity!$B:$B,$C348)/Assumptions!$B$4*Assumptions!$B$6</f>
        <v>0</v>
      </c>
      <c r="BB348" s="7" t="n">
        <f aca="false">SUMIFS(Doors!BN:BN,Doors!$A:$A,$D348,Doors!$B:$B,$B348,Doors!$C:$C,$C348)*SUMIFS(Velocity!$I:$I,Velocity!$A:$A,$A348,Velocity!$B:$B,$C348)/Assumptions!$B$4*Assumptions!$B$6</f>
        <v>0</v>
      </c>
      <c r="BC348" s="7" t="n">
        <f aca="false">SUMIFS(Doors!BO:BO,Doors!$A:$A,$D348,Doors!$B:$B,$B348,Doors!$C:$C,$C348)*SUMIFS(Velocity!$I:$I,Velocity!$A:$A,$A348,Velocity!$B:$B,$C348)/Assumptions!$B$4*Assumptions!$B$6</f>
        <v>0</v>
      </c>
      <c r="BD348" s="7" t="n">
        <f aca="false">SUMIFS(Doors!BP:BP,Doors!$A:$A,$D348,Doors!$B:$B,$B348,Doors!$C:$C,$C348)*SUMIFS(Velocity!$I:$I,Velocity!$A:$A,$A348,Velocity!$B:$B,$C348)/Assumptions!$B$4*Assumptions!$B$6</f>
        <v>0</v>
      </c>
    </row>
    <row r="349" customFormat="false" ht="15" hidden="false" customHeight="false" outlineLevel="0" collapsed="false">
      <c r="A349" s="0" t="s">
        <v>111</v>
      </c>
      <c r="B349" s="0" t="s">
        <v>134</v>
      </c>
      <c r="C349" s="0" t="s">
        <v>116</v>
      </c>
      <c r="D349" s="0" t="s">
        <v>236</v>
      </c>
      <c r="E349" s="7" t="n">
        <f aca="false">SUMIFS(Doors!Q:Q,Doors!$A:$A,$D349,Doors!$B:$B,$B349,Doors!$C:$C,$C349)*SUMIFS(Velocity!$I:$I,Velocity!$A:$A,$A349,Velocity!$B:$B,$C349)/Assumptions!$B$4*Assumptions!$B$6</f>
        <v>0</v>
      </c>
      <c r="F349" s="7" t="n">
        <f aca="false">SUMIFS(Doors!R:R,Doors!$A:$A,$D349,Doors!$B:$B,$B349,Doors!$C:$C,$C349)*SUMIFS(Velocity!$I:$I,Velocity!$A:$A,$A349,Velocity!$B:$B,$C349)/Assumptions!$B$4*Assumptions!$B$6</f>
        <v>0</v>
      </c>
      <c r="G349" s="7" t="n">
        <f aca="false">SUMIFS(Doors!S:S,Doors!$A:$A,$D349,Doors!$B:$B,$B349,Doors!$C:$C,$C349)*SUMIFS(Velocity!$I:$I,Velocity!$A:$A,$A349,Velocity!$B:$B,$C349)/Assumptions!$B$4*Assumptions!$B$6</f>
        <v>0</v>
      </c>
      <c r="H349" s="7" t="n">
        <f aca="false">SUMIFS(Doors!T:T,Doors!$A:$A,$D349,Doors!$B:$B,$B349,Doors!$C:$C,$C349)*SUMIFS(Velocity!$I:$I,Velocity!$A:$A,$A349,Velocity!$B:$B,$C349)/Assumptions!$B$4*Assumptions!$B$6</f>
        <v>0</v>
      </c>
      <c r="I349" s="7" t="n">
        <f aca="false">SUMIFS(Doors!U:U,Doors!$A:$A,$D349,Doors!$B:$B,$B349,Doors!$C:$C,$C349)*SUMIFS(Velocity!$I:$I,Velocity!$A:$A,$A349,Velocity!$B:$B,$C349)/Assumptions!$B$4*Assumptions!$B$6</f>
        <v>0</v>
      </c>
      <c r="J349" s="7" t="n">
        <f aca="false">SUMIFS(Doors!V:V,Doors!$A:$A,$D349,Doors!$B:$B,$B349,Doors!$C:$C,$C349)*SUMIFS(Velocity!$I:$I,Velocity!$A:$A,$A349,Velocity!$B:$B,$C349)/Assumptions!$B$4*Assumptions!$B$6</f>
        <v>0</v>
      </c>
      <c r="K349" s="7" t="n">
        <f aca="false">SUMIFS(Doors!W:W,Doors!$A:$A,$D349,Doors!$B:$B,$B349,Doors!$C:$C,$C349)*SUMIFS(Velocity!$I:$I,Velocity!$A:$A,$A349,Velocity!$B:$B,$C349)/Assumptions!$B$4*Assumptions!$B$6</f>
        <v>0</v>
      </c>
      <c r="L349" s="7" t="n">
        <f aca="false">SUMIFS(Doors!X:X,Doors!$A:$A,$D349,Doors!$B:$B,$B349,Doors!$C:$C,$C349)*SUMIFS(Velocity!$I:$I,Velocity!$A:$A,$A349,Velocity!$B:$B,$C349)/Assumptions!$B$4*Assumptions!$B$6</f>
        <v>0</v>
      </c>
      <c r="M349" s="7" t="n">
        <f aca="false">SUMIFS(Doors!Y:Y,Doors!$A:$A,$D349,Doors!$B:$B,$B349,Doors!$C:$C,$C349)*SUMIFS(Velocity!$I:$I,Velocity!$A:$A,$A349,Velocity!$B:$B,$C349)/Assumptions!$B$4*Assumptions!$B$6</f>
        <v>0</v>
      </c>
      <c r="N349" s="7" t="n">
        <f aca="false">SUMIFS(Doors!Z:Z,Doors!$A:$A,$D349,Doors!$B:$B,$B349,Doors!$C:$C,$C349)*SUMIFS(Velocity!$I:$I,Velocity!$A:$A,$A349,Velocity!$B:$B,$C349)/Assumptions!$B$4*Assumptions!$B$6</f>
        <v>0</v>
      </c>
      <c r="O349" s="7" t="n">
        <f aca="false">SUMIFS(Doors!AA:AA,Doors!$A:$A,$D349,Doors!$B:$B,$B349,Doors!$C:$C,$C349)*SUMIFS(Velocity!$I:$I,Velocity!$A:$A,$A349,Velocity!$B:$B,$C349)/Assumptions!$B$4*Assumptions!$B$6</f>
        <v>0</v>
      </c>
      <c r="P349" s="7" t="n">
        <f aca="false">SUMIFS(Doors!AB:AB,Doors!$A:$A,$D349,Doors!$B:$B,$B349,Doors!$C:$C,$C349)*SUMIFS(Velocity!$I:$I,Velocity!$A:$A,$A349,Velocity!$B:$B,$C349)/Assumptions!$B$4*Assumptions!$B$6</f>
        <v>0</v>
      </c>
      <c r="Q349" s="7" t="n">
        <f aca="false">SUMIFS(Doors!AC:AC,Doors!$A:$A,$D349,Doors!$B:$B,$B349,Doors!$C:$C,$C349)*SUMIFS(Velocity!$I:$I,Velocity!$A:$A,$A349,Velocity!$B:$B,$C349)/Assumptions!$B$4*Assumptions!$B$6</f>
        <v>0</v>
      </c>
      <c r="R349" s="7" t="n">
        <f aca="false">SUMIFS(Doors!AD:AD,Doors!$A:$A,$D349,Doors!$B:$B,$B349,Doors!$C:$C,$C349)*SUMIFS(Velocity!$I:$I,Velocity!$A:$A,$A349,Velocity!$B:$B,$C349)/Assumptions!$B$4*Assumptions!$B$6</f>
        <v>0</v>
      </c>
      <c r="S349" s="7" t="n">
        <f aca="false">SUMIFS(Doors!AE:AE,Doors!$A:$A,$D349,Doors!$B:$B,$B349,Doors!$C:$C,$C349)*SUMIFS(Velocity!$I:$I,Velocity!$A:$A,$A349,Velocity!$B:$B,$C349)/Assumptions!$B$4*Assumptions!$B$6</f>
        <v>0</v>
      </c>
      <c r="T349" s="7" t="n">
        <f aca="false">SUMIFS(Doors!AF:AF,Doors!$A:$A,$D349,Doors!$B:$B,$B349,Doors!$C:$C,$C349)*SUMIFS(Velocity!$I:$I,Velocity!$A:$A,$A349,Velocity!$B:$B,$C349)/Assumptions!$B$4*Assumptions!$B$6</f>
        <v>0</v>
      </c>
      <c r="U349" s="7" t="n">
        <f aca="false">SUMIFS(Doors!AG:AG,Doors!$A:$A,$D349,Doors!$B:$B,$B349,Doors!$C:$C,$C349)*SUMIFS(Velocity!$I:$I,Velocity!$A:$A,$A349,Velocity!$B:$B,$C349)/Assumptions!$B$4*Assumptions!$B$6</f>
        <v>0</v>
      </c>
      <c r="V349" s="7" t="n">
        <f aca="false">SUMIFS(Doors!AH:AH,Doors!$A:$A,$D349,Doors!$B:$B,$B349,Doors!$C:$C,$C349)*SUMIFS(Velocity!$I:$I,Velocity!$A:$A,$A349,Velocity!$B:$B,$C349)/Assumptions!$B$4*Assumptions!$B$6</f>
        <v>0</v>
      </c>
      <c r="W349" s="7" t="n">
        <f aca="false">SUMIFS(Doors!AI:AI,Doors!$A:$A,$D349,Doors!$B:$B,$B349,Doors!$C:$C,$C349)*SUMIFS(Velocity!$I:$I,Velocity!$A:$A,$A349,Velocity!$B:$B,$C349)/Assumptions!$B$4*Assumptions!$B$6</f>
        <v>0</v>
      </c>
      <c r="X349" s="7" t="n">
        <f aca="false">SUMIFS(Doors!AJ:AJ,Doors!$A:$A,$D349,Doors!$B:$B,$B349,Doors!$C:$C,$C349)*SUMIFS(Velocity!$I:$I,Velocity!$A:$A,$A349,Velocity!$B:$B,$C349)/Assumptions!$B$4*Assumptions!$B$6</f>
        <v>0</v>
      </c>
      <c r="Y349" s="7" t="n">
        <f aca="false">SUMIFS(Doors!AK:AK,Doors!$A:$A,$D349,Doors!$B:$B,$B349,Doors!$C:$C,$C349)*SUMIFS(Velocity!$I:$I,Velocity!$A:$A,$A349,Velocity!$B:$B,$C349)/Assumptions!$B$4*Assumptions!$B$6</f>
        <v>0</v>
      </c>
      <c r="Z349" s="7" t="n">
        <f aca="false">SUMIFS(Doors!AL:AL,Doors!$A:$A,$D349,Doors!$B:$B,$B349,Doors!$C:$C,$C349)*SUMIFS(Velocity!$I:$I,Velocity!$A:$A,$A349,Velocity!$B:$B,$C349)/Assumptions!$B$4*Assumptions!$B$6</f>
        <v>0</v>
      </c>
      <c r="AA349" s="7" t="n">
        <f aca="false">SUMIFS(Doors!AM:AM,Doors!$A:$A,$D349,Doors!$B:$B,$B349,Doors!$C:$C,$C349)*SUMIFS(Velocity!$I:$I,Velocity!$A:$A,$A349,Velocity!$B:$B,$C349)/Assumptions!$B$4*Assumptions!$B$6</f>
        <v>0</v>
      </c>
      <c r="AB349" s="7" t="n">
        <f aca="false">SUMIFS(Doors!AN:AN,Doors!$A:$A,$D349,Doors!$B:$B,$B349,Doors!$C:$C,$C349)*SUMIFS(Velocity!$I:$I,Velocity!$A:$A,$A349,Velocity!$B:$B,$C349)/Assumptions!$B$4*Assumptions!$B$6</f>
        <v>0</v>
      </c>
      <c r="AC349" s="7" t="n">
        <f aca="false">SUMIFS(Doors!AO:AO,Doors!$A:$A,$D349,Doors!$B:$B,$B349,Doors!$C:$C,$C349)*SUMIFS(Velocity!$I:$I,Velocity!$A:$A,$A349,Velocity!$B:$B,$C349)/Assumptions!$B$4*Assumptions!$B$6</f>
        <v>0</v>
      </c>
      <c r="AD349" s="7" t="n">
        <f aca="false">SUMIFS(Doors!AP:AP,Doors!$A:$A,$D349,Doors!$B:$B,$B349,Doors!$C:$C,$C349)*SUMIFS(Velocity!$I:$I,Velocity!$A:$A,$A349,Velocity!$B:$B,$C349)/Assumptions!$B$4*Assumptions!$B$6</f>
        <v>0</v>
      </c>
      <c r="AE349" s="7" t="n">
        <f aca="false">SUMIFS(Doors!AQ:AQ,Doors!$A:$A,$D349,Doors!$B:$B,$B349,Doors!$C:$C,$C349)*SUMIFS(Velocity!$I:$I,Velocity!$A:$A,$A349,Velocity!$B:$B,$C349)/Assumptions!$B$4*Assumptions!$B$6</f>
        <v>0</v>
      </c>
      <c r="AF349" s="7" t="n">
        <f aca="false">SUMIFS(Doors!AR:AR,Doors!$A:$A,$D349,Doors!$B:$B,$B349,Doors!$C:$C,$C349)*SUMIFS(Velocity!$I:$I,Velocity!$A:$A,$A349,Velocity!$B:$B,$C349)/Assumptions!$B$4*Assumptions!$B$6</f>
        <v>0</v>
      </c>
      <c r="AG349" s="7" t="n">
        <f aca="false">SUMIFS(Doors!AS:AS,Doors!$A:$A,$D349,Doors!$B:$B,$B349,Doors!$C:$C,$C349)*SUMIFS(Velocity!$I:$I,Velocity!$A:$A,$A349,Velocity!$B:$B,$C349)/Assumptions!$B$4*Assumptions!$B$6</f>
        <v>0</v>
      </c>
      <c r="AH349" s="7" t="n">
        <f aca="false">SUMIFS(Doors!AT:AT,Doors!$A:$A,$D349,Doors!$B:$B,$B349,Doors!$C:$C,$C349)*SUMIFS(Velocity!$I:$I,Velocity!$A:$A,$A349,Velocity!$B:$B,$C349)/Assumptions!$B$4*Assumptions!$B$6</f>
        <v>0</v>
      </c>
      <c r="AI349" s="7" t="n">
        <f aca="false">SUMIFS(Doors!AU:AU,Doors!$A:$A,$D349,Doors!$B:$B,$B349,Doors!$C:$C,$C349)*SUMIFS(Velocity!$I:$I,Velocity!$A:$A,$A349,Velocity!$B:$B,$C349)/Assumptions!$B$4*Assumptions!$B$6</f>
        <v>0</v>
      </c>
      <c r="AJ349" s="7" t="n">
        <f aca="false">SUMIFS(Doors!AV:AV,Doors!$A:$A,$D349,Doors!$B:$B,$B349,Doors!$C:$C,$C349)*SUMIFS(Velocity!$I:$I,Velocity!$A:$A,$A349,Velocity!$B:$B,$C349)/Assumptions!$B$4*Assumptions!$B$6</f>
        <v>0</v>
      </c>
      <c r="AK349" s="7" t="n">
        <f aca="false">SUMIFS(Doors!AW:AW,Doors!$A:$A,$D349,Doors!$B:$B,$B349,Doors!$C:$C,$C349)*SUMIFS(Velocity!$I:$I,Velocity!$A:$A,$A349,Velocity!$B:$B,$C349)/Assumptions!$B$4*Assumptions!$B$6</f>
        <v>0</v>
      </c>
      <c r="AL349" s="7" t="n">
        <f aca="false">SUMIFS(Doors!AX:AX,Doors!$A:$A,$D349,Doors!$B:$B,$B349,Doors!$C:$C,$C349)*SUMIFS(Velocity!$I:$I,Velocity!$A:$A,$A349,Velocity!$B:$B,$C349)/Assumptions!$B$4*Assumptions!$B$6</f>
        <v>0</v>
      </c>
      <c r="AM349" s="7" t="n">
        <f aca="false">SUMIFS(Doors!AY:AY,Doors!$A:$A,$D349,Doors!$B:$B,$B349,Doors!$C:$C,$C349)*SUMIFS(Velocity!$I:$I,Velocity!$A:$A,$A349,Velocity!$B:$B,$C349)/Assumptions!$B$4*Assumptions!$B$6</f>
        <v>0</v>
      </c>
      <c r="AN349" s="7" t="n">
        <f aca="false">SUMIFS(Doors!AZ:AZ,Doors!$A:$A,$D349,Doors!$B:$B,$B349,Doors!$C:$C,$C349)*SUMIFS(Velocity!$I:$I,Velocity!$A:$A,$A349,Velocity!$B:$B,$C349)/Assumptions!$B$4*Assumptions!$B$6</f>
        <v>0</v>
      </c>
      <c r="AO349" s="7" t="n">
        <f aca="false">SUMIFS(Doors!BA:BA,Doors!$A:$A,$D349,Doors!$B:$B,$B349,Doors!$C:$C,$C349)*SUMIFS(Velocity!$I:$I,Velocity!$A:$A,$A349,Velocity!$B:$B,$C349)/Assumptions!$B$4*Assumptions!$B$6</f>
        <v>0</v>
      </c>
      <c r="AP349" s="7" t="n">
        <f aca="false">SUMIFS(Doors!BB:BB,Doors!$A:$A,$D349,Doors!$B:$B,$B349,Doors!$C:$C,$C349)*SUMIFS(Velocity!$I:$I,Velocity!$A:$A,$A349,Velocity!$B:$B,$C349)/Assumptions!$B$4*Assumptions!$B$6</f>
        <v>0</v>
      </c>
      <c r="AQ349" s="7" t="n">
        <f aca="false">SUMIFS(Doors!BC:BC,Doors!$A:$A,$D349,Doors!$B:$B,$B349,Doors!$C:$C,$C349)*SUMIFS(Velocity!$I:$I,Velocity!$A:$A,$A349,Velocity!$B:$B,$C349)/Assumptions!$B$4*Assumptions!$B$6</f>
        <v>0</v>
      </c>
      <c r="AR349" s="7" t="n">
        <f aca="false">SUMIFS(Doors!BD:BD,Doors!$A:$A,$D349,Doors!$B:$B,$B349,Doors!$C:$C,$C349)*SUMIFS(Velocity!$I:$I,Velocity!$A:$A,$A349,Velocity!$B:$B,$C349)/Assumptions!$B$4*Assumptions!$B$6</f>
        <v>0</v>
      </c>
      <c r="AS349" s="7" t="n">
        <f aca="false">SUMIFS(Doors!BE:BE,Doors!$A:$A,$D349,Doors!$B:$B,$B349,Doors!$C:$C,$C349)*SUMIFS(Velocity!$I:$I,Velocity!$A:$A,$A349,Velocity!$B:$B,$C349)/Assumptions!$B$4*Assumptions!$B$6</f>
        <v>0</v>
      </c>
      <c r="AT349" s="7" t="n">
        <f aca="false">SUMIFS(Doors!BF:BF,Doors!$A:$A,$D349,Doors!$B:$B,$B349,Doors!$C:$C,$C349)*SUMIFS(Velocity!$I:$I,Velocity!$A:$A,$A349,Velocity!$B:$B,$C349)/Assumptions!$B$4*Assumptions!$B$6</f>
        <v>0</v>
      </c>
      <c r="AU349" s="7" t="n">
        <f aca="false">SUMIFS(Doors!BG:BG,Doors!$A:$A,$D349,Doors!$B:$B,$B349,Doors!$C:$C,$C349)*SUMIFS(Velocity!$I:$I,Velocity!$A:$A,$A349,Velocity!$B:$B,$C349)/Assumptions!$B$4*Assumptions!$B$6</f>
        <v>0</v>
      </c>
      <c r="AV349" s="7" t="n">
        <f aca="false">SUMIFS(Doors!BH:BH,Doors!$A:$A,$D349,Doors!$B:$B,$B349,Doors!$C:$C,$C349)*SUMIFS(Velocity!$I:$I,Velocity!$A:$A,$A349,Velocity!$B:$B,$C349)/Assumptions!$B$4*Assumptions!$B$6</f>
        <v>0</v>
      </c>
      <c r="AW349" s="7" t="n">
        <f aca="false">SUMIFS(Doors!BI:BI,Doors!$A:$A,$D349,Doors!$B:$B,$B349,Doors!$C:$C,$C349)*SUMIFS(Velocity!$I:$I,Velocity!$A:$A,$A349,Velocity!$B:$B,$C349)/Assumptions!$B$4*Assumptions!$B$6</f>
        <v>0</v>
      </c>
      <c r="AX349" s="7" t="n">
        <f aca="false">SUMIFS(Doors!BJ:BJ,Doors!$A:$A,$D349,Doors!$B:$B,$B349,Doors!$C:$C,$C349)*SUMIFS(Velocity!$I:$I,Velocity!$A:$A,$A349,Velocity!$B:$B,$C349)/Assumptions!$B$4*Assumptions!$B$6</f>
        <v>0</v>
      </c>
      <c r="AY349" s="7" t="n">
        <f aca="false">SUMIFS(Doors!BK:BK,Doors!$A:$A,$D349,Doors!$B:$B,$B349,Doors!$C:$C,$C349)*SUMIFS(Velocity!$I:$I,Velocity!$A:$A,$A349,Velocity!$B:$B,$C349)/Assumptions!$B$4*Assumptions!$B$6</f>
        <v>0</v>
      </c>
      <c r="AZ349" s="7" t="n">
        <f aca="false">SUMIFS(Doors!BL:BL,Doors!$A:$A,$D349,Doors!$B:$B,$B349,Doors!$C:$C,$C349)*SUMIFS(Velocity!$I:$I,Velocity!$A:$A,$A349,Velocity!$B:$B,$C349)/Assumptions!$B$4*Assumptions!$B$6</f>
        <v>0</v>
      </c>
      <c r="BA349" s="7" t="n">
        <f aca="false">SUMIFS(Doors!BM:BM,Doors!$A:$A,$D349,Doors!$B:$B,$B349,Doors!$C:$C,$C349)*SUMIFS(Velocity!$I:$I,Velocity!$A:$A,$A349,Velocity!$B:$B,$C349)/Assumptions!$B$4*Assumptions!$B$6</f>
        <v>0</v>
      </c>
      <c r="BB349" s="7" t="n">
        <f aca="false">SUMIFS(Doors!BN:BN,Doors!$A:$A,$D349,Doors!$B:$B,$B349,Doors!$C:$C,$C349)*SUMIFS(Velocity!$I:$I,Velocity!$A:$A,$A349,Velocity!$B:$B,$C349)/Assumptions!$B$4*Assumptions!$B$6</f>
        <v>0</v>
      </c>
      <c r="BC349" s="7" t="n">
        <f aca="false">SUMIFS(Doors!BO:BO,Doors!$A:$A,$D349,Doors!$B:$B,$B349,Doors!$C:$C,$C349)*SUMIFS(Velocity!$I:$I,Velocity!$A:$A,$A349,Velocity!$B:$B,$C349)/Assumptions!$B$4*Assumptions!$B$6</f>
        <v>0</v>
      </c>
      <c r="BD349" s="7" t="n">
        <f aca="false">SUMIFS(Doors!BP:BP,Doors!$A:$A,$D349,Doors!$B:$B,$B349,Doors!$C:$C,$C349)*SUMIFS(Velocity!$I:$I,Velocity!$A:$A,$A349,Velocity!$B:$B,$C349)/Assumptions!$B$4*Assumptions!$B$6</f>
        <v>0</v>
      </c>
    </row>
    <row r="350" customFormat="false" ht="15" hidden="false" customHeight="false" outlineLevel="0" collapsed="false">
      <c r="A350" s="0" t="s">
        <v>111</v>
      </c>
      <c r="B350" s="0" t="s">
        <v>134</v>
      </c>
      <c r="C350" s="0" t="s">
        <v>117</v>
      </c>
      <c r="D350" s="0" t="s">
        <v>236</v>
      </c>
      <c r="E350" s="7" t="n">
        <f aca="false">SUMIFS(Doors!Q:Q,Doors!$A:$A,$D350,Doors!$B:$B,$B350,Doors!$C:$C,$C350)*SUMIFS(Velocity!$I:$I,Velocity!$A:$A,$A350,Velocity!$B:$B,$C350)/Assumptions!$B$4*Assumptions!$B$6</f>
        <v>0</v>
      </c>
      <c r="F350" s="7" t="n">
        <f aca="false">SUMIFS(Doors!R:R,Doors!$A:$A,$D350,Doors!$B:$B,$B350,Doors!$C:$C,$C350)*SUMIFS(Velocity!$I:$I,Velocity!$A:$A,$A350,Velocity!$B:$B,$C350)/Assumptions!$B$4*Assumptions!$B$6</f>
        <v>0</v>
      </c>
      <c r="G350" s="7" t="n">
        <f aca="false">SUMIFS(Doors!S:S,Doors!$A:$A,$D350,Doors!$B:$B,$B350,Doors!$C:$C,$C350)*SUMIFS(Velocity!$I:$I,Velocity!$A:$A,$A350,Velocity!$B:$B,$C350)/Assumptions!$B$4*Assumptions!$B$6</f>
        <v>0</v>
      </c>
      <c r="H350" s="7" t="n">
        <f aca="false">SUMIFS(Doors!T:T,Doors!$A:$A,$D350,Doors!$B:$B,$B350,Doors!$C:$C,$C350)*SUMIFS(Velocity!$I:$I,Velocity!$A:$A,$A350,Velocity!$B:$B,$C350)/Assumptions!$B$4*Assumptions!$B$6</f>
        <v>0</v>
      </c>
      <c r="I350" s="7" t="n">
        <f aca="false">SUMIFS(Doors!U:U,Doors!$A:$A,$D350,Doors!$B:$B,$B350,Doors!$C:$C,$C350)*SUMIFS(Velocity!$I:$I,Velocity!$A:$A,$A350,Velocity!$B:$B,$C350)/Assumptions!$B$4*Assumptions!$B$6</f>
        <v>0</v>
      </c>
      <c r="J350" s="7" t="n">
        <f aca="false">SUMIFS(Doors!V:V,Doors!$A:$A,$D350,Doors!$B:$B,$B350,Doors!$C:$C,$C350)*SUMIFS(Velocity!$I:$I,Velocity!$A:$A,$A350,Velocity!$B:$B,$C350)/Assumptions!$B$4*Assumptions!$B$6</f>
        <v>0</v>
      </c>
      <c r="K350" s="7" t="n">
        <f aca="false">SUMIFS(Doors!W:W,Doors!$A:$A,$D350,Doors!$B:$B,$B350,Doors!$C:$C,$C350)*SUMIFS(Velocity!$I:$I,Velocity!$A:$A,$A350,Velocity!$B:$B,$C350)/Assumptions!$B$4*Assumptions!$B$6</f>
        <v>0</v>
      </c>
      <c r="L350" s="7" t="n">
        <f aca="false">SUMIFS(Doors!X:X,Doors!$A:$A,$D350,Doors!$B:$B,$B350,Doors!$C:$C,$C350)*SUMIFS(Velocity!$I:$I,Velocity!$A:$A,$A350,Velocity!$B:$B,$C350)/Assumptions!$B$4*Assumptions!$B$6</f>
        <v>0</v>
      </c>
      <c r="M350" s="7" t="n">
        <f aca="false">SUMIFS(Doors!Y:Y,Doors!$A:$A,$D350,Doors!$B:$B,$B350,Doors!$C:$C,$C350)*SUMIFS(Velocity!$I:$I,Velocity!$A:$A,$A350,Velocity!$B:$B,$C350)/Assumptions!$B$4*Assumptions!$B$6</f>
        <v>0</v>
      </c>
      <c r="N350" s="7" t="n">
        <f aca="false">SUMIFS(Doors!Z:Z,Doors!$A:$A,$D350,Doors!$B:$B,$B350,Doors!$C:$C,$C350)*SUMIFS(Velocity!$I:$I,Velocity!$A:$A,$A350,Velocity!$B:$B,$C350)/Assumptions!$B$4*Assumptions!$B$6</f>
        <v>0</v>
      </c>
      <c r="O350" s="7" t="n">
        <f aca="false">SUMIFS(Doors!AA:AA,Doors!$A:$A,$D350,Doors!$B:$B,$B350,Doors!$C:$C,$C350)*SUMIFS(Velocity!$I:$I,Velocity!$A:$A,$A350,Velocity!$B:$B,$C350)/Assumptions!$B$4*Assumptions!$B$6</f>
        <v>0</v>
      </c>
      <c r="P350" s="7" t="n">
        <f aca="false">SUMIFS(Doors!AB:AB,Doors!$A:$A,$D350,Doors!$B:$B,$B350,Doors!$C:$C,$C350)*SUMIFS(Velocity!$I:$I,Velocity!$A:$A,$A350,Velocity!$B:$B,$C350)/Assumptions!$B$4*Assumptions!$B$6</f>
        <v>0</v>
      </c>
      <c r="Q350" s="7" t="n">
        <f aca="false">SUMIFS(Doors!AC:AC,Doors!$A:$A,$D350,Doors!$B:$B,$B350,Doors!$C:$C,$C350)*SUMIFS(Velocity!$I:$I,Velocity!$A:$A,$A350,Velocity!$B:$B,$C350)/Assumptions!$B$4*Assumptions!$B$6</f>
        <v>0</v>
      </c>
      <c r="R350" s="7" t="n">
        <f aca="false">SUMIFS(Doors!AD:AD,Doors!$A:$A,$D350,Doors!$B:$B,$B350,Doors!$C:$C,$C350)*SUMIFS(Velocity!$I:$I,Velocity!$A:$A,$A350,Velocity!$B:$B,$C350)/Assumptions!$B$4*Assumptions!$B$6</f>
        <v>0</v>
      </c>
      <c r="S350" s="7" t="n">
        <f aca="false">SUMIFS(Doors!AE:AE,Doors!$A:$A,$D350,Doors!$B:$B,$B350,Doors!$C:$C,$C350)*SUMIFS(Velocity!$I:$I,Velocity!$A:$A,$A350,Velocity!$B:$B,$C350)/Assumptions!$B$4*Assumptions!$B$6</f>
        <v>0</v>
      </c>
      <c r="T350" s="7" t="n">
        <f aca="false">SUMIFS(Doors!AF:AF,Doors!$A:$A,$D350,Doors!$B:$B,$B350,Doors!$C:$C,$C350)*SUMIFS(Velocity!$I:$I,Velocity!$A:$A,$A350,Velocity!$B:$B,$C350)/Assumptions!$B$4*Assumptions!$B$6</f>
        <v>0</v>
      </c>
      <c r="U350" s="7" t="n">
        <f aca="false">SUMIFS(Doors!AG:AG,Doors!$A:$A,$D350,Doors!$B:$B,$B350,Doors!$C:$C,$C350)*SUMIFS(Velocity!$I:$I,Velocity!$A:$A,$A350,Velocity!$B:$B,$C350)/Assumptions!$B$4*Assumptions!$B$6</f>
        <v>0</v>
      </c>
      <c r="V350" s="7" t="n">
        <f aca="false">SUMIFS(Doors!AH:AH,Doors!$A:$A,$D350,Doors!$B:$B,$B350,Doors!$C:$C,$C350)*SUMIFS(Velocity!$I:$I,Velocity!$A:$A,$A350,Velocity!$B:$B,$C350)/Assumptions!$B$4*Assumptions!$B$6</f>
        <v>0</v>
      </c>
      <c r="W350" s="7" t="n">
        <f aca="false">SUMIFS(Doors!AI:AI,Doors!$A:$A,$D350,Doors!$B:$B,$B350,Doors!$C:$C,$C350)*SUMIFS(Velocity!$I:$I,Velocity!$A:$A,$A350,Velocity!$B:$B,$C350)/Assumptions!$B$4*Assumptions!$B$6</f>
        <v>0</v>
      </c>
      <c r="X350" s="7" t="n">
        <f aca="false">SUMIFS(Doors!AJ:AJ,Doors!$A:$A,$D350,Doors!$B:$B,$B350,Doors!$C:$C,$C350)*SUMIFS(Velocity!$I:$I,Velocity!$A:$A,$A350,Velocity!$B:$B,$C350)/Assumptions!$B$4*Assumptions!$B$6</f>
        <v>0</v>
      </c>
      <c r="Y350" s="7" t="n">
        <f aca="false">SUMIFS(Doors!AK:AK,Doors!$A:$A,$D350,Doors!$B:$B,$B350,Doors!$C:$C,$C350)*SUMIFS(Velocity!$I:$I,Velocity!$A:$A,$A350,Velocity!$B:$B,$C350)/Assumptions!$B$4*Assumptions!$B$6</f>
        <v>0</v>
      </c>
      <c r="Z350" s="7" t="n">
        <f aca="false">SUMIFS(Doors!AL:AL,Doors!$A:$A,$D350,Doors!$B:$B,$B350,Doors!$C:$C,$C350)*SUMIFS(Velocity!$I:$I,Velocity!$A:$A,$A350,Velocity!$B:$B,$C350)/Assumptions!$B$4*Assumptions!$B$6</f>
        <v>0</v>
      </c>
      <c r="AA350" s="7" t="n">
        <f aca="false">SUMIFS(Doors!AM:AM,Doors!$A:$A,$D350,Doors!$B:$B,$B350,Doors!$C:$C,$C350)*SUMIFS(Velocity!$I:$I,Velocity!$A:$A,$A350,Velocity!$B:$B,$C350)/Assumptions!$B$4*Assumptions!$B$6</f>
        <v>0</v>
      </c>
      <c r="AB350" s="7" t="n">
        <f aca="false">SUMIFS(Doors!AN:AN,Doors!$A:$A,$D350,Doors!$B:$B,$B350,Doors!$C:$C,$C350)*SUMIFS(Velocity!$I:$I,Velocity!$A:$A,$A350,Velocity!$B:$B,$C350)/Assumptions!$B$4*Assumptions!$B$6</f>
        <v>0</v>
      </c>
      <c r="AC350" s="7" t="n">
        <f aca="false">SUMIFS(Doors!AO:AO,Doors!$A:$A,$D350,Doors!$B:$B,$B350,Doors!$C:$C,$C350)*SUMIFS(Velocity!$I:$I,Velocity!$A:$A,$A350,Velocity!$B:$B,$C350)/Assumptions!$B$4*Assumptions!$B$6</f>
        <v>0</v>
      </c>
      <c r="AD350" s="7" t="n">
        <f aca="false">SUMIFS(Doors!AP:AP,Doors!$A:$A,$D350,Doors!$B:$B,$B350,Doors!$C:$C,$C350)*SUMIFS(Velocity!$I:$I,Velocity!$A:$A,$A350,Velocity!$B:$B,$C350)/Assumptions!$B$4*Assumptions!$B$6</f>
        <v>0</v>
      </c>
      <c r="AE350" s="7" t="n">
        <f aca="false">SUMIFS(Doors!AQ:AQ,Doors!$A:$A,$D350,Doors!$B:$B,$B350,Doors!$C:$C,$C350)*SUMIFS(Velocity!$I:$I,Velocity!$A:$A,$A350,Velocity!$B:$B,$C350)/Assumptions!$B$4*Assumptions!$B$6</f>
        <v>0</v>
      </c>
      <c r="AF350" s="7" t="n">
        <f aca="false">SUMIFS(Doors!AR:AR,Doors!$A:$A,$D350,Doors!$B:$B,$B350,Doors!$C:$C,$C350)*SUMIFS(Velocity!$I:$I,Velocity!$A:$A,$A350,Velocity!$B:$B,$C350)/Assumptions!$B$4*Assumptions!$B$6</f>
        <v>0</v>
      </c>
      <c r="AG350" s="7" t="n">
        <f aca="false">SUMIFS(Doors!AS:AS,Doors!$A:$A,$D350,Doors!$B:$B,$B350,Doors!$C:$C,$C350)*SUMIFS(Velocity!$I:$I,Velocity!$A:$A,$A350,Velocity!$B:$B,$C350)/Assumptions!$B$4*Assumptions!$B$6</f>
        <v>0</v>
      </c>
      <c r="AH350" s="7" t="n">
        <f aca="false">SUMIFS(Doors!AT:AT,Doors!$A:$A,$D350,Doors!$B:$B,$B350,Doors!$C:$C,$C350)*SUMIFS(Velocity!$I:$I,Velocity!$A:$A,$A350,Velocity!$B:$B,$C350)/Assumptions!$B$4*Assumptions!$B$6</f>
        <v>0</v>
      </c>
      <c r="AI350" s="7" t="n">
        <f aca="false">SUMIFS(Doors!AU:AU,Doors!$A:$A,$D350,Doors!$B:$B,$B350,Doors!$C:$C,$C350)*SUMIFS(Velocity!$I:$I,Velocity!$A:$A,$A350,Velocity!$B:$B,$C350)/Assumptions!$B$4*Assumptions!$B$6</f>
        <v>0</v>
      </c>
      <c r="AJ350" s="7" t="n">
        <f aca="false">SUMIFS(Doors!AV:AV,Doors!$A:$A,$D350,Doors!$B:$B,$B350,Doors!$C:$C,$C350)*SUMIFS(Velocity!$I:$I,Velocity!$A:$A,$A350,Velocity!$B:$B,$C350)/Assumptions!$B$4*Assumptions!$B$6</f>
        <v>0</v>
      </c>
      <c r="AK350" s="7" t="n">
        <f aca="false">SUMIFS(Doors!AW:AW,Doors!$A:$A,$D350,Doors!$B:$B,$B350,Doors!$C:$C,$C350)*SUMIFS(Velocity!$I:$I,Velocity!$A:$A,$A350,Velocity!$B:$B,$C350)/Assumptions!$B$4*Assumptions!$B$6</f>
        <v>0</v>
      </c>
      <c r="AL350" s="7" t="n">
        <f aca="false">SUMIFS(Doors!AX:AX,Doors!$A:$A,$D350,Doors!$B:$B,$B350,Doors!$C:$C,$C350)*SUMIFS(Velocity!$I:$I,Velocity!$A:$A,$A350,Velocity!$B:$B,$C350)/Assumptions!$B$4*Assumptions!$B$6</f>
        <v>0</v>
      </c>
      <c r="AM350" s="7" t="n">
        <f aca="false">SUMIFS(Doors!AY:AY,Doors!$A:$A,$D350,Doors!$B:$B,$B350,Doors!$C:$C,$C350)*SUMIFS(Velocity!$I:$I,Velocity!$A:$A,$A350,Velocity!$B:$B,$C350)/Assumptions!$B$4*Assumptions!$B$6</f>
        <v>0</v>
      </c>
      <c r="AN350" s="7" t="n">
        <f aca="false">SUMIFS(Doors!AZ:AZ,Doors!$A:$A,$D350,Doors!$B:$B,$B350,Doors!$C:$C,$C350)*SUMIFS(Velocity!$I:$I,Velocity!$A:$A,$A350,Velocity!$B:$B,$C350)/Assumptions!$B$4*Assumptions!$B$6</f>
        <v>0</v>
      </c>
      <c r="AO350" s="7" t="n">
        <f aca="false">SUMIFS(Doors!BA:BA,Doors!$A:$A,$D350,Doors!$B:$B,$B350,Doors!$C:$C,$C350)*SUMIFS(Velocity!$I:$I,Velocity!$A:$A,$A350,Velocity!$B:$B,$C350)/Assumptions!$B$4*Assumptions!$B$6</f>
        <v>0</v>
      </c>
      <c r="AP350" s="7" t="n">
        <f aca="false">SUMIFS(Doors!BB:BB,Doors!$A:$A,$D350,Doors!$B:$B,$B350,Doors!$C:$C,$C350)*SUMIFS(Velocity!$I:$I,Velocity!$A:$A,$A350,Velocity!$B:$B,$C350)/Assumptions!$B$4*Assumptions!$B$6</f>
        <v>0</v>
      </c>
      <c r="AQ350" s="7" t="n">
        <f aca="false">SUMIFS(Doors!BC:BC,Doors!$A:$A,$D350,Doors!$B:$B,$B350,Doors!$C:$C,$C350)*SUMIFS(Velocity!$I:$I,Velocity!$A:$A,$A350,Velocity!$B:$B,$C350)/Assumptions!$B$4*Assumptions!$B$6</f>
        <v>0</v>
      </c>
      <c r="AR350" s="7" t="n">
        <f aca="false">SUMIFS(Doors!BD:BD,Doors!$A:$A,$D350,Doors!$B:$B,$B350,Doors!$C:$C,$C350)*SUMIFS(Velocity!$I:$I,Velocity!$A:$A,$A350,Velocity!$B:$B,$C350)/Assumptions!$B$4*Assumptions!$B$6</f>
        <v>0</v>
      </c>
      <c r="AS350" s="7" t="n">
        <f aca="false">SUMIFS(Doors!BE:BE,Doors!$A:$A,$D350,Doors!$B:$B,$B350,Doors!$C:$C,$C350)*SUMIFS(Velocity!$I:$I,Velocity!$A:$A,$A350,Velocity!$B:$B,$C350)/Assumptions!$B$4*Assumptions!$B$6</f>
        <v>0</v>
      </c>
      <c r="AT350" s="7" t="n">
        <f aca="false">SUMIFS(Doors!BF:BF,Doors!$A:$A,$D350,Doors!$B:$B,$B350,Doors!$C:$C,$C350)*SUMIFS(Velocity!$I:$I,Velocity!$A:$A,$A350,Velocity!$B:$B,$C350)/Assumptions!$B$4*Assumptions!$B$6</f>
        <v>0</v>
      </c>
      <c r="AU350" s="7" t="n">
        <f aca="false">SUMIFS(Doors!BG:BG,Doors!$A:$A,$D350,Doors!$B:$B,$B350,Doors!$C:$C,$C350)*SUMIFS(Velocity!$I:$I,Velocity!$A:$A,$A350,Velocity!$B:$B,$C350)/Assumptions!$B$4*Assumptions!$B$6</f>
        <v>0</v>
      </c>
      <c r="AV350" s="7" t="n">
        <f aca="false">SUMIFS(Doors!BH:BH,Doors!$A:$A,$D350,Doors!$B:$B,$B350,Doors!$C:$C,$C350)*SUMIFS(Velocity!$I:$I,Velocity!$A:$A,$A350,Velocity!$B:$B,$C350)/Assumptions!$B$4*Assumptions!$B$6</f>
        <v>0</v>
      </c>
      <c r="AW350" s="7" t="n">
        <f aca="false">SUMIFS(Doors!BI:BI,Doors!$A:$A,$D350,Doors!$B:$B,$B350,Doors!$C:$C,$C350)*SUMIFS(Velocity!$I:$I,Velocity!$A:$A,$A350,Velocity!$B:$B,$C350)/Assumptions!$B$4*Assumptions!$B$6</f>
        <v>0</v>
      </c>
      <c r="AX350" s="7" t="n">
        <f aca="false">SUMIFS(Doors!BJ:BJ,Doors!$A:$A,$D350,Doors!$B:$B,$B350,Doors!$C:$C,$C350)*SUMIFS(Velocity!$I:$I,Velocity!$A:$A,$A350,Velocity!$B:$B,$C350)/Assumptions!$B$4*Assumptions!$B$6</f>
        <v>0</v>
      </c>
      <c r="AY350" s="7" t="n">
        <f aca="false">SUMIFS(Doors!BK:BK,Doors!$A:$A,$D350,Doors!$B:$B,$B350,Doors!$C:$C,$C350)*SUMIFS(Velocity!$I:$I,Velocity!$A:$A,$A350,Velocity!$B:$B,$C350)/Assumptions!$B$4*Assumptions!$B$6</f>
        <v>0</v>
      </c>
      <c r="AZ350" s="7" t="n">
        <f aca="false">SUMIFS(Doors!BL:BL,Doors!$A:$A,$D350,Doors!$B:$B,$B350,Doors!$C:$C,$C350)*SUMIFS(Velocity!$I:$I,Velocity!$A:$A,$A350,Velocity!$B:$B,$C350)/Assumptions!$B$4*Assumptions!$B$6</f>
        <v>0</v>
      </c>
      <c r="BA350" s="7" t="n">
        <f aca="false">SUMIFS(Doors!BM:BM,Doors!$A:$A,$D350,Doors!$B:$B,$B350,Doors!$C:$C,$C350)*SUMIFS(Velocity!$I:$I,Velocity!$A:$A,$A350,Velocity!$B:$B,$C350)/Assumptions!$B$4*Assumptions!$B$6</f>
        <v>0</v>
      </c>
      <c r="BB350" s="7" t="n">
        <f aca="false">SUMIFS(Doors!BN:BN,Doors!$A:$A,$D350,Doors!$B:$B,$B350,Doors!$C:$C,$C350)*SUMIFS(Velocity!$I:$I,Velocity!$A:$A,$A350,Velocity!$B:$B,$C350)/Assumptions!$B$4*Assumptions!$B$6</f>
        <v>0</v>
      </c>
      <c r="BC350" s="7" t="n">
        <f aca="false">SUMIFS(Doors!BO:BO,Doors!$A:$A,$D350,Doors!$B:$B,$B350,Doors!$C:$C,$C350)*SUMIFS(Velocity!$I:$I,Velocity!$A:$A,$A350,Velocity!$B:$B,$C350)/Assumptions!$B$4*Assumptions!$B$6</f>
        <v>0</v>
      </c>
      <c r="BD350" s="7" t="n">
        <f aca="false">SUMIFS(Doors!BP:BP,Doors!$A:$A,$D350,Doors!$B:$B,$B350,Doors!$C:$C,$C350)*SUMIFS(Velocity!$I:$I,Velocity!$A:$A,$A350,Velocity!$B:$B,$C350)/Assumptions!$B$4*Assumptions!$B$6</f>
        <v>0</v>
      </c>
    </row>
    <row r="351" customFormat="false" ht="15" hidden="false" customHeight="false" outlineLevel="0" collapsed="false">
      <c r="A351" s="0" t="s">
        <v>111</v>
      </c>
      <c r="B351" s="0" t="s">
        <v>134</v>
      </c>
      <c r="C351" s="0" t="s">
        <v>118</v>
      </c>
      <c r="D351" s="0" t="s">
        <v>236</v>
      </c>
      <c r="E351" s="7" t="n">
        <f aca="false">SUMIFS(Doors!Q:Q,Doors!$A:$A,$D351,Doors!$B:$B,$B351,Doors!$C:$C,$C351)*SUMIFS(Velocity!$I:$I,Velocity!$A:$A,$A351,Velocity!$B:$B,$C351)/Assumptions!$B$4*Assumptions!$B$6</f>
        <v>0</v>
      </c>
      <c r="F351" s="7" t="n">
        <f aca="false">SUMIFS(Doors!R:R,Doors!$A:$A,$D351,Doors!$B:$B,$B351,Doors!$C:$C,$C351)*SUMIFS(Velocity!$I:$I,Velocity!$A:$A,$A351,Velocity!$B:$B,$C351)/Assumptions!$B$4*Assumptions!$B$6</f>
        <v>0</v>
      </c>
      <c r="G351" s="7" t="n">
        <f aca="false">SUMIFS(Doors!S:S,Doors!$A:$A,$D351,Doors!$B:$B,$B351,Doors!$C:$C,$C351)*SUMIFS(Velocity!$I:$I,Velocity!$A:$A,$A351,Velocity!$B:$B,$C351)/Assumptions!$B$4*Assumptions!$B$6</f>
        <v>0</v>
      </c>
      <c r="H351" s="7" t="n">
        <f aca="false">SUMIFS(Doors!T:T,Doors!$A:$A,$D351,Doors!$B:$B,$B351,Doors!$C:$C,$C351)*SUMIFS(Velocity!$I:$I,Velocity!$A:$A,$A351,Velocity!$B:$B,$C351)/Assumptions!$B$4*Assumptions!$B$6</f>
        <v>0</v>
      </c>
      <c r="I351" s="7" t="n">
        <f aca="false">SUMIFS(Doors!U:U,Doors!$A:$A,$D351,Doors!$B:$B,$B351,Doors!$C:$C,$C351)*SUMIFS(Velocity!$I:$I,Velocity!$A:$A,$A351,Velocity!$B:$B,$C351)/Assumptions!$B$4*Assumptions!$B$6</f>
        <v>0</v>
      </c>
      <c r="J351" s="7" t="n">
        <f aca="false">SUMIFS(Doors!V:V,Doors!$A:$A,$D351,Doors!$B:$B,$B351,Doors!$C:$C,$C351)*SUMIFS(Velocity!$I:$I,Velocity!$A:$A,$A351,Velocity!$B:$B,$C351)/Assumptions!$B$4*Assumptions!$B$6</f>
        <v>0</v>
      </c>
      <c r="K351" s="7" t="n">
        <f aca="false">SUMIFS(Doors!W:W,Doors!$A:$A,$D351,Doors!$B:$B,$B351,Doors!$C:$C,$C351)*SUMIFS(Velocity!$I:$I,Velocity!$A:$A,$A351,Velocity!$B:$B,$C351)/Assumptions!$B$4*Assumptions!$B$6</f>
        <v>0</v>
      </c>
      <c r="L351" s="7" t="n">
        <f aca="false">SUMIFS(Doors!X:X,Doors!$A:$A,$D351,Doors!$B:$B,$B351,Doors!$C:$C,$C351)*SUMIFS(Velocity!$I:$I,Velocity!$A:$A,$A351,Velocity!$B:$B,$C351)/Assumptions!$B$4*Assumptions!$B$6</f>
        <v>0</v>
      </c>
      <c r="M351" s="7" t="n">
        <f aca="false">SUMIFS(Doors!Y:Y,Doors!$A:$A,$D351,Doors!$B:$B,$B351,Doors!$C:$C,$C351)*SUMIFS(Velocity!$I:$I,Velocity!$A:$A,$A351,Velocity!$B:$B,$C351)/Assumptions!$B$4*Assumptions!$B$6</f>
        <v>0</v>
      </c>
      <c r="N351" s="7" t="n">
        <f aca="false">SUMIFS(Doors!Z:Z,Doors!$A:$A,$D351,Doors!$B:$B,$B351,Doors!$C:$C,$C351)*SUMIFS(Velocity!$I:$I,Velocity!$A:$A,$A351,Velocity!$B:$B,$C351)/Assumptions!$B$4*Assumptions!$B$6</f>
        <v>0</v>
      </c>
      <c r="O351" s="7" t="n">
        <f aca="false">SUMIFS(Doors!AA:AA,Doors!$A:$A,$D351,Doors!$B:$B,$B351,Doors!$C:$C,$C351)*SUMIFS(Velocity!$I:$I,Velocity!$A:$A,$A351,Velocity!$B:$B,$C351)/Assumptions!$B$4*Assumptions!$B$6</f>
        <v>0</v>
      </c>
      <c r="P351" s="7" t="n">
        <f aca="false">SUMIFS(Doors!AB:AB,Doors!$A:$A,$D351,Doors!$B:$B,$B351,Doors!$C:$C,$C351)*SUMIFS(Velocity!$I:$I,Velocity!$A:$A,$A351,Velocity!$B:$B,$C351)/Assumptions!$B$4*Assumptions!$B$6</f>
        <v>0</v>
      </c>
      <c r="Q351" s="7" t="n">
        <f aca="false">SUMIFS(Doors!AC:AC,Doors!$A:$A,$D351,Doors!$B:$B,$B351,Doors!$C:$C,$C351)*SUMIFS(Velocity!$I:$I,Velocity!$A:$A,$A351,Velocity!$B:$B,$C351)/Assumptions!$B$4*Assumptions!$B$6</f>
        <v>0</v>
      </c>
      <c r="R351" s="7" t="n">
        <f aca="false">SUMIFS(Doors!AD:AD,Doors!$A:$A,$D351,Doors!$B:$B,$B351,Doors!$C:$C,$C351)*SUMIFS(Velocity!$I:$I,Velocity!$A:$A,$A351,Velocity!$B:$B,$C351)/Assumptions!$B$4*Assumptions!$B$6</f>
        <v>0</v>
      </c>
      <c r="S351" s="7" t="n">
        <f aca="false">SUMIFS(Doors!AE:AE,Doors!$A:$A,$D351,Doors!$B:$B,$B351,Doors!$C:$C,$C351)*SUMIFS(Velocity!$I:$I,Velocity!$A:$A,$A351,Velocity!$B:$B,$C351)/Assumptions!$B$4*Assumptions!$B$6</f>
        <v>0</v>
      </c>
      <c r="T351" s="7" t="n">
        <f aca="false">SUMIFS(Doors!AF:AF,Doors!$A:$A,$D351,Doors!$B:$B,$B351,Doors!$C:$C,$C351)*SUMIFS(Velocity!$I:$I,Velocity!$A:$A,$A351,Velocity!$B:$B,$C351)/Assumptions!$B$4*Assumptions!$B$6</f>
        <v>0</v>
      </c>
      <c r="U351" s="7" t="n">
        <f aca="false">SUMIFS(Doors!AG:AG,Doors!$A:$A,$D351,Doors!$B:$B,$B351,Doors!$C:$C,$C351)*SUMIFS(Velocity!$I:$I,Velocity!$A:$A,$A351,Velocity!$B:$B,$C351)/Assumptions!$B$4*Assumptions!$B$6</f>
        <v>0</v>
      </c>
      <c r="V351" s="7" t="n">
        <f aca="false">SUMIFS(Doors!AH:AH,Doors!$A:$A,$D351,Doors!$B:$B,$B351,Doors!$C:$C,$C351)*SUMIFS(Velocity!$I:$I,Velocity!$A:$A,$A351,Velocity!$B:$B,$C351)/Assumptions!$B$4*Assumptions!$B$6</f>
        <v>0</v>
      </c>
      <c r="W351" s="7" t="n">
        <f aca="false">SUMIFS(Doors!AI:AI,Doors!$A:$A,$D351,Doors!$B:$B,$B351,Doors!$C:$C,$C351)*SUMIFS(Velocity!$I:$I,Velocity!$A:$A,$A351,Velocity!$B:$B,$C351)/Assumptions!$B$4*Assumptions!$B$6</f>
        <v>0</v>
      </c>
      <c r="X351" s="7" t="n">
        <f aca="false">SUMIFS(Doors!AJ:AJ,Doors!$A:$A,$D351,Doors!$B:$B,$B351,Doors!$C:$C,$C351)*SUMIFS(Velocity!$I:$I,Velocity!$A:$A,$A351,Velocity!$B:$B,$C351)/Assumptions!$B$4*Assumptions!$B$6</f>
        <v>0</v>
      </c>
      <c r="Y351" s="7" t="n">
        <f aca="false">SUMIFS(Doors!AK:AK,Doors!$A:$A,$D351,Doors!$B:$B,$B351,Doors!$C:$C,$C351)*SUMIFS(Velocity!$I:$I,Velocity!$A:$A,$A351,Velocity!$B:$B,$C351)/Assumptions!$B$4*Assumptions!$B$6</f>
        <v>0</v>
      </c>
      <c r="Z351" s="7" t="n">
        <f aca="false">SUMIFS(Doors!AL:AL,Doors!$A:$A,$D351,Doors!$B:$B,$B351,Doors!$C:$C,$C351)*SUMIFS(Velocity!$I:$I,Velocity!$A:$A,$A351,Velocity!$B:$B,$C351)/Assumptions!$B$4*Assumptions!$B$6</f>
        <v>0</v>
      </c>
      <c r="AA351" s="7" t="n">
        <f aca="false">SUMIFS(Doors!AM:AM,Doors!$A:$A,$D351,Doors!$B:$B,$B351,Doors!$C:$C,$C351)*SUMIFS(Velocity!$I:$I,Velocity!$A:$A,$A351,Velocity!$B:$B,$C351)/Assumptions!$B$4*Assumptions!$B$6</f>
        <v>0</v>
      </c>
      <c r="AB351" s="7" t="n">
        <f aca="false">SUMIFS(Doors!AN:AN,Doors!$A:$A,$D351,Doors!$B:$B,$B351,Doors!$C:$C,$C351)*SUMIFS(Velocity!$I:$I,Velocity!$A:$A,$A351,Velocity!$B:$B,$C351)/Assumptions!$B$4*Assumptions!$B$6</f>
        <v>0</v>
      </c>
      <c r="AC351" s="7" t="n">
        <f aca="false">SUMIFS(Doors!AO:AO,Doors!$A:$A,$D351,Doors!$B:$B,$B351,Doors!$C:$C,$C351)*SUMIFS(Velocity!$I:$I,Velocity!$A:$A,$A351,Velocity!$B:$B,$C351)/Assumptions!$B$4*Assumptions!$B$6</f>
        <v>0</v>
      </c>
      <c r="AD351" s="7" t="n">
        <f aca="false">SUMIFS(Doors!AP:AP,Doors!$A:$A,$D351,Doors!$B:$B,$B351,Doors!$C:$C,$C351)*SUMIFS(Velocity!$I:$I,Velocity!$A:$A,$A351,Velocity!$B:$B,$C351)/Assumptions!$B$4*Assumptions!$B$6</f>
        <v>0</v>
      </c>
      <c r="AE351" s="7" t="n">
        <f aca="false">SUMIFS(Doors!AQ:AQ,Doors!$A:$A,$D351,Doors!$B:$B,$B351,Doors!$C:$C,$C351)*SUMIFS(Velocity!$I:$I,Velocity!$A:$A,$A351,Velocity!$B:$B,$C351)/Assumptions!$B$4*Assumptions!$B$6</f>
        <v>0</v>
      </c>
      <c r="AF351" s="7" t="n">
        <f aca="false">SUMIFS(Doors!AR:AR,Doors!$A:$A,$D351,Doors!$B:$B,$B351,Doors!$C:$C,$C351)*SUMIFS(Velocity!$I:$I,Velocity!$A:$A,$A351,Velocity!$B:$B,$C351)/Assumptions!$B$4*Assumptions!$B$6</f>
        <v>0</v>
      </c>
      <c r="AG351" s="7" t="n">
        <f aca="false">SUMIFS(Doors!AS:AS,Doors!$A:$A,$D351,Doors!$B:$B,$B351,Doors!$C:$C,$C351)*SUMIFS(Velocity!$I:$I,Velocity!$A:$A,$A351,Velocity!$B:$B,$C351)/Assumptions!$B$4*Assumptions!$B$6</f>
        <v>0</v>
      </c>
      <c r="AH351" s="7" t="n">
        <f aca="false">SUMIFS(Doors!AT:AT,Doors!$A:$A,$D351,Doors!$B:$B,$B351,Doors!$C:$C,$C351)*SUMIFS(Velocity!$I:$I,Velocity!$A:$A,$A351,Velocity!$B:$B,$C351)/Assumptions!$B$4*Assumptions!$B$6</f>
        <v>0</v>
      </c>
      <c r="AI351" s="7" t="n">
        <f aca="false">SUMIFS(Doors!AU:AU,Doors!$A:$A,$D351,Doors!$B:$B,$B351,Doors!$C:$C,$C351)*SUMIFS(Velocity!$I:$I,Velocity!$A:$A,$A351,Velocity!$B:$B,$C351)/Assumptions!$B$4*Assumptions!$B$6</f>
        <v>0</v>
      </c>
      <c r="AJ351" s="7" t="n">
        <f aca="false">SUMIFS(Doors!AV:AV,Doors!$A:$A,$D351,Doors!$B:$B,$B351,Doors!$C:$C,$C351)*SUMIFS(Velocity!$I:$I,Velocity!$A:$A,$A351,Velocity!$B:$B,$C351)/Assumptions!$B$4*Assumptions!$B$6</f>
        <v>0</v>
      </c>
      <c r="AK351" s="7" t="n">
        <f aca="false">SUMIFS(Doors!AW:AW,Doors!$A:$A,$D351,Doors!$B:$B,$B351,Doors!$C:$C,$C351)*SUMIFS(Velocity!$I:$I,Velocity!$A:$A,$A351,Velocity!$B:$B,$C351)/Assumptions!$B$4*Assumptions!$B$6</f>
        <v>0</v>
      </c>
      <c r="AL351" s="7" t="n">
        <f aca="false">SUMIFS(Doors!AX:AX,Doors!$A:$A,$D351,Doors!$B:$B,$B351,Doors!$C:$C,$C351)*SUMIFS(Velocity!$I:$I,Velocity!$A:$A,$A351,Velocity!$B:$B,$C351)/Assumptions!$B$4*Assumptions!$B$6</f>
        <v>0</v>
      </c>
      <c r="AM351" s="7" t="n">
        <f aca="false">SUMIFS(Doors!AY:AY,Doors!$A:$A,$D351,Doors!$B:$B,$B351,Doors!$C:$C,$C351)*SUMIFS(Velocity!$I:$I,Velocity!$A:$A,$A351,Velocity!$B:$B,$C351)/Assumptions!$B$4*Assumptions!$B$6</f>
        <v>0</v>
      </c>
      <c r="AN351" s="7" t="n">
        <f aca="false">SUMIFS(Doors!AZ:AZ,Doors!$A:$A,$D351,Doors!$B:$B,$B351,Doors!$C:$C,$C351)*SUMIFS(Velocity!$I:$I,Velocity!$A:$A,$A351,Velocity!$B:$B,$C351)/Assumptions!$B$4*Assumptions!$B$6</f>
        <v>0</v>
      </c>
      <c r="AO351" s="7" t="n">
        <f aca="false">SUMIFS(Doors!BA:BA,Doors!$A:$A,$D351,Doors!$B:$B,$B351,Doors!$C:$C,$C351)*SUMIFS(Velocity!$I:$I,Velocity!$A:$A,$A351,Velocity!$B:$B,$C351)/Assumptions!$B$4*Assumptions!$B$6</f>
        <v>0</v>
      </c>
      <c r="AP351" s="7" t="n">
        <f aca="false">SUMIFS(Doors!BB:BB,Doors!$A:$A,$D351,Doors!$B:$B,$B351,Doors!$C:$C,$C351)*SUMIFS(Velocity!$I:$I,Velocity!$A:$A,$A351,Velocity!$B:$B,$C351)/Assumptions!$B$4*Assumptions!$B$6</f>
        <v>0</v>
      </c>
      <c r="AQ351" s="7" t="n">
        <f aca="false">SUMIFS(Doors!BC:BC,Doors!$A:$A,$D351,Doors!$B:$B,$B351,Doors!$C:$C,$C351)*SUMIFS(Velocity!$I:$I,Velocity!$A:$A,$A351,Velocity!$B:$B,$C351)/Assumptions!$B$4*Assumptions!$B$6</f>
        <v>0</v>
      </c>
      <c r="AR351" s="7" t="n">
        <f aca="false">SUMIFS(Doors!BD:BD,Doors!$A:$A,$D351,Doors!$B:$B,$B351,Doors!$C:$C,$C351)*SUMIFS(Velocity!$I:$I,Velocity!$A:$A,$A351,Velocity!$B:$B,$C351)/Assumptions!$B$4*Assumptions!$B$6</f>
        <v>0</v>
      </c>
      <c r="AS351" s="7" t="n">
        <f aca="false">SUMIFS(Doors!BE:BE,Doors!$A:$A,$D351,Doors!$B:$B,$B351,Doors!$C:$C,$C351)*SUMIFS(Velocity!$I:$I,Velocity!$A:$A,$A351,Velocity!$B:$B,$C351)/Assumptions!$B$4*Assumptions!$B$6</f>
        <v>0</v>
      </c>
      <c r="AT351" s="7" t="n">
        <f aca="false">SUMIFS(Doors!BF:BF,Doors!$A:$A,$D351,Doors!$B:$B,$B351,Doors!$C:$C,$C351)*SUMIFS(Velocity!$I:$I,Velocity!$A:$A,$A351,Velocity!$B:$B,$C351)/Assumptions!$B$4*Assumptions!$B$6</f>
        <v>0</v>
      </c>
      <c r="AU351" s="7" t="n">
        <f aca="false">SUMIFS(Doors!BG:BG,Doors!$A:$A,$D351,Doors!$B:$B,$B351,Doors!$C:$C,$C351)*SUMIFS(Velocity!$I:$I,Velocity!$A:$A,$A351,Velocity!$B:$B,$C351)/Assumptions!$B$4*Assumptions!$B$6</f>
        <v>0</v>
      </c>
      <c r="AV351" s="7" t="n">
        <f aca="false">SUMIFS(Doors!BH:BH,Doors!$A:$A,$D351,Doors!$B:$B,$B351,Doors!$C:$C,$C351)*SUMIFS(Velocity!$I:$I,Velocity!$A:$A,$A351,Velocity!$B:$B,$C351)/Assumptions!$B$4*Assumptions!$B$6</f>
        <v>0</v>
      </c>
      <c r="AW351" s="7" t="n">
        <f aca="false">SUMIFS(Doors!BI:BI,Doors!$A:$A,$D351,Doors!$B:$B,$B351,Doors!$C:$C,$C351)*SUMIFS(Velocity!$I:$I,Velocity!$A:$A,$A351,Velocity!$B:$B,$C351)/Assumptions!$B$4*Assumptions!$B$6</f>
        <v>0</v>
      </c>
      <c r="AX351" s="7" t="n">
        <f aca="false">SUMIFS(Doors!BJ:BJ,Doors!$A:$A,$D351,Doors!$B:$B,$B351,Doors!$C:$C,$C351)*SUMIFS(Velocity!$I:$I,Velocity!$A:$A,$A351,Velocity!$B:$B,$C351)/Assumptions!$B$4*Assumptions!$B$6</f>
        <v>0</v>
      </c>
      <c r="AY351" s="7" t="n">
        <f aca="false">SUMIFS(Doors!BK:BK,Doors!$A:$A,$D351,Doors!$B:$B,$B351,Doors!$C:$C,$C351)*SUMIFS(Velocity!$I:$I,Velocity!$A:$A,$A351,Velocity!$B:$B,$C351)/Assumptions!$B$4*Assumptions!$B$6</f>
        <v>0</v>
      </c>
      <c r="AZ351" s="7" t="n">
        <f aca="false">SUMIFS(Doors!BL:BL,Doors!$A:$A,$D351,Doors!$B:$B,$B351,Doors!$C:$C,$C351)*SUMIFS(Velocity!$I:$I,Velocity!$A:$A,$A351,Velocity!$B:$B,$C351)/Assumptions!$B$4*Assumptions!$B$6</f>
        <v>0</v>
      </c>
      <c r="BA351" s="7" t="n">
        <f aca="false">SUMIFS(Doors!BM:BM,Doors!$A:$A,$D351,Doors!$B:$B,$B351,Doors!$C:$C,$C351)*SUMIFS(Velocity!$I:$I,Velocity!$A:$A,$A351,Velocity!$B:$B,$C351)/Assumptions!$B$4*Assumptions!$B$6</f>
        <v>0</v>
      </c>
      <c r="BB351" s="7" t="n">
        <f aca="false">SUMIFS(Doors!BN:BN,Doors!$A:$A,$D351,Doors!$B:$B,$B351,Doors!$C:$C,$C351)*SUMIFS(Velocity!$I:$I,Velocity!$A:$A,$A351,Velocity!$B:$B,$C351)/Assumptions!$B$4*Assumptions!$B$6</f>
        <v>0</v>
      </c>
      <c r="BC351" s="7" t="n">
        <f aca="false">SUMIFS(Doors!BO:BO,Doors!$A:$A,$D351,Doors!$B:$B,$B351,Doors!$C:$C,$C351)*SUMIFS(Velocity!$I:$I,Velocity!$A:$A,$A351,Velocity!$B:$B,$C351)/Assumptions!$B$4*Assumptions!$B$6</f>
        <v>0</v>
      </c>
      <c r="BD351" s="7" t="n">
        <f aca="false">SUMIFS(Doors!BP:BP,Doors!$A:$A,$D351,Doors!$B:$B,$B351,Doors!$C:$C,$C351)*SUMIFS(Velocity!$I:$I,Velocity!$A:$A,$A351,Velocity!$B:$B,$C351)/Assumptions!$B$4*Assumptions!$B$6</f>
        <v>0</v>
      </c>
    </row>
    <row r="352" customFormat="false" ht="15" hidden="false" customHeight="false" outlineLevel="0" collapsed="false">
      <c r="A352" s="0" t="s">
        <v>111</v>
      </c>
      <c r="B352" s="0" t="s">
        <v>134</v>
      </c>
      <c r="C352" s="0" t="s">
        <v>119</v>
      </c>
      <c r="D352" s="0" t="s">
        <v>236</v>
      </c>
      <c r="E352" s="7" t="n">
        <f aca="false">SUMIFS(Doors!Q:Q,Doors!$A:$A,$D352,Doors!$B:$B,$B352,Doors!$C:$C,$C352)*SUMIFS(Velocity!$I:$I,Velocity!$A:$A,$A352,Velocity!$B:$B,$C352)/Assumptions!$B$4*Assumptions!$B$6</f>
        <v>0</v>
      </c>
      <c r="F352" s="7" t="n">
        <f aca="false">SUMIFS(Doors!R:R,Doors!$A:$A,$D352,Doors!$B:$B,$B352,Doors!$C:$C,$C352)*SUMIFS(Velocity!$I:$I,Velocity!$A:$A,$A352,Velocity!$B:$B,$C352)/Assumptions!$B$4*Assumptions!$B$6</f>
        <v>0</v>
      </c>
      <c r="G352" s="7" t="n">
        <f aca="false">SUMIFS(Doors!S:S,Doors!$A:$A,$D352,Doors!$B:$B,$B352,Doors!$C:$C,$C352)*SUMIFS(Velocity!$I:$I,Velocity!$A:$A,$A352,Velocity!$B:$B,$C352)/Assumptions!$B$4*Assumptions!$B$6</f>
        <v>0</v>
      </c>
      <c r="H352" s="7" t="n">
        <f aca="false">SUMIFS(Doors!T:T,Doors!$A:$A,$D352,Doors!$B:$B,$B352,Doors!$C:$C,$C352)*SUMIFS(Velocity!$I:$I,Velocity!$A:$A,$A352,Velocity!$B:$B,$C352)/Assumptions!$B$4*Assumptions!$B$6</f>
        <v>0</v>
      </c>
      <c r="I352" s="7" t="n">
        <f aca="false">SUMIFS(Doors!U:U,Doors!$A:$A,$D352,Doors!$B:$B,$B352,Doors!$C:$C,$C352)*SUMIFS(Velocity!$I:$I,Velocity!$A:$A,$A352,Velocity!$B:$B,$C352)/Assumptions!$B$4*Assumptions!$B$6</f>
        <v>0</v>
      </c>
      <c r="J352" s="7" t="n">
        <f aca="false">SUMIFS(Doors!V:V,Doors!$A:$A,$D352,Doors!$B:$B,$B352,Doors!$C:$C,$C352)*SUMIFS(Velocity!$I:$I,Velocity!$A:$A,$A352,Velocity!$B:$B,$C352)/Assumptions!$B$4*Assumptions!$B$6</f>
        <v>0</v>
      </c>
      <c r="K352" s="7" t="n">
        <f aca="false">SUMIFS(Doors!W:W,Doors!$A:$A,$D352,Doors!$B:$B,$B352,Doors!$C:$C,$C352)*SUMIFS(Velocity!$I:$I,Velocity!$A:$A,$A352,Velocity!$B:$B,$C352)/Assumptions!$B$4*Assumptions!$B$6</f>
        <v>0</v>
      </c>
      <c r="L352" s="7" t="n">
        <f aca="false">SUMIFS(Doors!X:X,Doors!$A:$A,$D352,Doors!$B:$B,$B352,Doors!$C:$C,$C352)*SUMIFS(Velocity!$I:$I,Velocity!$A:$A,$A352,Velocity!$B:$B,$C352)/Assumptions!$B$4*Assumptions!$B$6</f>
        <v>0</v>
      </c>
      <c r="M352" s="7" t="n">
        <f aca="false">SUMIFS(Doors!Y:Y,Doors!$A:$A,$D352,Doors!$B:$B,$B352,Doors!$C:$C,$C352)*SUMIFS(Velocity!$I:$I,Velocity!$A:$A,$A352,Velocity!$B:$B,$C352)/Assumptions!$B$4*Assumptions!$B$6</f>
        <v>0</v>
      </c>
      <c r="N352" s="7" t="n">
        <f aca="false">SUMIFS(Doors!Z:Z,Doors!$A:$A,$D352,Doors!$B:$B,$B352,Doors!$C:$C,$C352)*SUMIFS(Velocity!$I:$I,Velocity!$A:$A,$A352,Velocity!$B:$B,$C352)/Assumptions!$B$4*Assumptions!$B$6</f>
        <v>0</v>
      </c>
      <c r="O352" s="7" t="n">
        <f aca="false">SUMIFS(Doors!AA:AA,Doors!$A:$A,$D352,Doors!$B:$B,$B352,Doors!$C:$C,$C352)*SUMIFS(Velocity!$I:$I,Velocity!$A:$A,$A352,Velocity!$B:$B,$C352)/Assumptions!$B$4*Assumptions!$B$6</f>
        <v>0</v>
      </c>
      <c r="P352" s="7" t="n">
        <f aca="false">SUMIFS(Doors!AB:AB,Doors!$A:$A,$D352,Doors!$B:$B,$B352,Doors!$C:$C,$C352)*SUMIFS(Velocity!$I:$I,Velocity!$A:$A,$A352,Velocity!$B:$B,$C352)/Assumptions!$B$4*Assumptions!$B$6</f>
        <v>0</v>
      </c>
      <c r="Q352" s="7" t="n">
        <f aca="false">SUMIFS(Doors!AC:AC,Doors!$A:$A,$D352,Doors!$B:$B,$B352,Doors!$C:$C,$C352)*SUMIFS(Velocity!$I:$I,Velocity!$A:$A,$A352,Velocity!$B:$B,$C352)/Assumptions!$B$4*Assumptions!$B$6</f>
        <v>0</v>
      </c>
      <c r="R352" s="7" t="n">
        <f aca="false">SUMIFS(Doors!AD:AD,Doors!$A:$A,$D352,Doors!$B:$B,$B352,Doors!$C:$C,$C352)*SUMIFS(Velocity!$I:$I,Velocity!$A:$A,$A352,Velocity!$B:$B,$C352)/Assumptions!$B$4*Assumptions!$B$6</f>
        <v>0</v>
      </c>
      <c r="S352" s="7" t="n">
        <f aca="false">SUMIFS(Doors!AE:AE,Doors!$A:$A,$D352,Doors!$B:$B,$B352,Doors!$C:$C,$C352)*SUMIFS(Velocity!$I:$I,Velocity!$A:$A,$A352,Velocity!$B:$B,$C352)/Assumptions!$B$4*Assumptions!$B$6</f>
        <v>0</v>
      </c>
      <c r="T352" s="7" t="n">
        <f aca="false">SUMIFS(Doors!AF:AF,Doors!$A:$A,$D352,Doors!$B:$B,$B352,Doors!$C:$C,$C352)*SUMIFS(Velocity!$I:$I,Velocity!$A:$A,$A352,Velocity!$B:$B,$C352)/Assumptions!$B$4*Assumptions!$B$6</f>
        <v>0</v>
      </c>
      <c r="U352" s="7" t="n">
        <f aca="false">SUMIFS(Doors!AG:AG,Doors!$A:$A,$D352,Doors!$B:$B,$B352,Doors!$C:$C,$C352)*SUMIFS(Velocity!$I:$I,Velocity!$A:$A,$A352,Velocity!$B:$B,$C352)/Assumptions!$B$4*Assumptions!$B$6</f>
        <v>0</v>
      </c>
      <c r="V352" s="7" t="n">
        <f aca="false">SUMIFS(Doors!AH:AH,Doors!$A:$A,$D352,Doors!$B:$B,$B352,Doors!$C:$C,$C352)*SUMIFS(Velocity!$I:$I,Velocity!$A:$A,$A352,Velocity!$B:$B,$C352)/Assumptions!$B$4*Assumptions!$B$6</f>
        <v>0</v>
      </c>
      <c r="W352" s="7" t="n">
        <f aca="false">SUMIFS(Doors!AI:AI,Doors!$A:$A,$D352,Doors!$B:$B,$B352,Doors!$C:$C,$C352)*SUMIFS(Velocity!$I:$I,Velocity!$A:$A,$A352,Velocity!$B:$B,$C352)/Assumptions!$B$4*Assumptions!$B$6</f>
        <v>0</v>
      </c>
      <c r="X352" s="7" t="n">
        <f aca="false">SUMIFS(Doors!AJ:AJ,Doors!$A:$A,$D352,Doors!$B:$B,$B352,Doors!$C:$C,$C352)*SUMIFS(Velocity!$I:$I,Velocity!$A:$A,$A352,Velocity!$B:$B,$C352)/Assumptions!$B$4*Assumptions!$B$6</f>
        <v>0</v>
      </c>
      <c r="Y352" s="7" t="n">
        <f aca="false">SUMIFS(Doors!AK:AK,Doors!$A:$A,$D352,Doors!$B:$B,$B352,Doors!$C:$C,$C352)*SUMIFS(Velocity!$I:$I,Velocity!$A:$A,$A352,Velocity!$B:$B,$C352)/Assumptions!$B$4*Assumptions!$B$6</f>
        <v>0</v>
      </c>
      <c r="Z352" s="7" t="n">
        <f aca="false">SUMIFS(Doors!AL:AL,Doors!$A:$A,$D352,Doors!$B:$B,$B352,Doors!$C:$C,$C352)*SUMIFS(Velocity!$I:$I,Velocity!$A:$A,$A352,Velocity!$B:$B,$C352)/Assumptions!$B$4*Assumptions!$B$6</f>
        <v>0</v>
      </c>
      <c r="AA352" s="7" t="n">
        <f aca="false">SUMIFS(Doors!AM:AM,Doors!$A:$A,$D352,Doors!$B:$B,$B352,Doors!$C:$C,$C352)*SUMIFS(Velocity!$I:$I,Velocity!$A:$A,$A352,Velocity!$B:$B,$C352)/Assumptions!$B$4*Assumptions!$B$6</f>
        <v>0</v>
      </c>
      <c r="AB352" s="7" t="n">
        <f aca="false">SUMIFS(Doors!AN:AN,Doors!$A:$A,$D352,Doors!$B:$B,$B352,Doors!$C:$C,$C352)*SUMIFS(Velocity!$I:$I,Velocity!$A:$A,$A352,Velocity!$B:$B,$C352)/Assumptions!$B$4*Assumptions!$B$6</f>
        <v>0</v>
      </c>
      <c r="AC352" s="7" t="n">
        <f aca="false">SUMIFS(Doors!AO:AO,Doors!$A:$A,$D352,Doors!$B:$B,$B352,Doors!$C:$C,$C352)*SUMIFS(Velocity!$I:$I,Velocity!$A:$A,$A352,Velocity!$B:$B,$C352)/Assumptions!$B$4*Assumptions!$B$6</f>
        <v>0</v>
      </c>
      <c r="AD352" s="7" t="n">
        <f aca="false">SUMIFS(Doors!AP:AP,Doors!$A:$A,$D352,Doors!$B:$B,$B352,Doors!$C:$C,$C352)*SUMIFS(Velocity!$I:$I,Velocity!$A:$A,$A352,Velocity!$B:$B,$C352)/Assumptions!$B$4*Assumptions!$B$6</f>
        <v>0</v>
      </c>
      <c r="AE352" s="7" t="n">
        <f aca="false">SUMIFS(Doors!AQ:AQ,Doors!$A:$A,$D352,Doors!$B:$B,$B352,Doors!$C:$C,$C352)*SUMIFS(Velocity!$I:$I,Velocity!$A:$A,$A352,Velocity!$B:$B,$C352)/Assumptions!$B$4*Assumptions!$B$6</f>
        <v>0</v>
      </c>
      <c r="AF352" s="7" t="n">
        <f aca="false">SUMIFS(Doors!AR:AR,Doors!$A:$A,$D352,Doors!$B:$B,$B352,Doors!$C:$C,$C352)*SUMIFS(Velocity!$I:$I,Velocity!$A:$A,$A352,Velocity!$B:$B,$C352)/Assumptions!$B$4*Assumptions!$B$6</f>
        <v>0</v>
      </c>
      <c r="AG352" s="7" t="n">
        <f aca="false">SUMIFS(Doors!AS:AS,Doors!$A:$A,$D352,Doors!$B:$B,$B352,Doors!$C:$C,$C352)*SUMIFS(Velocity!$I:$I,Velocity!$A:$A,$A352,Velocity!$B:$B,$C352)/Assumptions!$B$4*Assumptions!$B$6</f>
        <v>0</v>
      </c>
      <c r="AH352" s="7" t="n">
        <f aca="false">SUMIFS(Doors!AT:AT,Doors!$A:$A,$D352,Doors!$B:$B,$B352,Doors!$C:$C,$C352)*SUMIFS(Velocity!$I:$I,Velocity!$A:$A,$A352,Velocity!$B:$B,$C352)/Assumptions!$B$4*Assumptions!$B$6</f>
        <v>0</v>
      </c>
      <c r="AI352" s="7" t="n">
        <f aca="false">SUMIFS(Doors!AU:AU,Doors!$A:$A,$D352,Doors!$B:$B,$B352,Doors!$C:$C,$C352)*SUMIFS(Velocity!$I:$I,Velocity!$A:$A,$A352,Velocity!$B:$B,$C352)/Assumptions!$B$4*Assumptions!$B$6</f>
        <v>0</v>
      </c>
      <c r="AJ352" s="7" t="n">
        <f aca="false">SUMIFS(Doors!AV:AV,Doors!$A:$A,$D352,Doors!$B:$B,$B352,Doors!$C:$C,$C352)*SUMIFS(Velocity!$I:$I,Velocity!$A:$A,$A352,Velocity!$B:$B,$C352)/Assumptions!$B$4*Assumptions!$B$6</f>
        <v>0</v>
      </c>
      <c r="AK352" s="7" t="n">
        <f aca="false">SUMIFS(Doors!AW:AW,Doors!$A:$A,$D352,Doors!$B:$B,$B352,Doors!$C:$C,$C352)*SUMIFS(Velocity!$I:$I,Velocity!$A:$A,$A352,Velocity!$B:$B,$C352)/Assumptions!$B$4*Assumptions!$B$6</f>
        <v>0</v>
      </c>
      <c r="AL352" s="7" t="n">
        <f aca="false">SUMIFS(Doors!AX:AX,Doors!$A:$A,$D352,Doors!$B:$B,$B352,Doors!$C:$C,$C352)*SUMIFS(Velocity!$I:$I,Velocity!$A:$A,$A352,Velocity!$B:$B,$C352)/Assumptions!$B$4*Assumptions!$B$6</f>
        <v>0</v>
      </c>
      <c r="AM352" s="7" t="n">
        <f aca="false">SUMIFS(Doors!AY:AY,Doors!$A:$A,$D352,Doors!$B:$B,$B352,Doors!$C:$C,$C352)*SUMIFS(Velocity!$I:$I,Velocity!$A:$A,$A352,Velocity!$B:$B,$C352)/Assumptions!$B$4*Assumptions!$B$6</f>
        <v>0</v>
      </c>
      <c r="AN352" s="7" t="n">
        <f aca="false">SUMIFS(Doors!AZ:AZ,Doors!$A:$A,$D352,Doors!$B:$B,$B352,Doors!$C:$C,$C352)*SUMIFS(Velocity!$I:$I,Velocity!$A:$A,$A352,Velocity!$B:$B,$C352)/Assumptions!$B$4*Assumptions!$B$6</f>
        <v>0</v>
      </c>
      <c r="AO352" s="7" t="n">
        <f aca="false">SUMIFS(Doors!BA:BA,Doors!$A:$A,$D352,Doors!$B:$B,$B352,Doors!$C:$C,$C352)*SUMIFS(Velocity!$I:$I,Velocity!$A:$A,$A352,Velocity!$B:$B,$C352)/Assumptions!$B$4*Assumptions!$B$6</f>
        <v>0</v>
      </c>
      <c r="AP352" s="7" t="n">
        <f aca="false">SUMIFS(Doors!BB:BB,Doors!$A:$A,$D352,Doors!$B:$B,$B352,Doors!$C:$C,$C352)*SUMIFS(Velocity!$I:$I,Velocity!$A:$A,$A352,Velocity!$B:$B,$C352)/Assumptions!$B$4*Assumptions!$B$6</f>
        <v>0</v>
      </c>
      <c r="AQ352" s="7" t="n">
        <f aca="false">SUMIFS(Doors!BC:BC,Doors!$A:$A,$D352,Doors!$B:$B,$B352,Doors!$C:$C,$C352)*SUMIFS(Velocity!$I:$I,Velocity!$A:$A,$A352,Velocity!$B:$B,$C352)/Assumptions!$B$4*Assumptions!$B$6</f>
        <v>0</v>
      </c>
      <c r="AR352" s="7" t="n">
        <f aca="false">SUMIFS(Doors!BD:BD,Doors!$A:$A,$D352,Doors!$B:$B,$B352,Doors!$C:$C,$C352)*SUMIFS(Velocity!$I:$I,Velocity!$A:$A,$A352,Velocity!$B:$B,$C352)/Assumptions!$B$4*Assumptions!$B$6</f>
        <v>0</v>
      </c>
      <c r="AS352" s="7" t="n">
        <f aca="false">SUMIFS(Doors!BE:BE,Doors!$A:$A,$D352,Doors!$B:$B,$B352,Doors!$C:$C,$C352)*SUMIFS(Velocity!$I:$I,Velocity!$A:$A,$A352,Velocity!$B:$B,$C352)/Assumptions!$B$4*Assumptions!$B$6</f>
        <v>0</v>
      </c>
      <c r="AT352" s="7" t="n">
        <f aca="false">SUMIFS(Doors!BF:BF,Doors!$A:$A,$D352,Doors!$B:$B,$B352,Doors!$C:$C,$C352)*SUMIFS(Velocity!$I:$I,Velocity!$A:$A,$A352,Velocity!$B:$B,$C352)/Assumptions!$B$4*Assumptions!$B$6</f>
        <v>0</v>
      </c>
      <c r="AU352" s="7" t="n">
        <f aca="false">SUMIFS(Doors!BG:BG,Doors!$A:$A,$D352,Doors!$B:$B,$B352,Doors!$C:$C,$C352)*SUMIFS(Velocity!$I:$I,Velocity!$A:$A,$A352,Velocity!$B:$B,$C352)/Assumptions!$B$4*Assumptions!$B$6</f>
        <v>0</v>
      </c>
      <c r="AV352" s="7" t="n">
        <f aca="false">SUMIFS(Doors!BH:BH,Doors!$A:$A,$D352,Doors!$B:$B,$B352,Doors!$C:$C,$C352)*SUMIFS(Velocity!$I:$I,Velocity!$A:$A,$A352,Velocity!$B:$B,$C352)/Assumptions!$B$4*Assumptions!$B$6</f>
        <v>0</v>
      </c>
      <c r="AW352" s="7" t="n">
        <f aca="false">SUMIFS(Doors!BI:BI,Doors!$A:$A,$D352,Doors!$B:$B,$B352,Doors!$C:$C,$C352)*SUMIFS(Velocity!$I:$I,Velocity!$A:$A,$A352,Velocity!$B:$B,$C352)/Assumptions!$B$4*Assumptions!$B$6</f>
        <v>0</v>
      </c>
      <c r="AX352" s="7" t="n">
        <f aca="false">SUMIFS(Doors!BJ:BJ,Doors!$A:$A,$D352,Doors!$B:$B,$B352,Doors!$C:$C,$C352)*SUMIFS(Velocity!$I:$I,Velocity!$A:$A,$A352,Velocity!$B:$B,$C352)/Assumptions!$B$4*Assumptions!$B$6</f>
        <v>0</v>
      </c>
      <c r="AY352" s="7" t="n">
        <f aca="false">SUMIFS(Doors!BK:BK,Doors!$A:$A,$D352,Doors!$B:$B,$B352,Doors!$C:$C,$C352)*SUMIFS(Velocity!$I:$I,Velocity!$A:$A,$A352,Velocity!$B:$B,$C352)/Assumptions!$B$4*Assumptions!$B$6</f>
        <v>0</v>
      </c>
      <c r="AZ352" s="7" t="n">
        <f aca="false">SUMIFS(Doors!BL:BL,Doors!$A:$A,$D352,Doors!$B:$B,$B352,Doors!$C:$C,$C352)*SUMIFS(Velocity!$I:$I,Velocity!$A:$A,$A352,Velocity!$B:$B,$C352)/Assumptions!$B$4*Assumptions!$B$6</f>
        <v>0</v>
      </c>
      <c r="BA352" s="7" t="n">
        <f aca="false">SUMIFS(Doors!BM:BM,Doors!$A:$A,$D352,Doors!$B:$B,$B352,Doors!$C:$C,$C352)*SUMIFS(Velocity!$I:$I,Velocity!$A:$A,$A352,Velocity!$B:$B,$C352)/Assumptions!$B$4*Assumptions!$B$6</f>
        <v>0</v>
      </c>
      <c r="BB352" s="7" t="n">
        <f aca="false">SUMIFS(Doors!BN:BN,Doors!$A:$A,$D352,Doors!$B:$B,$B352,Doors!$C:$C,$C352)*SUMIFS(Velocity!$I:$I,Velocity!$A:$A,$A352,Velocity!$B:$B,$C352)/Assumptions!$B$4*Assumptions!$B$6</f>
        <v>0</v>
      </c>
      <c r="BC352" s="7" t="n">
        <f aca="false">SUMIFS(Doors!BO:BO,Doors!$A:$A,$D352,Doors!$B:$B,$B352,Doors!$C:$C,$C352)*SUMIFS(Velocity!$I:$I,Velocity!$A:$A,$A352,Velocity!$B:$B,$C352)/Assumptions!$B$4*Assumptions!$B$6</f>
        <v>0</v>
      </c>
      <c r="BD352" s="7" t="n">
        <f aca="false">SUMIFS(Doors!BP:BP,Doors!$A:$A,$D352,Doors!$B:$B,$B352,Doors!$C:$C,$C352)*SUMIFS(Velocity!$I:$I,Velocity!$A:$A,$A352,Velocity!$B:$B,$C352)/Assumptions!$B$4*Assumptions!$B$6</f>
        <v>0</v>
      </c>
    </row>
    <row r="353" customFormat="false" ht="15" hidden="false" customHeight="false" outlineLevel="0" collapsed="false">
      <c r="A353" s="0" t="s">
        <v>111</v>
      </c>
      <c r="B353" s="0" t="s">
        <v>134</v>
      </c>
      <c r="C353" s="0" t="s">
        <v>120</v>
      </c>
      <c r="D353" s="0" t="s">
        <v>236</v>
      </c>
      <c r="E353" s="7" t="n">
        <f aca="false">SUMIFS(Doors!Q:Q,Doors!$A:$A,$D353,Doors!$B:$B,$B353,Doors!$C:$C,$C353)*SUMIFS(Velocity!$I:$I,Velocity!$A:$A,$A353,Velocity!$B:$B,$C353)/Assumptions!$B$4*Assumptions!$B$6</f>
        <v>0</v>
      </c>
      <c r="F353" s="7" t="n">
        <f aca="false">SUMIFS(Doors!R:R,Doors!$A:$A,$D353,Doors!$B:$B,$B353,Doors!$C:$C,$C353)*SUMIFS(Velocity!$I:$I,Velocity!$A:$A,$A353,Velocity!$B:$B,$C353)/Assumptions!$B$4*Assumptions!$B$6</f>
        <v>0</v>
      </c>
      <c r="G353" s="7" t="n">
        <f aca="false">SUMIFS(Doors!S:S,Doors!$A:$A,$D353,Doors!$B:$B,$B353,Doors!$C:$C,$C353)*SUMIFS(Velocity!$I:$I,Velocity!$A:$A,$A353,Velocity!$B:$B,$C353)/Assumptions!$B$4*Assumptions!$B$6</f>
        <v>0</v>
      </c>
      <c r="H353" s="7" t="n">
        <f aca="false">SUMIFS(Doors!T:T,Doors!$A:$A,$D353,Doors!$B:$B,$B353,Doors!$C:$C,$C353)*SUMIFS(Velocity!$I:$I,Velocity!$A:$A,$A353,Velocity!$B:$B,$C353)/Assumptions!$B$4*Assumptions!$B$6</f>
        <v>0</v>
      </c>
      <c r="I353" s="7" t="n">
        <f aca="false">SUMIFS(Doors!U:U,Doors!$A:$A,$D353,Doors!$B:$B,$B353,Doors!$C:$C,$C353)*SUMIFS(Velocity!$I:$I,Velocity!$A:$A,$A353,Velocity!$B:$B,$C353)/Assumptions!$B$4*Assumptions!$B$6</f>
        <v>0</v>
      </c>
      <c r="J353" s="7" t="n">
        <f aca="false">SUMIFS(Doors!V:V,Doors!$A:$A,$D353,Doors!$B:$B,$B353,Doors!$C:$C,$C353)*SUMIFS(Velocity!$I:$I,Velocity!$A:$A,$A353,Velocity!$B:$B,$C353)/Assumptions!$B$4*Assumptions!$B$6</f>
        <v>0</v>
      </c>
      <c r="K353" s="7" t="n">
        <f aca="false">SUMIFS(Doors!W:W,Doors!$A:$A,$D353,Doors!$B:$B,$B353,Doors!$C:$C,$C353)*SUMIFS(Velocity!$I:$I,Velocity!$A:$A,$A353,Velocity!$B:$B,$C353)/Assumptions!$B$4*Assumptions!$B$6</f>
        <v>0</v>
      </c>
      <c r="L353" s="7" t="n">
        <f aca="false">SUMIFS(Doors!X:X,Doors!$A:$A,$D353,Doors!$B:$B,$B353,Doors!$C:$C,$C353)*SUMIFS(Velocity!$I:$I,Velocity!$A:$A,$A353,Velocity!$B:$B,$C353)/Assumptions!$B$4*Assumptions!$B$6</f>
        <v>0</v>
      </c>
      <c r="M353" s="7" t="n">
        <f aca="false">SUMIFS(Doors!Y:Y,Doors!$A:$A,$D353,Doors!$B:$B,$B353,Doors!$C:$C,$C353)*SUMIFS(Velocity!$I:$I,Velocity!$A:$A,$A353,Velocity!$B:$B,$C353)/Assumptions!$B$4*Assumptions!$B$6</f>
        <v>0</v>
      </c>
      <c r="N353" s="7" t="n">
        <f aca="false">SUMIFS(Doors!Z:Z,Doors!$A:$A,$D353,Doors!$B:$B,$B353,Doors!$C:$C,$C353)*SUMIFS(Velocity!$I:$I,Velocity!$A:$A,$A353,Velocity!$B:$B,$C353)/Assumptions!$B$4*Assumptions!$B$6</f>
        <v>0</v>
      </c>
      <c r="O353" s="7" t="n">
        <f aca="false">SUMIFS(Doors!AA:AA,Doors!$A:$A,$D353,Doors!$B:$B,$B353,Doors!$C:$C,$C353)*SUMIFS(Velocity!$I:$I,Velocity!$A:$A,$A353,Velocity!$B:$B,$C353)/Assumptions!$B$4*Assumptions!$B$6</f>
        <v>0</v>
      </c>
      <c r="P353" s="7" t="n">
        <f aca="false">SUMIFS(Doors!AB:AB,Doors!$A:$A,$D353,Doors!$B:$B,$B353,Doors!$C:$C,$C353)*SUMIFS(Velocity!$I:$I,Velocity!$A:$A,$A353,Velocity!$B:$B,$C353)/Assumptions!$B$4*Assumptions!$B$6</f>
        <v>0</v>
      </c>
      <c r="Q353" s="7" t="n">
        <f aca="false">SUMIFS(Doors!AC:AC,Doors!$A:$A,$D353,Doors!$B:$B,$B353,Doors!$C:$C,$C353)*SUMIFS(Velocity!$I:$I,Velocity!$A:$A,$A353,Velocity!$B:$B,$C353)/Assumptions!$B$4*Assumptions!$B$6</f>
        <v>0</v>
      </c>
      <c r="R353" s="7" t="n">
        <f aca="false">SUMIFS(Doors!AD:AD,Doors!$A:$A,$D353,Doors!$B:$B,$B353,Doors!$C:$C,$C353)*SUMIFS(Velocity!$I:$I,Velocity!$A:$A,$A353,Velocity!$B:$B,$C353)/Assumptions!$B$4*Assumptions!$B$6</f>
        <v>0</v>
      </c>
      <c r="S353" s="7" t="n">
        <f aca="false">SUMIFS(Doors!AE:AE,Doors!$A:$A,$D353,Doors!$B:$B,$B353,Doors!$C:$C,$C353)*SUMIFS(Velocity!$I:$I,Velocity!$A:$A,$A353,Velocity!$B:$B,$C353)/Assumptions!$B$4*Assumptions!$B$6</f>
        <v>0</v>
      </c>
      <c r="T353" s="7" t="n">
        <f aca="false">SUMIFS(Doors!AF:AF,Doors!$A:$A,$D353,Doors!$B:$B,$B353,Doors!$C:$C,$C353)*SUMIFS(Velocity!$I:$I,Velocity!$A:$A,$A353,Velocity!$B:$B,$C353)/Assumptions!$B$4*Assumptions!$B$6</f>
        <v>0</v>
      </c>
      <c r="U353" s="7" t="n">
        <f aca="false">SUMIFS(Doors!AG:AG,Doors!$A:$A,$D353,Doors!$B:$B,$B353,Doors!$C:$C,$C353)*SUMIFS(Velocity!$I:$I,Velocity!$A:$A,$A353,Velocity!$B:$B,$C353)/Assumptions!$B$4*Assumptions!$B$6</f>
        <v>0</v>
      </c>
      <c r="V353" s="7" t="n">
        <f aca="false">SUMIFS(Doors!AH:AH,Doors!$A:$A,$D353,Doors!$B:$B,$B353,Doors!$C:$C,$C353)*SUMIFS(Velocity!$I:$I,Velocity!$A:$A,$A353,Velocity!$B:$B,$C353)/Assumptions!$B$4*Assumptions!$B$6</f>
        <v>0</v>
      </c>
      <c r="W353" s="7" t="n">
        <f aca="false">SUMIFS(Doors!AI:AI,Doors!$A:$A,$D353,Doors!$B:$B,$B353,Doors!$C:$C,$C353)*SUMIFS(Velocity!$I:$I,Velocity!$A:$A,$A353,Velocity!$B:$B,$C353)/Assumptions!$B$4*Assumptions!$B$6</f>
        <v>0</v>
      </c>
      <c r="X353" s="7" t="n">
        <f aca="false">SUMIFS(Doors!AJ:AJ,Doors!$A:$A,$D353,Doors!$B:$B,$B353,Doors!$C:$C,$C353)*SUMIFS(Velocity!$I:$I,Velocity!$A:$A,$A353,Velocity!$B:$B,$C353)/Assumptions!$B$4*Assumptions!$B$6</f>
        <v>0</v>
      </c>
      <c r="Y353" s="7" t="n">
        <f aca="false">SUMIFS(Doors!AK:AK,Doors!$A:$A,$D353,Doors!$B:$B,$B353,Doors!$C:$C,$C353)*SUMIFS(Velocity!$I:$I,Velocity!$A:$A,$A353,Velocity!$B:$B,$C353)/Assumptions!$B$4*Assumptions!$B$6</f>
        <v>0</v>
      </c>
      <c r="Z353" s="7" t="n">
        <f aca="false">SUMIFS(Doors!AL:AL,Doors!$A:$A,$D353,Doors!$B:$B,$B353,Doors!$C:$C,$C353)*SUMIFS(Velocity!$I:$I,Velocity!$A:$A,$A353,Velocity!$B:$B,$C353)/Assumptions!$B$4*Assumptions!$B$6</f>
        <v>0</v>
      </c>
      <c r="AA353" s="7" t="n">
        <f aca="false">SUMIFS(Doors!AM:AM,Doors!$A:$A,$D353,Doors!$B:$B,$B353,Doors!$C:$C,$C353)*SUMIFS(Velocity!$I:$I,Velocity!$A:$A,$A353,Velocity!$B:$B,$C353)/Assumptions!$B$4*Assumptions!$B$6</f>
        <v>0</v>
      </c>
      <c r="AB353" s="7" t="n">
        <f aca="false">SUMIFS(Doors!AN:AN,Doors!$A:$A,$D353,Doors!$B:$B,$B353,Doors!$C:$C,$C353)*SUMIFS(Velocity!$I:$I,Velocity!$A:$A,$A353,Velocity!$B:$B,$C353)/Assumptions!$B$4*Assumptions!$B$6</f>
        <v>0</v>
      </c>
      <c r="AC353" s="7" t="n">
        <f aca="false">SUMIFS(Doors!AO:AO,Doors!$A:$A,$D353,Doors!$B:$B,$B353,Doors!$C:$C,$C353)*SUMIFS(Velocity!$I:$I,Velocity!$A:$A,$A353,Velocity!$B:$B,$C353)/Assumptions!$B$4*Assumptions!$B$6</f>
        <v>0</v>
      </c>
      <c r="AD353" s="7" t="n">
        <f aca="false">SUMIFS(Doors!AP:AP,Doors!$A:$A,$D353,Doors!$B:$B,$B353,Doors!$C:$C,$C353)*SUMIFS(Velocity!$I:$I,Velocity!$A:$A,$A353,Velocity!$B:$B,$C353)/Assumptions!$B$4*Assumptions!$B$6</f>
        <v>0</v>
      </c>
      <c r="AE353" s="7" t="n">
        <f aca="false">SUMIFS(Doors!AQ:AQ,Doors!$A:$A,$D353,Doors!$B:$B,$B353,Doors!$C:$C,$C353)*SUMIFS(Velocity!$I:$I,Velocity!$A:$A,$A353,Velocity!$B:$B,$C353)/Assumptions!$B$4*Assumptions!$B$6</f>
        <v>0</v>
      </c>
      <c r="AF353" s="7" t="n">
        <f aca="false">SUMIFS(Doors!AR:AR,Doors!$A:$A,$D353,Doors!$B:$B,$B353,Doors!$C:$C,$C353)*SUMIFS(Velocity!$I:$I,Velocity!$A:$A,$A353,Velocity!$B:$B,$C353)/Assumptions!$B$4*Assumptions!$B$6</f>
        <v>0</v>
      </c>
      <c r="AG353" s="7" t="n">
        <f aca="false">SUMIFS(Doors!AS:AS,Doors!$A:$A,$D353,Doors!$B:$B,$B353,Doors!$C:$C,$C353)*SUMIFS(Velocity!$I:$I,Velocity!$A:$A,$A353,Velocity!$B:$B,$C353)/Assumptions!$B$4*Assumptions!$B$6</f>
        <v>0</v>
      </c>
      <c r="AH353" s="7" t="n">
        <f aca="false">SUMIFS(Doors!AT:AT,Doors!$A:$A,$D353,Doors!$B:$B,$B353,Doors!$C:$C,$C353)*SUMIFS(Velocity!$I:$I,Velocity!$A:$A,$A353,Velocity!$B:$B,$C353)/Assumptions!$B$4*Assumptions!$B$6</f>
        <v>0</v>
      </c>
      <c r="AI353" s="7" t="n">
        <f aca="false">SUMIFS(Doors!AU:AU,Doors!$A:$A,$D353,Doors!$B:$B,$B353,Doors!$C:$C,$C353)*SUMIFS(Velocity!$I:$I,Velocity!$A:$A,$A353,Velocity!$B:$B,$C353)/Assumptions!$B$4*Assumptions!$B$6</f>
        <v>0</v>
      </c>
      <c r="AJ353" s="7" t="n">
        <f aca="false">SUMIFS(Doors!AV:AV,Doors!$A:$A,$D353,Doors!$B:$B,$B353,Doors!$C:$C,$C353)*SUMIFS(Velocity!$I:$I,Velocity!$A:$A,$A353,Velocity!$B:$B,$C353)/Assumptions!$B$4*Assumptions!$B$6</f>
        <v>0</v>
      </c>
      <c r="AK353" s="7" t="n">
        <f aca="false">SUMIFS(Doors!AW:AW,Doors!$A:$A,$D353,Doors!$B:$B,$B353,Doors!$C:$C,$C353)*SUMIFS(Velocity!$I:$I,Velocity!$A:$A,$A353,Velocity!$B:$B,$C353)/Assumptions!$B$4*Assumptions!$B$6</f>
        <v>0</v>
      </c>
      <c r="AL353" s="7" t="n">
        <f aca="false">SUMIFS(Doors!AX:AX,Doors!$A:$A,$D353,Doors!$B:$B,$B353,Doors!$C:$C,$C353)*SUMIFS(Velocity!$I:$I,Velocity!$A:$A,$A353,Velocity!$B:$B,$C353)/Assumptions!$B$4*Assumptions!$B$6</f>
        <v>0</v>
      </c>
      <c r="AM353" s="7" t="n">
        <f aca="false">SUMIFS(Doors!AY:AY,Doors!$A:$A,$D353,Doors!$B:$B,$B353,Doors!$C:$C,$C353)*SUMIFS(Velocity!$I:$I,Velocity!$A:$A,$A353,Velocity!$B:$B,$C353)/Assumptions!$B$4*Assumptions!$B$6</f>
        <v>0</v>
      </c>
      <c r="AN353" s="7" t="n">
        <f aca="false">SUMIFS(Doors!AZ:AZ,Doors!$A:$A,$D353,Doors!$B:$B,$B353,Doors!$C:$C,$C353)*SUMIFS(Velocity!$I:$I,Velocity!$A:$A,$A353,Velocity!$B:$B,$C353)/Assumptions!$B$4*Assumptions!$B$6</f>
        <v>0</v>
      </c>
      <c r="AO353" s="7" t="n">
        <f aca="false">SUMIFS(Doors!BA:BA,Doors!$A:$A,$D353,Doors!$B:$B,$B353,Doors!$C:$C,$C353)*SUMIFS(Velocity!$I:$I,Velocity!$A:$A,$A353,Velocity!$B:$B,$C353)/Assumptions!$B$4*Assumptions!$B$6</f>
        <v>0</v>
      </c>
      <c r="AP353" s="7" t="n">
        <f aca="false">SUMIFS(Doors!BB:BB,Doors!$A:$A,$D353,Doors!$B:$B,$B353,Doors!$C:$C,$C353)*SUMIFS(Velocity!$I:$I,Velocity!$A:$A,$A353,Velocity!$B:$B,$C353)/Assumptions!$B$4*Assumptions!$B$6</f>
        <v>0</v>
      </c>
      <c r="AQ353" s="7" t="n">
        <f aca="false">SUMIFS(Doors!BC:BC,Doors!$A:$A,$D353,Doors!$B:$B,$B353,Doors!$C:$C,$C353)*SUMIFS(Velocity!$I:$I,Velocity!$A:$A,$A353,Velocity!$B:$B,$C353)/Assumptions!$B$4*Assumptions!$B$6</f>
        <v>0</v>
      </c>
      <c r="AR353" s="7" t="n">
        <f aca="false">SUMIFS(Doors!BD:BD,Doors!$A:$A,$D353,Doors!$B:$B,$B353,Doors!$C:$C,$C353)*SUMIFS(Velocity!$I:$I,Velocity!$A:$A,$A353,Velocity!$B:$B,$C353)/Assumptions!$B$4*Assumptions!$B$6</f>
        <v>0</v>
      </c>
      <c r="AS353" s="7" t="n">
        <f aca="false">SUMIFS(Doors!BE:BE,Doors!$A:$A,$D353,Doors!$B:$B,$B353,Doors!$C:$C,$C353)*SUMIFS(Velocity!$I:$I,Velocity!$A:$A,$A353,Velocity!$B:$B,$C353)/Assumptions!$B$4*Assumptions!$B$6</f>
        <v>0</v>
      </c>
      <c r="AT353" s="7" t="n">
        <f aca="false">SUMIFS(Doors!BF:BF,Doors!$A:$A,$D353,Doors!$B:$B,$B353,Doors!$C:$C,$C353)*SUMIFS(Velocity!$I:$I,Velocity!$A:$A,$A353,Velocity!$B:$B,$C353)/Assumptions!$B$4*Assumptions!$B$6</f>
        <v>0</v>
      </c>
      <c r="AU353" s="7" t="n">
        <f aca="false">SUMIFS(Doors!BG:BG,Doors!$A:$A,$D353,Doors!$B:$B,$B353,Doors!$C:$C,$C353)*SUMIFS(Velocity!$I:$I,Velocity!$A:$A,$A353,Velocity!$B:$B,$C353)/Assumptions!$B$4*Assumptions!$B$6</f>
        <v>0</v>
      </c>
      <c r="AV353" s="7" t="n">
        <f aca="false">SUMIFS(Doors!BH:BH,Doors!$A:$A,$D353,Doors!$B:$B,$B353,Doors!$C:$C,$C353)*SUMIFS(Velocity!$I:$I,Velocity!$A:$A,$A353,Velocity!$B:$B,$C353)/Assumptions!$B$4*Assumptions!$B$6</f>
        <v>0</v>
      </c>
      <c r="AW353" s="7" t="n">
        <f aca="false">SUMIFS(Doors!BI:BI,Doors!$A:$A,$D353,Doors!$B:$B,$B353,Doors!$C:$C,$C353)*SUMIFS(Velocity!$I:$I,Velocity!$A:$A,$A353,Velocity!$B:$B,$C353)/Assumptions!$B$4*Assumptions!$B$6</f>
        <v>0</v>
      </c>
      <c r="AX353" s="7" t="n">
        <f aca="false">SUMIFS(Doors!BJ:BJ,Doors!$A:$A,$D353,Doors!$B:$B,$B353,Doors!$C:$C,$C353)*SUMIFS(Velocity!$I:$I,Velocity!$A:$A,$A353,Velocity!$B:$B,$C353)/Assumptions!$B$4*Assumptions!$B$6</f>
        <v>0</v>
      </c>
      <c r="AY353" s="7" t="n">
        <f aca="false">SUMIFS(Doors!BK:BK,Doors!$A:$A,$D353,Doors!$B:$B,$B353,Doors!$C:$C,$C353)*SUMIFS(Velocity!$I:$I,Velocity!$A:$A,$A353,Velocity!$B:$B,$C353)/Assumptions!$B$4*Assumptions!$B$6</f>
        <v>0</v>
      </c>
      <c r="AZ353" s="7" t="n">
        <f aca="false">SUMIFS(Doors!BL:BL,Doors!$A:$A,$D353,Doors!$B:$B,$B353,Doors!$C:$C,$C353)*SUMIFS(Velocity!$I:$I,Velocity!$A:$A,$A353,Velocity!$B:$B,$C353)/Assumptions!$B$4*Assumptions!$B$6</f>
        <v>0</v>
      </c>
      <c r="BA353" s="7" t="n">
        <f aca="false">SUMIFS(Doors!BM:BM,Doors!$A:$A,$D353,Doors!$B:$B,$B353,Doors!$C:$C,$C353)*SUMIFS(Velocity!$I:$I,Velocity!$A:$A,$A353,Velocity!$B:$B,$C353)/Assumptions!$B$4*Assumptions!$B$6</f>
        <v>0</v>
      </c>
      <c r="BB353" s="7" t="n">
        <f aca="false">SUMIFS(Doors!BN:BN,Doors!$A:$A,$D353,Doors!$B:$B,$B353,Doors!$C:$C,$C353)*SUMIFS(Velocity!$I:$I,Velocity!$A:$A,$A353,Velocity!$B:$B,$C353)/Assumptions!$B$4*Assumptions!$B$6</f>
        <v>0</v>
      </c>
      <c r="BC353" s="7" t="n">
        <f aca="false">SUMIFS(Doors!BO:BO,Doors!$A:$A,$D353,Doors!$B:$B,$B353,Doors!$C:$C,$C353)*SUMIFS(Velocity!$I:$I,Velocity!$A:$A,$A353,Velocity!$B:$B,$C353)/Assumptions!$B$4*Assumptions!$B$6</f>
        <v>0</v>
      </c>
      <c r="BD353" s="7" t="n">
        <f aca="false">SUMIFS(Doors!BP:BP,Doors!$A:$A,$D353,Doors!$B:$B,$B353,Doors!$C:$C,$C353)*SUMIFS(Velocity!$I:$I,Velocity!$A:$A,$A353,Velocity!$B:$B,$C353)/Assumptions!$B$4*Assumptions!$B$6</f>
        <v>0</v>
      </c>
    </row>
    <row r="354" customFormat="false" ht="15" hidden="false" customHeight="false" outlineLevel="0" collapsed="false">
      <c r="A354" s="0" t="s">
        <v>111</v>
      </c>
      <c r="B354" s="0" t="s">
        <v>134</v>
      </c>
      <c r="C354" s="0" t="s">
        <v>121</v>
      </c>
      <c r="D354" s="0" t="s">
        <v>236</v>
      </c>
      <c r="E354" s="7" t="n">
        <f aca="false">SUMIFS(Doors!Q:Q,Doors!$A:$A,$D354,Doors!$B:$B,$B354,Doors!$C:$C,$C354)*SUMIFS(Velocity!$I:$I,Velocity!$A:$A,$A354,Velocity!$B:$B,$C354)/Assumptions!$B$4*Assumptions!$B$6</f>
        <v>0</v>
      </c>
      <c r="F354" s="7" t="n">
        <f aca="false">SUMIFS(Doors!R:R,Doors!$A:$A,$D354,Doors!$B:$B,$B354,Doors!$C:$C,$C354)*SUMIFS(Velocity!$I:$I,Velocity!$A:$A,$A354,Velocity!$B:$B,$C354)/Assumptions!$B$4*Assumptions!$B$6</f>
        <v>0</v>
      </c>
      <c r="G354" s="7" t="n">
        <f aca="false">SUMIFS(Doors!S:S,Doors!$A:$A,$D354,Doors!$B:$B,$B354,Doors!$C:$C,$C354)*SUMIFS(Velocity!$I:$I,Velocity!$A:$A,$A354,Velocity!$B:$B,$C354)/Assumptions!$B$4*Assumptions!$B$6</f>
        <v>0</v>
      </c>
      <c r="H354" s="7" t="n">
        <f aca="false">SUMIFS(Doors!T:T,Doors!$A:$A,$D354,Doors!$B:$B,$B354,Doors!$C:$C,$C354)*SUMIFS(Velocity!$I:$I,Velocity!$A:$A,$A354,Velocity!$B:$B,$C354)/Assumptions!$B$4*Assumptions!$B$6</f>
        <v>0</v>
      </c>
      <c r="I354" s="7" t="n">
        <f aca="false">SUMIFS(Doors!U:U,Doors!$A:$A,$D354,Doors!$B:$B,$B354,Doors!$C:$C,$C354)*SUMIFS(Velocity!$I:$I,Velocity!$A:$A,$A354,Velocity!$B:$B,$C354)/Assumptions!$B$4*Assumptions!$B$6</f>
        <v>0</v>
      </c>
      <c r="J354" s="7" t="n">
        <f aca="false">SUMIFS(Doors!V:V,Doors!$A:$A,$D354,Doors!$B:$B,$B354,Doors!$C:$C,$C354)*SUMIFS(Velocity!$I:$I,Velocity!$A:$A,$A354,Velocity!$B:$B,$C354)/Assumptions!$B$4*Assumptions!$B$6</f>
        <v>0</v>
      </c>
      <c r="K354" s="7" t="n">
        <f aca="false">SUMIFS(Doors!W:W,Doors!$A:$A,$D354,Doors!$B:$B,$B354,Doors!$C:$C,$C354)*SUMIFS(Velocity!$I:$I,Velocity!$A:$A,$A354,Velocity!$B:$B,$C354)/Assumptions!$B$4*Assumptions!$B$6</f>
        <v>0</v>
      </c>
      <c r="L354" s="7" t="n">
        <f aca="false">SUMIFS(Doors!X:X,Doors!$A:$A,$D354,Doors!$B:$B,$B354,Doors!$C:$C,$C354)*SUMIFS(Velocity!$I:$I,Velocity!$A:$A,$A354,Velocity!$B:$B,$C354)/Assumptions!$B$4*Assumptions!$B$6</f>
        <v>0</v>
      </c>
      <c r="M354" s="7" t="n">
        <f aca="false">SUMIFS(Doors!Y:Y,Doors!$A:$A,$D354,Doors!$B:$B,$B354,Doors!$C:$C,$C354)*SUMIFS(Velocity!$I:$I,Velocity!$A:$A,$A354,Velocity!$B:$B,$C354)/Assumptions!$B$4*Assumptions!$B$6</f>
        <v>0</v>
      </c>
      <c r="N354" s="7" t="n">
        <f aca="false">SUMIFS(Doors!Z:Z,Doors!$A:$A,$D354,Doors!$B:$B,$B354,Doors!$C:$C,$C354)*SUMIFS(Velocity!$I:$I,Velocity!$A:$A,$A354,Velocity!$B:$B,$C354)/Assumptions!$B$4*Assumptions!$B$6</f>
        <v>0</v>
      </c>
      <c r="O354" s="7" t="n">
        <f aca="false">SUMIFS(Doors!AA:AA,Doors!$A:$A,$D354,Doors!$B:$B,$B354,Doors!$C:$C,$C354)*SUMIFS(Velocity!$I:$I,Velocity!$A:$A,$A354,Velocity!$B:$B,$C354)/Assumptions!$B$4*Assumptions!$B$6</f>
        <v>0</v>
      </c>
      <c r="P354" s="7" t="n">
        <f aca="false">SUMIFS(Doors!AB:AB,Doors!$A:$A,$D354,Doors!$B:$B,$B354,Doors!$C:$C,$C354)*SUMIFS(Velocity!$I:$I,Velocity!$A:$A,$A354,Velocity!$B:$B,$C354)/Assumptions!$B$4*Assumptions!$B$6</f>
        <v>0</v>
      </c>
      <c r="Q354" s="7" t="n">
        <f aca="false">SUMIFS(Doors!AC:AC,Doors!$A:$A,$D354,Doors!$B:$B,$B354,Doors!$C:$C,$C354)*SUMIFS(Velocity!$I:$I,Velocity!$A:$A,$A354,Velocity!$B:$B,$C354)/Assumptions!$B$4*Assumptions!$B$6</f>
        <v>0</v>
      </c>
      <c r="R354" s="7" t="n">
        <f aca="false">SUMIFS(Doors!AD:AD,Doors!$A:$A,$D354,Doors!$B:$B,$B354,Doors!$C:$C,$C354)*SUMIFS(Velocity!$I:$I,Velocity!$A:$A,$A354,Velocity!$B:$B,$C354)/Assumptions!$B$4*Assumptions!$B$6</f>
        <v>0</v>
      </c>
      <c r="S354" s="7" t="n">
        <f aca="false">SUMIFS(Doors!AE:AE,Doors!$A:$A,$D354,Doors!$B:$B,$B354,Doors!$C:$C,$C354)*SUMIFS(Velocity!$I:$I,Velocity!$A:$A,$A354,Velocity!$B:$B,$C354)/Assumptions!$B$4*Assumptions!$B$6</f>
        <v>0</v>
      </c>
      <c r="T354" s="7" t="n">
        <f aca="false">SUMIFS(Doors!AF:AF,Doors!$A:$A,$D354,Doors!$B:$B,$B354,Doors!$C:$C,$C354)*SUMIFS(Velocity!$I:$I,Velocity!$A:$A,$A354,Velocity!$B:$B,$C354)/Assumptions!$B$4*Assumptions!$B$6</f>
        <v>0</v>
      </c>
      <c r="U354" s="7" t="n">
        <f aca="false">SUMIFS(Doors!AG:AG,Doors!$A:$A,$D354,Doors!$B:$B,$B354,Doors!$C:$C,$C354)*SUMIFS(Velocity!$I:$I,Velocity!$A:$A,$A354,Velocity!$B:$B,$C354)/Assumptions!$B$4*Assumptions!$B$6</f>
        <v>0</v>
      </c>
      <c r="V354" s="7" t="n">
        <f aca="false">SUMIFS(Doors!AH:AH,Doors!$A:$A,$D354,Doors!$B:$B,$B354,Doors!$C:$C,$C354)*SUMIFS(Velocity!$I:$I,Velocity!$A:$A,$A354,Velocity!$B:$B,$C354)/Assumptions!$B$4*Assumptions!$B$6</f>
        <v>0</v>
      </c>
      <c r="W354" s="7" t="n">
        <f aca="false">SUMIFS(Doors!AI:AI,Doors!$A:$A,$D354,Doors!$B:$B,$B354,Doors!$C:$C,$C354)*SUMIFS(Velocity!$I:$I,Velocity!$A:$A,$A354,Velocity!$B:$B,$C354)/Assumptions!$B$4*Assumptions!$B$6</f>
        <v>0</v>
      </c>
      <c r="X354" s="7" t="n">
        <f aca="false">SUMIFS(Doors!AJ:AJ,Doors!$A:$A,$D354,Doors!$B:$B,$B354,Doors!$C:$C,$C354)*SUMIFS(Velocity!$I:$I,Velocity!$A:$A,$A354,Velocity!$B:$B,$C354)/Assumptions!$B$4*Assumptions!$B$6</f>
        <v>0</v>
      </c>
      <c r="Y354" s="7" t="n">
        <f aca="false">SUMIFS(Doors!AK:AK,Doors!$A:$A,$D354,Doors!$B:$B,$B354,Doors!$C:$C,$C354)*SUMIFS(Velocity!$I:$I,Velocity!$A:$A,$A354,Velocity!$B:$B,$C354)/Assumptions!$B$4*Assumptions!$B$6</f>
        <v>0</v>
      </c>
      <c r="Z354" s="7" t="n">
        <f aca="false">SUMIFS(Doors!AL:AL,Doors!$A:$A,$D354,Doors!$B:$B,$B354,Doors!$C:$C,$C354)*SUMIFS(Velocity!$I:$I,Velocity!$A:$A,$A354,Velocity!$B:$B,$C354)/Assumptions!$B$4*Assumptions!$B$6</f>
        <v>0</v>
      </c>
      <c r="AA354" s="7" t="n">
        <f aca="false">SUMIFS(Doors!AM:AM,Doors!$A:$A,$D354,Doors!$B:$B,$B354,Doors!$C:$C,$C354)*SUMIFS(Velocity!$I:$I,Velocity!$A:$A,$A354,Velocity!$B:$B,$C354)/Assumptions!$B$4*Assumptions!$B$6</f>
        <v>0</v>
      </c>
      <c r="AB354" s="7" t="n">
        <f aca="false">SUMIFS(Doors!AN:AN,Doors!$A:$A,$D354,Doors!$B:$B,$B354,Doors!$C:$C,$C354)*SUMIFS(Velocity!$I:$I,Velocity!$A:$A,$A354,Velocity!$B:$B,$C354)/Assumptions!$B$4*Assumptions!$B$6</f>
        <v>0</v>
      </c>
      <c r="AC354" s="7" t="n">
        <f aca="false">SUMIFS(Doors!AO:AO,Doors!$A:$A,$D354,Doors!$B:$B,$B354,Doors!$C:$C,$C354)*SUMIFS(Velocity!$I:$I,Velocity!$A:$A,$A354,Velocity!$B:$B,$C354)/Assumptions!$B$4*Assumptions!$B$6</f>
        <v>0</v>
      </c>
      <c r="AD354" s="7" t="n">
        <f aca="false">SUMIFS(Doors!AP:AP,Doors!$A:$A,$D354,Doors!$B:$B,$B354,Doors!$C:$C,$C354)*SUMIFS(Velocity!$I:$I,Velocity!$A:$A,$A354,Velocity!$B:$B,$C354)/Assumptions!$B$4*Assumptions!$B$6</f>
        <v>0</v>
      </c>
      <c r="AE354" s="7" t="n">
        <f aca="false">SUMIFS(Doors!AQ:AQ,Doors!$A:$A,$D354,Doors!$B:$B,$B354,Doors!$C:$C,$C354)*SUMIFS(Velocity!$I:$I,Velocity!$A:$A,$A354,Velocity!$B:$B,$C354)/Assumptions!$B$4*Assumptions!$B$6</f>
        <v>0</v>
      </c>
      <c r="AF354" s="7" t="n">
        <f aca="false">SUMIFS(Doors!AR:AR,Doors!$A:$A,$D354,Doors!$B:$B,$B354,Doors!$C:$C,$C354)*SUMIFS(Velocity!$I:$I,Velocity!$A:$A,$A354,Velocity!$B:$B,$C354)/Assumptions!$B$4*Assumptions!$B$6</f>
        <v>0</v>
      </c>
      <c r="AG354" s="7" t="n">
        <f aca="false">SUMIFS(Doors!AS:AS,Doors!$A:$A,$D354,Doors!$B:$B,$B354,Doors!$C:$C,$C354)*SUMIFS(Velocity!$I:$I,Velocity!$A:$A,$A354,Velocity!$B:$B,$C354)/Assumptions!$B$4*Assumptions!$B$6</f>
        <v>0</v>
      </c>
      <c r="AH354" s="7" t="n">
        <f aca="false">SUMIFS(Doors!AT:AT,Doors!$A:$A,$D354,Doors!$B:$B,$B354,Doors!$C:$C,$C354)*SUMIFS(Velocity!$I:$I,Velocity!$A:$A,$A354,Velocity!$B:$B,$C354)/Assumptions!$B$4*Assumptions!$B$6</f>
        <v>0</v>
      </c>
      <c r="AI354" s="7" t="n">
        <f aca="false">SUMIFS(Doors!AU:AU,Doors!$A:$A,$D354,Doors!$B:$B,$B354,Doors!$C:$C,$C354)*SUMIFS(Velocity!$I:$I,Velocity!$A:$A,$A354,Velocity!$B:$B,$C354)/Assumptions!$B$4*Assumptions!$B$6</f>
        <v>0</v>
      </c>
      <c r="AJ354" s="7" t="n">
        <f aca="false">SUMIFS(Doors!AV:AV,Doors!$A:$A,$D354,Doors!$B:$B,$B354,Doors!$C:$C,$C354)*SUMIFS(Velocity!$I:$I,Velocity!$A:$A,$A354,Velocity!$B:$B,$C354)/Assumptions!$B$4*Assumptions!$B$6</f>
        <v>0</v>
      </c>
      <c r="AK354" s="7" t="n">
        <f aca="false">SUMIFS(Doors!AW:AW,Doors!$A:$A,$D354,Doors!$B:$B,$B354,Doors!$C:$C,$C354)*SUMIFS(Velocity!$I:$I,Velocity!$A:$A,$A354,Velocity!$B:$B,$C354)/Assumptions!$B$4*Assumptions!$B$6</f>
        <v>0</v>
      </c>
      <c r="AL354" s="7" t="n">
        <f aca="false">SUMIFS(Doors!AX:AX,Doors!$A:$A,$D354,Doors!$B:$B,$B354,Doors!$C:$C,$C354)*SUMIFS(Velocity!$I:$I,Velocity!$A:$A,$A354,Velocity!$B:$B,$C354)/Assumptions!$B$4*Assumptions!$B$6</f>
        <v>0</v>
      </c>
      <c r="AM354" s="7" t="n">
        <f aca="false">SUMIFS(Doors!AY:AY,Doors!$A:$A,$D354,Doors!$B:$B,$B354,Doors!$C:$C,$C354)*SUMIFS(Velocity!$I:$I,Velocity!$A:$A,$A354,Velocity!$B:$B,$C354)/Assumptions!$B$4*Assumptions!$B$6</f>
        <v>0</v>
      </c>
      <c r="AN354" s="7" t="n">
        <f aca="false">SUMIFS(Doors!AZ:AZ,Doors!$A:$A,$D354,Doors!$B:$B,$B354,Doors!$C:$C,$C354)*SUMIFS(Velocity!$I:$I,Velocity!$A:$A,$A354,Velocity!$B:$B,$C354)/Assumptions!$B$4*Assumptions!$B$6</f>
        <v>0</v>
      </c>
      <c r="AO354" s="7" t="n">
        <f aca="false">SUMIFS(Doors!BA:BA,Doors!$A:$A,$D354,Doors!$B:$B,$B354,Doors!$C:$C,$C354)*SUMIFS(Velocity!$I:$I,Velocity!$A:$A,$A354,Velocity!$B:$B,$C354)/Assumptions!$B$4*Assumptions!$B$6</f>
        <v>0</v>
      </c>
      <c r="AP354" s="7" t="n">
        <f aca="false">SUMIFS(Doors!BB:BB,Doors!$A:$A,$D354,Doors!$B:$B,$B354,Doors!$C:$C,$C354)*SUMIFS(Velocity!$I:$I,Velocity!$A:$A,$A354,Velocity!$B:$B,$C354)/Assumptions!$B$4*Assumptions!$B$6</f>
        <v>0</v>
      </c>
      <c r="AQ354" s="7" t="n">
        <f aca="false">SUMIFS(Doors!BC:BC,Doors!$A:$A,$D354,Doors!$B:$B,$B354,Doors!$C:$C,$C354)*SUMIFS(Velocity!$I:$I,Velocity!$A:$A,$A354,Velocity!$B:$B,$C354)/Assumptions!$B$4*Assumptions!$B$6</f>
        <v>0</v>
      </c>
      <c r="AR354" s="7" t="n">
        <f aca="false">SUMIFS(Doors!BD:BD,Doors!$A:$A,$D354,Doors!$B:$B,$B354,Doors!$C:$C,$C354)*SUMIFS(Velocity!$I:$I,Velocity!$A:$A,$A354,Velocity!$B:$B,$C354)/Assumptions!$B$4*Assumptions!$B$6</f>
        <v>0</v>
      </c>
      <c r="AS354" s="7" t="n">
        <f aca="false">SUMIFS(Doors!BE:BE,Doors!$A:$A,$D354,Doors!$B:$B,$B354,Doors!$C:$C,$C354)*SUMIFS(Velocity!$I:$I,Velocity!$A:$A,$A354,Velocity!$B:$B,$C354)/Assumptions!$B$4*Assumptions!$B$6</f>
        <v>0</v>
      </c>
      <c r="AT354" s="7" t="n">
        <f aca="false">SUMIFS(Doors!BF:BF,Doors!$A:$A,$D354,Doors!$B:$B,$B354,Doors!$C:$C,$C354)*SUMIFS(Velocity!$I:$I,Velocity!$A:$A,$A354,Velocity!$B:$B,$C354)/Assumptions!$B$4*Assumptions!$B$6</f>
        <v>0</v>
      </c>
      <c r="AU354" s="7" t="n">
        <f aca="false">SUMIFS(Doors!BG:BG,Doors!$A:$A,$D354,Doors!$B:$B,$B354,Doors!$C:$C,$C354)*SUMIFS(Velocity!$I:$I,Velocity!$A:$A,$A354,Velocity!$B:$B,$C354)/Assumptions!$B$4*Assumptions!$B$6</f>
        <v>0</v>
      </c>
      <c r="AV354" s="7" t="n">
        <f aca="false">SUMIFS(Doors!BH:BH,Doors!$A:$A,$D354,Doors!$B:$B,$B354,Doors!$C:$C,$C354)*SUMIFS(Velocity!$I:$I,Velocity!$A:$A,$A354,Velocity!$B:$B,$C354)/Assumptions!$B$4*Assumptions!$B$6</f>
        <v>0</v>
      </c>
      <c r="AW354" s="7" t="n">
        <f aca="false">SUMIFS(Doors!BI:BI,Doors!$A:$A,$D354,Doors!$B:$B,$B354,Doors!$C:$C,$C354)*SUMIFS(Velocity!$I:$I,Velocity!$A:$A,$A354,Velocity!$B:$B,$C354)/Assumptions!$B$4*Assumptions!$B$6</f>
        <v>0</v>
      </c>
      <c r="AX354" s="7" t="n">
        <f aca="false">SUMIFS(Doors!BJ:BJ,Doors!$A:$A,$D354,Doors!$B:$B,$B354,Doors!$C:$C,$C354)*SUMIFS(Velocity!$I:$I,Velocity!$A:$A,$A354,Velocity!$B:$B,$C354)/Assumptions!$B$4*Assumptions!$B$6</f>
        <v>0</v>
      </c>
      <c r="AY354" s="7" t="n">
        <f aca="false">SUMIFS(Doors!BK:BK,Doors!$A:$A,$D354,Doors!$B:$B,$B354,Doors!$C:$C,$C354)*SUMIFS(Velocity!$I:$I,Velocity!$A:$A,$A354,Velocity!$B:$B,$C354)/Assumptions!$B$4*Assumptions!$B$6</f>
        <v>0</v>
      </c>
      <c r="AZ354" s="7" t="n">
        <f aca="false">SUMIFS(Doors!BL:BL,Doors!$A:$A,$D354,Doors!$B:$B,$B354,Doors!$C:$C,$C354)*SUMIFS(Velocity!$I:$I,Velocity!$A:$A,$A354,Velocity!$B:$B,$C354)/Assumptions!$B$4*Assumptions!$B$6</f>
        <v>0</v>
      </c>
      <c r="BA354" s="7" t="n">
        <f aca="false">SUMIFS(Doors!BM:BM,Doors!$A:$A,$D354,Doors!$B:$B,$B354,Doors!$C:$C,$C354)*SUMIFS(Velocity!$I:$I,Velocity!$A:$A,$A354,Velocity!$B:$B,$C354)/Assumptions!$B$4*Assumptions!$B$6</f>
        <v>0</v>
      </c>
      <c r="BB354" s="7" t="n">
        <f aca="false">SUMIFS(Doors!BN:BN,Doors!$A:$A,$D354,Doors!$B:$B,$B354,Doors!$C:$C,$C354)*SUMIFS(Velocity!$I:$I,Velocity!$A:$A,$A354,Velocity!$B:$B,$C354)/Assumptions!$B$4*Assumptions!$B$6</f>
        <v>0</v>
      </c>
      <c r="BC354" s="7" t="n">
        <f aca="false">SUMIFS(Doors!BO:BO,Doors!$A:$A,$D354,Doors!$B:$B,$B354,Doors!$C:$C,$C354)*SUMIFS(Velocity!$I:$I,Velocity!$A:$A,$A354,Velocity!$B:$B,$C354)/Assumptions!$B$4*Assumptions!$B$6</f>
        <v>0</v>
      </c>
      <c r="BD354" s="7" t="n">
        <f aca="false">SUMIFS(Doors!BP:BP,Doors!$A:$A,$D354,Doors!$B:$B,$B354,Doors!$C:$C,$C354)*SUMIFS(Velocity!$I:$I,Velocity!$A:$A,$A354,Velocity!$B:$B,$C354)/Assumptions!$B$4*Assumptions!$B$6</f>
        <v>0</v>
      </c>
    </row>
    <row r="355" customFormat="false" ht="15" hidden="false" customHeight="false" outlineLevel="0" collapsed="false">
      <c r="A355" s="0" t="s">
        <v>111</v>
      </c>
      <c r="B355" s="0" t="s">
        <v>134</v>
      </c>
      <c r="C355" s="0" t="s">
        <v>122</v>
      </c>
      <c r="D355" s="0" t="s">
        <v>236</v>
      </c>
      <c r="E355" s="7" t="n">
        <f aca="false">SUMIFS(Doors!Q:Q,Doors!$A:$A,$D355,Doors!$B:$B,$B355,Doors!$C:$C,$C355)*SUMIFS(Velocity!$I:$I,Velocity!$A:$A,$A355,Velocity!$B:$B,$C355)/Assumptions!$B$4*Assumptions!$B$6</f>
        <v>0</v>
      </c>
      <c r="F355" s="7" t="n">
        <f aca="false">SUMIFS(Doors!R:R,Doors!$A:$A,$D355,Doors!$B:$B,$B355,Doors!$C:$C,$C355)*SUMIFS(Velocity!$I:$I,Velocity!$A:$A,$A355,Velocity!$B:$B,$C355)/Assumptions!$B$4*Assumptions!$B$6</f>
        <v>0</v>
      </c>
      <c r="G355" s="7" t="n">
        <f aca="false">SUMIFS(Doors!S:S,Doors!$A:$A,$D355,Doors!$B:$B,$B355,Doors!$C:$C,$C355)*SUMIFS(Velocity!$I:$I,Velocity!$A:$A,$A355,Velocity!$B:$B,$C355)/Assumptions!$B$4*Assumptions!$B$6</f>
        <v>0</v>
      </c>
      <c r="H355" s="7" t="n">
        <f aca="false">SUMIFS(Doors!T:T,Doors!$A:$A,$D355,Doors!$B:$B,$B355,Doors!$C:$C,$C355)*SUMIFS(Velocity!$I:$I,Velocity!$A:$A,$A355,Velocity!$B:$B,$C355)/Assumptions!$B$4*Assumptions!$B$6</f>
        <v>0</v>
      </c>
      <c r="I355" s="7" t="n">
        <f aca="false">SUMIFS(Doors!U:U,Doors!$A:$A,$D355,Doors!$B:$B,$B355,Doors!$C:$C,$C355)*SUMIFS(Velocity!$I:$I,Velocity!$A:$A,$A355,Velocity!$B:$B,$C355)/Assumptions!$B$4*Assumptions!$B$6</f>
        <v>0</v>
      </c>
      <c r="J355" s="7" t="n">
        <f aca="false">SUMIFS(Doors!V:V,Doors!$A:$A,$D355,Doors!$B:$B,$B355,Doors!$C:$C,$C355)*SUMIFS(Velocity!$I:$I,Velocity!$A:$A,$A355,Velocity!$B:$B,$C355)/Assumptions!$B$4*Assumptions!$B$6</f>
        <v>0</v>
      </c>
      <c r="K355" s="7" t="n">
        <f aca="false">SUMIFS(Doors!W:W,Doors!$A:$A,$D355,Doors!$B:$B,$B355,Doors!$C:$C,$C355)*SUMIFS(Velocity!$I:$I,Velocity!$A:$A,$A355,Velocity!$B:$B,$C355)/Assumptions!$B$4*Assumptions!$B$6</f>
        <v>0</v>
      </c>
      <c r="L355" s="7" t="n">
        <f aca="false">SUMIFS(Doors!X:X,Doors!$A:$A,$D355,Doors!$B:$B,$B355,Doors!$C:$C,$C355)*SUMIFS(Velocity!$I:$I,Velocity!$A:$A,$A355,Velocity!$B:$B,$C355)/Assumptions!$B$4*Assumptions!$B$6</f>
        <v>0</v>
      </c>
      <c r="M355" s="7" t="n">
        <f aca="false">SUMIFS(Doors!Y:Y,Doors!$A:$A,$D355,Doors!$B:$B,$B355,Doors!$C:$C,$C355)*SUMIFS(Velocity!$I:$I,Velocity!$A:$A,$A355,Velocity!$B:$B,$C355)/Assumptions!$B$4*Assumptions!$B$6</f>
        <v>0</v>
      </c>
      <c r="N355" s="7" t="n">
        <f aca="false">SUMIFS(Doors!Z:Z,Doors!$A:$A,$D355,Doors!$B:$B,$B355,Doors!$C:$C,$C355)*SUMIFS(Velocity!$I:$I,Velocity!$A:$A,$A355,Velocity!$B:$B,$C355)/Assumptions!$B$4*Assumptions!$B$6</f>
        <v>0</v>
      </c>
      <c r="O355" s="7" t="n">
        <f aca="false">SUMIFS(Doors!AA:AA,Doors!$A:$A,$D355,Doors!$B:$B,$B355,Doors!$C:$C,$C355)*SUMIFS(Velocity!$I:$I,Velocity!$A:$A,$A355,Velocity!$B:$B,$C355)/Assumptions!$B$4*Assumptions!$B$6</f>
        <v>0</v>
      </c>
      <c r="P355" s="7" t="n">
        <f aca="false">SUMIFS(Doors!AB:AB,Doors!$A:$A,$D355,Doors!$B:$B,$B355,Doors!$C:$C,$C355)*SUMIFS(Velocity!$I:$I,Velocity!$A:$A,$A355,Velocity!$B:$B,$C355)/Assumptions!$B$4*Assumptions!$B$6</f>
        <v>0</v>
      </c>
      <c r="Q355" s="7" t="n">
        <f aca="false">SUMIFS(Doors!AC:AC,Doors!$A:$A,$D355,Doors!$B:$B,$B355,Doors!$C:$C,$C355)*SUMIFS(Velocity!$I:$I,Velocity!$A:$A,$A355,Velocity!$B:$B,$C355)/Assumptions!$B$4*Assumptions!$B$6</f>
        <v>0</v>
      </c>
      <c r="R355" s="7" t="n">
        <f aca="false">SUMIFS(Doors!AD:AD,Doors!$A:$A,$D355,Doors!$B:$B,$B355,Doors!$C:$C,$C355)*SUMIFS(Velocity!$I:$I,Velocity!$A:$A,$A355,Velocity!$B:$B,$C355)/Assumptions!$B$4*Assumptions!$B$6</f>
        <v>0</v>
      </c>
      <c r="S355" s="7" t="n">
        <f aca="false">SUMIFS(Doors!AE:AE,Doors!$A:$A,$D355,Doors!$B:$B,$B355,Doors!$C:$C,$C355)*SUMIFS(Velocity!$I:$I,Velocity!$A:$A,$A355,Velocity!$B:$B,$C355)/Assumptions!$B$4*Assumptions!$B$6</f>
        <v>0</v>
      </c>
      <c r="T355" s="7" t="n">
        <f aca="false">SUMIFS(Doors!AF:AF,Doors!$A:$A,$D355,Doors!$B:$B,$B355,Doors!$C:$C,$C355)*SUMIFS(Velocity!$I:$I,Velocity!$A:$A,$A355,Velocity!$B:$B,$C355)/Assumptions!$B$4*Assumptions!$B$6</f>
        <v>0</v>
      </c>
      <c r="U355" s="7" t="n">
        <f aca="false">SUMIFS(Doors!AG:AG,Doors!$A:$A,$D355,Doors!$B:$B,$B355,Doors!$C:$C,$C355)*SUMIFS(Velocity!$I:$I,Velocity!$A:$A,$A355,Velocity!$B:$B,$C355)/Assumptions!$B$4*Assumptions!$B$6</f>
        <v>0</v>
      </c>
      <c r="V355" s="7" t="n">
        <f aca="false">SUMIFS(Doors!AH:AH,Doors!$A:$A,$D355,Doors!$B:$B,$B355,Doors!$C:$C,$C355)*SUMIFS(Velocity!$I:$I,Velocity!$A:$A,$A355,Velocity!$B:$B,$C355)/Assumptions!$B$4*Assumptions!$B$6</f>
        <v>0</v>
      </c>
      <c r="W355" s="7" t="n">
        <f aca="false">SUMIFS(Doors!AI:AI,Doors!$A:$A,$D355,Doors!$B:$B,$B355,Doors!$C:$C,$C355)*SUMIFS(Velocity!$I:$I,Velocity!$A:$A,$A355,Velocity!$B:$B,$C355)/Assumptions!$B$4*Assumptions!$B$6</f>
        <v>0</v>
      </c>
      <c r="X355" s="7" t="n">
        <f aca="false">SUMIFS(Doors!AJ:AJ,Doors!$A:$A,$D355,Doors!$B:$B,$B355,Doors!$C:$C,$C355)*SUMIFS(Velocity!$I:$I,Velocity!$A:$A,$A355,Velocity!$B:$B,$C355)/Assumptions!$B$4*Assumptions!$B$6</f>
        <v>0</v>
      </c>
      <c r="Y355" s="7" t="n">
        <f aca="false">SUMIFS(Doors!AK:AK,Doors!$A:$A,$D355,Doors!$B:$B,$B355,Doors!$C:$C,$C355)*SUMIFS(Velocity!$I:$I,Velocity!$A:$A,$A355,Velocity!$B:$B,$C355)/Assumptions!$B$4*Assumptions!$B$6</f>
        <v>0</v>
      </c>
      <c r="Z355" s="7" t="n">
        <f aca="false">SUMIFS(Doors!AL:AL,Doors!$A:$A,$D355,Doors!$B:$B,$B355,Doors!$C:$C,$C355)*SUMIFS(Velocity!$I:$I,Velocity!$A:$A,$A355,Velocity!$B:$B,$C355)/Assumptions!$B$4*Assumptions!$B$6</f>
        <v>0</v>
      </c>
      <c r="AA355" s="7" t="n">
        <f aca="false">SUMIFS(Doors!AM:AM,Doors!$A:$A,$D355,Doors!$B:$B,$B355,Doors!$C:$C,$C355)*SUMIFS(Velocity!$I:$I,Velocity!$A:$A,$A355,Velocity!$B:$B,$C355)/Assumptions!$B$4*Assumptions!$B$6</f>
        <v>0</v>
      </c>
      <c r="AB355" s="7" t="n">
        <f aca="false">SUMIFS(Doors!AN:AN,Doors!$A:$A,$D355,Doors!$B:$B,$B355,Doors!$C:$C,$C355)*SUMIFS(Velocity!$I:$I,Velocity!$A:$A,$A355,Velocity!$B:$B,$C355)/Assumptions!$B$4*Assumptions!$B$6</f>
        <v>0</v>
      </c>
      <c r="AC355" s="7" t="n">
        <f aca="false">SUMIFS(Doors!AO:AO,Doors!$A:$A,$D355,Doors!$B:$B,$B355,Doors!$C:$C,$C355)*SUMIFS(Velocity!$I:$I,Velocity!$A:$A,$A355,Velocity!$B:$B,$C355)/Assumptions!$B$4*Assumptions!$B$6</f>
        <v>0</v>
      </c>
      <c r="AD355" s="7" t="n">
        <f aca="false">SUMIFS(Doors!AP:AP,Doors!$A:$A,$D355,Doors!$B:$B,$B355,Doors!$C:$C,$C355)*SUMIFS(Velocity!$I:$I,Velocity!$A:$A,$A355,Velocity!$B:$B,$C355)/Assumptions!$B$4*Assumptions!$B$6</f>
        <v>0</v>
      </c>
      <c r="AE355" s="7" t="n">
        <f aca="false">SUMIFS(Doors!AQ:AQ,Doors!$A:$A,$D355,Doors!$B:$B,$B355,Doors!$C:$C,$C355)*SUMIFS(Velocity!$I:$I,Velocity!$A:$A,$A355,Velocity!$B:$B,$C355)/Assumptions!$B$4*Assumptions!$B$6</f>
        <v>0</v>
      </c>
      <c r="AF355" s="7" t="n">
        <f aca="false">SUMIFS(Doors!AR:AR,Doors!$A:$A,$D355,Doors!$B:$B,$B355,Doors!$C:$C,$C355)*SUMIFS(Velocity!$I:$I,Velocity!$A:$A,$A355,Velocity!$B:$B,$C355)/Assumptions!$B$4*Assumptions!$B$6</f>
        <v>0</v>
      </c>
      <c r="AG355" s="7" t="n">
        <f aca="false">SUMIFS(Doors!AS:AS,Doors!$A:$A,$D355,Doors!$B:$B,$B355,Doors!$C:$C,$C355)*SUMIFS(Velocity!$I:$I,Velocity!$A:$A,$A355,Velocity!$B:$B,$C355)/Assumptions!$B$4*Assumptions!$B$6</f>
        <v>0</v>
      </c>
      <c r="AH355" s="7" t="n">
        <f aca="false">SUMIFS(Doors!AT:AT,Doors!$A:$A,$D355,Doors!$B:$B,$B355,Doors!$C:$C,$C355)*SUMIFS(Velocity!$I:$I,Velocity!$A:$A,$A355,Velocity!$B:$B,$C355)/Assumptions!$B$4*Assumptions!$B$6</f>
        <v>0</v>
      </c>
      <c r="AI355" s="7" t="n">
        <f aca="false">SUMIFS(Doors!AU:AU,Doors!$A:$A,$D355,Doors!$B:$B,$B355,Doors!$C:$C,$C355)*SUMIFS(Velocity!$I:$I,Velocity!$A:$A,$A355,Velocity!$B:$B,$C355)/Assumptions!$B$4*Assumptions!$B$6</f>
        <v>0</v>
      </c>
      <c r="AJ355" s="7" t="n">
        <f aca="false">SUMIFS(Doors!AV:AV,Doors!$A:$A,$D355,Doors!$B:$B,$B355,Doors!$C:$C,$C355)*SUMIFS(Velocity!$I:$I,Velocity!$A:$A,$A355,Velocity!$B:$B,$C355)/Assumptions!$B$4*Assumptions!$B$6</f>
        <v>0</v>
      </c>
      <c r="AK355" s="7" t="n">
        <f aca="false">SUMIFS(Doors!AW:AW,Doors!$A:$A,$D355,Doors!$B:$B,$B355,Doors!$C:$C,$C355)*SUMIFS(Velocity!$I:$I,Velocity!$A:$A,$A355,Velocity!$B:$B,$C355)/Assumptions!$B$4*Assumptions!$B$6</f>
        <v>0</v>
      </c>
      <c r="AL355" s="7" t="n">
        <f aca="false">SUMIFS(Doors!AX:AX,Doors!$A:$A,$D355,Doors!$B:$B,$B355,Doors!$C:$C,$C355)*SUMIFS(Velocity!$I:$I,Velocity!$A:$A,$A355,Velocity!$B:$B,$C355)/Assumptions!$B$4*Assumptions!$B$6</f>
        <v>0</v>
      </c>
      <c r="AM355" s="7" t="n">
        <f aca="false">SUMIFS(Doors!AY:AY,Doors!$A:$A,$D355,Doors!$B:$B,$B355,Doors!$C:$C,$C355)*SUMIFS(Velocity!$I:$I,Velocity!$A:$A,$A355,Velocity!$B:$B,$C355)/Assumptions!$B$4*Assumptions!$B$6</f>
        <v>0</v>
      </c>
      <c r="AN355" s="7" t="n">
        <f aca="false">SUMIFS(Doors!AZ:AZ,Doors!$A:$A,$D355,Doors!$B:$B,$B355,Doors!$C:$C,$C355)*SUMIFS(Velocity!$I:$I,Velocity!$A:$A,$A355,Velocity!$B:$B,$C355)/Assumptions!$B$4*Assumptions!$B$6</f>
        <v>0</v>
      </c>
      <c r="AO355" s="7" t="n">
        <f aca="false">SUMIFS(Doors!BA:BA,Doors!$A:$A,$D355,Doors!$B:$B,$B355,Doors!$C:$C,$C355)*SUMIFS(Velocity!$I:$I,Velocity!$A:$A,$A355,Velocity!$B:$B,$C355)/Assumptions!$B$4*Assumptions!$B$6</f>
        <v>0</v>
      </c>
      <c r="AP355" s="7" t="n">
        <f aca="false">SUMIFS(Doors!BB:BB,Doors!$A:$A,$D355,Doors!$B:$B,$B355,Doors!$C:$C,$C355)*SUMIFS(Velocity!$I:$I,Velocity!$A:$A,$A355,Velocity!$B:$B,$C355)/Assumptions!$B$4*Assumptions!$B$6</f>
        <v>0</v>
      </c>
      <c r="AQ355" s="7" t="n">
        <f aca="false">SUMIFS(Doors!BC:BC,Doors!$A:$A,$D355,Doors!$B:$B,$B355,Doors!$C:$C,$C355)*SUMIFS(Velocity!$I:$I,Velocity!$A:$A,$A355,Velocity!$B:$B,$C355)/Assumptions!$B$4*Assumptions!$B$6</f>
        <v>0</v>
      </c>
      <c r="AR355" s="7" t="n">
        <f aca="false">SUMIFS(Doors!BD:BD,Doors!$A:$A,$D355,Doors!$B:$B,$B355,Doors!$C:$C,$C355)*SUMIFS(Velocity!$I:$I,Velocity!$A:$A,$A355,Velocity!$B:$B,$C355)/Assumptions!$B$4*Assumptions!$B$6</f>
        <v>0</v>
      </c>
      <c r="AS355" s="7" t="n">
        <f aca="false">SUMIFS(Doors!BE:BE,Doors!$A:$A,$D355,Doors!$B:$B,$B355,Doors!$C:$C,$C355)*SUMIFS(Velocity!$I:$I,Velocity!$A:$A,$A355,Velocity!$B:$B,$C355)/Assumptions!$B$4*Assumptions!$B$6</f>
        <v>0</v>
      </c>
      <c r="AT355" s="7" t="n">
        <f aca="false">SUMIFS(Doors!BF:BF,Doors!$A:$A,$D355,Doors!$B:$B,$B355,Doors!$C:$C,$C355)*SUMIFS(Velocity!$I:$I,Velocity!$A:$A,$A355,Velocity!$B:$B,$C355)/Assumptions!$B$4*Assumptions!$B$6</f>
        <v>0</v>
      </c>
      <c r="AU355" s="7" t="n">
        <f aca="false">SUMIFS(Doors!BG:BG,Doors!$A:$A,$D355,Doors!$B:$B,$B355,Doors!$C:$C,$C355)*SUMIFS(Velocity!$I:$I,Velocity!$A:$A,$A355,Velocity!$B:$B,$C355)/Assumptions!$B$4*Assumptions!$B$6</f>
        <v>0</v>
      </c>
      <c r="AV355" s="7" t="n">
        <f aca="false">SUMIFS(Doors!BH:BH,Doors!$A:$A,$D355,Doors!$B:$B,$B355,Doors!$C:$C,$C355)*SUMIFS(Velocity!$I:$I,Velocity!$A:$A,$A355,Velocity!$B:$B,$C355)/Assumptions!$B$4*Assumptions!$B$6</f>
        <v>0</v>
      </c>
      <c r="AW355" s="7" t="n">
        <f aca="false">SUMIFS(Doors!BI:BI,Doors!$A:$A,$D355,Doors!$B:$B,$B355,Doors!$C:$C,$C355)*SUMIFS(Velocity!$I:$I,Velocity!$A:$A,$A355,Velocity!$B:$B,$C355)/Assumptions!$B$4*Assumptions!$B$6</f>
        <v>0</v>
      </c>
      <c r="AX355" s="7" t="n">
        <f aca="false">SUMIFS(Doors!BJ:BJ,Doors!$A:$A,$D355,Doors!$B:$B,$B355,Doors!$C:$C,$C355)*SUMIFS(Velocity!$I:$I,Velocity!$A:$A,$A355,Velocity!$B:$B,$C355)/Assumptions!$B$4*Assumptions!$B$6</f>
        <v>0</v>
      </c>
      <c r="AY355" s="7" t="n">
        <f aca="false">SUMIFS(Doors!BK:BK,Doors!$A:$A,$D355,Doors!$B:$B,$B355,Doors!$C:$C,$C355)*SUMIFS(Velocity!$I:$I,Velocity!$A:$A,$A355,Velocity!$B:$B,$C355)/Assumptions!$B$4*Assumptions!$B$6</f>
        <v>0</v>
      </c>
      <c r="AZ355" s="7" t="n">
        <f aca="false">SUMIFS(Doors!BL:BL,Doors!$A:$A,$D355,Doors!$B:$B,$B355,Doors!$C:$C,$C355)*SUMIFS(Velocity!$I:$I,Velocity!$A:$A,$A355,Velocity!$B:$B,$C355)/Assumptions!$B$4*Assumptions!$B$6</f>
        <v>0</v>
      </c>
      <c r="BA355" s="7" t="n">
        <f aca="false">SUMIFS(Doors!BM:BM,Doors!$A:$A,$D355,Doors!$B:$B,$B355,Doors!$C:$C,$C355)*SUMIFS(Velocity!$I:$I,Velocity!$A:$A,$A355,Velocity!$B:$B,$C355)/Assumptions!$B$4*Assumptions!$B$6</f>
        <v>0</v>
      </c>
      <c r="BB355" s="7" t="n">
        <f aca="false">SUMIFS(Doors!BN:BN,Doors!$A:$A,$D355,Doors!$B:$B,$B355,Doors!$C:$C,$C355)*SUMIFS(Velocity!$I:$I,Velocity!$A:$A,$A355,Velocity!$B:$B,$C355)/Assumptions!$B$4*Assumptions!$B$6</f>
        <v>0</v>
      </c>
      <c r="BC355" s="7" t="n">
        <f aca="false">SUMIFS(Doors!BO:BO,Doors!$A:$A,$D355,Doors!$B:$B,$B355,Doors!$C:$C,$C355)*SUMIFS(Velocity!$I:$I,Velocity!$A:$A,$A355,Velocity!$B:$B,$C355)/Assumptions!$B$4*Assumptions!$B$6</f>
        <v>0</v>
      </c>
      <c r="BD355" s="7" t="n">
        <f aca="false">SUMIFS(Doors!BP:BP,Doors!$A:$A,$D355,Doors!$B:$B,$B355,Doors!$C:$C,$C355)*SUMIFS(Velocity!$I:$I,Velocity!$A:$A,$A355,Velocity!$B:$B,$C355)/Assumptions!$B$4*Assumptions!$B$6</f>
        <v>0</v>
      </c>
    </row>
    <row r="356" customFormat="false" ht="15" hidden="false" customHeight="false" outlineLevel="0" collapsed="false">
      <c r="A356" s="0" t="s">
        <v>111</v>
      </c>
      <c r="B356" s="0" t="s">
        <v>134</v>
      </c>
      <c r="C356" s="0" t="s">
        <v>123</v>
      </c>
      <c r="D356" s="0" t="s">
        <v>236</v>
      </c>
      <c r="E356" s="7" t="n">
        <f aca="false">SUMIFS(Doors!Q:Q,Doors!$A:$A,$D356,Doors!$B:$B,$B356,Doors!$C:$C,$C356)*SUMIFS(Velocity!$I:$I,Velocity!$A:$A,$A356,Velocity!$B:$B,$C356)/Assumptions!$B$4*Assumptions!$B$6</f>
        <v>0</v>
      </c>
      <c r="F356" s="7" t="n">
        <f aca="false">SUMIFS(Doors!R:R,Doors!$A:$A,$D356,Doors!$B:$B,$B356,Doors!$C:$C,$C356)*SUMIFS(Velocity!$I:$I,Velocity!$A:$A,$A356,Velocity!$B:$B,$C356)/Assumptions!$B$4*Assumptions!$B$6</f>
        <v>0</v>
      </c>
      <c r="G356" s="7" t="n">
        <f aca="false">SUMIFS(Doors!S:S,Doors!$A:$A,$D356,Doors!$B:$B,$B356,Doors!$C:$C,$C356)*SUMIFS(Velocity!$I:$I,Velocity!$A:$A,$A356,Velocity!$B:$B,$C356)/Assumptions!$B$4*Assumptions!$B$6</f>
        <v>0</v>
      </c>
      <c r="H356" s="7" t="n">
        <f aca="false">SUMIFS(Doors!T:T,Doors!$A:$A,$D356,Doors!$B:$B,$B356,Doors!$C:$C,$C356)*SUMIFS(Velocity!$I:$I,Velocity!$A:$A,$A356,Velocity!$B:$B,$C356)/Assumptions!$B$4*Assumptions!$B$6</f>
        <v>0</v>
      </c>
      <c r="I356" s="7" t="n">
        <f aca="false">SUMIFS(Doors!U:U,Doors!$A:$A,$D356,Doors!$B:$B,$B356,Doors!$C:$C,$C356)*SUMIFS(Velocity!$I:$I,Velocity!$A:$A,$A356,Velocity!$B:$B,$C356)/Assumptions!$B$4*Assumptions!$B$6</f>
        <v>0</v>
      </c>
      <c r="J356" s="7" t="n">
        <f aca="false">SUMIFS(Doors!V:V,Doors!$A:$A,$D356,Doors!$B:$B,$B356,Doors!$C:$C,$C356)*SUMIFS(Velocity!$I:$I,Velocity!$A:$A,$A356,Velocity!$B:$B,$C356)/Assumptions!$B$4*Assumptions!$B$6</f>
        <v>0</v>
      </c>
      <c r="K356" s="7" t="n">
        <f aca="false">SUMIFS(Doors!W:W,Doors!$A:$A,$D356,Doors!$B:$B,$B356,Doors!$C:$C,$C356)*SUMIFS(Velocity!$I:$I,Velocity!$A:$A,$A356,Velocity!$B:$B,$C356)/Assumptions!$B$4*Assumptions!$B$6</f>
        <v>0</v>
      </c>
      <c r="L356" s="7" t="n">
        <f aca="false">SUMIFS(Doors!X:X,Doors!$A:$A,$D356,Doors!$B:$B,$B356,Doors!$C:$C,$C356)*SUMIFS(Velocity!$I:$I,Velocity!$A:$A,$A356,Velocity!$B:$B,$C356)/Assumptions!$B$4*Assumptions!$B$6</f>
        <v>0</v>
      </c>
      <c r="M356" s="7" t="n">
        <f aca="false">SUMIFS(Doors!Y:Y,Doors!$A:$A,$D356,Doors!$B:$B,$B356,Doors!$C:$C,$C356)*SUMIFS(Velocity!$I:$I,Velocity!$A:$A,$A356,Velocity!$B:$B,$C356)/Assumptions!$B$4*Assumptions!$B$6</f>
        <v>0</v>
      </c>
      <c r="N356" s="7" t="n">
        <f aca="false">SUMIFS(Doors!Z:Z,Doors!$A:$A,$D356,Doors!$B:$B,$B356,Doors!$C:$C,$C356)*SUMIFS(Velocity!$I:$I,Velocity!$A:$A,$A356,Velocity!$B:$B,$C356)/Assumptions!$B$4*Assumptions!$B$6</f>
        <v>0</v>
      </c>
      <c r="O356" s="7" t="n">
        <f aca="false">SUMIFS(Doors!AA:AA,Doors!$A:$A,$D356,Doors!$B:$B,$B356,Doors!$C:$C,$C356)*SUMIFS(Velocity!$I:$I,Velocity!$A:$A,$A356,Velocity!$B:$B,$C356)/Assumptions!$B$4*Assumptions!$B$6</f>
        <v>0</v>
      </c>
      <c r="P356" s="7" t="n">
        <f aca="false">SUMIFS(Doors!AB:AB,Doors!$A:$A,$D356,Doors!$B:$B,$B356,Doors!$C:$C,$C356)*SUMIFS(Velocity!$I:$I,Velocity!$A:$A,$A356,Velocity!$B:$B,$C356)/Assumptions!$B$4*Assumptions!$B$6</f>
        <v>0</v>
      </c>
      <c r="Q356" s="7" t="n">
        <f aca="false">SUMIFS(Doors!AC:AC,Doors!$A:$A,$D356,Doors!$B:$B,$B356,Doors!$C:$C,$C356)*SUMIFS(Velocity!$I:$I,Velocity!$A:$A,$A356,Velocity!$B:$B,$C356)/Assumptions!$B$4*Assumptions!$B$6</f>
        <v>0</v>
      </c>
      <c r="R356" s="7" t="n">
        <f aca="false">SUMIFS(Doors!AD:AD,Doors!$A:$A,$D356,Doors!$B:$B,$B356,Doors!$C:$C,$C356)*SUMIFS(Velocity!$I:$I,Velocity!$A:$A,$A356,Velocity!$B:$B,$C356)/Assumptions!$B$4*Assumptions!$B$6</f>
        <v>0</v>
      </c>
      <c r="S356" s="7" t="n">
        <f aca="false">SUMIFS(Doors!AE:AE,Doors!$A:$A,$D356,Doors!$B:$B,$B356,Doors!$C:$C,$C356)*SUMIFS(Velocity!$I:$I,Velocity!$A:$A,$A356,Velocity!$B:$B,$C356)/Assumptions!$B$4*Assumptions!$B$6</f>
        <v>0</v>
      </c>
      <c r="T356" s="7" t="n">
        <f aca="false">SUMIFS(Doors!AF:AF,Doors!$A:$A,$D356,Doors!$B:$B,$B356,Doors!$C:$C,$C356)*SUMIFS(Velocity!$I:$I,Velocity!$A:$A,$A356,Velocity!$B:$B,$C356)/Assumptions!$B$4*Assumptions!$B$6</f>
        <v>0</v>
      </c>
      <c r="U356" s="7" t="n">
        <f aca="false">SUMIFS(Doors!AG:AG,Doors!$A:$A,$D356,Doors!$B:$B,$B356,Doors!$C:$C,$C356)*SUMIFS(Velocity!$I:$I,Velocity!$A:$A,$A356,Velocity!$B:$B,$C356)/Assumptions!$B$4*Assumptions!$B$6</f>
        <v>0</v>
      </c>
      <c r="V356" s="7" t="n">
        <f aca="false">SUMIFS(Doors!AH:AH,Doors!$A:$A,$D356,Doors!$B:$B,$B356,Doors!$C:$C,$C356)*SUMIFS(Velocity!$I:$I,Velocity!$A:$A,$A356,Velocity!$B:$B,$C356)/Assumptions!$B$4*Assumptions!$B$6</f>
        <v>0</v>
      </c>
      <c r="W356" s="7" t="n">
        <f aca="false">SUMIFS(Doors!AI:AI,Doors!$A:$A,$D356,Doors!$B:$B,$B356,Doors!$C:$C,$C356)*SUMIFS(Velocity!$I:$I,Velocity!$A:$A,$A356,Velocity!$B:$B,$C356)/Assumptions!$B$4*Assumptions!$B$6</f>
        <v>0</v>
      </c>
      <c r="X356" s="7" t="n">
        <f aca="false">SUMIFS(Doors!AJ:AJ,Doors!$A:$A,$D356,Doors!$B:$B,$B356,Doors!$C:$C,$C356)*SUMIFS(Velocity!$I:$I,Velocity!$A:$A,$A356,Velocity!$B:$B,$C356)/Assumptions!$B$4*Assumptions!$B$6</f>
        <v>0</v>
      </c>
      <c r="Y356" s="7" t="n">
        <f aca="false">SUMIFS(Doors!AK:AK,Doors!$A:$A,$D356,Doors!$B:$B,$B356,Doors!$C:$C,$C356)*SUMIFS(Velocity!$I:$I,Velocity!$A:$A,$A356,Velocity!$B:$B,$C356)/Assumptions!$B$4*Assumptions!$B$6</f>
        <v>0</v>
      </c>
      <c r="Z356" s="7" t="n">
        <f aca="false">SUMIFS(Doors!AL:AL,Doors!$A:$A,$D356,Doors!$B:$B,$B356,Doors!$C:$C,$C356)*SUMIFS(Velocity!$I:$I,Velocity!$A:$A,$A356,Velocity!$B:$B,$C356)/Assumptions!$B$4*Assumptions!$B$6</f>
        <v>0</v>
      </c>
      <c r="AA356" s="7" t="n">
        <f aca="false">SUMIFS(Doors!AM:AM,Doors!$A:$A,$D356,Doors!$B:$B,$B356,Doors!$C:$C,$C356)*SUMIFS(Velocity!$I:$I,Velocity!$A:$A,$A356,Velocity!$B:$B,$C356)/Assumptions!$B$4*Assumptions!$B$6</f>
        <v>0</v>
      </c>
      <c r="AB356" s="7" t="n">
        <f aca="false">SUMIFS(Doors!AN:AN,Doors!$A:$A,$D356,Doors!$B:$B,$B356,Doors!$C:$C,$C356)*SUMIFS(Velocity!$I:$I,Velocity!$A:$A,$A356,Velocity!$B:$B,$C356)/Assumptions!$B$4*Assumptions!$B$6</f>
        <v>0</v>
      </c>
      <c r="AC356" s="7" t="n">
        <f aca="false">SUMIFS(Doors!AO:AO,Doors!$A:$A,$D356,Doors!$B:$B,$B356,Doors!$C:$C,$C356)*SUMIFS(Velocity!$I:$I,Velocity!$A:$A,$A356,Velocity!$B:$B,$C356)/Assumptions!$B$4*Assumptions!$B$6</f>
        <v>0</v>
      </c>
      <c r="AD356" s="7" t="n">
        <f aca="false">SUMIFS(Doors!AP:AP,Doors!$A:$A,$D356,Doors!$B:$B,$B356,Doors!$C:$C,$C356)*SUMIFS(Velocity!$I:$I,Velocity!$A:$A,$A356,Velocity!$B:$B,$C356)/Assumptions!$B$4*Assumptions!$B$6</f>
        <v>0</v>
      </c>
      <c r="AE356" s="7" t="n">
        <f aca="false">SUMIFS(Doors!AQ:AQ,Doors!$A:$A,$D356,Doors!$B:$B,$B356,Doors!$C:$C,$C356)*SUMIFS(Velocity!$I:$I,Velocity!$A:$A,$A356,Velocity!$B:$B,$C356)/Assumptions!$B$4*Assumptions!$B$6</f>
        <v>0</v>
      </c>
      <c r="AF356" s="7" t="n">
        <f aca="false">SUMIFS(Doors!AR:AR,Doors!$A:$A,$D356,Doors!$B:$B,$B356,Doors!$C:$C,$C356)*SUMIFS(Velocity!$I:$I,Velocity!$A:$A,$A356,Velocity!$B:$B,$C356)/Assumptions!$B$4*Assumptions!$B$6</f>
        <v>0</v>
      </c>
      <c r="AG356" s="7" t="n">
        <f aca="false">SUMIFS(Doors!AS:AS,Doors!$A:$A,$D356,Doors!$B:$B,$B356,Doors!$C:$C,$C356)*SUMIFS(Velocity!$I:$I,Velocity!$A:$A,$A356,Velocity!$B:$B,$C356)/Assumptions!$B$4*Assumptions!$B$6</f>
        <v>0</v>
      </c>
      <c r="AH356" s="7" t="n">
        <f aca="false">SUMIFS(Doors!AT:AT,Doors!$A:$A,$D356,Doors!$B:$B,$B356,Doors!$C:$C,$C356)*SUMIFS(Velocity!$I:$I,Velocity!$A:$A,$A356,Velocity!$B:$B,$C356)/Assumptions!$B$4*Assumptions!$B$6</f>
        <v>0</v>
      </c>
      <c r="AI356" s="7" t="n">
        <f aca="false">SUMIFS(Doors!AU:AU,Doors!$A:$A,$D356,Doors!$B:$B,$B356,Doors!$C:$C,$C356)*SUMIFS(Velocity!$I:$I,Velocity!$A:$A,$A356,Velocity!$B:$B,$C356)/Assumptions!$B$4*Assumptions!$B$6</f>
        <v>0</v>
      </c>
      <c r="AJ356" s="7" t="n">
        <f aca="false">SUMIFS(Doors!AV:AV,Doors!$A:$A,$D356,Doors!$B:$B,$B356,Doors!$C:$C,$C356)*SUMIFS(Velocity!$I:$I,Velocity!$A:$A,$A356,Velocity!$B:$B,$C356)/Assumptions!$B$4*Assumptions!$B$6</f>
        <v>0</v>
      </c>
      <c r="AK356" s="7" t="n">
        <f aca="false">SUMIFS(Doors!AW:AW,Doors!$A:$A,$D356,Doors!$B:$B,$B356,Doors!$C:$C,$C356)*SUMIFS(Velocity!$I:$I,Velocity!$A:$A,$A356,Velocity!$B:$B,$C356)/Assumptions!$B$4*Assumptions!$B$6</f>
        <v>0</v>
      </c>
      <c r="AL356" s="7" t="n">
        <f aca="false">SUMIFS(Doors!AX:AX,Doors!$A:$A,$D356,Doors!$B:$B,$B356,Doors!$C:$C,$C356)*SUMIFS(Velocity!$I:$I,Velocity!$A:$A,$A356,Velocity!$B:$B,$C356)/Assumptions!$B$4*Assumptions!$B$6</f>
        <v>0</v>
      </c>
      <c r="AM356" s="7" t="n">
        <f aca="false">SUMIFS(Doors!AY:AY,Doors!$A:$A,$D356,Doors!$B:$B,$B356,Doors!$C:$C,$C356)*SUMIFS(Velocity!$I:$I,Velocity!$A:$A,$A356,Velocity!$B:$B,$C356)/Assumptions!$B$4*Assumptions!$B$6</f>
        <v>0</v>
      </c>
      <c r="AN356" s="7" t="n">
        <f aca="false">SUMIFS(Doors!AZ:AZ,Doors!$A:$A,$D356,Doors!$B:$B,$B356,Doors!$C:$C,$C356)*SUMIFS(Velocity!$I:$I,Velocity!$A:$A,$A356,Velocity!$B:$B,$C356)/Assumptions!$B$4*Assumptions!$B$6</f>
        <v>0</v>
      </c>
      <c r="AO356" s="7" t="n">
        <f aca="false">SUMIFS(Doors!BA:BA,Doors!$A:$A,$D356,Doors!$B:$B,$B356,Doors!$C:$C,$C356)*SUMIFS(Velocity!$I:$I,Velocity!$A:$A,$A356,Velocity!$B:$B,$C356)/Assumptions!$B$4*Assumptions!$B$6</f>
        <v>0</v>
      </c>
      <c r="AP356" s="7" t="n">
        <f aca="false">SUMIFS(Doors!BB:BB,Doors!$A:$A,$D356,Doors!$B:$B,$B356,Doors!$C:$C,$C356)*SUMIFS(Velocity!$I:$I,Velocity!$A:$A,$A356,Velocity!$B:$B,$C356)/Assumptions!$B$4*Assumptions!$B$6</f>
        <v>0</v>
      </c>
      <c r="AQ356" s="7" t="n">
        <f aca="false">SUMIFS(Doors!BC:BC,Doors!$A:$A,$D356,Doors!$B:$B,$B356,Doors!$C:$C,$C356)*SUMIFS(Velocity!$I:$I,Velocity!$A:$A,$A356,Velocity!$B:$B,$C356)/Assumptions!$B$4*Assumptions!$B$6</f>
        <v>0</v>
      </c>
      <c r="AR356" s="7" t="n">
        <f aca="false">SUMIFS(Doors!BD:BD,Doors!$A:$A,$D356,Doors!$B:$B,$B356,Doors!$C:$C,$C356)*SUMIFS(Velocity!$I:$I,Velocity!$A:$A,$A356,Velocity!$B:$B,$C356)/Assumptions!$B$4*Assumptions!$B$6</f>
        <v>0</v>
      </c>
      <c r="AS356" s="7" t="n">
        <f aca="false">SUMIFS(Doors!BE:BE,Doors!$A:$A,$D356,Doors!$B:$B,$B356,Doors!$C:$C,$C356)*SUMIFS(Velocity!$I:$I,Velocity!$A:$A,$A356,Velocity!$B:$B,$C356)/Assumptions!$B$4*Assumptions!$B$6</f>
        <v>0</v>
      </c>
      <c r="AT356" s="7" t="n">
        <f aca="false">SUMIFS(Doors!BF:BF,Doors!$A:$A,$D356,Doors!$B:$B,$B356,Doors!$C:$C,$C356)*SUMIFS(Velocity!$I:$I,Velocity!$A:$A,$A356,Velocity!$B:$B,$C356)/Assumptions!$B$4*Assumptions!$B$6</f>
        <v>0</v>
      </c>
      <c r="AU356" s="7" t="n">
        <f aca="false">SUMIFS(Doors!BG:BG,Doors!$A:$A,$D356,Doors!$B:$B,$B356,Doors!$C:$C,$C356)*SUMIFS(Velocity!$I:$I,Velocity!$A:$A,$A356,Velocity!$B:$B,$C356)/Assumptions!$B$4*Assumptions!$B$6</f>
        <v>0</v>
      </c>
      <c r="AV356" s="7" t="n">
        <f aca="false">SUMIFS(Doors!BH:BH,Doors!$A:$A,$D356,Doors!$B:$B,$B356,Doors!$C:$C,$C356)*SUMIFS(Velocity!$I:$I,Velocity!$A:$A,$A356,Velocity!$B:$B,$C356)/Assumptions!$B$4*Assumptions!$B$6</f>
        <v>0</v>
      </c>
      <c r="AW356" s="7" t="n">
        <f aca="false">SUMIFS(Doors!BI:BI,Doors!$A:$A,$D356,Doors!$B:$B,$B356,Doors!$C:$C,$C356)*SUMIFS(Velocity!$I:$I,Velocity!$A:$A,$A356,Velocity!$B:$B,$C356)/Assumptions!$B$4*Assumptions!$B$6</f>
        <v>0</v>
      </c>
      <c r="AX356" s="7" t="n">
        <f aca="false">SUMIFS(Doors!BJ:BJ,Doors!$A:$A,$D356,Doors!$B:$B,$B356,Doors!$C:$C,$C356)*SUMIFS(Velocity!$I:$I,Velocity!$A:$A,$A356,Velocity!$B:$B,$C356)/Assumptions!$B$4*Assumptions!$B$6</f>
        <v>0</v>
      </c>
      <c r="AY356" s="7" t="n">
        <f aca="false">SUMIFS(Doors!BK:BK,Doors!$A:$A,$D356,Doors!$B:$B,$B356,Doors!$C:$C,$C356)*SUMIFS(Velocity!$I:$I,Velocity!$A:$A,$A356,Velocity!$B:$B,$C356)/Assumptions!$B$4*Assumptions!$B$6</f>
        <v>0</v>
      </c>
      <c r="AZ356" s="7" t="n">
        <f aca="false">SUMIFS(Doors!BL:BL,Doors!$A:$A,$D356,Doors!$B:$B,$B356,Doors!$C:$C,$C356)*SUMIFS(Velocity!$I:$I,Velocity!$A:$A,$A356,Velocity!$B:$B,$C356)/Assumptions!$B$4*Assumptions!$B$6</f>
        <v>0</v>
      </c>
      <c r="BA356" s="7" t="n">
        <f aca="false">SUMIFS(Doors!BM:BM,Doors!$A:$A,$D356,Doors!$B:$B,$B356,Doors!$C:$C,$C356)*SUMIFS(Velocity!$I:$I,Velocity!$A:$A,$A356,Velocity!$B:$B,$C356)/Assumptions!$B$4*Assumptions!$B$6</f>
        <v>0</v>
      </c>
      <c r="BB356" s="7" t="n">
        <f aca="false">SUMIFS(Doors!BN:BN,Doors!$A:$A,$D356,Doors!$B:$B,$B356,Doors!$C:$C,$C356)*SUMIFS(Velocity!$I:$I,Velocity!$A:$A,$A356,Velocity!$B:$B,$C356)/Assumptions!$B$4*Assumptions!$B$6</f>
        <v>0</v>
      </c>
      <c r="BC356" s="7" t="n">
        <f aca="false">SUMIFS(Doors!BO:BO,Doors!$A:$A,$D356,Doors!$B:$B,$B356,Doors!$C:$C,$C356)*SUMIFS(Velocity!$I:$I,Velocity!$A:$A,$A356,Velocity!$B:$B,$C356)/Assumptions!$B$4*Assumptions!$B$6</f>
        <v>0</v>
      </c>
      <c r="BD356" s="7" t="n">
        <f aca="false">SUMIFS(Doors!BP:BP,Doors!$A:$A,$D356,Doors!$B:$B,$B356,Doors!$C:$C,$C356)*SUMIFS(Velocity!$I:$I,Velocity!$A:$A,$A356,Velocity!$B:$B,$C356)/Assumptions!$B$4*Assumptions!$B$6</f>
        <v>0</v>
      </c>
    </row>
    <row r="357" customFormat="false" ht="15" hidden="false" customHeight="false" outlineLevel="0" collapsed="false">
      <c r="A357" s="0" t="s">
        <v>111</v>
      </c>
      <c r="B357" s="0" t="s">
        <v>135</v>
      </c>
      <c r="C357" s="0" t="s">
        <v>115</v>
      </c>
      <c r="D357" s="0" t="s">
        <v>236</v>
      </c>
      <c r="E357" s="7" t="n">
        <f aca="false">SUMIFS(Doors!Q:Q,Doors!$A:$A,$D357,Doors!$B:$B,$B357,Doors!$C:$C,$C357)*SUMIFS(Velocity!$I:$I,Velocity!$A:$A,$A357,Velocity!$B:$B,$C357)/Assumptions!$B$4*Assumptions!$B$6</f>
        <v>0</v>
      </c>
      <c r="F357" s="7" t="n">
        <f aca="false">SUMIFS(Doors!R:R,Doors!$A:$A,$D357,Doors!$B:$B,$B357,Doors!$C:$C,$C357)*SUMIFS(Velocity!$I:$I,Velocity!$A:$A,$A357,Velocity!$B:$B,$C357)/Assumptions!$B$4*Assumptions!$B$6</f>
        <v>0</v>
      </c>
      <c r="G357" s="7" t="n">
        <f aca="false">SUMIFS(Doors!S:S,Doors!$A:$A,$D357,Doors!$B:$B,$B357,Doors!$C:$C,$C357)*SUMIFS(Velocity!$I:$I,Velocity!$A:$A,$A357,Velocity!$B:$B,$C357)/Assumptions!$B$4*Assumptions!$B$6</f>
        <v>0</v>
      </c>
      <c r="H357" s="7" t="n">
        <f aca="false">SUMIFS(Doors!T:T,Doors!$A:$A,$D357,Doors!$B:$B,$B357,Doors!$C:$C,$C357)*SUMIFS(Velocity!$I:$I,Velocity!$A:$A,$A357,Velocity!$B:$B,$C357)/Assumptions!$B$4*Assumptions!$B$6</f>
        <v>0</v>
      </c>
      <c r="I357" s="7" t="n">
        <f aca="false">SUMIFS(Doors!U:U,Doors!$A:$A,$D357,Doors!$B:$B,$B357,Doors!$C:$C,$C357)*SUMIFS(Velocity!$I:$I,Velocity!$A:$A,$A357,Velocity!$B:$B,$C357)/Assumptions!$B$4*Assumptions!$B$6</f>
        <v>0</v>
      </c>
      <c r="J357" s="7" t="n">
        <f aca="false">SUMIFS(Doors!V:V,Doors!$A:$A,$D357,Doors!$B:$B,$B357,Doors!$C:$C,$C357)*SUMIFS(Velocity!$I:$I,Velocity!$A:$A,$A357,Velocity!$B:$B,$C357)/Assumptions!$B$4*Assumptions!$B$6</f>
        <v>0</v>
      </c>
      <c r="K357" s="7" t="n">
        <f aca="false">SUMIFS(Doors!W:W,Doors!$A:$A,$D357,Doors!$B:$B,$B357,Doors!$C:$C,$C357)*SUMIFS(Velocity!$I:$I,Velocity!$A:$A,$A357,Velocity!$B:$B,$C357)/Assumptions!$B$4*Assumptions!$B$6</f>
        <v>0</v>
      </c>
      <c r="L357" s="7" t="n">
        <f aca="false">SUMIFS(Doors!X:X,Doors!$A:$A,$D357,Doors!$B:$B,$B357,Doors!$C:$C,$C357)*SUMIFS(Velocity!$I:$I,Velocity!$A:$A,$A357,Velocity!$B:$B,$C357)/Assumptions!$B$4*Assumptions!$B$6</f>
        <v>0</v>
      </c>
      <c r="M357" s="7" t="n">
        <f aca="false">SUMIFS(Doors!Y:Y,Doors!$A:$A,$D357,Doors!$B:$B,$B357,Doors!$C:$C,$C357)*SUMIFS(Velocity!$I:$I,Velocity!$A:$A,$A357,Velocity!$B:$B,$C357)/Assumptions!$B$4*Assumptions!$B$6</f>
        <v>0</v>
      </c>
      <c r="N357" s="7" t="n">
        <f aca="false">SUMIFS(Doors!Z:Z,Doors!$A:$A,$D357,Doors!$B:$B,$B357,Doors!$C:$C,$C357)*SUMIFS(Velocity!$I:$I,Velocity!$A:$A,$A357,Velocity!$B:$B,$C357)/Assumptions!$B$4*Assumptions!$B$6</f>
        <v>0</v>
      </c>
      <c r="O357" s="7" t="n">
        <f aca="false">SUMIFS(Doors!AA:AA,Doors!$A:$A,$D357,Doors!$B:$B,$B357,Doors!$C:$C,$C357)*SUMIFS(Velocity!$I:$I,Velocity!$A:$A,$A357,Velocity!$B:$B,$C357)/Assumptions!$B$4*Assumptions!$B$6</f>
        <v>0</v>
      </c>
      <c r="P357" s="7" t="n">
        <f aca="false">SUMIFS(Doors!AB:AB,Doors!$A:$A,$D357,Doors!$B:$B,$B357,Doors!$C:$C,$C357)*SUMIFS(Velocity!$I:$I,Velocity!$A:$A,$A357,Velocity!$B:$B,$C357)/Assumptions!$B$4*Assumptions!$B$6</f>
        <v>0</v>
      </c>
      <c r="Q357" s="7" t="n">
        <f aca="false">SUMIFS(Doors!AC:AC,Doors!$A:$A,$D357,Doors!$B:$B,$B357,Doors!$C:$C,$C357)*SUMIFS(Velocity!$I:$I,Velocity!$A:$A,$A357,Velocity!$B:$B,$C357)/Assumptions!$B$4*Assumptions!$B$6</f>
        <v>0</v>
      </c>
      <c r="R357" s="7" t="n">
        <f aca="false">SUMIFS(Doors!AD:AD,Doors!$A:$A,$D357,Doors!$B:$B,$B357,Doors!$C:$C,$C357)*SUMIFS(Velocity!$I:$I,Velocity!$A:$A,$A357,Velocity!$B:$B,$C357)/Assumptions!$B$4*Assumptions!$B$6</f>
        <v>0</v>
      </c>
      <c r="S357" s="7" t="n">
        <f aca="false">SUMIFS(Doors!AE:AE,Doors!$A:$A,$D357,Doors!$B:$B,$B357,Doors!$C:$C,$C357)*SUMIFS(Velocity!$I:$I,Velocity!$A:$A,$A357,Velocity!$B:$B,$C357)/Assumptions!$B$4*Assumptions!$B$6</f>
        <v>0</v>
      </c>
      <c r="T357" s="7" t="n">
        <f aca="false">SUMIFS(Doors!AF:AF,Doors!$A:$A,$D357,Doors!$B:$B,$B357,Doors!$C:$C,$C357)*SUMIFS(Velocity!$I:$I,Velocity!$A:$A,$A357,Velocity!$B:$B,$C357)/Assumptions!$B$4*Assumptions!$B$6</f>
        <v>0</v>
      </c>
      <c r="U357" s="7" t="n">
        <f aca="false">SUMIFS(Doors!AG:AG,Doors!$A:$A,$D357,Doors!$B:$B,$B357,Doors!$C:$C,$C357)*SUMIFS(Velocity!$I:$I,Velocity!$A:$A,$A357,Velocity!$B:$B,$C357)/Assumptions!$B$4*Assumptions!$B$6</f>
        <v>0</v>
      </c>
      <c r="V357" s="7" t="n">
        <f aca="false">SUMIFS(Doors!AH:AH,Doors!$A:$A,$D357,Doors!$B:$B,$B357,Doors!$C:$C,$C357)*SUMIFS(Velocity!$I:$I,Velocity!$A:$A,$A357,Velocity!$B:$B,$C357)/Assumptions!$B$4*Assumptions!$B$6</f>
        <v>0</v>
      </c>
      <c r="W357" s="7" t="n">
        <f aca="false">SUMIFS(Doors!AI:AI,Doors!$A:$A,$D357,Doors!$B:$B,$B357,Doors!$C:$C,$C357)*SUMIFS(Velocity!$I:$I,Velocity!$A:$A,$A357,Velocity!$B:$B,$C357)/Assumptions!$B$4*Assumptions!$B$6</f>
        <v>0</v>
      </c>
      <c r="X357" s="7" t="n">
        <f aca="false">SUMIFS(Doors!AJ:AJ,Doors!$A:$A,$D357,Doors!$B:$B,$B357,Doors!$C:$C,$C357)*SUMIFS(Velocity!$I:$I,Velocity!$A:$A,$A357,Velocity!$B:$B,$C357)/Assumptions!$B$4*Assumptions!$B$6</f>
        <v>0</v>
      </c>
      <c r="Y357" s="7" t="n">
        <f aca="false">SUMIFS(Doors!AK:AK,Doors!$A:$A,$D357,Doors!$B:$B,$B357,Doors!$C:$C,$C357)*SUMIFS(Velocity!$I:$I,Velocity!$A:$A,$A357,Velocity!$B:$B,$C357)/Assumptions!$B$4*Assumptions!$B$6</f>
        <v>0</v>
      </c>
      <c r="Z357" s="7" t="n">
        <f aca="false">SUMIFS(Doors!AL:AL,Doors!$A:$A,$D357,Doors!$B:$B,$B357,Doors!$C:$C,$C357)*SUMIFS(Velocity!$I:$I,Velocity!$A:$A,$A357,Velocity!$B:$B,$C357)/Assumptions!$B$4*Assumptions!$B$6</f>
        <v>0</v>
      </c>
      <c r="AA357" s="7" t="n">
        <f aca="false">SUMIFS(Doors!AM:AM,Doors!$A:$A,$D357,Doors!$B:$B,$B357,Doors!$C:$C,$C357)*SUMIFS(Velocity!$I:$I,Velocity!$A:$A,$A357,Velocity!$B:$B,$C357)/Assumptions!$B$4*Assumptions!$B$6</f>
        <v>0</v>
      </c>
      <c r="AB357" s="7" t="n">
        <f aca="false">SUMIFS(Doors!AN:AN,Doors!$A:$A,$D357,Doors!$B:$B,$B357,Doors!$C:$C,$C357)*SUMIFS(Velocity!$I:$I,Velocity!$A:$A,$A357,Velocity!$B:$B,$C357)/Assumptions!$B$4*Assumptions!$B$6</f>
        <v>0</v>
      </c>
      <c r="AC357" s="7" t="n">
        <f aca="false">SUMIFS(Doors!AO:AO,Doors!$A:$A,$D357,Doors!$B:$B,$B357,Doors!$C:$C,$C357)*SUMIFS(Velocity!$I:$I,Velocity!$A:$A,$A357,Velocity!$B:$B,$C357)/Assumptions!$B$4*Assumptions!$B$6</f>
        <v>0</v>
      </c>
      <c r="AD357" s="7" t="n">
        <f aca="false">SUMIFS(Doors!AP:AP,Doors!$A:$A,$D357,Doors!$B:$B,$B357,Doors!$C:$C,$C357)*SUMIFS(Velocity!$I:$I,Velocity!$A:$A,$A357,Velocity!$B:$B,$C357)/Assumptions!$B$4*Assumptions!$B$6</f>
        <v>0</v>
      </c>
      <c r="AE357" s="7" t="n">
        <f aca="false">SUMIFS(Doors!AQ:AQ,Doors!$A:$A,$D357,Doors!$B:$B,$B357,Doors!$C:$C,$C357)*SUMIFS(Velocity!$I:$I,Velocity!$A:$A,$A357,Velocity!$B:$B,$C357)/Assumptions!$B$4*Assumptions!$B$6</f>
        <v>0</v>
      </c>
      <c r="AF357" s="7" t="n">
        <f aca="false">SUMIFS(Doors!AR:AR,Doors!$A:$A,$D357,Doors!$B:$B,$B357,Doors!$C:$C,$C357)*SUMIFS(Velocity!$I:$I,Velocity!$A:$A,$A357,Velocity!$B:$B,$C357)/Assumptions!$B$4*Assumptions!$B$6</f>
        <v>0</v>
      </c>
      <c r="AG357" s="7" t="n">
        <f aca="false">SUMIFS(Doors!AS:AS,Doors!$A:$A,$D357,Doors!$B:$B,$B357,Doors!$C:$C,$C357)*SUMIFS(Velocity!$I:$I,Velocity!$A:$A,$A357,Velocity!$B:$B,$C357)/Assumptions!$B$4*Assumptions!$B$6</f>
        <v>0</v>
      </c>
      <c r="AH357" s="7" t="n">
        <f aca="false">SUMIFS(Doors!AT:AT,Doors!$A:$A,$D357,Doors!$B:$B,$B357,Doors!$C:$C,$C357)*SUMIFS(Velocity!$I:$I,Velocity!$A:$A,$A357,Velocity!$B:$B,$C357)/Assumptions!$B$4*Assumptions!$B$6</f>
        <v>0</v>
      </c>
      <c r="AI357" s="7" t="n">
        <f aca="false">SUMIFS(Doors!AU:AU,Doors!$A:$A,$D357,Doors!$B:$B,$B357,Doors!$C:$C,$C357)*SUMIFS(Velocity!$I:$I,Velocity!$A:$A,$A357,Velocity!$B:$B,$C357)/Assumptions!$B$4*Assumptions!$B$6</f>
        <v>0</v>
      </c>
      <c r="AJ357" s="7" t="n">
        <f aca="false">SUMIFS(Doors!AV:AV,Doors!$A:$A,$D357,Doors!$B:$B,$B357,Doors!$C:$C,$C357)*SUMIFS(Velocity!$I:$I,Velocity!$A:$A,$A357,Velocity!$B:$B,$C357)/Assumptions!$B$4*Assumptions!$B$6</f>
        <v>0</v>
      </c>
      <c r="AK357" s="7" t="n">
        <f aca="false">SUMIFS(Doors!AW:AW,Doors!$A:$A,$D357,Doors!$B:$B,$B357,Doors!$C:$C,$C357)*SUMIFS(Velocity!$I:$I,Velocity!$A:$A,$A357,Velocity!$B:$B,$C357)/Assumptions!$B$4*Assumptions!$B$6</f>
        <v>0</v>
      </c>
      <c r="AL357" s="7" t="n">
        <f aca="false">SUMIFS(Doors!AX:AX,Doors!$A:$A,$D357,Doors!$B:$B,$B357,Doors!$C:$C,$C357)*SUMIFS(Velocity!$I:$I,Velocity!$A:$A,$A357,Velocity!$B:$B,$C357)/Assumptions!$B$4*Assumptions!$B$6</f>
        <v>0</v>
      </c>
      <c r="AM357" s="7" t="n">
        <f aca="false">SUMIFS(Doors!AY:AY,Doors!$A:$A,$D357,Doors!$B:$B,$B357,Doors!$C:$C,$C357)*SUMIFS(Velocity!$I:$I,Velocity!$A:$A,$A357,Velocity!$B:$B,$C357)/Assumptions!$B$4*Assumptions!$B$6</f>
        <v>0</v>
      </c>
      <c r="AN357" s="7" t="n">
        <f aca="false">SUMIFS(Doors!AZ:AZ,Doors!$A:$A,$D357,Doors!$B:$B,$B357,Doors!$C:$C,$C357)*SUMIFS(Velocity!$I:$I,Velocity!$A:$A,$A357,Velocity!$B:$B,$C357)/Assumptions!$B$4*Assumptions!$B$6</f>
        <v>0</v>
      </c>
      <c r="AO357" s="7" t="n">
        <f aca="false">SUMIFS(Doors!BA:BA,Doors!$A:$A,$D357,Doors!$B:$B,$B357,Doors!$C:$C,$C357)*SUMIFS(Velocity!$I:$I,Velocity!$A:$A,$A357,Velocity!$B:$B,$C357)/Assumptions!$B$4*Assumptions!$B$6</f>
        <v>0</v>
      </c>
      <c r="AP357" s="7" t="n">
        <f aca="false">SUMIFS(Doors!BB:BB,Doors!$A:$A,$D357,Doors!$B:$B,$B357,Doors!$C:$C,$C357)*SUMIFS(Velocity!$I:$I,Velocity!$A:$A,$A357,Velocity!$B:$B,$C357)/Assumptions!$B$4*Assumptions!$B$6</f>
        <v>0</v>
      </c>
      <c r="AQ357" s="7" t="n">
        <f aca="false">SUMIFS(Doors!BC:BC,Doors!$A:$A,$D357,Doors!$B:$B,$B357,Doors!$C:$C,$C357)*SUMIFS(Velocity!$I:$I,Velocity!$A:$A,$A357,Velocity!$B:$B,$C357)/Assumptions!$B$4*Assumptions!$B$6</f>
        <v>0</v>
      </c>
      <c r="AR357" s="7" t="n">
        <f aca="false">SUMIFS(Doors!BD:BD,Doors!$A:$A,$D357,Doors!$B:$B,$B357,Doors!$C:$C,$C357)*SUMIFS(Velocity!$I:$I,Velocity!$A:$A,$A357,Velocity!$B:$B,$C357)/Assumptions!$B$4*Assumptions!$B$6</f>
        <v>0</v>
      </c>
      <c r="AS357" s="7" t="n">
        <f aca="false">SUMIFS(Doors!BE:BE,Doors!$A:$A,$D357,Doors!$B:$B,$B357,Doors!$C:$C,$C357)*SUMIFS(Velocity!$I:$I,Velocity!$A:$A,$A357,Velocity!$B:$B,$C357)/Assumptions!$B$4*Assumptions!$B$6</f>
        <v>0</v>
      </c>
      <c r="AT357" s="7" t="n">
        <f aca="false">SUMIFS(Doors!BF:BF,Doors!$A:$A,$D357,Doors!$B:$B,$B357,Doors!$C:$C,$C357)*SUMIFS(Velocity!$I:$I,Velocity!$A:$A,$A357,Velocity!$B:$B,$C357)/Assumptions!$B$4*Assumptions!$B$6</f>
        <v>0</v>
      </c>
      <c r="AU357" s="7" t="n">
        <f aca="false">SUMIFS(Doors!BG:BG,Doors!$A:$A,$D357,Doors!$B:$B,$B357,Doors!$C:$C,$C357)*SUMIFS(Velocity!$I:$I,Velocity!$A:$A,$A357,Velocity!$B:$B,$C357)/Assumptions!$B$4*Assumptions!$B$6</f>
        <v>0</v>
      </c>
      <c r="AV357" s="7" t="n">
        <f aca="false">SUMIFS(Doors!BH:BH,Doors!$A:$A,$D357,Doors!$B:$B,$B357,Doors!$C:$C,$C357)*SUMIFS(Velocity!$I:$I,Velocity!$A:$A,$A357,Velocity!$B:$B,$C357)/Assumptions!$B$4*Assumptions!$B$6</f>
        <v>0</v>
      </c>
      <c r="AW357" s="7" t="n">
        <f aca="false">SUMIFS(Doors!BI:BI,Doors!$A:$A,$D357,Doors!$B:$B,$B357,Doors!$C:$C,$C357)*SUMIFS(Velocity!$I:$I,Velocity!$A:$A,$A357,Velocity!$B:$B,$C357)/Assumptions!$B$4*Assumptions!$B$6</f>
        <v>0</v>
      </c>
      <c r="AX357" s="7" t="n">
        <f aca="false">SUMIFS(Doors!BJ:BJ,Doors!$A:$A,$D357,Doors!$B:$B,$B357,Doors!$C:$C,$C357)*SUMIFS(Velocity!$I:$I,Velocity!$A:$A,$A357,Velocity!$B:$B,$C357)/Assumptions!$B$4*Assumptions!$B$6</f>
        <v>0</v>
      </c>
      <c r="AY357" s="7" t="n">
        <f aca="false">SUMIFS(Doors!BK:BK,Doors!$A:$A,$D357,Doors!$B:$B,$B357,Doors!$C:$C,$C357)*SUMIFS(Velocity!$I:$I,Velocity!$A:$A,$A357,Velocity!$B:$B,$C357)/Assumptions!$B$4*Assumptions!$B$6</f>
        <v>0</v>
      </c>
      <c r="AZ357" s="7" t="n">
        <f aca="false">SUMIFS(Doors!BL:BL,Doors!$A:$A,$D357,Doors!$B:$B,$B357,Doors!$C:$C,$C357)*SUMIFS(Velocity!$I:$I,Velocity!$A:$A,$A357,Velocity!$B:$B,$C357)/Assumptions!$B$4*Assumptions!$B$6</f>
        <v>0</v>
      </c>
      <c r="BA357" s="7" t="n">
        <f aca="false">SUMIFS(Doors!BM:BM,Doors!$A:$A,$D357,Doors!$B:$B,$B357,Doors!$C:$C,$C357)*SUMIFS(Velocity!$I:$I,Velocity!$A:$A,$A357,Velocity!$B:$B,$C357)/Assumptions!$B$4*Assumptions!$B$6</f>
        <v>0</v>
      </c>
      <c r="BB357" s="7" t="n">
        <f aca="false">SUMIFS(Doors!BN:BN,Doors!$A:$A,$D357,Doors!$B:$B,$B357,Doors!$C:$C,$C357)*SUMIFS(Velocity!$I:$I,Velocity!$A:$A,$A357,Velocity!$B:$B,$C357)/Assumptions!$B$4*Assumptions!$B$6</f>
        <v>0</v>
      </c>
      <c r="BC357" s="7" t="n">
        <f aca="false">SUMIFS(Doors!BO:BO,Doors!$A:$A,$D357,Doors!$B:$B,$B357,Doors!$C:$C,$C357)*SUMIFS(Velocity!$I:$I,Velocity!$A:$A,$A357,Velocity!$B:$B,$C357)/Assumptions!$B$4*Assumptions!$B$6</f>
        <v>0</v>
      </c>
      <c r="BD357" s="7" t="n">
        <f aca="false">SUMIFS(Doors!BP:BP,Doors!$A:$A,$D357,Doors!$B:$B,$B357,Doors!$C:$C,$C357)*SUMIFS(Velocity!$I:$I,Velocity!$A:$A,$A357,Velocity!$B:$B,$C357)/Assumptions!$B$4*Assumptions!$B$6</f>
        <v>0</v>
      </c>
    </row>
    <row r="358" customFormat="false" ht="15" hidden="false" customHeight="false" outlineLevel="0" collapsed="false">
      <c r="A358" s="0" t="s">
        <v>111</v>
      </c>
      <c r="B358" s="0" t="s">
        <v>135</v>
      </c>
      <c r="C358" s="0" t="s">
        <v>116</v>
      </c>
      <c r="D358" s="0" t="s">
        <v>236</v>
      </c>
      <c r="E358" s="7" t="n">
        <f aca="false">SUMIFS(Doors!Q:Q,Doors!$A:$A,$D358,Doors!$B:$B,$B358,Doors!$C:$C,$C358)*SUMIFS(Velocity!$I:$I,Velocity!$A:$A,$A358,Velocity!$B:$B,$C358)/Assumptions!$B$4*Assumptions!$B$6</f>
        <v>0</v>
      </c>
      <c r="F358" s="7" t="n">
        <f aca="false">SUMIFS(Doors!R:R,Doors!$A:$A,$D358,Doors!$B:$B,$B358,Doors!$C:$C,$C358)*SUMIFS(Velocity!$I:$I,Velocity!$A:$A,$A358,Velocity!$B:$B,$C358)/Assumptions!$B$4*Assumptions!$B$6</f>
        <v>0</v>
      </c>
      <c r="G358" s="7" t="n">
        <f aca="false">SUMIFS(Doors!S:S,Doors!$A:$A,$D358,Doors!$B:$B,$B358,Doors!$C:$C,$C358)*SUMIFS(Velocity!$I:$I,Velocity!$A:$A,$A358,Velocity!$B:$B,$C358)/Assumptions!$B$4*Assumptions!$B$6</f>
        <v>0</v>
      </c>
      <c r="H358" s="7" t="n">
        <f aca="false">SUMIFS(Doors!T:T,Doors!$A:$A,$D358,Doors!$B:$B,$B358,Doors!$C:$C,$C358)*SUMIFS(Velocity!$I:$I,Velocity!$A:$A,$A358,Velocity!$B:$B,$C358)/Assumptions!$B$4*Assumptions!$B$6</f>
        <v>0</v>
      </c>
      <c r="I358" s="7" t="n">
        <f aca="false">SUMIFS(Doors!U:U,Doors!$A:$A,$D358,Doors!$B:$B,$B358,Doors!$C:$C,$C358)*SUMIFS(Velocity!$I:$I,Velocity!$A:$A,$A358,Velocity!$B:$B,$C358)/Assumptions!$B$4*Assumptions!$B$6</f>
        <v>0</v>
      </c>
      <c r="J358" s="7" t="n">
        <f aca="false">SUMIFS(Doors!V:V,Doors!$A:$A,$D358,Doors!$B:$B,$B358,Doors!$C:$C,$C358)*SUMIFS(Velocity!$I:$I,Velocity!$A:$A,$A358,Velocity!$B:$B,$C358)/Assumptions!$B$4*Assumptions!$B$6</f>
        <v>0</v>
      </c>
      <c r="K358" s="7" t="n">
        <f aca="false">SUMIFS(Doors!W:W,Doors!$A:$A,$D358,Doors!$B:$B,$B358,Doors!$C:$C,$C358)*SUMIFS(Velocity!$I:$I,Velocity!$A:$A,$A358,Velocity!$B:$B,$C358)/Assumptions!$B$4*Assumptions!$B$6</f>
        <v>0</v>
      </c>
      <c r="L358" s="7" t="n">
        <f aca="false">SUMIFS(Doors!X:X,Doors!$A:$A,$D358,Doors!$B:$B,$B358,Doors!$C:$C,$C358)*SUMIFS(Velocity!$I:$I,Velocity!$A:$A,$A358,Velocity!$B:$B,$C358)/Assumptions!$B$4*Assumptions!$B$6</f>
        <v>0</v>
      </c>
      <c r="M358" s="7" t="n">
        <f aca="false">SUMIFS(Doors!Y:Y,Doors!$A:$A,$D358,Doors!$B:$B,$B358,Doors!$C:$C,$C358)*SUMIFS(Velocity!$I:$I,Velocity!$A:$A,$A358,Velocity!$B:$B,$C358)/Assumptions!$B$4*Assumptions!$B$6</f>
        <v>0</v>
      </c>
      <c r="N358" s="7" t="n">
        <f aca="false">SUMIFS(Doors!Z:Z,Doors!$A:$A,$D358,Doors!$B:$B,$B358,Doors!$C:$C,$C358)*SUMIFS(Velocity!$I:$I,Velocity!$A:$A,$A358,Velocity!$B:$B,$C358)/Assumptions!$B$4*Assumptions!$B$6</f>
        <v>0</v>
      </c>
      <c r="O358" s="7" t="n">
        <f aca="false">SUMIFS(Doors!AA:AA,Doors!$A:$A,$D358,Doors!$B:$B,$B358,Doors!$C:$C,$C358)*SUMIFS(Velocity!$I:$I,Velocity!$A:$A,$A358,Velocity!$B:$B,$C358)/Assumptions!$B$4*Assumptions!$B$6</f>
        <v>0</v>
      </c>
      <c r="P358" s="7" t="n">
        <f aca="false">SUMIFS(Doors!AB:AB,Doors!$A:$A,$D358,Doors!$B:$B,$B358,Doors!$C:$C,$C358)*SUMIFS(Velocity!$I:$I,Velocity!$A:$A,$A358,Velocity!$B:$B,$C358)/Assumptions!$B$4*Assumptions!$B$6</f>
        <v>0</v>
      </c>
      <c r="Q358" s="7" t="n">
        <f aca="false">SUMIFS(Doors!AC:AC,Doors!$A:$A,$D358,Doors!$B:$B,$B358,Doors!$C:$C,$C358)*SUMIFS(Velocity!$I:$I,Velocity!$A:$A,$A358,Velocity!$B:$B,$C358)/Assumptions!$B$4*Assumptions!$B$6</f>
        <v>0</v>
      </c>
      <c r="R358" s="7" t="n">
        <f aca="false">SUMIFS(Doors!AD:AD,Doors!$A:$A,$D358,Doors!$B:$B,$B358,Doors!$C:$C,$C358)*SUMIFS(Velocity!$I:$I,Velocity!$A:$A,$A358,Velocity!$B:$B,$C358)/Assumptions!$B$4*Assumptions!$B$6</f>
        <v>0</v>
      </c>
      <c r="S358" s="7" t="n">
        <f aca="false">SUMIFS(Doors!AE:AE,Doors!$A:$A,$D358,Doors!$B:$B,$B358,Doors!$C:$C,$C358)*SUMIFS(Velocity!$I:$I,Velocity!$A:$A,$A358,Velocity!$B:$B,$C358)/Assumptions!$B$4*Assumptions!$B$6</f>
        <v>0</v>
      </c>
      <c r="T358" s="7" t="n">
        <f aca="false">SUMIFS(Doors!AF:AF,Doors!$A:$A,$D358,Doors!$B:$B,$B358,Doors!$C:$C,$C358)*SUMIFS(Velocity!$I:$I,Velocity!$A:$A,$A358,Velocity!$B:$B,$C358)/Assumptions!$B$4*Assumptions!$B$6</f>
        <v>0</v>
      </c>
      <c r="U358" s="7" t="n">
        <f aca="false">SUMIFS(Doors!AG:AG,Doors!$A:$A,$D358,Doors!$B:$B,$B358,Doors!$C:$C,$C358)*SUMIFS(Velocity!$I:$I,Velocity!$A:$A,$A358,Velocity!$B:$B,$C358)/Assumptions!$B$4*Assumptions!$B$6</f>
        <v>0</v>
      </c>
      <c r="V358" s="7" t="n">
        <f aca="false">SUMIFS(Doors!AH:AH,Doors!$A:$A,$D358,Doors!$B:$B,$B358,Doors!$C:$C,$C358)*SUMIFS(Velocity!$I:$I,Velocity!$A:$A,$A358,Velocity!$B:$B,$C358)/Assumptions!$B$4*Assumptions!$B$6</f>
        <v>0</v>
      </c>
      <c r="W358" s="7" t="n">
        <f aca="false">SUMIFS(Doors!AI:AI,Doors!$A:$A,$D358,Doors!$B:$B,$B358,Doors!$C:$C,$C358)*SUMIFS(Velocity!$I:$I,Velocity!$A:$A,$A358,Velocity!$B:$B,$C358)/Assumptions!$B$4*Assumptions!$B$6</f>
        <v>0</v>
      </c>
      <c r="X358" s="7" t="n">
        <f aca="false">SUMIFS(Doors!AJ:AJ,Doors!$A:$A,$D358,Doors!$B:$B,$B358,Doors!$C:$C,$C358)*SUMIFS(Velocity!$I:$I,Velocity!$A:$A,$A358,Velocity!$B:$B,$C358)/Assumptions!$B$4*Assumptions!$B$6</f>
        <v>0</v>
      </c>
      <c r="Y358" s="7" t="n">
        <f aca="false">SUMIFS(Doors!AK:AK,Doors!$A:$A,$D358,Doors!$B:$B,$B358,Doors!$C:$C,$C358)*SUMIFS(Velocity!$I:$I,Velocity!$A:$A,$A358,Velocity!$B:$B,$C358)/Assumptions!$B$4*Assumptions!$B$6</f>
        <v>0</v>
      </c>
      <c r="Z358" s="7" t="n">
        <f aca="false">SUMIFS(Doors!AL:AL,Doors!$A:$A,$D358,Doors!$B:$B,$B358,Doors!$C:$C,$C358)*SUMIFS(Velocity!$I:$I,Velocity!$A:$A,$A358,Velocity!$B:$B,$C358)/Assumptions!$B$4*Assumptions!$B$6</f>
        <v>0</v>
      </c>
      <c r="AA358" s="7" t="n">
        <f aca="false">SUMIFS(Doors!AM:AM,Doors!$A:$A,$D358,Doors!$B:$B,$B358,Doors!$C:$C,$C358)*SUMIFS(Velocity!$I:$I,Velocity!$A:$A,$A358,Velocity!$B:$B,$C358)/Assumptions!$B$4*Assumptions!$B$6</f>
        <v>0</v>
      </c>
      <c r="AB358" s="7" t="n">
        <f aca="false">SUMIFS(Doors!AN:AN,Doors!$A:$A,$D358,Doors!$B:$B,$B358,Doors!$C:$C,$C358)*SUMIFS(Velocity!$I:$I,Velocity!$A:$A,$A358,Velocity!$B:$B,$C358)/Assumptions!$B$4*Assumptions!$B$6</f>
        <v>0</v>
      </c>
      <c r="AC358" s="7" t="n">
        <f aca="false">SUMIFS(Doors!AO:AO,Doors!$A:$A,$D358,Doors!$B:$B,$B358,Doors!$C:$C,$C358)*SUMIFS(Velocity!$I:$I,Velocity!$A:$A,$A358,Velocity!$B:$B,$C358)/Assumptions!$B$4*Assumptions!$B$6</f>
        <v>0</v>
      </c>
      <c r="AD358" s="7" t="n">
        <f aca="false">SUMIFS(Doors!AP:AP,Doors!$A:$A,$D358,Doors!$B:$B,$B358,Doors!$C:$C,$C358)*SUMIFS(Velocity!$I:$I,Velocity!$A:$A,$A358,Velocity!$B:$B,$C358)/Assumptions!$B$4*Assumptions!$B$6</f>
        <v>0</v>
      </c>
      <c r="AE358" s="7" t="n">
        <f aca="false">SUMIFS(Doors!AQ:AQ,Doors!$A:$A,$D358,Doors!$B:$B,$B358,Doors!$C:$C,$C358)*SUMIFS(Velocity!$I:$I,Velocity!$A:$A,$A358,Velocity!$B:$B,$C358)/Assumptions!$B$4*Assumptions!$B$6</f>
        <v>0</v>
      </c>
      <c r="AF358" s="7" t="n">
        <f aca="false">SUMIFS(Doors!AR:AR,Doors!$A:$A,$D358,Doors!$B:$B,$B358,Doors!$C:$C,$C358)*SUMIFS(Velocity!$I:$I,Velocity!$A:$A,$A358,Velocity!$B:$B,$C358)/Assumptions!$B$4*Assumptions!$B$6</f>
        <v>0</v>
      </c>
      <c r="AG358" s="7" t="n">
        <f aca="false">SUMIFS(Doors!AS:AS,Doors!$A:$A,$D358,Doors!$B:$B,$B358,Doors!$C:$C,$C358)*SUMIFS(Velocity!$I:$I,Velocity!$A:$A,$A358,Velocity!$B:$B,$C358)/Assumptions!$B$4*Assumptions!$B$6</f>
        <v>0</v>
      </c>
      <c r="AH358" s="7" t="n">
        <f aca="false">SUMIFS(Doors!AT:AT,Doors!$A:$A,$D358,Doors!$B:$B,$B358,Doors!$C:$C,$C358)*SUMIFS(Velocity!$I:$I,Velocity!$A:$A,$A358,Velocity!$B:$B,$C358)/Assumptions!$B$4*Assumptions!$B$6</f>
        <v>0</v>
      </c>
      <c r="AI358" s="7" t="n">
        <f aca="false">SUMIFS(Doors!AU:AU,Doors!$A:$A,$D358,Doors!$B:$B,$B358,Doors!$C:$C,$C358)*SUMIFS(Velocity!$I:$I,Velocity!$A:$A,$A358,Velocity!$B:$B,$C358)/Assumptions!$B$4*Assumptions!$B$6</f>
        <v>0</v>
      </c>
      <c r="AJ358" s="7" t="n">
        <f aca="false">SUMIFS(Doors!AV:AV,Doors!$A:$A,$D358,Doors!$B:$B,$B358,Doors!$C:$C,$C358)*SUMIFS(Velocity!$I:$I,Velocity!$A:$A,$A358,Velocity!$B:$B,$C358)/Assumptions!$B$4*Assumptions!$B$6</f>
        <v>0</v>
      </c>
      <c r="AK358" s="7" t="n">
        <f aca="false">SUMIFS(Doors!AW:AW,Doors!$A:$A,$D358,Doors!$B:$B,$B358,Doors!$C:$C,$C358)*SUMIFS(Velocity!$I:$I,Velocity!$A:$A,$A358,Velocity!$B:$B,$C358)/Assumptions!$B$4*Assumptions!$B$6</f>
        <v>0</v>
      </c>
      <c r="AL358" s="7" t="n">
        <f aca="false">SUMIFS(Doors!AX:AX,Doors!$A:$A,$D358,Doors!$B:$B,$B358,Doors!$C:$C,$C358)*SUMIFS(Velocity!$I:$I,Velocity!$A:$A,$A358,Velocity!$B:$B,$C358)/Assumptions!$B$4*Assumptions!$B$6</f>
        <v>0</v>
      </c>
      <c r="AM358" s="7" t="n">
        <f aca="false">SUMIFS(Doors!AY:AY,Doors!$A:$A,$D358,Doors!$B:$B,$B358,Doors!$C:$C,$C358)*SUMIFS(Velocity!$I:$I,Velocity!$A:$A,$A358,Velocity!$B:$B,$C358)/Assumptions!$B$4*Assumptions!$B$6</f>
        <v>0</v>
      </c>
      <c r="AN358" s="7" t="n">
        <f aca="false">SUMIFS(Doors!AZ:AZ,Doors!$A:$A,$D358,Doors!$B:$B,$B358,Doors!$C:$C,$C358)*SUMIFS(Velocity!$I:$I,Velocity!$A:$A,$A358,Velocity!$B:$B,$C358)/Assumptions!$B$4*Assumptions!$B$6</f>
        <v>0</v>
      </c>
      <c r="AO358" s="7" t="n">
        <f aca="false">SUMIFS(Doors!BA:BA,Doors!$A:$A,$D358,Doors!$B:$B,$B358,Doors!$C:$C,$C358)*SUMIFS(Velocity!$I:$I,Velocity!$A:$A,$A358,Velocity!$B:$B,$C358)/Assumptions!$B$4*Assumptions!$B$6</f>
        <v>0</v>
      </c>
      <c r="AP358" s="7" t="n">
        <f aca="false">SUMIFS(Doors!BB:BB,Doors!$A:$A,$D358,Doors!$B:$B,$B358,Doors!$C:$C,$C358)*SUMIFS(Velocity!$I:$I,Velocity!$A:$A,$A358,Velocity!$B:$B,$C358)/Assumptions!$B$4*Assumptions!$B$6</f>
        <v>0</v>
      </c>
      <c r="AQ358" s="7" t="n">
        <f aca="false">SUMIFS(Doors!BC:BC,Doors!$A:$A,$D358,Doors!$B:$B,$B358,Doors!$C:$C,$C358)*SUMIFS(Velocity!$I:$I,Velocity!$A:$A,$A358,Velocity!$B:$B,$C358)/Assumptions!$B$4*Assumptions!$B$6</f>
        <v>0</v>
      </c>
      <c r="AR358" s="7" t="n">
        <f aca="false">SUMIFS(Doors!BD:BD,Doors!$A:$A,$D358,Doors!$B:$B,$B358,Doors!$C:$C,$C358)*SUMIFS(Velocity!$I:$I,Velocity!$A:$A,$A358,Velocity!$B:$B,$C358)/Assumptions!$B$4*Assumptions!$B$6</f>
        <v>0</v>
      </c>
      <c r="AS358" s="7" t="n">
        <f aca="false">SUMIFS(Doors!BE:BE,Doors!$A:$A,$D358,Doors!$B:$B,$B358,Doors!$C:$C,$C358)*SUMIFS(Velocity!$I:$I,Velocity!$A:$A,$A358,Velocity!$B:$B,$C358)/Assumptions!$B$4*Assumptions!$B$6</f>
        <v>0</v>
      </c>
      <c r="AT358" s="7" t="n">
        <f aca="false">SUMIFS(Doors!BF:BF,Doors!$A:$A,$D358,Doors!$B:$B,$B358,Doors!$C:$C,$C358)*SUMIFS(Velocity!$I:$I,Velocity!$A:$A,$A358,Velocity!$B:$B,$C358)/Assumptions!$B$4*Assumptions!$B$6</f>
        <v>0</v>
      </c>
      <c r="AU358" s="7" t="n">
        <f aca="false">SUMIFS(Doors!BG:BG,Doors!$A:$A,$D358,Doors!$B:$B,$B358,Doors!$C:$C,$C358)*SUMIFS(Velocity!$I:$I,Velocity!$A:$A,$A358,Velocity!$B:$B,$C358)/Assumptions!$B$4*Assumptions!$B$6</f>
        <v>0</v>
      </c>
      <c r="AV358" s="7" t="n">
        <f aca="false">SUMIFS(Doors!BH:BH,Doors!$A:$A,$D358,Doors!$B:$B,$B358,Doors!$C:$C,$C358)*SUMIFS(Velocity!$I:$I,Velocity!$A:$A,$A358,Velocity!$B:$B,$C358)/Assumptions!$B$4*Assumptions!$B$6</f>
        <v>0</v>
      </c>
      <c r="AW358" s="7" t="n">
        <f aca="false">SUMIFS(Doors!BI:BI,Doors!$A:$A,$D358,Doors!$B:$B,$B358,Doors!$C:$C,$C358)*SUMIFS(Velocity!$I:$I,Velocity!$A:$A,$A358,Velocity!$B:$B,$C358)/Assumptions!$B$4*Assumptions!$B$6</f>
        <v>0</v>
      </c>
      <c r="AX358" s="7" t="n">
        <f aca="false">SUMIFS(Doors!BJ:BJ,Doors!$A:$A,$D358,Doors!$B:$B,$B358,Doors!$C:$C,$C358)*SUMIFS(Velocity!$I:$I,Velocity!$A:$A,$A358,Velocity!$B:$B,$C358)/Assumptions!$B$4*Assumptions!$B$6</f>
        <v>0</v>
      </c>
      <c r="AY358" s="7" t="n">
        <f aca="false">SUMIFS(Doors!BK:BK,Doors!$A:$A,$D358,Doors!$B:$B,$B358,Doors!$C:$C,$C358)*SUMIFS(Velocity!$I:$I,Velocity!$A:$A,$A358,Velocity!$B:$B,$C358)/Assumptions!$B$4*Assumptions!$B$6</f>
        <v>0</v>
      </c>
      <c r="AZ358" s="7" t="n">
        <f aca="false">SUMIFS(Doors!BL:BL,Doors!$A:$A,$D358,Doors!$B:$B,$B358,Doors!$C:$C,$C358)*SUMIFS(Velocity!$I:$I,Velocity!$A:$A,$A358,Velocity!$B:$B,$C358)/Assumptions!$B$4*Assumptions!$B$6</f>
        <v>0</v>
      </c>
      <c r="BA358" s="7" t="n">
        <f aca="false">SUMIFS(Doors!BM:BM,Doors!$A:$A,$D358,Doors!$B:$B,$B358,Doors!$C:$C,$C358)*SUMIFS(Velocity!$I:$I,Velocity!$A:$A,$A358,Velocity!$B:$B,$C358)/Assumptions!$B$4*Assumptions!$B$6</f>
        <v>0</v>
      </c>
      <c r="BB358" s="7" t="n">
        <f aca="false">SUMIFS(Doors!BN:BN,Doors!$A:$A,$D358,Doors!$B:$B,$B358,Doors!$C:$C,$C358)*SUMIFS(Velocity!$I:$I,Velocity!$A:$A,$A358,Velocity!$B:$B,$C358)/Assumptions!$B$4*Assumptions!$B$6</f>
        <v>0</v>
      </c>
      <c r="BC358" s="7" t="n">
        <f aca="false">SUMIFS(Doors!BO:BO,Doors!$A:$A,$D358,Doors!$B:$B,$B358,Doors!$C:$C,$C358)*SUMIFS(Velocity!$I:$I,Velocity!$A:$A,$A358,Velocity!$B:$B,$C358)/Assumptions!$B$4*Assumptions!$B$6</f>
        <v>0</v>
      </c>
      <c r="BD358" s="7" t="n">
        <f aca="false">SUMIFS(Doors!BP:BP,Doors!$A:$A,$D358,Doors!$B:$B,$B358,Doors!$C:$C,$C358)*SUMIFS(Velocity!$I:$I,Velocity!$A:$A,$A358,Velocity!$B:$B,$C358)/Assumptions!$B$4*Assumptions!$B$6</f>
        <v>0</v>
      </c>
    </row>
    <row r="359" customFormat="false" ht="15" hidden="false" customHeight="false" outlineLevel="0" collapsed="false">
      <c r="A359" s="0" t="s">
        <v>111</v>
      </c>
      <c r="B359" s="0" t="s">
        <v>135</v>
      </c>
      <c r="C359" s="0" t="s">
        <v>117</v>
      </c>
      <c r="D359" s="0" t="s">
        <v>236</v>
      </c>
      <c r="E359" s="7" t="n">
        <f aca="false">SUMIFS(Doors!Q:Q,Doors!$A:$A,$D359,Doors!$B:$B,$B359,Doors!$C:$C,$C359)*SUMIFS(Velocity!$I:$I,Velocity!$A:$A,$A359,Velocity!$B:$B,$C359)/Assumptions!$B$4*Assumptions!$B$6</f>
        <v>0</v>
      </c>
      <c r="F359" s="7" t="n">
        <f aca="false">SUMIFS(Doors!R:R,Doors!$A:$A,$D359,Doors!$B:$B,$B359,Doors!$C:$C,$C359)*SUMIFS(Velocity!$I:$I,Velocity!$A:$A,$A359,Velocity!$B:$B,$C359)/Assumptions!$B$4*Assumptions!$B$6</f>
        <v>0</v>
      </c>
      <c r="G359" s="7" t="n">
        <f aca="false">SUMIFS(Doors!S:S,Doors!$A:$A,$D359,Doors!$B:$B,$B359,Doors!$C:$C,$C359)*SUMIFS(Velocity!$I:$I,Velocity!$A:$A,$A359,Velocity!$B:$B,$C359)/Assumptions!$B$4*Assumptions!$B$6</f>
        <v>0</v>
      </c>
      <c r="H359" s="7" t="n">
        <f aca="false">SUMIFS(Doors!T:T,Doors!$A:$A,$D359,Doors!$B:$B,$B359,Doors!$C:$C,$C359)*SUMIFS(Velocity!$I:$I,Velocity!$A:$A,$A359,Velocity!$B:$B,$C359)/Assumptions!$B$4*Assumptions!$B$6</f>
        <v>0</v>
      </c>
      <c r="I359" s="7" t="n">
        <f aca="false">SUMIFS(Doors!U:U,Doors!$A:$A,$D359,Doors!$B:$B,$B359,Doors!$C:$C,$C359)*SUMIFS(Velocity!$I:$I,Velocity!$A:$A,$A359,Velocity!$B:$B,$C359)/Assumptions!$B$4*Assumptions!$B$6</f>
        <v>0</v>
      </c>
      <c r="J359" s="7" t="n">
        <f aca="false">SUMIFS(Doors!V:V,Doors!$A:$A,$D359,Doors!$B:$B,$B359,Doors!$C:$C,$C359)*SUMIFS(Velocity!$I:$I,Velocity!$A:$A,$A359,Velocity!$B:$B,$C359)/Assumptions!$B$4*Assumptions!$B$6</f>
        <v>0</v>
      </c>
      <c r="K359" s="7" t="n">
        <f aca="false">SUMIFS(Doors!W:W,Doors!$A:$A,$D359,Doors!$B:$B,$B359,Doors!$C:$C,$C359)*SUMIFS(Velocity!$I:$I,Velocity!$A:$A,$A359,Velocity!$B:$B,$C359)/Assumptions!$B$4*Assumptions!$B$6</f>
        <v>0</v>
      </c>
      <c r="L359" s="7" t="n">
        <f aca="false">SUMIFS(Doors!X:X,Doors!$A:$A,$D359,Doors!$B:$B,$B359,Doors!$C:$C,$C359)*SUMIFS(Velocity!$I:$I,Velocity!$A:$A,$A359,Velocity!$B:$B,$C359)/Assumptions!$B$4*Assumptions!$B$6</f>
        <v>0</v>
      </c>
      <c r="M359" s="7" t="n">
        <f aca="false">SUMIFS(Doors!Y:Y,Doors!$A:$A,$D359,Doors!$B:$B,$B359,Doors!$C:$C,$C359)*SUMIFS(Velocity!$I:$I,Velocity!$A:$A,$A359,Velocity!$B:$B,$C359)/Assumptions!$B$4*Assumptions!$B$6</f>
        <v>0</v>
      </c>
      <c r="N359" s="7" t="n">
        <f aca="false">SUMIFS(Doors!Z:Z,Doors!$A:$A,$D359,Doors!$B:$B,$B359,Doors!$C:$C,$C359)*SUMIFS(Velocity!$I:$I,Velocity!$A:$A,$A359,Velocity!$B:$B,$C359)/Assumptions!$B$4*Assumptions!$B$6</f>
        <v>0</v>
      </c>
      <c r="O359" s="7" t="n">
        <f aca="false">SUMIFS(Doors!AA:AA,Doors!$A:$A,$D359,Doors!$B:$B,$B359,Doors!$C:$C,$C359)*SUMIFS(Velocity!$I:$I,Velocity!$A:$A,$A359,Velocity!$B:$B,$C359)/Assumptions!$B$4*Assumptions!$B$6</f>
        <v>0</v>
      </c>
      <c r="P359" s="7" t="n">
        <f aca="false">SUMIFS(Doors!AB:AB,Doors!$A:$A,$D359,Doors!$B:$B,$B359,Doors!$C:$C,$C359)*SUMIFS(Velocity!$I:$I,Velocity!$A:$A,$A359,Velocity!$B:$B,$C359)/Assumptions!$B$4*Assumptions!$B$6</f>
        <v>0</v>
      </c>
      <c r="Q359" s="7" t="n">
        <f aca="false">SUMIFS(Doors!AC:AC,Doors!$A:$A,$D359,Doors!$B:$B,$B359,Doors!$C:$C,$C359)*SUMIFS(Velocity!$I:$I,Velocity!$A:$A,$A359,Velocity!$B:$B,$C359)/Assumptions!$B$4*Assumptions!$B$6</f>
        <v>0</v>
      </c>
      <c r="R359" s="7" t="n">
        <f aca="false">SUMIFS(Doors!AD:AD,Doors!$A:$A,$D359,Doors!$B:$B,$B359,Doors!$C:$C,$C359)*SUMIFS(Velocity!$I:$I,Velocity!$A:$A,$A359,Velocity!$B:$B,$C359)/Assumptions!$B$4*Assumptions!$B$6</f>
        <v>0</v>
      </c>
      <c r="S359" s="7" t="n">
        <f aca="false">SUMIFS(Doors!AE:AE,Doors!$A:$A,$D359,Doors!$B:$B,$B359,Doors!$C:$C,$C359)*SUMIFS(Velocity!$I:$I,Velocity!$A:$A,$A359,Velocity!$B:$B,$C359)/Assumptions!$B$4*Assumptions!$B$6</f>
        <v>0</v>
      </c>
      <c r="T359" s="7" t="n">
        <f aca="false">SUMIFS(Doors!AF:AF,Doors!$A:$A,$D359,Doors!$B:$B,$B359,Doors!$C:$C,$C359)*SUMIFS(Velocity!$I:$I,Velocity!$A:$A,$A359,Velocity!$B:$B,$C359)/Assumptions!$B$4*Assumptions!$B$6</f>
        <v>0</v>
      </c>
      <c r="U359" s="7" t="n">
        <f aca="false">SUMIFS(Doors!AG:AG,Doors!$A:$A,$D359,Doors!$B:$B,$B359,Doors!$C:$C,$C359)*SUMIFS(Velocity!$I:$I,Velocity!$A:$A,$A359,Velocity!$B:$B,$C359)/Assumptions!$B$4*Assumptions!$B$6</f>
        <v>0</v>
      </c>
      <c r="V359" s="7" t="n">
        <f aca="false">SUMIFS(Doors!AH:AH,Doors!$A:$A,$D359,Doors!$B:$B,$B359,Doors!$C:$C,$C359)*SUMIFS(Velocity!$I:$I,Velocity!$A:$A,$A359,Velocity!$B:$B,$C359)/Assumptions!$B$4*Assumptions!$B$6</f>
        <v>0</v>
      </c>
      <c r="W359" s="7" t="n">
        <f aca="false">SUMIFS(Doors!AI:AI,Doors!$A:$A,$D359,Doors!$B:$B,$B359,Doors!$C:$C,$C359)*SUMIFS(Velocity!$I:$I,Velocity!$A:$A,$A359,Velocity!$B:$B,$C359)/Assumptions!$B$4*Assumptions!$B$6</f>
        <v>0</v>
      </c>
      <c r="X359" s="7" t="n">
        <f aca="false">SUMIFS(Doors!AJ:AJ,Doors!$A:$A,$D359,Doors!$B:$B,$B359,Doors!$C:$C,$C359)*SUMIFS(Velocity!$I:$I,Velocity!$A:$A,$A359,Velocity!$B:$B,$C359)/Assumptions!$B$4*Assumptions!$B$6</f>
        <v>0</v>
      </c>
      <c r="Y359" s="7" t="n">
        <f aca="false">SUMIFS(Doors!AK:AK,Doors!$A:$A,$D359,Doors!$B:$B,$B359,Doors!$C:$C,$C359)*SUMIFS(Velocity!$I:$I,Velocity!$A:$A,$A359,Velocity!$B:$B,$C359)/Assumptions!$B$4*Assumptions!$B$6</f>
        <v>0</v>
      </c>
      <c r="Z359" s="7" t="n">
        <f aca="false">SUMIFS(Doors!AL:AL,Doors!$A:$A,$D359,Doors!$B:$B,$B359,Doors!$C:$C,$C359)*SUMIFS(Velocity!$I:$I,Velocity!$A:$A,$A359,Velocity!$B:$B,$C359)/Assumptions!$B$4*Assumptions!$B$6</f>
        <v>0</v>
      </c>
      <c r="AA359" s="7" t="n">
        <f aca="false">SUMIFS(Doors!AM:AM,Doors!$A:$A,$D359,Doors!$B:$B,$B359,Doors!$C:$C,$C359)*SUMIFS(Velocity!$I:$I,Velocity!$A:$A,$A359,Velocity!$B:$B,$C359)/Assumptions!$B$4*Assumptions!$B$6</f>
        <v>0</v>
      </c>
      <c r="AB359" s="7" t="n">
        <f aca="false">SUMIFS(Doors!AN:AN,Doors!$A:$A,$D359,Doors!$B:$B,$B359,Doors!$C:$C,$C359)*SUMIFS(Velocity!$I:$I,Velocity!$A:$A,$A359,Velocity!$B:$B,$C359)/Assumptions!$B$4*Assumptions!$B$6</f>
        <v>0</v>
      </c>
      <c r="AC359" s="7" t="n">
        <f aca="false">SUMIFS(Doors!AO:AO,Doors!$A:$A,$D359,Doors!$B:$B,$B359,Doors!$C:$C,$C359)*SUMIFS(Velocity!$I:$I,Velocity!$A:$A,$A359,Velocity!$B:$B,$C359)/Assumptions!$B$4*Assumptions!$B$6</f>
        <v>0</v>
      </c>
      <c r="AD359" s="7" t="n">
        <f aca="false">SUMIFS(Doors!AP:AP,Doors!$A:$A,$D359,Doors!$B:$B,$B359,Doors!$C:$C,$C359)*SUMIFS(Velocity!$I:$I,Velocity!$A:$A,$A359,Velocity!$B:$B,$C359)/Assumptions!$B$4*Assumptions!$B$6</f>
        <v>0</v>
      </c>
      <c r="AE359" s="7" t="n">
        <f aca="false">SUMIFS(Doors!AQ:AQ,Doors!$A:$A,$D359,Doors!$B:$B,$B359,Doors!$C:$C,$C359)*SUMIFS(Velocity!$I:$I,Velocity!$A:$A,$A359,Velocity!$B:$B,$C359)/Assumptions!$B$4*Assumptions!$B$6</f>
        <v>0</v>
      </c>
      <c r="AF359" s="7" t="n">
        <f aca="false">SUMIFS(Doors!AR:AR,Doors!$A:$A,$D359,Doors!$B:$B,$B359,Doors!$C:$C,$C359)*SUMIFS(Velocity!$I:$I,Velocity!$A:$A,$A359,Velocity!$B:$B,$C359)/Assumptions!$B$4*Assumptions!$B$6</f>
        <v>0</v>
      </c>
      <c r="AG359" s="7" t="n">
        <f aca="false">SUMIFS(Doors!AS:AS,Doors!$A:$A,$D359,Doors!$B:$B,$B359,Doors!$C:$C,$C359)*SUMIFS(Velocity!$I:$I,Velocity!$A:$A,$A359,Velocity!$B:$B,$C359)/Assumptions!$B$4*Assumptions!$B$6</f>
        <v>0</v>
      </c>
      <c r="AH359" s="7" t="n">
        <f aca="false">SUMIFS(Doors!AT:AT,Doors!$A:$A,$D359,Doors!$B:$B,$B359,Doors!$C:$C,$C359)*SUMIFS(Velocity!$I:$I,Velocity!$A:$A,$A359,Velocity!$B:$B,$C359)/Assumptions!$B$4*Assumptions!$B$6</f>
        <v>0</v>
      </c>
      <c r="AI359" s="7" t="n">
        <f aca="false">SUMIFS(Doors!AU:AU,Doors!$A:$A,$D359,Doors!$B:$B,$B359,Doors!$C:$C,$C359)*SUMIFS(Velocity!$I:$I,Velocity!$A:$A,$A359,Velocity!$B:$B,$C359)/Assumptions!$B$4*Assumptions!$B$6</f>
        <v>0</v>
      </c>
      <c r="AJ359" s="7" t="n">
        <f aca="false">SUMIFS(Doors!AV:AV,Doors!$A:$A,$D359,Doors!$B:$B,$B359,Doors!$C:$C,$C359)*SUMIFS(Velocity!$I:$I,Velocity!$A:$A,$A359,Velocity!$B:$B,$C359)/Assumptions!$B$4*Assumptions!$B$6</f>
        <v>0</v>
      </c>
      <c r="AK359" s="7" t="n">
        <f aca="false">SUMIFS(Doors!AW:AW,Doors!$A:$A,$D359,Doors!$B:$B,$B359,Doors!$C:$C,$C359)*SUMIFS(Velocity!$I:$I,Velocity!$A:$A,$A359,Velocity!$B:$B,$C359)/Assumptions!$B$4*Assumptions!$B$6</f>
        <v>0</v>
      </c>
      <c r="AL359" s="7" t="n">
        <f aca="false">SUMIFS(Doors!AX:AX,Doors!$A:$A,$D359,Doors!$B:$B,$B359,Doors!$C:$C,$C359)*SUMIFS(Velocity!$I:$I,Velocity!$A:$A,$A359,Velocity!$B:$B,$C359)/Assumptions!$B$4*Assumptions!$B$6</f>
        <v>0</v>
      </c>
      <c r="AM359" s="7" t="n">
        <f aca="false">SUMIFS(Doors!AY:AY,Doors!$A:$A,$D359,Doors!$B:$B,$B359,Doors!$C:$C,$C359)*SUMIFS(Velocity!$I:$I,Velocity!$A:$A,$A359,Velocity!$B:$B,$C359)/Assumptions!$B$4*Assumptions!$B$6</f>
        <v>0</v>
      </c>
      <c r="AN359" s="7" t="n">
        <f aca="false">SUMIFS(Doors!AZ:AZ,Doors!$A:$A,$D359,Doors!$B:$B,$B359,Doors!$C:$C,$C359)*SUMIFS(Velocity!$I:$I,Velocity!$A:$A,$A359,Velocity!$B:$B,$C359)/Assumptions!$B$4*Assumptions!$B$6</f>
        <v>0</v>
      </c>
      <c r="AO359" s="7" t="n">
        <f aca="false">SUMIFS(Doors!BA:BA,Doors!$A:$A,$D359,Doors!$B:$B,$B359,Doors!$C:$C,$C359)*SUMIFS(Velocity!$I:$I,Velocity!$A:$A,$A359,Velocity!$B:$B,$C359)/Assumptions!$B$4*Assumptions!$B$6</f>
        <v>0</v>
      </c>
      <c r="AP359" s="7" t="n">
        <f aca="false">SUMIFS(Doors!BB:BB,Doors!$A:$A,$D359,Doors!$B:$B,$B359,Doors!$C:$C,$C359)*SUMIFS(Velocity!$I:$I,Velocity!$A:$A,$A359,Velocity!$B:$B,$C359)/Assumptions!$B$4*Assumptions!$B$6</f>
        <v>0</v>
      </c>
      <c r="AQ359" s="7" t="n">
        <f aca="false">SUMIFS(Doors!BC:BC,Doors!$A:$A,$D359,Doors!$B:$B,$B359,Doors!$C:$C,$C359)*SUMIFS(Velocity!$I:$I,Velocity!$A:$A,$A359,Velocity!$B:$B,$C359)/Assumptions!$B$4*Assumptions!$B$6</f>
        <v>0</v>
      </c>
      <c r="AR359" s="7" t="n">
        <f aca="false">SUMIFS(Doors!BD:BD,Doors!$A:$A,$D359,Doors!$B:$B,$B359,Doors!$C:$C,$C359)*SUMIFS(Velocity!$I:$I,Velocity!$A:$A,$A359,Velocity!$B:$B,$C359)/Assumptions!$B$4*Assumptions!$B$6</f>
        <v>0</v>
      </c>
      <c r="AS359" s="7" t="n">
        <f aca="false">SUMIFS(Doors!BE:BE,Doors!$A:$A,$D359,Doors!$B:$B,$B359,Doors!$C:$C,$C359)*SUMIFS(Velocity!$I:$I,Velocity!$A:$A,$A359,Velocity!$B:$B,$C359)/Assumptions!$B$4*Assumptions!$B$6</f>
        <v>0</v>
      </c>
      <c r="AT359" s="7" t="n">
        <f aca="false">SUMIFS(Doors!BF:BF,Doors!$A:$A,$D359,Doors!$B:$B,$B359,Doors!$C:$C,$C359)*SUMIFS(Velocity!$I:$I,Velocity!$A:$A,$A359,Velocity!$B:$B,$C359)/Assumptions!$B$4*Assumptions!$B$6</f>
        <v>0</v>
      </c>
      <c r="AU359" s="7" t="n">
        <f aca="false">SUMIFS(Doors!BG:BG,Doors!$A:$A,$D359,Doors!$B:$B,$B359,Doors!$C:$C,$C359)*SUMIFS(Velocity!$I:$I,Velocity!$A:$A,$A359,Velocity!$B:$B,$C359)/Assumptions!$B$4*Assumptions!$B$6</f>
        <v>0</v>
      </c>
      <c r="AV359" s="7" t="n">
        <f aca="false">SUMIFS(Doors!BH:BH,Doors!$A:$A,$D359,Doors!$B:$B,$B359,Doors!$C:$C,$C359)*SUMIFS(Velocity!$I:$I,Velocity!$A:$A,$A359,Velocity!$B:$B,$C359)/Assumptions!$B$4*Assumptions!$B$6</f>
        <v>0</v>
      </c>
      <c r="AW359" s="7" t="n">
        <f aca="false">SUMIFS(Doors!BI:BI,Doors!$A:$A,$D359,Doors!$B:$B,$B359,Doors!$C:$C,$C359)*SUMIFS(Velocity!$I:$I,Velocity!$A:$A,$A359,Velocity!$B:$B,$C359)/Assumptions!$B$4*Assumptions!$B$6</f>
        <v>0</v>
      </c>
      <c r="AX359" s="7" t="n">
        <f aca="false">SUMIFS(Doors!BJ:BJ,Doors!$A:$A,$D359,Doors!$B:$B,$B359,Doors!$C:$C,$C359)*SUMIFS(Velocity!$I:$I,Velocity!$A:$A,$A359,Velocity!$B:$B,$C359)/Assumptions!$B$4*Assumptions!$B$6</f>
        <v>0</v>
      </c>
      <c r="AY359" s="7" t="n">
        <f aca="false">SUMIFS(Doors!BK:BK,Doors!$A:$A,$D359,Doors!$B:$B,$B359,Doors!$C:$C,$C359)*SUMIFS(Velocity!$I:$I,Velocity!$A:$A,$A359,Velocity!$B:$B,$C359)/Assumptions!$B$4*Assumptions!$B$6</f>
        <v>0</v>
      </c>
      <c r="AZ359" s="7" t="n">
        <f aca="false">SUMIFS(Doors!BL:BL,Doors!$A:$A,$D359,Doors!$B:$B,$B359,Doors!$C:$C,$C359)*SUMIFS(Velocity!$I:$I,Velocity!$A:$A,$A359,Velocity!$B:$B,$C359)/Assumptions!$B$4*Assumptions!$B$6</f>
        <v>0</v>
      </c>
      <c r="BA359" s="7" t="n">
        <f aca="false">SUMIFS(Doors!BM:BM,Doors!$A:$A,$D359,Doors!$B:$B,$B359,Doors!$C:$C,$C359)*SUMIFS(Velocity!$I:$I,Velocity!$A:$A,$A359,Velocity!$B:$B,$C359)/Assumptions!$B$4*Assumptions!$B$6</f>
        <v>0</v>
      </c>
      <c r="BB359" s="7" t="n">
        <f aca="false">SUMIFS(Doors!BN:BN,Doors!$A:$A,$D359,Doors!$B:$B,$B359,Doors!$C:$C,$C359)*SUMIFS(Velocity!$I:$I,Velocity!$A:$A,$A359,Velocity!$B:$B,$C359)/Assumptions!$B$4*Assumptions!$B$6</f>
        <v>0</v>
      </c>
      <c r="BC359" s="7" t="n">
        <f aca="false">SUMIFS(Doors!BO:BO,Doors!$A:$A,$D359,Doors!$B:$B,$B359,Doors!$C:$C,$C359)*SUMIFS(Velocity!$I:$I,Velocity!$A:$A,$A359,Velocity!$B:$B,$C359)/Assumptions!$B$4*Assumptions!$B$6</f>
        <v>0</v>
      </c>
      <c r="BD359" s="7" t="n">
        <f aca="false">SUMIFS(Doors!BP:BP,Doors!$A:$A,$D359,Doors!$B:$B,$B359,Doors!$C:$C,$C359)*SUMIFS(Velocity!$I:$I,Velocity!$A:$A,$A359,Velocity!$B:$B,$C359)/Assumptions!$B$4*Assumptions!$B$6</f>
        <v>0</v>
      </c>
    </row>
    <row r="360" customFormat="false" ht="15" hidden="false" customHeight="false" outlineLevel="0" collapsed="false">
      <c r="A360" s="0" t="s">
        <v>111</v>
      </c>
      <c r="B360" s="0" t="s">
        <v>135</v>
      </c>
      <c r="C360" s="0" t="s">
        <v>118</v>
      </c>
      <c r="D360" s="0" t="s">
        <v>236</v>
      </c>
      <c r="E360" s="7" t="n">
        <f aca="false">SUMIFS(Doors!Q:Q,Doors!$A:$A,$D360,Doors!$B:$B,$B360,Doors!$C:$C,$C360)*SUMIFS(Velocity!$I:$I,Velocity!$A:$A,$A360,Velocity!$B:$B,$C360)/Assumptions!$B$4*Assumptions!$B$6</f>
        <v>0</v>
      </c>
      <c r="F360" s="7" t="n">
        <f aca="false">SUMIFS(Doors!R:R,Doors!$A:$A,$D360,Doors!$B:$B,$B360,Doors!$C:$C,$C360)*SUMIFS(Velocity!$I:$I,Velocity!$A:$A,$A360,Velocity!$B:$B,$C360)/Assumptions!$B$4*Assumptions!$B$6</f>
        <v>0</v>
      </c>
      <c r="G360" s="7" t="n">
        <f aca="false">SUMIFS(Doors!S:S,Doors!$A:$A,$D360,Doors!$B:$B,$B360,Doors!$C:$C,$C360)*SUMIFS(Velocity!$I:$I,Velocity!$A:$A,$A360,Velocity!$B:$B,$C360)/Assumptions!$B$4*Assumptions!$B$6</f>
        <v>0</v>
      </c>
      <c r="H360" s="7" t="n">
        <f aca="false">SUMIFS(Doors!T:T,Doors!$A:$A,$D360,Doors!$B:$B,$B360,Doors!$C:$C,$C360)*SUMIFS(Velocity!$I:$I,Velocity!$A:$A,$A360,Velocity!$B:$B,$C360)/Assumptions!$B$4*Assumptions!$B$6</f>
        <v>0</v>
      </c>
      <c r="I360" s="7" t="n">
        <f aca="false">SUMIFS(Doors!U:U,Doors!$A:$A,$D360,Doors!$B:$B,$B360,Doors!$C:$C,$C360)*SUMIFS(Velocity!$I:$I,Velocity!$A:$A,$A360,Velocity!$B:$B,$C360)/Assumptions!$B$4*Assumptions!$B$6</f>
        <v>0</v>
      </c>
      <c r="J360" s="7" t="n">
        <f aca="false">SUMIFS(Doors!V:V,Doors!$A:$A,$D360,Doors!$B:$B,$B360,Doors!$C:$C,$C360)*SUMIFS(Velocity!$I:$I,Velocity!$A:$A,$A360,Velocity!$B:$B,$C360)/Assumptions!$B$4*Assumptions!$B$6</f>
        <v>0</v>
      </c>
      <c r="K360" s="7" t="n">
        <f aca="false">SUMIFS(Doors!W:W,Doors!$A:$A,$D360,Doors!$B:$B,$B360,Doors!$C:$C,$C360)*SUMIFS(Velocity!$I:$I,Velocity!$A:$A,$A360,Velocity!$B:$B,$C360)/Assumptions!$B$4*Assumptions!$B$6</f>
        <v>0</v>
      </c>
      <c r="L360" s="7" t="n">
        <f aca="false">SUMIFS(Doors!X:X,Doors!$A:$A,$D360,Doors!$B:$B,$B360,Doors!$C:$C,$C360)*SUMIFS(Velocity!$I:$I,Velocity!$A:$A,$A360,Velocity!$B:$B,$C360)/Assumptions!$B$4*Assumptions!$B$6</f>
        <v>0</v>
      </c>
      <c r="M360" s="7" t="n">
        <f aca="false">SUMIFS(Doors!Y:Y,Doors!$A:$A,$D360,Doors!$B:$B,$B360,Doors!$C:$C,$C360)*SUMIFS(Velocity!$I:$I,Velocity!$A:$A,$A360,Velocity!$B:$B,$C360)/Assumptions!$B$4*Assumptions!$B$6</f>
        <v>0</v>
      </c>
      <c r="N360" s="7" t="n">
        <f aca="false">SUMIFS(Doors!Z:Z,Doors!$A:$A,$D360,Doors!$B:$B,$B360,Doors!$C:$C,$C360)*SUMIFS(Velocity!$I:$I,Velocity!$A:$A,$A360,Velocity!$B:$B,$C360)/Assumptions!$B$4*Assumptions!$B$6</f>
        <v>0</v>
      </c>
      <c r="O360" s="7" t="n">
        <f aca="false">SUMIFS(Doors!AA:AA,Doors!$A:$A,$D360,Doors!$B:$B,$B360,Doors!$C:$C,$C360)*SUMIFS(Velocity!$I:$I,Velocity!$A:$A,$A360,Velocity!$B:$B,$C360)/Assumptions!$B$4*Assumptions!$B$6</f>
        <v>0</v>
      </c>
      <c r="P360" s="7" t="n">
        <f aca="false">SUMIFS(Doors!AB:AB,Doors!$A:$A,$D360,Doors!$B:$B,$B360,Doors!$C:$C,$C360)*SUMIFS(Velocity!$I:$I,Velocity!$A:$A,$A360,Velocity!$B:$B,$C360)/Assumptions!$B$4*Assumptions!$B$6</f>
        <v>0</v>
      </c>
      <c r="Q360" s="7" t="n">
        <f aca="false">SUMIFS(Doors!AC:AC,Doors!$A:$A,$D360,Doors!$B:$B,$B360,Doors!$C:$C,$C360)*SUMIFS(Velocity!$I:$I,Velocity!$A:$A,$A360,Velocity!$B:$B,$C360)/Assumptions!$B$4*Assumptions!$B$6</f>
        <v>0</v>
      </c>
      <c r="R360" s="7" t="n">
        <f aca="false">SUMIFS(Doors!AD:AD,Doors!$A:$A,$D360,Doors!$B:$B,$B360,Doors!$C:$C,$C360)*SUMIFS(Velocity!$I:$I,Velocity!$A:$A,$A360,Velocity!$B:$B,$C360)/Assumptions!$B$4*Assumptions!$B$6</f>
        <v>0</v>
      </c>
      <c r="S360" s="7" t="n">
        <f aca="false">SUMIFS(Doors!AE:AE,Doors!$A:$A,$D360,Doors!$B:$B,$B360,Doors!$C:$C,$C360)*SUMIFS(Velocity!$I:$I,Velocity!$A:$A,$A360,Velocity!$B:$B,$C360)/Assumptions!$B$4*Assumptions!$B$6</f>
        <v>0</v>
      </c>
      <c r="T360" s="7" t="n">
        <f aca="false">SUMIFS(Doors!AF:AF,Doors!$A:$A,$D360,Doors!$B:$B,$B360,Doors!$C:$C,$C360)*SUMIFS(Velocity!$I:$I,Velocity!$A:$A,$A360,Velocity!$B:$B,$C360)/Assumptions!$B$4*Assumptions!$B$6</f>
        <v>0</v>
      </c>
      <c r="U360" s="7" t="n">
        <f aca="false">SUMIFS(Doors!AG:AG,Doors!$A:$A,$D360,Doors!$B:$B,$B360,Doors!$C:$C,$C360)*SUMIFS(Velocity!$I:$I,Velocity!$A:$A,$A360,Velocity!$B:$B,$C360)/Assumptions!$B$4*Assumptions!$B$6</f>
        <v>0</v>
      </c>
      <c r="V360" s="7" t="n">
        <f aca="false">SUMIFS(Doors!AH:AH,Doors!$A:$A,$D360,Doors!$B:$B,$B360,Doors!$C:$C,$C360)*SUMIFS(Velocity!$I:$I,Velocity!$A:$A,$A360,Velocity!$B:$B,$C360)/Assumptions!$B$4*Assumptions!$B$6</f>
        <v>0</v>
      </c>
      <c r="W360" s="7" t="n">
        <f aca="false">SUMIFS(Doors!AI:AI,Doors!$A:$A,$D360,Doors!$B:$B,$B360,Doors!$C:$C,$C360)*SUMIFS(Velocity!$I:$I,Velocity!$A:$A,$A360,Velocity!$B:$B,$C360)/Assumptions!$B$4*Assumptions!$B$6</f>
        <v>0</v>
      </c>
      <c r="X360" s="7" t="n">
        <f aca="false">SUMIFS(Doors!AJ:AJ,Doors!$A:$A,$D360,Doors!$B:$B,$B360,Doors!$C:$C,$C360)*SUMIFS(Velocity!$I:$I,Velocity!$A:$A,$A360,Velocity!$B:$B,$C360)/Assumptions!$B$4*Assumptions!$B$6</f>
        <v>0</v>
      </c>
      <c r="Y360" s="7" t="n">
        <f aca="false">SUMIFS(Doors!AK:AK,Doors!$A:$A,$D360,Doors!$B:$B,$B360,Doors!$C:$C,$C360)*SUMIFS(Velocity!$I:$I,Velocity!$A:$A,$A360,Velocity!$B:$B,$C360)/Assumptions!$B$4*Assumptions!$B$6</f>
        <v>0</v>
      </c>
      <c r="Z360" s="7" t="n">
        <f aca="false">SUMIFS(Doors!AL:AL,Doors!$A:$A,$D360,Doors!$B:$B,$B360,Doors!$C:$C,$C360)*SUMIFS(Velocity!$I:$I,Velocity!$A:$A,$A360,Velocity!$B:$B,$C360)/Assumptions!$B$4*Assumptions!$B$6</f>
        <v>0</v>
      </c>
      <c r="AA360" s="7" t="n">
        <f aca="false">SUMIFS(Doors!AM:AM,Doors!$A:$A,$D360,Doors!$B:$B,$B360,Doors!$C:$C,$C360)*SUMIFS(Velocity!$I:$I,Velocity!$A:$A,$A360,Velocity!$B:$B,$C360)/Assumptions!$B$4*Assumptions!$B$6</f>
        <v>0</v>
      </c>
      <c r="AB360" s="7" t="n">
        <f aca="false">SUMIFS(Doors!AN:AN,Doors!$A:$A,$D360,Doors!$B:$B,$B360,Doors!$C:$C,$C360)*SUMIFS(Velocity!$I:$I,Velocity!$A:$A,$A360,Velocity!$B:$B,$C360)/Assumptions!$B$4*Assumptions!$B$6</f>
        <v>0</v>
      </c>
      <c r="AC360" s="7" t="n">
        <f aca="false">SUMIFS(Doors!AO:AO,Doors!$A:$A,$D360,Doors!$B:$B,$B360,Doors!$C:$C,$C360)*SUMIFS(Velocity!$I:$I,Velocity!$A:$A,$A360,Velocity!$B:$B,$C360)/Assumptions!$B$4*Assumptions!$B$6</f>
        <v>0</v>
      </c>
      <c r="AD360" s="7" t="n">
        <f aca="false">SUMIFS(Doors!AP:AP,Doors!$A:$A,$D360,Doors!$B:$B,$B360,Doors!$C:$C,$C360)*SUMIFS(Velocity!$I:$I,Velocity!$A:$A,$A360,Velocity!$B:$B,$C360)/Assumptions!$B$4*Assumptions!$B$6</f>
        <v>0</v>
      </c>
      <c r="AE360" s="7" t="n">
        <f aca="false">SUMIFS(Doors!AQ:AQ,Doors!$A:$A,$D360,Doors!$B:$B,$B360,Doors!$C:$C,$C360)*SUMIFS(Velocity!$I:$I,Velocity!$A:$A,$A360,Velocity!$B:$B,$C360)/Assumptions!$B$4*Assumptions!$B$6</f>
        <v>0</v>
      </c>
      <c r="AF360" s="7" t="n">
        <f aca="false">SUMIFS(Doors!AR:AR,Doors!$A:$A,$D360,Doors!$B:$B,$B360,Doors!$C:$C,$C360)*SUMIFS(Velocity!$I:$I,Velocity!$A:$A,$A360,Velocity!$B:$B,$C360)/Assumptions!$B$4*Assumptions!$B$6</f>
        <v>0</v>
      </c>
      <c r="AG360" s="7" t="n">
        <f aca="false">SUMIFS(Doors!AS:AS,Doors!$A:$A,$D360,Doors!$B:$B,$B360,Doors!$C:$C,$C360)*SUMIFS(Velocity!$I:$I,Velocity!$A:$A,$A360,Velocity!$B:$B,$C360)/Assumptions!$B$4*Assumptions!$B$6</f>
        <v>0</v>
      </c>
      <c r="AH360" s="7" t="n">
        <f aca="false">SUMIFS(Doors!AT:AT,Doors!$A:$A,$D360,Doors!$B:$B,$B360,Doors!$C:$C,$C360)*SUMIFS(Velocity!$I:$I,Velocity!$A:$A,$A360,Velocity!$B:$B,$C360)/Assumptions!$B$4*Assumptions!$B$6</f>
        <v>0</v>
      </c>
      <c r="AI360" s="7" t="n">
        <f aca="false">SUMIFS(Doors!AU:AU,Doors!$A:$A,$D360,Doors!$B:$B,$B360,Doors!$C:$C,$C360)*SUMIFS(Velocity!$I:$I,Velocity!$A:$A,$A360,Velocity!$B:$B,$C360)/Assumptions!$B$4*Assumptions!$B$6</f>
        <v>0</v>
      </c>
      <c r="AJ360" s="7" t="n">
        <f aca="false">SUMIFS(Doors!AV:AV,Doors!$A:$A,$D360,Doors!$B:$B,$B360,Doors!$C:$C,$C360)*SUMIFS(Velocity!$I:$I,Velocity!$A:$A,$A360,Velocity!$B:$B,$C360)/Assumptions!$B$4*Assumptions!$B$6</f>
        <v>0</v>
      </c>
      <c r="AK360" s="7" t="n">
        <f aca="false">SUMIFS(Doors!AW:AW,Doors!$A:$A,$D360,Doors!$B:$B,$B360,Doors!$C:$C,$C360)*SUMIFS(Velocity!$I:$I,Velocity!$A:$A,$A360,Velocity!$B:$B,$C360)/Assumptions!$B$4*Assumptions!$B$6</f>
        <v>0</v>
      </c>
      <c r="AL360" s="7" t="n">
        <f aca="false">SUMIFS(Doors!AX:AX,Doors!$A:$A,$D360,Doors!$B:$B,$B360,Doors!$C:$C,$C360)*SUMIFS(Velocity!$I:$I,Velocity!$A:$A,$A360,Velocity!$B:$B,$C360)/Assumptions!$B$4*Assumptions!$B$6</f>
        <v>0</v>
      </c>
      <c r="AM360" s="7" t="n">
        <f aca="false">SUMIFS(Doors!AY:AY,Doors!$A:$A,$D360,Doors!$B:$B,$B360,Doors!$C:$C,$C360)*SUMIFS(Velocity!$I:$I,Velocity!$A:$A,$A360,Velocity!$B:$B,$C360)/Assumptions!$B$4*Assumptions!$B$6</f>
        <v>0</v>
      </c>
      <c r="AN360" s="7" t="n">
        <f aca="false">SUMIFS(Doors!AZ:AZ,Doors!$A:$A,$D360,Doors!$B:$B,$B360,Doors!$C:$C,$C360)*SUMIFS(Velocity!$I:$I,Velocity!$A:$A,$A360,Velocity!$B:$B,$C360)/Assumptions!$B$4*Assumptions!$B$6</f>
        <v>0</v>
      </c>
      <c r="AO360" s="7" t="n">
        <f aca="false">SUMIFS(Doors!BA:BA,Doors!$A:$A,$D360,Doors!$B:$B,$B360,Doors!$C:$C,$C360)*SUMIFS(Velocity!$I:$I,Velocity!$A:$A,$A360,Velocity!$B:$B,$C360)/Assumptions!$B$4*Assumptions!$B$6</f>
        <v>0</v>
      </c>
      <c r="AP360" s="7" t="n">
        <f aca="false">SUMIFS(Doors!BB:BB,Doors!$A:$A,$D360,Doors!$B:$B,$B360,Doors!$C:$C,$C360)*SUMIFS(Velocity!$I:$I,Velocity!$A:$A,$A360,Velocity!$B:$B,$C360)/Assumptions!$B$4*Assumptions!$B$6</f>
        <v>0</v>
      </c>
      <c r="AQ360" s="7" t="n">
        <f aca="false">SUMIFS(Doors!BC:BC,Doors!$A:$A,$D360,Doors!$B:$B,$B360,Doors!$C:$C,$C360)*SUMIFS(Velocity!$I:$I,Velocity!$A:$A,$A360,Velocity!$B:$B,$C360)/Assumptions!$B$4*Assumptions!$B$6</f>
        <v>0</v>
      </c>
      <c r="AR360" s="7" t="n">
        <f aca="false">SUMIFS(Doors!BD:BD,Doors!$A:$A,$D360,Doors!$B:$B,$B360,Doors!$C:$C,$C360)*SUMIFS(Velocity!$I:$I,Velocity!$A:$A,$A360,Velocity!$B:$B,$C360)/Assumptions!$B$4*Assumptions!$B$6</f>
        <v>0</v>
      </c>
      <c r="AS360" s="7" t="n">
        <f aca="false">SUMIFS(Doors!BE:BE,Doors!$A:$A,$D360,Doors!$B:$B,$B360,Doors!$C:$C,$C360)*SUMIFS(Velocity!$I:$I,Velocity!$A:$A,$A360,Velocity!$B:$B,$C360)/Assumptions!$B$4*Assumptions!$B$6</f>
        <v>0</v>
      </c>
      <c r="AT360" s="7" t="n">
        <f aca="false">SUMIFS(Doors!BF:BF,Doors!$A:$A,$D360,Doors!$B:$B,$B360,Doors!$C:$C,$C360)*SUMIFS(Velocity!$I:$I,Velocity!$A:$A,$A360,Velocity!$B:$B,$C360)/Assumptions!$B$4*Assumptions!$B$6</f>
        <v>0</v>
      </c>
      <c r="AU360" s="7" t="n">
        <f aca="false">SUMIFS(Doors!BG:BG,Doors!$A:$A,$D360,Doors!$B:$B,$B360,Doors!$C:$C,$C360)*SUMIFS(Velocity!$I:$I,Velocity!$A:$A,$A360,Velocity!$B:$B,$C360)/Assumptions!$B$4*Assumptions!$B$6</f>
        <v>0</v>
      </c>
      <c r="AV360" s="7" t="n">
        <f aca="false">SUMIFS(Doors!BH:BH,Doors!$A:$A,$D360,Doors!$B:$B,$B360,Doors!$C:$C,$C360)*SUMIFS(Velocity!$I:$I,Velocity!$A:$A,$A360,Velocity!$B:$B,$C360)/Assumptions!$B$4*Assumptions!$B$6</f>
        <v>0</v>
      </c>
      <c r="AW360" s="7" t="n">
        <f aca="false">SUMIFS(Doors!BI:BI,Doors!$A:$A,$D360,Doors!$B:$B,$B360,Doors!$C:$C,$C360)*SUMIFS(Velocity!$I:$I,Velocity!$A:$A,$A360,Velocity!$B:$B,$C360)/Assumptions!$B$4*Assumptions!$B$6</f>
        <v>0</v>
      </c>
      <c r="AX360" s="7" t="n">
        <f aca="false">SUMIFS(Doors!BJ:BJ,Doors!$A:$A,$D360,Doors!$B:$B,$B360,Doors!$C:$C,$C360)*SUMIFS(Velocity!$I:$I,Velocity!$A:$A,$A360,Velocity!$B:$B,$C360)/Assumptions!$B$4*Assumptions!$B$6</f>
        <v>0</v>
      </c>
      <c r="AY360" s="7" t="n">
        <f aca="false">SUMIFS(Doors!BK:BK,Doors!$A:$A,$D360,Doors!$B:$B,$B360,Doors!$C:$C,$C360)*SUMIFS(Velocity!$I:$I,Velocity!$A:$A,$A360,Velocity!$B:$B,$C360)/Assumptions!$B$4*Assumptions!$B$6</f>
        <v>0</v>
      </c>
      <c r="AZ360" s="7" t="n">
        <f aca="false">SUMIFS(Doors!BL:BL,Doors!$A:$A,$D360,Doors!$B:$B,$B360,Doors!$C:$C,$C360)*SUMIFS(Velocity!$I:$I,Velocity!$A:$A,$A360,Velocity!$B:$B,$C360)/Assumptions!$B$4*Assumptions!$B$6</f>
        <v>0</v>
      </c>
      <c r="BA360" s="7" t="n">
        <f aca="false">SUMIFS(Doors!BM:BM,Doors!$A:$A,$D360,Doors!$B:$B,$B360,Doors!$C:$C,$C360)*SUMIFS(Velocity!$I:$I,Velocity!$A:$A,$A360,Velocity!$B:$B,$C360)/Assumptions!$B$4*Assumptions!$B$6</f>
        <v>0</v>
      </c>
      <c r="BB360" s="7" t="n">
        <f aca="false">SUMIFS(Doors!BN:BN,Doors!$A:$A,$D360,Doors!$B:$B,$B360,Doors!$C:$C,$C360)*SUMIFS(Velocity!$I:$I,Velocity!$A:$A,$A360,Velocity!$B:$B,$C360)/Assumptions!$B$4*Assumptions!$B$6</f>
        <v>0</v>
      </c>
      <c r="BC360" s="7" t="n">
        <f aca="false">SUMIFS(Doors!BO:BO,Doors!$A:$A,$D360,Doors!$B:$B,$B360,Doors!$C:$C,$C360)*SUMIFS(Velocity!$I:$I,Velocity!$A:$A,$A360,Velocity!$B:$B,$C360)/Assumptions!$B$4*Assumptions!$B$6</f>
        <v>0</v>
      </c>
      <c r="BD360" s="7" t="n">
        <f aca="false">SUMIFS(Doors!BP:BP,Doors!$A:$A,$D360,Doors!$B:$B,$B360,Doors!$C:$C,$C360)*SUMIFS(Velocity!$I:$I,Velocity!$A:$A,$A360,Velocity!$B:$B,$C360)/Assumptions!$B$4*Assumptions!$B$6</f>
        <v>0</v>
      </c>
    </row>
    <row r="361" customFormat="false" ht="15" hidden="false" customHeight="false" outlineLevel="0" collapsed="false">
      <c r="A361" s="0" t="s">
        <v>111</v>
      </c>
      <c r="B361" s="0" t="s">
        <v>135</v>
      </c>
      <c r="C361" s="0" t="s">
        <v>119</v>
      </c>
      <c r="D361" s="0" t="s">
        <v>236</v>
      </c>
      <c r="E361" s="7" t="n">
        <f aca="false">SUMIFS(Doors!Q:Q,Doors!$A:$A,$D361,Doors!$B:$B,$B361,Doors!$C:$C,$C361)*SUMIFS(Velocity!$I:$I,Velocity!$A:$A,$A361,Velocity!$B:$B,$C361)/Assumptions!$B$4*Assumptions!$B$6</f>
        <v>0</v>
      </c>
      <c r="F361" s="7" t="n">
        <f aca="false">SUMIFS(Doors!R:R,Doors!$A:$A,$D361,Doors!$B:$B,$B361,Doors!$C:$C,$C361)*SUMIFS(Velocity!$I:$I,Velocity!$A:$A,$A361,Velocity!$B:$B,$C361)/Assumptions!$B$4*Assumptions!$B$6</f>
        <v>0</v>
      </c>
      <c r="G361" s="7" t="n">
        <f aca="false">SUMIFS(Doors!S:S,Doors!$A:$A,$D361,Doors!$B:$B,$B361,Doors!$C:$C,$C361)*SUMIFS(Velocity!$I:$I,Velocity!$A:$A,$A361,Velocity!$B:$B,$C361)/Assumptions!$B$4*Assumptions!$B$6</f>
        <v>0</v>
      </c>
      <c r="H361" s="7" t="n">
        <f aca="false">SUMIFS(Doors!T:T,Doors!$A:$A,$D361,Doors!$B:$B,$B361,Doors!$C:$C,$C361)*SUMIFS(Velocity!$I:$I,Velocity!$A:$A,$A361,Velocity!$B:$B,$C361)/Assumptions!$B$4*Assumptions!$B$6</f>
        <v>0</v>
      </c>
      <c r="I361" s="7" t="n">
        <f aca="false">SUMIFS(Doors!U:U,Doors!$A:$A,$D361,Doors!$B:$B,$B361,Doors!$C:$C,$C361)*SUMIFS(Velocity!$I:$I,Velocity!$A:$A,$A361,Velocity!$B:$B,$C361)/Assumptions!$B$4*Assumptions!$B$6</f>
        <v>0</v>
      </c>
      <c r="J361" s="7" t="n">
        <f aca="false">SUMIFS(Doors!V:V,Doors!$A:$A,$D361,Doors!$B:$B,$B361,Doors!$C:$C,$C361)*SUMIFS(Velocity!$I:$I,Velocity!$A:$A,$A361,Velocity!$B:$B,$C361)/Assumptions!$B$4*Assumptions!$B$6</f>
        <v>0</v>
      </c>
      <c r="K361" s="7" t="n">
        <f aca="false">SUMIFS(Doors!W:W,Doors!$A:$A,$D361,Doors!$B:$B,$B361,Doors!$C:$C,$C361)*SUMIFS(Velocity!$I:$I,Velocity!$A:$A,$A361,Velocity!$B:$B,$C361)/Assumptions!$B$4*Assumptions!$B$6</f>
        <v>0</v>
      </c>
      <c r="L361" s="7" t="n">
        <f aca="false">SUMIFS(Doors!X:X,Doors!$A:$A,$D361,Doors!$B:$B,$B361,Doors!$C:$C,$C361)*SUMIFS(Velocity!$I:$I,Velocity!$A:$A,$A361,Velocity!$B:$B,$C361)/Assumptions!$B$4*Assumptions!$B$6</f>
        <v>0</v>
      </c>
      <c r="M361" s="7" t="n">
        <f aca="false">SUMIFS(Doors!Y:Y,Doors!$A:$A,$D361,Doors!$B:$B,$B361,Doors!$C:$C,$C361)*SUMIFS(Velocity!$I:$I,Velocity!$A:$A,$A361,Velocity!$B:$B,$C361)/Assumptions!$B$4*Assumptions!$B$6</f>
        <v>0</v>
      </c>
      <c r="N361" s="7" t="n">
        <f aca="false">SUMIFS(Doors!Z:Z,Doors!$A:$A,$D361,Doors!$B:$B,$B361,Doors!$C:$C,$C361)*SUMIFS(Velocity!$I:$I,Velocity!$A:$A,$A361,Velocity!$B:$B,$C361)/Assumptions!$B$4*Assumptions!$B$6</f>
        <v>0</v>
      </c>
      <c r="O361" s="7" t="n">
        <f aca="false">SUMIFS(Doors!AA:AA,Doors!$A:$A,$D361,Doors!$B:$B,$B361,Doors!$C:$C,$C361)*SUMIFS(Velocity!$I:$I,Velocity!$A:$A,$A361,Velocity!$B:$B,$C361)/Assumptions!$B$4*Assumptions!$B$6</f>
        <v>0</v>
      </c>
      <c r="P361" s="7" t="n">
        <f aca="false">SUMIFS(Doors!AB:AB,Doors!$A:$A,$D361,Doors!$B:$B,$B361,Doors!$C:$C,$C361)*SUMIFS(Velocity!$I:$I,Velocity!$A:$A,$A361,Velocity!$B:$B,$C361)/Assumptions!$B$4*Assumptions!$B$6</f>
        <v>0</v>
      </c>
      <c r="Q361" s="7" t="n">
        <f aca="false">SUMIFS(Doors!AC:AC,Doors!$A:$A,$D361,Doors!$B:$B,$B361,Doors!$C:$C,$C361)*SUMIFS(Velocity!$I:$I,Velocity!$A:$A,$A361,Velocity!$B:$B,$C361)/Assumptions!$B$4*Assumptions!$B$6</f>
        <v>0</v>
      </c>
      <c r="R361" s="7" t="n">
        <f aca="false">SUMIFS(Doors!AD:AD,Doors!$A:$A,$D361,Doors!$B:$B,$B361,Doors!$C:$C,$C361)*SUMIFS(Velocity!$I:$I,Velocity!$A:$A,$A361,Velocity!$B:$B,$C361)/Assumptions!$B$4*Assumptions!$B$6</f>
        <v>0</v>
      </c>
      <c r="S361" s="7" t="n">
        <f aca="false">SUMIFS(Doors!AE:AE,Doors!$A:$A,$D361,Doors!$B:$B,$B361,Doors!$C:$C,$C361)*SUMIFS(Velocity!$I:$I,Velocity!$A:$A,$A361,Velocity!$B:$B,$C361)/Assumptions!$B$4*Assumptions!$B$6</f>
        <v>0</v>
      </c>
      <c r="T361" s="7" t="n">
        <f aca="false">SUMIFS(Doors!AF:AF,Doors!$A:$A,$D361,Doors!$B:$B,$B361,Doors!$C:$C,$C361)*SUMIFS(Velocity!$I:$I,Velocity!$A:$A,$A361,Velocity!$B:$B,$C361)/Assumptions!$B$4*Assumptions!$B$6</f>
        <v>0</v>
      </c>
      <c r="U361" s="7" t="n">
        <f aca="false">SUMIFS(Doors!AG:AG,Doors!$A:$A,$D361,Doors!$B:$B,$B361,Doors!$C:$C,$C361)*SUMIFS(Velocity!$I:$I,Velocity!$A:$A,$A361,Velocity!$B:$B,$C361)/Assumptions!$B$4*Assumptions!$B$6</f>
        <v>0</v>
      </c>
      <c r="V361" s="7" t="n">
        <f aca="false">SUMIFS(Doors!AH:AH,Doors!$A:$A,$D361,Doors!$B:$B,$B361,Doors!$C:$C,$C361)*SUMIFS(Velocity!$I:$I,Velocity!$A:$A,$A361,Velocity!$B:$B,$C361)/Assumptions!$B$4*Assumptions!$B$6</f>
        <v>0</v>
      </c>
      <c r="W361" s="7" t="n">
        <f aca="false">SUMIFS(Doors!AI:AI,Doors!$A:$A,$D361,Doors!$B:$B,$B361,Doors!$C:$C,$C361)*SUMIFS(Velocity!$I:$I,Velocity!$A:$A,$A361,Velocity!$B:$B,$C361)/Assumptions!$B$4*Assumptions!$B$6</f>
        <v>0</v>
      </c>
      <c r="X361" s="7" t="n">
        <f aca="false">SUMIFS(Doors!AJ:AJ,Doors!$A:$A,$D361,Doors!$B:$B,$B361,Doors!$C:$C,$C361)*SUMIFS(Velocity!$I:$I,Velocity!$A:$A,$A361,Velocity!$B:$B,$C361)/Assumptions!$B$4*Assumptions!$B$6</f>
        <v>0</v>
      </c>
      <c r="Y361" s="7" t="n">
        <f aca="false">SUMIFS(Doors!AK:AK,Doors!$A:$A,$D361,Doors!$B:$B,$B361,Doors!$C:$C,$C361)*SUMIFS(Velocity!$I:$I,Velocity!$A:$A,$A361,Velocity!$B:$B,$C361)/Assumptions!$B$4*Assumptions!$B$6</f>
        <v>0</v>
      </c>
      <c r="Z361" s="7" t="n">
        <f aca="false">SUMIFS(Doors!AL:AL,Doors!$A:$A,$D361,Doors!$B:$B,$B361,Doors!$C:$C,$C361)*SUMIFS(Velocity!$I:$I,Velocity!$A:$A,$A361,Velocity!$B:$B,$C361)/Assumptions!$B$4*Assumptions!$B$6</f>
        <v>0</v>
      </c>
      <c r="AA361" s="7" t="n">
        <f aca="false">SUMIFS(Doors!AM:AM,Doors!$A:$A,$D361,Doors!$B:$B,$B361,Doors!$C:$C,$C361)*SUMIFS(Velocity!$I:$I,Velocity!$A:$A,$A361,Velocity!$B:$B,$C361)/Assumptions!$B$4*Assumptions!$B$6</f>
        <v>0</v>
      </c>
      <c r="AB361" s="7" t="n">
        <f aca="false">SUMIFS(Doors!AN:AN,Doors!$A:$A,$D361,Doors!$B:$B,$B361,Doors!$C:$C,$C361)*SUMIFS(Velocity!$I:$I,Velocity!$A:$A,$A361,Velocity!$B:$B,$C361)/Assumptions!$B$4*Assumptions!$B$6</f>
        <v>0</v>
      </c>
      <c r="AC361" s="7" t="n">
        <f aca="false">SUMIFS(Doors!AO:AO,Doors!$A:$A,$D361,Doors!$B:$B,$B361,Doors!$C:$C,$C361)*SUMIFS(Velocity!$I:$I,Velocity!$A:$A,$A361,Velocity!$B:$B,$C361)/Assumptions!$B$4*Assumptions!$B$6</f>
        <v>0</v>
      </c>
      <c r="AD361" s="7" t="n">
        <f aca="false">SUMIFS(Doors!AP:AP,Doors!$A:$A,$D361,Doors!$B:$B,$B361,Doors!$C:$C,$C361)*SUMIFS(Velocity!$I:$I,Velocity!$A:$A,$A361,Velocity!$B:$B,$C361)/Assumptions!$B$4*Assumptions!$B$6</f>
        <v>0</v>
      </c>
      <c r="AE361" s="7" t="n">
        <f aca="false">SUMIFS(Doors!AQ:AQ,Doors!$A:$A,$D361,Doors!$B:$B,$B361,Doors!$C:$C,$C361)*SUMIFS(Velocity!$I:$I,Velocity!$A:$A,$A361,Velocity!$B:$B,$C361)/Assumptions!$B$4*Assumptions!$B$6</f>
        <v>0</v>
      </c>
      <c r="AF361" s="7" t="n">
        <f aca="false">SUMIFS(Doors!AR:AR,Doors!$A:$A,$D361,Doors!$B:$B,$B361,Doors!$C:$C,$C361)*SUMIFS(Velocity!$I:$I,Velocity!$A:$A,$A361,Velocity!$B:$B,$C361)/Assumptions!$B$4*Assumptions!$B$6</f>
        <v>0</v>
      </c>
      <c r="AG361" s="7" t="n">
        <f aca="false">SUMIFS(Doors!AS:AS,Doors!$A:$A,$D361,Doors!$B:$B,$B361,Doors!$C:$C,$C361)*SUMIFS(Velocity!$I:$I,Velocity!$A:$A,$A361,Velocity!$B:$B,$C361)/Assumptions!$B$4*Assumptions!$B$6</f>
        <v>0</v>
      </c>
      <c r="AH361" s="7" t="n">
        <f aca="false">SUMIFS(Doors!AT:AT,Doors!$A:$A,$D361,Doors!$B:$B,$B361,Doors!$C:$C,$C361)*SUMIFS(Velocity!$I:$I,Velocity!$A:$A,$A361,Velocity!$B:$B,$C361)/Assumptions!$B$4*Assumptions!$B$6</f>
        <v>0</v>
      </c>
      <c r="AI361" s="7" t="n">
        <f aca="false">SUMIFS(Doors!AU:AU,Doors!$A:$A,$D361,Doors!$B:$B,$B361,Doors!$C:$C,$C361)*SUMIFS(Velocity!$I:$I,Velocity!$A:$A,$A361,Velocity!$B:$B,$C361)/Assumptions!$B$4*Assumptions!$B$6</f>
        <v>0</v>
      </c>
      <c r="AJ361" s="7" t="n">
        <f aca="false">SUMIFS(Doors!AV:AV,Doors!$A:$A,$D361,Doors!$B:$B,$B361,Doors!$C:$C,$C361)*SUMIFS(Velocity!$I:$I,Velocity!$A:$A,$A361,Velocity!$B:$B,$C361)/Assumptions!$B$4*Assumptions!$B$6</f>
        <v>0</v>
      </c>
      <c r="AK361" s="7" t="n">
        <f aca="false">SUMIFS(Doors!AW:AW,Doors!$A:$A,$D361,Doors!$B:$B,$B361,Doors!$C:$C,$C361)*SUMIFS(Velocity!$I:$I,Velocity!$A:$A,$A361,Velocity!$B:$B,$C361)/Assumptions!$B$4*Assumptions!$B$6</f>
        <v>0</v>
      </c>
      <c r="AL361" s="7" t="n">
        <f aca="false">SUMIFS(Doors!AX:AX,Doors!$A:$A,$D361,Doors!$B:$B,$B361,Doors!$C:$C,$C361)*SUMIFS(Velocity!$I:$I,Velocity!$A:$A,$A361,Velocity!$B:$B,$C361)/Assumptions!$B$4*Assumptions!$B$6</f>
        <v>0</v>
      </c>
      <c r="AM361" s="7" t="n">
        <f aca="false">SUMIFS(Doors!AY:AY,Doors!$A:$A,$D361,Doors!$B:$B,$B361,Doors!$C:$C,$C361)*SUMIFS(Velocity!$I:$I,Velocity!$A:$A,$A361,Velocity!$B:$B,$C361)/Assumptions!$B$4*Assumptions!$B$6</f>
        <v>0</v>
      </c>
      <c r="AN361" s="7" t="n">
        <f aca="false">SUMIFS(Doors!AZ:AZ,Doors!$A:$A,$D361,Doors!$B:$B,$B361,Doors!$C:$C,$C361)*SUMIFS(Velocity!$I:$I,Velocity!$A:$A,$A361,Velocity!$B:$B,$C361)/Assumptions!$B$4*Assumptions!$B$6</f>
        <v>0</v>
      </c>
      <c r="AO361" s="7" t="n">
        <f aca="false">SUMIFS(Doors!BA:BA,Doors!$A:$A,$D361,Doors!$B:$B,$B361,Doors!$C:$C,$C361)*SUMIFS(Velocity!$I:$I,Velocity!$A:$A,$A361,Velocity!$B:$B,$C361)/Assumptions!$B$4*Assumptions!$B$6</f>
        <v>0</v>
      </c>
      <c r="AP361" s="7" t="n">
        <f aca="false">SUMIFS(Doors!BB:BB,Doors!$A:$A,$D361,Doors!$B:$B,$B361,Doors!$C:$C,$C361)*SUMIFS(Velocity!$I:$I,Velocity!$A:$A,$A361,Velocity!$B:$B,$C361)/Assumptions!$B$4*Assumptions!$B$6</f>
        <v>0</v>
      </c>
      <c r="AQ361" s="7" t="n">
        <f aca="false">SUMIFS(Doors!BC:BC,Doors!$A:$A,$D361,Doors!$B:$B,$B361,Doors!$C:$C,$C361)*SUMIFS(Velocity!$I:$I,Velocity!$A:$A,$A361,Velocity!$B:$B,$C361)/Assumptions!$B$4*Assumptions!$B$6</f>
        <v>0</v>
      </c>
      <c r="AR361" s="7" t="n">
        <f aca="false">SUMIFS(Doors!BD:BD,Doors!$A:$A,$D361,Doors!$B:$B,$B361,Doors!$C:$C,$C361)*SUMIFS(Velocity!$I:$I,Velocity!$A:$A,$A361,Velocity!$B:$B,$C361)/Assumptions!$B$4*Assumptions!$B$6</f>
        <v>0</v>
      </c>
      <c r="AS361" s="7" t="n">
        <f aca="false">SUMIFS(Doors!BE:BE,Doors!$A:$A,$D361,Doors!$B:$B,$B361,Doors!$C:$C,$C361)*SUMIFS(Velocity!$I:$I,Velocity!$A:$A,$A361,Velocity!$B:$B,$C361)/Assumptions!$B$4*Assumptions!$B$6</f>
        <v>0</v>
      </c>
      <c r="AT361" s="7" t="n">
        <f aca="false">SUMIFS(Doors!BF:BF,Doors!$A:$A,$D361,Doors!$B:$B,$B361,Doors!$C:$C,$C361)*SUMIFS(Velocity!$I:$I,Velocity!$A:$A,$A361,Velocity!$B:$B,$C361)/Assumptions!$B$4*Assumptions!$B$6</f>
        <v>0</v>
      </c>
      <c r="AU361" s="7" t="n">
        <f aca="false">SUMIFS(Doors!BG:BG,Doors!$A:$A,$D361,Doors!$B:$B,$B361,Doors!$C:$C,$C361)*SUMIFS(Velocity!$I:$I,Velocity!$A:$A,$A361,Velocity!$B:$B,$C361)/Assumptions!$B$4*Assumptions!$B$6</f>
        <v>0</v>
      </c>
      <c r="AV361" s="7" t="n">
        <f aca="false">SUMIFS(Doors!BH:BH,Doors!$A:$A,$D361,Doors!$B:$B,$B361,Doors!$C:$C,$C361)*SUMIFS(Velocity!$I:$I,Velocity!$A:$A,$A361,Velocity!$B:$B,$C361)/Assumptions!$B$4*Assumptions!$B$6</f>
        <v>0</v>
      </c>
      <c r="AW361" s="7" t="n">
        <f aca="false">SUMIFS(Doors!BI:BI,Doors!$A:$A,$D361,Doors!$B:$B,$B361,Doors!$C:$C,$C361)*SUMIFS(Velocity!$I:$I,Velocity!$A:$A,$A361,Velocity!$B:$B,$C361)/Assumptions!$B$4*Assumptions!$B$6</f>
        <v>0</v>
      </c>
      <c r="AX361" s="7" t="n">
        <f aca="false">SUMIFS(Doors!BJ:BJ,Doors!$A:$A,$D361,Doors!$B:$B,$B361,Doors!$C:$C,$C361)*SUMIFS(Velocity!$I:$I,Velocity!$A:$A,$A361,Velocity!$B:$B,$C361)/Assumptions!$B$4*Assumptions!$B$6</f>
        <v>0</v>
      </c>
      <c r="AY361" s="7" t="n">
        <f aca="false">SUMIFS(Doors!BK:BK,Doors!$A:$A,$D361,Doors!$B:$B,$B361,Doors!$C:$C,$C361)*SUMIFS(Velocity!$I:$I,Velocity!$A:$A,$A361,Velocity!$B:$B,$C361)/Assumptions!$B$4*Assumptions!$B$6</f>
        <v>0</v>
      </c>
      <c r="AZ361" s="7" t="n">
        <f aca="false">SUMIFS(Doors!BL:BL,Doors!$A:$A,$D361,Doors!$B:$B,$B361,Doors!$C:$C,$C361)*SUMIFS(Velocity!$I:$I,Velocity!$A:$A,$A361,Velocity!$B:$B,$C361)/Assumptions!$B$4*Assumptions!$B$6</f>
        <v>0</v>
      </c>
      <c r="BA361" s="7" t="n">
        <f aca="false">SUMIFS(Doors!BM:BM,Doors!$A:$A,$D361,Doors!$B:$B,$B361,Doors!$C:$C,$C361)*SUMIFS(Velocity!$I:$I,Velocity!$A:$A,$A361,Velocity!$B:$B,$C361)/Assumptions!$B$4*Assumptions!$B$6</f>
        <v>0</v>
      </c>
      <c r="BB361" s="7" t="n">
        <f aca="false">SUMIFS(Doors!BN:BN,Doors!$A:$A,$D361,Doors!$B:$B,$B361,Doors!$C:$C,$C361)*SUMIFS(Velocity!$I:$I,Velocity!$A:$A,$A361,Velocity!$B:$B,$C361)/Assumptions!$B$4*Assumptions!$B$6</f>
        <v>0</v>
      </c>
      <c r="BC361" s="7" t="n">
        <f aca="false">SUMIFS(Doors!BO:BO,Doors!$A:$A,$D361,Doors!$B:$B,$B361,Doors!$C:$C,$C361)*SUMIFS(Velocity!$I:$I,Velocity!$A:$A,$A361,Velocity!$B:$B,$C361)/Assumptions!$B$4*Assumptions!$B$6</f>
        <v>0</v>
      </c>
      <c r="BD361" s="7" t="n">
        <f aca="false">SUMIFS(Doors!BP:BP,Doors!$A:$A,$D361,Doors!$B:$B,$B361,Doors!$C:$C,$C361)*SUMIFS(Velocity!$I:$I,Velocity!$A:$A,$A361,Velocity!$B:$B,$C361)/Assumptions!$B$4*Assumptions!$B$6</f>
        <v>0</v>
      </c>
    </row>
    <row r="362" customFormat="false" ht="15" hidden="false" customHeight="false" outlineLevel="0" collapsed="false">
      <c r="A362" s="0" t="s">
        <v>111</v>
      </c>
      <c r="B362" s="0" t="s">
        <v>135</v>
      </c>
      <c r="C362" s="0" t="s">
        <v>120</v>
      </c>
      <c r="D362" s="0" t="s">
        <v>236</v>
      </c>
      <c r="E362" s="7" t="n">
        <f aca="false">SUMIFS(Doors!Q:Q,Doors!$A:$A,$D362,Doors!$B:$B,$B362,Doors!$C:$C,$C362)*SUMIFS(Velocity!$I:$I,Velocity!$A:$A,$A362,Velocity!$B:$B,$C362)/Assumptions!$B$4*Assumptions!$B$6</f>
        <v>0</v>
      </c>
      <c r="F362" s="7" t="n">
        <f aca="false">SUMIFS(Doors!R:R,Doors!$A:$A,$D362,Doors!$B:$B,$B362,Doors!$C:$C,$C362)*SUMIFS(Velocity!$I:$I,Velocity!$A:$A,$A362,Velocity!$B:$B,$C362)/Assumptions!$B$4*Assumptions!$B$6</f>
        <v>0</v>
      </c>
      <c r="G362" s="7" t="n">
        <f aca="false">SUMIFS(Doors!S:S,Doors!$A:$A,$D362,Doors!$B:$B,$B362,Doors!$C:$C,$C362)*SUMIFS(Velocity!$I:$I,Velocity!$A:$A,$A362,Velocity!$B:$B,$C362)/Assumptions!$B$4*Assumptions!$B$6</f>
        <v>0</v>
      </c>
      <c r="H362" s="7" t="n">
        <f aca="false">SUMIFS(Doors!T:T,Doors!$A:$A,$D362,Doors!$B:$B,$B362,Doors!$C:$C,$C362)*SUMIFS(Velocity!$I:$I,Velocity!$A:$A,$A362,Velocity!$B:$B,$C362)/Assumptions!$B$4*Assumptions!$B$6</f>
        <v>0</v>
      </c>
      <c r="I362" s="7" t="n">
        <f aca="false">SUMIFS(Doors!U:U,Doors!$A:$A,$D362,Doors!$B:$B,$B362,Doors!$C:$C,$C362)*SUMIFS(Velocity!$I:$I,Velocity!$A:$A,$A362,Velocity!$B:$B,$C362)/Assumptions!$B$4*Assumptions!$B$6</f>
        <v>0</v>
      </c>
      <c r="J362" s="7" t="n">
        <f aca="false">SUMIFS(Doors!V:V,Doors!$A:$A,$D362,Doors!$B:$B,$B362,Doors!$C:$C,$C362)*SUMIFS(Velocity!$I:$I,Velocity!$A:$A,$A362,Velocity!$B:$B,$C362)/Assumptions!$B$4*Assumptions!$B$6</f>
        <v>0</v>
      </c>
      <c r="K362" s="7" t="n">
        <f aca="false">SUMIFS(Doors!W:W,Doors!$A:$A,$D362,Doors!$B:$B,$B362,Doors!$C:$C,$C362)*SUMIFS(Velocity!$I:$I,Velocity!$A:$A,$A362,Velocity!$B:$B,$C362)/Assumptions!$B$4*Assumptions!$B$6</f>
        <v>0</v>
      </c>
      <c r="L362" s="7" t="n">
        <f aca="false">SUMIFS(Doors!X:X,Doors!$A:$A,$D362,Doors!$B:$B,$B362,Doors!$C:$C,$C362)*SUMIFS(Velocity!$I:$I,Velocity!$A:$A,$A362,Velocity!$B:$B,$C362)/Assumptions!$B$4*Assumptions!$B$6</f>
        <v>0</v>
      </c>
      <c r="M362" s="7" t="n">
        <f aca="false">SUMIFS(Doors!Y:Y,Doors!$A:$A,$D362,Doors!$B:$B,$B362,Doors!$C:$C,$C362)*SUMIFS(Velocity!$I:$I,Velocity!$A:$A,$A362,Velocity!$B:$B,$C362)/Assumptions!$B$4*Assumptions!$B$6</f>
        <v>0</v>
      </c>
      <c r="N362" s="7" t="n">
        <f aca="false">SUMIFS(Doors!Z:Z,Doors!$A:$A,$D362,Doors!$B:$B,$B362,Doors!$C:$C,$C362)*SUMIFS(Velocity!$I:$I,Velocity!$A:$A,$A362,Velocity!$B:$B,$C362)/Assumptions!$B$4*Assumptions!$B$6</f>
        <v>0</v>
      </c>
      <c r="O362" s="7" t="n">
        <f aca="false">SUMIFS(Doors!AA:AA,Doors!$A:$A,$D362,Doors!$B:$B,$B362,Doors!$C:$C,$C362)*SUMIFS(Velocity!$I:$I,Velocity!$A:$A,$A362,Velocity!$B:$B,$C362)/Assumptions!$B$4*Assumptions!$B$6</f>
        <v>0</v>
      </c>
      <c r="P362" s="7" t="n">
        <f aca="false">SUMIFS(Doors!AB:AB,Doors!$A:$A,$D362,Doors!$B:$B,$B362,Doors!$C:$C,$C362)*SUMIFS(Velocity!$I:$I,Velocity!$A:$A,$A362,Velocity!$B:$B,$C362)/Assumptions!$B$4*Assumptions!$B$6</f>
        <v>0</v>
      </c>
      <c r="Q362" s="7" t="n">
        <f aca="false">SUMIFS(Doors!AC:AC,Doors!$A:$A,$D362,Doors!$B:$B,$B362,Doors!$C:$C,$C362)*SUMIFS(Velocity!$I:$I,Velocity!$A:$A,$A362,Velocity!$B:$B,$C362)/Assumptions!$B$4*Assumptions!$B$6</f>
        <v>0</v>
      </c>
      <c r="R362" s="7" t="n">
        <f aca="false">SUMIFS(Doors!AD:AD,Doors!$A:$A,$D362,Doors!$B:$B,$B362,Doors!$C:$C,$C362)*SUMIFS(Velocity!$I:$I,Velocity!$A:$A,$A362,Velocity!$B:$B,$C362)/Assumptions!$B$4*Assumptions!$B$6</f>
        <v>0</v>
      </c>
      <c r="S362" s="7" t="n">
        <f aca="false">SUMIFS(Doors!AE:AE,Doors!$A:$A,$D362,Doors!$B:$B,$B362,Doors!$C:$C,$C362)*SUMIFS(Velocity!$I:$I,Velocity!$A:$A,$A362,Velocity!$B:$B,$C362)/Assumptions!$B$4*Assumptions!$B$6</f>
        <v>0</v>
      </c>
      <c r="T362" s="7" t="n">
        <f aca="false">SUMIFS(Doors!AF:AF,Doors!$A:$A,$D362,Doors!$B:$B,$B362,Doors!$C:$C,$C362)*SUMIFS(Velocity!$I:$I,Velocity!$A:$A,$A362,Velocity!$B:$B,$C362)/Assumptions!$B$4*Assumptions!$B$6</f>
        <v>0</v>
      </c>
      <c r="U362" s="7" t="n">
        <f aca="false">SUMIFS(Doors!AG:AG,Doors!$A:$A,$D362,Doors!$B:$B,$B362,Doors!$C:$C,$C362)*SUMIFS(Velocity!$I:$I,Velocity!$A:$A,$A362,Velocity!$B:$B,$C362)/Assumptions!$B$4*Assumptions!$B$6</f>
        <v>0</v>
      </c>
      <c r="V362" s="7" t="n">
        <f aca="false">SUMIFS(Doors!AH:AH,Doors!$A:$A,$D362,Doors!$B:$B,$B362,Doors!$C:$C,$C362)*SUMIFS(Velocity!$I:$I,Velocity!$A:$A,$A362,Velocity!$B:$B,$C362)/Assumptions!$B$4*Assumptions!$B$6</f>
        <v>0</v>
      </c>
      <c r="W362" s="7" t="n">
        <f aca="false">SUMIFS(Doors!AI:AI,Doors!$A:$A,$D362,Doors!$B:$B,$B362,Doors!$C:$C,$C362)*SUMIFS(Velocity!$I:$I,Velocity!$A:$A,$A362,Velocity!$B:$B,$C362)/Assumptions!$B$4*Assumptions!$B$6</f>
        <v>0</v>
      </c>
      <c r="X362" s="7" t="n">
        <f aca="false">SUMIFS(Doors!AJ:AJ,Doors!$A:$A,$D362,Doors!$B:$B,$B362,Doors!$C:$C,$C362)*SUMIFS(Velocity!$I:$I,Velocity!$A:$A,$A362,Velocity!$B:$B,$C362)/Assumptions!$B$4*Assumptions!$B$6</f>
        <v>0</v>
      </c>
      <c r="Y362" s="7" t="n">
        <f aca="false">SUMIFS(Doors!AK:AK,Doors!$A:$A,$D362,Doors!$B:$B,$B362,Doors!$C:$C,$C362)*SUMIFS(Velocity!$I:$I,Velocity!$A:$A,$A362,Velocity!$B:$B,$C362)/Assumptions!$B$4*Assumptions!$B$6</f>
        <v>0</v>
      </c>
      <c r="Z362" s="7" t="n">
        <f aca="false">SUMIFS(Doors!AL:AL,Doors!$A:$A,$D362,Doors!$B:$B,$B362,Doors!$C:$C,$C362)*SUMIFS(Velocity!$I:$I,Velocity!$A:$A,$A362,Velocity!$B:$B,$C362)/Assumptions!$B$4*Assumptions!$B$6</f>
        <v>0</v>
      </c>
      <c r="AA362" s="7" t="n">
        <f aca="false">SUMIFS(Doors!AM:AM,Doors!$A:$A,$D362,Doors!$B:$B,$B362,Doors!$C:$C,$C362)*SUMIFS(Velocity!$I:$I,Velocity!$A:$A,$A362,Velocity!$B:$B,$C362)/Assumptions!$B$4*Assumptions!$B$6</f>
        <v>0</v>
      </c>
      <c r="AB362" s="7" t="n">
        <f aca="false">SUMIFS(Doors!AN:AN,Doors!$A:$A,$D362,Doors!$B:$B,$B362,Doors!$C:$C,$C362)*SUMIFS(Velocity!$I:$I,Velocity!$A:$A,$A362,Velocity!$B:$B,$C362)/Assumptions!$B$4*Assumptions!$B$6</f>
        <v>0</v>
      </c>
      <c r="AC362" s="7" t="n">
        <f aca="false">SUMIFS(Doors!AO:AO,Doors!$A:$A,$D362,Doors!$B:$B,$B362,Doors!$C:$C,$C362)*SUMIFS(Velocity!$I:$I,Velocity!$A:$A,$A362,Velocity!$B:$B,$C362)/Assumptions!$B$4*Assumptions!$B$6</f>
        <v>0</v>
      </c>
      <c r="AD362" s="7" t="n">
        <f aca="false">SUMIFS(Doors!AP:AP,Doors!$A:$A,$D362,Doors!$B:$B,$B362,Doors!$C:$C,$C362)*SUMIFS(Velocity!$I:$I,Velocity!$A:$A,$A362,Velocity!$B:$B,$C362)/Assumptions!$B$4*Assumptions!$B$6</f>
        <v>0</v>
      </c>
      <c r="AE362" s="7" t="n">
        <f aca="false">SUMIFS(Doors!AQ:AQ,Doors!$A:$A,$D362,Doors!$B:$B,$B362,Doors!$C:$C,$C362)*SUMIFS(Velocity!$I:$I,Velocity!$A:$A,$A362,Velocity!$B:$B,$C362)/Assumptions!$B$4*Assumptions!$B$6</f>
        <v>0</v>
      </c>
      <c r="AF362" s="7" t="n">
        <f aca="false">SUMIFS(Doors!AR:AR,Doors!$A:$A,$D362,Doors!$B:$B,$B362,Doors!$C:$C,$C362)*SUMIFS(Velocity!$I:$I,Velocity!$A:$A,$A362,Velocity!$B:$B,$C362)/Assumptions!$B$4*Assumptions!$B$6</f>
        <v>0</v>
      </c>
      <c r="AG362" s="7" t="n">
        <f aca="false">SUMIFS(Doors!AS:AS,Doors!$A:$A,$D362,Doors!$B:$B,$B362,Doors!$C:$C,$C362)*SUMIFS(Velocity!$I:$I,Velocity!$A:$A,$A362,Velocity!$B:$B,$C362)/Assumptions!$B$4*Assumptions!$B$6</f>
        <v>0</v>
      </c>
      <c r="AH362" s="7" t="n">
        <f aca="false">SUMIFS(Doors!AT:AT,Doors!$A:$A,$D362,Doors!$B:$B,$B362,Doors!$C:$C,$C362)*SUMIFS(Velocity!$I:$I,Velocity!$A:$A,$A362,Velocity!$B:$B,$C362)/Assumptions!$B$4*Assumptions!$B$6</f>
        <v>0</v>
      </c>
      <c r="AI362" s="7" t="n">
        <f aca="false">SUMIFS(Doors!AU:AU,Doors!$A:$A,$D362,Doors!$B:$B,$B362,Doors!$C:$C,$C362)*SUMIFS(Velocity!$I:$I,Velocity!$A:$A,$A362,Velocity!$B:$B,$C362)/Assumptions!$B$4*Assumptions!$B$6</f>
        <v>0</v>
      </c>
      <c r="AJ362" s="7" t="n">
        <f aca="false">SUMIFS(Doors!AV:AV,Doors!$A:$A,$D362,Doors!$B:$B,$B362,Doors!$C:$C,$C362)*SUMIFS(Velocity!$I:$I,Velocity!$A:$A,$A362,Velocity!$B:$B,$C362)/Assumptions!$B$4*Assumptions!$B$6</f>
        <v>0</v>
      </c>
      <c r="AK362" s="7" t="n">
        <f aca="false">SUMIFS(Doors!AW:AW,Doors!$A:$A,$D362,Doors!$B:$B,$B362,Doors!$C:$C,$C362)*SUMIFS(Velocity!$I:$I,Velocity!$A:$A,$A362,Velocity!$B:$B,$C362)/Assumptions!$B$4*Assumptions!$B$6</f>
        <v>0</v>
      </c>
      <c r="AL362" s="7" t="n">
        <f aca="false">SUMIFS(Doors!AX:AX,Doors!$A:$A,$D362,Doors!$B:$B,$B362,Doors!$C:$C,$C362)*SUMIFS(Velocity!$I:$I,Velocity!$A:$A,$A362,Velocity!$B:$B,$C362)/Assumptions!$B$4*Assumptions!$B$6</f>
        <v>0</v>
      </c>
      <c r="AM362" s="7" t="n">
        <f aca="false">SUMIFS(Doors!AY:AY,Doors!$A:$A,$D362,Doors!$B:$B,$B362,Doors!$C:$C,$C362)*SUMIFS(Velocity!$I:$I,Velocity!$A:$A,$A362,Velocity!$B:$B,$C362)/Assumptions!$B$4*Assumptions!$B$6</f>
        <v>0</v>
      </c>
      <c r="AN362" s="7" t="n">
        <f aca="false">SUMIFS(Doors!AZ:AZ,Doors!$A:$A,$D362,Doors!$B:$B,$B362,Doors!$C:$C,$C362)*SUMIFS(Velocity!$I:$I,Velocity!$A:$A,$A362,Velocity!$B:$B,$C362)/Assumptions!$B$4*Assumptions!$B$6</f>
        <v>0</v>
      </c>
      <c r="AO362" s="7" t="n">
        <f aca="false">SUMIFS(Doors!BA:BA,Doors!$A:$A,$D362,Doors!$B:$B,$B362,Doors!$C:$C,$C362)*SUMIFS(Velocity!$I:$I,Velocity!$A:$A,$A362,Velocity!$B:$B,$C362)/Assumptions!$B$4*Assumptions!$B$6</f>
        <v>0</v>
      </c>
      <c r="AP362" s="7" t="n">
        <f aca="false">SUMIFS(Doors!BB:BB,Doors!$A:$A,$D362,Doors!$B:$B,$B362,Doors!$C:$C,$C362)*SUMIFS(Velocity!$I:$I,Velocity!$A:$A,$A362,Velocity!$B:$B,$C362)/Assumptions!$B$4*Assumptions!$B$6</f>
        <v>0</v>
      </c>
      <c r="AQ362" s="7" t="n">
        <f aca="false">SUMIFS(Doors!BC:BC,Doors!$A:$A,$D362,Doors!$B:$B,$B362,Doors!$C:$C,$C362)*SUMIFS(Velocity!$I:$I,Velocity!$A:$A,$A362,Velocity!$B:$B,$C362)/Assumptions!$B$4*Assumptions!$B$6</f>
        <v>0</v>
      </c>
      <c r="AR362" s="7" t="n">
        <f aca="false">SUMIFS(Doors!BD:BD,Doors!$A:$A,$D362,Doors!$B:$B,$B362,Doors!$C:$C,$C362)*SUMIFS(Velocity!$I:$I,Velocity!$A:$A,$A362,Velocity!$B:$B,$C362)/Assumptions!$B$4*Assumptions!$B$6</f>
        <v>0</v>
      </c>
      <c r="AS362" s="7" t="n">
        <f aca="false">SUMIFS(Doors!BE:BE,Doors!$A:$A,$D362,Doors!$B:$B,$B362,Doors!$C:$C,$C362)*SUMIFS(Velocity!$I:$I,Velocity!$A:$A,$A362,Velocity!$B:$B,$C362)/Assumptions!$B$4*Assumptions!$B$6</f>
        <v>0</v>
      </c>
      <c r="AT362" s="7" t="n">
        <f aca="false">SUMIFS(Doors!BF:BF,Doors!$A:$A,$D362,Doors!$B:$B,$B362,Doors!$C:$C,$C362)*SUMIFS(Velocity!$I:$I,Velocity!$A:$A,$A362,Velocity!$B:$B,$C362)/Assumptions!$B$4*Assumptions!$B$6</f>
        <v>0</v>
      </c>
      <c r="AU362" s="7" t="n">
        <f aca="false">SUMIFS(Doors!BG:BG,Doors!$A:$A,$D362,Doors!$B:$B,$B362,Doors!$C:$C,$C362)*SUMIFS(Velocity!$I:$I,Velocity!$A:$A,$A362,Velocity!$B:$B,$C362)/Assumptions!$B$4*Assumptions!$B$6</f>
        <v>0</v>
      </c>
      <c r="AV362" s="7" t="n">
        <f aca="false">SUMIFS(Doors!BH:BH,Doors!$A:$A,$D362,Doors!$B:$B,$B362,Doors!$C:$C,$C362)*SUMIFS(Velocity!$I:$I,Velocity!$A:$A,$A362,Velocity!$B:$B,$C362)/Assumptions!$B$4*Assumptions!$B$6</f>
        <v>0</v>
      </c>
      <c r="AW362" s="7" t="n">
        <f aca="false">SUMIFS(Doors!BI:BI,Doors!$A:$A,$D362,Doors!$B:$B,$B362,Doors!$C:$C,$C362)*SUMIFS(Velocity!$I:$I,Velocity!$A:$A,$A362,Velocity!$B:$B,$C362)/Assumptions!$B$4*Assumptions!$B$6</f>
        <v>0</v>
      </c>
      <c r="AX362" s="7" t="n">
        <f aca="false">SUMIFS(Doors!BJ:BJ,Doors!$A:$A,$D362,Doors!$B:$B,$B362,Doors!$C:$C,$C362)*SUMIFS(Velocity!$I:$I,Velocity!$A:$A,$A362,Velocity!$B:$B,$C362)/Assumptions!$B$4*Assumptions!$B$6</f>
        <v>0</v>
      </c>
      <c r="AY362" s="7" t="n">
        <f aca="false">SUMIFS(Doors!BK:BK,Doors!$A:$A,$D362,Doors!$B:$B,$B362,Doors!$C:$C,$C362)*SUMIFS(Velocity!$I:$I,Velocity!$A:$A,$A362,Velocity!$B:$B,$C362)/Assumptions!$B$4*Assumptions!$B$6</f>
        <v>0</v>
      </c>
      <c r="AZ362" s="7" t="n">
        <f aca="false">SUMIFS(Doors!BL:BL,Doors!$A:$A,$D362,Doors!$B:$B,$B362,Doors!$C:$C,$C362)*SUMIFS(Velocity!$I:$I,Velocity!$A:$A,$A362,Velocity!$B:$B,$C362)/Assumptions!$B$4*Assumptions!$B$6</f>
        <v>0</v>
      </c>
      <c r="BA362" s="7" t="n">
        <f aca="false">SUMIFS(Doors!BM:BM,Doors!$A:$A,$D362,Doors!$B:$B,$B362,Doors!$C:$C,$C362)*SUMIFS(Velocity!$I:$I,Velocity!$A:$A,$A362,Velocity!$B:$B,$C362)/Assumptions!$B$4*Assumptions!$B$6</f>
        <v>0</v>
      </c>
      <c r="BB362" s="7" t="n">
        <f aca="false">SUMIFS(Doors!BN:BN,Doors!$A:$A,$D362,Doors!$B:$B,$B362,Doors!$C:$C,$C362)*SUMIFS(Velocity!$I:$I,Velocity!$A:$A,$A362,Velocity!$B:$B,$C362)/Assumptions!$B$4*Assumptions!$B$6</f>
        <v>0</v>
      </c>
      <c r="BC362" s="7" t="n">
        <f aca="false">SUMIFS(Doors!BO:BO,Doors!$A:$A,$D362,Doors!$B:$B,$B362,Doors!$C:$C,$C362)*SUMIFS(Velocity!$I:$I,Velocity!$A:$A,$A362,Velocity!$B:$B,$C362)/Assumptions!$B$4*Assumptions!$B$6</f>
        <v>0</v>
      </c>
      <c r="BD362" s="7" t="n">
        <f aca="false">SUMIFS(Doors!BP:BP,Doors!$A:$A,$D362,Doors!$B:$B,$B362,Doors!$C:$C,$C362)*SUMIFS(Velocity!$I:$I,Velocity!$A:$A,$A362,Velocity!$B:$B,$C362)/Assumptions!$B$4*Assumptions!$B$6</f>
        <v>0</v>
      </c>
    </row>
    <row r="363" customFormat="false" ht="15" hidden="false" customHeight="false" outlineLevel="0" collapsed="false">
      <c r="A363" s="0" t="s">
        <v>111</v>
      </c>
      <c r="B363" s="0" t="s">
        <v>135</v>
      </c>
      <c r="C363" s="0" t="s">
        <v>121</v>
      </c>
      <c r="D363" s="0" t="s">
        <v>236</v>
      </c>
      <c r="E363" s="7" t="n">
        <f aca="false">SUMIFS(Doors!Q:Q,Doors!$A:$A,$D363,Doors!$B:$B,$B363,Doors!$C:$C,$C363)*SUMIFS(Velocity!$I:$I,Velocity!$A:$A,$A363,Velocity!$B:$B,$C363)/Assumptions!$B$4*Assumptions!$B$6</f>
        <v>0</v>
      </c>
      <c r="F363" s="7" t="n">
        <f aca="false">SUMIFS(Doors!R:R,Doors!$A:$A,$D363,Doors!$B:$B,$B363,Doors!$C:$C,$C363)*SUMIFS(Velocity!$I:$I,Velocity!$A:$A,$A363,Velocity!$B:$B,$C363)/Assumptions!$B$4*Assumptions!$B$6</f>
        <v>0</v>
      </c>
      <c r="G363" s="7" t="n">
        <f aca="false">SUMIFS(Doors!S:S,Doors!$A:$A,$D363,Doors!$B:$B,$B363,Doors!$C:$C,$C363)*SUMIFS(Velocity!$I:$I,Velocity!$A:$A,$A363,Velocity!$B:$B,$C363)/Assumptions!$B$4*Assumptions!$B$6</f>
        <v>0</v>
      </c>
      <c r="H363" s="7" t="n">
        <f aca="false">SUMIFS(Doors!T:T,Doors!$A:$A,$D363,Doors!$B:$B,$B363,Doors!$C:$C,$C363)*SUMIFS(Velocity!$I:$I,Velocity!$A:$A,$A363,Velocity!$B:$B,$C363)/Assumptions!$B$4*Assumptions!$B$6</f>
        <v>0</v>
      </c>
      <c r="I363" s="7" t="n">
        <f aca="false">SUMIFS(Doors!U:U,Doors!$A:$A,$D363,Doors!$B:$B,$B363,Doors!$C:$C,$C363)*SUMIFS(Velocity!$I:$I,Velocity!$A:$A,$A363,Velocity!$B:$B,$C363)/Assumptions!$B$4*Assumptions!$B$6</f>
        <v>0</v>
      </c>
      <c r="J363" s="7" t="n">
        <f aca="false">SUMIFS(Doors!V:V,Doors!$A:$A,$D363,Doors!$B:$B,$B363,Doors!$C:$C,$C363)*SUMIFS(Velocity!$I:$I,Velocity!$A:$A,$A363,Velocity!$B:$B,$C363)/Assumptions!$B$4*Assumptions!$B$6</f>
        <v>0</v>
      </c>
      <c r="K363" s="7" t="n">
        <f aca="false">SUMIFS(Doors!W:W,Doors!$A:$A,$D363,Doors!$B:$B,$B363,Doors!$C:$C,$C363)*SUMIFS(Velocity!$I:$I,Velocity!$A:$A,$A363,Velocity!$B:$B,$C363)/Assumptions!$B$4*Assumptions!$B$6</f>
        <v>0</v>
      </c>
      <c r="L363" s="7" t="n">
        <f aca="false">SUMIFS(Doors!X:X,Doors!$A:$A,$D363,Doors!$B:$B,$B363,Doors!$C:$C,$C363)*SUMIFS(Velocity!$I:$I,Velocity!$A:$A,$A363,Velocity!$B:$B,$C363)/Assumptions!$B$4*Assumptions!$B$6</f>
        <v>0</v>
      </c>
      <c r="M363" s="7" t="n">
        <f aca="false">SUMIFS(Doors!Y:Y,Doors!$A:$A,$D363,Doors!$B:$B,$B363,Doors!$C:$C,$C363)*SUMIFS(Velocity!$I:$I,Velocity!$A:$A,$A363,Velocity!$B:$B,$C363)/Assumptions!$B$4*Assumptions!$B$6</f>
        <v>0</v>
      </c>
      <c r="N363" s="7" t="n">
        <f aca="false">SUMIFS(Doors!Z:Z,Doors!$A:$A,$D363,Doors!$B:$B,$B363,Doors!$C:$C,$C363)*SUMIFS(Velocity!$I:$I,Velocity!$A:$A,$A363,Velocity!$B:$B,$C363)/Assumptions!$B$4*Assumptions!$B$6</f>
        <v>0</v>
      </c>
      <c r="O363" s="7" t="n">
        <f aca="false">SUMIFS(Doors!AA:AA,Doors!$A:$A,$D363,Doors!$B:$B,$B363,Doors!$C:$C,$C363)*SUMIFS(Velocity!$I:$I,Velocity!$A:$A,$A363,Velocity!$B:$B,$C363)/Assumptions!$B$4*Assumptions!$B$6</f>
        <v>0</v>
      </c>
      <c r="P363" s="7" t="n">
        <f aca="false">SUMIFS(Doors!AB:AB,Doors!$A:$A,$D363,Doors!$B:$B,$B363,Doors!$C:$C,$C363)*SUMIFS(Velocity!$I:$I,Velocity!$A:$A,$A363,Velocity!$B:$B,$C363)/Assumptions!$B$4*Assumptions!$B$6</f>
        <v>0</v>
      </c>
      <c r="Q363" s="7" t="n">
        <f aca="false">SUMIFS(Doors!AC:AC,Doors!$A:$A,$D363,Doors!$B:$B,$B363,Doors!$C:$C,$C363)*SUMIFS(Velocity!$I:$I,Velocity!$A:$A,$A363,Velocity!$B:$B,$C363)/Assumptions!$B$4*Assumptions!$B$6</f>
        <v>0</v>
      </c>
      <c r="R363" s="7" t="n">
        <f aca="false">SUMIFS(Doors!AD:AD,Doors!$A:$A,$D363,Doors!$B:$B,$B363,Doors!$C:$C,$C363)*SUMIFS(Velocity!$I:$I,Velocity!$A:$A,$A363,Velocity!$B:$B,$C363)/Assumptions!$B$4*Assumptions!$B$6</f>
        <v>0</v>
      </c>
      <c r="S363" s="7" t="n">
        <f aca="false">SUMIFS(Doors!AE:AE,Doors!$A:$A,$D363,Doors!$B:$B,$B363,Doors!$C:$C,$C363)*SUMIFS(Velocity!$I:$I,Velocity!$A:$A,$A363,Velocity!$B:$B,$C363)/Assumptions!$B$4*Assumptions!$B$6</f>
        <v>0</v>
      </c>
      <c r="T363" s="7" t="n">
        <f aca="false">SUMIFS(Doors!AF:AF,Doors!$A:$A,$D363,Doors!$B:$B,$B363,Doors!$C:$C,$C363)*SUMIFS(Velocity!$I:$I,Velocity!$A:$A,$A363,Velocity!$B:$B,$C363)/Assumptions!$B$4*Assumptions!$B$6</f>
        <v>0</v>
      </c>
      <c r="U363" s="7" t="n">
        <f aca="false">SUMIFS(Doors!AG:AG,Doors!$A:$A,$D363,Doors!$B:$B,$B363,Doors!$C:$C,$C363)*SUMIFS(Velocity!$I:$I,Velocity!$A:$A,$A363,Velocity!$B:$B,$C363)/Assumptions!$B$4*Assumptions!$B$6</f>
        <v>0</v>
      </c>
      <c r="V363" s="7" t="n">
        <f aca="false">SUMIFS(Doors!AH:AH,Doors!$A:$A,$D363,Doors!$B:$B,$B363,Doors!$C:$C,$C363)*SUMIFS(Velocity!$I:$I,Velocity!$A:$A,$A363,Velocity!$B:$B,$C363)/Assumptions!$B$4*Assumptions!$B$6</f>
        <v>0</v>
      </c>
      <c r="W363" s="7" t="n">
        <f aca="false">SUMIFS(Doors!AI:AI,Doors!$A:$A,$D363,Doors!$B:$B,$B363,Doors!$C:$C,$C363)*SUMIFS(Velocity!$I:$I,Velocity!$A:$A,$A363,Velocity!$B:$B,$C363)/Assumptions!$B$4*Assumptions!$B$6</f>
        <v>0</v>
      </c>
      <c r="X363" s="7" t="n">
        <f aca="false">SUMIFS(Doors!AJ:AJ,Doors!$A:$A,$D363,Doors!$B:$B,$B363,Doors!$C:$C,$C363)*SUMIFS(Velocity!$I:$I,Velocity!$A:$A,$A363,Velocity!$B:$B,$C363)/Assumptions!$B$4*Assumptions!$B$6</f>
        <v>0</v>
      </c>
      <c r="Y363" s="7" t="n">
        <f aca="false">SUMIFS(Doors!AK:AK,Doors!$A:$A,$D363,Doors!$B:$B,$B363,Doors!$C:$C,$C363)*SUMIFS(Velocity!$I:$I,Velocity!$A:$A,$A363,Velocity!$B:$B,$C363)/Assumptions!$B$4*Assumptions!$B$6</f>
        <v>0</v>
      </c>
      <c r="Z363" s="7" t="n">
        <f aca="false">SUMIFS(Doors!AL:AL,Doors!$A:$A,$D363,Doors!$B:$B,$B363,Doors!$C:$C,$C363)*SUMIFS(Velocity!$I:$I,Velocity!$A:$A,$A363,Velocity!$B:$B,$C363)/Assumptions!$B$4*Assumptions!$B$6</f>
        <v>0</v>
      </c>
      <c r="AA363" s="7" t="n">
        <f aca="false">SUMIFS(Doors!AM:AM,Doors!$A:$A,$D363,Doors!$B:$B,$B363,Doors!$C:$C,$C363)*SUMIFS(Velocity!$I:$I,Velocity!$A:$A,$A363,Velocity!$B:$B,$C363)/Assumptions!$B$4*Assumptions!$B$6</f>
        <v>0</v>
      </c>
      <c r="AB363" s="7" t="n">
        <f aca="false">SUMIFS(Doors!AN:AN,Doors!$A:$A,$D363,Doors!$B:$B,$B363,Doors!$C:$C,$C363)*SUMIFS(Velocity!$I:$I,Velocity!$A:$A,$A363,Velocity!$B:$B,$C363)/Assumptions!$B$4*Assumptions!$B$6</f>
        <v>0</v>
      </c>
      <c r="AC363" s="7" t="n">
        <f aca="false">SUMIFS(Doors!AO:AO,Doors!$A:$A,$D363,Doors!$B:$B,$B363,Doors!$C:$C,$C363)*SUMIFS(Velocity!$I:$I,Velocity!$A:$A,$A363,Velocity!$B:$B,$C363)/Assumptions!$B$4*Assumptions!$B$6</f>
        <v>0</v>
      </c>
      <c r="AD363" s="7" t="n">
        <f aca="false">SUMIFS(Doors!AP:AP,Doors!$A:$A,$D363,Doors!$B:$B,$B363,Doors!$C:$C,$C363)*SUMIFS(Velocity!$I:$I,Velocity!$A:$A,$A363,Velocity!$B:$B,$C363)/Assumptions!$B$4*Assumptions!$B$6</f>
        <v>0</v>
      </c>
      <c r="AE363" s="7" t="n">
        <f aca="false">SUMIFS(Doors!AQ:AQ,Doors!$A:$A,$D363,Doors!$B:$B,$B363,Doors!$C:$C,$C363)*SUMIFS(Velocity!$I:$I,Velocity!$A:$A,$A363,Velocity!$B:$B,$C363)/Assumptions!$B$4*Assumptions!$B$6</f>
        <v>0</v>
      </c>
      <c r="AF363" s="7" t="n">
        <f aca="false">SUMIFS(Doors!AR:AR,Doors!$A:$A,$D363,Doors!$B:$B,$B363,Doors!$C:$C,$C363)*SUMIFS(Velocity!$I:$I,Velocity!$A:$A,$A363,Velocity!$B:$B,$C363)/Assumptions!$B$4*Assumptions!$B$6</f>
        <v>0</v>
      </c>
      <c r="AG363" s="7" t="n">
        <f aca="false">SUMIFS(Doors!AS:AS,Doors!$A:$A,$D363,Doors!$B:$B,$B363,Doors!$C:$C,$C363)*SUMIFS(Velocity!$I:$I,Velocity!$A:$A,$A363,Velocity!$B:$B,$C363)/Assumptions!$B$4*Assumptions!$B$6</f>
        <v>0</v>
      </c>
      <c r="AH363" s="7" t="n">
        <f aca="false">SUMIFS(Doors!AT:AT,Doors!$A:$A,$D363,Doors!$B:$B,$B363,Doors!$C:$C,$C363)*SUMIFS(Velocity!$I:$I,Velocity!$A:$A,$A363,Velocity!$B:$B,$C363)/Assumptions!$B$4*Assumptions!$B$6</f>
        <v>0</v>
      </c>
      <c r="AI363" s="7" t="n">
        <f aca="false">SUMIFS(Doors!AU:AU,Doors!$A:$A,$D363,Doors!$B:$B,$B363,Doors!$C:$C,$C363)*SUMIFS(Velocity!$I:$I,Velocity!$A:$A,$A363,Velocity!$B:$B,$C363)/Assumptions!$B$4*Assumptions!$B$6</f>
        <v>0</v>
      </c>
      <c r="AJ363" s="7" t="n">
        <f aca="false">SUMIFS(Doors!AV:AV,Doors!$A:$A,$D363,Doors!$B:$B,$B363,Doors!$C:$C,$C363)*SUMIFS(Velocity!$I:$I,Velocity!$A:$A,$A363,Velocity!$B:$B,$C363)/Assumptions!$B$4*Assumptions!$B$6</f>
        <v>0</v>
      </c>
      <c r="AK363" s="7" t="n">
        <f aca="false">SUMIFS(Doors!AW:AW,Doors!$A:$A,$D363,Doors!$B:$B,$B363,Doors!$C:$C,$C363)*SUMIFS(Velocity!$I:$I,Velocity!$A:$A,$A363,Velocity!$B:$B,$C363)/Assumptions!$B$4*Assumptions!$B$6</f>
        <v>0</v>
      </c>
      <c r="AL363" s="7" t="n">
        <f aca="false">SUMIFS(Doors!AX:AX,Doors!$A:$A,$D363,Doors!$B:$B,$B363,Doors!$C:$C,$C363)*SUMIFS(Velocity!$I:$I,Velocity!$A:$A,$A363,Velocity!$B:$B,$C363)/Assumptions!$B$4*Assumptions!$B$6</f>
        <v>0</v>
      </c>
      <c r="AM363" s="7" t="n">
        <f aca="false">SUMIFS(Doors!AY:AY,Doors!$A:$A,$D363,Doors!$B:$B,$B363,Doors!$C:$C,$C363)*SUMIFS(Velocity!$I:$I,Velocity!$A:$A,$A363,Velocity!$B:$B,$C363)/Assumptions!$B$4*Assumptions!$B$6</f>
        <v>0</v>
      </c>
      <c r="AN363" s="7" t="n">
        <f aca="false">SUMIFS(Doors!AZ:AZ,Doors!$A:$A,$D363,Doors!$B:$B,$B363,Doors!$C:$C,$C363)*SUMIFS(Velocity!$I:$I,Velocity!$A:$A,$A363,Velocity!$B:$B,$C363)/Assumptions!$B$4*Assumptions!$B$6</f>
        <v>0</v>
      </c>
      <c r="AO363" s="7" t="n">
        <f aca="false">SUMIFS(Doors!BA:BA,Doors!$A:$A,$D363,Doors!$B:$B,$B363,Doors!$C:$C,$C363)*SUMIFS(Velocity!$I:$I,Velocity!$A:$A,$A363,Velocity!$B:$B,$C363)/Assumptions!$B$4*Assumptions!$B$6</f>
        <v>0</v>
      </c>
      <c r="AP363" s="7" t="n">
        <f aca="false">SUMIFS(Doors!BB:BB,Doors!$A:$A,$D363,Doors!$B:$B,$B363,Doors!$C:$C,$C363)*SUMIFS(Velocity!$I:$I,Velocity!$A:$A,$A363,Velocity!$B:$B,$C363)/Assumptions!$B$4*Assumptions!$B$6</f>
        <v>0</v>
      </c>
      <c r="AQ363" s="7" t="n">
        <f aca="false">SUMIFS(Doors!BC:BC,Doors!$A:$A,$D363,Doors!$B:$B,$B363,Doors!$C:$C,$C363)*SUMIFS(Velocity!$I:$I,Velocity!$A:$A,$A363,Velocity!$B:$B,$C363)/Assumptions!$B$4*Assumptions!$B$6</f>
        <v>0</v>
      </c>
      <c r="AR363" s="7" t="n">
        <f aca="false">SUMIFS(Doors!BD:BD,Doors!$A:$A,$D363,Doors!$B:$B,$B363,Doors!$C:$C,$C363)*SUMIFS(Velocity!$I:$I,Velocity!$A:$A,$A363,Velocity!$B:$B,$C363)/Assumptions!$B$4*Assumptions!$B$6</f>
        <v>0</v>
      </c>
      <c r="AS363" s="7" t="n">
        <f aca="false">SUMIFS(Doors!BE:BE,Doors!$A:$A,$D363,Doors!$B:$B,$B363,Doors!$C:$C,$C363)*SUMIFS(Velocity!$I:$I,Velocity!$A:$A,$A363,Velocity!$B:$B,$C363)/Assumptions!$B$4*Assumptions!$B$6</f>
        <v>0</v>
      </c>
      <c r="AT363" s="7" t="n">
        <f aca="false">SUMIFS(Doors!BF:BF,Doors!$A:$A,$D363,Doors!$B:$B,$B363,Doors!$C:$C,$C363)*SUMIFS(Velocity!$I:$I,Velocity!$A:$A,$A363,Velocity!$B:$B,$C363)/Assumptions!$B$4*Assumptions!$B$6</f>
        <v>0</v>
      </c>
      <c r="AU363" s="7" t="n">
        <f aca="false">SUMIFS(Doors!BG:BG,Doors!$A:$A,$D363,Doors!$B:$B,$B363,Doors!$C:$C,$C363)*SUMIFS(Velocity!$I:$I,Velocity!$A:$A,$A363,Velocity!$B:$B,$C363)/Assumptions!$B$4*Assumptions!$B$6</f>
        <v>0</v>
      </c>
      <c r="AV363" s="7" t="n">
        <f aca="false">SUMIFS(Doors!BH:BH,Doors!$A:$A,$D363,Doors!$B:$B,$B363,Doors!$C:$C,$C363)*SUMIFS(Velocity!$I:$I,Velocity!$A:$A,$A363,Velocity!$B:$B,$C363)/Assumptions!$B$4*Assumptions!$B$6</f>
        <v>0</v>
      </c>
      <c r="AW363" s="7" t="n">
        <f aca="false">SUMIFS(Doors!BI:BI,Doors!$A:$A,$D363,Doors!$B:$B,$B363,Doors!$C:$C,$C363)*SUMIFS(Velocity!$I:$I,Velocity!$A:$A,$A363,Velocity!$B:$B,$C363)/Assumptions!$B$4*Assumptions!$B$6</f>
        <v>0</v>
      </c>
      <c r="AX363" s="7" t="n">
        <f aca="false">SUMIFS(Doors!BJ:BJ,Doors!$A:$A,$D363,Doors!$B:$B,$B363,Doors!$C:$C,$C363)*SUMIFS(Velocity!$I:$I,Velocity!$A:$A,$A363,Velocity!$B:$B,$C363)/Assumptions!$B$4*Assumptions!$B$6</f>
        <v>0</v>
      </c>
      <c r="AY363" s="7" t="n">
        <f aca="false">SUMIFS(Doors!BK:BK,Doors!$A:$A,$D363,Doors!$B:$B,$B363,Doors!$C:$C,$C363)*SUMIFS(Velocity!$I:$I,Velocity!$A:$A,$A363,Velocity!$B:$B,$C363)/Assumptions!$B$4*Assumptions!$B$6</f>
        <v>0</v>
      </c>
      <c r="AZ363" s="7" t="n">
        <f aca="false">SUMIFS(Doors!BL:BL,Doors!$A:$A,$D363,Doors!$B:$B,$B363,Doors!$C:$C,$C363)*SUMIFS(Velocity!$I:$I,Velocity!$A:$A,$A363,Velocity!$B:$B,$C363)/Assumptions!$B$4*Assumptions!$B$6</f>
        <v>0</v>
      </c>
      <c r="BA363" s="7" t="n">
        <f aca="false">SUMIFS(Doors!BM:BM,Doors!$A:$A,$D363,Doors!$B:$B,$B363,Doors!$C:$C,$C363)*SUMIFS(Velocity!$I:$I,Velocity!$A:$A,$A363,Velocity!$B:$B,$C363)/Assumptions!$B$4*Assumptions!$B$6</f>
        <v>0</v>
      </c>
      <c r="BB363" s="7" t="n">
        <f aca="false">SUMIFS(Doors!BN:BN,Doors!$A:$A,$D363,Doors!$B:$B,$B363,Doors!$C:$C,$C363)*SUMIFS(Velocity!$I:$I,Velocity!$A:$A,$A363,Velocity!$B:$B,$C363)/Assumptions!$B$4*Assumptions!$B$6</f>
        <v>0</v>
      </c>
      <c r="BC363" s="7" t="n">
        <f aca="false">SUMIFS(Doors!BO:BO,Doors!$A:$A,$D363,Doors!$B:$B,$B363,Doors!$C:$C,$C363)*SUMIFS(Velocity!$I:$I,Velocity!$A:$A,$A363,Velocity!$B:$B,$C363)/Assumptions!$B$4*Assumptions!$B$6</f>
        <v>0</v>
      </c>
      <c r="BD363" s="7" t="n">
        <f aca="false">SUMIFS(Doors!BP:BP,Doors!$A:$A,$D363,Doors!$B:$B,$B363,Doors!$C:$C,$C363)*SUMIFS(Velocity!$I:$I,Velocity!$A:$A,$A363,Velocity!$B:$B,$C363)/Assumptions!$B$4*Assumptions!$B$6</f>
        <v>0</v>
      </c>
    </row>
    <row r="364" customFormat="false" ht="15" hidden="false" customHeight="false" outlineLevel="0" collapsed="false">
      <c r="A364" s="0" t="s">
        <v>111</v>
      </c>
      <c r="B364" s="0" t="s">
        <v>135</v>
      </c>
      <c r="C364" s="0" t="s">
        <v>122</v>
      </c>
      <c r="D364" s="0" t="s">
        <v>236</v>
      </c>
      <c r="E364" s="7" t="n">
        <f aca="false">SUMIFS(Doors!Q:Q,Doors!$A:$A,$D364,Doors!$B:$B,$B364,Doors!$C:$C,$C364)*SUMIFS(Velocity!$I:$I,Velocity!$A:$A,$A364,Velocity!$B:$B,$C364)/Assumptions!$B$4*Assumptions!$B$6</f>
        <v>0</v>
      </c>
      <c r="F364" s="7" t="n">
        <f aca="false">SUMIFS(Doors!R:R,Doors!$A:$A,$D364,Doors!$B:$B,$B364,Doors!$C:$C,$C364)*SUMIFS(Velocity!$I:$I,Velocity!$A:$A,$A364,Velocity!$B:$B,$C364)/Assumptions!$B$4*Assumptions!$B$6</f>
        <v>0</v>
      </c>
      <c r="G364" s="7" t="n">
        <f aca="false">SUMIFS(Doors!S:S,Doors!$A:$A,$D364,Doors!$B:$B,$B364,Doors!$C:$C,$C364)*SUMIFS(Velocity!$I:$I,Velocity!$A:$A,$A364,Velocity!$B:$B,$C364)/Assumptions!$B$4*Assumptions!$B$6</f>
        <v>0</v>
      </c>
      <c r="H364" s="7" t="n">
        <f aca="false">SUMIFS(Doors!T:T,Doors!$A:$A,$D364,Doors!$B:$B,$B364,Doors!$C:$C,$C364)*SUMIFS(Velocity!$I:$I,Velocity!$A:$A,$A364,Velocity!$B:$B,$C364)/Assumptions!$B$4*Assumptions!$B$6</f>
        <v>0</v>
      </c>
      <c r="I364" s="7" t="n">
        <f aca="false">SUMIFS(Doors!U:U,Doors!$A:$A,$D364,Doors!$B:$B,$B364,Doors!$C:$C,$C364)*SUMIFS(Velocity!$I:$I,Velocity!$A:$A,$A364,Velocity!$B:$B,$C364)/Assumptions!$B$4*Assumptions!$B$6</f>
        <v>0</v>
      </c>
      <c r="J364" s="7" t="n">
        <f aca="false">SUMIFS(Doors!V:V,Doors!$A:$A,$D364,Doors!$B:$B,$B364,Doors!$C:$C,$C364)*SUMIFS(Velocity!$I:$I,Velocity!$A:$A,$A364,Velocity!$B:$B,$C364)/Assumptions!$B$4*Assumptions!$B$6</f>
        <v>0</v>
      </c>
      <c r="K364" s="7" t="n">
        <f aca="false">SUMIFS(Doors!W:W,Doors!$A:$A,$D364,Doors!$B:$B,$B364,Doors!$C:$C,$C364)*SUMIFS(Velocity!$I:$I,Velocity!$A:$A,$A364,Velocity!$B:$B,$C364)/Assumptions!$B$4*Assumptions!$B$6</f>
        <v>0</v>
      </c>
      <c r="L364" s="7" t="n">
        <f aca="false">SUMIFS(Doors!X:X,Doors!$A:$A,$D364,Doors!$B:$B,$B364,Doors!$C:$C,$C364)*SUMIFS(Velocity!$I:$I,Velocity!$A:$A,$A364,Velocity!$B:$B,$C364)/Assumptions!$B$4*Assumptions!$B$6</f>
        <v>0</v>
      </c>
      <c r="M364" s="7" t="n">
        <f aca="false">SUMIFS(Doors!Y:Y,Doors!$A:$A,$D364,Doors!$B:$B,$B364,Doors!$C:$C,$C364)*SUMIFS(Velocity!$I:$I,Velocity!$A:$A,$A364,Velocity!$B:$B,$C364)/Assumptions!$B$4*Assumptions!$B$6</f>
        <v>0</v>
      </c>
      <c r="N364" s="7" t="n">
        <f aca="false">SUMIFS(Doors!Z:Z,Doors!$A:$A,$D364,Doors!$B:$B,$B364,Doors!$C:$C,$C364)*SUMIFS(Velocity!$I:$I,Velocity!$A:$A,$A364,Velocity!$B:$B,$C364)/Assumptions!$B$4*Assumptions!$B$6</f>
        <v>0</v>
      </c>
      <c r="O364" s="7" t="n">
        <f aca="false">SUMIFS(Doors!AA:AA,Doors!$A:$A,$D364,Doors!$B:$B,$B364,Doors!$C:$C,$C364)*SUMIFS(Velocity!$I:$I,Velocity!$A:$A,$A364,Velocity!$B:$B,$C364)/Assumptions!$B$4*Assumptions!$B$6</f>
        <v>0</v>
      </c>
      <c r="P364" s="7" t="n">
        <f aca="false">SUMIFS(Doors!AB:AB,Doors!$A:$A,$D364,Doors!$B:$B,$B364,Doors!$C:$C,$C364)*SUMIFS(Velocity!$I:$I,Velocity!$A:$A,$A364,Velocity!$B:$B,$C364)/Assumptions!$B$4*Assumptions!$B$6</f>
        <v>0</v>
      </c>
      <c r="Q364" s="7" t="n">
        <f aca="false">SUMIFS(Doors!AC:AC,Doors!$A:$A,$D364,Doors!$B:$B,$B364,Doors!$C:$C,$C364)*SUMIFS(Velocity!$I:$I,Velocity!$A:$A,$A364,Velocity!$B:$B,$C364)/Assumptions!$B$4*Assumptions!$B$6</f>
        <v>0</v>
      </c>
      <c r="R364" s="7" t="n">
        <f aca="false">SUMIFS(Doors!AD:AD,Doors!$A:$A,$D364,Doors!$B:$B,$B364,Doors!$C:$C,$C364)*SUMIFS(Velocity!$I:$I,Velocity!$A:$A,$A364,Velocity!$B:$B,$C364)/Assumptions!$B$4*Assumptions!$B$6</f>
        <v>0</v>
      </c>
      <c r="S364" s="7" t="n">
        <f aca="false">SUMIFS(Doors!AE:AE,Doors!$A:$A,$D364,Doors!$B:$B,$B364,Doors!$C:$C,$C364)*SUMIFS(Velocity!$I:$I,Velocity!$A:$A,$A364,Velocity!$B:$B,$C364)/Assumptions!$B$4*Assumptions!$B$6</f>
        <v>0</v>
      </c>
      <c r="T364" s="7" t="n">
        <f aca="false">SUMIFS(Doors!AF:AF,Doors!$A:$A,$D364,Doors!$B:$B,$B364,Doors!$C:$C,$C364)*SUMIFS(Velocity!$I:$I,Velocity!$A:$A,$A364,Velocity!$B:$B,$C364)/Assumptions!$B$4*Assumptions!$B$6</f>
        <v>0</v>
      </c>
      <c r="U364" s="7" t="n">
        <f aca="false">SUMIFS(Doors!AG:AG,Doors!$A:$A,$D364,Doors!$B:$B,$B364,Doors!$C:$C,$C364)*SUMIFS(Velocity!$I:$I,Velocity!$A:$A,$A364,Velocity!$B:$B,$C364)/Assumptions!$B$4*Assumptions!$B$6</f>
        <v>0</v>
      </c>
      <c r="V364" s="7" t="n">
        <f aca="false">SUMIFS(Doors!AH:AH,Doors!$A:$A,$D364,Doors!$B:$B,$B364,Doors!$C:$C,$C364)*SUMIFS(Velocity!$I:$I,Velocity!$A:$A,$A364,Velocity!$B:$B,$C364)/Assumptions!$B$4*Assumptions!$B$6</f>
        <v>0</v>
      </c>
      <c r="W364" s="7" t="n">
        <f aca="false">SUMIFS(Doors!AI:AI,Doors!$A:$A,$D364,Doors!$B:$B,$B364,Doors!$C:$C,$C364)*SUMIFS(Velocity!$I:$I,Velocity!$A:$A,$A364,Velocity!$B:$B,$C364)/Assumptions!$B$4*Assumptions!$B$6</f>
        <v>0</v>
      </c>
      <c r="X364" s="7" t="n">
        <f aca="false">SUMIFS(Doors!AJ:AJ,Doors!$A:$A,$D364,Doors!$B:$B,$B364,Doors!$C:$C,$C364)*SUMIFS(Velocity!$I:$I,Velocity!$A:$A,$A364,Velocity!$B:$B,$C364)/Assumptions!$B$4*Assumptions!$B$6</f>
        <v>0</v>
      </c>
      <c r="Y364" s="7" t="n">
        <f aca="false">SUMIFS(Doors!AK:AK,Doors!$A:$A,$D364,Doors!$B:$B,$B364,Doors!$C:$C,$C364)*SUMIFS(Velocity!$I:$I,Velocity!$A:$A,$A364,Velocity!$B:$B,$C364)/Assumptions!$B$4*Assumptions!$B$6</f>
        <v>0</v>
      </c>
      <c r="Z364" s="7" t="n">
        <f aca="false">SUMIFS(Doors!AL:AL,Doors!$A:$A,$D364,Doors!$B:$B,$B364,Doors!$C:$C,$C364)*SUMIFS(Velocity!$I:$I,Velocity!$A:$A,$A364,Velocity!$B:$B,$C364)/Assumptions!$B$4*Assumptions!$B$6</f>
        <v>0</v>
      </c>
      <c r="AA364" s="7" t="n">
        <f aca="false">SUMIFS(Doors!AM:AM,Doors!$A:$A,$D364,Doors!$B:$B,$B364,Doors!$C:$C,$C364)*SUMIFS(Velocity!$I:$I,Velocity!$A:$A,$A364,Velocity!$B:$B,$C364)/Assumptions!$B$4*Assumptions!$B$6</f>
        <v>0</v>
      </c>
      <c r="AB364" s="7" t="n">
        <f aca="false">SUMIFS(Doors!AN:AN,Doors!$A:$A,$D364,Doors!$B:$B,$B364,Doors!$C:$C,$C364)*SUMIFS(Velocity!$I:$I,Velocity!$A:$A,$A364,Velocity!$B:$B,$C364)/Assumptions!$B$4*Assumptions!$B$6</f>
        <v>0</v>
      </c>
      <c r="AC364" s="7" t="n">
        <f aca="false">SUMIFS(Doors!AO:AO,Doors!$A:$A,$D364,Doors!$B:$B,$B364,Doors!$C:$C,$C364)*SUMIFS(Velocity!$I:$I,Velocity!$A:$A,$A364,Velocity!$B:$B,$C364)/Assumptions!$B$4*Assumptions!$B$6</f>
        <v>0</v>
      </c>
      <c r="AD364" s="7" t="n">
        <f aca="false">SUMIFS(Doors!AP:AP,Doors!$A:$A,$D364,Doors!$B:$B,$B364,Doors!$C:$C,$C364)*SUMIFS(Velocity!$I:$I,Velocity!$A:$A,$A364,Velocity!$B:$B,$C364)/Assumptions!$B$4*Assumptions!$B$6</f>
        <v>0</v>
      </c>
      <c r="AE364" s="7" t="n">
        <f aca="false">SUMIFS(Doors!AQ:AQ,Doors!$A:$A,$D364,Doors!$B:$B,$B364,Doors!$C:$C,$C364)*SUMIFS(Velocity!$I:$I,Velocity!$A:$A,$A364,Velocity!$B:$B,$C364)/Assumptions!$B$4*Assumptions!$B$6</f>
        <v>0</v>
      </c>
      <c r="AF364" s="7" t="n">
        <f aca="false">SUMIFS(Doors!AR:AR,Doors!$A:$A,$D364,Doors!$B:$B,$B364,Doors!$C:$C,$C364)*SUMIFS(Velocity!$I:$I,Velocity!$A:$A,$A364,Velocity!$B:$B,$C364)/Assumptions!$B$4*Assumptions!$B$6</f>
        <v>0</v>
      </c>
      <c r="AG364" s="7" t="n">
        <f aca="false">SUMIFS(Doors!AS:AS,Doors!$A:$A,$D364,Doors!$B:$B,$B364,Doors!$C:$C,$C364)*SUMIFS(Velocity!$I:$I,Velocity!$A:$A,$A364,Velocity!$B:$B,$C364)/Assumptions!$B$4*Assumptions!$B$6</f>
        <v>0</v>
      </c>
      <c r="AH364" s="7" t="n">
        <f aca="false">SUMIFS(Doors!AT:AT,Doors!$A:$A,$D364,Doors!$B:$B,$B364,Doors!$C:$C,$C364)*SUMIFS(Velocity!$I:$I,Velocity!$A:$A,$A364,Velocity!$B:$B,$C364)/Assumptions!$B$4*Assumptions!$B$6</f>
        <v>0</v>
      </c>
      <c r="AI364" s="7" t="n">
        <f aca="false">SUMIFS(Doors!AU:AU,Doors!$A:$A,$D364,Doors!$B:$B,$B364,Doors!$C:$C,$C364)*SUMIFS(Velocity!$I:$I,Velocity!$A:$A,$A364,Velocity!$B:$B,$C364)/Assumptions!$B$4*Assumptions!$B$6</f>
        <v>0</v>
      </c>
      <c r="AJ364" s="7" t="n">
        <f aca="false">SUMIFS(Doors!AV:AV,Doors!$A:$A,$D364,Doors!$B:$B,$B364,Doors!$C:$C,$C364)*SUMIFS(Velocity!$I:$I,Velocity!$A:$A,$A364,Velocity!$B:$B,$C364)/Assumptions!$B$4*Assumptions!$B$6</f>
        <v>0</v>
      </c>
      <c r="AK364" s="7" t="n">
        <f aca="false">SUMIFS(Doors!AW:AW,Doors!$A:$A,$D364,Doors!$B:$B,$B364,Doors!$C:$C,$C364)*SUMIFS(Velocity!$I:$I,Velocity!$A:$A,$A364,Velocity!$B:$B,$C364)/Assumptions!$B$4*Assumptions!$B$6</f>
        <v>0</v>
      </c>
      <c r="AL364" s="7" t="n">
        <f aca="false">SUMIFS(Doors!AX:AX,Doors!$A:$A,$D364,Doors!$B:$B,$B364,Doors!$C:$C,$C364)*SUMIFS(Velocity!$I:$I,Velocity!$A:$A,$A364,Velocity!$B:$B,$C364)/Assumptions!$B$4*Assumptions!$B$6</f>
        <v>0</v>
      </c>
      <c r="AM364" s="7" t="n">
        <f aca="false">SUMIFS(Doors!AY:AY,Doors!$A:$A,$D364,Doors!$B:$B,$B364,Doors!$C:$C,$C364)*SUMIFS(Velocity!$I:$I,Velocity!$A:$A,$A364,Velocity!$B:$B,$C364)/Assumptions!$B$4*Assumptions!$B$6</f>
        <v>0</v>
      </c>
      <c r="AN364" s="7" t="n">
        <f aca="false">SUMIFS(Doors!AZ:AZ,Doors!$A:$A,$D364,Doors!$B:$B,$B364,Doors!$C:$C,$C364)*SUMIFS(Velocity!$I:$I,Velocity!$A:$A,$A364,Velocity!$B:$B,$C364)/Assumptions!$B$4*Assumptions!$B$6</f>
        <v>0</v>
      </c>
      <c r="AO364" s="7" t="n">
        <f aca="false">SUMIFS(Doors!BA:BA,Doors!$A:$A,$D364,Doors!$B:$B,$B364,Doors!$C:$C,$C364)*SUMIFS(Velocity!$I:$I,Velocity!$A:$A,$A364,Velocity!$B:$B,$C364)/Assumptions!$B$4*Assumptions!$B$6</f>
        <v>0</v>
      </c>
      <c r="AP364" s="7" t="n">
        <f aca="false">SUMIFS(Doors!BB:BB,Doors!$A:$A,$D364,Doors!$B:$B,$B364,Doors!$C:$C,$C364)*SUMIFS(Velocity!$I:$I,Velocity!$A:$A,$A364,Velocity!$B:$B,$C364)/Assumptions!$B$4*Assumptions!$B$6</f>
        <v>0</v>
      </c>
      <c r="AQ364" s="7" t="n">
        <f aca="false">SUMIFS(Doors!BC:BC,Doors!$A:$A,$D364,Doors!$B:$B,$B364,Doors!$C:$C,$C364)*SUMIFS(Velocity!$I:$I,Velocity!$A:$A,$A364,Velocity!$B:$B,$C364)/Assumptions!$B$4*Assumptions!$B$6</f>
        <v>0</v>
      </c>
      <c r="AR364" s="7" t="n">
        <f aca="false">SUMIFS(Doors!BD:BD,Doors!$A:$A,$D364,Doors!$B:$B,$B364,Doors!$C:$C,$C364)*SUMIFS(Velocity!$I:$I,Velocity!$A:$A,$A364,Velocity!$B:$B,$C364)/Assumptions!$B$4*Assumptions!$B$6</f>
        <v>0</v>
      </c>
      <c r="AS364" s="7" t="n">
        <f aca="false">SUMIFS(Doors!BE:BE,Doors!$A:$A,$D364,Doors!$B:$B,$B364,Doors!$C:$C,$C364)*SUMIFS(Velocity!$I:$I,Velocity!$A:$A,$A364,Velocity!$B:$B,$C364)/Assumptions!$B$4*Assumptions!$B$6</f>
        <v>0</v>
      </c>
      <c r="AT364" s="7" t="n">
        <f aca="false">SUMIFS(Doors!BF:BF,Doors!$A:$A,$D364,Doors!$B:$B,$B364,Doors!$C:$C,$C364)*SUMIFS(Velocity!$I:$I,Velocity!$A:$A,$A364,Velocity!$B:$B,$C364)/Assumptions!$B$4*Assumptions!$B$6</f>
        <v>0</v>
      </c>
      <c r="AU364" s="7" t="n">
        <f aca="false">SUMIFS(Doors!BG:BG,Doors!$A:$A,$D364,Doors!$B:$B,$B364,Doors!$C:$C,$C364)*SUMIFS(Velocity!$I:$I,Velocity!$A:$A,$A364,Velocity!$B:$B,$C364)/Assumptions!$B$4*Assumptions!$B$6</f>
        <v>0</v>
      </c>
      <c r="AV364" s="7" t="n">
        <f aca="false">SUMIFS(Doors!BH:BH,Doors!$A:$A,$D364,Doors!$B:$B,$B364,Doors!$C:$C,$C364)*SUMIFS(Velocity!$I:$I,Velocity!$A:$A,$A364,Velocity!$B:$B,$C364)/Assumptions!$B$4*Assumptions!$B$6</f>
        <v>0</v>
      </c>
      <c r="AW364" s="7" t="n">
        <f aca="false">SUMIFS(Doors!BI:BI,Doors!$A:$A,$D364,Doors!$B:$B,$B364,Doors!$C:$C,$C364)*SUMIFS(Velocity!$I:$I,Velocity!$A:$A,$A364,Velocity!$B:$B,$C364)/Assumptions!$B$4*Assumptions!$B$6</f>
        <v>0</v>
      </c>
      <c r="AX364" s="7" t="n">
        <f aca="false">SUMIFS(Doors!BJ:BJ,Doors!$A:$A,$D364,Doors!$B:$B,$B364,Doors!$C:$C,$C364)*SUMIFS(Velocity!$I:$I,Velocity!$A:$A,$A364,Velocity!$B:$B,$C364)/Assumptions!$B$4*Assumptions!$B$6</f>
        <v>0</v>
      </c>
      <c r="AY364" s="7" t="n">
        <f aca="false">SUMIFS(Doors!BK:BK,Doors!$A:$A,$D364,Doors!$B:$B,$B364,Doors!$C:$C,$C364)*SUMIFS(Velocity!$I:$I,Velocity!$A:$A,$A364,Velocity!$B:$B,$C364)/Assumptions!$B$4*Assumptions!$B$6</f>
        <v>0</v>
      </c>
      <c r="AZ364" s="7" t="n">
        <f aca="false">SUMIFS(Doors!BL:BL,Doors!$A:$A,$D364,Doors!$B:$B,$B364,Doors!$C:$C,$C364)*SUMIFS(Velocity!$I:$I,Velocity!$A:$A,$A364,Velocity!$B:$B,$C364)/Assumptions!$B$4*Assumptions!$B$6</f>
        <v>0</v>
      </c>
      <c r="BA364" s="7" t="n">
        <f aca="false">SUMIFS(Doors!BM:BM,Doors!$A:$A,$D364,Doors!$B:$B,$B364,Doors!$C:$C,$C364)*SUMIFS(Velocity!$I:$I,Velocity!$A:$A,$A364,Velocity!$B:$B,$C364)/Assumptions!$B$4*Assumptions!$B$6</f>
        <v>0</v>
      </c>
      <c r="BB364" s="7" t="n">
        <f aca="false">SUMIFS(Doors!BN:BN,Doors!$A:$A,$D364,Doors!$B:$B,$B364,Doors!$C:$C,$C364)*SUMIFS(Velocity!$I:$I,Velocity!$A:$A,$A364,Velocity!$B:$B,$C364)/Assumptions!$B$4*Assumptions!$B$6</f>
        <v>0</v>
      </c>
      <c r="BC364" s="7" t="n">
        <f aca="false">SUMIFS(Doors!BO:BO,Doors!$A:$A,$D364,Doors!$B:$B,$B364,Doors!$C:$C,$C364)*SUMIFS(Velocity!$I:$I,Velocity!$A:$A,$A364,Velocity!$B:$B,$C364)/Assumptions!$B$4*Assumptions!$B$6</f>
        <v>0</v>
      </c>
      <c r="BD364" s="7" t="n">
        <f aca="false">SUMIFS(Doors!BP:BP,Doors!$A:$A,$D364,Doors!$B:$B,$B364,Doors!$C:$C,$C364)*SUMIFS(Velocity!$I:$I,Velocity!$A:$A,$A364,Velocity!$B:$B,$C364)/Assumptions!$B$4*Assumptions!$B$6</f>
        <v>0</v>
      </c>
    </row>
    <row r="365" customFormat="false" ht="15" hidden="false" customHeight="false" outlineLevel="0" collapsed="false">
      <c r="A365" s="0" t="s">
        <v>111</v>
      </c>
      <c r="B365" s="0" t="s">
        <v>135</v>
      </c>
      <c r="C365" s="0" t="s">
        <v>123</v>
      </c>
      <c r="D365" s="0" t="s">
        <v>236</v>
      </c>
      <c r="E365" s="7" t="n">
        <f aca="false">SUMIFS(Doors!Q:Q,Doors!$A:$A,$D365,Doors!$B:$B,$B365,Doors!$C:$C,$C365)*SUMIFS(Velocity!$I:$I,Velocity!$A:$A,$A365,Velocity!$B:$B,$C365)/Assumptions!$B$4*Assumptions!$B$6</f>
        <v>0</v>
      </c>
      <c r="F365" s="7" t="n">
        <f aca="false">SUMIFS(Doors!R:R,Doors!$A:$A,$D365,Doors!$B:$B,$B365,Doors!$C:$C,$C365)*SUMIFS(Velocity!$I:$I,Velocity!$A:$A,$A365,Velocity!$B:$B,$C365)/Assumptions!$B$4*Assumptions!$B$6</f>
        <v>0</v>
      </c>
      <c r="G365" s="7" t="n">
        <f aca="false">SUMIFS(Doors!S:S,Doors!$A:$A,$D365,Doors!$B:$B,$B365,Doors!$C:$C,$C365)*SUMIFS(Velocity!$I:$I,Velocity!$A:$A,$A365,Velocity!$B:$B,$C365)/Assumptions!$B$4*Assumptions!$B$6</f>
        <v>0</v>
      </c>
      <c r="H365" s="7" t="n">
        <f aca="false">SUMIFS(Doors!T:T,Doors!$A:$A,$D365,Doors!$B:$B,$B365,Doors!$C:$C,$C365)*SUMIFS(Velocity!$I:$I,Velocity!$A:$A,$A365,Velocity!$B:$B,$C365)/Assumptions!$B$4*Assumptions!$B$6</f>
        <v>0</v>
      </c>
      <c r="I365" s="7" t="n">
        <f aca="false">SUMIFS(Doors!U:U,Doors!$A:$A,$D365,Doors!$B:$B,$B365,Doors!$C:$C,$C365)*SUMIFS(Velocity!$I:$I,Velocity!$A:$A,$A365,Velocity!$B:$B,$C365)/Assumptions!$B$4*Assumptions!$B$6</f>
        <v>0</v>
      </c>
      <c r="J365" s="7" t="n">
        <f aca="false">SUMIFS(Doors!V:V,Doors!$A:$A,$D365,Doors!$B:$B,$B365,Doors!$C:$C,$C365)*SUMIFS(Velocity!$I:$I,Velocity!$A:$A,$A365,Velocity!$B:$B,$C365)/Assumptions!$B$4*Assumptions!$B$6</f>
        <v>0</v>
      </c>
      <c r="K365" s="7" t="n">
        <f aca="false">SUMIFS(Doors!W:W,Doors!$A:$A,$D365,Doors!$B:$B,$B365,Doors!$C:$C,$C365)*SUMIFS(Velocity!$I:$I,Velocity!$A:$A,$A365,Velocity!$B:$B,$C365)/Assumptions!$B$4*Assumptions!$B$6</f>
        <v>0</v>
      </c>
      <c r="L365" s="7" t="n">
        <f aca="false">SUMIFS(Doors!X:X,Doors!$A:$A,$D365,Doors!$B:$B,$B365,Doors!$C:$C,$C365)*SUMIFS(Velocity!$I:$I,Velocity!$A:$A,$A365,Velocity!$B:$B,$C365)/Assumptions!$B$4*Assumptions!$B$6</f>
        <v>0</v>
      </c>
      <c r="M365" s="7" t="n">
        <f aca="false">SUMIFS(Doors!Y:Y,Doors!$A:$A,$D365,Doors!$B:$B,$B365,Doors!$C:$C,$C365)*SUMIFS(Velocity!$I:$I,Velocity!$A:$A,$A365,Velocity!$B:$B,$C365)/Assumptions!$B$4*Assumptions!$B$6</f>
        <v>0</v>
      </c>
      <c r="N365" s="7" t="n">
        <f aca="false">SUMIFS(Doors!Z:Z,Doors!$A:$A,$D365,Doors!$B:$B,$B365,Doors!$C:$C,$C365)*SUMIFS(Velocity!$I:$I,Velocity!$A:$A,$A365,Velocity!$B:$B,$C365)/Assumptions!$B$4*Assumptions!$B$6</f>
        <v>0</v>
      </c>
      <c r="O365" s="7" t="n">
        <f aca="false">SUMIFS(Doors!AA:AA,Doors!$A:$A,$D365,Doors!$B:$B,$B365,Doors!$C:$C,$C365)*SUMIFS(Velocity!$I:$I,Velocity!$A:$A,$A365,Velocity!$B:$B,$C365)/Assumptions!$B$4*Assumptions!$B$6</f>
        <v>0</v>
      </c>
      <c r="P365" s="7" t="n">
        <f aca="false">SUMIFS(Doors!AB:AB,Doors!$A:$A,$D365,Doors!$B:$B,$B365,Doors!$C:$C,$C365)*SUMIFS(Velocity!$I:$I,Velocity!$A:$A,$A365,Velocity!$B:$B,$C365)/Assumptions!$B$4*Assumptions!$B$6</f>
        <v>0</v>
      </c>
      <c r="Q365" s="7" t="n">
        <f aca="false">SUMIFS(Doors!AC:AC,Doors!$A:$A,$D365,Doors!$B:$B,$B365,Doors!$C:$C,$C365)*SUMIFS(Velocity!$I:$I,Velocity!$A:$A,$A365,Velocity!$B:$B,$C365)/Assumptions!$B$4*Assumptions!$B$6</f>
        <v>0</v>
      </c>
      <c r="R365" s="7" t="n">
        <f aca="false">SUMIFS(Doors!AD:AD,Doors!$A:$A,$D365,Doors!$B:$B,$B365,Doors!$C:$C,$C365)*SUMIFS(Velocity!$I:$I,Velocity!$A:$A,$A365,Velocity!$B:$B,$C365)/Assumptions!$B$4*Assumptions!$B$6</f>
        <v>0</v>
      </c>
      <c r="S365" s="7" t="n">
        <f aca="false">SUMIFS(Doors!AE:AE,Doors!$A:$A,$D365,Doors!$B:$B,$B365,Doors!$C:$C,$C365)*SUMIFS(Velocity!$I:$I,Velocity!$A:$A,$A365,Velocity!$B:$B,$C365)/Assumptions!$B$4*Assumptions!$B$6</f>
        <v>0</v>
      </c>
      <c r="T365" s="7" t="n">
        <f aca="false">SUMIFS(Doors!AF:AF,Doors!$A:$A,$D365,Doors!$B:$B,$B365,Doors!$C:$C,$C365)*SUMIFS(Velocity!$I:$I,Velocity!$A:$A,$A365,Velocity!$B:$B,$C365)/Assumptions!$B$4*Assumptions!$B$6</f>
        <v>0</v>
      </c>
      <c r="U365" s="7" t="n">
        <f aca="false">SUMIFS(Doors!AG:AG,Doors!$A:$A,$D365,Doors!$B:$B,$B365,Doors!$C:$C,$C365)*SUMIFS(Velocity!$I:$I,Velocity!$A:$A,$A365,Velocity!$B:$B,$C365)/Assumptions!$B$4*Assumptions!$B$6</f>
        <v>0</v>
      </c>
      <c r="V365" s="7" t="n">
        <f aca="false">SUMIFS(Doors!AH:AH,Doors!$A:$A,$D365,Doors!$B:$B,$B365,Doors!$C:$C,$C365)*SUMIFS(Velocity!$I:$I,Velocity!$A:$A,$A365,Velocity!$B:$B,$C365)/Assumptions!$B$4*Assumptions!$B$6</f>
        <v>0</v>
      </c>
      <c r="W365" s="7" t="n">
        <f aca="false">SUMIFS(Doors!AI:AI,Doors!$A:$A,$D365,Doors!$B:$B,$B365,Doors!$C:$C,$C365)*SUMIFS(Velocity!$I:$I,Velocity!$A:$A,$A365,Velocity!$B:$B,$C365)/Assumptions!$B$4*Assumptions!$B$6</f>
        <v>0</v>
      </c>
      <c r="X365" s="7" t="n">
        <f aca="false">SUMIFS(Doors!AJ:AJ,Doors!$A:$A,$D365,Doors!$B:$B,$B365,Doors!$C:$C,$C365)*SUMIFS(Velocity!$I:$I,Velocity!$A:$A,$A365,Velocity!$B:$B,$C365)/Assumptions!$B$4*Assumptions!$B$6</f>
        <v>0</v>
      </c>
      <c r="Y365" s="7" t="n">
        <f aca="false">SUMIFS(Doors!AK:AK,Doors!$A:$A,$D365,Doors!$B:$B,$B365,Doors!$C:$C,$C365)*SUMIFS(Velocity!$I:$I,Velocity!$A:$A,$A365,Velocity!$B:$B,$C365)/Assumptions!$B$4*Assumptions!$B$6</f>
        <v>0</v>
      </c>
      <c r="Z365" s="7" t="n">
        <f aca="false">SUMIFS(Doors!AL:AL,Doors!$A:$A,$D365,Doors!$B:$B,$B365,Doors!$C:$C,$C365)*SUMIFS(Velocity!$I:$I,Velocity!$A:$A,$A365,Velocity!$B:$B,$C365)/Assumptions!$B$4*Assumptions!$B$6</f>
        <v>0</v>
      </c>
      <c r="AA365" s="7" t="n">
        <f aca="false">SUMIFS(Doors!AM:AM,Doors!$A:$A,$D365,Doors!$B:$B,$B365,Doors!$C:$C,$C365)*SUMIFS(Velocity!$I:$I,Velocity!$A:$A,$A365,Velocity!$B:$B,$C365)/Assumptions!$B$4*Assumptions!$B$6</f>
        <v>0</v>
      </c>
      <c r="AB365" s="7" t="n">
        <f aca="false">SUMIFS(Doors!AN:AN,Doors!$A:$A,$D365,Doors!$B:$B,$B365,Doors!$C:$C,$C365)*SUMIFS(Velocity!$I:$I,Velocity!$A:$A,$A365,Velocity!$B:$B,$C365)/Assumptions!$B$4*Assumptions!$B$6</f>
        <v>0</v>
      </c>
      <c r="AC365" s="7" t="n">
        <f aca="false">SUMIFS(Doors!AO:AO,Doors!$A:$A,$D365,Doors!$B:$B,$B365,Doors!$C:$C,$C365)*SUMIFS(Velocity!$I:$I,Velocity!$A:$A,$A365,Velocity!$B:$B,$C365)/Assumptions!$B$4*Assumptions!$B$6</f>
        <v>0</v>
      </c>
      <c r="AD365" s="7" t="n">
        <f aca="false">SUMIFS(Doors!AP:AP,Doors!$A:$A,$D365,Doors!$B:$B,$B365,Doors!$C:$C,$C365)*SUMIFS(Velocity!$I:$I,Velocity!$A:$A,$A365,Velocity!$B:$B,$C365)/Assumptions!$B$4*Assumptions!$B$6</f>
        <v>0</v>
      </c>
      <c r="AE365" s="7" t="n">
        <f aca="false">SUMIFS(Doors!AQ:AQ,Doors!$A:$A,$D365,Doors!$B:$B,$B365,Doors!$C:$C,$C365)*SUMIFS(Velocity!$I:$I,Velocity!$A:$A,$A365,Velocity!$B:$B,$C365)/Assumptions!$B$4*Assumptions!$B$6</f>
        <v>0</v>
      </c>
      <c r="AF365" s="7" t="n">
        <f aca="false">SUMIFS(Doors!AR:AR,Doors!$A:$A,$D365,Doors!$B:$B,$B365,Doors!$C:$C,$C365)*SUMIFS(Velocity!$I:$I,Velocity!$A:$A,$A365,Velocity!$B:$B,$C365)/Assumptions!$B$4*Assumptions!$B$6</f>
        <v>0</v>
      </c>
      <c r="AG365" s="7" t="n">
        <f aca="false">SUMIFS(Doors!AS:AS,Doors!$A:$A,$D365,Doors!$B:$B,$B365,Doors!$C:$C,$C365)*SUMIFS(Velocity!$I:$I,Velocity!$A:$A,$A365,Velocity!$B:$B,$C365)/Assumptions!$B$4*Assumptions!$B$6</f>
        <v>0</v>
      </c>
      <c r="AH365" s="7" t="n">
        <f aca="false">SUMIFS(Doors!AT:AT,Doors!$A:$A,$D365,Doors!$B:$B,$B365,Doors!$C:$C,$C365)*SUMIFS(Velocity!$I:$I,Velocity!$A:$A,$A365,Velocity!$B:$B,$C365)/Assumptions!$B$4*Assumptions!$B$6</f>
        <v>0</v>
      </c>
      <c r="AI365" s="7" t="n">
        <f aca="false">SUMIFS(Doors!AU:AU,Doors!$A:$A,$D365,Doors!$B:$B,$B365,Doors!$C:$C,$C365)*SUMIFS(Velocity!$I:$I,Velocity!$A:$A,$A365,Velocity!$B:$B,$C365)/Assumptions!$B$4*Assumptions!$B$6</f>
        <v>0</v>
      </c>
      <c r="AJ365" s="7" t="n">
        <f aca="false">SUMIFS(Doors!AV:AV,Doors!$A:$A,$D365,Doors!$B:$B,$B365,Doors!$C:$C,$C365)*SUMIFS(Velocity!$I:$I,Velocity!$A:$A,$A365,Velocity!$B:$B,$C365)/Assumptions!$B$4*Assumptions!$B$6</f>
        <v>0</v>
      </c>
      <c r="AK365" s="7" t="n">
        <f aca="false">SUMIFS(Doors!AW:AW,Doors!$A:$A,$D365,Doors!$B:$B,$B365,Doors!$C:$C,$C365)*SUMIFS(Velocity!$I:$I,Velocity!$A:$A,$A365,Velocity!$B:$B,$C365)/Assumptions!$B$4*Assumptions!$B$6</f>
        <v>0</v>
      </c>
      <c r="AL365" s="7" t="n">
        <f aca="false">SUMIFS(Doors!AX:AX,Doors!$A:$A,$D365,Doors!$B:$B,$B365,Doors!$C:$C,$C365)*SUMIFS(Velocity!$I:$I,Velocity!$A:$A,$A365,Velocity!$B:$B,$C365)/Assumptions!$B$4*Assumptions!$B$6</f>
        <v>0</v>
      </c>
      <c r="AM365" s="7" t="n">
        <f aca="false">SUMIFS(Doors!AY:AY,Doors!$A:$A,$D365,Doors!$B:$B,$B365,Doors!$C:$C,$C365)*SUMIFS(Velocity!$I:$I,Velocity!$A:$A,$A365,Velocity!$B:$B,$C365)/Assumptions!$B$4*Assumptions!$B$6</f>
        <v>0</v>
      </c>
      <c r="AN365" s="7" t="n">
        <f aca="false">SUMIFS(Doors!AZ:AZ,Doors!$A:$A,$D365,Doors!$B:$B,$B365,Doors!$C:$C,$C365)*SUMIFS(Velocity!$I:$I,Velocity!$A:$A,$A365,Velocity!$B:$B,$C365)/Assumptions!$B$4*Assumptions!$B$6</f>
        <v>0</v>
      </c>
      <c r="AO365" s="7" t="n">
        <f aca="false">SUMIFS(Doors!BA:BA,Doors!$A:$A,$D365,Doors!$B:$B,$B365,Doors!$C:$C,$C365)*SUMIFS(Velocity!$I:$I,Velocity!$A:$A,$A365,Velocity!$B:$B,$C365)/Assumptions!$B$4*Assumptions!$B$6</f>
        <v>0</v>
      </c>
      <c r="AP365" s="7" t="n">
        <f aca="false">SUMIFS(Doors!BB:BB,Doors!$A:$A,$D365,Doors!$B:$B,$B365,Doors!$C:$C,$C365)*SUMIFS(Velocity!$I:$I,Velocity!$A:$A,$A365,Velocity!$B:$B,$C365)/Assumptions!$B$4*Assumptions!$B$6</f>
        <v>0</v>
      </c>
      <c r="AQ365" s="7" t="n">
        <f aca="false">SUMIFS(Doors!BC:BC,Doors!$A:$A,$D365,Doors!$B:$B,$B365,Doors!$C:$C,$C365)*SUMIFS(Velocity!$I:$I,Velocity!$A:$A,$A365,Velocity!$B:$B,$C365)/Assumptions!$B$4*Assumptions!$B$6</f>
        <v>0</v>
      </c>
      <c r="AR365" s="7" t="n">
        <f aca="false">SUMIFS(Doors!BD:BD,Doors!$A:$A,$D365,Doors!$B:$B,$B365,Doors!$C:$C,$C365)*SUMIFS(Velocity!$I:$I,Velocity!$A:$A,$A365,Velocity!$B:$B,$C365)/Assumptions!$B$4*Assumptions!$B$6</f>
        <v>0</v>
      </c>
      <c r="AS365" s="7" t="n">
        <f aca="false">SUMIFS(Doors!BE:BE,Doors!$A:$A,$D365,Doors!$B:$B,$B365,Doors!$C:$C,$C365)*SUMIFS(Velocity!$I:$I,Velocity!$A:$A,$A365,Velocity!$B:$B,$C365)/Assumptions!$B$4*Assumptions!$B$6</f>
        <v>0</v>
      </c>
      <c r="AT365" s="7" t="n">
        <f aca="false">SUMIFS(Doors!BF:BF,Doors!$A:$A,$D365,Doors!$B:$B,$B365,Doors!$C:$C,$C365)*SUMIFS(Velocity!$I:$I,Velocity!$A:$A,$A365,Velocity!$B:$B,$C365)/Assumptions!$B$4*Assumptions!$B$6</f>
        <v>0</v>
      </c>
      <c r="AU365" s="7" t="n">
        <f aca="false">SUMIFS(Doors!BG:BG,Doors!$A:$A,$D365,Doors!$B:$B,$B365,Doors!$C:$C,$C365)*SUMIFS(Velocity!$I:$I,Velocity!$A:$A,$A365,Velocity!$B:$B,$C365)/Assumptions!$B$4*Assumptions!$B$6</f>
        <v>0</v>
      </c>
      <c r="AV365" s="7" t="n">
        <f aca="false">SUMIFS(Doors!BH:BH,Doors!$A:$A,$D365,Doors!$B:$B,$B365,Doors!$C:$C,$C365)*SUMIFS(Velocity!$I:$I,Velocity!$A:$A,$A365,Velocity!$B:$B,$C365)/Assumptions!$B$4*Assumptions!$B$6</f>
        <v>0</v>
      </c>
      <c r="AW365" s="7" t="n">
        <f aca="false">SUMIFS(Doors!BI:BI,Doors!$A:$A,$D365,Doors!$B:$B,$B365,Doors!$C:$C,$C365)*SUMIFS(Velocity!$I:$I,Velocity!$A:$A,$A365,Velocity!$B:$B,$C365)/Assumptions!$B$4*Assumptions!$B$6</f>
        <v>0</v>
      </c>
      <c r="AX365" s="7" t="n">
        <f aca="false">SUMIFS(Doors!BJ:BJ,Doors!$A:$A,$D365,Doors!$B:$B,$B365,Doors!$C:$C,$C365)*SUMIFS(Velocity!$I:$I,Velocity!$A:$A,$A365,Velocity!$B:$B,$C365)/Assumptions!$B$4*Assumptions!$B$6</f>
        <v>0</v>
      </c>
      <c r="AY365" s="7" t="n">
        <f aca="false">SUMIFS(Doors!BK:BK,Doors!$A:$A,$D365,Doors!$B:$B,$B365,Doors!$C:$C,$C365)*SUMIFS(Velocity!$I:$I,Velocity!$A:$A,$A365,Velocity!$B:$B,$C365)/Assumptions!$B$4*Assumptions!$B$6</f>
        <v>0</v>
      </c>
      <c r="AZ365" s="7" t="n">
        <f aca="false">SUMIFS(Doors!BL:BL,Doors!$A:$A,$D365,Doors!$B:$B,$B365,Doors!$C:$C,$C365)*SUMIFS(Velocity!$I:$I,Velocity!$A:$A,$A365,Velocity!$B:$B,$C365)/Assumptions!$B$4*Assumptions!$B$6</f>
        <v>0</v>
      </c>
      <c r="BA365" s="7" t="n">
        <f aca="false">SUMIFS(Doors!BM:BM,Doors!$A:$A,$D365,Doors!$B:$B,$B365,Doors!$C:$C,$C365)*SUMIFS(Velocity!$I:$I,Velocity!$A:$A,$A365,Velocity!$B:$B,$C365)/Assumptions!$B$4*Assumptions!$B$6</f>
        <v>0</v>
      </c>
      <c r="BB365" s="7" t="n">
        <f aca="false">SUMIFS(Doors!BN:BN,Doors!$A:$A,$D365,Doors!$B:$B,$B365,Doors!$C:$C,$C365)*SUMIFS(Velocity!$I:$I,Velocity!$A:$A,$A365,Velocity!$B:$B,$C365)/Assumptions!$B$4*Assumptions!$B$6</f>
        <v>0</v>
      </c>
      <c r="BC365" s="7" t="n">
        <f aca="false">SUMIFS(Doors!BO:BO,Doors!$A:$A,$D365,Doors!$B:$B,$B365,Doors!$C:$C,$C365)*SUMIFS(Velocity!$I:$I,Velocity!$A:$A,$A365,Velocity!$B:$B,$C365)/Assumptions!$B$4*Assumptions!$B$6</f>
        <v>0</v>
      </c>
      <c r="BD365" s="7" t="n">
        <f aca="false">SUMIFS(Doors!BP:BP,Doors!$A:$A,$D365,Doors!$B:$B,$B365,Doors!$C:$C,$C365)*SUMIFS(Velocity!$I:$I,Velocity!$A:$A,$A365,Velocity!$B:$B,$C365)/Assumptions!$B$4*Assumptions!$B$6</f>
        <v>0</v>
      </c>
    </row>
    <row r="366" customFormat="false" ht="15" hidden="false" customHeight="false" outlineLevel="0" collapsed="false">
      <c r="A366" s="4" t="s">
        <v>237</v>
      </c>
      <c r="E366" s="10" t="n">
        <f aca="false">SUM(E6:E365)</f>
        <v>359.389583333333</v>
      </c>
      <c r="F366" s="10" t="n">
        <f aca="false">SUM(F6:F365)</f>
        <v>359.389583333333</v>
      </c>
      <c r="G366" s="10" t="n">
        <f aca="false">SUM(G6:G365)</f>
        <v>359.389583333333</v>
      </c>
      <c r="H366" s="10" t="n">
        <f aca="false">SUM(H6:H365)</f>
        <v>359.389583333333</v>
      </c>
      <c r="I366" s="10" t="n">
        <f aca="false">SUM(I6:I365)</f>
        <v>359.389583333333</v>
      </c>
      <c r="J366" s="10" t="n">
        <f aca="false">SUM(J6:J365)</f>
        <v>517.01875</v>
      </c>
      <c r="K366" s="10" t="n">
        <f aca="false">SUM(K6:K365)</f>
        <v>517.01875</v>
      </c>
      <c r="L366" s="10" t="n">
        <f aca="false">SUM(L6:L365)</f>
        <v>517.01875</v>
      </c>
      <c r="M366" s="10" t="n">
        <f aca="false">SUM(M6:M365)</f>
        <v>517.01875</v>
      </c>
      <c r="N366" s="10" t="n">
        <f aca="false">SUM(N6:N365)</f>
        <v>744.339583333333</v>
      </c>
      <c r="O366" s="10" t="n">
        <f aca="false">SUM(O6:O365)</f>
        <v>744.339583333333</v>
      </c>
      <c r="P366" s="10" t="n">
        <f aca="false">SUM(P6:P365)</f>
        <v>744.339583333333</v>
      </c>
      <c r="Q366" s="10" t="n">
        <f aca="false">SUM(Q6:Q365)</f>
        <v>744.339583333333</v>
      </c>
      <c r="R366" s="10" t="n">
        <f aca="false">SUM(R6:R365)</f>
        <v>995.483333333333</v>
      </c>
      <c r="S366" s="10" t="n">
        <f aca="false">SUM(S6:S365)</f>
        <v>995.483333333333</v>
      </c>
      <c r="T366" s="10" t="n">
        <f aca="false">SUM(T6:T365)</f>
        <v>995.483333333333</v>
      </c>
      <c r="U366" s="10" t="n">
        <f aca="false">SUM(U6:U365)</f>
        <v>995.483333333333</v>
      </c>
      <c r="V366" s="10" t="n">
        <f aca="false">SUM(V6:V365)</f>
        <v>995.483333333333</v>
      </c>
      <c r="W366" s="10" t="n">
        <f aca="false">SUM(W6:W365)</f>
        <v>1236.44375</v>
      </c>
      <c r="X366" s="10" t="n">
        <f aca="false">SUM(X6:X365)</f>
        <v>1236.44375</v>
      </c>
      <c r="Y366" s="10" t="n">
        <f aca="false">SUM(Y6:Y365)</f>
        <v>1236.44375</v>
      </c>
      <c r="Z366" s="10" t="n">
        <f aca="false">SUM(Z6:Z365)</f>
        <v>1236.44375</v>
      </c>
      <c r="AA366" s="10" t="n">
        <f aca="false">SUM(AA6:AA365)</f>
        <v>1475.92916666667</v>
      </c>
      <c r="AB366" s="10" t="n">
        <f aca="false">SUM(AB6:AB365)</f>
        <v>1475.92916666667</v>
      </c>
      <c r="AC366" s="10" t="n">
        <f aca="false">SUM(AC6:AC365)</f>
        <v>1475.92916666667</v>
      </c>
      <c r="AD366" s="10" t="n">
        <f aca="false">SUM(AD6:AD365)</f>
        <v>1475.92916666667</v>
      </c>
      <c r="AE366" s="10" t="n">
        <f aca="false">SUM(AE6:AE365)</f>
        <v>3975.67708333333</v>
      </c>
      <c r="AF366" s="10" t="n">
        <f aca="false">SUM(AF6:AF365)</f>
        <v>3975.67708333333</v>
      </c>
      <c r="AG366" s="10" t="n">
        <f aca="false">SUM(AG6:AG365)</f>
        <v>3975.67708333333</v>
      </c>
      <c r="AH366" s="10" t="n">
        <f aca="false">SUM(AH6:AH365)</f>
        <v>3975.67708333333</v>
      </c>
      <c r="AI366" s="10" t="n">
        <f aca="false">SUM(AI6:AI365)</f>
        <v>3975.67708333333</v>
      </c>
      <c r="AJ366" s="10" t="n">
        <f aca="false">SUM(AJ6:AJ365)</f>
        <v>1852.3</v>
      </c>
      <c r="AK366" s="10" t="n">
        <f aca="false">SUM(AK6:AK365)</f>
        <v>1852.3</v>
      </c>
      <c r="AL366" s="10" t="n">
        <f aca="false">SUM(AL6:AL365)</f>
        <v>1852.3</v>
      </c>
      <c r="AM366" s="10" t="n">
        <f aca="false">SUM(AM6:AM365)</f>
        <v>1852.3</v>
      </c>
      <c r="AN366" s="10" t="n">
        <f aca="false">SUM(AN6:AN365)</f>
        <v>1991.70625</v>
      </c>
      <c r="AO366" s="10" t="n">
        <f aca="false">SUM(AO6:AO365)</f>
        <v>1991.70625</v>
      </c>
      <c r="AP366" s="10" t="n">
        <f aca="false">SUM(AP6:AP365)</f>
        <v>1991.70625</v>
      </c>
      <c r="AQ366" s="10" t="n">
        <f aca="false">SUM(AQ6:AQ365)</f>
        <v>1991.70625</v>
      </c>
      <c r="AR366" s="10" t="n">
        <f aca="false">SUM(AR6:AR365)</f>
        <v>4632.95208333333</v>
      </c>
      <c r="AS366" s="10" t="n">
        <f aca="false">SUM(AS6:AS365)</f>
        <v>4632.95208333333</v>
      </c>
      <c r="AT366" s="10" t="n">
        <f aca="false">SUM(AT6:AT365)</f>
        <v>4632.95208333333</v>
      </c>
      <c r="AU366" s="10" t="n">
        <f aca="false">SUM(AU6:AU365)</f>
        <v>4632.95208333333</v>
      </c>
      <c r="AV366" s="10" t="n">
        <f aca="false">SUM(AV6:AV365)</f>
        <v>4632.95208333333</v>
      </c>
      <c r="AW366" s="10" t="n">
        <f aca="false">SUM(AW6:AW365)</f>
        <v>4943.37708333333</v>
      </c>
      <c r="AX366" s="10" t="n">
        <f aca="false">SUM(AX6:AX365)</f>
        <v>4943.37708333333</v>
      </c>
      <c r="AY366" s="10" t="n">
        <f aca="false">SUM(AY6:AY365)</f>
        <v>4943.37708333333</v>
      </c>
      <c r="AZ366" s="10" t="n">
        <f aca="false">SUM(AZ6:AZ365)</f>
        <v>4943.37708333333</v>
      </c>
      <c r="BA366" s="10" t="n">
        <f aca="false">SUM(BA6:BA365)</f>
        <v>5161.86666666667</v>
      </c>
      <c r="BB366" s="10" t="n">
        <f aca="false">SUM(BB6:BB365)</f>
        <v>5161.86666666667</v>
      </c>
      <c r="BC366" s="10" t="n">
        <f aca="false">SUM(BC6:BC365)</f>
        <v>5161.86666666667</v>
      </c>
      <c r="BD366" s="10" t="n">
        <f aca="false">SUM(BD6:BD365)</f>
        <v>5161.86666666667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56" min="5" style="0" width="11"/>
    <col collapsed="false" customWidth="true" hidden="false" outlineLevel="0" max="57" min="57" style="0" width="14"/>
  </cols>
  <sheetData>
    <row r="1" customFormat="false" ht="17.35" hidden="false" customHeight="false" outlineLevel="0" collapsed="false">
      <c r="A1" s="1" t="s">
        <v>299</v>
      </c>
    </row>
    <row r="3" customFormat="false" ht="15" hidden="false" customHeight="false" outlineLevel="0" collapsed="false">
      <c r="A3" s="0" t="s">
        <v>300</v>
      </c>
    </row>
    <row r="5" customFormat="false" ht="15" hidden="false" customHeight="false" outlineLevel="0" collapsed="false">
      <c r="A5" s="5" t="s">
        <v>301</v>
      </c>
    </row>
    <row r="6" customFormat="false" ht="15" hidden="false" customHeight="false" outlineLevel="0" collapsed="false">
      <c r="A6" s="6" t="s">
        <v>94</v>
      </c>
      <c r="B6" s="6"/>
      <c r="C6" s="6"/>
      <c r="D6" s="6"/>
      <c r="E6" s="21" t="s">
        <v>140</v>
      </c>
      <c r="F6" s="21" t="s">
        <v>141</v>
      </c>
      <c r="G6" s="21" t="s">
        <v>142</v>
      </c>
      <c r="H6" s="21" t="s">
        <v>143</v>
      </c>
      <c r="I6" s="21" t="s">
        <v>144</v>
      </c>
      <c r="J6" s="21" t="s">
        <v>145</v>
      </c>
      <c r="K6" s="21" t="s">
        <v>146</v>
      </c>
      <c r="L6" s="21" t="s">
        <v>147</v>
      </c>
      <c r="M6" s="21" t="s">
        <v>148</v>
      </c>
      <c r="N6" s="21" t="s">
        <v>149</v>
      </c>
      <c r="O6" s="21" t="s">
        <v>150</v>
      </c>
      <c r="P6" s="21" t="s">
        <v>151</v>
      </c>
      <c r="Q6" s="21" t="s">
        <v>152</v>
      </c>
      <c r="R6" s="21" t="s">
        <v>153</v>
      </c>
      <c r="S6" s="21" t="s">
        <v>154</v>
      </c>
      <c r="T6" s="21" t="s">
        <v>155</v>
      </c>
      <c r="U6" s="21" t="s">
        <v>156</v>
      </c>
      <c r="V6" s="21" t="s">
        <v>157</v>
      </c>
      <c r="W6" s="21" t="s">
        <v>158</v>
      </c>
      <c r="X6" s="21" t="s">
        <v>159</v>
      </c>
      <c r="Y6" s="21" t="s">
        <v>160</v>
      </c>
      <c r="Z6" s="21" t="s">
        <v>161</v>
      </c>
      <c r="AA6" s="21" t="s">
        <v>162</v>
      </c>
      <c r="AB6" s="21" t="s">
        <v>163</v>
      </c>
      <c r="AC6" s="21" t="s">
        <v>164</v>
      </c>
      <c r="AD6" s="21" t="s">
        <v>165</v>
      </c>
      <c r="AE6" s="21" t="s">
        <v>166</v>
      </c>
      <c r="AF6" s="21" t="s">
        <v>167</v>
      </c>
      <c r="AG6" s="21" t="s">
        <v>168</v>
      </c>
      <c r="AH6" s="21" t="s">
        <v>169</v>
      </c>
      <c r="AI6" s="21" t="s">
        <v>170</v>
      </c>
      <c r="AJ6" s="21" t="s">
        <v>171</v>
      </c>
      <c r="AK6" s="21" t="s">
        <v>172</v>
      </c>
      <c r="AL6" s="21" t="s">
        <v>173</v>
      </c>
      <c r="AM6" s="21" t="s">
        <v>174</v>
      </c>
      <c r="AN6" s="21" t="s">
        <v>175</v>
      </c>
      <c r="AO6" s="21" t="s">
        <v>176</v>
      </c>
      <c r="AP6" s="21" t="s">
        <v>177</v>
      </c>
      <c r="AQ6" s="21" t="s">
        <v>178</v>
      </c>
      <c r="AR6" s="21" t="s">
        <v>179</v>
      </c>
      <c r="AS6" s="21" t="s">
        <v>180</v>
      </c>
      <c r="AT6" s="21" t="s">
        <v>181</v>
      </c>
      <c r="AU6" s="21" t="s">
        <v>182</v>
      </c>
      <c r="AV6" s="21" t="s">
        <v>183</v>
      </c>
      <c r="AW6" s="21" t="s">
        <v>184</v>
      </c>
      <c r="AX6" s="21" t="s">
        <v>185</v>
      </c>
      <c r="AY6" s="21" t="s">
        <v>186</v>
      </c>
      <c r="AZ6" s="21" t="s">
        <v>187</v>
      </c>
      <c r="BA6" s="21" t="s">
        <v>188</v>
      </c>
      <c r="BB6" s="21" t="s">
        <v>189</v>
      </c>
      <c r="BC6" s="21" t="s">
        <v>190</v>
      </c>
      <c r="BD6" s="21" t="s">
        <v>191</v>
      </c>
      <c r="BE6" s="21" t="s">
        <v>107</v>
      </c>
    </row>
    <row r="7" customFormat="false" ht="15" hidden="false" customHeight="false" outlineLevel="0" collapsed="false">
      <c r="A7" s="0" t="s">
        <v>108</v>
      </c>
      <c r="E7" s="7" t="n">
        <f aca="false">SUMIFS('Forecast Weekly'!E:E,'Forecast Weekly'!$A:$A,$A7)</f>
        <v>120.435416666667</v>
      </c>
      <c r="F7" s="7" t="n">
        <f aca="false">SUMIFS('Forecast Weekly'!F:F,'Forecast Weekly'!$A:$A,$A7)</f>
        <v>120.435416666667</v>
      </c>
      <c r="G7" s="7" t="n">
        <f aca="false">SUMIFS('Forecast Weekly'!G:G,'Forecast Weekly'!$A:$A,$A7)</f>
        <v>120.435416666667</v>
      </c>
      <c r="H7" s="7" t="n">
        <f aca="false">SUMIFS('Forecast Weekly'!H:H,'Forecast Weekly'!$A:$A,$A7)</f>
        <v>120.435416666667</v>
      </c>
      <c r="I7" s="7" t="n">
        <f aca="false">SUMIFS('Forecast Weekly'!I:I,'Forecast Weekly'!$A:$A,$A7)</f>
        <v>120.435416666667</v>
      </c>
      <c r="J7" s="7" t="n">
        <f aca="false">SUMIFS('Forecast Weekly'!J:J,'Forecast Weekly'!$A:$A,$A7)</f>
        <v>173.20625</v>
      </c>
      <c r="K7" s="7" t="n">
        <f aca="false">SUMIFS('Forecast Weekly'!K:K,'Forecast Weekly'!$A:$A,$A7)</f>
        <v>173.20625</v>
      </c>
      <c r="L7" s="7" t="n">
        <f aca="false">SUMIFS('Forecast Weekly'!L:L,'Forecast Weekly'!$A:$A,$A7)</f>
        <v>173.20625</v>
      </c>
      <c r="M7" s="7" t="n">
        <f aca="false">SUMIFS('Forecast Weekly'!M:M,'Forecast Weekly'!$A:$A,$A7)</f>
        <v>173.20625</v>
      </c>
      <c r="N7" s="7" t="n">
        <f aca="false">SUMIFS('Forecast Weekly'!N:N,'Forecast Weekly'!$A:$A,$A7)</f>
        <v>249.308333333333</v>
      </c>
      <c r="O7" s="7" t="n">
        <f aca="false">SUMIFS('Forecast Weekly'!O:O,'Forecast Weekly'!$A:$A,$A7)</f>
        <v>249.308333333333</v>
      </c>
      <c r="P7" s="7" t="n">
        <f aca="false">SUMIFS('Forecast Weekly'!P:P,'Forecast Weekly'!$A:$A,$A7)</f>
        <v>249.308333333333</v>
      </c>
      <c r="Q7" s="7" t="n">
        <f aca="false">SUMIFS('Forecast Weekly'!Q:Q,'Forecast Weekly'!$A:$A,$A7)</f>
        <v>249.308333333333</v>
      </c>
      <c r="R7" s="7" t="n">
        <f aca="false">SUMIFS('Forecast Weekly'!R:R,'Forecast Weekly'!$A:$A,$A7)</f>
        <v>333.439583333333</v>
      </c>
      <c r="S7" s="7" t="n">
        <f aca="false">SUMIFS('Forecast Weekly'!S:S,'Forecast Weekly'!$A:$A,$A7)</f>
        <v>333.439583333333</v>
      </c>
      <c r="T7" s="7" t="n">
        <f aca="false">SUMIFS('Forecast Weekly'!T:T,'Forecast Weekly'!$A:$A,$A7)</f>
        <v>333.439583333333</v>
      </c>
      <c r="U7" s="7" t="n">
        <f aca="false">SUMIFS('Forecast Weekly'!U:U,'Forecast Weekly'!$A:$A,$A7)</f>
        <v>333.439583333333</v>
      </c>
      <c r="V7" s="7" t="n">
        <f aca="false">SUMIFS('Forecast Weekly'!V:V,'Forecast Weekly'!$A:$A,$A7)</f>
        <v>333.439583333333</v>
      </c>
      <c r="W7" s="7" t="n">
        <f aca="false">SUMIFS('Forecast Weekly'!W:W,'Forecast Weekly'!$A:$A,$A7)</f>
        <v>412.645833333333</v>
      </c>
      <c r="X7" s="7" t="n">
        <f aca="false">SUMIFS('Forecast Weekly'!X:X,'Forecast Weekly'!$A:$A,$A7)</f>
        <v>412.645833333333</v>
      </c>
      <c r="Y7" s="7" t="n">
        <f aca="false">SUMIFS('Forecast Weekly'!Y:Y,'Forecast Weekly'!$A:$A,$A7)</f>
        <v>412.645833333333</v>
      </c>
      <c r="Z7" s="7" t="n">
        <f aca="false">SUMIFS('Forecast Weekly'!Z:Z,'Forecast Weekly'!$A:$A,$A7)</f>
        <v>412.645833333333</v>
      </c>
      <c r="AA7" s="7" t="n">
        <f aca="false">SUMIFS('Forecast Weekly'!AA:AA,'Forecast Weekly'!$A:$A,$A7)</f>
        <v>491.335416666667</v>
      </c>
      <c r="AB7" s="7" t="n">
        <f aca="false">SUMIFS('Forecast Weekly'!AB:AB,'Forecast Weekly'!$A:$A,$A7)</f>
        <v>491.335416666667</v>
      </c>
      <c r="AC7" s="7" t="n">
        <f aca="false">SUMIFS('Forecast Weekly'!AC:AC,'Forecast Weekly'!$A:$A,$A7)</f>
        <v>491.335416666667</v>
      </c>
      <c r="AD7" s="7" t="n">
        <f aca="false">SUMIFS('Forecast Weekly'!AD:AD,'Forecast Weekly'!$A:$A,$A7)</f>
        <v>491.335416666667</v>
      </c>
      <c r="AE7" s="7" t="n">
        <f aca="false">SUMIFS('Forecast Weekly'!AE:AE,'Forecast Weekly'!$A:$A,$A7)</f>
        <v>1323.22083333333</v>
      </c>
      <c r="AF7" s="7" t="n">
        <f aca="false">SUMIFS('Forecast Weekly'!AF:AF,'Forecast Weekly'!$A:$A,$A7)</f>
        <v>1323.22083333333</v>
      </c>
      <c r="AG7" s="7" t="n">
        <f aca="false">SUMIFS('Forecast Weekly'!AG:AG,'Forecast Weekly'!$A:$A,$A7)</f>
        <v>1323.22083333333</v>
      </c>
      <c r="AH7" s="7" t="n">
        <f aca="false">SUMIFS('Forecast Weekly'!AH:AH,'Forecast Weekly'!$A:$A,$A7)</f>
        <v>1323.22083333333</v>
      </c>
      <c r="AI7" s="7" t="n">
        <f aca="false">SUMIFS('Forecast Weekly'!AI:AI,'Forecast Weekly'!$A:$A,$A7)</f>
        <v>1323.22083333333</v>
      </c>
      <c r="AJ7" s="7" t="n">
        <f aca="false">SUMIFS('Forecast Weekly'!AJ:AJ,'Forecast Weekly'!$A:$A,$A7)</f>
        <v>614.054166666667</v>
      </c>
      <c r="AK7" s="7" t="n">
        <f aca="false">SUMIFS('Forecast Weekly'!AK:AK,'Forecast Weekly'!$A:$A,$A7)</f>
        <v>614.054166666667</v>
      </c>
      <c r="AL7" s="7" t="n">
        <f aca="false">SUMIFS('Forecast Weekly'!AL:AL,'Forecast Weekly'!$A:$A,$A7)</f>
        <v>614.054166666667</v>
      </c>
      <c r="AM7" s="7" t="n">
        <f aca="false">SUMIFS('Forecast Weekly'!AM:AM,'Forecast Weekly'!$A:$A,$A7)</f>
        <v>614.054166666667</v>
      </c>
      <c r="AN7" s="7" t="n">
        <f aca="false">SUMIFS('Forecast Weekly'!AN:AN,'Forecast Weekly'!$A:$A,$A7)</f>
        <v>659.177083333333</v>
      </c>
      <c r="AO7" s="7" t="n">
        <f aca="false">SUMIFS('Forecast Weekly'!AO:AO,'Forecast Weekly'!$A:$A,$A7)</f>
        <v>659.177083333333</v>
      </c>
      <c r="AP7" s="7" t="n">
        <f aca="false">SUMIFS('Forecast Weekly'!AP:AP,'Forecast Weekly'!$A:$A,$A7)</f>
        <v>659.177083333333</v>
      </c>
      <c r="AQ7" s="7" t="n">
        <f aca="false">SUMIFS('Forecast Weekly'!AQ:AQ,'Forecast Weekly'!$A:$A,$A7)</f>
        <v>659.177083333333</v>
      </c>
      <c r="AR7" s="7" t="n">
        <f aca="false">SUMIFS('Forecast Weekly'!AR:AR,'Forecast Weekly'!$A:$A,$A7)</f>
        <v>1538.84166666667</v>
      </c>
      <c r="AS7" s="7" t="n">
        <f aca="false">SUMIFS('Forecast Weekly'!AS:AS,'Forecast Weekly'!$A:$A,$A7)</f>
        <v>1538.84166666667</v>
      </c>
      <c r="AT7" s="7" t="n">
        <f aca="false">SUMIFS('Forecast Weekly'!AT:AT,'Forecast Weekly'!$A:$A,$A7)</f>
        <v>1538.84166666667</v>
      </c>
      <c r="AU7" s="7" t="n">
        <f aca="false">SUMIFS('Forecast Weekly'!AU:AU,'Forecast Weekly'!$A:$A,$A7)</f>
        <v>1538.84166666667</v>
      </c>
      <c r="AV7" s="7" t="n">
        <f aca="false">SUMIFS('Forecast Weekly'!AV:AV,'Forecast Weekly'!$A:$A,$A7)</f>
        <v>1538.84166666667</v>
      </c>
      <c r="AW7" s="7" t="n">
        <f aca="false">SUMIFS('Forecast Weekly'!AW:AW,'Forecast Weekly'!$A:$A,$A7)</f>
        <v>1641.7625</v>
      </c>
      <c r="AX7" s="7" t="n">
        <f aca="false">SUMIFS('Forecast Weekly'!AX:AX,'Forecast Weekly'!$A:$A,$A7)</f>
        <v>1641.7625</v>
      </c>
      <c r="AY7" s="7" t="n">
        <f aca="false">SUMIFS('Forecast Weekly'!AY:AY,'Forecast Weekly'!$A:$A,$A7)</f>
        <v>1641.7625</v>
      </c>
      <c r="AZ7" s="7" t="n">
        <f aca="false">SUMIFS('Forecast Weekly'!AZ:AZ,'Forecast Weekly'!$A:$A,$A7)</f>
        <v>1641.7625</v>
      </c>
      <c r="BA7" s="7" t="n">
        <f aca="false">SUMIFS('Forecast Weekly'!BA:BA,'Forecast Weekly'!$A:$A,$A7)</f>
        <v>1713.88333333333</v>
      </c>
      <c r="BB7" s="7" t="n">
        <f aca="false">SUMIFS('Forecast Weekly'!BB:BB,'Forecast Weekly'!$A:$A,$A7)</f>
        <v>1713.88333333333</v>
      </c>
      <c r="BC7" s="7" t="n">
        <f aca="false">SUMIFS('Forecast Weekly'!BC:BC,'Forecast Weekly'!$A:$A,$A7)</f>
        <v>1713.88333333333</v>
      </c>
      <c r="BD7" s="7" t="n">
        <f aca="false">SUMIFS('Forecast Weekly'!BD:BD,'Forecast Weekly'!$A:$A,$A7)</f>
        <v>1713.88333333333</v>
      </c>
      <c r="BE7" s="3" t="n">
        <f aca="false">SUM(E7:BD7)</f>
        <v>40401.1791666667</v>
      </c>
    </row>
    <row r="8" customFormat="false" ht="15" hidden="false" customHeight="false" outlineLevel="0" collapsed="false">
      <c r="A8" s="0" t="s">
        <v>109</v>
      </c>
      <c r="E8" s="7" t="n">
        <f aca="false">SUMIFS('Forecast Weekly'!E:E,'Forecast Weekly'!$A:$A,$A8)</f>
        <v>113.91875</v>
      </c>
      <c r="F8" s="7" t="n">
        <f aca="false">SUMIFS('Forecast Weekly'!F:F,'Forecast Weekly'!$A:$A,$A8)</f>
        <v>113.91875</v>
      </c>
      <c r="G8" s="7" t="n">
        <f aca="false">SUMIFS('Forecast Weekly'!G:G,'Forecast Weekly'!$A:$A,$A8)</f>
        <v>113.91875</v>
      </c>
      <c r="H8" s="7" t="n">
        <f aca="false">SUMIFS('Forecast Weekly'!H:H,'Forecast Weekly'!$A:$A,$A8)</f>
        <v>113.91875</v>
      </c>
      <c r="I8" s="7" t="n">
        <f aca="false">SUMIFS('Forecast Weekly'!I:I,'Forecast Weekly'!$A:$A,$A8)</f>
        <v>113.91875</v>
      </c>
      <c r="J8" s="7" t="n">
        <f aca="false">SUMIFS('Forecast Weekly'!J:J,'Forecast Weekly'!$A:$A,$A8)</f>
        <v>164.60625</v>
      </c>
      <c r="K8" s="7" t="n">
        <f aca="false">SUMIFS('Forecast Weekly'!K:K,'Forecast Weekly'!$A:$A,$A8)</f>
        <v>164.60625</v>
      </c>
      <c r="L8" s="7" t="n">
        <f aca="false">SUMIFS('Forecast Weekly'!L:L,'Forecast Weekly'!$A:$A,$A8)</f>
        <v>164.60625</v>
      </c>
      <c r="M8" s="7" t="n">
        <f aca="false">SUMIFS('Forecast Weekly'!M:M,'Forecast Weekly'!$A:$A,$A8)</f>
        <v>164.60625</v>
      </c>
      <c r="N8" s="7" t="n">
        <f aca="false">SUMIFS('Forecast Weekly'!N:N,'Forecast Weekly'!$A:$A,$A8)</f>
        <v>237.129166666667</v>
      </c>
      <c r="O8" s="7" t="n">
        <f aca="false">SUMIFS('Forecast Weekly'!O:O,'Forecast Weekly'!$A:$A,$A8)</f>
        <v>237.129166666667</v>
      </c>
      <c r="P8" s="7" t="n">
        <f aca="false">SUMIFS('Forecast Weekly'!P:P,'Forecast Weekly'!$A:$A,$A8)</f>
        <v>237.129166666667</v>
      </c>
      <c r="Q8" s="7" t="n">
        <f aca="false">SUMIFS('Forecast Weekly'!Q:Q,'Forecast Weekly'!$A:$A,$A8)</f>
        <v>237.129166666667</v>
      </c>
      <c r="R8" s="7" t="n">
        <f aca="false">SUMIFS('Forecast Weekly'!R:R,'Forecast Weekly'!$A:$A,$A8)</f>
        <v>316.410416666667</v>
      </c>
      <c r="S8" s="7" t="n">
        <f aca="false">SUMIFS('Forecast Weekly'!S:S,'Forecast Weekly'!$A:$A,$A8)</f>
        <v>316.410416666667</v>
      </c>
      <c r="T8" s="7" t="n">
        <f aca="false">SUMIFS('Forecast Weekly'!T:T,'Forecast Weekly'!$A:$A,$A8)</f>
        <v>316.410416666667</v>
      </c>
      <c r="U8" s="7" t="n">
        <f aca="false">SUMIFS('Forecast Weekly'!U:U,'Forecast Weekly'!$A:$A,$A8)</f>
        <v>316.410416666667</v>
      </c>
      <c r="V8" s="7" t="n">
        <f aca="false">SUMIFS('Forecast Weekly'!V:V,'Forecast Weekly'!$A:$A,$A8)</f>
        <v>316.410416666667</v>
      </c>
      <c r="W8" s="7" t="n">
        <f aca="false">SUMIFS('Forecast Weekly'!W:W,'Forecast Weekly'!$A:$A,$A8)</f>
        <v>390.370833333333</v>
      </c>
      <c r="X8" s="7" t="n">
        <f aca="false">SUMIFS('Forecast Weekly'!X:X,'Forecast Weekly'!$A:$A,$A8)</f>
        <v>390.370833333333</v>
      </c>
      <c r="Y8" s="7" t="n">
        <f aca="false">SUMIFS('Forecast Weekly'!Y:Y,'Forecast Weekly'!$A:$A,$A8)</f>
        <v>390.370833333333</v>
      </c>
      <c r="Z8" s="7" t="n">
        <f aca="false">SUMIFS('Forecast Weekly'!Z:Z,'Forecast Weekly'!$A:$A,$A8)</f>
        <v>390.370833333333</v>
      </c>
      <c r="AA8" s="7" t="n">
        <f aca="false">SUMIFS('Forecast Weekly'!AA:AA,'Forecast Weekly'!$A:$A,$A8)</f>
        <v>463.072916666667</v>
      </c>
      <c r="AB8" s="7" t="n">
        <f aca="false">SUMIFS('Forecast Weekly'!AB:AB,'Forecast Weekly'!$A:$A,$A8)</f>
        <v>463.072916666667</v>
      </c>
      <c r="AC8" s="7" t="n">
        <f aca="false">SUMIFS('Forecast Weekly'!AC:AC,'Forecast Weekly'!$A:$A,$A8)</f>
        <v>463.072916666667</v>
      </c>
      <c r="AD8" s="7" t="n">
        <f aca="false">SUMIFS('Forecast Weekly'!AD:AD,'Forecast Weekly'!$A:$A,$A8)</f>
        <v>463.072916666667</v>
      </c>
      <c r="AE8" s="7" t="n">
        <f aca="false">SUMIFS('Forecast Weekly'!AE:AE,'Forecast Weekly'!$A:$A,$A8)</f>
        <v>1214.525</v>
      </c>
      <c r="AF8" s="7" t="n">
        <f aca="false">SUMIFS('Forecast Weekly'!AF:AF,'Forecast Weekly'!$A:$A,$A8)</f>
        <v>1214.525</v>
      </c>
      <c r="AG8" s="7" t="n">
        <f aca="false">SUMIFS('Forecast Weekly'!AG:AG,'Forecast Weekly'!$A:$A,$A8)</f>
        <v>1214.525</v>
      </c>
      <c r="AH8" s="7" t="n">
        <f aca="false">SUMIFS('Forecast Weekly'!AH:AH,'Forecast Weekly'!$A:$A,$A8)</f>
        <v>1214.525</v>
      </c>
      <c r="AI8" s="7" t="n">
        <f aca="false">SUMIFS('Forecast Weekly'!AI:AI,'Forecast Weekly'!$A:$A,$A8)</f>
        <v>1214.525</v>
      </c>
      <c r="AJ8" s="7" t="n">
        <f aca="false">SUMIFS('Forecast Weekly'!AJ:AJ,'Forecast Weekly'!$A:$A,$A8)</f>
        <v>575.354166666667</v>
      </c>
      <c r="AK8" s="7" t="n">
        <f aca="false">SUMIFS('Forecast Weekly'!AK:AK,'Forecast Weekly'!$A:$A,$A8)</f>
        <v>575.354166666667</v>
      </c>
      <c r="AL8" s="7" t="n">
        <f aca="false">SUMIFS('Forecast Weekly'!AL:AL,'Forecast Weekly'!$A:$A,$A8)</f>
        <v>575.354166666667</v>
      </c>
      <c r="AM8" s="7" t="n">
        <f aca="false">SUMIFS('Forecast Weekly'!AM:AM,'Forecast Weekly'!$A:$A,$A8)</f>
        <v>575.354166666667</v>
      </c>
      <c r="AN8" s="7" t="n">
        <f aca="false">SUMIFS('Forecast Weekly'!AN:AN,'Forecast Weekly'!$A:$A,$A8)</f>
        <v>616.085416666667</v>
      </c>
      <c r="AO8" s="7" t="n">
        <f aca="false">SUMIFS('Forecast Weekly'!AO:AO,'Forecast Weekly'!$A:$A,$A8)</f>
        <v>616.085416666667</v>
      </c>
      <c r="AP8" s="7" t="n">
        <f aca="false">SUMIFS('Forecast Weekly'!AP:AP,'Forecast Weekly'!$A:$A,$A8)</f>
        <v>616.085416666667</v>
      </c>
      <c r="AQ8" s="7" t="n">
        <f aca="false">SUMIFS('Forecast Weekly'!AQ:AQ,'Forecast Weekly'!$A:$A,$A8)</f>
        <v>616.085416666667</v>
      </c>
      <c r="AR8" s="7" t="n">
        <f aca="false">SUMIFS('Forecast Weekly'!AR:AR,'Forecast Weekly'!$A:$A,$A8)</f>
        <v>1409.84583333333</v>
      </c>
      <c r="AS8" s="7" t="n">
        <f aca="false">SUMIFS('Forecast Weekly'!AS:AS,'Forecast Weekly'!$A:$A,$A8)</f>
        <v>1409.84583333333</v>
      </c>
      <c r="AT8" s="7" t="n">
        <f aca="false">SUMIFS('Forecast Weekly'!AT:AT,'Forecast Weekly'!$A:$A,$A8)</f>
        <v>1409.84583333333</v>
      </c>
      <c r="AU8" s="7" t="n">
        <f aca="false">SUMIFS('Forecast Weekly'!AU:AU,'Forecast Weekly'!$A:$A,$A8)</f>
        <v>1409.84583333333</v>
      </c>
      <c r="AV8" s="7" t="n">
        <f aca="false">SUMIFS('Forecast Weekly'!AV:AV,'Forecast Weekly'!$A:$A,$A8)</f>
        <v>1409.84583333333</v>
      </c>
      <c r="AW8" s="7" t="n">
        <f aca="false">SUMIFS('Forecast Weekly'!AW:AW,'Forecast Weekly'!$A:$A,$A8)</f>
        <v>1502.46666666667</v>
      </c>
      <c r="AX8" s="7" t="n">
        <f aca="false">SUMIFS('Forecast Weekly'!AX:AX,'Forecast Weekly'!$A:$A,$A8)</f>
        <v>1502.46666666667</v>
      </c>
      <c r="AY8" s="7" t="n">
        <f aca="false">SUMIFS('Forecast Weekly'!AY:AY,'Forecast Weekly'!$A:$A,$A8)</f>
        <v>1502.46666666667</v>
      </c>
      <c r="AZ8" s="7" t="n">
        <f aca="false">SUMIFS('Forecast Weekly'!AZ:AZ,'Forecast Weekly'!$A:$A,$A8)</f>
        <v>1502.46666666667</v>
      </c>
      <c r="BA8" s="7" t="n">
        <f aca="false">SUMIFS('Forecast Weekly'!BA:BA,'Forecast Weekly'!$A:$A,$A8)</f>
        <v>1567.34166666667</v>
      </c>
      <c r="BB8" s="7" t="n">
        <f aca="false">SUMIFS('Forecast Weekly'!BB:BB,'Forecast Weekly'!$A:$A,$A8)</f>
        <v>1567.34166666667</v>
      </c>
      <c r="BC8" s="7" t="n">
        <f aca="false">SUMIFS('Forecast Weekly'!BC:BC,'Forecast Weekly'!$A:$A,$A8)</f>
        <v>1567.34166666667</v>
      </c>
      <c r="BD8" s="7" t="n">
        <f aca="false">SUMIFS('Forecast Weekly'!BD:BD,'Forecast Weekly'!$A:$A,$A8)</f>
        <v>1567.34166666667</v>
      </c>
      <c r="BE8" s="3" t="n">
        <f aca="false">SUM(E8:BD8)</f>
        <v>37339.2083333333</v>
      </c>
    </row>
    <row r="9" customFormat="false" ht="15" hidden="false" customHeight="false" outlineLevel="0" collapsed="false">
      <c r="A9" s="0" t="s">
        <v>110</v>
      </c>
      <c r="E9" s="7" t="n">
        <f aca="false">SUMIFS('Forecast Weekly'!E:E,'Forecast Weekly'!$A:$A,$A9)</f>
        <v>125.035416666667</v>
      </c>
      <c r="F9" s="7" t="n">
        <f aca="false">SUMIFS('Forecast Weekly'!F:F,'Forecast Weekly'!$A:$A,$A9)</f>
        <v>125.035416666667</v>
      </c>
      <c r="G9" s="7" t="n">
        <f aca="false">SUMIFS('Forecast Weekly'!G:G,'Forecast Weekly'!$A:$A,$A9)</f>
        <v>125.035416666667</v>
      </c>
      <c r="H9" s="7" t="n">
        <f aca="false">SUMIFS('Forecast Weekly'!H:H,'Forecast Weekly'!$A:$A,$A9)</f>
        <v>125.035416666667</v>
      </c>
      <c r="I9" s="7" t="n">
        <f aca="false">SUMIFS('Forecast Weekly'!I:I,'Forecast Weekly'!$A:$A,$A9)</f>
        <v>125.035416666667</v>
      </c>
      <c r="J9" s="7" t="n">
        <f aca="false">SUMIFS('Forecast Weekly'!J:J,'Forecast Weekly'!$A:$A,$A9)</f>
        <v>179.20625</v>
      </c>
      <c r="K9" s="7" t="n">
        <f aca="false">SUMIFS('Forecast Weekly'!K:K,'Forecast Weekly'!$A:$A,$A9)</f>
        <v>179.20625</v>
      </c>
      <c r="L9" s="7" t="n">
        <f aca="false">SUMIFS('Forecast Weekly'!L:L,'Forecast Weekly'!$A:$A,$A9)</f>
        <v>179.20625</v>
      </c>
      <c r="M9" s="7" t="n">
        <f aca="false">SUMIFS('Forecast Weekly'!M:M,'Forecast Weekly'!$A:$A,$A9)</f>
        <v>179.20625</v>
      </c>
      <c r="N9" s="7" t="n">
        <f aca="false">SUMIFS('Forecast Weekly'!N:N,'Forecast Weekly'!$A:$A,$A9)</f>
        <v>257.902083333333</v>
      </c>
      <c r="O9" s="7" t="n">
        <f aca="false">SUMIFS('Forecast Weekly'!O:O,'Forecast Weekly'!$A:$A,$A9)</f>
        <v>257.902083333333</v>
      </c>
      <c r="P9" s="7" t="n">
        <f aca="false">SUMIFS('Forecast Weekly'!P:P,'Forecast Weekly'!$A:$A,$A9)</f>
        <v>257.902083333333</v>
      </c>
      <c r="Q9" s="7" t="n">
        <f aca="false">SUMIFS('Forecast Weekly'!Q:Q,'Forecast Weekly'!$A:$A,$A9)</f>
        <v>257.902083333333</v>
      </c>
      <c r="R9" s="7" t="n">
        <f aca="false">SUMIFS('Forecast Weekly'!R:R,'Forecast Weekly'!$A:$A,$A9)</f>
        <v>345.633333333333</v>
      </c>
      <c r="S9" s="7" t="n">
        <f aca="false">SUMIFS('Forecast Weekly'!S:S,'Forecast Weekly'!$A:$A,$A9)</f>
        <v>345.633333333333</v>
      </c>
      <c r="T9" s="7" t="n">
        <f aca="false">SUMIFS('Forecast Weekly'!T:T,'Forecast Weekly'!$A:$A,$A9)</f>
        <v>345.633333333333</v>
      </c>
      <c r="U9" s="7" t="n">
        <f aca="false">SUMIFS('Forecast Weekly'!U:U,'Forecast Weekly'!$A:$A,$A9)</f>
        <v>345.633333333333</v>
      </c>
      <c r="V9" s="7" t="n">
        <f aca="false">SUMIFS('Forecast Weekly'!V:V,'Forecast Weekly'!$A:$A,$A9)</f>
        <v>345.633333333333</v>
      </c>
      <c r="W9" s="7" t="n">
        <f aca="false">SUMIFS('Forecast Weekly'!W:W,'Forecast Weekly'!$A:$A,$A9)</f>
        <v>428.695833333333</v>
      </c>
      <c r="X9" s="7" t="n">
        <f aca="false">SUMIFS('Forecast Weekly'!X:X,'Forecast Weekly'!$A:$A,$A9)</f>
        <v>428.695833333333</v>
      </c>
      <c r="Y9" s="7" t="n">
        <f aca="false">SUMIFS('Forecast Weekly'!Y:Y,'Forecast Weekly'!$A:$A,$A9)</f>
        <v>428.695833333333</v>
      </c>
      <c r="Z9" s="7" t="n">
        <f aca="false">SUMIFS('Forecast Weekly'!Z:Z,'Forecast Weekly'!$A:$A,$A9)</f>
        <v>428.695833333333</v>
      </c>
      <c r="AA9" s="7" t="n">
        <f aca="false">SUMIFS('Forecast Weekly'!AA:AA,'Forecast Weekly'!$A:$A,$A9)</f>
        <v>511.829166666667</v>
      </c>
      <c r="AB9" s="7" t="n">
        <f aca="false">SUMIFS('Forecast Weekly'!AB:AB,'Forecast Weekly'!$A:$A,$A9)</f>
        <v>511.829166666667</v>
      </c>
      <c r="AC9" s="7" t="n">
        <f aca="false">SUMIFS('Forecast Weekly'!AC:AC,'Forecast Weekly'!$A:$A,$A9)</f>
        <v>511.829166666667</v>
      </c>
      <c r="AD9" s="7" t="n">
        <f aca="false">SUMIFS('Forecast Weekly'!AD:AD,'Forecast Weekly'!$A:$A,$A9)</f>
        <v>511.829166666667</v>
      </c>
      <c r="AE9" s="7" t="n">
        <f aca="false">SUMIFS('Forecast Weekly'!AE:AE,'Forecast Weekly'!$A:$A,$A9)</f>
        <v>1422.70208333333</v>
      </c>
      <c r="AF9" s="7" t="n">
        <f aca="false">SUMIFS('Forecast Weekly'!AF:AF,'Forecast Weekly'!$A:$A,$A9)</f>
        <v>1422.70208333333</v>
      </c>
      <c r="AG9" s="7" t="n">
        <f aca="false">SUMIFS('Forecast Weekly'!AG:AG,'Forecast Weekly'!$A:$A,$A9)</f>
        <v>1422.70208333333</v>
      </c>
      <c r="AH9" s="7" t="n">
        <f aca="false">SUMIFS('Forecast Weekly'!AH:AH,'Forecast Weekly'!$A:$A,$A9)</f>
        <v>1422.70208333333</v>
      </c>
      <c r="AI9" s="7" t="n">
        <f aca="false">SUMIFS('Forecast Weekly'!AI:AI,'Forecast Weekly'!$A:$A,$A9)</f>
        <v>1422.70208333333</v>
      </c>
      <c r="AJ9" s="7" t="n">
        <f aca="false">SUMIFS('Forecast Weekly'!AJ:AJ,'Forecast Weekly'!$A:$A,$A9)</f>
        <v>642.254166666667</v>
      </c>
      <c r="AK9" s="7" t="n">
        <f aca="false">SUMIFS('Forecast Weekly'!AK:AK,'Forecast Weekly'!$A:$A,$A9)</f>
        <v>642.254166666667</v>
      </c>
      <c r="AL9" s="7" t="n">
        <f aca="false">SUMIFS('Forecast Weekly'!AL:AL,'Forecast Weekly'!$A:$A,$A9)</f>
        <v>642.254166666667</v>
      </c>
      <c r="AM9" s="7" t="n">
        <f aca="false">SUMIFS('Forecast Weekly'!AM:AM,'Forecast Weekly'!$A:$A,$A9)</f>
        <v>642.254166666667</v>
      </c>
      <c r="AN9" s="7" t="n">
        <f aca="false">SUMIFS('Forecast Weekly'!AN:AN,'Forecast Weekly'!$A:$A,$A9)</f>
        <v>690.627083333333</v>
      </c>
      <c r="AO9" s="7" t="n">
        <f aca="false">SUMIFS('Forecast Weekly'!AO:AO,'Forecast Weekly'!$A:$A,$A9)</f>
        <v>690.627083333333</v>
      </c>
      <c r="AP9" s="7" t="n">
        <f aca="false">SUMIFS('Forecast Weekly'!AP:AP,'Forecast Weekly'!$A:$A,$A9)</f>
        <v>690.627083333333</v>
      </c>
      <c r="AQ9" s="7" t="n">
        <f aca="false">SUMIFS('Forecast Weekly'!AQ:AQ,'Forecast Weekly'!$A:$A,$A9)</f>
        <v>690.627083333333</v>
      </c>
      <c r="AR9" s="7" t="n">
        <f aca="false">SUMIFS('Forecast Weekly'!AR:AR,'Forecast Weekly'!$A:$A,$A9)</f>
        <v>1655.31041666667</v>
      </c>
      <c r="AS9" s="7" t="n">
        <f aca="false">SUMIFS('Forecast Weekly'!AS:AS,'Forecast Weekly'!$A:$A,$A9)</f>
        <v>1655.31041666667</v>
      </c>
      <c r="AT9" s="7" t="n">
        <f aca="false">SUMIFS('Forecast Weekly'!AT:AT,'Forecast Weekly'!$A:$A,$A9)</f>
        <v>1655.31041666667</v>
      </c>
      <c r="AU9" s="7" t="n">
        <f aca="false">SUMIFS('Forecast Weekly'!AU:AU,'Forecast Weekly'!$A:$A,$A9)</f>
        <v>1655.31041666667</v>
      </c>
      <c r="AV9" s="7" t="n">
        <f aca="false">SUMIFS('Forecast Weekly'!AV:AV,'Forecast Weekly'!$A:$A,$A9)</f>
        <v>1655.31041666667</v>
      </c>
      <c r="AW9" s="7" t="n">
        <f aca="false">SUMIFS('Forecast Weekly'!AW:AW,'Forecast Weekly'!$A:$A,$A9)</f>
        <v>1767.79375</v>
      </c>
      <c r="AX9" s="7" t="n">
        <f aca="false">SUMIFS('Forecast Weekly'!AX:AX,'Forecast Weekly'!$A:$A,$A9)</f>
        <v>1767.79375</v>
      </c>
      <c r="AY9" s="7" t="n">
        <f aca="false">SUMIFS('Forecast Weekly'!AY:AY,'Forecast Weekly'!$A:$A,$A9)</f>
        <v>1767.79375</v>
      </c>
      <c r="AZ9" s="7" t="n">
        <f aca="false">SUMIFS('Forecast Weekly'!AZ:AZ,'Forecast Weekly'!$A:$A,$A9)</f>
        <v>1767.79375</v>
      </c>
      <c r="BA9" s="7" t="n">
        <f aca="false">SUMIFS('Forecast Weekly'!BA:BA,'Forecast Weekly'!$A:$A,$A9)</f>
        <v>1846.65833333333</v>
      </c>
      <c r="BB9" s="7" t="n">
        <f aca="false">SUMIFS('Forecast Weekly'!BB:BB,'Forecast Weekly'!$A:$A,$A9)</f>
        <v>1846.65833333333</v>
      </c>
      <c r="BC9" s="7" t="n">
        <f aca="false">SUMIFS('Forecast Weekly'!BC:BC,'Forecast Weekly'!$A:$A,$A9)</f>
        <v>1846.65833333333</v>
      </c>
      <c r="BD9" s="7" t="n">
        <f aca="false">SUMIFS('Forecast Weekly'!BD:BD,'Forecast Weekly'!$A:$A,$A9)</f>
        <v>1846.65833333333</v>
      </c>
      <c r="BE9" s="3" t="n">
        <f aca="false">SUM(E9:BD9)</f>
        <v>43043.2729166667</v>
      </c>
    </row>
    <row r="10" customFormat="false" ht="15" hidden="false" customHeight="false" outlineLevel="0" collapsed="false">
      <c r="A10" s="0" t="s">
        <v>111</v>
      </c>
      <c r="E10" s="7" t="n">
        <f aca="false">SUMIFS('Forecast Weekly'!E:E,'Forecast Weekly'!$A:$A,$A10)</f>
        <v>0</v>
      </c>
      <c r="F10" s="7" t="n">
        <f aca="false">SUMIFS('Forecast Weekly'!F:F,'Forecast Weekly'!$A:$A,$A10)</f>
        <v>0</v>
      </c>
      <c r="G10" s="7" t="n">
        <f aca="false">SUMIFS('Forecast Weekly'!G:G,'Forecast Weekly'!$A:$A,$A10)</f>
        <v>0</v>
      </c>
      <c r="H10" s="7" t="n">
        <f aca="false">SUMIFS('Forecast Weekly'!H:H,'Forecast Weekly'!$A:$A,$A10)</f>
        <v>0</v>
      </c>
      <c r="I10" s="7" t="n">
        <f aca="false">SUMIFS('Forecast Weekly'!I:I,'Forecast Weekly'!$A:$A,$A10)</f>
        <v>0</v>
      </c>
      <c r="J10" s="7" t="n">
        <f aca="false">SUMIFS('Forecast Weekly'!J:J,'Forecast Weekly'!$A:$A,$A10)</f>
        <v>0</v>
      </c>
      <c r="K10" s="7" t="n">
        <f aca="false">SUMIFS('Forecast Weekly'!K:K,'Forecast Weekly'!$A:$A,$A10)</f>
        <v>0</v>
      </c>
      <c r="L10" s="7" t="n">
        <f aca="false">SUMIFS('Forecast Weekly'!L:L,'Forecast Weekly'!$A:$A,$A10)</f>
        <v>0</v>
      </c>
      <c r="M10" s="7" t="n">
        <f aca="false">SUMIFS('Forecast Weekly'!M:M,'Forecast Weekly'!$A:$A,$A10)</f>
        <v>0</v>
      </c>
      <c r="N10" s="7" t="n">
        <f aca="false">SUMIFS('Forecast Weekly'!N:N,'Forecast Weekly'!$A:$A,$A10)</f>
        <v>0</v>
      </c>
      <c r="O10" s="7" t="n">
        <f aca="false">SUMIFS('Forecast Weekly'!O:O,'Forecast Weekly'!$A:$A,$A10)</f>
        <v>0</v>
      </c>
      <c r="P10" s="7" t="n">
        <f aca="false">SUMIFS('Forecast Weekly'!P:P,'Forecast Weekly'!$A:$A,$A10)</f>
        <v>0</v>
      </c>
      <c r="Q10" s="7" t="n">
        <f aca="false">SUMIFS('Forecast Weekly'!Q:Q,'Forecast Weekly'!$A:$A,$A10)</f>
        <v>0</v>
      </c>
      <c r="R10" s="7" t="n">
        <f aca="false">SUMIFS('Forecast Weekly'!R:R,'Forecast Weekly'!$A:$A,$A10)</f>
        <v>0</v>
      </c>
      <c r="S10" s="7" t="n">
        <f aca="false">SUMIFS('Forecast Weekly'!S:S,'Forecast Weekly'!$A:$A,$A10)</f>
        <v>0</v>
      </c>
      <c r="T10" s="7" t="n">
        <f aca="false">SUMIFS('Forecast Weekly'!T:T,'Forecast Weekly'!$A:$A,$A10)</f>
        <v>0</v>
      </c>
      <c r="U10" s="7" t="n">
        <f aca="false">SUMIFS('Forecast Weekly'!U:U,'Forecast Weekly'!$A:$A,$A10)</f>
        <v>0</v>
      </c>
      <c r="V10" s="7" t="n">
        <f aca="false">SUMIFS('Forecast Weekly'!V:V,'Forecast Weekly'!$A:$A,$A10)</f>
        <v>0</v>
      </c>
      <c r="W10" s="7" t="n">
        <f aca="false">SUMIFS('Forecast Weekly'!W:W,'Forecast Weekly'!$A:$A,$A10)</f>
        <v>4.73125</v>
      </c>
      <c r="X10" s="7" t="n">
        <f aca="false">SUMIFS('Forecast Weekly'!X:X,'Forecast Weekly'!$A:$A,$A10)</f>
        <v>4.73125</v>
      </c>
      <c r="Y10" s="7" t="n">
        <f aca="false">SUMIFS('Forecast Weekly'!Y:Y,'Forecast Weekly'!$A:$A,$A10)</f>
        <v>4.73125</v>
      </c>
      <c r="Z10" s="7" t="n">
        <f aca="false">SUMIFS('Forecast Weekly'!Z:Z,'Forecast Weekly'!$A:$A,$A10)</f>
        <v>4.73125</v>
      </c>
      <c r="AA10" s="7" t="n">
        <f aca="false">SUMIFS('Forecast Weekly'!AA:AA,'Forecast Weekly'!$A:$A,$A10)</f>
        <v>9.69166666666667</v>
      </c>
      <c r="AB10" s="7" t="n">
        <f aca="false">SUMIFS('Forecast Weekly'!AB:AB,'Forecast Weekly'!$A:$A,$A10)</f>
        <v>9.69166666666667</v>
      </c>
      <c r="AC10" s="7" t="n">
        <f aca="false">SUMIFS('Forecast Weekly'!AC:AC,'Forecast Weekly'!$A:$A,$A10)</f>
        <v>9.69166666666667</v>
      </c>
      <c r="AD10" s="7" t="n">
        <f aca="false">SUMIFS('Forecast Weekly'!AD:AD,'Forecast Weekly'!$A:$A,$A10)</f>
        <v>9.69166666666667</v>
      </c>
      <c r="AE10" s="7" t="n">
        <f aca="false">SUMIFS('Forecast Weekly'!AE:AE,'Forecast Weekly'!$A:$A,$A10)</f>
        <v>15.2291666666667</v>
      </c>
      <c r="AF10" s="7" t="n">
        <f aca="false">SUMIFS('Forecast Weekly'!AF:AF,'Forecast Weekly'!$A:$A,$A10)</f>
        <v>15.2291666666667</v>
      </c>
      <c r="AG10" s="7" t="n">
        <f aca="false">SUMIFS('Forecast Weekly'!AG:AG,'Forecast Weekly'!$A:$A,$A10)</f>
        <v>15.2291666666667</v>
      </c>
      <c r="AH10" s="7" t="n">
        <f aca="false">SUMIFS('Forecast Weekly'!AH:AH,'Forecast Weekly'!$A:$A,$A10)</f>
        <v>15.2291666666667</v>
      </c>
      <c r="AI10" s="7" t="n">
        <f aca="false">SUMIFS('Forecast Weekly'!AI:AI,'Forecast Weekly'!$A:$A,$A10)</f>
        <v>15.2291666666667</v>
      </c>
      <c r="AJ10" s="7" t="n">
        <f aca="false">SUMIFS('Forecast Weekly'!AJ:AJ,'Forecast Weekly'!$A:$A,$A10)</f>
        <v>20.6375</v>
      </c>
      <c r="AK10" s="7" t="n">
        <f aca="false">SUMIFS('Forecast Weekly'!AK:AK,'Forecast Weekly'!$A:$A,$A10)</f>
        <v>20.6375</v>
      </c>
      <c r="AL10" s="7" t="n">
        <f aca="false">SUMIFS('Forecast Weekly'!AL:AL,'Forecast Weekly'!$A:$A,$A10)</f>
        <v>20.6375</v>
      </c>
      <c r="AM10" s="7" t="n">
        <f aca="false">SUMIFS('Forecast Weekly'!AM:AM,'Forecast Weekly'!$A:$A,$A10)</f>
        <v>20.6375</v>
      </c>
      <c r="AN10" s="7" t="n">
        <f aca="false">SUMIFS('Forecast Weekly'!AN:AN,'Forecast Weekly'!$A:$A,$A10)</f>
        <v>25.8166666666667</v>
      </c>
      <c r="AO10" s="7" t="n">
        <f aca="false">SUMIFS('Forecast Weekly'!AO:AO,'Forecast Weekly'!$A:$A,$A10)</f>
        <v>25.8166666666667</v>
      </c>
      <c r="AP10" s="7" t="n">
        <f aca="false">SUMIFS('Forecast Weekly'!AP:AP,'Forecast Weekly'!$A:$A,$A10)</f>
        <v>25.8166666666667</v>
      </c>
      <c r="AQ10" s="7" t="n">
        <f aca="false">SUMIFS('Forecast Weekly'!AQ:AQ,'Forecast Weekly'!$A:$A,$A10)</f>
        <v>25.8166666666667</v>
      </c>
      <c r="AR10" s="7" t="n">
        <f aca="false">SUMIFS('Forecast Weekly'!AR:AR,'Forecast Weekly'!$A:$A,$A10)</f>
        <v>28.9541666666667</v>
      </c>
      <c r="AS10" s="7" t="n">
        <f aca="false">SUMIFS('Forecast Weekly'!AS:AS,'Forecast Weekly'!$A:$A,$A10)</f>
        <v>28.9541666666667</v>
      </c>
      <c r="AT10" s="7" t="n">
        <f aca="false">SUMIFS('Forecast Weekly'!AT:AT,'Forecast Weekly'!$A:$A,$A10)</f>
        <v>28.9541666666667</v>
      </c>
      <c r="AU10" s="7" t="n">
        <f aca="false">SUMIFS('Forecast Weekly'!AU:AU,'Forecast Weekly'!$A:$A,$A10)</f>
        <v>28.9541666666667</v>
      </c>
      <c r="AV10" s="7" t="n">
        <f aca="false">SUMIFS('Forecast Weekly'!AV:AV,'Forecast Weekly'!$A:$A,$A10)</f>
        <v>28.9541666666667</v>
      </c>
      <c r="AW10" s="7" t="n">
        <f aca="false">SUMIFS('Forecast Weekly'!AW:AW,'Forecast Weekly'!$A:$A,$A10)</f>
        <v>31.3541666666667</v>
      </c>
      <c r="AX10" s="7" t="n">
        <f aca="false">SUMIFS('Forecast Weekly'!AX:AX,'Forecast Weekly'!$A:$A,$A10)</f>
        <v>31.3541666666667</v>
      </c>
      <c r="AY10" s="7" t="n">
        <f aca="false">SUMIFS('Forecast Weekly'!AY:AY,'Forecast Weekly'!$A:$A,$A10)</f>
        <v>31.3541666666667</v>
      </c>
      <c r="AZ10" s="7" t="n">
        <f aca="false">SUMIFS('Forecast Weekly'!AZ:AZ,'Forecast Weekly'!$A:$A,$A10)</f>
        <v>31.3541666666667</v>
      </c>
      <c r="BA10" s="7" t="n">
        <f aca="false">SUMIFS('Forecast Weekly'!BA:BA,'Forecast Weekly'!$A:$A,$A10)</f>
        <v>33.9833333333333</v>
      </c>
      <c r="BB10" s="7" t="n">
        <f aca="false">SUMIFS('Forecast Weekly'!BB:BB,'Forecast Weekly'!$A:$A,$A10)</f>
        <v>33.9833333333333</v>
      </c>
      <c r="BC10" s="7" t="n">
        <f aca="false">SUMIFS('Forecast Weekly'!BC:BC,'Forecast Weekly'!$A:$A,$A10)</f>
        <v>33.9833333333333</v>
      </c>
      <c r="BD10" s="7" t="n">
        <f aca="false">SUMIFS('Forecast Weekly'!BD:BD,'Forecast Weekly'!$A:$A,$A10)</f>
        <v>33.9833333333333</v>
      </c>
      <c r="BE10" s="3" t="n">
        <f aca="false">SUM(E10:BD10)</f>
        <v>725.775</v>
      </c>
    </row>
    <row r="11" customFormat="false" ht="15" hidden="false" customHeight="false" outlineLevel="0" collapsed="false">
      <c r="A11" s="4" t="s">
        <v>81</v>
      </c>
      <c r="E11" s="10" t="n">
        <f aca="false">SUM(E7:E10)</f>
        <v>359.389583333333</v>
      </c>
      <c r="F11" s="10" t="n">
        <f aca="false">SUM(F7:F10)</f>
        <v>359.389583333333</v>
      </c>
      <c r="G11" s="10" t="n">
        <f aca="false">SUM(G7:G10)</f>
        <v>359.389583333333</v>
      </c>
      <c r="H11" s="10" t="n">
        <f aca="false">SUM(H7:H10)</f>
        <v>359.389583333333</v>
      </c>
      <c r="I11" s="10" t="n">
        <f aca="false">SUM(I7:I10)</f>
        <v>359.389583333333</v>
      </c>
      <c r="J11" s="10" t="n">
        <f aca="false">SUM(J7:J10)</f>
        <v>517.01875</v>
      </c>
      <c r="K11" s="10" t="n">
        <f aca="false">SUM(K7:K10)</f>
        <v>517.01875</v>
      </c>
      <c r="L11" s="10" t="n">
        <f aca="false">SUM(L7:L10)</f>
        <v>517.01875</v>
      </c>
      <c r="M11" s="10" t="n">
        <f aca="false">SUM(M7:M10)</f>
        <v>517.01875</v>
      </c>
      <c r="N11" s="10" t="n">
        <f aca="false">SUM(N7:N10)</f>
        <v>744.339583333333</v>
      </c>
      <c r="O11" s="10" t="n">
        <f aca="false">SUM(O7:O10)</f>
        <v>744.339583333333</v>
      </c>
      <c r="P11" s="10" t="n">
        <f aca="false">SUM(P7:P10)</f>
        <v>744.339583333333</v>
      </c>
      <c r="Q11" s="10" t="n">
        <f aca="false">SUM(Q7:Q10)</f>
        <v>744.339583333333</v>
      </c>
      <c r="R11" s="10" t="n">
        <f aca="false">SUM(R7:R10)</f>
        <v>995.483333333333</v>
      </c>
      <c r="S11" s="10" t="n">
        <f aca="false">SUM(S7:S10)</f>
        <v>995.483333333333</v>
      </c>
      <c r="T11" s="10" t="n">
        <f aca="false">SUM(T7:T10)</f>
        <v>995.483333333333</v>
      </c>
      <c r="U11" s="10" t="n">
        <f aca="false">SUM(U7:U10)</f>
        <v>995.483333333333</v>
      </c>
      <c r="V11" s="10" t="n">
        <f aca="false">SUM(V7:V10)</f>
        <v>995.483333333333</v>
      </c>
      <c r="W11" s="10" t="n">
        <f aca="false">SUM(W7:W10)</f>
        <v>1236.44375</v>
      </c>
      <c r="X11" s="10" t="n">
        <f aca="false">SUM(X7:X10)</f>
        <v>1236.44375</v>
      </c>
      <c r="Y11" s="10" t="n">
        <f aca="false">SUM(Y7:Y10)</f>
        <v>1236.44375</v>
      </c>
      <c r="Z11" s="10" t="n">
        <f aca="false">SUM(Z7:Z10)</f>
        <v>1236.44375</v>
      </c>
      <c r="AA11" s="10" t="n">
        <f aca="false">SUM(AA7:AA10)</f>
        <v>1475.92916666667</v>
      </c>
      <c r="AB11" s="10" t="n">
        <f aca="false">SUM(AB7:AB10)</f>
        <v>1475.92916666667</v>
      </c>
      <c r="AC11" s="10" t="n">
        <f aca="false">SUM(AC7:AC10)</f>
        <v>1475.92916666667</v>
      </c>
      <c r="AD11" s="10" t="n">
        <f aca="false">SUM(AD7:AD10)</f>
        <v>1475.92916666667</v>
      </c>
      <c r="AE11" s="10" t="n">
        <f aca="false">SUM(AE7:AE10)</f>
        <v>3975.67708333333</v>
      </c>
      <c r="AF11" s="10" t="n">
        <f aca="false">SUM(AF7:AF10)</f>
        <v>3975.67708333333</v>
      </c>
      <c r="AG11" s="10" t="n">
        <f aca="false">SUM(AG7:AG10)</f>
        <v>3975.67708333333</v>
      </c>
      <c r="AH11" s="10" t="n">
        <f aca="false">SUM(AH7:AH10)</f>
        <v>3975.67708333333</v>
      </c>
      <c r="AI11" s="10" t="n">
        <f aca="false">SUM(AI7:AI10)</f>
        <v>3975.67708333333</v>
      </c>
      <c r="AJ11" s="10" t="n">
        <f aca="false">SUM(AJ7:AJ10)</f>
        <v>1852.3</v>
      </c>
      <c r="AK11" s="10" t="n">
        <f aca="false">SUM(AK7:AK10)</f>
        <v>1852.3</v>
      </c>
      <c r="AL11" s="10" t="n">
        <f aca="false">SUM(AL7:AL10)</f>
        <v>1852.3</v>
      </c>
      <c r="AM11" s="10" t="n">
        <f aca="false">SUM(AM7:AM10)</f>
        <v>1852.3</v>
      </c>
      <c r="AN11" s="10" t="n">
        <f aca="false">SUM(AN7:AN10)</f>
        <v>1991.70625</v>
      </c>
      <c r="AO11" s="10" t="n">
        <f aca="false">SUM(AO7:AO10)</f>
        <v>1991.70625</v>
      </c>
      <c r="AP11" s="10" t="n">
        <f aca="false">SUM(AP7:AP10)</f>
        <v>1991.70625</v>
      </c>
      <c r="AQ11" s="10" t="n">
        <f aca="false">SUM(AQ7:AQ10)</f>
        <v>1991.70625</v>
      </c>
      <c r="AR11" s="10" t="n">
        <f aca="false">SUM(AR7:AR10)</f>
        <v>4632.95208333333</v>
      </c>
      <c r="AS11" s="10" t="n">
        <f aca="false">SUM(AS7:AS10)</f>
        <v>4632.95208333333</v>
      </c>
      <c r="AT11" s="10" t="n">
        <f aca="false">SUM(AT7:AT10)</f>
        <v>4632.95208333333</v>
      </c>
      <c r="AU11" s="10" t="n">
        <f aca="false">SUM(AU7:AU10)</f>
        <v>4632.95208333333</v>
      </c>
      <c r="AV11" s="10" t="n">
        <f aca="false">SUM(AV7:AV10)</f>
        <v>4632.95208333333</v>
      </c>
      <c r="AW11" s="10" t="n">
        <f aca="false">SUM(AW7:AW10)</f>
        <v>4943.37708333333</v>
      </c>
      <c r="AX11" s="10" t="n">
        <f aca="false">SUM(AX7:AX10)</f>
        <v>4943.37708333333</v>
      </c>
      <c r="AY11" s="10" t="n">
        <f aca="false">SUM(AY7:AY10)</f>
        <v>4943.37708333333</v>
      </c>
      <c r="AZ11" s="10" t="n">
        <f aca="false">SUM(AZ7:AZ10)</f>
        <v>4943.37708333333</v>
      </c>
      <c r="BA11" s="10" t="n">
        <f aca="false">SUM(BA7:BA10)</f>
        <v>5161.86666666667</v>
      </c>
      <c r="BB11" s="10" t="n">
        <f aca="false">SUM(BB7:BB10)</f>
        <v>5161.86666666667</v>
      </c>
      <c r="BC11" s="10" t="n">
        <f aca="false">SUM(BC7:BC10)</f>
        <v>5161.86666666667</v>
      </c>
      <c r="BD11" s="10" t="n">
        <f aca="false">SUM(BD7:BD10)</f>
        <v>5161.86666666667</v>
      </c>
      <c r="BE11" s="4" t="n">
        <f aca="false">SUM(E11:BD11)</f>
        <v>121509.435416667</v>
      </c>
    </row>
    <row r="13" customFormat="false" ht="15" hidden="false" customHeight="false" outlineLevel="0" collapsed="false">
      <c r="A13" s="5" t="s">
        <v>302</v>
      </c>
    </row>
    <row r="14" customFormat="false" ht="15" hidden="false" customHeight="false" outlineLevel="0" collapsed="false">
      <c r="A14" s="0" t="s">
        <v>34</v>
      </c>
      <c r="E14" s="7" t="n">
        <f aca="false">'Marketing and Sampling'!E6</f>
        <v>13.54</v>
      </c>
      <c r="F14" s="7" t="n">
        <f aca="false">'Marketing and Sampling'!F6</f>
        <v>13.54</v>
      </c>
      <c r="G14" s="7" t="n">
        <f aca="false">'Marketing and Sampling'!G6</f>
        <v>13.54</v>
      </c>
      <c r="H14" s="7" t="n">
        <f aca="false">'Marketing and Sampling'!H6</f>
        <v>13.54</v>
      </c>
      <c r="I14" s="7" t="n">
        <f aca="false">'Marketing and Sampling'!I6</f>
        <v>13.54</v>
      </c>
      <c r="J14" s="7" t="n">
        <f aca="false">'Marketing and Sampling'!J6</f>
        <v>19.405</v>
      </c>
      <c r="K14" s="7" t="n">
        <f aca="false">'Marketing and Sampling'!K6</f>
        <v>19.405</v>
      </c>
      <c r="L14" s="7" t="n">
        <f aca="false">'Marketing and Sampling'!L6</f>
        <v>19.405</v>
      </c>
      <c r="M14" s="7" t="n">
        <f aca="false">'Marketing and Sampling'!M6</f>
        <v>19.405</v>
      </c>
      <c r="N14" s="7" t="n">
        <f aca="false">'Marketing and Sampling'!N6</f>
        <v>27.2025</v>
      </c>
      <c r="O14" s="7" t="n">
        <f aca="false">'Marketing and Sampling'!O6</f>
        <v>27.2025</v>
      </c>
      <c r="P14" s="7" t="n">
        <f aca="false">'Marketing and Sampling'!P6</f>
        <v>27.2025</v>
      </c>
      <c r="Q14" s="7" t="n">
        <f aca="false">'Marketing and Sampling'!Q6</f>
        <v>27.2025</v>
      </c>
      <c r="R14" s="7" t="n">
        <f aca="false">'Marketing and Sampling'!R6</f>
        <v>34.8525</v>
      </c>
      <c r="S14" s="7" t="n">
        <f aca="false">'Marketing and Sampling'!S6</f>
        <v>34.8525</v>
      </c>
      <c r="T14" s="7" t="n">
        <f aca="false">'Marketing and Sampling'!T6</f>
        <v>34.8525</v>
      </c>
      <c r="U14" s="7" t="n">
        <f aca="false">'Marketing and Sampling'!U6</f>
        <v>34.8525</v>
      </c>
      <c r="V14" s="7" t="n">
        <f aca="false">'Marketing and Sampling'!V6</f>
        <v>34.8525</v>
      </c>
      <c r="W14" s="7" t="n">
        <f aca="false">'Marketing and Sampling'!W6</f>
        <v>42.225</v>
      </c>
      <c r="X14" s="7" t="n">
        <f aca="false">'Marketing and Sampling'!X6</f>
        <v>42.225</v>
      </c>
      <c r="Y14" s="7" t="n">
        <f aca="false">'Marketing and Sampling'!Y6</f>
        <v>42.225</v>
      </c>
      <c r="Z14" s="7" t="n">
        <f aca="false">'Marketing and Sampling'!Z6</f>
        <v>42.225</v>
      </c>
      <c r="AA14" s="7" t="n">
        <f aca="false">'Marketing and Sampling'!AA6</f>
        <v>49.0025</v>
      </c>
      <c r="AB14" s="7" t="n">
        <f aca="false">'Marketing and Sampling'!AB6</f>
        <v>49.0025</v>
      </c>
      <c r="AC14" s="7" t="n">
        <f aca="false">'Marketing and Sampling'!AC6</f>
        <v>49.0025</v>
      </c>
      <c r="AD14" s="7" t="n">
        <f aca="false">'Marketing and Sampling'!AD6</f>
        <v>49.0025</v>
      </c>
      <c r="AE14" s="7" t="n">
        <f aca="false">'Marketing and Sampling'!AE6</f>
        <v>59.9475</v>
      </c>
      <c r="AF14" s="7" t="n">
        <f aca="false">'Marketing and Sampling'!AF6</f>
        <v>59.9475</v>
      </c>
      <c r="AG14" s="7" t="n">
        <f aca="false">'Marketing and Sampling'!AG6</f>
        <v>59.9475</v>
      </c>
      <c r="AH14" s="7" t="n">
        <f aca="false">'Marketing and Sampling'!AH6</f>
        <v>59.9475</v>
      </c>
      <c r="AI14" s="7" t="n">
        <f aca="false">'Marketing and Sampling'!AI6</f>
        <v>59.9475</v>
      </c>
      <c r="AJ14" s="7" t="n">
        <f aca="false">'Marketing and Sampling'!AJ6</f>
        <v>59.73</v>
      </c>
      <c r="AK14" s="7" t="n">
        <f aca="false">'Marketing and Sampling'!AK6</f>
        <v>59.73</v>
      </c>
      <c r="AL14" s="7" t="n">
        <f aca="false">'Marketing and Sampling'!AL6</f>
        <v>59.73</v>
      </c>
      <c r="AM14" s="7" t="n">
        <f aca="false">'Marketing and Sampling'!AM6</f>
        <v>59.73</v>
      </c>
      <c r="AN14" s="7" t="n">
        <f aca="false">'Marketing and Sampling'!AN6</f>
        <v>63.505</v>
      </c>
      <c r="AO14" s="7" t="n">
        <f aca="false">'Marketing and Sampling'!AO6</f>
        <v>63.505</v>
      </c>
      <c r="AP14" s="7" t="n">
        <f aca="false">'Marketing and Sampling'!AP6</f>
        <v>63.505</v>
      </c>
      <c r="AQ14" s="7" t="n">
        <f aca="false">'Marketing and Sampling'!AQ6</f>
        <v>63.505</v>
      </c>
      <c r="AR14" s="7" t="n">
        <f aca="false">'Marketing and Sampling'!AR6</f>
        <v>71.8825</v>
      </c>
      <c r="AS14" s="7" t="n">
        <f aca="false">'Marketing and Sampling'!AS6</f>
        <v>71.8825</v>
      </c>
      <c r="AT14" s="7" t="n">
        <f aca="false">'Marketing and Sampling'!AT6</f>
        <v>71.8825</v>
      </c>
      <c r="AU14" s="7" t="n">
        <f aca="false">'Marketing and Sampling'!AU6</f>
        <v>71.8825</v>
      </c>
      <c r="AV14" s="7" t="n">
        <f aca="false">'Marketing and Sampling'!AV6</f>
        <v>71.8825</v>
      </c>
      <c r="AW14" s="7" t="n">
        <f aca="false">'Marketing and Sampling'!AW6</f>
        <v>74.4775</v>
      </c>
      <c r="AX14" s="7" t="n">
        <f aca="false">'Marketing and Sampling'!AX6</f>
        <v>74.4775</v>
      </c>
      <c r="AY14" s="7" t="n">
        <f aca="false">'Marketing and Sampling'!AY6</f>
        <v>74.4775</v>
      </c>
      <c r="AZ14" s="7" t="n">
        <f aca="false">'Marketing and Sampling'!AZ6</f>
        <v>74.4775</v>
      </c>
      <c r="BA14" s="7" t="n">
        <f aca="false">'Marketing and Sampling'!BA6</f>
        <v>76.265</v>
      </c>
      <c r="BB14" s="7" t="n">
        <f aca="false">'Marketing and Sampling'!BB6</f>
        <v>76.265</v>
      </c>
      <c r="BC14" s="7" t="n">
        <f aca="false">'Marketing and Sampling'!BC6</f>
        <v>76.265</v>
      </c>
      <c r="BD14" s="7" t="n">
        <f aca="false">'Marketing and Sampling'!BD6</f>
        <v>76.265</v>
      </c>
      <c r="BE14" s="3" t="n">
        <f aca="false">SUM(E14:BD14)</f>
        <v>2548.3625</v>
      </c>
    </row>
    <row r="15" customFormat="false" ht="15" hidden="false" customHeight="false" outlineLevel="0" collapsed="false">
      <c r="A15" s="0" t="s">
        <v>303</v>
      </c>
      <c r="E15" s="7" t="n">
        <f aca="false">'Marketing and Sampling'!E7</f>
        <v>42.7692307692308</v>
      </c>
      <c r="F15" s="7" t="n">
        <f aca="false">'Marketing and Sampling'!F7</f>
        <v>2.76923076923077</v>
      </c>
      <c r="G15" s="7" t="n">
        <f aca="false">'Marketing and Sampling'!G7</f>
        <v>2.76923076923077</v>
      </c>
      <c r="H15" s="7" t="n">
        <f aca="false">'Marketing and Sampling'!H7</f>
        <v>2.76923076923077</v>
      </c>
      <c r="I15" s="7" t="n">
        <f aca="false">'Marketing and Sampling'!I7</f>
        <v>2.76923076923077</v>
      </c>
      <c r="J15" s="7" t="n">
        <f aca="false">'Marketing and Sampling'!J7</f>
        <v>3.35746606334842</v>
      </c>
      <c r="K15" s="7" t="n">
        <f aca="false">'Marketing and Sampling'!K7</f>
        <v>3.35746606334842</v>
      </c>
      <c r="L15" s="7" t="n">
        <f aca="false">'Marketing and Sampling'!L7</f>
        <v>3.35746606334842</v>
      </c>
      <c r="M15" s="7" t="n">
        <f aca="false">'Marketing and Sampling'!M7</f>
        <v>3.35746606334842</v>
      </c>
      <c r="N15" s="7" t="n">
        <f aca="false">'Marketing and Sampling'!N7</f>
        <v>3.35746606334842</v>
      </c>
      <c r="O15" s="7" t="n">
        <f aca="false">'Marketing and Sampling'!O7</f>
        <v>3.35746606334842</v>
      </c>
      <c r="P15" s="7" t="n">
        <f aca="false">'Marketing and Sampling'!P7</f>
        <v>3.35746606334842</v>
      </c>
      <c r="Q15" s="7" t="n">
        <f aca="false">'Marketing and Sampling'!Q7</f>
        <v>3.35746606334842</v>
      </c>
      <c r="R15" s="7" t="n">
        <f aca="false">'Marketing and Sampling'!R7</f>
        <v>3.35746606334842</v>
      </c>
      <c r="S15" s="7" t="n">
        <f aca="false">'Marketing and Sampling'!S7</f>
        <v>3.35746606334842</v>
      </c>
      <c r="T15" s="7" t="n">
        <f aca="false">'Marketing and Sampling'!T7</f>
        <v>3.35746606334842</v>
      </c>
      <c r="U15" s="7" t="n">
        <f aca="false">'Marketing and Sampling'!U7</f>
        <v>3.35746606334842</v>
      </c>
      <c r="V15" s="7" t="n">
        <f aca="false">'Marketing and Sampling'!V7</f>
        <v>3.35746606334842</v>
      </c>
      <c r="W15" s="7" t="n">
        <f aca="false">'Marketing and Sampling'!W7</f>
        <v>3.35746606334842</v>
      </c>
      <c r="X15" s="7" t="n">
        <f aca="false">'Marketing and Sampling'!X7</f>
        <v>3.35746606334842</v>
      </c>
      <c r="Y15" s="7" t="n">
        <f aca="false">'Marketing and Sampling'!Y7</f>
        <v>3.35746606334842</v>
      </c>
      <c r="Z15" s="7" t="n">
        <f aca="false">'Marketing and Sampling'!Z7</f>
        <v>3.35746606334842</v>
      </c>
      <c r="AA15" s="7" t="n">
        <f aca="false">'Marketing and Sampling'!AA7</f>
        <v>3.35746606334842</v>
      </c>
      <c r="AB15" s="7" t="n">
        <f aca="false">'Marketing and Sampling'!AB7</f>
        <v>3.35746606334842</v>
      </c>
      <c r="AC15" s="7" t="n">
        <f aca="false">'Marketing and Sampling'!AC7</f>
        <v>3.35746606334842</v>
      </c>
      <c r="AD15" s="7" t="n">
        <f aca="false">'Marketing and Sampling'!AD7</f>
        <v>3.35746606334842</v>
      </c>
      <c r="AE15" s="7" t="n">
        <f aca="false">'Marketing and Sampling'!AE7</f>
        <v>103.357466063348</v>
      </c>
      <c r="AF15" s="7" t="n">
        <f aca="false">'Marketing and Sampling'!AF7</f>
        <v>3.35746606334842</v>
      </c>
      <c r="AG15" s="7" t="n">
        <f aca="false">'Marketing and Sampling'!AG7</f>
        <v>3.35746606334842</v>
      </c>
      <c r="AH15" s="7" t="n">
        <f aca="false">'Marketing and Sampling'!AH7</f>
        <v>3.35746606334842</v>
      </c>
      <c r="AI15" s="7" t="n">
        <f aca="false">'Marketing and Sampling'!AI7</f>
        <v>3.35746606334842</v>
      </c>
      <c r="AJ15" s="7" t="n">
        <f aca="false">'Marketing and Sampling'!AJ7</f>
        <v>32.1074660633484</v>
      </c>
      <c r="AK15" s="7" t="n">
        <f aca="false">'Marketing and Sampling'!AK7</f>
        <v>7.10746606334842</v>
      </c>
      <c r="AL15" s="7" t="n">
        <f aca="false">'Marketing and Sampling'!AL7</f>
        <v>7.10746606334842</v>
      </c>
      <c r="AM15" s="7" t="n">
        <f aca="false">'Marketing and Sampling'!AM7</f>
        <v>7.10746606334842</v>
      </c>
      <c r="AN15" s="7" t="n">
        <f aca="false">'Marketing and Sampling'!AN7</f>
        <v>7.10746606334842</v>
      </c>
      <c r="AO15" s="7" t="n">
        <f aca="false">'Marketing and Sampling'!AO7</f>
        <v>7.10746606334842</v>
      </c>
      <c r="AP15" s="7" t="n">
        <f aca="false">'Marketing and Sampling'!AP7</f>
        <v>7.10746606334842</v>
      </c>
      <c r="AQ15" s="7" t="n">
        <f aca="false">'Marketing and Sampling'!AQ7</f>
        <v>7.10746606334842</v>
      </c>
      <c r="AR15" s="7" t="n">
        <f aca="false">'Marketing and Sampling'!AR7</f>
        <v>2.76923076923077</v>
      </c>
      <c r="AS15" s="7" t="n">
        <f aca="false">'Marketing and Sampling'!AS7</f>
        <v>2.76923076923077</v>
      </c>
      <c r="AT15" s="7" t="n">
        <f aca="false">'Marketing and Sampling'!AT7</f>
        <v>22.7692307692308</v>
      </c>
      <c r="AU15" s="7" t="n">
        <f aca="false">'Marketing and Sampling'!AU7</f>
        <v>2.76923076923077</v>
      </c>
      <c r="AV15" s="7" t="n">
        <f aca="false">'Marketing and Sampling'!AV7</f>
        <v>2.76923076923077</v>
      </c>
      <c r="AW15" s="7" t="n">
        <f aca="false">'Marketing and Sampling'!AW7</f>
        <v>2.76923076923077</v>
      </c>
      <c r="AX15" s="7" t="n">
        <f aca="false">'Marketing and Sampling'!AX7</f>
        <v>27.7692307692308</v>
      </c>
      <c r="AY15" s="7" t="n">
        <f aca="false">'Marketing and Sampling'!AY7</f>
        <v>2.76923076923077</v>
      </c>
      <c r="AZ15" s="7" t="n">
        <f aca="false">'Marketing and Sampling'!AZ7</f>
        <v>2.76923076923077</v>
      </c>
      <c r="BA15" s="7" t="n">
        <f aca="false">'Marketing and Sampling'!BA7</f>
        <v>2.76923076923077</v>
      </c>
      <c r="BB15" s="7" t="n">
        <f aca="false">'Marketing and Sampling'!BB7</f>
        <v>2.76923076923077</v>
      </c>
      <c r="BC15" s="7" t="n">
        <f aca="false">'Marketing and Sampling'!BC7</f>
        <v>2.76923076923077</v>
      </c>
      <c r="BD15" s="7" t="n">
        <f aca="false">'Marketing and Sampling'!BD7</f>
        <v>2.76923076923077</v>
      </c>
      <c r="BE15" s="3" t="n">
        <f aca="false">SUM(E15:BD15)</f>
        <v>404</v>
      </c>
    </row>
    <row r="16" customFormat="false" ht="15" hidden="false" customHeight="false" outlineLevel="0" collapsed="false">
      <c r="A16" s="0" t="s">
        <v>28</v>
      </c>
      <c r="E16" s="7" t="n">
        <f aca="false">'Marketing and Sampling'!E8</f>
        <v>5</v>
      </c>
      <c r="F16" s="7" t="n">
        <f aca="false">'Marketing and Sampling'!F8</f>
        <v>5</v>
      </c>
      <c r="G16" s="7" t="n">
        <f aca="false">'Marketing and Sampling'!G8</f>
        <v>5</v>
      </c>
      <c r="H16" s="7" t="n">
        <f aca="false">'Marketing and Sampling'!H8</f>
        <v>5</v>
      </c>
      <c r="I16" s="7" t="n">
        <f aca="false">'Marketing and Sampling'!I8</f>
        <v>5</v>
      </c>
      <c r="J16" s="7" t="n">
        <f aca="false">'Marketing and Sampling'!J8</f>
        <v>5</v>
      </c>
      <c r="K16" s="7" t="n">
        <f aca="false">'Marketing and Sampling'!K8</f>
        <v>5</v>
      </c>
      <c r="L16" s="7" t="n">
        <f aca="false">'Marketing and Sampling'!L8</f>
        <v>5</v>
      </c>
      <c r="M16" s="7" t="n">
        <f aca="false">'Marketing and Sampling'!M8</f>
        <v>5</v>
      </c>
      <c r="N16" s="7" t="n">
        <f aca="false">'Marketing and Sampling'!N8</f>
        <v>5</v>
      </c>
      <c r="O16" s="7" t="n">
        <f aca="false">'Marketing and Sampling'!O8</f>
        <v>5</v>
      </c>
      <c r="P16" s="7" t="n">
        <f aca="false">'Marketing and Sampling'!P8</f>
        <v>5</v>
      </c>
      <c r="Q16" s="7" t="n">
        <f aca="false">'Marketing and Sampling'!Q8</f>
        <v>5</v>
      </c>
      <c r="R16" s="7" t="n">
        <f aca="false">'Marketing and Sampling'!R8</f>
        <v>5</v>
      </c>
      <c r="S16" s="7" t="n">
        <f aca="false">'Marketing and Sampling'!S8</f>
        <v>5</v>
      </c>
      <c r="T16" s="7" t="n">
        <f aca="false">'Marketing and Sampling'!T8</f>
        <v>5</v>
      </c>
      <c r="U16" s="7" t="n">
        <f aca="false">'Marketing and Sampling'!U8</f>
        <v>5</v>
      </c>
      <c r="V16" s="7" t="n">
        <f aca="false">'Marketing and Sampling'!V8</f>
        <v>5</v>
      </c>
      <c r="W16" s="7" t="n">
        <f aca="false">'Marketing and Sampling'!W8</f>
        <v>5</v>
      </c>
      <c r="X16" s="7" t="n">
        <f aca="false">'Marketing and Sampling'!X8</f>
        <v>5</v>
      </c>
      <c r="Y16" s="7" t="n">
        <f aca="false">'Marketing and Sampling'!Y8</f>
        <v>5</v>
      </c>
      <c r="Z16" s="7" t="n">
        <f aca="false">'Marketing and Sampling'!Z8</f>
        <v>5</v>
      </c>
      <c r="AA16" s="7" t="n">
        <f aca="false">'Marketing and Sampling'!AA8</f>
        <v>8</v>
      </c>
      <c r="AB16" s="7" t="n">
        <f aca="false">'Marketing and Sampling'!AB8</f>
        <v>8</v>
      </c>
      <c r="AC16" s="7" t="n">
        <f aca="false">'Marketing and Sampling'!AC8</f>
        <v>8</v>
      </c>
      <c r="AD16" s="7" t="n">
        <f aca="false">'Marketing and Sampling'!AD8</f>
        <v>8</v>
      </c>
      <c r="AE16" s="7" t="n">
        <f aca="false">'Marketing and Sampling'!AE8</f>
        <v>12</v>
      </c>
      <c r="AF16" s="7" t="n">
        <f aca="false">'Marketing and Sampling'!AF8</f>
        <v>12</v>
      </c>
      <c r="AG16" s="7" t="n">
        <f aca="false">'Marketing and Sampling'!AG8</f>
        <v>12</v>
      </c>
      <c r="AH16" s="7" t="n">
        <f aca="false">'Marketing and Sampling'!AH8</f>
        <v>12</v>
      </c>
      <c r="AI16" s="7" t="n">
        <f aca="false">'Marketing and Sampling'!AI8</f>
        <v>12</v>
      </c>
      <c r="AJ16" s="7" t="n">
        <f aca="false">'Marketing and Sampling'!AJ8</f>
        <v>12</v>
      </c>
      <c r="AK16" s="7" t="n">
        <f aca="false">'Marketing and Sampling'!AK8</f>
        <v>12</v>
      </c>
      <c r="AL16" s="7" t="n">
        <f aca="false">'Marketing and Sampling'!AL8</f>
        <v>12</v>
      </c>
      <c r="AM16" s="7" t="n">
        <f aca="false">'Marketing and Sampling'!AM8</f>
        <v>12</v>
      </c>
      <c r="AN16" s="7" t="n">
        <f aca="false">'Marketing and Sampling'!AN8</f>
        <v>13</v>
      </c>
      <c r="AO16" s="7" t="n">
        <f aca="false">'Marketing and Sampling'!AO8</f>
        <v>13</v>
      </c>
      <c r="AP16" s="7" t="n">
        <f aca="false">'Marketing and Sampling'!AP8</f>
        <v>13</v>
      </c>
      <c r="AQ16" s="7" t="n">
        <f aca="false">'Marketing and Sampling'!AQ8</f>
        <v>13</v>
      </c>
      <c r="AR16" s="7" t="n">
        <f aca="false">'Marketing and Sampling'!AR8</f>
        <v>13</v>
      </c>
      <c r="AS16" s="7" t="n">
        <f aca="false">'Marketing and Sampling'!AS8</f>
        <v>13</v>
      </c>
      <c r="AT16" s="7" t="n">
        <f aca="false">'Marketing and Sampling'!AT8</f>
        <v>13</v>
      </c>
      <c r="AU16" s="7" t="n">
        <f aca="false">'Marketing and Sampling'!AU8</f>
        <v>13</v>
      </c>
      <c r="AV16" s="7" t="n">
        <f aca="false">'Marketing and Sampling'!AV8</f>
        <v>13</v>
      </c>
      <c r="AW16" s="7" t="n">
        <f aca="false">'Marketing and Sampling'!AW8</f>
        <v>13</v>
      </c>
      <c r="AX16" s="7" t="n">
        <f aca="false">'Marketing and Sampling'!AX8</f>
        <v>13</v>
      </c>
      <c r="AY16" s="7" t="n">
        <f aca="false">'Marketing and Sampling'!AY8</f>
        <v>13</v>
      </c>
      <c r="AZ16" s="7" t="n">
        <f aca="false">'Marketing and Sampling'!AZ8</f>
        <v>13</v>
      </c>
      <c r="BA16" s="7" t="n">
        <f aca="false">'Marketing and Sampling'!BA8</f>
        <v>13</v>
      </c>
      <c r="BB16" s="7" t="n">
        <f aca="false">'Marketing and Sampling'!BB8</f>
        <v>13</v>
      </c>
      <c r="BC16" s="7" t="n">
        <f aca="false">'Marketing and Sampling'!BC8</f>
        <v>13</v>
      </c>
      <c r="BD16" s="7" t="n">
        <f aca="false">'Marketing and Sampling'!BD8</f>
        <v>13</v>
      </c>
      <c r="BE16" s="3" t="n">
        <f aca="false">SUM(E16:BD16)</f>
        <v>471</v>
      </c>
    </row>
    <row r="17" customFormat="false" ht="15" hidden="false" customHeight="false" outlineLevel="0" collapsed="false">
      <c r="A17" s="0" t="s">
        <v>304</v>
      </c>
      <c r="E17" s="7" t="n">
        <f aca="false">'Marketing and Sampling'!E9</f>
        <v>2.75</v>
      </c>
      <c r="F17" s="7" t="n">
        <f aca="false">'Marketing and Sampling'!F9</f>
        <v>2.75</v>
      </c>
      <c r="G17" s="7" t="n">
        <f aca="false">'Marketing and Sampling'!G9</f>
        <v>2.75</v>
      </c>
      <c r="H17" s="7" t="n">
        <f aca="false">'Marketing and Sampling'!H9</f>
        <v>2.75</v>
      </c>
      <c r="I17" s="7" t="n">
        <f aca="false">'Marketing and Sampling'!I9</f>
        <v>2.75</v>
      </c>
      <c r="J17" s="7" t="n">
        <f aca="false">'Marketing and Sampling'!J9</f>
        <v>2.75</v>
      </c>
      <c r="K17" s="7" t="n">
        <f aca="false">'Marketing and Sampling'!K9</f>
        <v>2.75</v>
      </c>
      <c r="L17" s="7" t="n">
        <f aca="false">'Marketing and Sampling'!L9</f>
        <v>2.75</v>
      </c>
      <c r="M17" s="7" t="n">
        <f aca="false">'Marketing and Sampling'!M9</f>
        <v>2.75</v>
      </c>
      <c r="N17" s="7" t="n">
        <f aca="false">'Marketing and Sampling'!N9</f>
        <v>2.75</v>
      </c>
      <c r="O17" s="7" t="n">
        <f aca="false">'Marketing and Sampling'!O9</f>
        <v>2.75</v>
      </c>
      <c r="P17" s="7" t="n">
        <f aca="false">'Marketing and Sampling'!P9</f>
        <v>2.75</v>
      </c>
      <c r="Q17" s="7" t="n">
        <f aca="false">'Marketing and Sampling'!Q9</f>
        <v>2.75</v>
      </c>
      <c r="R17" s="7" t="n">
        <f aca="false">'Marketing and Sampling'!R9</f>
        <v>2.75</v>
      </c>
      <c r="S17" s="7" t="n">
        <f aca="false">'Marketing and Sampling'!S9</f>
        <v>2.75</v>
      </c>
      <c r="T17" s="7" t="n">
        <f aca="false">'Marketing and Sampling'!T9</f>
        <v>2.75</v>
      </c>
      <c r="U17" s="7" t="n">
        <f aca="false">'Marketing and Sampling'!U9</f>
        <v>2.75</v>
      </c>
      <c r="V17" s="7" t="n">
        <f aca="false">'Marketing and Sampling'!V9</f>
        <v>2.75</v>
      </c>
      <c r="W17" s="7" t="n">
        <f aca="false">'Marketing and Sampling'!W9</f>
        <v>2.75</v>
      </c>
      <c r="X17" s="7" t="n">
        <f aca="false">'Marketing and Sampling'!X9</f>
        <v>2.75</v>
      </c>
      <c r="Y17" s="7" t="n">
        <f aca="false">'Marketing and Sampling'!Y9</f>
        <v>2.75</v>
      </c>
      <c r="Z17" s="7" t="n">
        <f aca="false">'Marketing and Sampling'!Z9</f>
        <v>2.75</v>
      </c>
      <c r="AA17" s="7" t="n">
        <f aca="false">'Marketing and Sampling'!AA9</f>
        <v>2.75</v>
      </c>
      <c r="AB17" s="7" t="n">
        <f aca="false">'Marketing and Sampling'!AB9</f>
        <v>2.75</v>
      </c>
      <c r="AC17" s="7" t="n">
        <f aca="false">'Marketing and Sampling'!AC9</f>
        <v>2.75</v>
      </c>
      <c r="AD17" s="7" t="n">
        <f aca="false">'Marketing and Sampling'!AD9</f>
        <v>2.75</v>
      </c>
      <c r="AE17" s="7" t="n">
        <f aca="false">'Marketing and Sampling'!AE9</f>
        <v>2.75</v>
      </c>
      <c r="AF17" s="7" t="n">
        <f aca="false">'Marketing and Sampling'!AF9</f>
        <v>2.75</v>
      </c>
      <c r="AG17" s="7" t="n">
        <f aca="false">'Marketing and Sampling'!AG9</f>
        <v>2.75</v>
      </c>
      <c r="AH17" s="7" t="n">
        <f aca="false">'Marketing and Sampling'!AH9</f>
        <v>2.75</v>
      </c>
      <c r="AI17" s="7" t="n">
        <f aca="false">'Marketing and Sampling'!AI9</f>
        <v>2.75</v>
      </c>
      <c r="AJ17" s="7" t="n">
        <f aca="false">'Marketing and Sampling'!AJ9</f>
        <v>2.75</v>
      </c>
      <c r="AK17" s="7" t="n">
        <f aca="false">'Marketing and Sampling'!AK9</f>
        <v>2.75</v>
      </c>
      <c r="AL17" s="7" t="n">
        <f aca="false">'Marketing and Sampling'!AL9</f>
        <v>2.75</v>
      </c>
      <c r="AM17" s="7" t="n">
        <f aca="false">'Marketing and Sampling'!AM9</f>
        <v>2.75</v>
      </c>
      <c r="AN17" s="7" t="n">
        <f aca="false">'Marketing and Sampling'!AN9</f>
        <v>2.75</v>
      </c>
      <c r="AO17" s="7" t="n">
        <f aca="false">'Marketing and Sampling'!AO9</f>
        <v>2.75</v>
      </c>
      <c r="AP17" s="7" t="n">
        <f aca="false">'Marketing and Sampling'!AP9</f>
        <v>2.75</v>
      </c>
      <c r="AQ17" s="7" t="n">
        <f aca="false">'Marketing and Sampling'!AQ9</f>
        <v>2.75</v>
      </c>
      <c r="AR17" s="7" t="n">
        <f aca="false">'Marketing and Sampling'!AR9</f>
        <v>2.75</v>
      </c>
      <c r="AS17" s="7" t="n">
        <f aca="false">'Marketing and Sampling'!AS9</f>
        <v>2.75</v>
      </c>
      <c r="AT17" s="7" t="n">
        <f aca="false">'Marketing and Sampling'!AT9</f>
        <v>2.75</v>
      </c>
      <c r="AU17" s="7" t="n">
        <f aca="false">'Marketing and Sampling'!AU9</f>
        <v>2.75</v>
      </c>
      <c r="AV17" s="7" t="n">
        <f aca="false">'Marketing and Sampling'!AV9</f>
        <v>2.75</v>
      </c>
      <c r="AW17" s="7" t="n">
        <f aca="false">'Marketing and Sampling'!AW9</f>
        <v>2.75</v>
      </c>
      <c r="AX17" s="7" t="n">
        <f aca="false">'Marketing and Sampling'!AX9</f>
        <v>2.75</v>
      </c>
      <c r="AY17" s="7" t="n">
        <f aca="false">'Marketing and Sampling'!AY9</f>
        <v>2.75</v>
      </c>
      <c r="AZ17" s="7" t="n">
        <f aca="false">'Marketing and Sampling'!AZ9</f>
        <v>2.75</v>
      </c>
      <c r="BA17" s="7" t="n">
        <f aca="false">'Marketing and Sampling'!BA9</f>
        <v>2.75</v>
      </c>
      <c r="BB17" s="7" t="n">
        <f aca="false">'Marketing and Sampling'!BB9</f>
        <v>2.75</v>
      </c>
      <c r="BC17" s="7" t="n">
        <f aca="false">'Marketing and Sampling'!BC9</f>
        <v>2.75</v>
      </c>
      <c r="BD17" s="7" t="n">
        <f aca="false">'Marketing and Sampling'!BD9</f>
        <v>2.75</v>
      </c>
      <c r="BE17" s="3" t="n">
        <f aca="false">SUM(E17:BD17)</f>
        <v>143</v>
      </c>
    </row>
    <row r="18" customFormat="false" ht="15" hidden="false" customHeight="false" outlineLevel="0" collapsed="false">
      <c r="A18" s="4" t="s">
        <v>255</v>
      </c>
      <c r="E18" s="10" t="n">
        <f aca="false">SUM(E14:E17)</f>
        <v>64.0592307692308</v>
      </c>
      <c r="F18" s="10" t="n">
        <f aca="false">SUM(F14:F17)</f>
        <v>24.0592307692308</v>
      </c>
      <c r="G18" s="10" t="n">
        <f aca="false">SUM(G14:G17)</f>
        <v>24.0592307692308</v>
      </c>
      <c r="H18" s="10" t="n">
        <f aca="false">SUM(H14:H17)</f>
        <v>24.0592307692308</v>
      </c>
      <c r="I18" s="10" t="n">
        <f aca="false">SUM(I14:I17)</f>
        <v>24.0592307692308</v>
      </c>
      <c r="J18" s="10" t="n">
        <f aca="false">SUM(J14:J17)</f>
        <v>30.5124660633484</v>
      </c>
      <c r="K18" s="10" t="n">
        <f aca="false">SUM(K14:K17)</f>
        <v>30.5124660633484</v>
      </c>
      <c r="L18" s="10" t="n">
        <f aca="false">SUM(L14:L17)</f>
        <v>30.5124660633484</v>
      </c>
      <c r="M18" s="10" t="n">
        <f aca="false">SUM(M14:M17)</f>
        <v>30.5124660633484</v>
      </c>
      <c r="N18" s="10" t="n">
        <f aca="false">SUM(N14:N17)</f>
        <v>38.3099660633484</v>
      </c>
      <c r="O18" s="10" t="n">
        <f aca="false">SUM(O14:O17)</f>
        <v>38.3099660633484</v>
      </c>
      <c r="P18" s="10" t="n">
        <f aca="false">SUM(P14:P17)</f>
        <v>38.3099660633484</v>
      </c>
      <c r="Q18" s="10" t="n">
        <f aca="false">SUM(Q14:Q17)</f>
        <v>38.3099660633484</v>
      </c>
      <c r="R18" s="10" t="n">
        <f aca="false">SUM(R14:R17)</f>
        <v>45.9599660633484</v>
      </c>
      <c r="S18" s="10" t="n">
        <f aca="false">SUM(S14:S17)</f>
        <v>45.9599660633484</v>
      </c>
      <c r="T18" s="10" t="n">
        <f aca="false">SUM(T14:T17)</f>
        <v>45.9599660633484</v>
      </c>
      <c r="U18" s="10" t="n">
        <f aca="false">SUM(U14:U17)</f>
        <v>45.9599660633484</v>
      </c>
      <c r="V18" s="10" t="n">
        <f aca="false">SUM(V14:V17)</f>
        <v>45.9599660633484</v>
      </c>
      <c r="W18" s="10" t="n">
        <f aca="false">SUM(W14:W17)</f>
        <v>53.3324660633484</v>
      </c>
      <c r="X18" s="10" t="n">
        <f aca="false">SUM(X14:X17)</f>
        <v>53.3324660633484</v>
      </c>
      <c r="Y18" s="10" t="n">
        <f aca="false">SUM(Y14:Y17)</f>
        <v>53.3324660633484</v>
      </c>
      <c r="Z18" s="10" t="n">
        <f aca="false">SUM(Z14:Z17)</f>
        <v>53.3324660633484</v>
      </c>
      <c r="AA18" s="10" t="n">
        <f aca="false">SUM(AA14:AA17)</f>
        <v>63.1099660633484</v>
      </c>
      <c r="AB18" s="10" t="n">
        <f aca="false">SUM(AB14:AB17)</f>
        <v>63.1099660633484</v>
      </c>
      <c r="AC18" s="10" t="n">
        <f aca="false">SUM(AC14:AC17)</f>
        <v>63.1099660633484</v>
      </c>
      <c r="AD18" s="10" t="n">
        <f aca="false">SUM(AD14:AD17)</f>
        <v>63.1099660633484</v>
      </c>
      <c r="AE18" s="10" t="n">
        <f aca="false">SUM(AE14:AE17)</f>
        <v>178.054966063348</v>
      </c>
      <c r="AF18" s="10" t="n">
        <f aca="false">SUM(AF14:AF17)</f>
        <v>78.0549660633484</v>
      </c>
      <c r="AG18" s="10" t="n">
        <f aca="false">SUM(AG14:AG17)</f>
        <v>78.0549660633484</v>
      </c>
      <c r="AH18" s="10" t="n">
        <f aca="false">SUM(AH14:AH17)</f>
        <v>78.0549660633484</v>
      </c>
      <c r="AI18" s="10" t="n">
        <f aca="false">SUM(AI14:AI17)</f>
        <v>78.0549660633484</v>
      </c>
      <c r="AJ18" s="10" t="n">
        <f aca="false">SUM(AJ14:AJ17)</f>
        <v>106.587466063348</v>
      </c>
      <c r="AK18" s="10" t="n">
        <f aca="false">SUM(AK14:AK17)</f>
        <v>81.5874660633484</v>
      </c>
      <c r="AL18" s="10" t="n">
        <f aca="false">SUM(AL14:AL17)</f>
        <v>81.5874660633484</v>
      </c>
      <c r="AM18" s="10" t="n">
        <f aca="false">SUM(AM14:AM17)</f>
        <v>81.5874660633484</v>
      </c>
      <c r="AN18" s="10" t="n">
        <f aca="false">SUM(AN14:AN17)</f>
        <v>86.3624660633484</v>
      </c>
      <c r="AO18" s="10" t="n">
        <f aca="false">SUM(AO14:AO17)</f>
        <v>86.3624660633484</v>
      </c>
      <c r="AP18" s="10" t="n">
        <f aca="false">SUM(AP14:AP17)</f>
        <v>86.3624660633484</v>
      </c>
      <c r="AQ18" s="10" t="n">
        <f aca="false">SUM(AQ14:AQ17)</f>
        <v>86.3624660633484</v>
      </c>
      <c r="AR18" s="10" t="n">
        <f aca="false">SUM(AR14:AR17)</f>
        <v>90.4017307692308</v>
      </c>
      <c r="AS18" s="10" t="n">
        <f aca="false">SUM(AS14:AS17)</f>
        <v>90.4017307692308</v>
      </c>
      <c r="AT18" s="10" t="n">
        <f aca="false">SUM(AT14:AT17)</f>
        <v>110.401730769231</v>
      </c>
      <c r="AU18" s="10" t="n">
        <f aca="false">SUM(AU14:AU17)</f>
        <v>90.4017307692308</v>
      </c>
      <c r="AV18" s="10" t="n">
        <f aca="false">SUM(AV14:AV17)</f>
        <v>90.4017307692308</v>
      </c>
      <c r="AW18" s="10" t="n">
        <f aca="false">SUM(AW14:AW17)</f>
        <v>92.9967307692308</v>
      </c>
      <c r="AX18" s="10" t="n">
        <f aca="false">SUM(AX14:AX17)</f>
        <v>117.996730769231</v>
      </c>
      <c r="AY18" s="10" t="n">
        <f aca="false">SUM(AY14:AY17)</f>
        <v>92.9967307692308</v>
      </c>
      <c r="AZ18" s="10" t="n">
        <f aca="false">SUM(AZ14:AZ17)</f>
        <v>92.9967307692308</v>
      </c>
      <c r="BA18" s="10" t="n">
        <f aca="false">SUM(BA14:BA17)</f>
        <v>94.7842307692308</v>
      </c>
      <c r="BB18" s="10" t="n">
        <f aca="false">SUM(BB14:BB17)</f>
        <v>94.7842307692308</v>
      </c>
      <c r="BC18" s="10" t="n">
        <f aca="false">SUM(BC14:BC17)</f>
        <v>94.7842307692308</v>
      </c>
      <c r="BD18" s="10" t="n">
        <f aca="false">SUM(BD14:BD17)</f>
        <v>94.7842307692308</v>
      </c>
      <c r="BE18" s="4" t="n">
        <f aca="false">SUM(E18:BD18)</f>
        <v>3566.3625</v>
      </c>
    </row>
    <row r="20" customFormat="false" ht="15" hidden="false" customHeight="false" outlineLevel="0" collapsed="false">
      <c r="A20" s="4" t="s">
        <v>42</v>
      </c>
      <c r="E20" s="4" t="n">
        <f aca="false">E11+E18</f>
        <v>423.448814102564</v>
      </c>
      <c r="F20" s="4" t="n">
        <f aca="false">F11+F18</f>
        <v>383.448814102564</v>
      </c>
      <c r="G20" s="4" t="n">
        <f aca="false">G11+G18</f>
        <v>383.448814102564</v>
      </c>
      <c r="H20" s="4" t="n">
        <f aca="false">H11+H18</f>
        <v>383.448814102564</v>
      </c>
      <c r="I20" s="4" t="n">
        <f aca="false">I11+I18</f>
        <v>383.448814102564</v>
      </c>
      <c r="J20" s="4" t="n">
        <f aca="false">J11+J18</f>
        <v>547.531216063348</v>
      </c>
      <c r="K20" s="4" t="n">
        <f aca="false">K11+K18</f>
        <v>547.531216063348</v>
      </c>
      <c r="L20" s="4" t="n">
        <f aca="false">L11+L18</f>
        <v>547.531216063348</v>
      </c>
      <c r="M20" s="4" t="n">
        <f aca="false">M11+M18</f>
        <v>547.531216063348</v>
      </c>
      <c r="N20" s="4" t="n">
        <f aca="false">N11+N18</f>
        <v>782.649549396682</v>
      </c>
      <c r="O20" s="4" t="n">
        <f aca="false">O11+O18</f>
        <v>782.649549396682</v>
      </c>
      <c r="P20" s="4" t="n">
        <f aca="false">P11+P18</f>
        <v>782.649549396682</v>
      </c>
      <c r="Q20" s="4" t="n">
        <f aca="false">Q11+Q18</f>
        <v>782.649549396682</v>
      </c>
      <c r="R20" s="4" t="n">
        <f aca="false">R11+R18</f>
        <v>1041.44329939668</v>
      </c>
      <c r="S20" s="4" t="n">
        <f aca="false">S11+S18</f>
        <v>1041.44329939668</v>
      </c>
      <c r="T20" s="4" t="n">
        <f aca="false">T11+T18</f>
        <v>1041.44329939668</v>
      </c>
      <c r="U20" s="4" t="n">
        <f aca="false">U11+U18</f>
        <v>1041.44329939668</v>
      </c>
      <c r="V20" s="4" t="n">
        <f aca="false">V11+V18</f>
        <v>1041.44329939668</v>
      </c>
      <c r="W20" s="4" t="n">
        <f aca="false">W11+W18</f>
        <v>1289.77621606335</v>
      </c>
      <c r="X20" s="4" t="n">
        <f aca="false">X11+X18</f>
        <v>1289.77621606335</v>
      </c>
      <c r="Y20" s="4" t="n">
        <f aca="false">Y11+Y18</f>
        <v>1289.77621606335</v>
      </c>
      <c r="Z20" s="4" t="n">
        <f aca="false">Z11+Z18</f>
        <v>1289.77621606335</v>
      </c>
      <c r="AA20" s="4" t="n">
        <f aca="false">AA11+AA18</f>
        <v>1539.03913273002</v>
      </c>
      <c r="AB20" s="4" t="n">
        <f aca="false">AB11+AB18</f>
        <v>1539.03913273002</v>
      </c>
      <c r="AC20" s="4" t="n">
        <f aca="false">AC11+AC18</f>
        <v>1539.03913273002</v>
      </c>
      <c r="AD20" s="4" t="n">
        <f aca="false">AD11+AD18</f>
        <v>1539.03913273002</v>
      </c>
      <c r="AE20" s="4" t="n">
        <f aca="false">AE11+AE18</f>
        <v>4153.73204939668</v>
      </c>
      <c r="AF20" s="4" t="n">
        <f aca="false">AF11+AF18</f>
        <v>4053.73204939668</v>
      </c>
      <c r="AG20" s="4" t="n">
        <f aca="false">AG11+AG18</f>
        <v>4053.73204939668</v>
      </c>
      <c r="AH20" s="4" t="n">
        <f aca="false">AH11+AH18</f>
        <v>4053.73204939668</v>
      </c>
      <c r="AI20" s="4" t="n">
        <f aca="false">AI11+AI18</f>
        <v>4053.73204939668</v>
      </c>
      <c r="AJ20" s="4" t="n">
        <f aca="false">AJ11+AJ18</f>
        <v>1958.88746606335</v>
      </c>
      <c r="AK20" s="4" t="n">
        <f aca="false">AK11+AK18</f>
        <v>1933.88746606335</v>
      </c>
      <c r="AL20" s="4" t="n">
        <f aca="false">AL11+AL18</f>
        <v>1933.88746606335</v>
      </c>
      <c r="AM20" s="4" t="n">
        <f aca="false">AM11+AM18</f>
        <v>1933.88746606335</v>
      </c>
      <c r="AN20" s="4" t="n">
        <f aca="false">AN11+AN18</f>
        <v>2078.06871606335</v>
      </c>
      <c r="AO20" s="4" t="n">
        <f aca="false">AO11+AO18</f>
        <v>2078.06871606335</v>
      </c>
      <c r="AP20" s="4" t="n">
        <f aca="false">AP11+AP18</f>
        <v>2078.06871606335</v>
      </c>
      <c r="AQ20" s="4" t="n">
        <f aca="false">AQ11+AQ18</f>
        <v>2078.06871606335</v>
      </c>
      <c r="AR20" s="4" t="n">
        <f aca="false">AR11+AR18</f>
        <v>4723.35381410257</v>
      </c>
      <c r="AS20" s="4" t="n">
        <f aca="false">AS11+AS18</f>
        <v>4723.35381410257</v>
      </c>
      <c r="AT20" s="4" t="n">
        <f aca="false">AT11+AT18</f>
        <v>4743.35381410257</v>
      </c>
      <c r="AU20" s="4" t="n">
        <f aca="false">AU11+AU18</f>
        <v>4723.35381410257</v>
      </c>
      <c r="AV20" s="4" t="n">
        <f aca="false">AV11+AV18</f>
        <v>4723.35381410257</v>
      </c>
      <c r="AW20" s="4" t="n">
        <f aca="false">AW11+AW18</f>
        <v>5036.37381410256</v>
      </c>
      <c r="AX20" s="4" t="n">
        <f aca="false">AX11+AX18</f>
        <v>5061.37381410256</v>
      </c>
      <c r="AY20" s="4" t="n">
        <f aca="false">AY11+AY18</f>
        <v>5036.37381410256</v>
      </c>
      <c r="AZ20" s="4" t="n">
        <f aca="false">AZ11+AZ18</f>
        <v>5036.37381410256</v>
      </c>
      <c r="BA20" s="4" t="n">
        <f aca="false">BA11+BA18</f>
        <v>5256.6508974359</v>
      </c>
      <c r="BB20" s="4" t="n">
        <f aca="false">BB11+BB18</f>
        <v>5256.6508974359</v>
      </c>
      <c r="BC20" s="4" t="n">
        <f aca="false">BC11+BC18</f>
        <v>5256.6508974359</v>
      </c>
      <c r="BD20" s="4" t="n">
        <f aca="false">BD11+BD18</f>
        <v>5256.6508974359</v>
      </c>
      <c r="BE20" s="4" t="n">
        <f aca="false">SUM(E20:BD20)</f>
        <v>125075.797916667</v>
      </c>
    </row>
    <row r="21" customFormat="false" ht="15" hidden="false" customHeight="false" outlineLevel="0" collapsed="false">
      <c r="A21" s="4" t="s">
        <v>44</v>
      </c>
      <c r="E21" s="10" t="n">
        <f aca="false">E20*(1+Assumptions!$B$5)</f>
        <v>465.793695512821</v>
      </c>
      <c r="F21" s="10" t="n">
        <f aca="false">F20*(1+Assumptions!$B$5)</f>
        <v>421.793695512821</v>
      </c>
      <c r="G21" s="10" t="n">
        <f aca="false">G20*(1+Assumptions!$B$5)</f>
        <v>421.793695512821</v>
      </c>
      <c r="H21" s="10" t="n">
        <f aca="false">H20*(1+Assumptions!$B$5)</f>
        <v>421.793695512821</v>
      </c>
      <c r="I21" s="10" t="n">
        <f aca="false">I20*(1+Assumptions!$B$5)</f>
        <v>421.793695512821</v>
      </c>
      <c r="J21" s="10" t="n">
        <f aca="false">J20*(1+Assumptions!$B$5)</f>
        <v>602.284337669683</v>
      </c>
      <c r="K21" s="10" t="n">
        <f aca="false">K20*(1+Assumptions!$B$5)</f>
        <v>602.284337669683</v>
      </c>
      <c r="L21" s="10" t="n">
        <f aca="false">L20*(1+Assumptions!$B$5)</f>
        <v>602.284337669683</v>
      </c>
      <c r="M21" s="10" t="n">
        <f aca="false">M20*(1+Assumptions!$B$5)</f>
        <v>602.284337669683</v>
      </c>
      <c r="N21" s="10" t="n">
        <f aca="false">N20*(1+Assumptions!$B$5)</f>
        <v>860.91450433635</v>
      </c>
      <c r="O21" s="10" t="n">
        <f aca="false">O20*(1+Assumptions!$B$5)</f>
        <v>860.91450433635</v>
      </c>
      <c r="P21" s="10" t="n">
        <f aca="false">P20*(1+Assumptions!$B$5)</f>
        <v>860.91450433635</v>
      </c>
      <c r="Q21" s="10" t="n">
        <f aca="false">Q20*(1+Assumptions!$B$5)</f>
        <v>860.91450433635</v>
      </c>
      <c r="R21" s="10" t="n">
        <f aca="false">R20*(1+Assumptions!$B$5)</f>
        <v>1145.58762933635</v>
      </c>
      <c r="S21" s="10" t="n">
        <f aca="false">S20*(1+Assumptions!$B$5)</f>
        <v>1145.58762933635</v>
      </c>
      <c r="T21" s="10" t="n">
        <f aca="false">T20*(1+Assumptions!$B$5)</f>
        <v>1145.58762933635</v>
      </c>
      <c r="U21" s="10" t="n">
        <f aca="false">U20*(1+Assumptions!$B$5)</f>
        <v>1145.58762933635</v>
      </c>
      <c r="V21" s="10" t="n">
        <f aca="false">V20*(1+Assumptions!$B$5)</f>
        <v>1145.58762933635</v>
      </c>
      <c r="W21" s="10" t="n">
        <f aca="false">W20*(1+Assumptions!$B$5)</f>
        <v>1418.75383766968</v>
      </c>
      <c r="X21" s="10" t="n">
        <f aca="false">X20*(1+Assumptions!$B$5)</f>
        <v>1418.75383766968</v>
      </c>
      <c r="Y21" s="10" t="n">
        <f aca="false">Y20*(1+Assumptions!$B$5)</f>
        <v>1418.75383766968</v>
      </c>
      <c r="Z21" s="10" t="n">
        <f aca="false">Z20*(1+Assumptions!$B$5)</f>
        <v>1418.75383766968</v>
      </c>
      <c r="AA21" s="10" t="n">
        <f aca="false">AA20*(1+Assumptions!$B$5)</f>
        <v>1692.94304600302</v>
      </c>
      <c r="AB21" s="10" t="n">
        <f aca="false">AB20*(1+Assumptions!$B$5)</f>
        <v>1692.94304600302</v>
      </c>
      <c r="AC21" s="10" t="n">
        <f aca="false">AC20*(1+Assumptions!$B$5)</f>
        <v>1692.94304600302</v>
      </c>
      <c r="AD21" s="10" t="n">
        <f aca="false">AD20*(1+Assumptions!$B$5)</f>
        <v>1692.94304600302</v>
      </c>
      <c r="AE21" s="10" t="n">
        <f aca="false">AE20*(1+Assumptions!$B$5)</f>
        <v>4569.10525433635</v>
      </c>
      <c r="AF21" s="10" t="n">
        <f aca="false">AF20*(1+Assumptions!$B$5)</f>
        <v>4459.10525433635</v>
      </c>
      <c r="AG21" s="10" t="n">
        <f aca="false">AG20*(1+Assumptions!$B$5)</f>
        <v>4459.10525433635</v>
      </c>
      <c r="AH21" s="10" t="n">
        <f aca="false">AH20*(1+Assumptions!$B$5)</f>
        <v>4459.10525433635</v>
      </c>
      <c r="AI21" s="10" t="n">
        <f aca="false">AI20*(1+Assumptions!$B$5)</f>
        <v>4459.10525433635</v>
      </c>
      <c r="AJ21" s="10" t="n">
        <f aca="false">AJ20*(1+Assumptions!$B$5)</f>
        <v>2154.77621266968</v>
      </c>
      <c r="AK21" s="10" t="n">
        <f aca="false">AK20*(1+Assumptions!$B$5)</f>
        <v>2127.27621266968</v>
      </c>
      <c r="AL21" s="10" t="n">
        <f aca="false">AL20*(1+Assumptions!$B$5)</f>
        <v>2127.27621266968</v>
      </c>
      <c r="AM21" s="10" t="n">
        <f aca="false">AM20*(1+Assumptions!$B$5)</f>
        <v>2127.27621266968</v>
      </c>
      <c r="AN21" s="10" t="n">
        <f aca="false">AN20*(1+Assumptions!$B$5)</f>
        <v>2285.87558766968</v>
      </c>
      <c r="AO21" s="10" t="n">
        <f aca="false">AO20*(1+Assumptions!$B$5)</f>
        <v>2285.87558766968</v>
      </c>
      <c r="AP21" s="10" t="n">
        <f aca="false">AP20*(1+Assumptions!$B$5)</f>
        <v>2285.87558766968</v>
      </c>
      <c r="AQ21" s="10" t="n">
        <f aca="false">AQ20*(1+Assumptions!$B$5)</f>
        <v>2285.87558766968</v>
      </c>
      <c r="AR21" s="10" t="n">
        <f aca="false">AR20*(1+Assumptions!$B$5)</f>
        <v>5195.68919551282</v>
      </c>
      <c r="AS21" s="10" t="n">
        <f aca="false">AS20*(1+Assumptions!$B$5)</f>
        <v>5195.68919551282</v>
      </c>
      <c r="AT21" s="10" t="n">
        <f aca="false">AT20*(1+Assumptions!$B$5)</f>
        <v>5217.68919551282</v>
      </c>
      <c r="AU21" s="10" t="n">
        <f aca="false">AU20*(1+Assumptions!$B$5)</f>
        <v>5195.68919551282</v>
      </c>
      <c r="AV21" s="10" t="n">
        <f aca="false">AV20*(1+Assumptions!$B$5)</f>
        <v>5195.68919551282</v>
      </c>
      <c r="AW21" s="10" t="n">
        <f aca="false">AW20*(1+Assumptions!$B$5)</f>
        <v>5540.01119551282</v>
      </c>
      <c r="AX21" s="10" t="n">
        <f aca="false">AX20*(1+Assumptions!$B$5)</f>
        <v>5567.51119551282</v>
      </c>
      <c r="AY21" s="10" t="n">
        <f aca="false">AY20*(1+Assumptions!$B$5)</f>
        <v>5540.01119551282</v>
      </c>
      <c r="AZ21" s="10" t="n">
        <f aca="false">AZ20*(1+Assumptions!$B$5)</f>
        <v>5540.01119551282</v>
      </c>
      <c r="BA21" s="10" t="n">
        <f aca="false">BA20*(1+Assumptions!$B$5)</f>
        <v>5782.31598717949</v>
      </c>
      <c r="BB21" s="10" t="n">
        <f aca="false">BB20*(1+Assumptions!$B$5)</f>
        <v>5782.31598717949</v>
      </c>
      <c r="BC21" s="10" t="n">
        <f aca="false">BC20*(1+Assumptions!$B$5)</f>
        <v>5782.31598717949</v>
      </c>
      <c r="BD21" s="10" t="n">
        <f aca="false">BD20*(1+Assumptions!$B$5)</f>
        <v>5782.31598717949</v>
      </c>
      <c r="BE21" s="4" t="n">
        <f aca="false">SUM(E21:BD21)</f>
        <v>137583.377708333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6" min="5" style="0" width="11"/>
    <col collapsed="false" customWidth="true" hidden="false" outlineLevel="0" max="57" min="57" style="0" width="14"/>
  </cols>
  <sheetData>
    <row r="1" customFormat="false" ht="17.35" hidden="false" customHeight="false" outlineLevel="0" collapsed="false">
      <c r="A1" s="1" t="s">
        <v>305</v>
      </c>
    </row>
    <row r="3" customFormat="false" ht="15" hidden="false" customHeight="false" outlineLevel="0" collapsed="false">
      <c r="A3" s="0" t="s">
        <v>306</v>
      </c>
    </row>
    <row r="5" customFormat="false" ht="15" hidden="false" customHeight="false" outlineLevel="0" collapsed="false">
      <c r="A5" s="5" t="s">
        <v>307</v>
      </c>
    </row>
    <row r="6" customFormat="false" ht="15" hidden="false" customHeight="false" outlineLevel="0" collapsed="false">
      <c r="A6" s="6" t="s">
        <v>94</v>
      </c>
      <c r="B6" s="6"/>
      <c r="C6" s="6"/>
      <c r="D6" s="6"/>
      <c r="E6" s="6" t="s">
        <v>140</v>
      </c>
      <c r="F6" s="6" t="s">
        <v>141</v>
      </c>
      <c r="G6" s="6" t="s">
        <v>142</v>
      </c>
      <c r="H6" s="6" t="s">
        <v>143</v>
      </c>
      <c r="I6" s="6" t="s">
        <v>144</v>
      </c>
      <c r="J6" s="6" t="s">
        <v>145</v>
      </c>
      <c r="K6" s="6" t="s">
        <v>146</v>
      </c>
      <c r="L6" s="6" t="s">
        <v>147</v>
      </c>
      <c r="M6" s="6" t="s">
        <v>148</v>
      </c>
      <c r="N6" s="6" t="s">
        <v>149</v>
      </c>
      <c r="O6" s="6" t="s">
        <v>150</v>
      </c>
      <c r="P6" s="6" t="s">
        <v>151</v>
      </c>
      <c r="Q6" s="6" t="s">
        <v>152</v>
      </c>
      <c r="R6" s="6" t="s">
        <v>153</v>
      </c>
      <c r="S6" s="6" t="s">
        <v>154</v>
      </c>
      <c r="T6" s="6" t="s">
        <v>155</v>
      </c>
      <c r="U6" s="6" t="s">
        <v>156</v>
      </c>
      <c r="V6" s="6" t="s">
        <v>157</v>
      </c>
      <c r="W6" s="6" t="s">
        <v>158</v>
      </c>
      <c r="X6" s="6" t="s">
        <v>159</v>
      </c>
      <c r="Y6" s="6" t="s">
        <v>160</v>
      </c>
      <c r="Z6" s="6" t="s">
        <v>161</v>
      </c>
      <c r="AA6" s="6" t="s">
        <v>162</v>
      </c>
      <c r="AB6" s="6" t="s">
        <v>163</v>
      </c>
      <c r="AC6" s="6" t="s">
        <v>164</v>
      </c>
      <c r="AD6" s="6" t="s">
        <v>165</v>
      </c>
      <c r="AE6" s="6" t="s">
        <v>166</v>
      </c>
      <c r="AF6" s="6" t="s">
        <v>167</v>
      </c>
      <c r="AG6" s="6" t="s">
        <v>168</v>
      </c>
      <c r="AH6" s="6" t="s">
        <v>169</v>
      </c>
      <c r="AI6" s="6" t="s">
        <v>170</v>
      </c>
      <c r="AJ6" s="6" t="s">
        <v>171</v>
      </c>
      <c r="AK6" s="6" t="s">
        <v>172</v>
      </c>
      <c r="AL6" s="6" t="s">
        <v>173</v>
      </c>
      <c r="AM6" s="6" t="s">
        <v>174</v>
      </c>
      <c r="AN6" s="6" t="s">
        <v>175</v>
      </c>
      <c r="AO6" s="6" t="s">
        <v>176</v>
      </c>
      <c r="AP6" s="6" t="s">
        <v>177</v>
      </c>
      <c r="AQ6" s="6" t="s">
        <v>178</v>
      </c>
      <c r="AR6" s="6" t="s">
        <v>179</v>
      </c>
      <c r="AS6" s="6" t="s">
        <v>180</v>
      </c>
      <c r="AT6" s="6" t="s">
        <v>181</v>
      </c>
      <c r="AU6" s="6" t="s">
        <v>182</v>
      </c>
      <c r="AV6" s="6" t="s">
        <v>183</v>
      </c>
      <c r="AW6" s="6" t="s">
        <v>184</v>
      </c>
      <c r="AX6" s="6" t="s">
        <v>185</v>
      </c>
      <c r="AY6" s="6" t="s">
        <v>186</v>
      </c>
      <c r="AZ6" s="6" t="s">
        <v>187</v>
      </c>
      <c r="BA6" s="6" t="s">
        <v>188</v>
      </c>
      <c r="BB6" s="6" t="s">
        <v>189</v>
      </c>
      <c r="BC6" s="6" t="s">
        <v>190</v>
      </c>
      <c r="BD6" s="6" t="s">
        <v>191</v>
      </c>
      <c r="BE6" s="6" t="s">
        <v>107</v>
      </c>
    </row>
    <row r="7" customFormat="false" ht="15" hidden="false" customHeight="false" outlineLevel="0" collapsed="false">
      <c r="A7" s="0" t="s">
        <v>108</v>
      </c>
      <c r="E7" s="8" t="n">
        <f aca="false">SUMIFS('Forecast Weekly'!E:E,'Forecast Weekly'!$A:$A,$A7)*VLOOKUP($A7,Pricing!$A$6:$D$200,2,FALSE())</f>
        <v>3372.19166666667</v>
      </c>
      <c r="F7" s="8" t="n">
        <f aca="false">SUMIFS('Forecast Weekly'!F:F,'Forecast Weekly'!$A:$A,$A7)*VLOOKUP($A7,Pricing!$A$6:$D$200,2,FALSE())</f>
        <v>3372.19166666667</v>
      </c>
      <c r="G7" s="8" t="n">
        <f aca="false">SUMIFS('Forecast Weekly'!G:G,'Forecast Weekly'!$A:$A,$A7)*VLOOKUP($A7,Pricing!$A$6:$D$200,2,FALSE())</f>
        <v>3372.19166666667</v>
      </c>
      <c r="H7" s="8" t="n">
        <f aca="false">SUMIFS('Forecast Weekly'!H:H,'Forecast Weekly'!$A:$A,$A7)*VLOOKUP($A7,Pricing!$A$6:$D$200,2,FALSE())</f>
        <v>3372.19166666667</v>
      </c>
      <c r="I7" s="8" t="n">
        <f aca="false">SUMIFS('Forecast Weekly'!I:I,'Forecast Weekly'!$A:$A,$A7)*VLOOKUP($A7,Pricing!$A$6:$D$200,2,FALSE())</f>
        <v>3372.19166666667</v>
      </c>
      <c r="J7" s="8" t="n">
        <f aca="false">SUMIFS('Forecast Weekly'!J:J,'Forecast Weekly'!$A:$A,$A7)*VLOOKUP($A7,Pricing!$A$6:$D$200,2,FALSE())</f>
        <v>4849.775</v>
      </c>
      <c r="K7" s="8" t="n">
        <f aca="false">SUMIFS('Forecast Weekly'!K:K,'Forecast Weekly'!$A:$A,$A7)*VLOOKUP($A7,Pricing!$A$6:$D$200,2,FALSE())</f>
        <v>4849.775</v>
      </c>
      <c r="L7" s="8" t="n">
        <f aca="false">SUMIFS('Forecast Weekly'!L:L,'Forecast Weekly'!$A:$A,$A7)*VLOOKUP($A7,Pricing!$A$6:$D$200,2,FALSE())</f>
        <v>4849.775</v>
      </c>
      <c r="M7" s="8" t="n">
        <f aca="false">SUMIFS('Forecast Weekly'!M:M,'Forecast Weekly'!$A:$A,$A7)*VLOOKUP($A7,Pricing!$A$6:$D$200,2,FALSE())</f>
        <v>4849.775</v>
      </c>
      <c r="N7" s="8" t="n">
        <f aca="false">SUMIFS('Forecast Weekly'!N:N,'Forecast Weekly'!$A:$A,$A7)*VLOOKUP($A7,Pricing!$A$6:$D$200,2,FALSE())</f>
        <v>6980.63333333333</v>
      </c>
      <c r="O7" s="8" t="n">
        <f aca="false">SUMIFS('Forecast Weekly'!O:O,'Forecast Weekly'!$A:$A,$A7)*VLOOKUP($A7,Pricing!$A$6:$D$200,2,FALSE())</f>
        <v>6980.63333333333</v>
      </c>
      <c r="P7" s="8" t="n">
        <f aca="false">SUMIFS('Forecast Weekly'!P:P,'Forecast Weekly'!$A:$A,$A7)*VLOOKUP($A7,Pricing!$A$6:$D$200,2,FALSE())</f>
        <v>6980.63333333333</v>
      </c>
      <c r="Q7" s="8" t="n">
        <f aca="false">SUMIFS('Forecast Weekly'!Q:Q,'Forecast Weekly'!$A:$A,$A7)*VLOOKUP($A7,Pricing!$A$6:$D$200,2,FALSE())</f>
        <v>6980.63333333333</v>
      </c>
      <c r="R7" s="8" t="n">
        <f aca="false">SUMIFS('Forecast Weekly'!R:R,'Forecast Weekly'!$A:$A,$A7)*VLOOKUP($A7,Pricing!$A$6:$D$200,2,FALSE())</f>
        <v>9336.30833333333</v>
      </c>
      <c r="S7" s="8" t="n">
        <f aca="false">SUMIFS('Forecast Weekly'!S:S,'Forecast Weekly'!$A:$A,$A7)*VLOOKUP($A7,Pricing!$A$6:$D$200,2,FALSE())</f>
        <v>9336.30833333333</v>
      </c>
      <c r="T7" s="8" t="n">
        <f aca="false">SUMIFS('Forecast Weekly'!T:T,'Forecast Weekly'!$A:$A,$A7)*VLOOKUP($A7,Pricing!$A$6:$D$200,2,FALSE())</f>
        <v>9336.30833333333</v>
      </c>
      <c r="U7" s="8" t="n">
        <f aca="false">SUMIFS('Forecast Weekly'!U:U,'Forecast Weekly'!$A:$A,$A7)*VLOOKUP($A7,Pricing!$A$6:$D$200,2,FALSE())</f>
        <v>9336.30833333333</v>
      </c>
      <c r="V7" s="8" t="n">
        <f aca="false">SUMIFS('Forecast Weekly'!V:V,'Forecast Weekly'!$A:$A,$A7)*VLOOKUP($A7,Pricing!$A$6:$D$200,2,FALSE())</f>
        <v>9336.30833333333</v>
      </c>
      <c r="W7" s="8" t="n">
        <f aca="false">SUMIFS('Forecast Weekly'!W:W,'Forecast Weekly'!$A:$A,$A7)*VLOOKUP($A7,Pricing!$A$6:$D$200,2,FALSE())</f>
        <v>11554.0833333333</v>
      </c>
      <c r="X7" s="8" t="n">
        <f aca="false">SUMIFS('Forecast Weekly'!X:X,'Forecast Weekly'!$A:$A,$A7)*VLOOKUP($A7,Pricing!$A$6:$D$200,2,FALSE())</f>
        <v>11554.0833333333</v>
      </c>
      <c r="Y7" s="8" t="n">
        <f aca="false">SUMIFS('Forecast Weekly'!Y:Y,'Forecast Weekly'!$A:$A,$A7)*VLOOKUP($A7,Pricing!$A$6:$D$200,2,FALSE())</f>
        <v>11554.0833333333</v>
      </c>
      <c r="Z7" s="8" t="n">
        <f aca="false">SUMIFS('Forecast Weekly'!Z:Z,'Forecast Weekly'!$A:$A,$A7)*VLOOKUP($A7,Pricing!$A$6:$D$200,2,FALSE())</f>
        <v>11554.0833333333</v>
      </c>
      <c r="AA7" s="8" t="n">
        <f aca="false">SUMIFS('Forecast Weekly'!AA:AA,'Forecast Weekly'!$A:$A,$A7)*VLOOKUP($A7,Pricing!$A$6:$D$200,2,FALSE())</f>
        <v>13757.3916666667</v>
      </c>
      <c r="AB7" s="8" t="n">
        <f aca="false">SUMIFS('Forecast Weekly'!AB:AB,'Forecast Weekly'!$A:$A,$A7)*VLOOKUP($A7,Pricing!$A$6:$D$200,2,FALSE())</f>
        <v>13757.3916666667</v>
      </c>
      <c r="AC7" s="8" t="n">
        <f aca="false">SUMIFS('Forecast Weekly'!AC:AC,'Forecast Weekly'!$A:$A,$A7)*VLOOKUP($A7,Pricing!$A$6:$D$200,2,FALSE())</f>
        <v>13757.3916666667</v>
      </c>
      <c r="AD7" s="8" t="n">
        <f aca="false">SUMIFS('Forecast Weekly'!AD:AD,'Forecast Weekly'!$A:$A,$A7)*VLOOKUP($A7,Pricing!$A$6:$D$200,2,FALSE())</f>
        <v>13757.3916666667</v>
      </c>
      <c r="AE7" s="8" t="n">
        <f aca="false">SUMIFS('Forecast Weekly'!AE:AE,'Forecast Weekly'!$A:$A,$A7)*VLOOKUP($A7,Pricing!$A$6:$D$200,2,FALSE())</f>
        <v>37050.1833333333</v>
      </c>
      <c r="AF7" s="8" t="n">
        <f aca="false">SUMIFS('Forecast Weekly'!AF:AF,'Forecast Weekly'!$A:$A,$A7)*VLOOKUP($A7,Pricing!$A$6:$D$200,2,FALSE())</f>
        <v>37050.1833333333</v>
      </c>
      <c r="AG7" s="8" t="n">
        <f aca="false">SUMIFS('Forecast Weekly'!AG:AG,'Forecast Weekly'!$A:$A,$A7)*VLOOKUP($A7,Pricing!$A$6:$D$200,2,FALSE())</f>
        <v>37050.1833333333</v>
      </c>
      <c r="AH7" s="8" t="n">
        <f aca="false">SUMIFS('Forecast Weekly'!AH:AH,'Forecast Weekly'!$A:$A,$A7)*VLOOKUP($A7,Pricing!$A$6:$D$200,2,FALSE())</f>
        <v>37050.1833333333</v>
      </c>
      <c r="AI7" s="8" t="n">
        <f aca="false">SUMIFS('Forecast Weekly'!AI:AI,'Forecast Weekly'!$A:$A,$A7)*VLOOKUP($A7,Pricing!$A$6:$D$200,2,FALSE())</f>
        <v>37050.1833333333</v>
      </c>
      <c r="AJ7" s="8" t="n">
        <f aca="false">SUMIFS('Forecast Weekly'!AJ:AJ,'Forecast Weekly'!$A:$A,$A7)*VLOOKUP($A7,Pricing!$A$6:$D$200,2,FALSE())</f>
        <v>17193.5166666667</v>
      </c>
      <c r="AK7" s="8" t="n">
        <f aca="false">SUMIFS('Forecast Weekly'!AK:AK,'Forecast Weekly'!$A:$A,$A7)*VLOOKUP($A7,Pricing!$A$6:$D$200,2,FALSE())</f>
        <v>17193.5166666667</v>
      </c>
      <c r="AL7" s="8" t="n">
        <f aca="false">SUMIFS('Forecast Weekly'!AL:AL,'Forecast Weekly'!$A:$A,$A7)*VLOOKUP($A7,Pricing!$A$6:$D$200,2,FALSE())</f>
        <v>17193.5166666667</v>
      </c>
      <c r="AM7" s="8" t="n">
        <f aca="false">SUMIFS('Forecast Weekly'!AM:AM,'Forecast Weekly'!$A:$A,$A7)*VLOOKUP($A7,Pricing!$A$6:$D$200,2,FALSE())</f>
        <v>17193.5166666667</v>
      </c>
      <c r="AN7" s="8" t="n">
        <f aca="false">SUMIFS('Forecast Weekly'!AN:AN,'Forecast Weekly'!$A:$A,$A7)*VLOOKUP($A7,Pricing!$A$6:$D$200,2,FALSE())</f>
        <v>18456.9583333333</v>
      </c>
      <c r="AO7" s="8" t="n">
        <f aca="false">SUMIFS('Forecast Weekly'!AO:AO,'Forecast Weekly'!$A:$A,$A7)*VLOOKUP($A7,Pricing!$A$6:$D$200,2,FALSE())</f>
        <v>18456.9583333333</v>
      </c>
      <c r="AP7" s="8" t="n">
        <f aca="false">SUMIFS('Forecast Weekly'!AP:AP,'Forecast Weekly'!$A:$A,$A7)*VLOOKUP($A7,Pricing!$A$6:$D$200,2,FALSE())</f>
        <v>18456.9583333333</v>
      </c>
      <c r="AQ7" s="8" t="n">
        <f aca="false">SUMIFS('Forecast Weekly'!AQ:AQ,'Forecast Weekly'!$A:$A,$A7)*VLOOKUP($A7,Pricing!$A$6:$D$200,2,FALSE())</f>
        <v>18456.9583333333</v>
      </c>
      <c r="AR7" s="8" t="n">
        <f aca="false">SUMIFS('Forecast Weekly'!AR:AR,'Forecast Weekly'!$A:$A,$A7)*VLOOKUP($A7,Pricing!$A$6:$D$200,2,FALSE())</f>
        <v>43087.5666666667</v>
      </c>
      <c r="AS7" s="8" t="n">
        <f aca="false">SUMIFS('Forecast Weekly'!AS:AS,'Forecast Weekly'!$A:$A,$A7)*VLOOKUP($A7,Pricing!$A$6:$D$200,2,FALSE())</f>
        <v>43087.5666666667</v>
      </c>
      <c r="AT7" s="8" t="n">
        <f aca="false">SUMIFS('Forecast Weekly'!AT:AT,'Forecast Weekly'!$A:$A,$A7)*VLOOKUP($A7,Pricing!$A$6:$D$200,2,FALSE())</f>
        <v>43087.5666666667</v>
      </c>
      <c r="AU7" s="8" t="n">
        <f aca="false">SUMIFS('Forecast Weekly'!AU:AU,'Forecast Weekly'!$A:$A,$A7)*VLOOKUP($A7,Pricing!$A$6:$D$200,2,FALSE())</f>
        <v>43087.5666666667</v>
      </c>
      <c r="AV7" s="8" t="n">
        <f aca="false">SUMIFS('Forecast Weekly'!AV:AV,'Forecast Weekly'!$A:$A,$A7)*VLOOKUP($A7,Pricing!$A$6:$D$200,2,FALSE())</f>
        <v>43087.5666666667</v>
      </c>
      <c r="AW7" s="8" t="n">
        <f aca="false">SUMIFS('Forecast Weekly'!AW:AW,'Forecast Weekly'!$A:$A,$A7)*VLOOKUP($A7,Pricing!$A$6:$D$200,2,FALSE())</f>
        <v>45969.35</v>
      </c>
      <c r="AX7" s="8" t="n">
        <f aca="false">SUMIFS('Forecast Weekly'!AX:AX,'Forecast Weekly'!$A:$A,$A7)*VLOOKUP($A7,Pricing!$A$6:$D$200,2,FALSE())</f>
        <v>45969.35</v>
      </c>
      <c r="AY7" s="8" t="n">
        <f aca="false">SUMIFS('Forecast Weekly'!AY:AY,'Forecast Weekly'!$A:$A,$A7)*VLOOKUP($A7,Pricing!$A$6:$D$200,2,FALSE())</f>
        <v>45969.35</v>
      </c>
      <c r="AZ7" s="8" t="n">
        <f aca="false">SUMIFS('Forecast Weekly'!AZ:AZ,'Forecast Weekly'!$A:$A,$A7)*VLOOKUP($A7,Pricing!$A$6:$D$200,2,FALSE())</f>
        <v>45969.35</v>
      </c>
      <c r="BA7" s="8" t="n">
        <f aca="false">SUMIFS('Forecast Weekly'!BA:BA,'Forecast Weekly'!$A:$A,$A7)*VLOOKUP($A7,Pricing!$A$6:$D$200,2,FALSE())</f>
        <v>47988.7333333333</v>
      </c>
      <c r="BB7" s="8" t="n">
        <f aca="false">SUMIFS('Forecast Weekly'!BB:BB,'Forecast Weekly'!$A:$A,$A7)*VLOOKUP($A7,Pricing!$A$6:$D$200,2,FALSE())</f>
        <v>47988.7333333333</v>
      </c>
      <c r="BC7" s="8" t="n">
        <f aca="false">SUMIFS('Forecast Weekly'!BC:BC,'Forecast Weekly'!$A:$A,$A7)*VLOOKUP($A7,Pricing!$A$6:$D$200,2,FALSE())</f>
        <v>47988.7333333333</v>
      </c>
      <c r="BD7" s="8" t="n">
        <f aca="false">SUMIFS('Forecast Weekly'!BD:BD,'Forecast Weekly'!$A:$A,$A7)*VLOOKUP($A7,Pricing!$A$6:$D$200,2,FALSE())</f>
        <v>47988.7333333333</v>
      </c>
      <c r="BE7" s="29" t="n">
        <f aca="false">SUM(E7:BD7)</f>
        <v>1131233.01666667</v>
      </c>
    </row>
    <row r="8" customFormat="false" ht="15" hidden="false" customHeight="false" outlineLevel="0" collapsed="false">
      <c r="A8" s="0" t="s">
        <v>109</v>
      </c>
      <c r="E8" s="8" t="n">
        <f aca="false">SUMIFS('Forecast Weekly'!E:E,'Forecast Weekly'!$A:$A,$A8)*VLOOKUP($A8,Pricing!$A$6:$D$200,2,FALSE())</f>
        <v>3189.725</v>
      </c>
      <c r="F8" s="8" t="n">
        <f aca="false">SUMIFS('Forecast Weekly'!F:F,'Forecast Weekly'!$A:$A,$A8)*VLOOKUP($A8,Pricing!$A$6:$D$200,2,FALSE())</f>
        <v>3189.725</v>
      </c>
      <c r="G8" s="8" t="n">
        <f aca="false">SUMIFS('Forecast Weekly'!G:G,'Forecast Weekly'!$A:$A,$A8)*VLOOKUP($A8,Pricing!$A$6:$D$200,2,FALSE())</f>
        <v>3189.725</v>
      </c>
      <c r="H8" s="8" t="n">
        <f aca="false">SUMIFS('Forecast Weekly'!H:H,'Forecast Weekly'!$A:$A,$A8)*VLOOKUP($A8,Pricing!$A$6:$D$200,2,FALSE())</f>
        <v>3189.725</v>
      </c>
      <c r="I8" s="8" t="n">
        <f aca="false">SUMIFS('Forecast Weekly'!I:I,'Forecast Weekly'!$A:$A,$A8)*VLOOKUP($A8,Pricing!$A$6:$D$200,2,FALSE())</f>
        <v>3189.725</v>
      </c>
      <c r="J8" s="8" t="n">
        <f aca="false">SUMIFS('Forecast Weekly'!J:J,'Forecast Weekly'!$A:$A,$A8)*VLOOKUP($A8,Pricing!$A$6:$D$200,2,FALSE())</f>
        <v>4608.975</v>
      </c>
      <c r="K8" s="8" t="n">
        <f aca="false">SUMIFS('Forecast Weekly'!K:K,'Forecast Weekly'!$A:$A,$A8)*VLOOKUP($A8,Pricing!$A$6:$D$200,2,FALSE())</f>
        <v>4608.975</v>
      </c>
      <c r="L8" s="8" t="n">
        <f aca="false">SUMIFS('Forecast Weekly'!L:L,'Forecast Weekly'!$A:$A,$A8)*VLOOKUP($A8,Pricing!$A$6:$D$200,2,FALSE())</f>
        <v>4608.975</v>
      </c>
      <c r="M8" s="8" t="n">
        <f aca="false">SUMIFS('Forecast Weekly'!M:M,'Forecast Weekly'!$A:$A,$A8)*VLOOKUP($A8,Pricing!$A$6:$D$200,2,FALSE())</f>
        <v>4608.975</v>
      </c>
      <c r="N8" s="8" t="n">
        <f aca="false">SUMIFS('Forecast Weekly'!N:N,'Forecast Weekly'!$A:$A,$A8)*VLOOKUP($A8,Pricing!$A$6:$D$200,2,FALSE())</f>
        <v>6639.61666666667</v>
      </c>
      <c r="O8" s="8" t="n">
        <f aca="false">SUMIFS('Forecast Weekly'!O:O,'Forecast Weekly'!$A:$A,$A8)*VLOOKUP($A8,Pricing!$A$6:$D$200,2,FALSE())</f>
        <v>6639.61666666667</v>
      </c>
      <c r="P8" s="8" t="n">
        <f aca="false">SUMIFS('Forecast Weekly'!P:P,'Forecast Weekly'!$A:$A,$A8)*VLOOKUP($A8,Pricing!$A$6:$D$200,2,FALSE())</f>
        <v>6639.61666666667</v>
      </c>
      <c r="Q8" s="8" t="n">
        <f aca="false">SUMIFS('Forecast Weekly'!Q:Q,'Forecast Weekly'!$A:$A,$A8)*VLOOKUP($A8,Pricing!$A$6:$D$200,2,FALSE())</f>
        <v>6639.61666666667</v>
      </c>
      <c r="R8" s="8" t="n">
        <f aca="false">SUMIFS('Forecast Weekly'!R:R,'Forecast Weekly'!$A:$A,$A8)*VLOOKUP($A8,Pricing!$A$6:$D$200,2,FALSE())</f>
        <v>8859.49166666667</v>
      </c>
      <c r="S8" s="8" t="n">
        <f aca="false">SUMIFS('Forecast Weekly'!S:S,'Forecast Weekly'!$A:$A,$A8)*VLOOKUP($A8,Pricing!$A$6:$D$200,2,FALSE())</f>
        <v>8859.49166666667</v>
      </c>
      <c r="T8" s="8" t="n">
        <f aca="false">SUMIFS('Forecast Weekly'!T:T,'Forecast Weekly'!$A:$A,$A8)*VLOOKUP($A8,Pricing!$A$6:$D$200,2,FALSE())</f>
        <v>8859.49166666667</v>
      </c>
      <c r="U8" s="8" t="n">
        <f aca="false">SUMIFS('Forecast Weekly'!U:U,'Forecast Weekly'!$A:$A,$A8)*VLOOKUP($A8,Pricing!$A$6:$D$200,2,FALSE())</f>
        <v>8859.49166666667</v>
      </c>
      <c r="V8" s="8" t="n">
        <f aca="false">SUMIFS('Forecast Weekly'!V:V,'Forecast Weekly'!$A:$A,$A8)*VLOOKUP($A8,Pricing!$A$6:$D$200,2,FALSE())</f>
        <v>8859.49166666667</v>
      </c>
      <c r="W8" s="8" t="n">
        <f aca="false">SUMIFS('Forecast Weekly'!W:W,'Forecast Weekly'!$A:$A,$A8)*VLOOKUP($A8,Pricing!$A$6:$D$200,2,FALSE())</f>
        <v>10930.3833333333</v>
      </c>
      <c r="X8" s="8" t="n">
        <f aca="false">SUMIFS('Forecast Weekly'!X:X,'Forecast Weekly'!$A:$A,$A8)*VLOOKUP($A8,Pricing!$A$6:$D$200,2,FALSE())</f>
        <v>10930.3833333333</v>
      </c>
      <c r="Y8" s="8" t="n">
        <f aca="false">SUMIFS('Forecast Weekly'!Y:Y,'Forecast Weekly'!$A:$A,$A8)*VLOOKUP($A8,Pricing!$A$6:$D$200,2,FALSE())</f>
        <v>10930.3833333333</v>
      </c>
      <c r="Z8" s="8" t="n">
        <f aca="false">SUMIFS('Forecast Weekly'!Z:Z,'Forecast Weekly'!$A:$A,$A8)*VLOOKUP($A8,Pricing!$A$6:$D$200,2,FALSE())</f>
        <v>10930.3833333333</v>
      </c>
      <c r="AA8" s="8" t="n">
        <f aca="false">SUMIFS('Forecast Weekly'!AA:AA,'Forecast Weekly'!$A:$A,$A8)*VLOOKUP($A8,Pricing!$A$6:$D$200,2,FALSE())</f>
        <v>12966.0416666667</v>
      </c>
      <c r="AB8" s="8" t="n">
        <f aca="false">SUMIFS('Forecast Weekly'!AB:AB,'Forecast Weekly'!$A:$A,$A8)*VLOOKUP($A8,Pricing!$A$6:$D$200,2,FALSE())</f>
        <v>12966.0416666667</v>
      </c>
      <c r="AC8" s="8" t="n">
        <f aca="false">SUMIFS('Forecast Weekly'!AC:AC,'Forecast Weekly'!$A:$A,$A8)*VLOOKUP($A8,Pricing!$A$6:$D$200,2,FALSE())</f>
        <v>12966.0416666667</v>
      </c>
      <c r="AD8" s="8" t="n">
        <f aca="false">SUMIFS('Forecast Weekly'!AD:AD,'Forecast Weekly'!$A:$A,$A8)*VLOOKUP($A8,Pricing!$A$6:$D$200,2,FALSE())</f>
        <v>12966.0416666667</v>
      </c>
      <c r="AE8" s="8" t="n">
        <f aca="false">SUMIFS('Forecast Weekly'!AE:AE,'Forecast Weekly'!$A:$A,$A8)*VLOOKUP($A8,Pricing!$A$6:$D$200,2,FALSE())</f>
        <v>34006.7</v>
      </c>
      <c r="AF8" s="8" t="n">
        <f aca="false">SUMIFS('Forecast Weekly'!AF:AF,'Forecast Weekly'!$A:$A,$A8)*VLOOKUP($A8,Pricing!$A$6:$D$200,2,FALSE())</f>
        <v>34006.7</v>
      </c>
      <c r="AG8" s="8" t="n">
        <f aca="false">SUMIFS('Forecast Weekly'!AG:AG,'Forecast Weekly'!$A:$A,$A8)*VLOOKUP($A8,Pricing!$A$6:$D$200,2,FALSE())</f>
        <v>34006.7</v>
      </c>
      <c r="AH8" s="8" t="n">
        <f aca="false">SUMIFS('Forecast Weekly'!AH:AH,'Forecast Weekly'!$A:$A,$A8)*VLOOKUP($A8,Pricing!$A$6:$D$200,2,FALSE())</f>
        <v>34006.7</v>
      </c>
      <c r="AI8" s="8" t="n">
        <f aca="false">SUMIFS('Forecast Weekly'!AI:AI,'Forecast Weekly'!$A:$A,$A8)*VLOOKUP($A8,Pricing!$A$6:$D$200,2,FALSE())</f>
        <v>34006.7</v>
      </c>
      <c r="AJ8" s="8" t="n">
        <f aca="false">SUMIFS('Forecast Weekly'!AJ:AJ,'Forecast Weekly'!$A:$A,$A8)*VLOOKUP($A8,Pricing!$A$6:$D$200,2,FALSE())</f>
        <v>16109.9166666667</v>
      </c>
      <c r="AK8" s="8" t="n">
        <f aca="false">SUMIFS('Forecast Weekly'!AK:AK,'Forecast Weekly'!$A:$A,$A8)*VLOOKUP($A8,Pricing!$A$6:$D$200,2,FALSE())</f>
        <v>16109.9166666667</v>
      </c>
      <c r="AL8" s="8" t="n">
        <f aca="false">SUMIFS('Forecast Weekly'!AL:AL,'Forecast Weekly'!$A:$A,$A8)*VLOOKUP($A8,Pricing!$A$6:$D$200,2,FALSE())</f>
        <v>16109.9166666667</v>
      </c>
      <c r="AM8" s="8" t="n">
        <f aca="false">SUMIFS('Forecast Weekly'!AM:AM,'Forecast Weekly'!$A:$A,$A8)*VLOOKUP($A8,Pricing!$A$6:$D$200,2,FALSE())</f>
        <v>16109.9166666667</v>
      </c>
      <c r="AN8" s="8" t="n">
        <f aca="false">SUMIFS('Forecast Weekly'!AN:AN,'Forecast Weekly'!$A:$A,$A8)*VLOOKUP($A8,Pricing!$A$6:$D$200,2,FALSE())</f>
        <v>17250.3916666667</v>
      </c>
      <c r="AO8" s="8" t="n">
        <f aca="false">SUMIFS('Forecast Weekly'!AO:AO,'Forecast Weekly'!$A:$A,$A8)*VLOOKUP($A8,Pricing!$A$6:$D$200,2,FALSE())</f>
        <v>17250.3916666667</v>
      </c>
      <c r="AP8" s="8" t="n">
        <f aca="false">SUMIFS('Forecast Weekly'!AP:AP,'Forecast Weekly'!$A:$A,$A8)*VLOOKUP($A8,Pricing!$A$6:$D$200,2,FALSE())</f>
        <v>17250.3916666667</v>
      </c>
      <c r="AQ8" s="8" t="n">
        <f aca="false">SUMIFS('Forecast Weekly'!AQ:AQ,'Forecast Weekly'!$A:$A,$A8)*VLOOKUP($A8,Pricing!$A$6:$D$200,2,FALSE())</f>
        <v>17250.3916666667</v>
      </c>
      <c r="AR8" s="8" t="n">
        <f aca="false">SUMIFS('Forecast Weekly'!AR:AR,'Forecast Weekly'!$A:$A,$A8)*VLOOKUP($A8,Pricing!$A$6:$D$200,2,FALSE())</f>
        <v>39475.6833333333</v>
      </c>
      <c r="AS8" s="8" t="n">
        <f aca="false">SUMIFS('Forecast Weekly'!AS:AS,'Forecast Weekly'!$A:$A,$A8)*VLOOKUP($A8,Pricing!$A$6:$D$200,2,FALSE())</f>
        <v>39475.6833333333</v>
      </c>
      <c r="AT8" s="8" t="n">
        <f aca="false">SUMIFS('Forecast Weekly'!AT:AT,'Forecast Weekly'!$A:$A,$A8)*VLOOKUP($A8,Pricing!$A$6:$D$200,2,FALSE())</f>
        <v>39475.6833333333</v>
      </c>
      <c r="AU8" s="8" t="n">
        <f aca="false">SUMIFS('Forecast Weekly'!AU:AU,'Forecast Weekly'!$A:$A,$A8)*VLOOKUP($A8,Pricing!$A$6:$D$200,2,FALSE())</f>
        <v>39475.6833333333</v>
      </c>
      <c r="AV8" s="8" t="n">
        <f aca="false">SUMIFS('Forecast Weekly'!AV:AV,'Forecast Weekly'!$A:$A,$A8)*VLOOKUP($A8,Pricing!$A$6:$D$200,2,FALSE())</f>
        <v>39475.6833333333</v>
      </c>
      <c r="AW8" s="8" t="n">
        <f aca="false">SUMIFS('Forecast Weekly'!AW:AW,'Forecast Weekly'!$A:$A,$A8)*VLOOKUP($A8,Pricing!$A$6:$D$200,2,FALSE())</f>
        <v>42069.0666666667</v>
      </c>
      <c r="AX8" s="8" t="n">
        <f aca="false">SUMIFS('Forecast Weekly'!AX:AX,'Forecast Weekly'!$A:$A,$A8)*VLOOKUP($A8,Pricing!$A$6:$D$200,2,FALSE())</f>
        <v>42069.0666666667</v>
      </c>
      <c r="AY8" s="8" t="n">
        <f aca="false">SUMIFS('Forecast Weekly'!AY:AY,'Forecast Weekly'!$A:$A,$A8)*VLOOKUP($A8,Pricing!$A$6:$D$200,2,FALSE())</f>
        <v>42069.0666666667</v>
      </c>
      <c r="AZ8" s="8" t="n">
        <f aca="false">SUMIFS('Forecast Weekly'!AZ:AZ,'Forecast Weekly'!$A:$A,$A8)*VLOOKUP($A8,Pricing!$A$6:$D$200,2,FALSE())</f>
        <v>42069.0666666667</v>
      </c>
      <c r="BA8" s="8" t="n">
        <f aca="false">SUMIFS('Forecast Weekly'!BA:BA,'Forecast Weekly'!$A:$A,$A8)*VLOOKUP($A8,Pricing!$A$6:$D$200,2,FALSE())</f>
        <v>43885.5666666667</v>
      </c>
      <c r="BB8" s="8" t="n">
        <f aca="false">SUMIFS('Forecast Weekly'!BB:BB,'Forecast Weekly'!$A:$A,$A8)*VLOOKUP($A8,Pricing!$A$6:$D$200,2,FALSE())</f>
        <v>43885.5666666667</v>
      </c>
      <c r="BC8" s="8" t="n">
        <f aca="false">SUMIFS('Forecast Weekly'!BC:BC,'Forecast Weekly'!$A:$A,$A8)*VLOOKUP($A8,Pricing!$A$6:$D$200,2,FALSE())</f>
        <v>43885.5666666667</v>
      </c>
      <c r="BD8" s="8" t="n">
        <f aca="false">SUMIFS('Forecast Weekly'!BD:BD,'Forecast Weekly'!$A:$A,$A8)*VLOOKUP($A8,Pricing!$A$6:$D$200,2,FALSE())</f>
        <v>43885.5666666667</v>
      </c>
      <c r="BE8" s="29" t="n">
        <f aca="false">SUM(E8:BD8)</f>
        <v>1045497.83333333</v>
      </c>
    </row>
    <row r="9" customFormat="false" ht="15" hidden="false" customHeight="false" outlineLevel="0" collapsed="false">
      <c r="A9" s="0" t="s">
        <v>110</v>
      </c>
      <c r="E9" s="8" t="n">
        <f aca="false">SUMIFS('Forecast Weekly'!E:E,'Forecast Weekly'!$A:$A,$A9)*VLOOKUP($A9,Pricing!$A$6:$D$200,2,FALSE())</f>
        <v>3500.99166666667</v>
      </c>
      <c r="F9" s="8" t="n">
        <f aca="false">SUMIFS('Forecast Weekly'!F:F,'Forecast Weekly'!$A:$A,$A9)*VLOOKUP($A9,Pricing!$A$6:$D$200,2,FALSE())</f>
        <v>3500.99166666667</v>
      </c>
      <c r="G9" s="8" t="n">
        <f aca="false">SUMIFS('Forecast Weekly'!G:G,'Forecast Weekly'!$A:$A,$A9)*VLOOKUP($A9,Pricing!$A$6:$D$200,2,FALSE())</f>
        <v>3500.99166666667</v>
      </c>
      <c r="H9" s="8" t="n">
        <f aca="false">SUMIFS('Forecast Weekly'!H:H,'Forecast Weekly'!$A:$A,$A9)*VLOOKUP($A9,Pricing!$A$6:$D$200,2,FALSE())</f>
        <v>3500.99166666667</v>
      </c>
      <c r="I9" s="8" t="n">
        <f aca="false">SUMIFS('Forecast Weekly'!I:I,'Forecast Weekly'!$A:$A,$A9)*VLOOKUP($A9,Pricing!$A$6:$D$200,2,FALSE())</f>
        <v>3500.99166666667</v>
      </c>
      <c r="J9" s="8" t="n">
        <f aca="false">SUMIFS('Forecast Weekly'!J:J,'Forecast Weekly'!$A:$A,$A9)*VLOOKUP($A9,Pricing!$A$6:$D$200,2,FALSE())</f>
        <v>5017.775</v>
      </c>
      <c r="K9" s="8" t="n">
        <f aca="false">SUMIFS('Forecast Weekly'!K:K,'Forecast Weekly'!$A:$A,$A9)*VLOOKUP($A9,Pricing!$A$6:$D$200,2,FALSE())</f>
        <v>5017.775</v>
      </c>
      <c r="L9" s="8" t="n">
        <f aca="false">SUMIFS('Forecast Weekly'!L:L,'Forecast Weekly'!$A:$A,$A9)*VLOOKUP($A9,Pricing!$A$6:$D$200,2,FALSE())</f>
        <v>5017.775</v>
      </c>
      <c r="M9" s="8" t="n">
        <f aca="false">SUMIFS('Forecast Weekly'!M:M,'Forecast Weekly'!$A:$A,$A9)*VLOOKUP($A9,Pricing!$A$6:$D$200,2,FALSE())</f>
        <v>5017.775</v>
      </c>
      <c r="N9" s="8" t="n">
        <f aca="false">SUMIFS('Forecast Weekly'!N:N,'Forecast Weekly'!$A:$A,$A9)*VLOOKUP($A9,Pricing!$A$6:$D$200,2,FALSE())</f>
        <v>7221.25833333333</v>
      </c>
      <c r="O9" s="8" t="n">
        <f aca="false">SUMIFS('Forecast Weekly'!O:O,'Forecast Weekly'!$A:$A,$A9)*VLOOKUP($A9,Pricing!$A$6:$D$200,2,FALSE())</f>
        <v>7221.25833333333</v>
      </c>
      <c r="P9" s="8" t="n">
        <f aca="false">SUMIFS('Forecast Weekly'!P:P,'Forecast Weekly'!$A:$A,$A9)*VLOOKUP($A9,Pricing!$A$6:$D$200,2,FALSE())</f>
        <v>7221.25833333333</v>
      </c>
      <c r="Q9" s="8" t="n">
        <f aca="false">SUMIFS('Forecast Weekly'!Q:Q,'Forecast Weekly'!$A:$A,$A9)*VLOOKUP($A9,Pricing!$A$6:$D$200,2,FALSE())</f>
        <v>7221.25833333333</v>
      </c>
      <c r="R9" s="8" t="n">
        <f aca="false">SUMIFS('Forecast Weekly'!R:R,'Forecast Weekly'!$A:$A,$A9)*VLOOKUP($A9,Pricing!$A$6:$D$200,2,FALSE())</f>
        <v>9677.73333333333</v>
      </c>
      <c r="S9" s="8" t="n">
        <f aca="false">SUMIFS('Forecast Weekly'!S:S,'Forecast Weekly'!$A:$A,$A9)*VLOOKUP($A9,Pricing!$A$6:$D$200,2,FALSE())</f>
        <v>9677.73333333333</v>
      </c>
      <c r="T9" s="8" t="n">
        <f aca="false">SUMIFS('Forecast Weekly'!T:T,'Forecast Weekly'!$A:$A,$A9)*VLOOKUP($A9,Pricing!$A$6:$D$200,2,FALSE())</f>
        <v>9677.73333333333</v>
      </c>
      <c r="U9" s="8" t="n">
        <f aca="false">SUMIFS('Forecast Weekly'!U:U,'Forecast Weekly'!$A:$A,$A9)*VLOOKUP($A9,Pricing!$A$6:$D$200,2,FALSE())</f>
        <v>9677.73333333333</v>
      </c>
      <c r="V9" s="8" t="n">
        <f aca="false">SUMIFS('Forecast Weekly'!V:V,'Forecast Weekly'!$A:$A,$A9)*VLOOKUP($A9,Pricing!$A$6:$D$200,2,FALSE())</f>
        <v>9677.73333333333</v>
      </c>
      <c r="W9" s="8" t="n">
        <f aca="false">SUMIFS('Forecast Weekly'!W:W,'Forecast Weekly'!$A:$A,$A9)*VLOOKUP($A9,Pricing!$A$6:$D$200,2,FALSE())</f>
        <v>12003.4833333333</v>
      </c>
      <c r="X9" s="8" t="n">
        <f aca="false">SUMIFS('Forecast Weekly'!X:X,'Forecast Weekly'!$A:$A,$A9)*VLOOKUP($A9,Pricing!$A$6:$D$200,2,FALSE())</f>
        <v>12003.4833333333</v>
      </c>
      <c r="Y9" s="8" t="n">
        <f aca="false">SUMIFS('Forecast Weekly'!Y:Y,'Forecast Weekly'!$A:$A,$A9)*VLOOKUP($A9,Pricing!$A$6:$D$200,2,FALSE())</f>
        <v>12003.4833333333</v>
      </c>
      <c r="Z9" s="8" t="n">
        <f aca="false">SUMIFS('Forecast Weekly'!Z:Z,'Forecast Weekly'!$A:$A,$A9)*VLOOKUP($A9,Pricing!$A$6:$D$200,2,FALSE())</f>
        <v>12003.4833333333</v>
      </c>
      <c r="AA9" s="8" t="n">
        <f aca="false">SUMIFS('Forecast Weekly'!AA:AA,'Forecast Weekly'!$A:$A,$A9)*VLOOKUP($A9,Pricing!$A$6:$D$200,2,FALSE())</f>
        <v>14331.2166666667</v>
      </c>
      <c r="AB9" s="8" t="n">
        <f aca="false">SUMIFS('Forecast Weekly'!AB:AB,'Forecast Weekly'!$A:$A,$A9)*VLOOKUP($A9,Pricing!$A$6:$D$200,2,FALSE())</f>
        <v>14331.2166666667</v>
      </c>
      <c r="AC9" s="8" t="n">
        <f aca="false">SUMIFS('Forecast Weekly'!AC:AC,'Forecast Weekly'!$A:$A,$A9)*VLOOKUP($A9,Pricing!$A$6:$D$200,2,FALSE())</f>
        <v>14331.2166666667</v>
      </c>
      <c r="AD9" s="8" t="n">
        <f aca="false">SUMIFS('Forecast Weekly'!AD:AD,'Forecast Weekly'!$A:$A,$A9)*VLOOKUP($A9,Pricing!$A$6:$D$200,2,FALSE())</f>
        <v>14331.2166666667</v>
      </c>
      <c r="AE9" s="8" t="n">
        <f aca="false">SUMIFS('Forecast Weekly'!AE:AE,'Forecast Weekly'!$A:$A,$A9)*VLOOKUP($A9,Pricing!$A$6:$D$200,2,FALSE())</f>
        <v>39835.6583333333</v>
      </c>
      <c r="AF9" s="8" t="n">
        <f aca="false">SUMIFS('Forecast Weekly'!AF:AF,'Forecast Weekly'!$A:$A,$A9)*VLOOKUP($A9,Pricing!$A$6:$D$200,2,FALSE())</f>
        <v>39835.6583333333</v>
      </c>
      <c r="AG9" s="8" t="n">
        <f aca="false">SUMIFS('Forecast Weekly'!AG:AG,'Forecast Weekly'!$A:$A,$A9)*VLOOKUP($A9,Pricing!$A$6:$D$200,2,FALSE())</f>
        <v>39835.6583333333</v>
      </c>
      <c r="AH9" s="8" t="n">
        <f aca="false">SUMIFS('Forecast Weekly'!AH:AH,'Forecast Weekly'!$A:$A,$A9)*VLOOKUP($A9,Pricing!$A$6:$D$200,2,FALSE())</f>
        <v>39835.6583333333</v>
      </c>
      <c r="AI9" s="8" t="n">
        <f aca="false">SUMIFS('Forecast Weekly'!AI:AI,'Forecast Weekly'!$A:$A,$A9)*VLOOKUP($A9,Pricing!$A$6:$D$200,2,FALSE())</f>
        <v>39835.6583333333</v>
      </c>
      <c r="AJ9" s="8" t="n">
        <f aca="false">SUMIFS('Forecast Weekly'!AJ:AJ,'Forecast Weekly'!$A:$A,$A9)*VLOOKUP($A9,Pricing!$A$6:$D$200,2,FALSE())</f>
        <v>17983.1166666667</v>
      </c>
      <c r="AK9" s="8" t="n">
        <f aca="false">SUMIFS('Forecast Weekly'!AK:AK,'Forecast Weekly'!$A:$A,$A9)*VLOOKUP($A9,Pricing!$A$6:$D$200,2,FALSE())</f>
        <v>17983.1166666667</v>
      </c>
      <c r="AL9" s="8" t="n">
        <f aca="false">SUMIFS('Forecast Weekly'!AL:AL,'Forecast Weekly'!$A:$A,$A9)*VLOOKUP($A9,Pricing!$A$6:$D$200,2,FALSE())</f>
        <v>17983.1166666667</v>
      </c>
      <c r="AM9" s="8" t="n">
        <f aca="false">SUMIFS('Forecast Weekly'!AM:AM,'Forecast Weekly'!$A:$A,$A9)*VLOOKUP($A9,Pricing!$A$6:$D$200,2,FALSE())</f>
        <v>17983.1166666667</v>
      </c>
      <c r="AN9" s="8" t="n">
        <f aca="false">SUMIFS('Forecast Weekly'!AN:AN,'Forecast Weekly'!$A:$A,$A9)*VLOOKUP($A9,Pricing!$A$6:$D$200,2,FALSE())</f>
        <v>19337.5583333333</v>
      </c>
      <c r="AO9" s="8" t="n">
        <f aca="false">SUMIFS('Forecast Weekly'!AO:AO,'Forecast Weekly'!$A:$A,$A9)*VLOOKUP($A9,Pricing!$A$6:$D$200,2,FALSE())</f>
        <v>19337.5583333333</v>
      </c>
      <c r="AP9" s="8" t="n">
        <f aca="false">SUMIFS('Forecast Weekly'!AP:AP,'Forecast Weekly'!$A:$A,$A9)*VLOOKUP($A9,Pricing!$A$6:$D$200,2,FALSE())</f>
        <v>19337.5583333333</v>
      </c>
      <c r="AQ9" s="8" t="n">
        <f aca="false">SUMIFS('Forecast Weekly'!AQ:AQ,'Forecast Weekly'!$A:$A,$A9)*VLOOKUP($A9,Pricing!$A$6:$D$200,2,FALSE())</f>
        <v>19337.5583333333</v>
      </c>
      <c r="AR9" s="8" t="n">
        <f aca="false">SUMIFS('Forecast Weekly'!AR:AR,'Forecast Weekly'!$A:$A,$A9)*VLOOKUP($A9,Pricing!$A$6:$D$200,2,FALSE())</f>
        <v>46348.6916666667</v>
      </c>
      <c r="AS9" s="8" t="n">
        <f aca="false">SUMIFS('Forecast Weekly'!AS:AS,'Forecast Weekly'!$A:$A,$A9)*VLOOKUP($A9,Pricing!$A$6:$D$200,2,FALSE())</f>
        <v>46348.6916666667</v>
      </c>
      <c r="AT9" s="8" t="n">
        <f aca="false">SUMIFS('Forecast Weekly'!AT:AT,'Forecast Weekly'!$A:$A,$A9)*VLOOKUP($A9,Pricing!$A$6:$D$200,2,FALSE())</f>
        <v>46348.6916666667</v>
      </c>
      <c r="AU9" s="8" t="n">
        <f aca="false">SUMIFS('Forecast Weekly'!AU:AU,'Forecast Weekly'!$A:$A,$A9)*VLOOKUP($A9,Pricing!$A$6:$D$200,2,FALSE())</f>
        <v>46348.6916666667</v>
      </c>
      <c r="AV9" s="8" t="n">
        <f aca="false">SUMIFS('Forecast Weekly'!AV:AV,'Forecast Weekly'!$A:$A,$A9)*VLOOKUP($A9,Pricing!$A$6:$D$200,2,FALSE())</f>
        <v>46348.6916666667</v>
      </c>
      <c r="AW9" s="8" t="n">
        <f aca="false">SUMIFS('Forecast Weekly'!AW:AW,'Forecast Weekly'!$A:$A,$A9)*VLOOKUP($A9,Pricing!$A$6:$D$200,2,FALSE())</f>
        <v>49498.225</v>
      </c>
      <c r="AX9" s="8" t="n">
        <f aca="false">SUMIFS('Forecast Weekly'!AX:AX,'Forecast Weekly'!$A:$A,$A9)*VLOOKUP($A9,Pricing!$A$6:$D$200,2,FALSE())</f>
        <v>49498.225</v>
      </c>
      <c r="AY9" s="8" t="n">
        <f aca="false">SUMIFS('Forecast Weekly'!AY:AY,'Forecast Weekly'!$A:$A,$A9)*VLOOKUP($A9,Pricing!$A$6:$D$200,2,FALSE())</f>
        <v>49498.225</v>
      </c>
      <c r="AZ9" s="8" t="n">
        <f aca="false">SUMIFS('Forecast Weekly'!AZ:AZ,'Forecast Weekly'!$A:$A,$A9)*VLOOKUP($A9,Pricing!$A$6:$D$200,2,FALSE())</f>
        <v>49498.225</v>
      </c>
      <c r="BA9" s="8" t="n">
        <f aca="false">SUMIFS('Forecast Weekly'!BA:BA,'Forecast Weekly'!$A:$A,$A9)*VLOOKUP($A9,Pricing!$A$6:$D$200,2,FALSE())</f>
        <v>51706.4333333333</v>
      </c>
      <c r="BB9" s="8" t="n">
        <f aca="false">SUMIFS('Forecast Weekly'!BB:BB,'Forecast Weekly'!$A:$A,$A9)*VLOOKUP($A9,Pricing!$A$6:$D$200,2,FALSE())</f>
        <v>51706.4333333333</v>
      </c>
      <c r="BC9" s="8" t="n">
        <f aca="false">SUMIFS('Forecast Weekly'!BC:BC,'Forecast Weekly'!$A:$A,$A9)*VLOOKUP($A9,Pricing!$A$6:$D$200,2,FALSE())</f>
        <v>51706.4333333333</v>
      </c>
      <c r="BD9" s="8" t="n">
        <f aca="false">SUMIFS('Forecast Weekly'!BD:BD,'Forecast Weekly'!$A:$A,$A9)*VLOOKUP($A9,Pricing!$A$6:$D$200,2,FALSE())</f>
        <v>51706.4333333333</v>
      </c>
      <c r="BE9" s="29" t="n">
        <f aca="false">SUM(E9:BD9)</f>
        <v>1205211.64166667</v>
      </c>
    </row>
    <row r="10" customFormat="false" ht="15" hidden="false" customHeight="false" outlineLevel="0" collapsed="false">
      <c r="A10" s="0" t="s">
        <v>111</v>
      </c>
      <c r="E10" s="8" t="n">
        <f aca="false">SUMIFS('Forecast Weekly'!E:E,'Forecast Weekly'!$A:$A,$A10)*VLOOKUP($A10,Pricing!$A$6:$D$200,2,FALSE())</f>
        <v>0</v>
      </c>
      <c r="F10" s="8" t="n">
        <f aca="false">SUMIFS('Forecast Weekly'!F:F,'Forecast Weekly'!$A:$A,$A10)*VLOOKUP($A10,Pricing!$A$6:$D$200,2,FALSE())</f>
        <v>0</v>
      </c>
      <c r="G10" s="8" t="n">
        <f aca="false">SUMIFS('Forecast Weekly'!G:G,'Forecast Weekly'!$A:$A,$A10)*VLOOKUP($A10,Pricing!$A$6:$D$200,2,FALSE())</f>
        <v>0</v>
      </c>
      <c r="H10" s="8" t="n">
        <f aca="false">SUMIFS('Forecast Weekly'!H:H,'Forecast Weekly'!$A:$A,$A10)*VLOOKUP($A10,Pricing!$A$6:$D$200,2,FALSE())</f>
        <v>0</v>
      </c>
      <c r="I10" s="8" t="n">
        <f aca="false">SUMIFS('Forecast Weekly'!I:I,'Forecast Weekly'!$A:$A,$A10)*VLOOKUP($A10,Pricing!$A$6:$D$200,2,FALSE())</f>
        <v>0</v>
      </c>
      <c r="J10" s="8" t="n">
        <f aca="false">SUMIFS('Forecast Weekly'!J:J,'Forecast Weekly'!$A:$A,$A10)*VLOOKUP($A10,Pricing!$A$6:$D$200,2,FALSE())</f>
        <v>0</v>
      </c>
      <c r="K10" s="8" t="n">
        <f aca="false">SUMIFS('Forecast Weekly'!K:K,'Forecast Weekly'!$A:$A,$A10)*VLOOKUP($A10,Pricing!$A$6:$D$200,2,FALSE())</f>
        <v>0</v>
      </c>
      <c r="L10" s="8" t="n">
        <f aca="false">SUMIFS('Forecast Weekly'!L:L,'Forecast Weekly'!$A:$A,$A10)*VLOOKUP($A10,Pricing!$A$6:$D$200,2,FALSE())</f>
        <v>0</v>
      </c>
      <c r="M10" s="8" t="n">
        <f aca="false">SUMIFS('Forecast Weekly'!M:M,'Forecast Weekly'!$A:$A,$A10)*VLOOKUP($A10,Pricing!$A$6:$D$200,2,FALSE())</f>
        <v>0</v>
      </c>
      <c r="N10" s="8" t="n">
        <f aca="false">SUMIFS('Forecast Weekly'!N:N,'Forecast Weekly'!$A:$A,$A10)*VLOOKUP($A10,Pricing!$A$6:$D$200,2,FALSE())</f>
        <v>0</v>
      </c>
      <c r="O10" s="8" t="n">
        <f aca="false">SUMIFS('Forecast Weekly'!O:O,'Forecast Weekly'!$A:$A,$A10)*VLOOKUP($A10,Pricing!$A$6:$D$200,2,FALSE())</f>
        <v>0</v>
      </c>
      <c r="P10" s="8" t="n">
        <f aca="false">SUMIFS('Forecast Weekly'!P:P,'Forecast Weekly'!$A:$A,$A10)*VLOOKUP($A10,Pricing!$A$6:$D$200,2,FALSE())</f>
        <v>0</v>
      </c>
      <c r="Q10" s="8" t="n">
        <f aca="false">SUMIFS('Forecast Weekly'!Q:Q,'Forecast Weekly'!$A:$A,$A10)*VLOOKUP($A10,Pricing!$A$6:$D$200,2,FALSE())</f>
        <v>0</v>
      </c>
      <c r="R10" s="8" t="n">
        <f aca="false">SUMIFS('Forecast Weekly'!R:R,'Forecast Weekly'!$A:$A,$A10)*VLOOKUP($A10,Pricing!$A$6:$D$200,2,FALSE())</f>
        <v>0</v>
      </c>
      <c r="S10" s="8" t="n">
        <f aca="false">SUMIFS('Forecast Weekly'!S:S,'Forecast Weekly'!$A:$A,$A10)*VLOOKUP($A10,Pricing!$A$6:$D$200,2,FALSE())</f>
        <v>0</v>
      </c>
      <c r="T10" s="8" t="n">
        <f aca="false">SUMIFS('Forecast Weekly'!T:T,'Forecast Weekly'!$A:$A,$A10)*VLOOKUP($A10,Pricing!$A$6:$D$200,2,FALSE())</f>
        <v>0</v>
      </c>
      <c r="U10" s="8" t="n">
        <f aca="false">SUMIFS('Forecast Weekly'!U:U,'Forecast Weekly'!$A:$A,$A10)*VLOOKUP($A10,Pricing!$A$6:$D$200,2,FALSE())</f>
        <v>0</v>
      </c>
      <c r="V10" s="8" t="n">
        <f aca="false">SUMIFS('Forecast Weekly'!V:V,'Forecast Weekly'!$A:$A,$A10)*VLOOKUP($A10,Pricing!$A$6:$D$200,2,FALSE())</f>
        <v>0</v>
      </c>
      <c r="W10" s="8" t="n">
        <f aca="false">SUMIFS('Forecast Weekly'!W:W,'Forecast Weekly'!$A:$A,$A10)*VLOOKUP($A10,Pricing!$A$6:$D$200,2,FALSE())</f>
        <v>151.4</v>
      </c>
      <c r="X10" s="8" t="n">
        <f aca="false">SUMIFS('Forecast Weekly'!X:X,'Forecast Weekly'!$A:$A,$A10)*VLOOKUP($A10,Pricing!$A$6:$D$200,2,FALSE())</f>
        <v>151.4</v>
      </c>
      <c r="Y10" s="8" t="n">
        <f aca="false">SUMIFS('Forecast Weekly'!Y:Y,'Forecast Weekly'!$A:$A,$A10)*VLOOKUP($A10,Pricing!$A$6:$D$200,2,FALSE())</f>
        <v>151.4</v>
      </c>
      <c r="Z10" s="8" t="n">
        <f aca="false">SUMIFS('Forecast Weekly'!Z:Z,'Forecast Weekly'!$A:$A,$A10)*VLOOKUP($A10,Pricing!$A$6:$D$200,2,FALSE())</f>
        <v>151.4</v>
      </c>
      <c r="AA10" s="8" t="n">
        <f aca="false">SUMIFS('Forecast Weekly'!AA:AA,'Forecast Weekly'!$A:$A,$A10)*VLOOKUP($A10,Pricing!$A$6:$D$200,2,FALSE())</f>
        <v>310.133333333333</v>
      </c>
      <c r="AB10" s="8" t="n">
        <f aca="false">SUMIFS('Forecast Weekly'!AB:AB,'Forecast Weekly'!$A:$A,$A10)*VLOOKUP($A10,Pricing!$A$6:$D$200,2,FALSE())</f>
        <v>310.133333333333</v>
      </c>
      <c r="AC10" s="8" t="n">
        <f aca="false">SUMIFS('Forecast Weekly'!AC:AC,'Forecast Weekly'!$A:$A,$A10)*VLOOKUP($A10,Pricing!$A$6:$D$200,2,FALSE())</f>
        <v>310.133333333333</v>
      </c>
      <c r="AD10" s="8" t="n">
        <f aca="false">SUMIFS('Forecast Weekly'!AD:AD,'Forecast Weekly'!$A:$A,$A10)*VLOOKUP($A10,Pricing!$A$6:$D$200,2,FALSE())</f>
        <v>310.133333333333</v>
      </c>
      <c r="AE10" s="8" t="n">
        <f aca="false">SUMIFS('Forecast Weekly'!AE:AE,'Forecast Weekly'!$A:$A,$A10)*VLOOKUP($A10,Pricing!$A$6:$D$200,2,FALSE())</f>
        <v>487.333333333333</v>
      </c>
      <c r="AF10" s="8" t="n">
        <f aca="false">SUMIFS('Forecast Weekly'!AF:AF,'Forecast Weekly'!$A:$A,$A10)*VLOOKUP($A10,Pricing!$A$6:$D$200,2,FALSE())</f>
        <v>487.333333333333</v>
      </c>
      <c r="AG10" s="8" t="n">
        <f aca="false">SUMIFS('Forecast Weekly'!AG:AG,'Forecast Weekly'!$A:$A,$A10)*VLOOKUP($A10,Pricing!$A$6:$D$200,2,FALSE())</f>
        <v>487.333333333333</v>
      </c>
      <c r="AH10" s="8" t="n">
        <f aca="false">SUMIFS('Forecast Weekly'!AH:AH,'Forecast Weekly'!$A:$A,$A10)*VLOOKUP($A10,Pricing!$A$6:$D$200,2,FALSE())</f>
        <v>487.333333333333</v>
      </c>
      <c r="AI10" s="8" t="n">
        <f aca="false">SUMIFS('Forecast Weekly'!AI:AI,'Forecast Weekly'!$A:$A,$A10)*VLOOKUP($A10,Pricing!$A$6:$D$200,2,FALSE())</f>
        <v>487.333333333333</v>
      </c>
      <c r="AJ10" s="8" t="n">
        <f aca="false">SUMIFS('Forecast Weekly'!AJ:AJ,'Forecast Weekly'!$A:$A,$A10)*VLOOKUP($A10,Pricing!$A$6:$D$200,2,FALSE())</f>
        <v>660.4</v>
      </c>
      <c r="AK10" s="8" t="n">
        <f aca="false">SUMIFS('Forecast Weekly'!AK:AK,'Forecast Weekly'!$A:$A,$A10)*VLOOKUP($A10,Pricing!$A$6:$D$200,2,FALSE())</f>
        <v>660.4</v>
      </c>
      <c r="AL10" s="8" t="n">
        <f aca="false">SUMIFS('Forecast Weekly'!AL:AL,'Forecast Weekly'!$A:$A,$A10)*VLOOKUP($A10,Pricing!$A$6:$D$200,2,FALSE())</f>
        <v>660.4</v>
      </c>
      <c r="AM10" s="8" t="n">
        <f aca="false">SUMIFS('Forecast Weekly'!AM:AM,'Forecast Weekly'!$A:$A,$A10)*VLOOKUP($A10,Pricing!$A$6:$D$200,2,FALSE())</f>
        <v>660.4</v>
      </c>
      <c r="AN10" s="8" t="n">
        <f aca="false">SUMIFS('Forecast Weekly'!AN:AN,'Forecast Weekly'!$A:$A,$A10)*VLOOKUP($A10,Pricing!$A$6:$D$200,2,FALSE())</f>
        <v>826.133333333333</v>
      </c>
      <c r="AO10" s="8" t="n">
        <f aca="false">SUMIFS('Forecast Weekly'!AO:AO,'Forecast Weekly'!$A:$A,$A10)*VLOOKUP($A10,Pricing!$A$6:$D$200,2,FALSE())</f>
        <v>826.133333333333</v>
      </c>
      <c r="AP10" s="8" t="n">
        <f aca="false">SUMIFS('Forecast Weekly'!AP:AP,'Forecast Weekly'!$A:$A,$A10)*VLOOKUP($A10,Pricing!$A$6:$D$200,2,FALSE())</f>
        <v>826.133333333333</v>
      </c>
      <c r="AQ10" s="8" t="n">
        <f aca="false">SUMIFS('Forecast Weekly'!AQ:AQ,'Forecast Weekly'!$A:$A,$A10)*VLOOKUP($A10,Pricing!$A$6:$D$200,2,FALSE())</f>
        <v>826.133333333333</v>
      </c>
      <c r="AR10" s="8" t="n">
        <f aca="false">SUMIFS('Forecast Weekly'!AR:AR,'Forecast Weekly'!$A:$A,$A10)*VLOOKUP($A10,Pricing!$A$6:$D$200,2,FALSE())</f>
        <v>926.533333333333</v>
      </c>
      <c r="AS10" s="8" t="n">
        <f aca="false">SUMIFS('Forecast Weekly'!AS:AS,'Forecast Weekly'!$A:$A,$A10)*VLOOKUP($A10,Pricing!$A$6:$D$200,2,FALSE())</f>
        <v>926.533333333333</v>
      </c>
      <c r="AT10" s="8" t="n">
        <f aca="false">SUMIFS('Forecast Weekly'!AT:AT,'Forecast Weekly'!$A:$A,$A10)*VLOOKUP($A10,Pricing!$A$6:$D$200,2,FALSE())</f>
        <v>926.533333333333</v>
      </c>
      <c r="AU10" s="8" t="n">
        <f aca="false">SUMIFS('Forecast Weekly'!AU:AU,'Forecast Weekly'!$A:$A,$A10)*VLOOKUP($A10,Pricing!$A$6:$D$200,2,FALSE())</f>
        <v>926.533333333333</v>
      </c>
      <c r="AV10" s="8" t="n">
        <f aca="false">SUMIFS('Forecast Weekly'!AV:AV,'Forecast Weekly'!$A:$A,$A10)*VLOOKUP($A10,Pricing!$A$6:$D$200,2,FALSE())</f>
        <v>926.533333333333</v>
      </c>
      <c r="AW10" s="8" t="n">
        <f aca="false">SUMIFS('Forecast Weekly'!AW:AW,'Forecast Weekly'!$A:$A,$A10)*VLOOKUP($A10,Pricing!$A$6:$D$200,2,FALSE())</f>
        <v>1003.33333333333</v>
      </c>
      <c r="AX10" s="8" t="n">
        <f aca="false">SUMIFS('Forecast Weekly'!AX:AX,'Forecast Weekly'!$A:$A,$A10)*VLOOKUP($A10,Pricing!$A$6:$D$200,2,FALSE())</f>
        <v>1003.33333333333</v>
      </c>
      <c r="AY10" s="8" t="n">
        <f aca="false">SUMIFS('Forecast Weekly'!AY:AY,'Forecast Weekly'!$A:$A,$A10)*VLOOKUP($A10,Pricing!$A$6:$D$200,2,FALSE())</f>
        <v>1003.33333333333</v>
      </c>
      <c r="AZ10" s="8" t="n">
        <f aca="false">SUMIFS('Forecast Weekly'!AZ:AZ,'Forecast Weekly'!$A:$A,$A10)*VLOOKUP($A10,Pricing!$A$6:$D$200,2,FALSE())</f>
        <v>1003.33333333333</v>
      </c>
      <c r="BA10" s="8" t="n">
        <f aca="false">SUMIFS('Forecast Weekly'!BA:BA,'Forecast Weekly'!$A:$A,$A10)*VLOOKUP($A10,Pricing!$A$6:$D$200,2,FALSE())</f>
        <v>1087.46666666667</v>
      </c>
      <c r="BB10" s="8" t="n">
        <f aca="false">SUMIFS('Forecast Weekly'!BB:BB,'Forecast Weekly'!$A:$A,$A10)*VLOOKUP($A10,Pricing!$A$6:$D$200,2,FALSE())</f>
        <v>1087.46666666667</v>
      </c>
      <c r="BC10" s="8" t="n">
        <f aca="false">SUMIFS('Forecast Weekly'!BC:BC,'Forecast Weekly'!$A:$A,$A10)*VLOOKUP($A10,Pricing!$A$6:$D$200,2,FALSE())</f>
        <v>1087.46666666667</v>
      </c>
      <c r="BD10" s="8" t="n">
        <f aca="false">SUMIFS('Forecast Weekly'!BD:BD,'Forecast Weekly'!$A:$A,$A10)*VLOOKUP($A10,Pricing!$A$6:$D$200,2,FALSE())</f>
        <v>1087.46666666667</v>
      </c>
      <c r="BE10" s="29" t="n">
        <f aca="false">SUM(E10:BD10)</f>
        <v>23224.8</v>
      </c>
    </row>
    <row r="11" customFormat="false" ht="15" hidden="false" customHeight="false" outlineLevel="0" collapsed="false">
      <c r="A11" s="4" t="s">
        <v>308</v>
      </c>
      <c r="E11" s="30" t="n">
        <f aca="false">SUM(E7:E10)</f>
        <v>10062.9083333333</v>
      </c>
      <c r="F11" s="30" t="n">
        <f aca="false">SUM(F7:F10)</f>
        <v>10062.9083333333</v>
      </c>
      <c r="G11" s="30" t="n">
        <f aca="false">SUM(G7:G10)</f>
        <v>10062.9083333333</v>
      </c>
      <c r="H11" s="30" t="n">
        <f aca="false">SUM(H7:H10)</f>
        <v>10062.9083333333</v>
      </c>
      <c r="I11" s="30" t="n">
        <f aca="false">SUM(I7:I10)</f>
        <v>10062.9083333333</v>
      </c>
      <c r="J11" s="30" t="n">
        <f aca="false">SUM(J7:J10)</f>
        <v>14476.525</v>
      </c>
      <c r="K11" s="30" t="n">
        <f aca="false">SUM(K7:K10)</f>
        <v>14476.525</v>
      </c>
      <c r="L11" s="30" t="n">
        <f aca="false">SUM(L7:L10)</f>
        <v>14476.525</v>
      </c>
      <c r="M11" s="30" t="n">
        <f aca="false">SUM(M7:M10)</f>
        <v>14476.525</v>
      </c>
      <c r="N11" s="30" t="n">
        <f aca="false">SUM(N7:N10)</f>
        <v>20841.5083333333</v>
      </c>
      <c r="O11" s="30" t="n">
        <f aca="false">SUM(O7:O10)</f>
        <v>20841.5083333333</v>
      </c>
      <c r="P11" s="30" t="n">
        <f aca="false">SUM(P7:P10)</f>
        <v>20841.5083333333</v>
      </c>
      <c r="Q11" s="30" t="n">
        <f aca="false">SUM(Q7:Q10)</f>
        <v>20841.5083333333</v>
      </c>
      <c r="R11" s="30" t="n">
        <f aca="false">SUM(R7:R10)</f>
        <v>27873.5333333333</v>
      </c>
      <c r="S11" s="30" t="n">
        <f aca="false">SUM(S7:S10)</f>
        <v>27873.5333333333</v>
      </c>
      <c r="T11" s="30" t="n">
        <f aca="false">SUM(T7:T10)</f>
        <v>27873.5333333333</v>
      </c>
      <c r="U11" s="30" t="n">
        <f aca="false">SUM(U7:U10)</f>
        <v>27873.5333333333</v>
      </c>
      <c r="V11" s="30" t="n">
        <f aca="false">SUM(V7:V10)</f>
        <v>27873.5333333333</v>
      </c>
      <c r="W11" s="30" t="n">
        <f aca="false">SUM(W7:W10)</f>
        <v>34639.35</v>
      </c>
      <c r="X11" s="30" t="n">
        <f aca="false">SUM(X7:X10)</f>
        <v>34639.35</v>
      </c>
      <c r="Y11" s="30" t="n">
        <f aca="false">SUM(Y7:Y10)</f>
        <v>34639.35</v>
      </c>
      <c r="Z11" s="30" t="n">
        <f aca="false">SUM(Z7:Z10)</f>
        <v>34639.35</v>
      </c>
      <c r="AA11" s="30" t="n">
        <f aca="false">SUM(AA7:AA10)</f>
        <v>41364.7833333333</v>
      </c>
      <c r="AB11" s="30" t="n">
        <f aca="false">SUM(AB7:AB10)</f>
        <v>41364.7833333333</v>
      </c>
      <c r="AC11" s="30" t="n">
        <f aca="false">SUM(AC7:AC10)</f>
        <v>41364.7833333333</v>
      </c>
      <c r="AD11" s="30" t="n">
        <f aca="false">SUM(AD7:AD10)</f>
        <v>41364.7833333333</v>
      </c>
      <c r="AE11" s="30" t="n">
        <f aca="false">SUM(AE7:AE10)</f>
        <v>111379.875</v>
      </c>
      <c r="AF11" s="30" t="n">
        <f aca="false">SUM(AF7:AF10)</f>
        <v>111379.875</v>
      </c>
      <c r="AG11" s="30" t="n">
        <f aca="false">SUM(AG7:AG10)</f>
        <v>111379.875</v>
      </c>
      <c r="AH11" s="30" t="n">
        <f aca="false">SUM(AH7:AH10)</f>
        <v>111379.875</v>
      </c>
      <c r="AI11" s="30" t="n">
        <f aca="false">SUM(AI7:AI10)</f>
        <v>111379.875</v>
      </c>
      <c r="AJ11" s="30" t="n">
        <f aca="false">SUM(AJ7:AJ10)</f>
        <v>51946.95</v>
      </c>
      <c r="AK11" s="30" t="n">
        <f aca="false">SUM(AK7:AK10)</f>
        <v>51946.95</v>
      </c>
      <c r="AL11" s="30" t="n">
        <f aca="false">SUM(AL7:AL10)</f>
        <v>51946.95</v>
      </c>
      <c r="AM11" s="30" t="n">
        <f aca="false">SUM(AM7:AM10)</f>
        <v>51946.95</v>
      </c>
      <c r="AN11" s="30" t="n">
        <f aca="false">SUM(AN7:AN10)</f>
        <v>55871.0416666667</v>
      </c>
      <c r="AO11" s="30" t="n">
        <f aca="false">SUM(AO7:AO10)</f>
        <v>55871.0416666667</v>
      </c>
      <c r="AP11" s="30" t="n">
        <f aca="false">SUM(AP7:AP10)</f>
        <v>55871.0416666667</v>
      </c>
      <c r="AQ11" s="30" t="n">
        <f aca="false">SUM(AQ7:AQ10)</f>
        <v>55871.0416666667</v>
      </c>
      <c r="AR11" s="30" t="n">
        <f aca="false">SUM(AR7:AR10)</f>
        <v>129838.475</v>
      </c>
      <c r="AS11" s="30" t="n">
        <f aca="false">SUM(AS7:AS10)</f>
        <v>129838.475</v>
      </c>
      <c r="AT11" s="30" t="n">
        <f aca="false">SUM(AT7:AT10)</f>
        <v>129838.475</v>
      </c>
      <c r="AU11" s="30" t="n">
        <f aca="false">SUM(AU7:AU10)</f>
        <v>129838.475</v>
      </c>
      <c r="AV11" s="30" t="n">
        <f aca="false">SUM(AV7:AV10)</f>
        <v>129838.475</v>
      </c>
      <c r="AW11" s="30" t="n">
        <f aca="false">SUM(AW7:AW10)</f>
        <v>138539.975</v>
      </c>
      <c r="AX11" s="30" t="n">
        <f aca="false">SUM(AX7:AX10)</f>
        <v>138539.975</v>
      </c>
      <c r="AY11" s="30" t="n">
        <f aca="false">SUM(AY7:AY10)</f>
        <v>138539.975</v>
      </c>
      <c r="AZ11" s="30" t="n">
        <f aca="false">SUM(AZ7:AZ10)</f>
        <v>138539.975</v>
      </c>
      <c r="BA11" s="30" t="n">
        <f aca="false">SUM(BA7:BA10)</f>
        <v>144668.2</v>
      </c>
      <c r="BB11" s="30" t="n">
        <f aca="false">SUM(BB7:BB10)</f>
        <v>144668.2</v>
      </c>
      <c r="BC11" s="30" t="n">
        <f aca="false">SUM(BC7:BC10)</f>
        <v>144668.2</v>
      </c>
      <c r="BD11" s="30" t="n">
        <f aca="false">SUM(BD7:BD10)</f>
        <v>144668.2</v>
      </c>
      <c r="BE11" s="29" t="n">
        <f aca="false">SUM(E11:BD11)</f>
        <v>3405167.29166667</v>
      </c>
    </row>
    <row r="13" customFormat="false" ht="15" hidden="false" customHeight="false" outlineLevel="0" collapsed="false">
      <c r="A13" s="5" t="s">
        <v>309</v>
      </c>
    </row>
    <row r="14" customFormat="false" ht="15" hidden="false" customHeight="false" outlineLevel="0" collapsed="false">
      <c r="A14" s="6" t="s">
        <v>94</v>
      </c>
      <c r="B14" s="6"/>
      <c r="C14" s="6"/>
      <c r="D14" s="6"/>
      <c r="E14" s="6" t="s">
        <v>140</v>
      </c>
      <c r="F14" s="6" t="s">
        <v>141</v>
      </c>
      <c r="G14" s="6" t="s">
        <v>142</v>
      </c>
      <c r="H14" s="6" t="s">
        <v>143</v>
      </c>
      <c r="I14" s="6" t="s">
        <v>144</v>
      </c>
      <c r="J14" s="6" t="s">
        <v>145</v>
      </c>
      <c r="K14" s="6" t="s">
        <v>146</v>
      </c>
      <c r="L14" s="6" t="s">
        <v>147</v>
      </c>
      <c r="M14" s="6" t="s">
        <v>148</v>
      </c>
      <c r="N14" s="6" t="s">
        <v>149</v>
      </c>
      <c r="O14" s="6" t="s">
        <v>150</v>
      </c>
      <c r="P14" s="6" t="s">
        <v>151</v>
      </c>
      <c r="Q14" s="6" t="s">
        <v>152</v>
      </c>
      <c r="R14" s="6" t="s">
        <v>153</v>
      </c>
      <c r="S14" s="6" t="s">
        <v>154</v>
      </c>
      <c r="T14" s="6" t="s">
        <v>155</v>
      </c>
      <c r="U14" s="6" t="s">
        <v>156</v>
      </c>
      <c r="V14" s="6" t="s">
        <v>157</v>
      </c>
      <c r="W14" s="6" t="s">
        <v>158</v>
      </c>
      <c r="X14" s="6" t="s">
        <v>159</v>
      </c>
      <c r="Y14" s="6" t="s">
        <v>160</v>
      </c>
      <c r="Z14" s="6" t="s">
        <v>161</v>
      </c>
      <c r="AA14" s="6" t="s">
        <v>162</v>
      </c>
      <c r="AB14" s="6" t="s">
        <v>163</v>
      </c>
      <c r="AC14" s="6" t="s">
        <v>164</v>
      </c>
      <c r="AD14" s="6" t="s">
        <v>165</v>
      </c>
      <c r="AE14" s="6" t="s">
        <v>166</v>
      </c>
      <c r="AF14" s="6" t="s">
        <v>167</v>
      </c>
      <c r="AG14" s="6" t="s">
        <v>168</v>
      </c>
      <c r="AH14" s="6" t="s">
        <v>169</v>
      </c>
      <c r="AI14" s="6" t="s">
        <v>170</v>
      </c>
      <c r="AJ14" s="6" t="s">
        <v>171</v>
      </c>
      <c r="AK14" s="6" t="s">
        <v>172</v>
      </c>
      <c r="AL14" s="6" t="s">
        <v>173</v>
      </c>
      <c r="AM14" s="6" t="s">
        <v>174</v>
      </c>
      <c r="AN14" s="6" t="s">
        <v>175</v>
      </c>
      <c r="AO14" s="6" t="s">
        <v>176</v>
      </c>
      <c r="AP14" s="6" t="s">
        <v>177</v>
      </c>
      <c r="AQ14" s="6" t="s">
        <v>178</v>
      </c>
      <c r="AR14" s="6" t="s">
        <v>179</v>
      </c>
      <c r="AS14" s="6" t="s">
        <v>180</v>
      </c>
      <c r="AT14" s="6" t="s">
        <v>181</v>
      </c>
      <c r="AU14" s="6" t="s">
        <v>182</v>
      </c>
      <c r="AV14" s="6" t="s">
        <v>183</v>
      </c>
      <c r="AW14" s="6" t="s">
        <v>184</v>
      </c>
      <c r="AX14" s="6" t="s">
        <v>185</v>
      </c>
      <c r="AY14" s="6" t="s">
        <v>186</v>
      </c>
      <c r="AZ14" s="6" t="s">
        <v>187</v>
      </c>
      <c r="BA14" s="6" t="s">
        <v>188</v>
      </c>
      <c r="BB14" s="6" t="s">
        <v>189</v>
      </c>
      <c r="BC14" s="6" t="s">
        <v>190</v>
      </c>
      <c r="BD14" s="6" t="s">
        <v>191</v>
      </c>
      <c r="BE14" s="6" t="s">
        <v>107</v>
      </c>
    </row>
    <row r="15" customFormat="false" ht="15" hidden="false" customHeight="false" outlineLevel="0" collapsed="false">
      <c r="A15" s="0" t="s">
        <v>108</v>
      </c>
      <c r="E15" s="8" t="n">
        <f aca="false">SUMIFS('Forecast Weekly'!E:E,'Forecast Weekly'!$A:$A,$A15)*VLOOKUP($A15,Pricing!$A$6:$D$200,4,FALSE())</f>
        <v>1625.878125</v>
      </c>
      <c r="F15" s="8" t="n">
        <f aca="false">SUMIFS('Forecast Weekly'!F:F,'Forecast Weekly'!$A:$A,$A15)*VLOOKUP($A15,Pricing!$A$6:$D$200,4,FALSE())</f>
        <v>1625.878125</v>
      </c>
      <c r="G15" s="8" t="n">
        <f aca="false">SUMIFS('Forecast Weekly'!G:G,'Forecast Weekly'!$A:$A,$A15)*VLOOKUP($A15,Pricing!$A$6:$D$200,4,FALSE())</f>
        <v>1625.878125</v>
      </c>
      <c r="H15" s="8" t="n">
        <f aca="false">SUMIFS('Forecast Weekly'!H:H,'Forecast Weekly'!$A:$A,$A15)*VLOOKUP($A15,Pricing!$A$6:$D$200,4,FALSE())</f>
        <v>1625.878125</v>
      </c>
      <c r="I15" s="8" t="n">
        <f aca="false">SUMIFS('Forecast Weekly'!I:I,'Forecast Weekly'!$A:$A,$A15)*VLOOKUP($A15,Pricing!$A$6:$D$200,4,FALSE())</f>
        <v>1625.878125</v>
      </c>
      <c r="J15" s="8" t="n">
        <f aca="false">SUMIFS('Forecast Weekly'!J:J,'Forecast Weekly'!$A:$A,$A15)*VLOOKUP($A15,Pricing!$A$6:$D$200,4,FALSE())</f>
        <v>2338.284375</v>
      </c>
      <c r="K15" s="8" t="n">
        <f aca="false">SUMIFS('Forecast Weekly'!K:K,'Forecast Weekly'!$A:$A,$A15)*VLOOKUP($A15,Pricing!$A$6:$D$200,4,FALSE())</f>
        <v>2338.284375</v>
      </c>
      <c r="L15" s="8" t="n">
        <f aca="false">SUMIFS('Forecast Weekly'!L:L,'Forecast Weekly'!$A:$A,$A15)*VLOOKUP($A15,Pricing!$A$6:$D$200,4,FALSE())</f>
        <v>2338.284375</v>
      </c>
      <c r="M15" s="8" t="n">
        <f aca="false">SUMIFS('Forecast Weekly'!M:M,'Forecast Weekly'!$A:$A,$A15)*VLOOKUP($A15,Pricing!$A$6:$D$200,4,FALSE())</f>
        <v>2338.284375</v>
      </c>
      <c r="N15" s="8" t="n">
        <f aca="false">SUMIFS('Forecast Weekly'!N:N,'Forecast Weekly'!$A:$A,$A15)*VLOOKUP($A15,Pricing!$A$6:$D$200,4,FALSE())</f>
        <v>3365.6625</v>
      </c>
      <c r="O15" s="8" t="n">
        <f aca="false">SUMIFS('Forecast Weekly'!O:O,'Forecast Weekly'!$A:$A,$A15)*VLOOKUP($A15,Pricing!$A$6:$D$200,4,FALSE())</f>
        <v>3365.6625</v>
      </c>
      <c r="P15" s="8" t="n">
        <f aca="false">SUMIFS('Forecast Weekly'!P:P,'Forecast Weekly'!$A:$A,$A15)*VLOOKUP($A15,Pricing!$A$6:$D$200,4,FALSE())</f>
        <v>3365.6625</v>
      </c>
      <c r="Q15" s="8" t="n">
        <f aca="false">SUMIFS('Forecast Weekly'!Q:Q,'Forecast Weekly'!$A:$A,$A15)*VLOOKUP($A15,Pricing!$A$6:$D$200,4,FALSE())</f>
        <v>3365.6625</v>
      </c>
      <c r="R15" s="8" t="n">
        <f aca="false">SUMIFS('Forecast Weekly'!R:R,'Forecast Weekly'!$A:$A,$A15)*VLOOKUP($A15,Pricing!$A$6:$D$200,4,FALSE())</f>
        <v>4501.434375</v>
      </c>
      <c r="S15" s="8" t="n">
        <f aca="false">SUMIFS('Forecast Weekly'!S:S,'Forecast Weekly'!$A:$A,$A15)*VLOOKUP($A15,Pricing!$A$6:$D$200,4,FALSE())</f>
        <v>4501.434375</v>
      </c>
      <c r="T15" s="8" t="n">
        <f aca="false">SUMIFS('Forecast Weekly'!T:T,'Forecast Weekly'!$A:$A,$A15)*VLOOKUP($A15,Pricing!$A$6:$D$200,4,FALSE())</f>
        <v>4501.434375</v>
      </c>
      <c r="U15" s="8" t="n">
        <f aca="false">SUMIFS('Forecast Weekly'!U:U,'Forecast Weekly'!$A:$A,$A15)*VLOOKUP($A15,Pricing!$A$6:$D$200,4,FALSE())</f>
        <v>4501.434375</v>
      </c>
      <c r="V15" s="8" t="n">
        <f aca="false">SUMIFS('Forecast Weekly'!V:V,'Forecast Weekly'!$A:$A,$A15)*VLOOKUP($A15,Pricing!$A$6:$D$200,4,FALSE())</f>
        <v>4501.434375</v>
      </c>
      <c r="W15" s="8" t="n">
        <f aca="false">SUMIFS('Forecast Weekly'!W:W,'Forecast Weekly'!$A:$A,$A15)*VLOOKUP($A15,Pricing!$A$6:$D$200,4,FALSE())</f>
        <v>5570.71875</v>
      </c>
      <c r="X15" s="8" t="n">
        <f aca="false">SUMIFS('Forecast Weekly'!X:X,'Forecast Weekly'!$A:$A,$A15)*VLOOKUP($A15,Pricing!$A$6:$D$200,4,FALSE())</f>
        <v>5570.71875</v>
      </c>
      <c r="Y15" s="8" t="n">
        <f aca="false">SUMIFS('Forecast Weekly'!Y:Y,'Forecast Weekly'!$A:$A,$A15)*VLOOKUP($A15,Pricing!$A$6:$D$200,4,FALSE())</f>
        <v>5570.71875</v>
      </c>
      <c r="Z15" s="8" t="n">
        <f aca="false">SUMIFS('Forecast Weekly'!Z:Z,'Forecast Weekly'!$A:$A,$A15)*VLOOKUP($A15,Pricing!$A$6:$D$200,4,FALSE())</f>
        <v>5570.71875</v>
      </c>
      <c r="AA15" s="8" t="n">
        <f aca="false">SUMIFS('Forecast Weekly'!AA:AA,'Forecast Weekly'!$A:$A,$A15)*VLOOKUP($A15,Pricing!$A$6:$D$200,4,FALSE())</f>
        <v>6633.028125</v>
      </c>
      <c r="AB15" s="8" t="n">
        <f aca="false">SUMIFS('Forecast Weekly'!AB:AB,'Forecast Weekly'!$A:$A,$A15)*VLOOKUP($A15,Pricing!$A$6:$D$200,4,FALSE())</f>
        <v>6633.028125</v>
      </c>
      <c r="AC15" s="8" t="n">
        <f aca="false">SUMIFS('Forecast Weekly'!AC:AC,'Forecast Weekly'!$A:$A,$A15)*VLOOKUP($A15,Pricing!$A$6:$D$200,4,FALSE())</f>
        <v>6633.028125</v>
      </c>
      <c r="AD15" s="8" t="n">
        <f aca="false">SUMIFS('Forecast Weekly'!AD:AD,'Forecast Weekly'!$A:$A,$A15)*VLOOKUP($A15,Pricing!$A$6:$D$200,4,FALSE())</f>
        <v>6633.028125</v>
      </c>
      <c r="AE15" s="8" t="n">
        <f aca="false">SUMIFS('Forecast Weekly'!AE:AE,'Forecast Weekly'!$A:$A,$A15)*VLOOKUP($A15,Pricing!$A$6:$D$200,4,FALSE())</f>
        <v>17863.48125</v>
      </c>
      <c r="AF15" s="8" t="n">
        <f aca="false">SUMIFS('Forecast Weekly'!AF:AF,'Forecast Weekly'!$A:$A,$A15)*VLOOKUP($A15,Pricing!$A$6:$D$200,4,FALSE())</f>
        <v>17863.48125</v>
      </c>
      <c r="AG15" s="8" t="n">
        <f aca="false">SUMIFS('Forecast Weekly'!AG:AG,'Forecast Weekly'!$A:$A,$A15)*VLOOKUP($A15,Pricing!$A$6:$D$200,4,FALSE())</f>
        <v>17863.48125</v>
      </c>
      <c r="AH15" s="8" t="n">
        <f aca="false">SUMIFS('Forecast Weekly'!AH:AH,'Forecast Weekly'!$A:$A,$A15)*VLOOKUP($A15,Pricing!$A$6:$D$200,4,FALSE())</f>
        <v>17863.48125</v>
      </c>
      <c r="AI15" s="8" t="n">
        <f aca="false">SUMIFS('Forecast Weekly'!AI:AI,'Forecast Weekly'!$A:$A,$A15)*VLOOKUP($A15,Pricing!$A$6:$D$200,4,FALSE())</f>
        <v>17863.48125</v>
      </c>
      <c r="AJ15" s="8" t="n">
        <f aca="false">SUMIFS('Forecast Weekly'!AJ:AJ,'Forecast Weekly'!$A:$A,$A15)*VLOOKUP($A15,Pricing!$A$6:$D$200,4,FALSE())</f>
        <v>8289.73125</v>
      </c>
      <c r="AK15" s="8" t="n">
        <f aca="false">SUMIFS('Forecast Weekly'!AK:AK,'Forecast Weekly'!$A:$A,$A15)*VLOOKUP($A15,Pricing!$A$6:$D$200,4,FALSE())</f>
        <v>8289.73125</v>
      </c>
      <c r="AL15" s="8" t="n">
        <f aca="false">SUMIFS('Forecast Weekly'!AL:AL,'Forecast Weekly'!$A:$A,$A15)*VLOOKUP($A15,Pricing!$A$6:$D$200,4,FALSE())</f>
        <v>8289.73125</v>
      </c>
      <c r="AM15" s="8" t="n">
        <f aca="false">SUMIFS('Forecast Weekly'!AM:AM,'Forecast Weekly'!$A:$A,$A15)*VLOOKUP($A15,Pricing!$A$6:$D$200,4,FALSE())</f>
        <v>8289.73125</v>
      </c>
      <c r="AN15" s="8" t="n">
        <f aca="false">SUMIFS('Forecast Weekly'!AN:AN,'Forecast Weekly'!$A:$A,$A15)*VLOOKUP($A15,Pricing!$A$6:$D$200,4,FALSE())</f>
        <v>8898.890625</v>
      </c>
      <c r="AO15" s="8" t="n">
        <f aca="false">SUMIFS('Forecast Weekly'!AO:AO,'Forecast Weekly'!$A:$A,$A15)*VLOOKUP($A15,Pricing!$A$6:$D$200,4,FALSE())</f>
        <v>8898.890625</v>
      </c>
      <c r="AP15" s="8" t="n">
        <f aca="false">SUMIFS('Forecast Weekly'!AP:AP,'Forecast Weekly'!$A:$A,$A15)*VLOOKUP($A15,Pricing!$A$6:$D$200,4,FALSE())</f>
        <v>8898.890625</v>
      </c>
      <c r="AQ15" s="8" t="n">
        <f aca="false">SUMIFS('Forecast Weekly'!AQ:AQ,'Forecast Weekly'!$A:$A,$A15)*VLOOKUP($A15,Pricing!$A$6:$D$200,4,FALSE())</f>
        <v>8898.890625</v>
      </c>
      <c r="AR15" s="8" t="n">
        <f aca="false">SUMIFS('Forecast Weekly'!AR:AR,'Forecast Weekly'!$A:$A,$A15)*VLOOKUP($A15,Pricing!$A$6:$D$200,4,FALSE())</f>
        <v>20774.3625</v>
      </c>
      <c r="AS15" s="8" t="n">
        <f aca="false">SUMIFS('Forecast Weekly'!AS:AS,'Forecast Weekly'!$A:$A,$A15)*VLOOKUP($A15,Pricing!$A$6:$D$200,4,FALSE())</f>
        <v>20774.3625</v>
      </c>
      <c r="AT15" s="8" t="n">
        <f aca="false">SUMIFS('Forecast Weekly'!AT:AT,'Forecast Weekly'!$A:$A,$A15)*VLOOKUP($A15,Pricing!$A$6:$D$200,4,FALSE())</f>
        <v>20774.3625</v>
      </c>
      <c r="AU15" s="8" t="n">
        <f aca="false">SUMIFS('Forecast Weekly'!AU:AU,'Forecast Weekly'!$A:$A,$A15)*VLOOKUP($A15,Pricing!$A$6:$D$200,4,FALSE())</f>
        <v>20774.3625</v>
      </c>
      <c r="AV15" s="8" t="n">
        <f aca="false">SUMIFS('Forecast Weekly'!AV:AV,'Forecast Weekly'!$A:$A,$A15)*VLOOKUP($A15,Pricing!$A$6:$D$200,4,FALSE())</f>
        <v>20774.3625</v>
      </c>
      <c r="AW15" s="8" t="n">
        <f aca="false">SUMIFS('Forecast Weekly'!AW:AW,'Forecast Weekly'!$A:$A,$A15)*VLOOKUP($A15,Pricing!$A$6:$D$200,4,FALSE())</f>
        <v>22163.79375</v>
      </c>
      <c r="AX15" s="8" t="n">
        <f aca="false">SUMIFS('Forecast Weekly'!AX:AX,'Forecast Weekly'!$A:$A,$A15)*VLOOKUP($A15,Pricing!$A$6:$D$200,4,FALSE())</f>
        <v>22163.79375</v>
      </c>
      <c r="AY15" s="8" t="n">
        <f aca="false">SUMIFS('Forecast Weekly'!AY:AY,'Forecast Weekly'!$A:$A,$A15)*VLOOKUP($A15,Pricing!$A$6:$D$200,4,FALSE())</f>
        <v>22163.79375</v>
      </c>
      <c r="AZ15" s="8" t="n">
        <f aca="false">SUMIFS('Forecast Weekly'!AZ:AZ,'Forecast Weekly'!$A:$A,$A15)*VLOOKUP($A15,Pricing!$A$6:$D$200,4,FALSE())</f>
        <v>22163.79375</v>
      </c>
      <c r="BA15" s="8" t="n">
        <f aca="false">SUMIFS('Forecast Weekly'!BA:BA,'Forecast Weekly'!$A:$A,$A15)*VLOOKUP($A15,Pricing!$A$6:$D$200,4,FALSE())</f>
        <v>23137.425</v>
      </c>
      <c r="BB15" s="8" t="n">
        <f aca="false">SUMIFS('Forecast Weekly'!BB:BB,'Forecast Weekly'!$A:$A,$A15)*VLOOKUP($A15,Pricing!$A$6:$D$200,4,FALSE())</f>
        <v>23137.425</v>
      </c>
      <c r="BC15" s="8" t="n">
        <f aca="false">SUMIFS('Forecast Weekly'!BC:BC,'Forecast Weekly'!$A:$A,$A15)*VLOOKUP($A15,Pricing!$A$6:$D$200,4,FALSE())</f>
        <v>23137.425</v>
      </c>
      <c r="BD15" s="8" t="n">
        <f aca="false">SUMIFS('Forecast Weekly'!BD:BD,'Forecast Weekly'!$A:$A,$A15)*VLOOKUP($A15,Pricing!$A$6:$D$200,4,FALSE())</f>
        <v>23137.425</v>
      </c>
      <c r="BE15" s="29" t="n">
        <f aca="false">SUM(E15:BD15)</f>
        <v>545415.91875</v>
      </c>
    </row>
    <row r="16" customFormat="false" ht="15" hidden="false" customHeight="false" outlineLevel="0" collapsed="false">
      <c r="A16" s="0" t="s">
        <v>109</v>
      </c>
      <c r="E16" s="8" t="n">
        <f aca="false">SUMIFS('Forecast Weekly'!E:E,'Forecast Weekly'!$A:$A,$A16)*VLOOKUP($A16,Pricing!$A$6:$D$200,4,FALSE())</f>
        <v>1537.903125</v>
      </c>
      <c r="F16" s="8" t="n">
        <f aca="false">SUMIFS('Forecast Weekly'!F:F,'Forecast Weekly'!$A:$A,$A16)*VLOOKUP($A16,Pricing!$A$6:$D$200,4,FALSE())</f>
        <v>1537.903125</v>
      </c>
      <c r="G16" s="8" t="n">
        <f aca="false">SUMIFS('Forecast Weekly'!G:G,'Forecast Weekly'!$A:$A,$A16)*VLOOKUP($A16,Pricing!$A$6:$D$200,4,FALSE())</f>
        <v>1537.903125</v>
      </c>
      <c r="H16" s="8" t="n">
        <f aca="false">SUMIFS('Forecast Weekly'!H:H,'Forecast Weekly'!$A:$A,$A16)*VLOOKUP($A16,Pricing!$A$6:$D$200,4,FALSE())</f>
        <v>1537.903125</v>
      </c>
      <c r="I16" s="8" t="n">
        <f aca="false">SUMIFS('Forecast Weekly'!I:I,'Forecast Weekly'!$A:$A,$A16)*VLOOKUP($A16,Pricing!$A$6:$D$200,4,FALSE())</f>
        <v>1537.903125</v>
      </c>
      <c r="J16" s="8" t="n">
        <f aca="false">SUMIFS('Forecast Weekly'!J:J,'Forecast Weekly'!$A:$A,$A16)*VLOOKUP($A16,Pricing!$A$6:$D$200,4,FALSE())</f>
        <v>2222.184375</v>
      </c>
      <c r="K16" s="8" t="n">
        <f aca="false">SUMIFS('Forecast Weekly'!K:K,'Forecast Weekly'!$A:$A,$A16)*VLOOKUP($A16,Pricing!$A$6:$D$200,4,FALSE())</f>
        <v>2222.184375</v>
      </c>
      <c r="L16" s="8" t="n">
        <f aca="false">SUMIFS('Forecast Weekly'!L:L,'Forecast Weekly'!$A:$A,$A16)*VLOOKUP($A16,Pricing!$A$6:$D$200,4,FALSE())</f>
        <v>2222.184375</v>
      </c>
      <c r="M16" s="8" t="n">
        <f aca="false">SUMIFS('Forecast Weekly'!M:M,'Forecast Weekly'!$A:$A,$A16)*VLOOKUP($A16,Pricing!$A$6:$D$200,4,FALSE())</f>
        <v>2222.184375</v>
      </c>
      <c r="N16" s="8" t="n">
        <f aca="false">SUMIFS('Forecast Weekly'!N:N,'Forecast Weekly'!$A:$A,$A16)*VLOOKUP($A16,Pricing!$A$6:$D$200,4,FALSE())</f>
        <v>3201.24375</v>
      </c>
      <c r="O16" s="8" t="n">
        <f aca="false">SUMIFS('Forecast Weekly'!O:O,'Forecast Weekly'!$A:$A,$A16)*VLOOKUP($A16,Pricing!$A$6:$D$200,4,FALSE())</f>
        <v>3201.24375</v>
      </c>
      <c r="P16" s="8" t="n">
        <f aca="false">SUMIFS('Forecast Weekly'!P:P,'Forecast Weekly'!$A:$A,$A16)*VLOOKUP($A16,Pricing!$A$6:$D$200,4,FALSE())</f>
        <v>3201.24375</v>
      </c>
      <c r="Q16" s="8" t="n">
        <f aca="false">SUMIFS('Forecast Weekly'!Q:Q,'Forecast Weekly'!$A:$A,$A16)*VLOOKUP($A16,Pricing!$A$6:$D$200,4,FALSE())</f>
        <v>3201.24375</v>
      </c>
      <c r="R16" s="8" t="n">
        <f aca="false">SUMIFS('Forecast Weekly'!R:R,'Forecast Weekly'!$A:$A,$A16)*VLOOKUP($A16,Pricing!$A$6:$D$200,4,FALSE())</f>
        <v>4271.540625</v>
      </c>
      <c r="S16" s="8" t="n">
        <f aca="false">SUMIFS('Forecast Weekly'!S:S,'Forecast Weekly'!$A:$A,$A16)*VLOOKUP($A16,Pricing!$A$6:$D$200,4,FALSE())</f>
        <v>4271.540625</v>
      </c>
      <c r="T16" s="8" t="n">
        <f aca="false">SUMIFS('Forecast Weekly'!T:T,'Forecast Weekly'!$A:$A,$A16)*VLOOKUP($A16,Pricing!$A$6:$D$200,4,FALSE())</f>
        <v>4271.540625</v>
      </c>
      <c r="U16" s="8" t="n">
        <f aca="false">SUMIFS('Forecast Weekly'!U:U,'Forecast Weekly'!$A:$A,$A16)*VLOOKUP($A16,Pricing!$A$6:$D$200,4,FALSE())</f>
        <v>4271.540625</v>
      </c>
      <c r="V16" s="8" t="n">
        <f aca="false">SUMIFS('Forecast Weekly'!V:V,'Forecast Weekly'!$A:$A,$A16)*VLOOKUP($A16,Pricing!$A$6:$D$200,4,FALSE())</f>
        <v>4271.540625</v>
      </c>
      <c r="W16" s="8" t="n">
        <f aca="false">SUMIFS('Forecast Weekly'!W:W,'Forecast Weekly'!$A:$A,$A16)*VLOOKUP($A16,Pricing!$A$6:$D$200,4,FALSE())</f>
        <v>5270.00625</v>
      </c>
      <c r="X16" s="8" t="n">
        <f aca="false">SUMIFS('Forecast Weekly'!X:X,'Forecast Weekly'!$A:$A,$A16)*VLOOKUP($A16,Pricing!$A$6:$D$200,4,FALSE())</f>
        <v>5270.00625</v>
      </c>
      <c r="Y16" s="8" t="n">
        <f aca="false">SUMIFS('Forecast Weekly'!Y:Y,'Forecast Weekly'!$A:$A,$A16)*VLOOKUP($A16,Pricing!$A$6:$D$200,4,FALSE())</f>
        <v>5270.00625</v>
      </c>
      <c r="Z16" s="8" t="n">
        <f aca="false">SUMIFS('Forecast Weekly'!Z:Z,'Forecast Weekly'!$A:$A,$A16)*VLOOKUP($A16,Pricing!$A$6:$D$200,4,FALSE())</f>
        <v>5270.00625</v>
      </c>
      <c r="AA16" s="8" t="n">
        <f aca="false">SUMIFS('Forecast Weekly'!AA:AA,'Forecast Weekly'!$A:$A,$A16)*VLOOKUP($A16,Pricing!$A$6:$D$200,4,FALSE())</f>
        <v>6251.484375</v>
      </c>
      <c r="AB16" s="8" t="n">
        <f aca="false">SUMIFS('Forecast Weekly'!AB:AB,'Forecast Weekly'!$A:$A,$A16)*VLOOKUP($A16,Pricing!$A$6:$D$200,4,FALSE())</f>
        <v>6251.484375</v>
      </c>
      <c r="AC16" s="8" t="n">
        <f aca="false">SUMIFS('Forecast Weekly'!AC:AC,'Forecast Weekly'!$A:$A,$A16)*VLOOKUP($A16,Pricing!$A$6:$D$200,4,FALSE())</f>
        <v>6251.484375</v>
      </c>
      <c r="AD16" s="8" t="n">
        <f aca="false">SUMIFS('Forecast Weekly'!AD:AD,'Forecast Weekly'!$A:$A,$A16)*VLOOKUP($A16,Pricing!$A$6:$D$200,4,FALSE())</f>
        <v>6251.484375</v>
      </c>
      <c r="AE16" s="8" t="n">
        <f aca="false">SUMIFS('Forecast Weekly'!AE:AE,'Forecast Weekly'!$A:$A,$A16)*VLOOKUP($A16,Pricing!$A$6:$D$200,4,FALSE())</f>
        <v>16396.0875</v>
      </c>
      <c r="AF16" s="8" t="n">
        <f aca="false">SUMIFS('Forecast Weekly'!AF:AF,'Forecast Weekly'!$A:$A,$A16)*VLOOKUP($A16,Pricing!$A$6:$D$200,4,FALSE())</f>
        <v>16396.0875</v>
      </c>
      <c r="AG16" s="8" t="n">
        <f aca="false">SUMIFS('Forecast Weekly'!AG:AG,'Forecast Weekly'!$A:$A,$A16)*VLOOKUP($A16,Pricing!$A$6:$D$200,4,FALSE())</f>
        <v>16396.0875</v>
      </c>
      <c r="AH16" s="8" t="n">
        <f aca="false">SUMIFS('Forecast Weekly'!AH:AH,'Forecast Weekly'!$A:$A,$A16)*VLOOKUP($A16,Pricing!$A$6:$D$200,4,FALSE())</f>
        <v>16396.0875</v>
      </c>
      <c r="AI16" s="8" t="n">
        <f aca="false">SUMIFS('Forecast Weekly'!AI:AI,'Forecast Weekly'!$A:$A,$A16)*VLOOKUP($A16,Pricing!$A$6:$D$200,4,FALSE())</f>
        <v>16396.0875</v>
      </c>
      <c r="AJ16" s="8" t="n">
        <f aca="false">SUMIFS('Forecast Weekly'!AJ:AJ,'Forecast Weekly'!$A:$A,$A16)*VLOOKUP($A16,Pricing!$A$6:$D$200,4,FALSE())</f>
        <v>7767.28125</v>
      </c>
      <c r="AK16" s="8" t="n">
        <f aca="false">SUMIFS('Forecast Weekly'!AK:AK,'Forecast Weekly'!$A:$A,$A16)*VLOOKUP($A16,Pricing!$A$6:$D$200,4,FALSE())</f>
        <v>7767.28125</v>
      </c>
      <c r="AL16" s="8" t="n">
        <f aca="false">SUMIFS('Forecast Weekly'!AL:AL,'Forecast Weekly'!$A:$A,$A16)*VLOOKUP($A16,Pricing!$A$6:$D$200,4,FALSE())</f>
        <v>7767.28125</v>
      </c>
      <c r="AM16" s="8" t="n">
        <f aca="false">SUMIFS('Forecast Weekly'!AM:AM,'Forecast Weekly'!$A:$A,$A16)*VLOOKUP($A16,Pricing!$A$6:$D$200,4,FALSE())</f>
        <v>7767.28125</v>
      </c>
      <c r="AN16" s="8" t="n">
        <f aca="false">SUMIFS('Forecast Weekly'!AN:AN,'Forecast Weekly'!$A:$A,$A16)*VLOOKUP($A16,Pricing!$A$6:$D$200,4,FALSE())</f>
        <v>8317.153125</v>
      </c>
      <c r="AO16" s="8" t="n">
        <f aca="false">SUMIFS('Forecast Weekly'!AO:AO,'Forecast Weekly'!$A:$A,$A16)*VLOOKUP($A16,Pricing!$A$6:$D$200,4,FALSE())</f>
        <v>8317.153125</v>
      </c>
      <c r="AP16" s="8" t="n">
        <f aca="false">SUMIFS('Forecast Weekly'!AP:AP,'Forecast Weekly'!$A:$A,$A16)*VLOOKUP($A16,Pricing!$A$6:$D$200,4,FALSE())</f>
        <v>8317.153125</v>
      </c>
      <c r="AQ16" s="8" t="n">
        <f aca="false">SUMIFS('Forecast Weekly'!AQ:AQ,'Forecast Weekly'!$A:$A,$A16)*VLOOKUP($A16,Pricing!$A$6:$D$200,4,FALSE())</f>
        <v>8317.153125</v>
      </c>
      <c r="AR16" s="8" t="n">
        <f aca="false">SUMIFS('Forecast Weekly'!AR:AR,'Forecast Weekly'!$A:$A,$A16)*VLOOKUP($A16,Pricing!$A$6:$D$200,4,FALSE())</f>
        <v>19032.91875</v>
      </c>
      <c r="AS16" s="8" t="n">
        <f aca="false">SUMIFS('Forecast Weekly'!AS:AS,'Forecast Weekly'!$A:$A,$A16)*VLOOKUP($A16,Pricing!$A$6:$D$200,4,FALSE())</f>
        <v>19032.91875</v>
      </c>
      <c r="AT16" s="8" t="n">
        <f aca="false">SUMIFS('Forecast Weekly'!AT:AT,'Forecast Weekly'!$A:$A,$A16)*VLOOKUP($A16,Pricing!$A$6:$D$200,4,FALSE())</f>
        <v>19032.91875</v>
      </c>
      <c r="AU16" s="8" t="n">
        <f aca="false">SUMIFS('Forecast Weekly'!AU:AU,'Forecast Weekly'!$A:$A,$A16)*VLOOKUP($A16,Pricing!$A$6:$D$200,4,FALSE())</f>
        <v>19032.91875</v>
      </c>
      <c r="AV16" s="8" t="n">
        <f aca="false">SUMIFS('Forecast Weekly'!AV:AV,'Forecast Weekly'!$A:$A,$A16)*VLOOKUP($A16,Pricing!$A$6:$D$200,4,FALSE())</f>
        <v>19032.91875</v>
      </c>
      <c r="AW16" s="8" t="n">
        <f aca="false">SUMIFS('Forecast Weekly'!AW:AW,'Forecast Weekly'!$A:$A,$A16)*VLOOKUP($A16,Pricing!$A$6:$D$200,4,FALSE())</f>
        <v>20283.3</v>
      </c>
      <c r="AX16" s="8" t="n">
        <f aca="false">SUMIFS('Forecast Weekly'!AX:AX,'Forecast Weekly'!$A:$A,$A16)*VLOOKUP($A16,Pricing!$A$6:$D$200,4,FALSE())</f>
        <v>20283.3</v>
      </c>
      <c r="AY16" s="8" t="n">
        <f aca="false">SUMIFS('Forecast Weekly'!AY:AY,'Forecast Weekly'!$A:$A,$A16)*VLOOKUP($A16,Pricing!$A$6:$D$200,4,FALSE())</f>
        <v>20283.3</v>
      </c>
      <c r="AZ16" s="8" t="n">
        <f aca="false">SUMIFS('Forecast Weekly'!AZ:AZ,'Forecast Weekly'!$A:$A,$A16)*VLOOKUP($A16,Pricing!$A$6:$D$200,4,FALSE())</f>
        <v>20283.3</v>
      </c>
      <c r="BA16" s="8" t="n">
        <f aca="false">SUMIFS('Forecast Weekly'!BA:BA,'Forecast Weekly'!$A:$A,$A16)*VLOOKUP($A16,Pricing!$A$6:$D$200,4,FALSE())</f>
        <v>21159.1125</v>
      </c>
      <c r="BB16" s="8" t="n">
        <f aca="false">SUMIFS('Forecast Weekly'!BB:BB,'Forecast Weekly'!$A:$A,$A16)*VLOOKUP($A16,Pricing!$A$6:$D$200,4,FALSE())</f>
        <v>21159.1125</v>
      </c>
      <c r="BC16" s="8" t="n">
        <f aca="false">SUMIFS('Forecast Weekly'!BC:BC,'Forecast Weekly'!$A:$A,$A16)*VLOOKUP($A16,Pricing!$A$6:$D$200,4,FALSE())</f>
        <v>21159.1125</v>
      </c>
      <c r="BD16" s="8" t="n">
        <f aca="false">SUMIFS('Forecast Weekly'!BD:BD,'Forecast Weekly'!$A:$A,$A16)*VLOOKUP($A16,Pricing!$A$6:$D$200,4,FALSE())</f>
        <v>21159.1125</v>
      </c>
      <c r="BE16" s="29" t="n">
        <f aca="false">SUM(E16:BD16)</f>
        <v>504079.3125</v>
      </c>
    </row>
    <row r="17" customFormat="false" ht="15" hidden="false" customHeight="false" outlineLevel="0" collapsed="false">
      <c r="A17" s="0" t="s">
        <v>110</v>
      </c>
      <c r="E17" s="8" t="n">
        <f aca="false">SUMIFS('Forecast Weekly'!E:E,'Forecast Weekly'!$A:$A,$A17)*VLOOKUP($A17,Pricing!$A$6:$D$200,4,FALSE())</f>
        <v>1687.978125</v>
      </c>
      <c r="F17" s="8" t="n">
        <f aca="false">SUMIFS('Forecast Weekly'!F:F,'Forecast Weekly'!$A:$A,$A17)*VLOOKUP($A17,Pricing!$A$6:$D$200,4,FALSE())</f>
        <v>1687.978125</v>
      </c>
      <c r="G17" s="8" t="n">
        <f aca="false">SUMIFS('Forecast Weekly'!G:G,'Forecast Weekly'!$A:$A,$A17)*VLOOKUP($A17,Pricing!$A$6:$D$200,4,FALSE())</f>
        <v>1687.978125</v>
      </c>
      <c r="H17" s="8" t="n">
        <f aca="false">SUMIFS('Forecast Weekly'!H:H,'Forecast Weekly'!$A:$A,$A17)*VLOOKUP($A17,Pricing!$A$6:$D$200,4,FALSE())</f>
        <v>1687.978125</v>
      </c>
      <c r="I17" s="8" t="n">
        <f aca="false">SUMIFS('Forecast Weekly'!I:I,'Forecast Weekly'!$A:$A,$A17)*VLOOKUP($A17,Pricing!$A$6:$D$200,4,FALSE())</f>
        <v>1687.978125</v>
      </c>
      <c r="J17" s="8" t="n">
        <f aca="false">SUMIFS('Forecast Weekly'!J:J,'Forecast Weekly'!$A:$A,$A17)*VLOOKUP($A17,Pricing!$A$6:$D$200,4,FALSE())</f>
        <v>2419.284375</v>
      </c>
      <c r="K17" s="8" t="n">
        <f aca="false">SUMIFS('Forecast Weekly'!K:K,'Forecast Weekly'!$A:$A,$A17)*VLOOKUP($A17,Pricing!$A$6:$D$200,4,FALSE())</f>
        <v>2419.284375</v>
      </c>
      <c r="L17" s="8" t="n">
        <f aca="false">SUMIFS('Forecast Weekly'!L:L,'Forecast Weekly'!$A:$A,$A17)*VLOOKUP($A17,Pricing!$A$6:$D$200,4,FALSE())</f>
        <v>2419.284375</v>
      </c>
      <c r="M17" s="8" t="n">
        <f aca="false">SUMIFS('Forecast Weekly'!M:M,'Forecast Weekly'!$A:$A,$A17)*VLOOKUP($A17,Pricing!$A$6:$D$200,4,FALSE())</f>
        <v>2419.284375</v>
      </c>
      <c r="N17" s="8" t="n">
        <f aca="false">SUMIFS('Forecast Weekly'!N:N,'Forecast Weekly'!$A:$A,$A17)*VLOOKUP($A17,Pricing!$A$6:$D$200,4,FALSE())</f>
        <v>3481.678125</v>
      </c>
      <c r="O17" s="8" t="n">
        <f aca="false">SUMIFS('Forecast Weekly'!O:O,'Forecast Weekly'!$A:$A,$A17)*VLOOKUP($A17,Pricing!$A$6:$D$200,4,FALSE())</f>
        <v>3481.678125</v>
      </c>
      <c r="P17" s="8" t="n">
        <f aca="false">SUMIFS('Forecast Weekly'!P:P,'Forecast Weekly'!$A:$A,$A17)*VLOOKUP($A17,Pricing!$A$6:$D$200,4,FALSE())</f>
        <v>3481.678125</v>
      </c>
      <c r="Q17" s="8" t="n">
        <f aca="false">SUMIFS('Forecast Weekly'!Q:Q,'Forecast Weekly'!$A:$A,$A17)*VLOOKUP($A17,Pricing!$A$6:$D$200,4,FALSE())</f>
        <v>3481.678125</v>
      </c>
      <c r="R17" s="8" t="n">
        <f aca="false">SUMIFS('Forecast Weekly'!R:R,'Forecast Weekly'!$A:$A,$A17)*VLOOKUP($A17,Pricing!$A$6:$D$200,4,FALSE())</f>
        <v>4666.05</v>
      </c>
      <c r="S17" s="8" t="n">
        <f aca="false">SUMIFS('Forecast Weekly'!S:S,'Forecast Weekly'!$A:$A,$A17)*VLOOKUP($A17,Pricing!$A$6:$D$200,4,FALSE())</f>
        <v>4666.05</v>
      </c>
      <c r="T17" s="8" t="n">
        <f aca="false">SUMIFS('Forecast Weekly'!T:T,'Forecast Weekly'!$A:$A,$A17)*VLOOKUP($A17,Pricing!$A$6:$D$200,4,FALSE())</f>
        <v>4666.05</v>
      </c>
      <c r="U17" s="8" t="n">
        <f aca="false">SUMIFS('Forecast Weekly'!U:U,'Forecast Weekly'!$A:$A,$A17)*VLOOKUP($A17,Pricing!$A$6:$D$200,4,FALSE())</f>
        <v>4666.05</v>
      </c>
      <c r="V17" s="8" t="n">
        <f aca="false">SUMIFS('Forecast Weekly'!V:V,'Forecast Weekly'!$A:$A,$A17)*VLOOKUP($A17,Pricing!$A$6:$D$200,4,FALSE())</f>
        <v>4666.05</v>
      </c>
      <c r="W17" s="8" t="n">
        <f aca="false">SUMIFS('Forecast Weekly'!W:W,'Forecast Weekly'!$A:$A,$A17)*VLOOKUP($A17,Pricing!$A$6:$D$200,4,FALSE())</f>
        <v>5787.39375</v>
      </c>
      <c r="X17" s="8" t="n">
        <f aca="false">SUMIFS('Forecast Weekly'!X:X,'Forecast Weekly'!$A:$A,$A17)*VLOOKUP($A17,Pricing!$A$6:$D$200,4,FALSE())</f>
        <v>5787.39375</v>
      </c>
      <c r="Y17" s="8" t="n">
        <f aca="false">SUMIFS('Forecast Weekly'!Y:Y,'Forecast Weekly'!$A:$A,$A17)*VLOOKUP($A17,Pricing!$A$6:$D$200,4,FALSE())</f>
        <v>5787.39375</v>
      </c>
      <c r="Z17" s="8" t="n">
        <f aca="false">SUMIFS('Forecast Weekly'!Z:Z,'Forecast Weekly'!$A:$A,$A17)*VLOOKUP($A17,Pricing!$A$6:$D$200,4,FALSE())</f>
        <v>5787.39375</v>
      </c>
      <c r="AA17" s="8" t="n">
        <f aca="false">SUMIFS('Forecast Weekly'!AA:AA,'Forecast Weekly'!$A:$A,$A17)*VLOOKUP($A17,Pricing!$A$6:$D$200,4,FALSE())</f>
        <v>6909.69375</v>
      </c>
      <c r="AB17" s="8" t="n">
        <f aca="false">SUMIFS('Forecast Weekly'!AB:AB,'Forecast Weekly'!$A:$A,$A17)*VLOOKUP($A17,Pricing!$A$6:$D$200,4,FALSE())</f>
        <v>6909.69375</v>
      </c>
      <c r="AC17" s="8" t="n">
        <f aca="false">SUMIFS('Forecast Weekly'!AC:AC,'Forecast Weekly'!$A:$A,$A17)*VLOOKUP($A17,Pricing!$A$6:$D$200,4,FALSE())</f>
        <v>6909.69375</v>
      </c>
      <c r="AD17" s="8" t="n">
        <f aca="false">SUMIFS('Forecast Weekly'!AD:AD,'Forecast Weekly'!$A:$A,$A17)*VLOOKUP($A17,Pricing!$A$6:$D$200,4,FALSE())</f>
        <v>6909.69375</v>
      </c>
      <c r="AE17" s="8" t="n">
        <f aca="false">SUMIFS('Forecast Weekly'!AE:AE,'Forecast Weekly'!$A:$A,$A17)*VLOOKUP($A17,Pricing!$A$6:$D$200,4,FALSE())</f>
        <v>19206.478125</v>
      </c>
      <c r="AF17" s="8" t="n">
        <f aca="false">SUMIFS('Forecast Weekly'!AF:AF,'Forecast Weekly'!$A:$A,$A17)*VLOOKUP($A17,Pricing!$A$6:$D$200,4,FALSE())</f>
        <v>19206.478125</v>
      </c>
      <c r="AG17" s="8" t="n">
        <f aca="false">SUMIFS('Forecast Weekly'!AG:AG,'Forecast Weekly'!$A:$A,$A17)*VLOOKUP($A17,Pricing!$A$6:$D$200,4,FALSE())</f>
        <v>19206.478125</v>
      </c>
      <c r="AH17" s="8" t="n">
        <f aca="false">SUMIFS('Forecast Weekly'!AH:AH,'Forecast Weekly'!$A:$A,$A17)*VLOOKUP($A17,Pricing!$A$6:$D$200,4,FALSE())</f>
        <v>19206.478125</v>
      </c>
      <c r="AI17" s="8" t="n">
        <f aca="false">SUMIFS('Forecast Weekly'!AI:AI,'Forecast Weekly'!$A:$A,$A17)*VLOOKUP($A17,Pricing!$A$6:$D$200,4,FALSE())</f>
        <v>19206.478125</v>
      </c>
      <c r="AJ17" s="8" t="n">
        <f aca="false">SUMIFS('Forecast Weekly'!AJ:AJ,'Forecast Weekly'!$A:$A,$A17)*VLOOKUP($A17,Pricing!$A$6:$D$200,4,FALSE())</f>
        <v>8670.43125</v>
      </c>
      <c r="AK17" s="8" t="n">
        <f aca="false">SUMIFS('Forecast Weekly'!AK:AK,'Forecast Weekly'!$A:$A,$A17)*VLOOKUP($A17,Pricing!$A$6:$D$200,4,FALSE())</f>
        <v>8670.43125</v>
      </c>
      <c r="AL17" s="8" t="n">
        <f aca="false">SUMIFS('Forecast Weekly'!AL:AL,'Forecast Weekly'!$A:$A,$A17)*VLOOKUP($A17,Pricing!$A$6:$D$200,4,FALSE())</f>
        <v>8670.43125</v>
      </c>
      <c r="AM17" s="8" t="n">
        <f aca="false">SUMIFS('Forecast Weekly'!AM:AM,'Forecast Weekly'!$A:$A,$A17)*VLOOKUP($A17,Pricing!$A$6:$D$200,4,FALSE())</f>
        <v>8670.43125</v>
      </c>
      <c r="AN17" s="8" t="n">
        <f aca="false">SUMIFS('Forecast Weekly'!AN:AN,'Forecast Weekly'!$A:$A,$A17)*VLOOKUP($A17,Pricing!$A$6:$D$200,4,FALSE())</f>
        <v>9323.465625</v>
      </c>
      <c r="AO17" s="8" t="n">
        <f aca="false">SUMIFS('Forecast Weekly'!AO:AO,'Forecast Weekly'!$A:$A,$A17)*VLOOKUP($A17,Pricing!$A$6:$D$200,4,FALSE())</f>
        <v>9323.465625</v>
      </c>
      <c r="AP17" s="8" t="n">
        <f aca="false">SUMIFS('Forecast Weekly'!AP:AP,'Forecast Weekly'!$A:$A,$A17)*VLOOKUP($A17,Pricing!$A$6:$D$200,4,FALSE())</f>
        <v>9323.465625</v>
      </c>
      <c r="AQ17" s="8" t="n">
        <f aca="false">SUMIFS('Forecast Weekly'!AQ:AQ,'Forecast Weekly'!$A:$A,$A17)*VLOOKUP($A17,Pricing!$A$6:$D$200,4,FALSE())</f>
        <v>9323.465625</v>
      </c>
      <c r="AR17" s="8" t="n">
        <f aca="false">SUMIFS('Forecast Weekly'!AR:AR,'Forecast Weekly'!$A:$A,$A17)*VLOOKUP($A17,Pricing!$A$6:$D$200,4,FALSE())</f>
        <v>22346.690625</v>
      </c>
      <c r="AS17" s="8" t="n">
        <f aca="false">SUMIFS('Forecast Weekly'!AS:AS,'Forecast Weekly'!$A:$A,$A17)*VLOOKUP($A17,Pricing!$A$6:$D$200,4,FALSE())</f>
        <v>22346.690625</v>
      </c>
      <c r="AT17" s="8" t="n">
        <f aca="false">SUMIFS('Forecast Weekly'!AT:AT,'Forecast Weekly'!$A:$A,$A17)*VLOOKUP($A17,Pricing!$A$6:$D$200,4,FALSE())</f>
        <v>22346.690625</v>
      </c>
      <c r="AU17" s="8" t="n">
        <f aca="false">SUMIFS('Forecast Weekly'!AU:AU,'Forecast Weekly'!$A:$A,$A17)*VLOOKUP($A17,Pricing!$A$6:$D$200,4,FALSE())</f>
        <v>22346.690625</v>
      </c>
      <c r="AV17" s="8" t="n">
        <f aca="false">SUMIFS('Forecast Weekly'!AV:AV,'Forecast Weekly'!$A:$A,$A17)*VLOOKUP($A17,Pricing!$A$6:$D$200,4,FALSE())</f>
        <v>22346.690625</v>
      </c>
      <c r="AW17" s="8" t="n">
        <f aca="false">SUMIFS('Forecast Weekly'!AW:AW,'Forecast Weekly'!$A:$A,$A17)*VLOOKUP($A17,Pricing!$A$6:$D$200,4,FALSE())</f>
        <v>23865.215625</v>
      </c>
      <c r="AX17" s="8" t="n">
        <f aca="false">SUMIFS('Forecast Weekly'!AX:AX,'Forecast Weekly'!$A:$A,$A17)*VLOOKUP($A17,Pricing!$A$6:$D$200,4,FALSE())</f>
        <v>23865.215625</v>
      </c>
      <c r="AY17" s="8" t="n">
        <f aca="false">SUMIFS('Forecast Weekly'!AY:AY,'Forecast Weekly'!$A:$A,$A17)*VLOOKUP($A17,Pricing!$A$6:$D$200,4,FALSE())</f>
        <v>23865.215625</v>
      </c>
      <c r="AZ17" s="8" t="n">
        <f aca="false">SUMIFS('Forecast Weekly'!AZ:AZ,'Forecast Weekly'!$A:$A,$A17)*VLOOKUP($A17,Pricing!$A$6:$D$200,4,FALSE())</f>
        <v>23865.215625</v>
      </c>
      <c r="BA17" s="8" t="n">
        <f aca="false">SUMIFS('Forecast Weekly'!BA:BA,'Forecast Weekly'!$A:$A,$A17)*VLOOKUP($A17,Pricing!$A$6:$D$200,4,FALSE())</f>
        <v>24929.8875</v>
      </c>
      <c r="BB17" s="8" t="n">
        <f aca="false">SUMIFS('Forecast Weekly'!BB:BB,'Forecast Weekly'!$A:$A,$A17)*VLOOKUP($A17,Pricing!$A$6:$D$200,4,FALSE())</f>
        <v>24929.8875</v>
      </c>
      <c r="BC17" s="8" t="n">
        <f aca="false">SUMIFS('Forecast Weekly'!BC:BC,'Forecast Weekly'!$A:$A,$A17)*VLOOKUP($A17,Pricing!$A$6:$D$200,4,FALSE())</f>
        <v>24929.8875</v>
      </c>
      <c r="BD17" s="8" t="n">
        <f aca="false">SUMIFS('Forecast Weekly'!BD:BD,'Forecast Weekly'!$A:$A,$A17)*VLOOKUP($A17,Pricing!$A$6:$D$200,4,FALSE())</f>
        <v>24929.8875</v>
      </c>
      <c r="BE17" s="29" t="n">
        <f aca="false">SUM(E17:BD17)</f>
        <v>581084.184375</v>
      </c>
    </row>
    <row r="18" customFormat="false" ht="15" hidden="false" customHeight="false" outlineLevel="0" collapsed="false">
      <c r="A18" s="0" t="s">
        <v>111</v>
      </c>
      <c r="E18" s="8" t="n">
        <f aca="false">SUMIFS('Forecast Weekly'!E:E,'Forecast Weekly'!$A:$A,$A18)*VLOOKUP($A18,Pricing!$A$6:$D$200,4,FALSE())</f>
        <v>0</v>
      </c>
      <c r="F18" s="8" t="n">
        <f aca="false">SUMIFS('Forecast Weekly'!F:F,'Forecast Weekly'!$A:$A,$A18)*VLOOKUP($A18,Pricing!$A$6:$D$200,4,FALSE())</f>
        <v>0</v>
      </c>
      <c r="G18" s="8" t="n">
        <f aca="false">SUMIFS('Forecast Weekly'!G:G,'Forecast Weekly'!$A:$A,$A18)*VLOOKUP($A18,Pricing!$A$6:$D$200,4,FALSE())</f>
        <v>0</v>
      </c>
      <c r="H18" s="8" t="n">
        <f aca="false">SUMIFS('Forecast Weekly'!H:H,'Forecast Weekly'!$A:$A,$A18)*VLOOKUP($A18,Pricing!$A$6:$D$200,4,FALSE())</f>
        <v>0</v>
      </c>
      <c r="I18" s="8" t="n">
        <f aca="false">SUMIFS('Forecast Weekly'!I:I,'Forecast Weekly'!$A:$A,$A18)*VLOOKUP($A18,Pricing!$A$6:$D$200,4,FALSE())</f>
        <v>0</v>
      </c>
      <c r="J18" s="8" t="n">
        <f aca="false">SUMIFS('Forecast Weekly'!J:J,'Forecast Weekly'!$A:$A,$A18)*VLOOKUP($A18,Pricing!$A$6:$D$200,4,FALSE())</f>
        <v>0</v>
      </c>
      <c r="K18" s="8" t="n">
        <f aca="false">SUMIFS('Forecast Weekly'!K:K,'Forecast Weekly'!$A:$A,$A18)*VLOOKUP($A18,Pricing!$A$6:$D$200,4,FALSE())</f>
        <v>0</v>
      </c>
      <c r="L18" s="8" t="n">
        <f aca="false">SUMIFS('Forecast Weekly'!L:L,'Forecast Weekly'!$A:$A,$A18)*VLOOKUP($A18,Pricing!$A$6:$D$200,4,FALSE())</f>
        <v>0</v>
      </c>
      <c r="M18" s="8" t="n">
        <f aca="false">SUMIFS('Forecast Weekly'!M:M,'Forecast Weekly'!$A:$A,$A18)*VLOOKUP($A18,Pricing!$A$6:$D$200,4,FALSE())</f>
        <v>0</v>
      </c>
      <c r="N18" s="8" t="n">
        <f aca="false">SUMIFS('Forecast Weekly'!N:N,'Forecast Weekly'!$A:$A,$A18)*VLOOKUP($A18,Pricing!$A$6:$D$200,4,FALSE())</f>
        <v>0</v>
      </c>
      <c r="O18" s="8" t="n">
        <f aca="false">SUMIFS('Forecast Weekly'!O:O,'Forecast Weekly'!$A:$A,$A18)*VLOOKUP($A18,Pricing!$A$6:$D$200,4,FALSE())</f>
        <v>0</v>
      </c>
      <c r="P18" s="8" t="n">
        <f aca="false">SUMIFS('Forecast Weekly'!P:P,'Forecast Weekly'!$A:$A,$A18)*VLOOKUP($A18,Pricing!$A$6:$D$200,4,FALSE())</f>
        <v>0</v>
      </c>
      <c r="Q18" s="8" t="n">
        <f aca="false">SUMIFS('Forecast Weekly'!Q:Q,'Forecast Weekly'!$A:$A,$A18)*VLOOKUP($A18,Pricing!$A$6:$D$200,4,FALSE())</f>
        <v>0</v>
      </c>
      <c r="R18" s="8" t="n">
        <f aca="false">SUMIFS('Forecast Weekly'!R:R,'Forecast Weekly'!$A:$A,$A18)*VLOOKUP($A18,Pricing!$A$6:$D$200,4,FALSE())</f>
        <v>0</v>
      </c>
      <c r="S18" s="8" t="n">
        <f aca="false">SUMIFS('Forecast Weekly'!S:S,'Forecast Weekly'!$A:$A,$A18)*VLOOKUP($A18,Pricing!$A$6:$D$200,4,FALSE())</f>
        <v>0</v>
      </c>
      <c r="T18" s="8" t="n">
        <f aca="false">SUMIFS('Forecast Weekly'!T:T,'Forecast Weekly'!$A:$A,$A18)*VLOOKUP($A18,Pricing!$A$6:$D$200,4,FALSE())</f>
        <v>0</v>
      </c>
      <c r="U18" s="8" t="n">
        <f aca="false">SUMIFS('Forecast Weekly'!U:U,'Forecast Weekly'!$A:$A,$A18)*VLOOKUP($A18,Pricing!$A$6:$D$200,4,FALSE())</f>
        <v>0</v>
      </c>
      <c r="V18" s="8" t="n">
        <f aca="false">SUMIFS('Forecast Weekly'!V:V,'Forecast Weekly'!$A:$A,$A18)*VLOOKUP($A18,Pricing!$A$6:$D$200,4,FALSE())</f>
        <v>0</v>
      </c>
      <c r="W18" s="8" t="n">
        <f aca="false">SUMIFS('Forecast Weekly'!W:W,'Forecast Weekly'!$A:$A,$A18)*VLOOKUP($A18,Pricing!$A$6:$D$200,4,FALSE())</f>
        <v>75.7</v>
      </c>
      <c r="X18" s="8" t="n">
        <f aca="false">SUMIFS('Forecast Weekly'!X:X,'Forecast Weekly'!$A:$A,$A18)*VLOOKUP($A18,Pricing!$A$6:$D$200,4,FALSE())</f>
        <v>75.7</v>
      </c>
      <c r="Y18" s="8" t="n">
        <f aca="false">SUMIFS('Forecast Weekly'!Y:Y,'Forecast Weekly'!$A:$A,$A18)*VLOOKUP($A18,Pricing!$A$6:$D$200,4,FALSE())</f>
        <v>75.7</v>
      </c>
      <c r="Z18" s="8" t="n">
        <f aca="false">SUMIFS('Forecast Weekly'!Z:Z,'Forecast Weekly'!$A:$A,$A18)*VLOOKUP($A18,Pricing!$A$6:$D$200,4,FALSE())</f>
        <v>75.7</v>
      </c>
      <c r="AA18" s="8" t="n">
        <f aca="false">SUMIFS('Forecast Weekly'!AA:AA,'Forecast Weekly'!$A:$A,$A18)*VLOOKUP($A18,Pricing!$A$6:$D$200,4,FALSE())</f>
        <v>155.066666666667</v>
      </c>
      <c r="AB18" s="8" t="n">
        <f aca="false">SUMIFS('Forecast Weekly'!AB:AB,'Forecast Weekly'!$A:$A,$A18)*VLOOKUP($A18,Pricing!$A$6:$D$200,4,FALSE())</f>
        <v>155.066666666667</v>
      </c>
      <c r="AC18" s="8" t="n">
        <f aca="false">SUMIFS('Forecast Weekly'!AC:AC,'Forecast Weekly'!$A:$A,$A18)*VLOOKUP($A18,Pricing!$A$6:$D$200,4,FALSE())</f>
        <v>155.066666666667</v>
      </c>
      <c r="AD18" s="8" t="n">
        <f aca="false">SUMIFS('Forecast Weekly'!AD:AD,'Forecast Weekly'!$A:$A,$A18)*VLOOKUP($A18,Pricing!$A$6:$D$200,4,FALSE())</f>
        <v>155.066666666667</v>
      </c>
      <c r="AE18" s="8" t="n">
        <f aca="false">SUMIFS('Forecast Weekly'!AE:AE,'Forecast Weekly'!$A:$A,$A18)*VLOOKUP($A18,Pricing!$A$6:$D$200,4,FALSE())</f>
        <v>243.666666666667</v>
      </c>
      <c r="AF18" s="8" t="n">
        <f aca="false">SUMIFS('Forecast Weekly'!AF:AF,'Forecast Weekly'!$A:$A,$A18)*VLOOKUP($A18,Pricing!$A$6:$D$200,4,FALSE())</f>
        <v>243.666666666667</v>
      </c>
      <c r="AG18" s="8" t="n">
        <f aca="false">SUMIFS('Forecast Weekly'!AG:AG,'Forecast Weekly'!$A:$A,$A18)*VLOOKUP($A18,Pricing!$A$6:$D$200,4,FALSE())</f>
        <v>243.666666666667</v>
      </c>
      <c r="AH18" s="8" t="n">
        <f aca="false">SUMIFS('Forecast Weekly'!AH:AH,'Forecast Weekly'!$A:$A,$A18)*VLOOKUP($A18,Pricing!$A$6:$D$200,4,FALSE())</f>
        <v>243.666666666667</v>
      </c>
      <c r="AI18" s="8" t="n">
        <f aca="false">SUMIFS('Forecast Weekly'!AI:AI,'Forecast Weekly'!$A:$A,$A18)*VLOOKUP($A18,Pricing!$A$6:$D$200,4,FALSE())</f>
        <v>243.666666666667</v>
      </c>
      <c r="AJ18" s="8" t="n">
        <f aca="false">SUMIFS('Forecast Weekly'!AJ:AJ,'Forecast Weekly'!$A:$A,$A18)*VLOOKUP($A18,Pricing!$A$6:$D$200,4,FALSE())</f>
        <v>330.2</v>
      </c>
      <c r="AK18" s="8" t="n">
        <f aca="false">SUMIFS('Forecast Weekly'!AK:AK,'Forecast Weekly'!$A:$A,$A18)*VLOOKUP($A18,Pricing!$A$6:$D$200,4,FALSE())</f>
        <v>330.2</v>
      </c>
      <c r="AL18" s="8" t="n">
        <f aca="false">SUMIFS('Forecast Weekly'!AL:AL,'Forecast Weekly'!$A:$A,$A18)*VLOOKUP($A18,Pricing!$A$6:$D$200,4,FALSE())</f>
        <v>330.2</v>
      </c>
      <c r="AM18" s="8" t="n">
        <f aca="false">SUMIFS('Forecast Weekly'!AM:AM,'Forecast Weekly'!$A:$A,$A18)*VLOOKUP($A18,Pricing!$A$6:$D$200,4,FALSE())</f>
        <v>330.2</v>
      </c>
      <c r="AN18" s="8" t="n">
        <f aca="false">SUMIFS('Forecast Weekly'!AN:AN,'Forecast Weekly'!$A:$A,$A18)*VLOOKUP($A18,Pricing!$A$6:$D$200,4,FALSE())</f>
        <v>413.066666666667</v>
      </c>
      <c r="AO18" s="8" t="n">
        <f aca="false">SUMIFS('Forecast Weekly'!AO:AO,'Forecast Weekly'!$A:$A,$A18)*VLOOKUP($A18,Pricing!$A$6:$D$200,4,FALSE())</f>
        <v>413.066666666667</v>
      </c>
      <c r="AP18" s="8" t="n">
        <f aca="false">SUMIFS('Forecast Weekly'!AP:AP,'Forecast Weekly'!$A:$A,$A18)*VLOOKUP($A18,Pricing!$A$6:$D$200,4,FALSE())</f>
        <v>413.066666666667</v>
      </c>
      <c r="AQ18" s="8" t="n">
        <f aca="false">SUMIFS('Forecast Weekly'!AQ:AQ,'Forecast Weekly'!$A:$A,$A18)*VLOOKUP($A18,Pricing!$A$6:$D$200,4,FALSE())</f>
        <v>413.066666666667</v>
      </c>
      <c r="AR18" s="8" t="n">
        <f aca="false">SUMIFS('Forecast Weekly'!AR:AR,'Forecast Weekly'!$A:$A,$A18)*VLOOKUP($A18,Pricing!$A$6:$D$200,4,FALSE())</f>
        <v>463.266666666667</v>
      </c>
      <c r="AS18" s="8" t="n">
        <f aca="false">SUMIFS('Forecast Weekly'!AS:AS,'Forecast Weekly'!$A:$A,$A18)*VLOOKUP($A18,Pricing!$A$6:$D$200,4,FALSE())</f>
        <v>463.266666666667</v>
      </c>
      <c r="AT18" s="8" t="n">
        <f aca="false">SUMIFS('Forecast Weekly'!AT:AT,'Forecast Weekly'!$A:$A,$A18)*VLOOKUP($A18,Pricing!$A$6:$D$200,4,FALSE())</f>
        <v>463.266666666667</v>
      </c>
      <c r="AU18" s="8" t="n">
        <f aca="false">SUMIFS('Forecast Weekly'!AU:AU,'Forecast Weekly'!$A:$A,$A18)*VLOOKUP($A18,Pricing!$A$6:$D$200,4,FALSE())</f>
        <v>463.266666666667</v>
      </c>
      <c r="AV18" s="8" t="n">
        <f aca="false">SUMIFS('Forecast Weekly'!AV:AV,'Forecast Weekly'!$A:$A,$A18)*VLOOKUP($A18,Pricing!$A$6:$D$200,4,FALSE())</f>
        <v>463.266666666667</v>
      </c>
      <c r="AW18" s="8" t="n">
        <f aca="false">SUMIFS('Forecast Weekly'!AW:AW,'Forecast Weekly'!$A:$A,$A18)*VLOOKUP($A18,Pricing!$A$6:$D$200,4,FALSE())</f>
        <v>501.666666666667</v>
      </c>
      <c r="AX18" s="8" t="n">
        <f aca="false">SUMIFS('Forecast Weekly'!AX:AX,'Forecast Weekly'!$A:$A,$A18)*VLOOKUP($A18,Pricing!$A$6:$D$200,4,FALSE())</f>
        <v>501.666666666667</v>
      </c>
      <c r="AY18" s="8" t="n">
        <f aca="false">SUMIFS('Forecast Weekly'!AY:AY,'Forecast Weekly'!$A:$A,$A18)*VLOOKUP($A18,Pricing!$A$6:$D$200,4,FALSE())</f>
        <v>501.666666666667</v>
      </c>
      <c r="AZ18" s="8" t="n">
        <f aca="false">SUMIFS('Forecast Weekly'!AZ:AZ,'Forecast Weekly'!$A:$A,$A18)*VLOOKUP($A18,Pricing!$A$6:$D$200,4,FALSE())</f>
        <v>501.666666666667</v>
      </c>
      <c r="BA18" s="8" t="n">
        <f aca="false">SUMIFS('Forecast Weekly'!BA:BA,'Forecast Weekly'!$A:$A,$A18)*VLOOKUP($A18,Pricing!$A$6:$D$200,4,FALSE())</f>
        <v>543.733333333333</v>
      </c>
      <c r="BB18" s="8" t="n">
        <f aca="false">SUMIFS('Forecast Weekly'!BB:BB,'Forecast Weekly'!$A:$A,$A18)*VLOOKUP($A18,Pricing!$A$6:$D$200,4,FALSE())</f>
        <v>543.733333333333</v>
      </c>
      <c r="BC18" s="8" t="n">
        <f aca="false">SUMIFS('Forecast Weekly'!BC:BC,'Forecast Weekly'!$A:$A,$A18)*VLOOKUP($A18,Pricing!$A$6:$D$200,4,FALSE())</f>
        <v>543.733333333333</v>
      </c>
      <c r="BD18" s="8" t="n">
        <f aca="false">SUMIFS('Forecast Weekly'!BD:BD,'Forecast Weekly'!$A:$A,$A18)*VLOOKUP($A18,Pricing!$A$6:$D$200,4,FALSE())</f>
        <v>543.733333333333</v>
      </c>
      <c r="BE18" s="29" t="n">
        <f aca="false">SUM(E18:BD18)</f>
        <v>11612.4</v>
      </c>
    </row>
    <row r="19" customFormat="false" ht="15" hidden="false" customHeight="false" outlineLevel="0" collapsed="false">
      <c r="A19" s="4" t="s">
        <v>310</v>
      </c>
      <c r="E19" s="30" t="n">
        <f aca="false">SUM(E15:E18)</f>
        <v>4851.759375</v>
      </c>
      <c r="F19" s="30" t="n">
        <f aca="false">SUM(F15:F18)</f>
        <v>4851.759375</v>
      </c>
      <c r="G19" s="30" t="n">
        <f aca="false">SUM(G15:G18)</f>
        <v>4851.759375</v>
      </c>
      <c r="H19" s="30" t="n">
        <f aca="false">SUM(H15:H18)</f>
        <v>4851.759375</v>
      </c>
      <c r="I19" s="30" t="n">
        <f aca="false">SUM(I15:I18)</f>
        <v>4851.759375</v>
      </c>
      <c r="J19" s="30" t="n">
        <f aca="false">SUM(J15:J18)</f>
        <v>6979.753125</v>
      </c>
      <c r="K19" s="30" t="n">
        <f aca="false">SUM(K15:K18)</f>
        <v>6979.753125</v>
      </c>
      <c r="L19" s="30" t="n">
        <f aca="false">SUM(L15:L18)</f>
        <v>6979.753125</v>
      </c>
      <c r="M19" s="30" t="n">
        <f aca="false">SUM(M15:M18)</f>
        <v>6979.753125</v>
      </c>
      <c r="N19" s="30" t="n">
        <f aca="false">SUM(N15:N18)</f>
        <v>10048.584375</v>
      </c>
      <c r="O19" s="30" t="n">
        <f aca="false">SUM(O15:O18)</f>
        <v>10048.584375</v>
      </c>
      <c r="P19" s="30" t="n">
        <f aca="false">SUM(P15:P18)</f>
        <v>10048.584375</v>
      </c>
      <c r="Q19" s="30" t="n">
        <f aca="false">SUM(Q15:Q18)</f>
        <v>10048.584375</v>
      </c>
      <c r="R19" s="30" t="n">
        <f aca="false">SUM(R15:R18)</f>
        <v>13439.025</v>
      </c>
      <c r="S19" s="30" t="n">
        <f aca="false">SUM(S15:S18)</f>
        <v>13439.025</v>
      </c>
      <c r="T19" s="30" t="n">
        <f aca="false">SUM(T15:T18)</f>
        <v>13439.025</v>
      </c>
      <c r="U19" s="30" t="n">
        <f aca="false">SUM(U15:U18)</f>
        <v>13439.025</v>
      </c>
      <c r="V19" s="30" t="n">
        <f aca="false">SUM(V15:V18)</f>
        <v>13439.025</v>
      </c>
      <c r="W19" s="30" t="n">
        <f aca="false">SUM(W15:W18)</f>
        <v>16703.81875</v>
      </c>
      <c r="X19" s="30" t="n">
        <f aca="false">SUM(X15:X18)</f>
        <v>16703.81875</v>
      </c>
      <c r="Y19" s="30" t="n">
        <f aca="false">SUM(Y15:Y18)</f>
        <v>16703.81875</v>
      </c>
      <c r="Z19" s="30" t="n">
        <f aca="false">SUM(Z15:Z18)</f>
        <v>16703.81875</v>
      </c>
      <c r="AA19" s="30" t="n">
        <f aca="false">SUM(AA15:AA18)</f>
        <v>19949.2729166667</v>
      </c>
      <c r="AB19" s="30" t="n">
        <f aca="false">SUM(AB15:AB18)</f>
        <v>19949.2729166667</v>
      </c>
      <c r="AC19" s="30" t="n">
        <f aca="false">SUM(AC15:AC18)</f>
        <v>19949.2729166667</v>
      </c>
      <c r="AD19" s="30" t="n">
        <f aca="false">SUM(AD15:AD18)</f>
        <v>19949.2729166667</v>
      </c>
      <c r="AE19" s="30" t="n">
        <f aca="false">SUM(AE15:AE18)</f>
        <v>53709.7135416667</v>
      </c>
      <c r="AF19" s="30" t="n">
        <f aca="false">SUM(AF15:AF18)</f>
        <v>53709.7135416667</v>
      </c>
      <c r="AG19" s="30" t="n">
        <f aca="false">SUM(AG15:AG18)</f>
        <v>53709.7135416667</v>
      </c>
      <c r="AH19" s="30" t="n">
        <f aca="false">SUM(AH15:AH18)</f>
        <v>53709.7135416667</v>
      </c>
      <c r="AI19" s="30" t="n">
        <f aca="false">SUM(AI15:AI18)</f>
        <v>53709.7135416667</v>
      </c>
      <c r="AJ19" s="30" t="n">
        <f aca="false">SUM(AJ15:AJ18)</f>
        <v>25057.64375</v>
      </c>
      <c r="AK19" s="30" t="n">
        <f aca="false">SUM(AK15:AK18)</f>
        <v>25057.64375</v>
      </c>
      <c r="AL19" s="30" t="n">
        <f aca="false">SUM(AL15:AL18)</f>
        <v>25057.64375</v>
      </c>
      <c r="AM19" s="30" t="n">
        <f aca="false">SUM(AM15:AM18)</f>
        <v>25057.64375</v>
      </c>
      <c r="AN19" s="30" t="n">
        <f aca="false">SUM(AN15:AN18)</f>
        <v>26952.5760416667</v>
      </c>
      <c r="AO19" s="30" t="n">
        <f aca="false">SUM(AO15:AO18)</f>
        <v>26952.5760416667</v>
      </c>
      <c r="AP19" s="30" t="n">
        <f aca="false">SUM(AP15:AP18)</f>
        <v>26952.5760416667</v>
      </c>
      <c r="AQ19" s="30" t="n">
        <f aca="false">SUM(AQ15:AQ18)</f>
        <v>26952.5760416667</v>
      </c>
      <c r="AR19" s="30" t="n">
        <f aca="false">SUM(AR15:AR18)</f>
        <v>62617.2385416667</v>
      </c>
      <c r="AS19" s="30" t="n">
        <f aca="false">SUM(AS15:AS18)</f>
        <v>62617.2385416667</v>
      </c>
      <c r="AT19" s="30" t="n">
        <f aca="false">SUM(AT15:AT18)</f>
        <v>62617.2385416667</v>
      </c>
      <c r="AU19" s="30" t="n">
        <f aca="false">SUM(AU15:AU18)</f>
        <v>62617.2385416667</v>
      </c>
      <c r="AV19" s="30" t="n">
        <f aca="false">SUM(AV15:AV18)</f>
        <v>62617.2385416667</v>
      </c>
      <c r="AW19" s="30" t="n">
        <f aca="false">SUM(AW15:AW18)</f>
        <v>66813.9760416667</v>
      </c>
      <c r="AX19" s="30" t="n">
        <f aca="false">SUM(AX15:AX18)</f>
        <v>66813.9760416667</v>
      </c>
      <c r="AY19" s="30" t="n">
        <f aca="false">SUM(AY15:AY18)</f>
        <v>66813.9760416667</v>
      </c>
      <c r="AZ19" s="30" t="n">
        <f aca="false">SUM(AZ15:AZ18)</f>
        <v>66813.9760416667</v>
      </c>
      <c r="BA19" s="30" t="n">
        <f aca="false">SUM(BA15:BA18)</f>
        <v>69770.1583333333</v>
      </c>
      <c r="BB19" s="30" t="n">
        <f aca="false">SUM(BB15:BB18)</f>
        <v>69770.1583333333</v>
      </c>
      <c r="BC19" s="30" t="n">
        <f aca="false">SUM(BC15:BC18)</f>
        <v>69770.1583333333</v>
      </c>
      <c r="BD19" s="30" t="n">
        <f aca="false">SUM(BD15:BD18)</f>
        <v>69770.1583333333</v>
      </c>
      <c r="BE19" s="29" t="n">
        <f aca="false">SUM(E19:BD19)</f>
        <v>1642191.815625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2026-05-27T22:10:09Z</dcterms:created>
  <dc:creator>openpyxl</dc:creator>
  <dc:description/>
  <dc:language>en-US</dc:language>
  <cp:lastModifiedBy/>
  <dcterms:modified xsi:type="dcterms:W3CDTF">2026-05-27T22:10:10Z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