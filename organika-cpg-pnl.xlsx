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  <sheet name="COGS_BOM" sheetId="2" state="visible" r:id="rId2"/>
    <sheet name="Channels" sheetId="3" state="visible" r:id="rId3"/>
    <sheet name="Sensitivity" sheetId="4" state="visible" r:id="rId4"/>
    <sheet name="Scenarios" sheetId="5" state="visible" r:id="rId5"/>
    <sheet name="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"/>
    <numFmt numFmtId="166" formatCode="&quot;$&quot;#,##0.00"/>
    <numFmt numFmtId="167" formatCode="&quot;$&quot;#,##0.00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9.5"/>
    </font>
    <font>
      <name val="Calibri"/>
      <b val="1"/>
      <color rgb="002BB3A3"/>
      <sz val="10"/>
    </font>
    <font>
      <name val="Calibri"/>
      <b val="1"/>
      <color rgb="001A1A1A"/>
      <sz val="11"/>
    </font>
    <font>
      <name val="Calibri"/>
      <color rgb="00333333"/>
      <sz val="11"/>
    </font>
    <font>
      <name val="Calibri"/>
      <color rgb="001A1A1A"/>
      <sz val="11"/>
    </font>
    <font>
      <name val="Calibri"/>
      <b val="1"/>
      <color rgb="00333333"/>
      <sz val="11"/>
    </font>
    <font>
      <name val="Calibri"/>
      <b val="1"/>
      <color rgb="00FFFFFF"/>
      <sz val="10"/>
    </font>
    <font>
      <name val="Calibri"/>
      <color rgb="00222222"/>
      <sz val="11"/>
    </font>
    <font>
      <name val="Calibri"/>
      <color rgb="0093A0BA"/>
      <sz val="10"/>
    </font>
    <font>
      <name val="Calibri"/>
      <color rgb="0093A0BA"/>
      <sz val="11"/>
    </font>
    <font>
      <name val="Calibri"/>
      <b val="1"/>
      <color rgb="00222222"/>
      <sz val="11"/>
    </font>
    <font>
      <name val="Calibri"/>
      <b val="1"/>
      <color rgb="0011302C"/>
      <sz val="11"/>
    </font>
    <font>
      <name val="Calibri"/>
      <b val="1"/>
      <color rgb="0093A0BA"/>
      <sz val="10"/>
    </font>
    <font>
      <name val="Calibri"/>
      <b val="1"/>
      <color rgb="00333333"/>
      <sz val="10"/>
    </font>
    <font>
      <name val="Calibri"/>
      <b val="1"/>
      <color rgb="00FFFFFF"/>
      <sz val="9"/>
    </font>
    <font>
      <name val="Calibri"/>
      <b val="1"/>
      <color rgb="00222222"/>
      <sz val="10"/>
    </font>
    <font>
      <name val="Calibri"/>
      <color rgb="00222222"/>
      <sz val="10"/>
    </font>
    <font>
      <name val="Calibri"/>
      <color rgb="001A1A1A"/>
      <sz val="10"/>
    </font>
    <font>
      <name val="Calibri"/>
      <i val="1"/>
      <color rgb="0093A0BA"/>
      <sz val="10"/>
    </font>
    <font>
      <name val="Calibri"/>
      <b val="1"/>
      <color rgb="002BB3A3"/>
      <sz val="12"/>
    </font>
    <font>
      <name val="Consolas"/>
      <color rgb="0011302C"/>
      <sz val="10"/>
    </font>
  </fonts>
  <fills count="5">
    <fill>
      <patternFill/>
    </fill>
    <fill>
      <patternFill patternType="gray125"/>
    </fill>
    <fill>
      <patternFill patternType="solid">
        <fgColor rgb="0014213F"/>
      </patternFill>
    </fill>
    <fill>
      <patternFill patternType="solid">
        <fgColor rgb="00FFF3C4"/>
      </patternFill>
    </fill>
    <fill>
      <patternFill patternType="solid">
        <fgColor rgb="00E8F5F3"/>
      </patternFill>
    </fill>
  </fills>
  <borders count="3">
    <border>
      <left/>
      <right/>
      <top/>
      <bottom/>
      <diagonal/>
    </border>
    <border>
      <left style="thin">
        <color rgb="00E6C84B"/>
      </left>
      <right style="thin">
        <color rgb="00E6C84B"/>
      </right>
      <top style="thin">
        <color rgb="00E6C84B"/>
      </top>
      <bottom style="thin">
        <color rgb="00E6C84B"/>
      </bottom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4" fillId="0" borderId="2" applyAlignment="1" pivotButton="0" quotePrefix="0" xfId="0">
      <alignment horizontal="right" vertical="center"/>
    </xf>
    <xf numFmtId="0" fontId="8" fillId="2" borderId="2" applyAlignment="1" pivotButton="0" quotePrefix="0" xfId="0">
      <alignment horizontal="left" vertical="center"/>
    </xf>
    <xf numFmtId="0" fontId="8" fillId="2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165" fontId="9" fillId="0" borderId="2" applyAlignment="1" pivotButton="0" quotePrefix="0" xfId="0">
      <alignment horizontal="right" vertical="center"/>
    </xf>
    <xf numFmtId="166" fontId="10" fillId="0" borderId="2" applyAlignment="1" pivotButton="0" quotePrefix="0" xfId="0">
      <alignment horizontal="right" vertical="center"/>
    </xf>
    <xf numFmtId="164" fontId="10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165" fontId="12" fillId="4" borderId="2" applyAlignment="1" pivotButton="0" quotePrefix="0" xfId="0">
      <alignment horizontal="right" vertical="center"/>
    </xf>
    <xf numFmtId="3" fontId="13" fillId="4" borderId="2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167" fontId="15" fillId="0" borderId="2" applyAlignment="1" pivotButton="0" quotePrefix="0" xfId="0">
      <alignment horizontal="right" vertical="center"/>
    </xf>
    <xf numFmtId="167" fontId="6" fillId="0" borderId="2" applyAlignment="1" pivotButton="0" quotePrefix="0" xfId="0">
      <alignment horizontal="right" vertical="center"/>
    </xf>
    <xf numFmtId="167" fontId="13" fillId="4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16" fillId="2" borderId="2" applyAlignment="1" pivotButton="0" quotePrefix="0" xfId="0">
      <alignment horizontal="left" vertical="center"/>
    </xf>
    <xf numFmtId="0" fontId="16" fillId="2" borderId="2" applyAlignment="1" pivotButton="0" quotePrefix="0" xfId="0">
      <alignment horizontal="right" vertical="center"/>
    </xf>
    <xf numFmtId="0" fontId="17" fillId="3" borderId="2" applyAlignment="1" pivotButton="0" quotePrefix="0" xfId="0">
      <alignment horizontal="left" vertical="center"/>
    </xf>
    <xf numFmtId="164" fontId="18" fillId="3" borderId="2" applyAlignment="1" pivotButton="0" quotePrefix="0" xfId="0">
      <alignment horizontal="right" vertical="center"/>
    </xf>
    <xf numFmtId="166" fontId="18" fillId="3" borderId="2" applyAlignment="1" pivotButton="0" quotePrefix="0" xfId="0">
      <alignment horizontal="right" vertical="center"/>
    </xf>
    <xf numFmtId="167" fontId="18" fillId="3" borderId="2" applyAlignment="1" pivotButton="0" quotePrefix="0" xfId="0">
      <alignment horizontal="right" vertical="center"/>
    </xf>
    <xf numFmtId="3" fontId="18" fillId="0" borderId="2" applyAlignment="1" pivotButton="0" quotePrefix="0" xfId="0">
      <alignment horizontal="right" vertical="center"/>
    </xf>
    <xf numFmtId="165" fontId="18" fillId="0" borderId="2" applyAlignment="1" pivotButton="0" quotePrefix="0" xfId="0">
      <alignment horizontal="right" vertical="center"/>
    </xf>
    <xf numFmtId="164" fontId="18" fillId="0" borderId="2" applyAlignment="1" pivotButton="0" quotePrefix="0" xfId="0">
      <alignment horizontal="right" vertical="center"/>
    </xf>
    <xf numFmtId="164" fontId="8" fillId="2" borderId="2" applyAlignment="1" pivotButton="0" quotePrefix="0" xfId="0">
      <alignment horizontal="right"/>
    </xf>
    <xf numFmtId="0" fontId="0" fillId="2" borderId="2" pivotButton="0" quotePrefix="0" xfId="0"/>
    <xf numFmtId="3" fontId="8" fillId="2" borderId="2" applyAlignment="1" pivotButton="0" quotePrefix="0" xfId="0">
      <alignment horizontal="right" vertical="center"/>
    </xf>
    <xf numFmtId="165" fontId="8" fillId="2" borderId="2" applyAlignment="1" pivotButton="0" quotePrefix="0" xfId="0">
      <alignment horizontal="right" vertical="center"/>
    </xf>
    <xf numFmtId="164" fontId="8" fillId="2" borderId="2" applyAlignment="1" pivotButton="0" quotePrefix="0" xfId="0">
      <alignment horizontal="right" vertical="center"/>
    </xf>
    <xf numFmtId="0" fontId="16" fillId="2" borderId="2" applyAlignment="1" pivotButton="0" quotePrefix="0" xfId="0">
      <alignment horizontal="center" vertical="center"/>
    </xf>
    <xf numFmtId="9" fontId="16" fillId="2" borderId="2" applyAlignment="1" pivotButton="0" quotePrefix="0" xfId="0">
      <alignment horizontal="center" vertical="center"/>
    </xf>
    <xf numFmtId="9" fontId="19" fillId="0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8" fillId="2" borderId="2" applyAlignment="1" pivotButton="0" quotePrefix="0" xfId="0">
      <alignment horizontal="left"/>
    </xf>
    <xf numFmtId="0" fontId="8" fillId="2" borderId="2" applyAlignment="1" pivotButton="0" quotePrefix="0" xfId="0">
      <alignment horizontal="center" vertical="center"/>
    </xf>
    <xf numFmtId="2" fontId="4" fillId="3" borderId="1" applyAlignment="1" pivotButton="0" quotePrefix="0" xfId="0">
      <alignment horizontal="right" vertical="center"/>
    </xf>
    <xf numFmtId="3" fontId="9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165" fontId="12" fillId="0" borderId="2" applyAlignment="1" pivotButton="0" quotePrefix="0" xfId="0">
      <alignment horizontal="right" vertical="center"/>
    </xf>
    <xf numFmtId="164" fontId="12" fillId="0" borderId="2" applyAlignment="1" pivotButton="0" quotePrefix="0" xfId="0">
      <alignment horizontal="right" vertical="center"/>
    </xf>
    <xf numFmtId="0" fontId="5" fillId="0" borderId="0" pivotButton="0" quotePrefix="0" xfId="0"/>
    <xf numFmtId="0" fontId="21" fillId="0" borderId="0" pivotButton="0" quotePrefix="0" xfId="0"/>
    <xf numFmtId="0" fontId="22" fillId="4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696B"/>
        </patternFill>
      </fill>
    </dxf>
    <dxf>
      <fill>
        <patternFill patternType="solid">
          <fgColor rgb="0063BE7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Model</author>
  </authors>
  <commentList>
    <comment ref="C5" authorId="0" shapeId="0">
      <text>
        <t>Total annual cases across all channels.</t>
      </text>
    </comment>
    <comment ref="C8" authorId="0" shapeId="0">
      <text>
        <t>Corporate brand marketing as % of net sales (beyond channel ad).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C38" authorId="0" shapeId="0">
      <text>
        <t>Freight of ingredients &amp; packaging to the co-packer.</t>
      </text>
    </comment>
    <comment ref="C40" authorId="0" shapeId="0">
      <text>
        <t>Fill loss &amp; spoilage. Survivors carry it: cost ÷ (1 − loss).</t>
      </text>
    </comment>
  </commentList>
</comments>
</file>

<file path=xl/comments/comment3.xml><?xml version="1.0" encoding="utf-8"?>
<comments xmlns="http://schemas.openxmlformats.org/spreadsheetml/2006/main">
  <authors>
    <author>Model</author>
  </authors>
  <commentList>
    <comment ref="C3" authorId="0" shapeId="0">
      <text>
        <t>How far to sweep price and COGS around today.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4F8CFF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16" customWidth="1" min="3" max="3"/>
    <col width="15" customWidth="1" min="4" max="4"/>
    <col width="11" customWidth="1" min="5" max="5"/>
  </cols>
  <sheetData>
    <row r="1" ht="28" customHeight="1">
      <c r="A1" s="1" t="inlineStr">
        <is>
          <t>Organika MÜV Sparkling Electrolytes — Annual P&amp;L</t>
        </is>
      </c>
    </row>
    <row r="2" ht="16" customHeight="1">
      <c r="A2" s="2" t="inlineStr">
        <is>
          <t>Yellow = inputs. COGS is built on COGS_BOM; revenue &amp; channel costs on Channels. This is the blended roll-up.</t>
        </is>
      </c>
    </row>
    <row r="4">
      <c r="A4" s="3" t="inlineStr">
        <is>
          <t>OPERATING ASSUMPTIONS</t>
        </is>
      </c>
    </row>
    <row r="5">
      <c r="B5" s="4" t="inlineStr">
        <is>
          <t>Annual volume (cases)</t>
        </is>
      </c>
      <c r="C5" s="5" t="n">
        <v>250000</v>
      </c>
    </row>
    <row r="6">
      <c r="B6" s="4" t="inlineStr">
        <is>
          <t>Units / case</t>
        </is>
      </c>
      <c r="C6" s="5" t="n">
        <v>12</v>
      </c>
    </row>
    <row r="7">
      <c r="B7" s="4" t="inlineStr">
        <is>
          <t>Total units (cans)</t>
        </is>
      </c>
      <c r="C7" s="6">
        <f>C5*C6</f>
        <v/>
      </c>
    </row>
    <row r="8">
      <c r="B8" s="4" t="inlineStr">
        <is>
          <t>Brand marketing (% net sales)</t>
        </is>
      </c>
      <c r="C8" s="7" t="n">
        <v>0.08</v>
      </c>
    </row>
    <row r="9">
      <c r="B9" s="4" t="inlineStr">
        <is>
          <t>Sales &amp; team salaries</t>
        </is>
      </c>
      <c r="C9" s="8" t="n">
        <v>600000</v>
      </c>
    </row>
    <row r="10">
      <c r="B10" s="4" t="inlineStr">
        <is>
          <t>G&amp;A / overhead</t>
        </is>
      </c>
      <c r="C10" s="8" t="n">
        <v>850000</v>
      </c>
    </row>
    <row r="11">
      <c r="B11" s="4" t="inlineStr">
        <is>
          <t>R&amp;D / innovation</t>
        </is>
      </c>
      <c r="C11" s="8" t="n">
        <v>180000</v>
      </c>
    </row>
    <row r="12">
      <c r="B12" s="4" t="inlineStr">
        <is>
          <t>Depreciation &amp; amortization</t>
        </is>
      </c>
      <c r="C12" s="8" t="n">
        <v>150000</v>
      </c>
    </row>
    <row r="13">
      <c r="B13" s="9" t="inlineStr">
        <is>
          <t>Fixed costs (sales + G&amp;A + R&amp;D)</t>
        </is>
      </c>
      <c r="C13" s="10">
        <f>C9+C10+C11</f>
        <v/>
      </c>
    </row>
    <row r="16">
      <c r="A16" s="3" t="inlineStr">
        <is>
          <t>P&amp;L STATEMENT — GROSS SALES TO EBIT</t>
        </is>
      </c>
    </row>
    <row r="17">
      <c r="B17" s="11" t="inlineStr">
        <is>
          <t>Line</t>
        </is>
      </c>
      <c r="C17" s="12" t="inlineStr">
        <is>
          <t>Total</t>
        </is>
      </c>
      <c r="D17" s="12" t="inlineStr">
        <is>
          <t>Per case</t>
        </is>
      </c>
      <c r="E17" s="12" t="inlineStr">
        <is>
          <t>% net</t>
        </is>
      </c>
    </row>
    <row r="18">
      <c r="B18" s="13" t="inlineStr">
        <is>
          <t>Gross sales</t>
        </is>
      </c>
      <c r="C18" s="14">
        <f>Channels!$L$9</f>
        <v/>
      </c>
      <c r="D18" s="15">
        <f>C18/$C$5</f>
        <v/>
      </c>
      <c r="E18" s="16">
        <f>C18/Channels!$O$9</f>
        <v/>
      </c>
    </row>
    <row r="19">
      <c r="B19" s="17" t="inlineStr">
        <is>
          <t xml:space="preserve">  Less: trade &amp; promo</t>
        </is>
      </c>
      <c r="C19" s="14">
        <f>-Channels!$M$9</f>
        <v/>
      </c>
      <c r="D19" s="15">
        <f>C19/$C$5</f>
        <v/>
      </c>
      <c r="E19" s="16">
        <f>C19/Channels!$O$9</f>
        <v/>
      </c>
    </row>
    <row r="20">
      <c r="B20" s="17" t="inlineStr">
        <is>
          <t xml:space="preserve">  Less: returns &amp; spoilage</t>
        </is>
      </c>
      <c r="C20" s="14">
        <f>-Channels!$N$9</f>
        <v/>
      </c>
      <c r="D20" s="15">
        <f>C20/$C$5</f>
        <v/>
      </c>
      <c r="E20" s="16">
        <f>C20/Channels!$O$9</f>
        <v/>
      </c>
    </row>
    <row r="21">
      <c r="B21" s="18" t="inlineStr">
        <is>
          <t>Net sales</t>
        </is>
      </c>
      <c r="C21" s="19">
        <f>Channels!$O$9</f>
        <v/>
      </c>
      <c r="D21" s="15">
        <f>C21/$C$5</f>
        <v/>
      </c>
      <c r="E21" s="16">
        <f>C21/Channels!$O$9</f>
        <v/>
      </c>
    </row>
    <row r="22">
      <c r="B22" s="17" t="inlineStr">
        <is>
          <t xml:space="preserve">  Less: COGS</t>
        </is>
      </c>
      <c r="C22" s="14">
        <f>-Channels!$P$9</f>
        <v/>
      </c>
      <c r="D22" s="15">
        <f>C22/$C$5</f>
        <v/>
      </c>
      <c r="E22" s="16">
        <f>C22/Channels!$O$9</f>
        <v/>
      </c>
    </row>
    <row r="23">
      <c r="B23" s="18" t="inlineStr">
        <is>
          <t>Gross profit</t>
        </is>
      </c>
      <c r="C23" s="19">
        <f>Channels!$Q$9</f>
        <v/>
      </c>
      <c r="D23" s="15">
        <f>C23/$C$5</f>
        <v/>
      </c>
      <c r="E23" s="16">
        <f>C23/Channels!$O$9</f>
        <v/>
      </c>
    </row>
    <row r="24">
      <c r="B24" s="17" t="inlineStr">
        <is>
          <t xml:space="preserve">  Less: fulfillment &amp; freight</t>
        </is>
      </c>
      <c r="C24" s="14">
        <f>-Channels!$T$9</f>
        <v/>
      </c>
      <c r="D24" s="15">
        <f>C24/$C$5</f>
        <v/>
      </c>
      <c r="E24" s="16">
        <f>C24/Channels!$O$9</f>
        <v/>
      </c>
    </row>
    <row r="25">
      <c r="B25" s="17" t="inlineStr">
        <is>
          <t xml:space="preserve">  Less: platform &amp; selling fees</t>
        </is>
      </c>
      <c r="C25" s="14">
        <f>-Channels!$R$9</f>
        <v/>
      </c>
      <c r="D25" s="15">
        <f>C25/$C$5</f>
        <v/>
      </c>
      <c r="E25" s="16">
        <f>C25/Channels!$O$9</f>
        <v/>
      </c>
    </row>
    <row r="26">
      <c r="B26" s="17" t="inlineStr">
        <is>
          <t xml:space="preserve">  Less: channel marketing (PPC/CAC)</t>
        </is>
      </c>
      <c r="C26" s="14">
        <f>-Channels!$S$9</f>
        <v/>
      </c>
      <c r="D26" s="15">
        <f>C26/$C$5</f>
        <v/>
      </c>
      <c r="E26" s="16">
        <f>C26/Channels!$O$9</f>
        <v/>
      </c>
    </row>
    <row r="27">
      <c r="B27" s="17" t="inlineStr">
        <is>
          <t xml:space="preserve">  Less: slotting &amp; listing</t>
        </is>
      </c>
      <c r="C27" s="14">
        <f>-Channels!$U$9</f>
        <v/>
      </c>
      <c r="D27" s="15">
        <f>C27/$C$5</f>
        <v/>
      </c>
      <c r="E27" s="16">
        <f>C27/Channels!$O$9</f>
        <v/>
      </c>
    </row>
    <row r="28">
      <c r="B28" s="18" t="inlineStr">
        <is>
          <t>Contribution margin</t>
        </is>
      </c>
      <c r="C28" s="19">
        <f>Channels!$V$9</f>
        <v/>
      </c>
      <c r="D28" s="15">
        <f>C28/$C$5</f>
        <v/>
      </c>
      <c r="E28" s="16">
        <f>C28/Channels!$O$9</f>
        <v/>
      </c>
    </row>
    <row r="29">
      <c r="B29" s="17" t="inlineStr">
        <is>
          <t xml:space="preserve">  Less: brand marketing</t>
        </is>
      </c>
      <c r="C29" s="14">
        <f>-C8*Channels!$O$9</f>
        <v/>
      </c>
      <c r="D29" s="15">
        <f>C29/$C$5</f>
        <v/>
      </c>
      <c r="E29" s="16">
        <f>C29/Channels!$O$9</f>
        <v/>
      </c>
    </row>
    <row r="30">
      <c r="B30" s="17" t="inlineStr">
        <is>
          <t xml:space="preserve">  Less: sales &amp; team</t>
        </is>
      </c>
      <c r="C30" s="14">
        <f>-C9</f>
        <v/>
      </c>
      <c r="D30" s="15">
        <f>C30/$C$5</f>
        <v/>
      </c>
      <c r="E30" s="16">
        <f>C30/Channels!$O$9</f>
        <v/>
      </c>
    </row>
    <row r="31">
      <c r="B31" s="17" t="inlineStr">
        <is>
          <t xml:space="preserve">  Less: G&amp;A / overhead</t>
        </is>
      </c>
      <c r="C31" s="14">
        <f>-C10</f>
        <v/>
      </c>
      <c r="D31" s="15">
        <f>C31/$C$5</f>
        <v/>
      </c>
      <c r="E31" s="16">
        <f>C31/Channels!$O$9</f>
        <v/>
      </c>
    </row>
    <row r="32">
      <c r="B32" s="17" t="inlineStr">
        <is>
          <t xml:space="preserve">  Less: R&amp;D</t>
        </is>
      </c>
      <c r="C32" s="14">
        <f>-C11</f>
        <v/>
      </c>
      <c r="D32" s="15">
        <f>C32/$C$5</f>
        <v/>
      </c>
      <c r="E32" s="16">
        <f>C32/Channels!$O$9</f>
        <v/>
      </c>
    </row>
    <row r="33">
      <c r="B33" s="18" t="inlineStr">
        <is>
          <t>EBITDA</t>
        </is>
      </c>
      <c r="C33" s="19">
        <f>Channels!$V$9-C8*Channels!$O$9-C13</f>
        <v/>
      </c>
      <c r="D33" s="15">
        <f>C33/$C$5</f>
        <v/>
      </c>
      <c r="E33" s="16">
        <f>C33/Channels!$O$9</f>
        <v/>
      </c>
    </row>
    <row r="34">
      <c r="B34" s="17" t="inlineStr">
        <is>
          <t xml:space="preserve">  Less: D&amp;A</t>
        </is>
      </c>
      <c r="C34" s="14">
        <f>-C12</f>
        <v/>
      </c>
      <c r="D34" s="15">
        <f>C34/$C$5</f>
        <v/>
      </c>
      <c r="E34" s="16">
        <f>C34/Channels!$O$9</f>
        <v/>
      </c>
    </row>
    <row r="35">
      <c r="B35" s="18" t="inlineStr">
        <is>
          <t>EBIT</t>
        </is>
      </c>
      <c r="C35" s="19">
        <f>Channels!$V$9-C8*Channels!$O$9-C13-C12</f>
        <v/>
      </c>
      <c r="D35" s="15">
        <f>C35/$C$5</f>
        <v/>
      </c>
      <c r="E35" s="16">
        <f>C35/Channels!$O$9</f>
        <v/>
      </c>
    </row>
    <row r="37">
      <c r="B37" s="9" t="inlineStr">
        <is>
          <t>Break-even cases (EBITDA = 0)</t>
        </is>
      </c>
      <c r="C37" s="20">
        <f>C13/((Channels!$V$9/C5)-C8*(Channels!$O$9/C5))</f>
        <v/>
      </c>
    </row>
  </sheetData>
  <mergeCells count="4">
    <mergeCell ref="A2:E2"/>
    <mergeCell ref="A16:E16"/>
    <mergeCell ref="A1:E1"/>
    <mergeCell ref="A4:E4"/>
  </mergeCells>
  <conditionalFormatting sqref="C33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BB3A3"/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14" customWidth="1" min="3" max="3"/>
  </cols>
  <sheetData>
    <row r="1" ht="28" customHeight="1">
      <c r="A1" s="1" t="inlineStr">
        <is>
          <t>Bill of materials — landed cost per 355 ml can</t>
        </is>
      </c>
    </row>
    <row r="2" ht="16" customHeight="1">
      <c r="A2" s="2" t="inlineStr">
        <is>
          <t>Edit any line (yellow). Groups roll up, then a yield-loss allowance grosses up the survivors.</t>
        </is>
      </c>
    </row>
    <row r="4">
      <c r="A4" s="3" t="inlineStr">
        <is>
          <t>LIQUID &amp; INGREDIENTS</t>
        </is>
      </c>
    </row>
    <row r="5">
      <c r="B5" s="4" t="inlineStr">
        <is>
          <t>Carbonated water (RO + CO₂)</t>
        </is>
      </c>
      <c r="C5" s="21" t="n">
        <v>0.014</v>
      </c>
    </row>
    <row r="6">
      <c r="B6" s="4" t="inlineStr">
        <is>
          <t>Sodium / potassium citrate blend</t>
        </is>
      </c>
      <c r="C6" s="21" t="n">
        <v>0.055</v>
      </c>
    </row>
    <row r="7">
      <c r="B7" s="4" t="inlineStr">
        <is>
          <t>Magnesium bisglycinate</t>
        </is>
      </c>
      <c r="C7" s="21" t="n">
        <v>0.048</v>
      </c>
    </row>
    <row r="8">
      <c r="B8" s="4" t="inlineStr">
        <is>
          <t>Fibersol® prebiotic fiber</t>
        </is>
      </c>
      <c r="C8" s="21" t="n">
        <v>0.03</v>
      </c>
    </row>
    <row r="9">
      <c r="B9" s="4" t="inlineStr">
        <is>
          <t>Natural flavour</t>
        </is>
      </c>
      <c r="C9" s="21" t="n">
        <v>0.04</v>
      </c>
    </row>
    <row r="10">
      <c r="B10" s="4" t="inlineStr">
        <is>
          <t>Acids (citric / malic / phosphoric)</t>
        </is>
      </c>
      <c r="C10" s="21" t="n">
        <v>0.01</v>
      </c>
    </row>
    <row r="11">
      <c r="B11" s="4" t="inlineStr">
        <is>
          <t>Stevia extract</t>
        </is>
      </c>
      <c r="C11" s="21" t="n">
        <v>0.022</v>
      </c>
    </row>
    <row r="12">
      <c r="B12" s="22" t="inlineStr">
        <is>
          <t xml:space="preserve">  subtotal</t>
        </is>
      </c>
      <c r="C12" s="23">
        <f>SUM(C5:C11)</f>
        <v/>
      </c>
    </row>
    <row r="14">
      <c r="A14" s="3" t="inlineStr">
        <is>
          <t>PRIMARY PACKAGING</t>
        </is>
      </c>
    </row>
    <row r="15">
      <c r="B15" s="4" t="inlineStr">
        <is>
          <t>Aluminium can 355 ml (printed)</t>
        </is>
      </c>
      <c r="C15" s="21" t="n">
        <v>0.15</v>
      </c>
    </row>
    <row r="16">
      <c r="B16" s="4" t="inlineStr">
        <is>
          <t>Can end / lid</t>
        </is>
      </c>
      <c r="C16" s="21" t="n">
        <v>0.022</v>
      </c>
    </row>
    <row r="17">
      <c r="B17" s="4" t="inlineStr">
        <is>
          <t>Tab</t>
        </is>
      </c>
      <c r="C17" s="21" t="n">
        <v>0.004</v>
      </c>
    </row>
    <row r="18">
      <c r="B18" s="22" t="inlineStr">
        <is>
          <t xml:space="preserve">  subtotal</t>
        </is>
      </c>
      <c r="C18" s="23">
        <f>SUM(C15:C17)</f>
        <v/>
      </c>
    </row>
    <row r="20">
      <c r="A20" s="3" t="inlineStr">
        <is>
          <t>SECONDARY PACKAGING</t>
        </is>
      </c>
    </row>
    <row r="21">
      <c r="B21" s="4" t="inlineStr">
        <is>
          <t>Tray (per can)</t>
        </is>
      </c>
      <c r="C21" s="21" t="n">
        <v>0.016</v>
      </c>
    </row>
    <row r="22">
      <c r="B22" s="4" t="inlineStr">
        <is>
          <t>Shrink film (per can)</t>
        </is>
      </c>
      <c r="C22" s="21" t="n">
        <v>0.006</v>
      </c>
    </row>
    <row r="23">
      <c r="B23" s="22" t="inlineStr">
        <is>
          <t xml:space="preserve">  subtotal</t>
        </is>
      </c>
      <c r="C23" s="23">
        <f>SUM(C21:C22)</f>
        <v/>
      </c>
    </row>
    <row r="25">
      <c r="A25" s="3" t="inlineStr">
        <is>
          <t>TERTIARY / LOGISTICS</t>
        </is>
      </c>
    </row>
    <row r="26">
      <c r="B26" s="4" t="inlineStr">
        <is>
          <t>Case / carton (per can)</t>
        </is>
      </c>
      <c r="C26" s="21" t="n">
        <v>0.006</v>
      </c>
    </row>
    <row r="27">
      <c r="B27" s="4" t="inlineStr">
        <is>
          <t>Pallet &amp; stretch wrap (per can)</t>
        </is>
      </c>
      <c r="C27" s="21" t="n">
        <v>0.003</v>
      </c>
    </row>
    <row r="28">
      <c r="B28" s="22" t="inlineStr">
        <is>
          <t xml:space="preserve">  subtotal</t>
        </is>
      </c>
      <c r="C28" s="23">
        <f>SUM(C26:C27)</f>
        <v/>
      </c>
    </row>
    <row r="30">
      <c r="A30" s="3" t="inlineStr">
        <is>
          <t>CO-PACK CONVERSION</t>
        </is>
      </c>
    </row>
    <row r="31">
      <c r="B31" s="4" t="inlineStr">
        <is>
          <t>Co-pack fill &amp; seam fee</t>
        </is>
      </c>
      <c r="C31" s="21" t="n">
        <v>0.09</v>
      </c>
    </row>
    <row r="32">
      <c r="B32" s="4" t="inlineStr">
        <is>
          <t>Blending / batching</t>
        </is>
      </c>
      <c r="C32" s="21" t="n">
        <v>0.018</v>
      </c>
    </row>
    <row r="33">
      <c r="B33" s="4" t="inlineStr">
        <is>
          <t>QA / lab / coding</t>
        </is>
      </c>
      <c r="C33" s="21" t="n">
        <v>0.008</v>
      </c>
    </row>
    <row r="34">
      <c r="B34" s="22" t="inlineStr">
        <is>
          <t xml:space="preserve">  subtotal</t>
        </is>
      </c>
      <c r="C34" s="23">
        <f>SUM(C31:C33)</f>
        <v/>
      </c>
    </row>
    <row r="36">
      <c r="A36" s="3" t="inlineStr">
        <is>
          <t>ROLL-UP TO COGS / UNIT</t>
        </is>
      </c>
    </row>
    <row r="37">
      <c r="B37" s="4" t="inlineStr">
        <is>
          <t>Sum of components</t>
        </is>
      </c>
      <c r="C37" s="24">
        <f>C12+C18+C23+C28+C34</f>
        <v/>
      </c>
    </row>
    <row r="38">
      <c r="B38" s="4" t="inlineStr">
        <is>
          <t>Inbound freight / unit</t>
        </is>
      </c>
      <c r="C38" s="21" t="n">
        <v>0.016</v>
      </c>
    </row>
    <row r="39">
      <c r="B39" s="4" t="inlineStr">
        <is>
          <t>Landed cost before loss</t>
        </is>
      </c>
      <c r="C39" s="24">
        <f>C37+C38</f>
        <v/>
      </c>
    </row>
    <row r="40">
      <c r="B40" s="4" t="inlineStr">
        <is>
          <t>Yield / scrap loss</t>
        </is>
      </c>
      <c r="C40" s="7" t="n">
        <v>0.04</v>
      </c>
    </row>
    <row r="41">
      <c r="B41" s="9" t="inlineStr">
        <is>
          <t>COGS / unit (landed)</t>
        </is>
      </c>
      <c r="C41" s="25">
        <f>C39/(1-C40)</f>
        <v/>
      </c>
    </row>
    <row r="42">
      <c r="B42" s="9" t="inlineStr">
        <is>
          <t>COGS / case</t>
        </is>
      </c>
      <c r="C42" s="26">
        <f>C41*'P&amp;L'!C6</f>
        <v/>
      </c>
    </row>
  </sheetData>
  <mergeCells count="8">
    <mergeCell ref="A25:C25"/>
    <mergeCell ref="A36:C36"/>
    <mergeCell ref="A1:C1"/>
    <mergeCell ref="A14:C14"/>
    <mergeCell ref="A30:C30"/>
    <mergeCell ref="A4:C4"/>
    <mergeCell ref="A20:C20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3E0A0"/>
    <outlinePr summaryBelow="1" summaryRight="1"/>
    <pageSetUpPr/>
  </sheetPr>
  <dimension ref="A1:W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1" customWidth="1" min="11" max="11"/>
    <col width="12" customWidth="1" min="12" max="12"/>
    <col width="10" customWidth="1" min="13" max="13"/>
    <col width="9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9" customWidth="1" min="20" max="20"/>
    <col width="9" customWidth="1" min="21" max="21"/>
    <col width="13" customWidth="1" min="22" max="22"/>
    <col width="8" customWidth="1" min="23" max="23"/>
  </cols>
  <sheetData>
    <row r="1" ht="28" customHeight="1">
      <c r="A1" s="1" t="inlineStr">
        <is>
          <t>Channel economics — route-to-market P&amp;L</t>
        </is>
      </c>
    </row>
    <row r="2" ht="16" customHeight="1">
      <c r="A2" s="2" t="inlineStr">
        <is>
          <t>Each channel carries its own price realization and cost stack. Columns K–W are live formulas; the totals row feeds the P&amp;L.</t>
        </is>
      </c>
    </row>
    <row r="4">
      <c r="A4" s="27" t="inlineStr">
        <is>
          <t>Channel</t>
        </is>
      </c>
      <c r="B4" s="28" t="inlineStr">
        <is>
          <t>Mix %</t>
        </is>
      </c>
      <c r="C4" s="28" t="inlineStr">
        <is>
          <t>SRP</t>
        </is>
      </c>
      <c r="D4" s="28" t="inlineStr">
        <is>
          <t>Sell price</t>
        </is>
      </c>
      <c r="E4" s="28" t="inlineStr">
        <is>
          <t>Trade %</t>
        </is>
      </c>
      <c r="F4" s="28" t="inlineStr">
        <is>
          <t>Spoil %</t>
        </is>
      </c>
      <c r="G4" s="28" t="inlineStr">
        <is>
          <t>Fee %</t>
        </is>
      </c>
      <c r="H4" s="28" t="inlineStr">
        <is>
          <t>Ad %</t>
        </is>
      </c>
      <c r="I4" s="28" t="inlineStr">
        <is>
          <t>Ful $</t>
        </is>
      </c>
      <c r="J4" s="28" t="inlineStr">
        <is>
          <t>Slot $</t>
        </is>
      </c>
      <c r="K4" s="28" t="inlineStr">
        <is>
          <t>Units</t>
        </is>
      </c>
      <c r="L4" s="28" t="inlineStr">
        <is>
          <t>Gross</t>
        </is>
      </c>
      <c r="M4" s="28" t="inlineStr">
        <is>
          <t>Trade</t>
        </is>
      </c>
      <c r="N4" s="28" t="inlineStr">
        <is>
          <t>Spoil</t>
        </is>
      </c>
      <c r="O4" s="28" t="inlineStr">
        <is>
          <t>Net</t>
        </is>
      </c>
      <c r="P4" s="28" t="inlineStr">
        <is>
          <t>COGS</t>
        </is>
      </c>
      <c r="Q4" s="28" t="inlineStr">
        <is>
          <t>Gross profit</t>
        </is>
      </c>
      <c r="R4" s="28" t="inlineStr">
        <is>
          <t>Fees</t>
        </is>
      </c>
      <c r="S4" s="28" t="inlineStr">
        <is>
          <t>Ad</t>
        </is>
      </c>
      <c r="T4" s="28" t="inlineStr">
        <is>
          <t>Ful</t>
        </is>
      </c>
      <c r="U4" s="28" t="inlineStr">
        <is>
          <t>Slot</t>
        </is>
      </c>
      <c r="V4" s="28" t="inlineStr">
        <is>
          <t>Contribution</t>
        </is>
      </c>
      <c r="W4" s="28" t="inlineStr">
        <is>
          <t>CM %</t>
        </is>
      </c>
    </row>
    <row r="5">
      <c r="A5" s="29" t="inlineStr">
        <is>
          <t>DTC (own site)</t>
        </is>
      </c>
      <c r="B5" s="30" t="n">
        <v>0.12</v>
      </c>
      <c r="C5" s="31" t="n">
        <v>2.99</v>
      </c>
      <c r="D5" s="31" t="n">
        <v>2.99</v>
      </c>
      <c r="E5" s="30" t="n">
        <v>0.12</v>
      </c>
      <c r="F5" s="30" t="n">
        <v>0.02</v>
      </c>
      <c r="G5" s="30" t="n">
        <v>0.03</v>
      </c>
      <c r="H5" s="30" t="n">
        <v>0.22</v>
      </c>
      <c r="I5" s="32" t="n">
        <v>0.85</v>
      </c>
      <c r="J5" s="32" t="n">
        <v>0</v>
      </c>
      <c r="K5" s="33">
        <f>'P&amp;L'!$C$7*B5</f>
        <v/>
      </c>
      <c r="L5" s="34">
        <f>D5*K5</f>
        <v/>
      </c>
      <c r="M5" s="34">
        <f>L5*E5</f>
        <v/>
      </c>
      <c r="N5" s="34">
        <f>L5*F5</f>
        <v/>
      </c>
      <c r="O5" s="34">
        <f>L5-M5-N5</f>
        <v/>
      </c>
      <c r="P5" s="34">
        <f>COGS_BOM!$C$41*K5</f>
        <v/>
      </c>
      <c r="Q5" s="34">
        <f>O5-P5</f>
        <v/>
      </c>
      <c r="R5" s="34">
        <f>L5*G5</f>
        <v/>
      </c>
      <c r="S5" s="34">
        <f>L5*H5</f>
        <v/>
      </c>
      <c r="T5" s="34">
        <f>I5*K5</f>
        <v/>
      </c>
      <c r="U5" s="34">
        <f>J5*K5</f>
        <v/>
      </c>
      <c r="V5" s="34">
        <f>Q5-R5-S5-T5-U5</f>
        <v/>
      </c>
      <c r="W5" s="35">
        <f>IF(O5&lt;&gt;0,V5/O5,"")</f>
        <v/>
      </c>
    </row>
    <row r="6">
      <c r="A6" s="29" t="inlineStr">
        <is>
          <t>Amazon</t>
        </is>
      </c>
      <c r="B6" s="30" t="n">
        <v>0.18</v>
      </c>
      <c r="C6" s="31" t="n">
        <v>2.99</v>
      </c>
      <c r="D6" s="31" t="n">
        <v>2.79</v>
      </c>
      <c r="E6" s="30" t="n">
        <v>0.08</v>
      </c>
      <c r="F6" s="30" t="n">
        <v>0.03</v>
      </c>
      <c r="G6" s="30" t="n">
        <v>0.15</v>
      </c>
      <c r="H6" s="30" t="n">
        <v>0.13</v>
      </c>
      <c r="I6" s="32" t="n">
        <v>0.48</v>
      </c>
      <c r="J6" s="32" t="n">
        <v>0</v>
      </c>
      <c r="K6" s="33">
        <f>'P&amp;L'!$C$7*B6</f>
        <v/>
      </c>
      <c r="L6" s="34">
        <f>D6*K6</f>
        <v/>
      </c>
      <c r="M6" s="34">
        <f>L6*E6</f>
        <v/>
      </c>
      <c r="N6" s="34">
        <f>L6*F6</f>
        <v/>
      </c>
      <c r="O6" s="34">
        <f>L6-M6-N6</f>
        <v/>
      </c>
      <c r="P6" s="34">
        <f>COGS_BOM!$C$41*K6</f>
        <v/>
      </c>
      <c r="Q6" s="34">
        <f>O6-P6</f>
        <v/>
      </c>
      <c r="R6" s="34">
        <f>L6*G6</f>
        <v/>
      </c>
      <c r="S6" s="34">
        <f>L6*H6</f>
        <v/>
      </c>
      <c r="T6" s="34">
        <f>I6*K6</f>
        <v/>
      </c>
      <c r="U6" s="34">
        <f>J6*K6</f>
        <v/>
      </c>
      <c r="V6" s="34">
        <f>Q6-R6-S6-T6-U6</f>
        <v/>
      </c>
      <c r="W6" s="35">
        <f>IF(O6&lt;&gt;0,V6/O6,"")</f>
        <v/>
      </c>
    </row>
    <row r="7">
      <c r="A7" s="29" t="inlineStr">
        <is>
          <t>Retail / Distributor</t>
        </is>
      </c>
      <c r="B7" s="30" t="n">
        <v>0.52</v>
      </c>
      <c r="C7" s="31" t="n">
        <v>2.99</v>
      </c>
      <c r="D7" s="31" t="n">
        <v>1.55</v>
      </c>
      <c r="E7" s="30" t="n">
        <v>0.15</v>
      </c>
      <c r="F7" s="30" t="n">
        <v>0.02</v>
      </c>
      <c r="G7" s="30" t="n">
        <v>0.05</v>
      </c>
      <c r="H7" s="30" t="n">
        <v>0.02</v>
      </c>
      <c r="I7" s="32" t="n">
        <v>0.11</v>
      </c>
      <c r="J7" s="32" t="n">
        <v>0.07000000000000001</v>
      </c>
      <c r="K7" s="33">
        <f>'P&amp;L'!$C$7*B7</f>
        <v/>
      </c>
      <c r="L7" s="34">
        <f>D7*K7</f>
        <v/>
      </c>
      <c r="M7" s="34">
        <f>L7*E7</f>
        <v/>
      </c>
      <c r="N7" s="34">
        <f>L7*F7</f>
        <v/>
      </c>
      <c r="O7" s="34">
        <f>L7-M7-N7</f>
        <v/>
      </c>
      <c r="P7" s="34">
        <f>COGS_BOM!$C$41*K7</f>
        <v/>
      </c>
      <c r="Q7" s="34">
        <f>O7-P7</f>
        <v/>
      </c>
      <c r="R7" s="34">
        <f>L7*G7</f>
        <v/>
      </c>
      <c r="S7" s="34">
        <f>L7*H7</f>
        <v/>
      </c>
      <c r="T7" s="34">
        <f>I7*K7</f>
        <v/>
      </c>
      <c r="U7" s="34">
        <f>J7*K7</f>
        <v/>
      </c>
      <c r="V7" s="34">
        <f>Q7-R7-S7-T7-U7</f>
        <v/>
      </c>
      <c r="W7" s="35">
        <f>IF(O7&lt;&gt;0,V7/O7,"")</f>
        <v/>
      </c>
    </row>
    <row r="8">
      <c r="A8" s="29" t="inlineStr">
        <is>
          <t>Club / Mass</t>
        </is>
      </c>
      <c r="B8" s="30" t="n">
        <v>0.18</v>
      </c>
      <c r="C8" s="31" t="n">
        <v>2.79</v>
      </c>
      <c r="D8" s="31" t="n">
        <v>1.4</v>
      </c>
      <c r="E8" s="30" t="n">
        <v>0.08</v>
      </c>
      <c r="F8" s="30" t="n">
        <v>0.01</v>
      </c>
      <c r="G8" s="30" t="n">
        <v>0.03</v>
      </c>
      <c r="H8" s="30" t="n">
        <v>0.01</v>
      </c>
      <c r="I8" s="32" t="n">
        <v>0.09</v>
      </c>
      <c r="J8" s="32" t="n">
        <v>0.1</v>
      </c>
      <c r="K8" s="33">
        <f>'P&amp;L'!$C$7*B8</f>
        <v/>
      </c>
      <c r="L8" s="34">
        <f>D8*K8</f>
        <v/>
      </c>
      <c r="M8" s="34">
        <f>L8*E8</f>
        <v/>
      </c>
      <c r="N8" s="34">
        <f>L8*F8</f>
        <v/>
      </c>
      <c r="O8" s="34">
        <f>L8-M8-N8</f>
        <v/>
      </c>
      <c r="P8" s="34">
        <f>COGS_BOM!$C$41*K8</f>
        <v/>
      </c>
      <c r="Q8" s="34">
        <f>O8-P8</f>
        <v/>
      </c>
      <c r="R8" s="34">
        <f>L8*G8</f>
        <v/>
      </c>
      <c r="S8" s="34">
        <f>L8*H8</f>
        <v/>
      </c>
      <c r="T8" s="34">
        <f>I8*K8</f>
        <v/>
      </c>
      <c r="U8" s="34">
        <f>J8*K8</f>
        <v/>
      </c>
      <c r="V8" s="34">
        <f>Q8-R8-S8-T8-U8</f>
        <v/>
      </c>
      <c r="W8" s="35">
        <f>IF(O8&lt;&gt;0,V8/O8,"")</f>
        <v/>
      </c>
    </row>
    <row r="9">
      <c r="A9" s="11" t="inlineStr">
        <is>
          <t>Company total</t>
        </is>
      </c>
      <c r="B9" s="36">
        <f>SUM(B5:B8)</f>
        <v/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8">
        <f>SUM(K5:K8)</f>
        <v/>
      </c>
      <c r="L9" s="39">
        <f>SUM(L5:L8)</f>
        <v/>
      </c>
      <c r="M9" s="39">
        <f>SUM(M5:M8)</f>
        <v/>
      </c>
      <c r="N9" s="39">
        <f>SUM(N5:N8)</f>
        <v/>
      </c>
      <c r="O9" s="39">
        <f>SUM(O5:O8)</f>
        <v/>
      </c>
      <c r="P9" s="39">
        <f>SUM(P5:P8)</f>
        <v/>
      </c>
      <c r="Q9" s="39">
        <f>SUM(Q5:Q8)</f>
        <v/>
      </c>
      <c r="R9" s="39">
        <f>SUM(R5:R8)</f>
        <v/>
      </c>
      <c r="S9" s="39">
        <f>SUM(S5:S8)</f>
        <v/>
      </c>
      <c r="T9" s="39">
        <f>SUM(T5:T8)</f>
        <v/>
      </c>
      <c r="U9" s="39">
        <f>SUM(U5:U8)</f>
        <v/>
      </c>
      <c r="V9" s="39">
        <f>SUM(V5:V8)</f>
        <v/>
      </c>
      <c r="W9" s="40">
        <f>V9/O9</f>
        <v/>
      </c>
    </row>
  </sheetData>
  <mergeCells count="2">
    <mergeCell ref="A2:W2"/>
    <mergeCell ref="A1:W1"/>
  </mergeCells>
  <conditionalFormatting sqref="W5:W8">
    <cfRule type="colorScale" priority="1">
      <colorScale>
        <cfvo type="num" val="0"/>
        <cfvo type="num" val="0.25"/>
        <cfvo type="num" val="0.4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24B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Sensitivity — EBITDA % across price × COGS</t>
        </is>
      </c>
    </row>
    <row r="2" ht="16" customHeight="1">
      <c r="A2" s="2" t="inlineStr">
        <is>
          <t>Every cell re-runs the blended model for a scaled selling-price and COGS. Centre = today. Edit the range.</t>
        </is>
      </c>
    </row>
    <row r="3">
      <c r="B3" s="4" t="inlineStr">
        <is>
          <t>Range ±</t>
        </is>
      </c>
      <c r="C3" s="7" t="n">
        <v>0.2</v>
      </c>
    </row>
    <row r="6">
      <c r="B6" s="41" t="inlineStr">
        <is>
          <t>Price ↓ / COGS →</t>
        </is>
      </c>
      <c r="C6" s="42">
        <f>1+$C$3*((0/3)-1)</f>
        <v/>
      </c>
      <c r="D6" s="42">
        <f>1+$C$3*((1/3)-1)</f>
        <v/>
      </c>
      <c r="E6" s="42">
        <f>1+$C$3*((2/3)-1)</f>
        <v/>
      </c>
      <c r="F6" s="42">
        <f>1+$C$3*((3/3)-1)</f>
        <v/>
      </c>
      <c r="G6" s="42">
        <f>1+$C$3*((4/3)-1)</f>
        <v/>
      </c>
      <c r="H6" s="42">
        <f>1+$C$3*((5/3)-1)</f>
        <v/>
      </c>
      <c r="I6" s="42">
        <f>1+$C$3*((6/3)-1)</f>
        <v/>
      </c>
    </row>
    <row r="7">
      <c r="B7" s="42">
        <f>1+$C$3*(1-(0/3))</f>
        <v/>
      </c>
      <c r="C7" s="43">
        <f>($B7*Channels!$O$9-C$6*Channels!$P$9-$B7*(Channels!$R$9+Channels!$S$9)-(Channels!$T$9+Channels!$U$9)-'P&amp;L'!$C$8*$B7*Channels!$O$9-'P&amp;L'!$C$13)/($B7*Channels!$O$9)</f>
        <v/>
      </c>
      <c r="D7" s="43">
        <f>($B7*Channels!$O$9-D$6*Channels!$P$9-$B7*(Channels!$R$9+Channels!$S$9)-(Channels!$T$9+Channels!$U$9)-'P&amp;L'!$C$8*$B7*Channels!$O$9-'P&amp;L'!$C$13)/($B7*Channels!$O$9)</f>
        <v/>
      </c>
      <c r="E7" s="43">
        <f>($B7*Channels!$O$9-E$6*Channels!$P$9-$B7*(Channels!$R$9+Channels!$S$9)-(Channels!$T$9+Channels!$U$9)-'P&amp;L'!$C$8*$B7*Channels!$O$9-'P&amp;L'!$C$13)/($B7*Channels!$O$9)</f>
        <v/>
      </c>
      <c r="F7" s="43">
        <f>($B7*Channels!$O$9-F$6*Channels!$P$9-$B7*(Channels!$R$9+Channels!$S$9)-(Channels!$T$9+Channels!$U$9)-'P&amp;L'!$C$8*$B7*Channels!$O$9-'P&amp;L'!$C$13)/($B7*Channels!$O$9)</f>
        <v/>
      </c>
      <c r="G7" s="43">
        <f>($B7*Channels!$O$9-G$6*Channels!$P$9-$B7*(Channels!$R$9+Channels!$S$9)-(Channels!$T$9+Channels!$U$9)-'P&amp;L'!$C$8*$B7*Channels!$O$9-'P&amp;L'!$C$13)/($B7*Channels!$O$9)</f>
        <v/>
      </c>
      <c r="H7" s="43">
        <f>($B7*Channels!$O$9-H$6*Channels!$P$9-$B7*(Channels!$R$9+Channels!$S$9)-(Channels!$T$9+Channels!$U$9)-'P&amp;L'!$C$8*$B7*Channels!$O$9-'P&amp;L'!$C$13)/($B7*Channels!$O$9)</f>
        <v/>
      </c>
      <c r="I7" s="43">
        <f>($B7*Channels!$O$9-I$6*Channels!$P$9-$B7*(Channels!$R$9+Channels!$S$9)-(Channels!$T$9+Channels!$U$9)-'P&amp;L'!$C$8*$B7*Channels!$O$9-'P&amp;L'!$C$13)/($B7*Channels!$O$9)</f>
        <v/>
      </c>
    </row>
    <row r="8">
      <c r="B8" s="42">
        <f>1+$C$3*(1-(1/3))</f>
        <v/>
      </c>
      <c r="C8" s="43">
        <f>($B8*Channels!$O$9-C$6*Channels!$P$9-$B8*(Channels!$R$9+Channels!$S$9)-(Channels!$T$9+Channels!$U$9)-'P&amp;L'!$C$8*$B8*Channels!$O$9-'P&amp;L'!$C$13)/($B8*Channels!$O$9)</f>
        <v/>
      </c>
      <c r="D8" s="43">
        <f>($B8*Channels!$O$9-D$6*Channels!$P$9-$B8*(Channels!$R$9+Channels!$S$9)-(Channels!$T$9+Channels!$U$9)-'P&amp;L'!$C$8*$B8*Channels!$O$9-'P&amp;L'!$C$13)/($B8*Channels!$O$9)</f>
        <v/>
      </c>
      <c r="E8" s="43">
        <f>($B8*Channels!$O$9-E$6*Channels!$P$9-$B8*(Channels!$R$9+Channels!$S$9)-(Channels!$T$9+Channels!$U$9)-'P&amp;L'!$C$8*$B8*Channels!$O$9-'P&amp;L'!$C$13)/($B8*Channels!$O$9)</f>
        <v/>
      </c>
      <c r="F8" s="43">
        <f>($B8*Channels!$O$9-F$6*Channels!$P$9-$B8*(Channels!$R$9+Channels!$S$9)-(Channels!$T$9+Channels!$U$9)-'P&amp;L'!$C$8*$B8*Channels!$O$9-'P&amp;L'!$C$13)/($B8*Channels!$O$9)</f>
        <v/>
      </c>
      <c r="G8" s="43">
        <f>($B8*Channels!$O$9-G$6*Channels!$P$9-$B8*(Channels!$R$9+Channels!$S$9)-(Channels!$T$9+Channels!$U$9)-'P&amp;L'!$C$8*$B8*Channels!$O$9-'P&amp;L'!$C$13)/($B8*Channels!$O$9)</f>
        <v/>
      </c>
      <c r="H8" s="43">
        <f>($B8*Channels!$O$9-H$6*Channels!$P$9-$B8*(Channels!$R$9+Channels!$S$9)-(Channels!$T$9+Channels!$U$9)-'P&amp;L'!$C$8*$B8*Channels!$O$9-'P&amp;L'!$C$13)/($B8*Channels!$O$9)</f>
        <v/>
      </c>
      <c r="I8" s="43">
        <f>($B8*Channels!$O$9-I$6*Channels!$P$9-$B8*(Channels!$R$9+Channels!$S$9)-(Channels!$T$9+Channels!$U$9)-'P&amp;L'!$C$8*$B8*Channels!$O$9-'P&amp;L'!$C$13)/($B8*Channels!$O$9)</f>
        <v/>
      </c>
    </row>
    <row r="9">
      <c r="B9" s="42">
        <f>1+$C$3*(1-(2/3))</f>
        <v/>
      </c>
      <c r="C9" s="43">
        <f>($B9*Channels!$O$9-C$6*Channels!$P$9-$B9*(Channels!$R$9+Channels!$S$9)-(Channels!$T$9+Channels!$U$9)-'P&amp;L'!$C$8*$B9*Channels!$O$9-'P&amp;L'!$C$13)/($B9*Channels!$O$9)</f>
        <v/>
      </c>
      <c r="D9" s="43">
        <f>($B9*Channels!$O$9-D$6*Channels!$P$9-$B9*(Channels!$R$9+Channels!$S$9)-(Channels!$T$9+Channels!$U$9)-'P&amp;L'!$C$8*$B9*Channels!$O$9-'P&amp;L'!$C$13)/($B9*Channels!$O$9)</f>
        <v/>
      </c>
      <c r="E9" s="43">
        <f>($B9*Channels!$O$9-E$6*Channels!$P$9-$B9*(Channels!$R$9+Channels!$S$9)-(Channels!$T$9+Channels!$U$9)-'P&amp;L'!$C$8*$B9*Channels!$O$9-'P&amp;L'!$C$13)/($B9*Channels!$O$9)</f>
        <v/>
      </c>
      <c r="F9" s="43">
        <f>($B9*Channels!$O$9-F$6*Channels!$P$9-$B9*(Channels!$R$9+Channels!$S$9)-(Channels!$T$9+Channels!$U$9)-'P&amp;L'!$C$8*$B9*Channels!$O$9-'P&amp;L'!$C$13)/($B9*Channels!$O$9)</f>
        <v/>
      </c>
      <c r="G9" s="43">
        <f>($B9*Channels!$O$9-G$6*Channels!$P$9-$B9*(Channels!$R$9+Channels!$S$9)-(Channels!$T$9+Channels!$U$9)-'P&amp;L'!$C$8*$B9*Channels!$O$9-'P&amp;L'!$C$13)/($B9*Channels!$O$9)</f>
        <v/>
      </c>
      <c r="H9" s="43">
        <f>($B9*Channels!$O$9-H$6*Channels!$P$9-$B9*(Channels!$R$9+Channels!$S$9)-(Channels!$T$9+Channels!$U$9)-'P&amp;L'!$C$8*$B9*Channels!$O$9-'P&amp;L'!$C$13)/($B9*Channels!$O$9)</f>
        <v/>
      </c>
      <c r="I9" s="43">
        <f>($B9*Channels!$O$9-I$6*Channels!$P$9-$B9*(Channels!$R$9+Channels!$S$9)-(Channels!$T$9+Channels!$U$9)-'P&amp;L'!$C$8*$B9*Channels!$O$9-'P&amp;L'!$C$13)/($B9*Channels!$O$9)</f>
        <v/>
      </c>
    </row>
    <row r="10">
      <c r="B10" s="42">
        <f>1+$C$3*(1-(3/3))</f>
        <v/>
      </c>
      <c r="C10" s="43">
        <f>($B10*Channels!$O$9-C$6*Channels!$P$9-$B10*(Channels!$R$9+Channels!$S$9)-(Channels!$T$9+Channels!$U$9)-'P&amp;L'!$C$8*$B10*Channels!$O$9-'P&amp;L'!$C$13)/($B10*Channels!$O$9)</f>
        <v/>
      </c>
      <c r="D10" s="43">
        <f>($B10*Channels!$O$9-D$6*Channels!$P$9-$B10*(Channels!$R$9+Channels!$S$9)-(Channels!$T$9+Channels!$U$9)-'P&amp;L'!$C$8*$B10*Channels!$O$9-'P&amp;L'!$C$13)/($B10*Channels!$O$9)</f>
        <v/>
      </c>
      <c r="E10" s="43">
        <f>($B10*Channels!$O$9-E$6*Channels!$P$9-$B10*(Channels!$R$9+Channels!$S$9)-(Channels!$T$9+Channels!$U$9)-'P&amp;L'!$C$8*$B10*Channels!$O$9-'P&amp;L'!$C$13)/($B10*Channels!$O$9)</f>
        <v/>
      </c>
      <c r="F10" s="43">
        <f>($B10*Channels!$O$9-F$6*Channels!$P$9-$B10*(Channels!$R$9+Channels!$S$9)-(Channels!$T$9+Channels!$U$9)-'P&amp;L'!$C$8*$B10*Channels!$O$9-'P&amp;L'!$C$13)/($B10*Channels!$O$9)</f>
        <v/>
      </c>
      <c r="G10" s="43">
        <f>($B10*Channels!$O$9-G$6*Channels!$P$9-$B10*(Channels!$R$9+Channels!$S$9)-(Channels!$T$9+Channels!$U$9)-'P&amp;L'!$C$8*$B10*Channels!$O$9-'P&amp;L'!$C$13)/($B10*Channels!$O$9)</f>
        <v/>
      </c>
      <c r="H10" s="43">
        <f>($B10*Channels!$O$9-H$6*Channels!$P$9-$B10*(Channels!$R$9+Channels!$S$9)-(Channels!$T$9+Channels!$U$9)-'P&amp;L'!$C$8*$B10*Channels!$O$9-'P&amp;L'!$C$13)/($B10*Channels!$O$9)</f>
        <v/>
      </c>
      <c r="I10" s="43">
        <f>($B10*Channels!$O$9-I$6*Channels!$P$9-$B10*(Channels!$R$9+Channels!$S$9)-(Channels!$T$9+Channels!$U$9)-'P&amp;L'!$C$8*$B10*Channels!$O$9-'P&amp;L'!$C$13)/($B10*Channels!$O$9)</f>
        <v/>
      </c>
    </row>
    <row r="11">
      <c r="B11" s="42">
        <f>1+$C$3*(1-(4/3))</f>
        <v/>
      </c>
      <c r="C11" s="43">
        <f>($B11*Channels!$O$9-C$6*Channels!$P$9-$B11*(Channels!$R$9+Channels!$S$9)-(Channels!$T$9+Channels!$U$9)-'P&amp;L'!$C$8*$B11*Channels!$O$9-'P&amp;L'!$C$13)/($B11*Channels!$O$9)</f>
        <v/>
      </c>
      <c r="D11" s="43">
        <f>($B11*Channels!$O$9-D$6*Channels!$P$9-$B11*(Channels!$R$9+Channels!$S$9)-(Channels!$T$9+Channels!$U$9)-'P&amp;L'!$C$8*$B11*Channels!$O$9-'P&amp;L'!$C$13)/($B11*Channels!$O$9)</f>
        <v/>
      </c>
      <c r="E11" s="43">
        <f>($B11*Channels!$O$9-E$6*Channels!$P$9-$B11*(Channels!$R$9+Channels!$S$9)-(Channels!$T$9+Channels!$U$9)-'P&amp;L'!$C$8*$B11*Channels!$O$9-'P&amp;L'!$C$13)/($B11*Channels!$O$9)</f>
        <v/>
      </c>
      <c r="F11" s="43">
        <f>($B11*Channels!$O$9-F$6*Channels!$P$9-$B11*(Channels!$R$9+Channels!$S$9)-(Channels!$T$9+Channels!$U$9)-'P&amp;L'!$C$8*$B11*Channels!$O$9-'P&amp;L'!$C$13)/($B11*Channels!$O$9)</f>
        <v/>
      </c>
      <c r="G11" s="43">
        <f>($B11*Channels!$O$9-G$6*Channels!$P$9-$B11*(Channels!$R$9+Channels!$S$9)-(Channels!$T$9+Channels!$U$9)-'P&amp;L'!$C$8*$B11*Channels!$O$9-'P&amp;L'!$C$13)/($B11*Channels!$O$9)</f>
        <v/>
      </c>
      <c r="H11" s="43">
        <f>($B11*Channels!$O$9-H$6*Channels!$P$9-$B11*(Channels!$R$9+Channels!$S$9)-(Channels!$T$9+Channels!$U$9)-'P&amp;L'!$C$8*$B11*Channels!$O$9-'P&amp;L'!$C$13)/($B11*Channels!$O$9)</f>
        <v/>
      </c>
      <c r="I11" s="43">
        <f>($B11*Channels!$O$9-I$6*Channels!$P$9-$B11*(Channels!$R$9+Channels!$S$9)-(Channels!$T$9+Channels!$U$9)-'P&amp;L'!$C$8*$B11*Channels!$O$9-'P&amp;L'!$C$13)/($B11*Channels!$O$9)</f>
        <v/>
      </c>
    </row>
    <row r="12">
      <c r="B12" s="42">
        <f>1+$C$3*(1-(5/3))</f>
        <v/>
      </c>
      <c r="C12" s="43">
        <f>($B12*Channels!$O$9-C$6*Channels!$P$9-$B12*(Channels!$R$9+Channels!$S$9)-(Channels!$T$9+Channels!$U$9)-'P&amp;L'!$C$8*$B12*Channels!$O$9-'P&amp;L'!$C$13)/($B12*Channels!$O$9)</f>
        <v/>
      </c>
      <c r="D12" s="43">
        <f>($B12*Channels!$O$9-D$6*Channels!$P$9-$B12*(Channels!$R$9+Channels!$S$9)-(Channels!$T$9+Channels!$U$9)-'P&amp;L'!$C$8*$B12*Channels!$O$9-'P&amp;L'!$C$13)/($B12*Channels!$O$9)</f>
        <v/>
      </c>
      <c r="E12" s="43">
        <f>($B12*Channels!$O$9-E$6*Channels!$P$9-$B12*(Channels!$R$9+Channels!$S$9)-(Channels!$T$9+Channels!$U$9)-'P&amp;L'!$C$8*$B12*Channels!$O$9-'P&amp;L'!$C$13)/($B12*Channels!$O$9)</f>
        <v/>
      </c>
      <c r="F12" s="43">
        <f>($B12*Channels!$O$9-F$6*Channels!$P$9-$B12*(Channels!$R$9+Channels!$S$9)-(Channels!$T$9+Channels!$U$9)-'P&amp;L'!$C$8*$B12*Channels!$O$9-'P&amp;L'!$C$13)/($B12*Channels!$O$9)</f>
        <v/>
      </c>
      <c r="G12" s="43">
        <f>($B12*Channels!$O$9-G$6*Channels!$P$9-$B12*(Channels!$R$9+Channels!$S$9)-(Channels!$T$9+Channels!$U$9)-'P&amp;L'!$C$8*$B12*Channels!$O$9-'P&amp;L'!$C$13)/($B12*Channels!$O$9)</f>
        <v/>
      </c>
      <c r="H12" s="43">
        <f>($B12*Channels!$O$9-H$6*Channels!$P$9-$B12*(Channels!$R$9+Channels!$S$9)-(Channels!$T$9+Channels!$U$9)-'P&amp;L'!$C$8*$B12*Channels!$O$9-'P&amp;L'!$C$13)/($B12*Channels!$O$9)</f>
        <v/>
      </c>
      <c r="I12" s="43">
        <f>($B12*Channels!$O$9-I$6*Channels!$P$9-$B12*(Channels!$R$9+Channels!$S$9)-(Channels!$T$9+Channels!$U$9)-'P&amp;L'!$C$8*$B12*Channels!$O$9-'P&amp;L'!$C$13)/($B12*Channels!$O$9)</f>
        <v/>
      </c>
    </row>
    <row r="13">
      <c r="B13" s="42">
        <f>1+$C$3*(1-(6/3))</f>
        <v/>
      </c>
      <c r="C13" s="43">
        <f>($B13*Channels!$O$9-C$6*Channels!$P$9-$B13*(Channels!$R$9+Channels!$S$9)-(Channels!$T$9+Channels!$U$9)-'P&amp;L'!$C$8*$B13*Channels!$O$9-'P&amp;L'!$C$13)/($B13*Channels!$O$9)</f>
        <v/>
      </c>
      <c r="D13" s="43">
        <f>($B13*Channels!$O$9-D$6*Channels!$P$9-$B13*(Channels!$R$9+Channels!$S$9)-(Channels!$T$9+Channels!$U$9)-'P&amp;L'!$C$8*$B13*Channels!$O$9-'P&amp;L'!$C$13)/($B13*Channels!$O$9)</f>
        <v/>
      </c>
      <c r="E13" s="43">
        <f>($B13*Channels!$O$9-E$6*Channels!$P$9-$B13*(Channels!$R$9+Channels!$S$9)-(Channels!$T$9+Channels!$U$9)-'P&amp;L'!$C$8*$B13*Channels!$O$9-'P&amp;L'!$C$13)/($B13*Channels!$O$9)</f>
        <v/>
      </c>
      <c r="F13" s="43">
        <f>($B13*Channels!$O$9-F$6*Channels!$P$9-$B13*(Channels!$R$9+Channels!$S$9)-(Channels!$T$9+Channels!$U$9)-'P&amp;L'!$C$8*$B13*Channels!$O$9-'P&amp;L'!$C$13)/($B13*Channels!$O$9)</f>
        <v/>
      </c>
      <c r="G13" s="43">
        <f>($B13*Channels!$O$9-G$6*Channels!$P$9-$B13*(Channels!$R$9+Channels!$S$9)-(Channels!$T$9+Channels!$U$9)-'P&amp;L'!$C$8*$B13*Channels!$O$9-'P&amp;L'!$C$13)/($B13*Channels!$O$9)</f>
        <v/>
      </c>
      <c r="H13" s="43">
        <f>($B13*Channels!$O$9-H$6*Channels!$P$9-$B13*(Channels!$R$9+Channels!$S$9)-(Channels!$T$9+Channels!$U$9)-'P&amp;L'!$C$8*$B13*Channels!$O$9-'P&amp;L'!$C$13)/($B13*Channels!$O$9)</f>
        <v/>
      </c>
      <c r="I13" s="43">
        <f>($B13*Channels!$O$9-I$6*Channels!$P$9-$B13*(Channels!$R$9+Channels!$S$9)-(Channels!$T$9+Channels!$U$9)-'P&amp;L'!$C$8*$B13*Channels!$O$9-'P&amp;L'!$C$13)/($B13*Channels!$O$9)</f>
        <v/>
      </c>
    </row>
    <row r="15">
      <c r="B15" s="44" t="inlineStr">
        <is>
          <t>Green = higher EBITDA margin. The steeper the colour shift along a row vs a column, the bigger that lever.</t>
        </is>
      </c>
    </row>
  </sheetData>
  <mergeCells count="2">
    <mergeCell ref="A2:H2"/>
    <mergeCell ref="A1:H1"/>
  </mergeCells>
  <conditionalFormatting sqref="C7:I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7C7BFF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15" customWidth="1" min="3" max="3"/>
    <col width="15" customWidth="1" min="4" max="4"/>
    <col width="15" customWidth="1" min="5" max="5"/>
  </cols>
  <sheetData>
    <row r="1" ht="28" customHeight="1">
      <c r="A1" s="1" t="inlineStr">
        <is>
          <t>Scenario planning — Base / Bull / Bear</t>
        </is>
      </c>
    </row>
    <row r="2" ht="16" customHeight="1">
      <c r="A2" s="2" t="inlineStr">
        <is>
          <t>Bull and Bear scale your Base assumptions. Multipliers are editable; metrics derive from the channel totals.</t>
        </is>
      </c>
    </row>
    <row r="4">
      <c r="B4" s="45" t="inlineStr">
        <is>
          <t>Multiplier</t>
        </is>
      </c>
      <c r="C4" s="46" t="inlineStr">
        <is>
          <t>Base</t>
        </is>
      </c>
      <c r="D4" s="46" t="inlineStr">
        <is>
          <t>Bull</t>
        </is>
      </c>
      <c r="E4" s="46" t="inlineStr">
        <is>
          <t>Bear</t>
        </is>
      </c>
    </row>
    <row r="5">
      <c r="B5" s="4" t="inlineStr">
        <is>
          <t>Volume ×</t>
        </is>
      </c>
      <c r="C5" s="47" t="n">
        <v>1</v>
      </c>
      <c r="D5" s="47" t="n">
        <v>1.4</v>
      </c>
      <c r="E5" s="47" t="n">
        <v>0.75</v>
      </c>
    </row>
    <row r="6">
      <c r="B6" s="4" t="inlineStr">
        <is>
          <t>Price ×</t>
        </is>
      </c>
      <c r="C6" s="47" t="n">
        <v>1</v>
      </c>
      <c r="D6" s="47" t="n">
        <v>1.05</v>
      </c>
      <c r="E6" s="47" t="n">
        <v>0.97</v>
      </c>
    </row>
    <row r="7">
      <c r="B7" s="4" t="inlineStr">
        <is>
          <t>COGS ×</t>
        </is>
      </c>
      <c r="C7" s="47" t="n">
        <v>1</v>
      </c>
      <c r="D7" s="47" t="n">
        <v>0.9</v>
      </c>
      <c r="E7" s="47" t="n">
        <v>1.1</v>
      </c>
    </row>
    <row r="8">
      <c r="B8" s="4" t="inlineStr">
        <is>
          <t>Trade ×</t>
        </is>
      </c>
      <c r="C8" s="47" t="n">
        <v>1</v>
      </c>
      <c r="D8" s="47" t="n">
        <v>0.85</v>
      </c>
      <c r="E8" s="47" t="n">
        <v>1.15</v>
      </c>
    </row>
    <row r="9">
      <c r="B9" s="4" t="inlineStr">
        <is>
          <t>Ad / CAC ×</t>
        </is>
      </c>
      <c r="C9" s="47" t="n">
        <v>1</v>
      </c>
      <c r="D9" s="47" t="n">
        <v>0.85</v>
      </c>
      <c r="E9" s="47" t="n">
        <v>1.2</v>
      </c>
    </row>
    <row r="11">
      <c r="A11" s="3" t="inlineStr">
        <is>
          <t>RESULTING P&amp;L</t>
        </is>
      </c>
    </row>
    <row r="12">
      <c r="B12" s="11" t="inlineStr">
        <is>
          <t>Metric</t>
        </is>
      </c>
      <c r="C12" s="12" t="inlineStr">
        <is>
          <t>Base</t>
        </is>
      </c>
      <c r="D12" s="12" t="inlineStr">
        <is>
          <t>Bull</t>
        </is>
      </c>
      <c r="E12" s="12" t="inlineStr">
        <is>
          <t>Bear</t>
        </is>
      </c>
    </row>
    <row r="13">
      <c r="B13" s="4" t="inlineStr">
        <is>
          <t>Annual cases</t>
        </is>
      </c>
      <c r="C13" s="48">
        <f>'P&amp;L'!$C$5*C5</f>
        <v/>
      </c>
      <c r="D13" s="48">
        <f>'P&amp;L'!$C$5*D5</f>
        <v/>
      </c>
      <c r="E13" s="48">
        <f>'P&amp;L'!$C$5*E5</f>
        <v/>
      </c>
    </row>
    <row r="14">
      <c r="B14" s="4" t="inlineStr">
        <is>
          <t>Net sales</t>
        </is>
      </c>
      <c r="C14" s="14">
        <f>(C6*C5*(Channels!$L$9-C8*Channels!$M$9-Channels!$N$9))</f>
        <v/>
      </c>
      <c r="D14" s="14">
        <f>(D6*D5*(Channels!$L$9-D8*Channels!$M$9-Channels!$N$9))</f>
        <v/>
      </c>
      <c r="E14" s="14">
        <f>(E6*E5*(Channels!$L$9-E8*Channels!$M$9-Channels!$N$9))</f>
        <v/>
      </c>
    </row>
    <row r="15">
      <c r="B15" s="4" t="inlineStr">
        <is>
          <t>Gross margin %</t>
        </is>
      </c>
      <c r="C15" s="49">
        <f>((C6*C5*(Channels!$L$9-C8*Channels!$M$9-Channels!$N$9))-C7*C5*Channels!$P$9)/(C6*C5*(Channels!$L$9-C8*Channels!$M$9-Channels!$N$9))</f>
        <v/>
      </c>
      <c r="D15" s="49">
        <f>((D6*D5*(Channels!$L$9-D8*Channels!$M$9-Channels!$N$9))-D7*D5*Channels!$P$9)/(D6*D5*(Channels!$L$9-D8*Channels!$M$9-Channels!$N$9))</f>
        <v/>
      </c>
      <c r="E15" s="49">
        <f>((E6*E5*(Channels!$L$9-E8*Channels!$M$9-Channels!$N$9))-E7*E5*Channels!$P$9)/(E6*E5*(Channels!$L$9-E8*Channels!$M$9-Channels!$N$9))</f>
        <v/>
      </c>
    </row>
    <row r="16">
      <c r="B16" s="4" t="inlineStr">
        <is>
          <t>Contribution $</t>
        </is>
      </c>
      <c r="C16" s="14">
        <f>(((C6*C5*(Channels!$L$9-C8*Channels!$M$9-Channels!$N$9))-C7*C5*Channels!$P$9)-C6*C5*Channels!$R$9-C9*C6*C5*Channels!$S$9-C5*Channels!$T$9-C5*Channels!$U$9)</f>
        <v/>
      </c>
      <c r="D16" s="14">
        <f>(((D6*D5*(Channels!$L$9-D8*Channels!$M$9-Channels!$N$9))-D7*D5*Channels!$P$9)-D6*D5*Channels!$R$9-D9*D6*D5*Channels!$S$9-D5*Channels!$T$9-D5*Channels!$U$9)</f>
        <v/>
      </c>
      <c r="E16" s="14">
        <f>(((E6*E5*(Channels!$L$9-E8*Channels!$M$9-Channels!$N$9))-E7*E5*Channels!$P$9)-E6*E5*Channels!$R$9-E9*E6*E5*Channels!$S$9-E5*Channels!$T$9-E5*Channels!$U$9)</f>
        <v/>
      </c>
    </row>
    <row r="17">
      <c r="B17" s="4" t="inlineStr">
        <is>
          <t>Contribution %</t>
        </is>
      </c>
      <c r="C17" s="49">
        <f>(((C6*C5*(Channels!$L$9-C8*Channels!$M$9-Channels!$N$9))-C7*C5*Channels!$P$9)-C6*C5*Channels!$R$9-C9*C6*C5*Channels!$S$9-C5*Channels!$T$9-C5*Channels!$U$9)/(C6*C5*(Channels!$L$9-C8*Channels!$M$9-Channels!$N$9))</f>
        <v/>
      </c>
      <c r="D17" s="49">
        <f>(((D6*D5*(Channels!$L$9-D8*Channels!$M$9-Channels!$N$9))-D7*D5*Channels!$P$9)-D6*D5*Channels!$R$9-D9*D6*D5*Channels!$S$9-D5*Channels!$T$9-D5*Channels!$U$9)/(D6*D5*(Channels!$L$9-D8*Channels!$M$9-Channels!$N$9))</f>
        <v/>
      </c>
      <c r="E17" s="49">
        <f>(((E6*E5*(Channels!$L$9-E8*Channels!$M$9-Channels!$N$9))-E7*E5*Channels!$P$9)-E6*E5*Channels!$R$9-E9*E6*E5*Channels!$S$9-E5*Channels!$T$9-E5*Channels!$U$9)/(E6*E5*(Channels!$L$9-E8*Channels!$M$9-Channels!$N$9))</f>
        <v/>
      </c>
    </row>
    <row r="18">
      <c r="B18" s="9" t="inlineStr">
        <is>
          <t>EBITDA $</t>
        </is>
      </c>
      <c r="C18" s="50">
        <f>((((C6*C5*(Channels!$L$9-C8*Channels!$M$9-Channels!$N$9))-C7*C5*Channels!$P$9)-C6*C5*Channels!$R$9-C9*C6*C5*Channels!$S$9-C5*Channels!$T$9-C5*Channels!$U$9)-'P&amp;L'!$C$8*(C6*C5*(Channels!$L$9-C8*Channels!$M$9-Channels!$N$9))-'P&amp;L'!$C$13)</f>
        <v/>
      </c>
      <c r="D18" s="50">
        <f>((((D6*D5*(Channels!$L$9-D8*Channels!$M$9-Channels!$N$9))-D7*D5*Channels!$P$9)-D6*D5*Channels!$R$9-D9*D6*D5*Channels!$S$9-D5*Channels!$T$9-D5*Channels!$U$9)-'P&amp;L'!$C$8*(D6*D5*(Channels!$L$9-D8*Channels!$M$9-Channels!$N$9))-'P&amp;L'!$C$13)</f>
        <v/>
      </c>
      <c r="E18" s="50">
        <f>((((E6*E5*(Channels!$L$9-E8*Channels!$M$9-Channels!$N$9))-E7*E5*Channels!$P$9)-E6*E5*Channels!$R$9-E9*E6*E5*Channels!$S$9-E5*Channels!$T$9-E5*Channels!$U$9)-'P&amp;L'!$C$8*(E6*E5*(Channels!$L$9-E8*Channels!$M$9-Channels!$N$9))-'P&amp;L'!$C$13)</f>
        <v/>
      </c>
    </row>
    <row r="19">
      <c r="B19" s="9" t="inlineStr">
        <is>
          <t>EBITDA %</t>
        </is>
      </c>
      <c r="C19" s="51">
        <f>((((C6*C5*(Channels!$L$9-C8*Channels!$M$9-Channels!$N$9))-C7*C5*Channels!$P$9)-C6*C5*Channels!$R$9-C9*C6*C5*Channels!$S$9-C5*Channels!$T$9-C5*Channels!$U$9)-'P&amp;L'!$C$8*(C6*C5*(Channels!$L$9-C8*Channels!$M$9-Channels!$N$9))-'P&amp;L'!$C$13)/(C6*C5*(Channels!$L$9-C8*Channels!$M$9-Channels!$N$9))</f>
        <v/>
      </c>
      <c r="D19" s="51">
        <f>((((D6*D5*(Channels!$L$9-D8*Channels!$M$9-Channels!$N$9))-D7*D5*Channels!$P$9)-D6*D5*Channels!$R$9-D9*D6*D5*Channels!$S$9-D5*Channels!$T$9-D5*Channels!$U$9)-'P&amp;L'!$C$8*(D6*D5*(Channels!$L$9-D8*Channels!$M$9-Channels!$N$9))-'P&amp;L'!$C$13)/(D6*D5*(Channels!$L$9-D8*Channels!$M$9-Channels!$N$9))</f>
        <v/>
      </c>
      <c r="E19" s="51">
        <f>((((E6*E5*(Channels!$L$9-E8*Channels!$M$9-Channels!$N$9))-E7*E5*Channels!$P$9)-E6*E5*Channels!$R$9-E9*E6*E5*Channels!$S$9-E5*Channels!$T$9-E5*Channels!$U$9)-'P&amp;L'!$C$8*(E6*E5*(Channels!$L$9-E8*Channels!$M$9-Channels!$N$9))-'P&amp;L'!$C$13)/(E6*E5*(Channels!$L$9-E8*Channels!$M$9-Channels!$N$9))</f>
        <v/>
      </c>
    </row>
  </sheetData>
  <mergeCells count="3">
    <mergeCell ref="A2:E2"/>
    <mergeCell ref="A11:E11"/>
    <mergeCell ref="A1:E1"/>
  </mergeCells>
  <conditionalFormatting sqref="C18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D18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E18">
    <cfRule type="cellIs" priority="5" operator="lessThan" dxfId="0">
      <formula>0</formula>
    </cfRule>
    <cfRule type="cellIs" priority="6" operator="greaterThanOrEqual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4213F"/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12" customWidth="1" min="2" max="2"/>
  </cols>
  <sheetData>
    <row r="1" ht="28" customHeight="1">
      <c r="A1" s="1" t="inlineStr">
        <is>
          <t>Guide — reading a CPG P&amp;L</t>
        </is>
      </c>
    </row>
    <row r="4">
      <c r="B4" s="52" t="inlineStr"/>
    </row>
    <row r="5">
      <c r="B5" s="53" t="inlineStr">
        <is>
          <t>The waterfall</t>
        </is>
      </c>
    </row>
    <row r="6">
      <c r="B6" s="54" t="inlineStr">
        <is>
          <t>Gross Sales − Trade − Returns = NET SALES</t>
        </is>
      </c>
    </row>
    <row r="7">
      <c r="B7" s="54" t="inlineStr">
        <is>
          <t>Net Sales − COGS = GROSS PROFIT   (Gross Margin %)</t>
        </is>
      </c>
    </row>
    <row r="8">
      <c r="B8" s="54" t="inlineStr">
        <is>
          <t>Gross Profit − fulfillment − fees − channel ad − slotting = CONTRIBUTION MARGIN  (CM %)</t>
        </is>
      </c>
    </row>
    <row r="9">
      <c r="B9" s="54" t="inlineStr">
        <is>
          <t>Contribution − brand marketing − sales − G&amp;A − R&amp;D = EBITDA   (EBITDA %)</t>
        </is>
      </c>
    </row>
    <row r="10">
      <c r="B10" s="52" t="inlineStr"/>
    </row>
    <row r="11">
      <c r="B11" s="53" t="inlineStr">
        <is>
          <t>Why contribution margin is the number to watch</t>
        </is>
      </c>
    </row>
    <row r="12">
      <c r="B12" s="52" t="inlineStr">
        <is>
          <t>Gross margin flatters DTC and Amazon because their shelf prices are high — but those channels</t>
        </is>
      </c>
    </row>
    <row r="13">
      <c r="B13" s="52" t="inlineStr">
        <is>
          <t>bleed it back through referral fees, fulfillment and customer acquisition. Contribution margin is</t>
        </is>
      </c>
    </row>
    <row r="14">
      <c r="B14" s="52" t="inlineStr">
        <is>
          <t>what each channel actually leaves to cover corporate overhead. Manage the mix on contribution.</t>
        </is>
      </c>
    </row>
    <row r="15">
      <c r="B15" s="52" t="inlineStr"/>
    </row>
    <row r="16">
      <c r="B16" s="53" t="inlineStr">
        <is>
          <t>Where the levers are (see the Sensitivity &amp; tornado)</t>
        </is>
      </c>
    </row>
    <row r="17">
      <c r="B17" s="52" t="inlineStr">
        <is>
          <t>• COGS — every cent off a can flows straight to EBITDA at full volume.</t>
        </is>
      </c>
    </row>
    <row r="18">
      <c r="B18" s="52" t="inlineStr">
        <is>
          <t>• Price &amp; trade — highest-leverage revenue dials, but trade is sticky once retailers expect it.</t>
        </is>
      </c>
    </row>
    <row r="19">
      <c r="B19" s="52" t="inlineStr">
        <is>
          <t>• Mix — shifting volume to higher-contribution channels lifts EBITDA without touching a cost.</t>
        </is>
      </c>
    </row>
    <row r="20">
      <c r="B20" s="52" t="inlineStr">
        <is>
          <t>• Volume vs fixed cost — overhead is fixed, so scale is its own lever (see break-even).</t>
        </is>
      </c>
    </row>
    <row r="21">
      <c r="B21" s="52" t="inlineStr"/>
    </row>
    <row r="22">
      <c r="B22" s="53" t="inlineStr">
        <is>
          <t>Sheet map</t>
        </is>
      </c>
    </row>
    <row r="23">
      <c r="B23" s="52" t="inlineStr">
        <is>
          <t>P&amp;L          – assumptions (yellow) + the blended statement, per-case and % of net sales.</t>
        </is>
      </c>
    </row>
    <row r="24">
      <c r="B24" s="52" t="inlineStr">
        <is>
          <t>COGS_BOM     – bill of materials → landed cost per can; feeds every channel.</t>
        </is>
      </c>
    </row>
    <row r="25">
      <c r="B25" s="52" t="inlineStr">
        <is>
          <t>Channels     – the revenue engine; one column block per route to market, totals feed the P&amp;L.</t>
        </is>
      </c>
    </row>
    <row r="26">
      <c r="B26" s="52" t="inlineStr">
        <is>
          <t>Sensitivity  – EBITDA % across a price × COGS grid, coloured as a heatmap.</t>
        </is>
      </c>
    </row>
    <row r="27">
      <c r="B27" s="52" t="inlineStr">
        <is>
          <t>Scenarios    – Base / Bull / Bear via editable multipliers on the channel totals.</t>
        </is>
      </c>
    </row>
    <row r="28">
      <c r="B28" s="52" t="inlineStr"/>
    </row>
    <row r="29">
      <c r="B29" s="55" t="inlineStr">
        <is>
          <t>Defaults model Organika MÜV Sparkling Electrolytes (355 ml can, zero-sugar; magnesium bisglycinate</t>
        </is>
      </c>
    </row>
    <row r="30">
      <c r="B30" s="55" t="inlineStr">
        <is>
          <t>+ Fibersol prebiotic fiber) as a representative premium functional beverage. Replace with your actuals.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2026-06-06T05:19:50Z</dcterms:created>
  <dcterms:modified xsi:type="dcterms:W3CDTF">2026-06-06T05:19:50Z</dcterms:modified>
</cp:coreProperties>
</file>